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Firm Search" sheetId="2" state="visible" r:id="rId2"/>
    <sheet xmlns:r="http://schemas.openxmlformats.org/officeDocument/2006/relationships" name="Firms" sheetId="3" state="visible" r:id="rId3"/>
    <sheet xmlns:r="http://schemas.openxmlformats.org/officeDocument/2006/relationships" name="AFA Rates" sheetId="4" state="visible" r:id="rId4"/>
    <sheet xmlns:r="http://schemas.openxmlformats.org/officeDocument/2006/relationships" name="Do Not Use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Lists" sheetId="7" state="visible" r:id="rId7"/>
  </sheets>
  <definedNames>
    <definedName name="AFA_Types">OFFSET(Lists!$A$5,0,0,MAX(1,COUNTA(Lists!$A$5:$A$34)),1)</definedName>
    <definedName name="AFA_Types_All">Lists!$A$5:$A$34</definedName>
    <definedName name="Cyber_List">OFFSET(Lists!$C$5,0,0,MAX(1,COUNTA(Lists!$C$5:$C$19)),1)</definedName>
    <definedName name="Status_List">Lists!$E$5:$E$6</definedName>
    <definedName name="Firm_List">OFFSET(Firms!$A$5,0,0,MAX(1,COUNTA(Firms!$A$5:$A$504)),1)</definedName>
    <definedName name="_xlnm._FilterDatabase" localSheetId="2" hidden="1">'Firms'!$A$4:$Q$504</definedName>
    <definedName name="_xlnm._FilterDatabase" localSheetId="3" hidden="1">'AFA Rates'!$A$4:$M$504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—&quot;"/>
    <numFmt numFmtId="165" formatCode="mm/dd/yyyy"/>
  </numFmts>
  <fonts count="39">
    <font>
      <name val="Calibri"/>
      <family val="2"/>
      <color theme="1"/>
      <sz val="11"/>
      <scheme val="minor"/>
    </font>
    <font>
      <name val="Arial"/>
      <b val="1"/>
      <strike val="0"/>
      <color rgb="001F3A5F"/>
      <sz val="18"/>
    </font>
    <font>
      <name val="Arial"/>
      <i val="1"/>
      <strike val="0"/>
      <color rgb="006B7280"/>
      <sz val="10"/>
    </font>
    <font>
      <name val="Arial"/>
      <b val="1"/>
      <strike val="0"/>
      <color rgb="00FFFFFF"/>
      <sz val="10"/>
    </font>
    <font>
      <name val="Arial"/>
      <strike val="0"/>
      <color rgb="00222222"/>
      <sz val="10"/>
    </font>
    <font>
      <name val="Arial"/>
      <strike val="0"/>
      <color rgb="004B5563"/>
      <sz val="10"/>
    </font>
    <font>
      <name val="Arial"/>
      <i val="1"/>
      <strike val="0"/>
      <color rgb="006B7280"/>
      <sz val="9"/>
    </font>
    <font>
      <name val="Arial"/>
      <b val="1"/>
      <strike val="0"/>
      <color rgb="00A23B52"/>
      <sz val="11"/>
    </font>
    <font>
      <name val="Arial"/>
      <b val="1"/>
      <strike val="0"/>
      <color rgb="006B5B95"/>
      <sz val="20"/>
    </font>
    <font>
      <name val="Arial"/>
      <i val="1"/>
      <strike val="0"/>
      <color rgb="006B5B95"/>
      <sz val="10"/>
    </font>
    <font>
      <name val="Arial"/>
      <b val="1"/>
      <strike val="0"/>
      <color rgb="006B5B95"/>
      <sz val="12"/>
    </font>
    <font>
      <name val="Arial"/>
      <b val="1"/>
      <strike val="0"/>
      <color rgb="00333333"/>
      <sz val="13"/>
    </font>
    <font>
      <name val="Arial"/>
      <i val="1"/>
      <strike val="0"/>
      <color rgb="009C8FC4"/>
      <sz val="10"/>
    </font>
    <font>
      <name val="Arial"/>
      <b val="1"/>
      <strike val="0"/>
      <color rgb="006B7280"/>
      <sz val="10"/>
    </font>
    <font>
      <name val="Arial"/>
      <b val="1"/>
      <strike val="0"/>
      <color rgb="001F3A5F"/>
      <sz val="13"/>
    </font>
    <font>
      <name val="Arial"/>
      <i val="1"/>
      <strike val="0"/>
      <color rgb="00A0522D"/>
      <sz val="9"/>
    </font>
    <font>
      <name val="Arial"/>
      <b val="1"/>
      <strike val="0"/>
      <color rgb="00555555"/>
      <sz val="13"/>
    </font>
    <font>
      <name val="Arial"/>
      <b val="1"/>
      <strike val="0"/>
      <color rgb="002E5C8A"/>
      <sz val="11"/>
    </font>
    <font>
      <name val="Arial"/>
      <b val="1"/>
      <strike val="0"/>
      <color rgb="002E5C8A"/>
      <sz val="10"/>
    </font>
    <font>
      <name val="Arial"/>
      <b val="1"/>
      <strike val="0"/>
      <color rgb="002F7D5B"/>
      <sz val="11"/>
    </font>
    <font>
      <name val="Arial"/>
      <b val="1"/>
      <strike val="0"/>
      <color rgb="002F7D5B"/>
      <sz val="9"/>
    </font>
    <font>
      <name val="Arial"/>
      <b val="1"/>
      <strike val="0"/>
      <color rgb="00222222"/>
      <sz val="11"/>
    </font>
    <font>
      <name val="Arial"/>
      <strike val="0"/>
      <color rgb="00222222"/>
      <sz val="11"/>
    </font>
    <font>
      <name val="Arial"/>
      <b val="1"/>
      <strike val="0"/>
      <color rgb="00A0522D"/>
      <sz val="11"/>
    </font>
    <font>
      <name val="Arial"/>
      <b val="1"/>
      <strike val="0"/>
      <color rgb="00A0522D"/>
      <sz val="9"/>
    </font>
    <font>
      <name val="Arial"/>
      <b val="1"/>
      <strike val="0"/>
      <color rgb="00A0522D"/>
      <sz val="10"/>
    </font>
    <font>
      <name val="Arial"/>
      <i val="1"/>
      <strike val="0"/>
      <color rgb="00A0522D"/>
      <sz val="10"/>
    </font>
    <font>
      <name val="Arial"/>
      <b val="1"/>
      <strike val="0"/>
      <color rgb="001F3A5F"/>
      <sz val="11"/>
    </font>
    <font>
      <name val="Arial"/>
      <b val="1"/>
      <strike val="0"/>
      <color rgb="001F3A5F"/>
      <sz val="14"/>
    </font>
    <font>
      <name val="Arial"/>
      <b val="1"/>
      <strike val="0"/>
      <color rgb="002F7D5B"/>
      <sz val="14"/>
    </font>
    <font>
      <name val="Arial"/>
      <b val="1"/>
      <strike val="0"/>
      <color rgb="00A23B52"/>
      <sz val="14"/>
    </font>
    <font>
      <name val="Arial"/>
      <b val="1"/>
      <strike val="0"/>
      <color rgb="006B5B95"/>
      <sz val="11"/>
    </font>
    <font>
      <name val="Arial"/>
      <b val="1"/>
      <strike val="0"/>
      <color rgb="006B5B95"/>
      <sz val="14"/>
    </font>
    <font>
      <name val="Arial"/>
      <b val="1"/>
      <strike val="0"/>
      <color rgb="008A6D1B"/>
      <sz val="11"/>
    </font>
    <font>
      <name val="Arial"/>
      <b val="1"/>
      <strike val="0"/>
      <color rgb="008A6D1B"/>
      <sz val="14"/>
    </font>
    <font>
      <name val="Arial"/>
      <b val="1"/>
      <strike val="0"/>
      <color rgb="00FFFFFF"/>
      <sz val="9"/>
    </font>
    <font>
      <name val="Arial"/>
      <b val="1"/>
      <strike val="0"/>
      <color rgb="001F3A5F"/>
      <sz val="22"/>
    </font>
    <font>
      <name val="Arial"/>
      <i val="1"/>
      <strike val="0"/>
      <color rgb="006B7280"/>
      <sz val="11"/>
    </font>
    <font>
      <name val="Arial"/>
      <b val="1"/>
      <strike val="0"/>
      <color rgb="0044546A"/>
      <sz val="10"/>
    </font>
  </fonts>
  <fills count="21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2B3"/>
        <bgColor rgb="00FFF2B3"/>
      </patternFill>
    </fill>
    <fill>
      <patternFill patternType="solid">
        <fgColor rgb="00EEF1F5"/>
        <bgColor rgb="00EEF1F5"/>
      </patternFill>
    </fill>
    <fill>
      <patternFill patternType="solid">
        <fgColor rgb="0044546A"/>
        <bgColor rgb="0044546A"/>
      </patternFill>
    </fill>
    <fill>
      <patternFill patternType="solid">
        <fgColor rgb="00A23B52"/>
        <bgColor rgb="00A23B52"/>
      </patternFill>
    </fill>
    <fill>
      <patternFill patternType="solid">
        <fgColor rgb="00E8E1F7"/>
        <bgColor rgb="00E8E1F7"/>
      </patternFill>
    </fill>
    <fill>
      <patternFill patternType="solid">
        <fgColor rgb="00FFFFFF"/>
        <bgColor rgb="00FFFFFF"/>
      </patternFill>
    </fill>
    <fill>
      <patternFill patternType="solid">
        <fgColor rgb="00F3F4F6"/>
        <bgColor rgb="00F3F4F6"/>
      </patternFill>
    </fill>
    <fill>
      <patternFill patternType="solid">
        <fgColor rgb="00DCEBFA"/>
        <bgColor rgb="00DCEBFA"/>
      </patternFill>
    </fill>
    <fill>
      <patternFill patternType="solid">
        <fgColor rgb="00EEF5FD"/>
        <bgColor rgb="00EEF5FD"/>
      </patternFill>
    </fill>
    <fill>
      <patternFill patternType="solid">
        <fgColor rgb="00DDF3E8"/>
        <bgColor rgb="00DDF3E8"/>
      </patternFill>
    </fill>
    <fill>
      <patternFill patternType="solid">
        <fgColor rgb="00EAF8F1"/>
        <bgColor rgb="00EAF8F1"/>
      </patternFill>
    </fill>
    <fill>
      <patternFill patternType="solid">
        <fgColor rgb="00FDE6D6"/>
        <bgColor rgb="00FDE6D6"/>
      </patternFill>
    </fill>
    <fill>
      <patternFill patternType="solid">
        <fgColor rgb="00FEF1E8"/>
        <bgColor rgb="00FEF1E8"/>
      </patternFill>
    </fill>
    <fill>
      <patternFill patternType="solid">
        <fgColor rgb="00FADDE1"/>
        <bgColor rgb="00FADDE1"/>
      </patternFill>
    </fill>
    <fill>
      <patternFill patternType="solid">
        <fgColor rgb="00FFF6D5"/>
        <bgColor rgb="00FFF6D5"/>
      </patternFill>
    </fill>
    <fill>
      <patternFill patternType="solid">
        <fgColor rgb="006B5B95"/>
        <bgColor rgb="006B5B95"/>
      </patternFill>
    </fill>
    <fill>
      <patternFill patternType="solid">
        <fgColor rgb="00EDEDED"/>
        <bgColor rgb="00EDEDED"/>
      </patternFill>
    </fill>
    <fill>
      <patternFill patternType="solid">
        <fgColor rgb="00FFC7CE"/>
        <bgColor rgb="00FFC7CE"/>
      </patternFill>
    </fill>
  </fills>
  <borders count="5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medium">
        <color rgb="00B9A7E6"/>
      </left>
      <top style="medium">
        <color rgb="00B9A7E6"/>
      </top>
      <bottom style="medium">
        <color rgb="00B9A7E6"/>
      </bottom>
    </border>
    <border>
      <top style="medium">
        <color rgb="00B9A7E6"/>
      </top>
      <bottom style="medium">
        <color rgb="00B9A7E6"/>
      </bottom>
    </border>
    <border>
      <right style="medium">
        <color rgb="00B9A7E6"/>
      </right>
      <top style="medium">
        <color rgb="00B9A7E6"/>
      </top>
      <bottom style="medium">
        <color rgb="00B9A7E6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27" fillId="0" borderId="0" pivotButton="0" quotePrefix="0" xfId="0"/>
    <xf numFmtId="0" fontId="27" fillId="7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16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left" vertical="center"/>
    </xf>
    <xf numFmtId="0" fontId="27" fillId="19" borderId="1" applyAlignment="1" pivotButton="0" quotePrefix="0" xfId="0">
      <alignment horizontal="left" vertical="center"/>
    </xf>
    <xf numFmtId="0" fontId="38" fillId="9" borderId="1" applyAlignment="1" pivotButton="0" quotePrefix="0" xfId="0">
      <alignment horizontal="left" vertical="center"/>
    </xf>
    <xf numFmtId="0" fontId="4" fillId="8" borderId="1" pivotButton="0" quotePrefix="0" xfId="0"/>
    <xf numFmtId="0" fontId="4" fillId="0" borderId="1" pivotButton="0" quotePrefix="0" xfId="0"/>
    <xf numFmtId="0" fontId="4" fillId="4" borderId="1" pivotButton="0" quotePrefix="0" xfId="0"/>
    <xf numFmtId="0" fontId="4" fillId="3" borderId="1" pivotButton="0" quotePrefix="0" xfId="0"/>
    <xf numFmtId="0" fontId="4" fillId="20" borderId="1" pivotButton="0" quotePrefix="0" xfId="0"/>
    <xf numFmtId="0" fontId="6" fillId="0" borderId="0" pivotButton="0" quotePrefix="0" xfId="0"/>
    <xf numFmtId="0" fontId="8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9" fillId="7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7" fillId="10" borderId="0" pivotButton="0" quotePrefix="0" xfId="0"/>
    <xf numFmtId="0" fontId="0" fillId="10" borderId="0" pivotButton="0" quotePrefix="0" xfId="0"/>
    <xf numFmtId="0" fontId="18" fillId="11" borderId="1" applyAlignment="1" pivotButton="0" quotePrefix="0" xfId="0">
      <alignment horizontal="left" vertical="center"/>
    </xf>
    <xf numFmtId="0" fontId="0" fillId="0" borderId="1" pivotButton="0" quotePrefix="0" xfId="0"/>
    <xf numFmtId="165" fontId="4" fillId="0" borderId="1" applyAlignment="1" pivotButton="0" quotePrefix="0" xfId="0">
      <alignment horizontal="left" vertical="center" wrapText="1"/>
    </xf>
    <xf numFmtId="0" fontId="19" fillId="12" borderId="0" pivotButton="0" quotePrefix="0" xfId="0"/>
    <xf numFmtId="0" fontId="0" fillId="12" borderId="0" pivotButton="0" quotePrefix="0" xfId="0"/>
    <xf numFmtId="0" fontId="20" fillId="13" borderId="1" applyAlignment="1" pivotButton="0" quotePrefix="0" xfId="0">
      <alignment horizontal="center" vertical="center" wrapText="1"/>
    </xf>
    <xf numFmtId="164" fontId="21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 wrapText="1"/>
    </xf>
    <xf numFmtId="0" fontId="23" fillId="14" borderId="0" pivotButton="0" quotePrefix="0" xfId="0"/>
    <xf numFmtId="0" fontId="0" fillId="14" borderId="0" pivotButton="0" quotePrefix="0" xfId="0"/>
    <xf numFmtId="0" fontId="24" fillId="15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165" fontId="4" fillId="0" borderId="0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19" fillId="12" borderId="1" applyAlignment="1" pivotButton="0" quotePrefix="0" xfId="0">
      <alignment horizontal="left" vertical="center"/>
    </xf>
    <xf numFmtId="0" fontId="29" fillId="1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7" fillId="16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 wrapText="1"/>
    </xf>
    <xf numFmtId="0" fontId="31" fillId="7" borderId="1" applyAlignment="1" pivotButton="0" quotePrefix="0" xfId="0">
      <alignment horizontal="left" vertical="center"/>
    </xf>
    <xf numFmtId="0" fontId="32" fillId="7" borderId="1" applyAlignment="1" pivotButton="0" quotePrefix="0" xfId="0">
      <alignment horizontal="center" vertical="center" wrapText="1"/>
    </xf>
    <xf numFmtId="0" fontId="33" fillId="17" borderId="1" applyAlignment="1" pivotButton="0" quotePrefix="0" xfId="0">
      <alignment horizontal="left" vertical="center"/>
    </xf>
    <xf numFmtId="0" fontId="34" fillId="17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5" fillId="18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12">
    <dxf>
      <font>
        <b val="1"/>
        <color rgb="00A23B52"/>
      </font>
      <fill>
        <patternFill patternType="solid">
          <fgColor rgb="00FADDE1"/>
          <bgColor rgb="00FADDE1"/>
        </patternFill>
      </fill>
    </dxf>
    <dxf>
      <font>
        <b val="1"/>
        <color rgb="002F7D5B"/>
      </font>
      <fill>
        <patternFill patternType="solid">
          <fgColor rgb="00DDF3E8"/>
          <bgColor rgb="00DDF3E8"/>
        </patternFill>
      </fill>
    </dxf>
    <dxf>
      <fill>
        <patternFill patternType="solid">
          <fgColor rgb="00FFFAF6"/>
          <bgColor rgb="00FFFAF6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  <dxf>
      <font>
        <strike val="1"/>
        <color rgb="00A23B52"/>
      </font>
      <fill>
        <patternFill patternType="solid">
          <fgColor rgb="00FADDE1"/>
          <bgColor rgb="00FADDE1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A3AF"/>
      </font>
      <fill>
        <patternFill patternType="solid">
          <fgColor rgb="00FDF0F2"/>
          <bgColor rgb="00FDF0F2"/>
        </patternFill>
      </fill>
    </dxf>
    <dxf>
      <font>
        <b val="1"/>
        <color rgb="006B5B95"/>
      </font>
      <fill>
        <patternFill patternType="solid">
          <fgColor rgb="00E8E1F7"/>
          <bgColor rgb="00E8E1F7"/>
        </patternFill>
      </fill>
    </dxf>
    <dxf>
      <fill>
        <patternFill patternType="solid">
          <fgColor rgb="00F5F7FA"/>
          <bgColor rgb="00F5F7FA"/>
        </patternFill>
      </fill>
    </dxf>
    <dxf>
      <fill>
        <patternFill patternType="solid">
          <fgColor rgb="00FDF0F2"/>
          <bgColor rgb="00FDF0F2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  <dxf>
      <fill>
        <patternFill patternType="solid">
          <fgColor rgb="00F7F4FD"/>
          <bgColor rgb="00F7F4FD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  <dxf>
      <fill>
        <patternFill patternType="solid">
          <fgColor rgb="00F2F7FD"/>
          <bgColor rgb="00F2F7FD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  <dxf>
      <fill>
        <patternFill patternType="solid">
          <fgColor rgb="00FBFAFE"/>
          <bgColor rgb="00FBFAFE"/>
        </patternFill>
      </fill>
      <border>
        <left style="thin">
          <color rgb="00D9DEE7"/>
        </left>
        <right style="thin">
          <color rgb="00D9DEE7"/>
        </right>
        <top style="thin">
          <color rgb="00D9DEE7"/>
        </top>
        <bottom style="thin">
          <color rgb="00D9DEE7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B2:C2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0" customWidth="1" min="3" max="3"/>
  </cols>
  <sheetData>
    <row r="2" ht="40" customHeight="1">
      <c r="B2" s="1" t="inlineStr">
        <is>
          <t>Outside Counsel Rate &amp; Panel Tracker</t>
        </is>
      </c>
    </row>
    <row r="3">
      <c r="B3" s="2" t="inlineStr">
        <is>
          <t>Approved firms, hourly rates, AFAs, cyber status, and paused firms — in one place.</t>
        </is>
      </c>
    </row>
    <row r="5">
      <c r="B5" s="3" t="inlineStr">
        <is>
          <t>TABS</t>
        </is>
      </c>
    </row>
    <row r="6" ht="30" customHeight="1">
      <c r="B6" s="4">
        <f>HYPERLINK("#'Firm Search'!A1","Firm Search  ›")</f>
        <v/>
      </c>
      <c r="C6" s="5" t="inlineStr">
        <is>
          <t>Start here. Type a firm name → see its status, states, cyber status, notes, standard rates and every AFA rate.</t>
        </is>
      </c>
    </row>
    <row r="7" ht="30" customHeight="1">
      <c r="B7" s="6">
        <f>HYPERLINK("#'Firms'!A1","Firms  ›")</f>
        <v/>
      </c>
      <c r="C7" s="5" t="inlineStr">
        <is>
          <t>Master list. One row per firm: Status, Approved States, 8 standard rates, Cyber Status, pause info, Notes.</t>
        </is>
      </c>
    </row>
    <row r="8" ht="30" customHeight="1">
      <c r="B8" s="7">
        <f>HYPERLINK("#'AFA Rates'!A1","AFA Rates  ›")</f>
        <v/>
      </c>
      <c r="C8" s="5" t="inlineStr">
        <is>
          <t>One row per firm per AFA type, with the AFA rate for every role. Firm &amp; AFA type are dropdowns.</t>
        </is>
      </c>
    </row>
    <row r="9" ht="30" customHeight="1">
      <c r="B9" s="8">
        <f>HYPERLINK("#'Do Not Use'!A1","Do Not Use  ›")</f>
        <v/>
      </c>
      <c r="C9" s="5" t="inlineStr">
        <is>
          <t>Automatic list of every firm whose Status is “Paused”. Nothing to type here.</t>
        </is>
      </c>
    </row>
    <row r="10" ht="30" customHeight="1">
      <c r="B10" s="9">
        <f>HYPERLINK("#'Summary'!A1","Summary  ›")</f>
        <v/>
      </c>
      <c r="C10" s="5" t="inlineStr">
        <is>
          <t>Automatic reporting counts: total / active / paused firms, firms with AFAs, AFA types, cyber status.</t>
        </is>
      </c>
    </row>
    <row r="11" ht="30" customHeight="1">
      <c r="B11" s="10">
        <f>HYPERLINK("#'Lists'!A1","Lists  ›")</f>
        <v/>
      </c>
      <c r="C11" s="5" t="inlineStr">
        <is>
          <t>Edit dropdown options. Add new AFA types (or cyber statuses) in the next empty yellow cell.</t>
        </is>
      </c>
    </row>
    <row r="13">
      <c r="B13" s="3" t="inlineStr">
        <is>
          <t>HOW TO…</t>
        </is>
      </c>
    </row>
    <row r="14" ht="34" customHeight="1">
      <c r="B14" s="11" t="inlineStr">
        <is>
          <t>Add a firm</t>
        </is>
      </c>
      <c r="C14" s="5" t="inlineStr">
        <is>
          <t>Firms tab → type in the next empty row. Fill Status, States, rates, Cyber Status, Notes.</t>
        </is>
      </c>
    </row>
    <row r="15" ht="34" customHeight="1">
      <c r="B15" s="11" t="inlineStr">
        <is>
          <t>Add an AFA</t>
        </is>
      </c>
      <c r="C15" s="5" t="inlineStr">
        <is>
          <t>AFA Rates tab → next empty row → pick the Firm and AFA Type from the dropdowns → enter the AFA rates. The Firms tab flips “AFA on File?” to Yes automatically.</t>
        </is>
      </c>
    </row>
    <row r="16" ht="34" customHeight="1">
      <c r="B16" s="11" t="inlineStr">
        <is>
          <t>Add a new AFA type</t>
        </is>
      </c>
      <c r="C16" s="5" t="inlineStr">
        <is>
          <t>Lists tab → type it in the next empty yellow cell under AFA Types. It appears in every dropdown, the Search tab and the Summary right away.</t>
        </is>
      </c>
    </row>
    <row r="17" ht="34" customHeight="1">
      <c r="B17" s="11" t="inlineStr">
        <is>
          <t>Pause a firm</t>
        </is>
      </c>
      <c r="C17" s="5" t="inlineStr">
        <is>
          <t>Firms tab → change Status to “Paused” and (optional) add Date Paused + Pause Reason. It appears on Do Not Use, is struck through on Firms, and Search shows a red DO NOT USE banner.</t>
        </is>
      </c>
    </row>
    <row r="18" ht="34" customHeight="1">
      <c r="B18" s="11" t="inlineStr">
        <is>
          <t>Reinstate a firm</t>
        </is>
      </c>
      <c r="C18" s="5" t="inlineStr">
        <is>
          <t>Firms tab → change Status back to “Active”. It drops off Do Not Use automatically.</t>
        </is>
      </c>
    </row>
    <row r="19" ht="34" customHeight="1">
      <c r="B19" s="11" t="inlineStr">
        <is>
          <t>Remove sample data</t>
        </is>
      </c>
      <c r="C19" s="5" t="inlineStr">
        <is>
          <t>The 4 firms starting “Sample:” are examples only. Delete their rows on Firms and AFA Rates (select the cells → Delete key) before going live.</t>
        </is>
      </c>
    </row>
    <row r="21">
      <c r="B21" s="3" t="inlineStr">
        <is>
          <t>LEGEND</t>
        </is>
      </c>
    </row>
    <row r="22">
      <c r="B22" s="12" t="inlineStr">
        <is>
          <t>White cell</t>
        </is>
      </c>
      <c r="C22" s="13" t="inlineStr">
        <is>
          <t>You type here.</t>
        </is>
      </c>
    </row>
    <row r="23">
      <c r="B23" s="14" t="inlineStr">
        <is>
          <t>Gray cell / slate header</t>
        </is>
      </c>
      <c r="C23" s="13" t="inlineStr">
        <is>
          <t>Automatic formula — don’t type over it.</t>
        </is>
      </c>
    </row>
    <row r="24">
      <c r="B24" s="15" t="inlineStr">
        <is>
          <t>Yellow cell</t>
        </is>
      </c>
      <c r="C24" s="13" t="inlineStr">
        <is>
          <t>Editable dropdown options (Lists tab).</t>
        </is>
      </c>
    </row>
    <row r="25">
      <c r="B25" s="16" t="inlineStr">
        <is>
          <t>Red name</t>
        </is>
      </c>
      <c r="C25" s="13" t="inlineStr">
        <is>
          <t>Duplicate firm name, or duplicate firm + AFA type.</t>
        </is>
      </c>
    </row>
    <row r="27">
      <c r="B27" s="17" t="inlineStr">
        <is>
          <t>Capacity: 500 firms, 500 AFA rows, 30 AFA types. Rates are hourly, in USD.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B8F0"/>
    <outlinePr summaryBelow="1" summaryRight="1"/>
    <pageSetUpPr fitToPage="1"/>
  </sheetPr>
  <dimension ref="B2:M38"/>
  <sheetViews>
    <sheetView showGridLines="0" zoomScale="11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3" customWidth="1" min="11" max="11"/>
    <col hidden="1" width="6" customWidth="1" min="12" max="12"/>
    <col hidden="1" width="13" customWidth="1" min="13" max="13"/>
  </cols>
  <sheetData>
    <row r="1" ht="12" customHeight="1"/>
    <row r="2" ht="40" customHeight="1">
      <c r="B2" s="18" t="inlineStr">
        <is>
          <t>🔎  Firm Search</t>
        </is>
      </c>
      <c r="C2" s="19" t="n"/>
      <c r="D2" s="19" t="n"/>
      <c r="E2" s="19" t="n"/>
      <c r="F2" s="19" t="n"/>
      <c r="G2" s="19" t="n"/>
      <c r="H2" s="19" t="n"/>
      <c r="I2" s="19" t="n"/>
      <c r="J2" s="19" t="n"/>
    </row>
    <row r="3">
      <c r="B3" s="20" t="inlineStr">
        <is>
          <t>Type a firm name (or part of one) in the box below, or click the box and use the ▼ dropdown.</t>
        </is>
      </c>
      <c r="C3" s="19" t="n"/>
      <c r="D3" s="19" t="n"/>
      <c r="E3" s="19" t="n"/>
      <c r="F3" s="19" t="n"/>
      <c r="G3" s="19" t="n"/>
      <c r="H3" s="19" t="n"/>
      <c r="I3" s="19" t="n"/>
      <c r="J3" s="19" t="n"/>
    </row>
    <row r="5" ht="30" customHeight="1">
      <c r="B5" s="21" t="inlineStr">
        <is>
          <t>Search for a firm:</t>
        </is>
      </c>
      <c r="C5" s="22" t="inlineStr">
        <is>
          <t>Brookstone</t>
        </is>
      </c>
      <c r="D5" s="23" t="n"/>
      <c r="E5" s="23" t="n"/>
      <c r="F5" s="23" t="n"/>
      <c r="G5" s="24" t="n"/>
      <c r="H5" s="25" t="inlineStr">
        <is>
          <t>◄ type here</t>
        </is>
      </c>
    </row>
    <row r="7">
      <c r="B7" s="26" t="inlineStr">
        <is>
          <t>Showing results for:</t>
        </is>
      </c>
      <c r="C7" s="27">
        <f>IF($C$5="","",IFERROR(INDEX(Firms!$A$5:$A$504,MATCH($C$5,Firms!$A$5:$A$504,0)),IFERROR(INDEX(Firms!$A$5:$A$504,MATCH("*"&amp;$C$5&amp;"*",Firms!$A$5:$A$504,0)),"No matching firm found")))</f>
        <v/>
      </c>
      <c r="H7" s="28">
        <f>IF($C$5="","",IF(COUNTIF(Firms!$A$5:$A$504,"*"&amp;$C$5&amp;"*")&gt;1,COUNTIF(Firms!$A$5:$A$504,"*"&amp;$C$5&amp;"*")&amp;" firms match — showing the first. Be more specific or use ▼.",""))</f>
        <v/>
      </c>
      <c r="M7">
        <f>IFERROR(MATCH($C$7,Firms!$A$5:$A$504,0),"")</f>
        <v/>
      </c>
    </row>
    <row r="9" ht="30" customHeight="1">
      <c r="B9" s="29">
        <f>IF($M$7="",IF($C$5="","Enter a firm name above to see its details.","No firm matches that search — check spelling."),IF(INDEX(Firms!$B$5:$B$504,$M$7)="Paused","⛔  DO NOT USE — this firm is PAUSED"&amp;IF(INDEX(Firms!$P$5:$P$504,$M$7)&lt;&gt;"",": "&amp;INDEX(Firms!$P$5:$P$504,$M$7),""),"✓  ACTIVE — approved for use"))</f>
        <v/>
      </c>
      <c r="C9" s="30" t="n"/>
      <c r="D9" s="30" t="n"/>
      <c r="E9" s="30" t="n"/>
      <c r="F9" s="30" t="n"/>
      <c r="G9" s="30" t="n"/>
      <c r="H9" s="30" t="n"/>
      <c r="I9" s="30" t="n"/>
      <c r="J9" s="30" t="n"/>
    </row>
    <row r="11">
      <c r="B11" s="31" t="inlineStr">
        <is>
          <t>FIRM PROFILE</t>
        </is>
      </c>
      <c r="C11" s="32" t="n"/>
      <c r="D11" s="32" t="n"/>
      <c r="E11" s="32" t="n"/>
      <c r="F11" s="32" t="n"/>
      <c r="G11" s="32" t="n"/>
      <c r="H11" s="32" t="n"/>
      <c r="I11" s="32" t="n"/>
      <c r="J11" s="32" t="n"/>
    </row>
    <row r="12" ht="22" customHeight="1">
      <c r="B12" s="33" t="inlineStr">
        <is>
          <t>Status</t>
        </is>
      </c>
      <c r="C12" s="5">
        <f>IF($M$7="","",IF(INDEX(Firms!$B$5:$B$504,$M$7)="","—",INDEX(Firms!$B$5:$B$504,$M$7)))</f>
        <v/>
      </c>
      <c r="D12" s="34" t="n"/>
      <c r="E12" s="34" t="n"/>
      <c r="F12" s="34" t="n"/>
      <c r="G12" s="34" t="n"/>
      <c r="H12" s="34" t="n"/>
      <c r="I12" s="34" t="n"/>
      <c r="J12" s="34" t="n"/>
    </row>
    <row r="13" ht="22" customHeight="1">
      <c r="B13" s="33" t="inlineStr">
        <is>
          <t>Approved States</t>
        </is>
      </c>
      <c r="C13" s="5">
        <f>IF($M$7="","",IF(INDEX(Firms!$C$5:$C$504,$M$7)="","—",INDEX(Firms!$C$5:$C$504,$M$7)))</f>
        <v/>
      </c>
      <c r="D13" s="34" t="n"/>
      <c r="E13" s="34" t="n"/>
      <c r="F13" s="34" t="n"/>
      <c r="G13" s="34" t="n"/>
      <c r="H13" s="34" t="n"/>
      <c r="I13" s="34" t="n"/>
      <c r="J13" s="34" t="n"/>
    </row>
    <row r="14" ht="22" customHeight="1">
      <c r="B14" s="33" t="inlineStr">
        <is>
          <t>Cyber Status</t>
        </is>
      </c>
      <c r="C14" s="5">
        <f>IF($M$7="","",IF(INDEX(Firms!$L$5:$L$504,$M$7)="","—",INDEX(Firms!$L$5:$L$504,$M$7)))</f>
        <v/>
      </c>
      <c r="D14" s="34" t="n"/>
      <c r="E14" s="34" t="n"/>
      <c r="F14" s="34" t="n"/>
      <c r="G14" s="34" t="n"/>
      <c r="H14" s="34" t="n"/>
      <c r="I14" s="34" t="n"/>
      <c r="J14" s="34" t="n"/>
    </row>
    <row r="15" ht="22" customHeight="1">
      <c r="B15" s="33" t="inlineStr">
        <is>
          <t>AFA on File?</t>
        </is>
      </c>
      <c r="C15" s="5">
        <f>IF($M$7="","",INDEX(Firms!$M$5:$M$504,$M$7)&amp;IF(INDEX(Firms!$N$5:$N$504,$M$7)&gt;0," — "&amp;INDEX(Firms!$N$5:$N$504,$M$7)&amp;" AFA type(s)",""))</f>
        <v/>
      </c>
      <c r="D15" s="34" t="n"/>
      <c r="E15" s="34" t="n"/>
      <c r="F15" s="34" t="n"/>
      <c r="G15" s="34" t="n"/>
      <c r="H15" s="34" t="n"/>
      <c r="I15" s="34" t="n"/>
      <c r="J15" s="34" t="n"/>
    </row>
    <row r="16" ht="22" customHeight="1">
      <c r="B16" s="33" t="inlineStr">
        <is>
          <t>Date Paused</t>
        </is>
      </c>
      <c r="C16" s="35">
        <f>IF($M$7="","",IF(INDEX(Firms!$O$5:$O$504,$M$7)="","—",INDEX(Firms!$O$5:$O$504,$M$7)))</f>
        <v/>
      </c>
      <c r="D16" s="34" t="n"/>
      <c r="E16" s="34" t="n"/>
      <c r="F16" s="34" t="n"/>
      <c r="G16" s="34" t="n"/>
      <c r="H16" s="34" t="n"/>
      <c r="I16" s="34" t="n"/>
      <c r="J16" s="34" t="n"/>
    </row>
    <row r="17" ht="40" customHeight="1">
      <c r="B17" s="33" t="inlineStr">
        <is>
          <t>Notes</t>
        </is>
      </c>
      <c r="C17" s="5">
        <f>IF($M$7="","",IF(INDEX(Firms!$Q$5:$Q$504,$M$7)="","—",INDEX(Firms!$Q$5:$Q$504,$M$7)))</f>
        <v/>
      </c>
      <c r="D17" s="34" t="n"/>
      <c r="E17" s="34" t="n"/>
      <c r="F17" s="34" t="n"/>
      <c r="G17" s="34" t="n"/>
      <c r="H17" s="34" t="n"/>
      <c r="I17" s="34" t="n"/>
      <c r="J17" s="34" t="n"/>
    </row>
    <row r="19">
      <c r="B19" s="36" t="inlineStr">
        <is>
          <t>STANDARD HOURLY RATES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</row>
    <row r="20" ht="32" customHeight="1">
      <c r="B20" s="38" t="inlineStr">
        <is>
          <t>Rate Type</t>
        </is>
      </c>
      <c r="C20" s="38" t="inlineStr">
        <is>
          <t>Counsel</t>
        </is>
      </c>
      <c r="D20" s="38" t="inlineStr">
        <is>
          <t>Senior Partner</t>
        </is>
      </c>
      <c r="E20" s="38" t="inlineStr">
        <is>
          <t>Junior Partner</t>
        </is>
      </c>
      <c r="F20" s="38" t="inlineStr">
        <is>
          <t>Partner</t>
        </is>
      </c>
      <c r="G20" s="38" t="inlineStr">
        <is>
          <t>Senior Associate</t>
        </is>
      </c>
      <c r="H20" s="38" t="inlineStr">
        <is>
          <t>Junior Associate</t>
        </is>
      </c>
      <c r="I20" s="38" t="inlineStr">
        <is>
          <t>Associate</t>
        </is>
      </c>
      <c r="J20" s="38" t="inlineStr">
        <is>
          <t>Paralegal</t>
        </is>
      </c>
    </row>
    <row r="21" ht="24" customHeight="1">
      <c r="B21" s="39" t="inlineStr">
        <is>
          <t>Standard</t>
        </is>
      </c>
      <c r="C21" s="40">
        <f>IF($M$7="","",IF(INDEX(Firms!$D$5:$D$504,$M$7)="","—",INDEX(Firms!$D$5:$D$504,$M$7)))</f>
        <v/>
      </c>
      <c r="D21" s="40">
        <f>IF($M$7="","",IF(INDEX(Firms!$E$5:$E$504,$M$7)="","—",INDEX(Firms!$E$5:$E$504,$M$7)))</f>
        <v/>
      </c>
      <c r="E21" s="40">
        <f>IF($M$7="","",IF(INDEX(Firms!$F$5:$F$504,$M$7)="","—",INDEX(Firms!$F$5:$F$504,$M$7)))</f>
        <v/>
      </c>
      <c r="F21" s="40">
        <f>IF($M$7="","",IF(INDEX(Firms!$G$5:$G$504,$M$7)="","—",INDEX(Firms!$G$5:$G$504,$M$7)))</f>
        <v/>
      </c>
      <c r="G21" s="40">
        <f>IF($M$7="","",IF(INDEX(Firms!$H$5:$H$504,$M$7)="","—",INDEX(Firms!$H$5:$H$504,$M$7)))</f>
        <v/>
      </c>
      <c r="H21" s="40">
        <f>IF($M$7="","",IF(INDEX(Firms!$I$5:$I$504,$M$7)="","—",INDEX(Firms!$I$5:$I$504,$M$7)))</f>
        <v/>
      </c>
      <c r="I21" s="40">
        <f>IF($M$7="","",IF(INDEX(Firms!$J$5:$J$504,$M$7)="","—",INDEX(Firms!$J$5:$J$504,$M$7)))</f>
        <v/>
      </c>
      <c r="J21" s="40">
        <f>IF($M$7="","",IF(INDEX(Firms!$K$5:$K$504,$M$7)="","—",INDEX(Firms!$K$5:$K$504,$M$7)))</f>
        <v/>
      </c>
    </row>
    <row r="24">
      <c r="B24" s="41" t="inlineStr">
        <is>
          <t>AFA RATES (Alternative Fee Arrangements)</t>
        </is>
      </c>
      <c r="C24" s="42" t="n"/>
      <c r="D24" s="42" t="n"/>
      <c r="E24" s="42" t="n"/>
      <c r="F24" s="42" t="n"/>
      <c r="G24" s="42" t="n"/>
      <c r="H24" s="42" t="n"/>
      <c r="I24" s="42" t="n"/>
      <c r="J24" s="42" t="n"/>
    </row>
    <row r="25" ht="32" customHeight="1">
      <c r="B25" s="43" t="inlineStr">
        <is>
          <t>AFA Type</t>
        </is>
      </c>
      <c r="C25" s="43" t="inlineStr">
        <is>
          <t>Counsel</t>
        </is>
      </c>
      <c r="D25" s="43" t="inlineStr">
        <is>
          <t>Senior Partner</t>
        </is>
      </c>
      <c r="E25" s="43" t="inlineStr">
        <is>
          <t>Junior Partner</t>
        </is>
      </c>
      <c r="F25" s="43" t="inlineStr">
        <is>
          <t>Partner</t>
        </is>
      </c>
      <c r="G25" s="43" t="inlineStr">
        <is>
          <t>Senior Associate</t>
        </is>
      </c>
      <c r="H25" s="43" t="inlineStr">
        <is>
          <t>Junior Associate</t>
        </is>
      </c>
      <c r="I25" s="43" t="inlineStr">
        <is>
          <t>Associate</t>
        </is>
      </c>
      <c r="J25" s="43" t="inlineStr">
        <is>
          <t>Paralegal</t>
        </is>
      </c>
    </row>
    <row r="26">
      <c r="B26" s="44">
        <f>IFERROR(INDEX('AFA Rates'!$B$5:$B$504,MATCH($L26,'AFA Rates'!$N$5:$N$504,0))&amp;"","")</f>
        <v/>
      </c>
      <c r="C26" s="45">
        <f>IF($B26="","",IFERROR(IF(INDEX('AFA Rates'!$C$5:$C$504,MATCH($L26,'AFA Rates'!$N$5:$N$504,0))="","—",INDEX('AFA Rates'!$C$5:$C$504,MATCH($L26,'AFA Rates'!$N$5:$N$504,0))),""))</f>
        <v/>
      </c>
      <c r="D26" s="45">
        <f>IF($B26="","",IFERROR(IF(INDEX('AFA Rates'!$D$5:$D$504,MATCH($L26,'AFA Rates'!$N$5:$N$504,0))="","—",INDEX('AFA Rates'!$D$5:$D$504,MATCH($L26,'AFA Rates'!$N$5:$N$504,0))),""))</f>
        <v/>
      </c>
      <c r="E26" s="45">
        <f>IF($B26="","",IFERROR(IF(INDEX('AFA Rates'!$E$5:$E$504,MATCH($L26,'AFA Rates'!$N$5:$N$504,0))="","—",INDEX('AFA Rates'!$E$5:$E$504,MATCH($L26,'AFA Rates'!$N$5:$N$504,0))),""))</f>
        <v/>
      </c>
      <c r="F26" s="45">
        <f>IF($B26="","",IFERROR(IF(INDEX('AFA Rates'!$F$5:$F$504,MATCH($L26,'AFA Rates'!$N$5:$N$504,0))="","—",INDEX('AFA Rates'!$F$5:$F$504,MATCH($L26,'AFA Rates'!$N$5:$N$504,0))),""))</f>
        <v/>
      </c>
      <c r="G26" s="45">
        <f>IF($B26="","",IFERROR(IF(INDEX('AFA Rates'!$G$5:$G$504,MATCH($L26,'AFA Rates'!$N$5:$N$504,0))="","—",INDEX('AFA Rates'!$G$5:$G$504,MATCH($L26,'AFA Rates'!$N$5:$N$504,0))),""))</f>
        <v/>
      </c>
      <c r="H26" s="45">
        <f>IF($B26="","",IFERROR(IF(INDEX('AFA Rates'!$H$5:$H$504,MATCH($L26,'AFA Rates'!$N$5:$N$504,0))="","—",INDEX('AFA Rates'!$H$5:$H$504,MATCH($L26,'AFA Rates'!$N$5:$N$504,0))),""))</f>
        <v/>
      </c>
      <c r="I26" s="45">
        <f>IF($B26="","",IFERROR(IF(INDEX('AFA Rates'!$I$5:$I$504,MATCH($L26,'AFA Rates'!$N$5:$N$504,0))="","—",INDEX('AFA Rates'!$I$5:$I$504,MATCH($L26,'AFA Rates'!$N$5:$N$504,0))),""))</f>
        <v/>
      </c>
      <c r="J26" s="45">
        <f>IF($B26="","",IFERROR(IF(INDEX('AFA Rates'!$J$5:$J$504,MATCH($L26,'AFA Rates'!$N$5:$N$504,0))="","—",INDEX('AFA Rates'!$J$5:$J$504,MATCH($L26,'AFA Rates'!$N$5:$N$504,0))),""))</f>
        <v/>
      </c>
      <c r="L26" t="n">
        <v>1</v>
      </c>
    </row>
    <row r="27">
      <c r="B27" s="44">
        <f>IFERROR(INDEX('AFA Rates'!$B$5:$B$504,MATCH($L27,'AFA Rates'!$N$5:$N$504,0))&amp;"","")</f>
        <v/>
      </c>
      <c r="C27" s="45">
        <f>IF($B27="","",IFERROR(IF(INDEX('AFA Rates'!$C$5:$C$504,MATCH($L27,'AFA Rates'!$N$5:$N$504,0))="","—",INDEX('AFA Rates'!$C$5:$C$504,MATCH($L27,'AFA Rates'!$N$5:$N$504,0))),""))</f>
        <v/>
      </c>
      <c r="D27" s="45">
        <f>IF($B27="","",IFERROR(IF(INDEX('AFA Rates'!$D$5:$D$504,MATCH($L27,'AFA Rates'!$N$5:$N$504,0))="","—",INDEX('AFA Rates'!$D$5:$D$504,MATCH($L27,'AFA Rates'!$N$5:$N$504,0))),""))</f>
        <v/>
      </c>
      <c r="E27" s="45">
        <f>IF($B27="","",IFERROR(IF(INDEX('AFA Rates'!$E$5:$E$504,MATCH($L27,'AFA Rates'!$N$5:$N$504,0))="","—",INDEX('AFA Rates'!$E$5:$E$504,MATCH($L27,'AFA Rates'!$N$5:$N$504,0))),""))</f>
        <v/>
      </c>
      <c r="F27" s="45">
        <f>IF($B27="","",IFERROR(IF(INDEX('AFA Rates'!$F$5:$F$504,MATCH($L27,'AFA Rates'!$N$5:$N$504,0))="","—",INDEX('AFA Rates'!$F$5:$F$504,MATCH($L27,'AFA Rates'!$N$5:$N$504,0))),""))</f>
        <v/>
      </c>
      <c r="G27" s="45">
        <f>IF($B27="","",IFERROR(IF(INDEX('AFA Rates'!$G$5:$G$504,MATCH($L27,'AFA Rates'!$N$5:$N$504,0))="","—",INDEX('AFA Rates'!$G$5:$G$504,MATCH($L27,'AFA Rates'!$N$5:$N$504,0))),""))</f>
        <v/>
      </c>
      <c r="H27" s="45">
        <f>IF($B27="","",IFERROR(IF(INDEX('AFA Rates'!$H$5:$H$504,MATCH($L27,'AFA Rates'!$N$5:$N$504,0))="","—",INDEX('AFA Rates'!$H$5:$H$504,MATCH($L27,'AFA Rates'!$N$5:$N$504,0))),""))</f>
        <v/>
      </c>
      <c r="I27" s="45">
        <f>IF($B27="","",IFERROR(IF(INDEX('AFA Rates'!$I$5:$I$504,MATCH($L27,'AFA Rates'!$N$5:$N$504,0))="","—",INDEX('AFA Rates'!$I$5:$I$504,MATCH($L27,'AFA Rates'!$N$5:$N$504,0))),""))</f>
        <v/>
      </c>
      <c r="J27" s="45">
        <f>IF($B27="","",IFERROR(IF(INDEX('AFA Rates'!$J$5:$J$504,MATCH($L27,'AFA Rates'!$N$5:$N$504,0))="","—",INDEX('AFA Rates'!$J$5:$J$504,MATCH($L27,'AFA Rates'!$N$5:$N$504,0))),""))</f>
        <v/>
      </c>
      <c r="L27" t="n">
        <v>2</v>
      </c>
    </row>
    <row r="28">
      <c r="B28" s="44">
        <f>IFERROR(INDEX('AFA Rates'!$B$5:$B$504,MATCH($L28,'AFA Rates'!$N$5:$N$504,0))&amp;"","")</f>
        <v/>
      </c>
      <c r="C28" s="45">
        <f>IF($B28="","",IFERROR(IF(INDEX('AFA Rates'!$C$5:$C$504,MATCH($L28,'AFA Rates'!$N$5:$N$504,0))="","—",INDEX('AFA Rates'!$C$5:$C$504,MATCH($L28,'AFA Rates'!$N$5:$N$504,0))),""))</f>
        <v/>
      </c>
      <c r="D28" s="45">
        <f>IF($B28="","",IFERROR(IF(INDEX('AFA Rates'!$D$5:$D$504,MATCH($L28,'AFA Rates'!$N$5:$N$504,0))="","—",INDEX('AFA Rates'!$D$5:$D$504,MATCH($L28,'AFA Rates'!$N$5:$N$504,0))),""))</f>
        <v/>
      </c>
      <c r="E28" s="45">
        <f>IF($B28="","",IFERROR(IF(INDEX('AFA Rates'!$E$5:$E$504,MATCH($L28,'AFA Rates'!$N$5:$N$504,0))="","—",INDEX('AFA Rates'!$E$5:$E$504,MATCH($L28,'AFA Rates'!$N$5:$N$504,0))),""))</f>
        <v/>
      </c>
      <c r="F28" s="45">
        <f>IF($B28="","",IFERROR(IF(INDEX('AFA Rates'!$F$5:$F$504,MATCH($L28,'AFA Rates'!$N$5:$N$504,0))="","—",INDEX('AFA Rates'!$F$5:$F$504,MATCH($L28,'AFA Rates'!$N$5:$N$504,0))),""))</f>
        <v/>
      </c>
      <c r="G28" s="45">
        <f>IF($B28="","",IFERROR(IF(INDEX('AFA Rates'!$G$5:$G$504,MATCH($L28,'AFA Rates'!$N$5:$N$504,0))="","—",INDEX('AFA Rates'!$G$5:$G$504,MATCH($L28,'AFA Rates'!$N$5:$N$504,0))),""))</f>
        <v/>
      </c>
      <c r="H28" s="45">
        <f>IF($B28="","",IFERROR(IF(INDEX('AFA Rates'!$H$5:$H$504,MATCH($L28,'AFA Rates'!$N$5:$N$504,0))="","—",INDEX('AFA Rates'!$H$5:$H$504,MATCH($L28,'AFA Rates'!$N$5:$N$504,0))),""))</f>
        <v/>
      </c>
      <c r="I28" s="45">
        <f>IF($B28="","",IFERROR(IF(INDEX('AFA Rates'!$I$5:$I$504,MATCH($L28,'AFA Rates'!$N$5:$N$504,0))="","—",INDEX('AFA Rates'!$I$5:$I$504,MATCH($L28,'AFA Rates'!$N$5:$N$504,0))),""))</f>
        <v/>
      </c>
      <c r="J28" s="45">
        <f>IF($B28="","",IFERROR(IF(INDEX('AFA Rates'!$J$5:$J$504,MATCH($L28,'AFA Rates'!$N$5:$N$504,0))="","—",INDEX('AFA Rates'!$J$5:$J$504,MATCH($L28,'AFA Rates'!$N$5:$N$504,0))),""))</f>
        <v/>
      </c>
      <c r="L28" t="n">
        <v>3</v>
      </c>
    </row>
    <row r="29">
      <c r="B29" s="44">
        <f>IFERROR(INDEX('AFA Rates'!$B$5:$B$504,MATCH($L29,'AFA Rates'!$N$5:$N$504,0))&amp;"","")</f>
        <v/>
      </c>
      <c r="C29" s="45">
        <f>IF($B29="","",IFERROR(IF(INDEX('AFA Rates'!$C$5:$C$504,MATCH($L29,'AFA Rates'!$N$5:$N$504,0))="","—",INDEX('AFA Rates'!$C$5:$C$504,MATCH($L29,'AFA Rates'!$N$5:$N$504,0))),""))</f>
        <v/>
      </c>
      <c r="D29" s="45">
        <f>IF($B29="","",IFERROR(IF(INDEX('AFA Rates'!$D$5:$D$504,MATCH($L29,'AFA Rates'!$N$5:$N$504,0))="","—",INDEX('AFA Rates'!$D$5:$D$504,MATCH($L29,'AFA Rates'!$N$5:$N$504,0))),""))</f>
        <v/>
      </c>
      <c r="E29" s="45">
        <f>IF($B29="","",IFERROR(IF(INDEX('AFA Rates'!$E$5:$E$504,MATCH($L29,'AFA Rates'!$N$5:$N$504,0))="","—",INDEX('AFA Rates'!$E$5:$E$504,MATCH($L29,'AFA Rates'!$N$5:$N$504,0))),""))</f>
        <v/>
      </c>
      <c r="F29" s="45">
        <f>IF($B29="","",IFERROR(IF(INDEX('AFA Rates'!$F$5:$F$504,MATCH($L29,'AFA Rates'!$N$5:$N$504,0))="","—",INDEX('AFA Rates'!$F$5:$F$504,MATCH($L29,'AFA Rates'!$N$5:$N$504,0))),""))</f>
        <v/>
      </c>
      <c r="G29" s="45">
        <f>IF($B29="","",IFERROR(IF(INDEX('AFA Rates'!$G$5:$G$504,MATCH($L29,'AFA Rates'!$N$5:$N$504,0))="","—",INDEX('AFA Rates'!$G$5:$G$504,MATCH($L29,'AFA Rates'!$N$5:$N$504,0))),""))</f>
        <v/>
      </c>
      <c r="H29" s="45">
        <f>IF($B29="","",IFERROR(IF(INDEX('AFA Rates'!$H$5:$H$504,MATCH($L29,'AFA Rates'!$N$5:$N$504,0))="","—",INDEX('AFA Rates'!$H$5:$H$504,MATCH($L29,'AFA Rates'!$N$5:$N$504,0))),""))</f>
        <v/>
      </c>
      <c r="I29" s="45">
        <f>IF($B29="","",IFERROR(IF(INDEX('AFA Rates'!$I$5:$I$504,MATCH($L29,'AFA Rates'!$N$5:$N$504,0))="","—",INDEX('AFA Rates'!$I$5:$I$504,MATCH($L29,'AFA Rates'!$N$5:$N$504,0))),""))</f>
        <v/>
      </c>
      <c r="J29" s="45">
        <f>IF($B29="","",IFERROR(IF(INDEX('AFA Rates'!$J$5:$J$504,MATCH($L29,'AFA Rates'!$N$5:$N$504,0))="","—",INDEX('AFA Rates'!$J$5:$J$504,MATCH($L29,'AFA Rates'!$N$5:$N$504,0))),""))</f>
        <v/>
      </c>
      <c r="L29" t="n">
        <v>4</v>
      </c>
    </row>
    <row r="30">
      <c r="B30" s="44">
        <f>IFERROR(INDEX('AFA Rates'!$B$5:$B$504,MATCH($L30,'AFA Rates'!$N$5:$N$504,0))&amp;"","")</f>
        <v/>
      </c>
      <c r="C30" s="45">
        <f>IF($B30="","",IFERROR(IF(INDEX('AFA Rates'!$C$5:$C$504,MATCH($L30,'AFA Rates'!$N$5:$N$504,0))="","—",INDEX('AFA Rates'!$C$5:$C$504,MATCH($L30,'AFA Rates'!$N$5:$N$504,0))),""))</f>
        <v/>
      </c>
      <c r="D30" s="45">
        <f>IF($B30="","",IFERROR(IF(INDEX('AFA Rates'!$D$5:$D$504,MATCH($L30,'AFA Rates'!$N$5:$N$504,0))="","—",INDEX('AFA Rates'!$D$5:$D$504,MATCH($L30,'AFA Rates'!$N$5:$N$504,0))),""))</f>
        <v/>
      </c>
      <c r="E30" s="45">
        <f>IF($B30="","",IFERROR(IF(INDEX('AFA Rates'!$E$5:$E$504,MATCH($L30,'AFA Rates'!$N$5:$N$504,0))="","—",INDEX('AFA Rates'!$E$5:$E$504,MATCH($L30,'AFA Rates'!$N$5:$N$504,0))),""))</f>
        <v/>
      </c>
      <c r="F30" s="45">
        <f>IF($B30="","",IFERROR(IF(INDEX('AFA Rates'!$F$5:$F$504,MATCH($L30,'AFA Rates'!$N$5:$N$504,0))="","—",INDEX('AFA Rates'!$F$5:$F$504,MATCH($L30,'AFA Rates'!$N$5:$N$504,0))),""))</f>
        <v/>
      </c>
      <c r="G30" s="45">
        <f>IF($B30="","",IFERROR(IF(INDEX('AFA Rates'!$G$5:$G$504,MATCH($L30,'AFA Rates'!$N$5:$N$504,0))="","—",INDEX('AFA Rates'!$G$5:$G$504,MATCH($L30,'AFA Rates'!$N$5:$N$504,0))),""))</f>
        <v/>
      </c>
      <c r="H30" s="45">
        <f>IF($B30="","",IFERROR(IF(INDEX('AFA Rates'!$H$5:$H$504,MATCH($L30,'AFA Rates'!$N$5:$N$504,0))="","—",INDEX('AFA Rates'!$H$5:$H$504,MATCH($L30,'AFA Rates'!$N$5:$N$504,0))),""))</f>
        <v/>
      </c>
      <c r="I30" s="45">
        <f>IF($B30="","",IFERROR(IF(INDEX('AFA Rates'!$I$5:$I$504,MATCH($L30,'AFA Rates'!$N$5:$N$504,0))="","—",INDEX('AFA Rates'!$I$5:$I$504,MATCH($L30,'AFA Rates'!$N$5:$N$504,0))),""))</f>
        <v/>
      </c>
      <c r="J30" s="45">
        <f>IF($B30="","",IFERROR(IF(INDEX('AFA Rates'!$J$5:$J$504,MATCH($L30,'AFA Rates'!$N$5:$N$504,0))="","—",INDEX('AFA Rates'!$J$5:$J$504,MATCH($L30,'AFA Rates'!$N$5:$N$504,0))),""))</f>
        <v/>
      </c>
      <c r="L30" t="n">
        <v>5</v>
      </c>
    </row>
    <row r="31">
      <c r="B31" s="44">
        <f>IFERROR(INDEX('AFA Rates'!$B$5:$B$504,MATCH($L31,'AFA Rates'!$N$5:$N$504,0))&amp;"","")</f>
        <v/>
      </c>
      <c r="C31" s="45">
        <f>IF($B31="","",IFERROR(IF(INDEX('AFA Rates'!$C$5:$C$504,MATCH($L31,'AFA Rates'!$N$5:$N$504,0))="","—",INDEX('AFA Rates'!$C$5:$C$504,MATCH($L31,'AFA Rates'!$N$5:$N$504,0))),""))</f>
        <v/>
      </c>
      <c r="D31" s="45">
        <f>IF($B31="","",IFERROR(IF(INDEX('AFA Rates'!$D$5:$D$504,MATCH($L31,'AFA Rates'!$N$5:$N$504,0))="","—",INDEX('AFA Rates'!$D$5:$D$504,MATCH($L31,'AFA Rates'!$N$5:$N$504,0))),""))</f>
        <v/>
      </c>
      <c r="E31" s="45">
        <f>IF($B31="","",IFERROR(IF(INDEX('AFA Rates'!$E$5:$E$504,MATCH($L31,'AFA Rates'!$N$5:$N$504,0))="","—",INDEX('AFA Rates'!$E$5:$E$504,MATCH($L31,'AFA Rates'!$N$5:$N$504,0))),""))</f>
        <v/>
      </c>
      <c r="F31" s="45">
        <f>IF($B31="","",IFERROR(IF(INDEX('AFA Rates'!$F$5:$F$504,MATCH($L31,'AFA Rates'!$N$5:$N$504,0))="","—",INDEX('AFA Rates'!$F$5:$F$504,MATCH($L31,'AFA Rates'!$N$5:$N$504,0))),""))</f>
        <v/>
      </c>
      <c r="G31" s="45">
        <f>IF($B31="","",IFERROR(IF(INDEX('AFA Rates'!$G$5:$G$504,MATCH($L31,'AFA Rates'!$N$5:$N$504,0))="","—",INDEX('AFA Rates'!$G$5:$G$504,MATCH($L31,'AFA Rates'!$N$5:$N$504,0))),""))</f>
        <v/>
      </c>
      <c r="H31" s="45">
        <f>IF($B31="","",IFERROR(IF(INDEX('AFA Rates'!$H$5:$H$504,MATCH($L31,'AFA Rates'!$N$5:$N$504,0))="","—",INDEX('AFA Rates'!$H$5:$H$504,MATCH($L31,'AFA Rates'!$N$5:$N$504,0))),""))</f>
        <v/>
      </c>
      <c r="I31" s="45">
        <f>IF($B31="","",IFERROR(IF(INDEX('AFA Rates'!$I$5:$I$504,MATCH($L31,'AFA Rates'!$N$5:$N$504,0))="","—",INDEX('AFA Rates'!$I$5:$I$504,MATCH($L31,'AFA Rates'!$N$5:$N$504,0))),""))</f>
        <v/>
      </c>
      <c r="J31" s="45">
        <f>IF($B31="","",IFERROR(IF(INDEX('AFA Rates'!$J$5:$J$504,MATCH($L31,'AFA Rates'!$N$5:$N$504,0))="","—",INDEX('AFA Rates'!$J$5:$J$504,MATCH($L31,'AFA Rates'!$N$5:$N$504,0))),""))</f>
        <v/>
      </c>
      <c r="L31" t="n">
        <v>6</v>
      </c>
    </row>
    <row r="32">
      <c r="B32" s="44">
        <f>IFERROR(INDEX('AFA Rates'!$B$5:$B$504,MATCH($L32,'AFA Rates'!$N$5:$N$504,0))&amp;"","")</f>
        <v/>
      </c>
      <c r="C32" s="45">
        <f>IF($B32="","",IFERROR(IF(INDEX('AFA Rates'!$C$5:$C$504,MATCH($L32,'AFA Rates'!$N$5:$N$504,0))="","—",INDEX('AFA Rates'!$C$5:$C$504,MATCH($L32,'AFA Rates'!$N$5:$N$504,0))),""))</f>
        <v/>
      </c>
      <c r="D32" s="45">
        <f>IF($B32="","",IFERROR(IF(INDEX('AFA Rates'!$D$5:$D$504,MATCH($L32,'AFA Rates'!$N$5:$N$504,0))="","—",INDEX('AFA Rates'!$D$5:$D$504,MATCH($L32,'AFA Rates'!$N$5:$N$504,0))),""))</f>
        <v/>
      </c>
      <c r="E32" s="45">
        <f>IF($B32="","",IFERROR(IF(INDEX('AFA Rates'!$E$5:$E$504,MATCH($L32,'AFA Rates'!$N$5:$N$504,0))="","—",INDEX('AFA Rates'!$E$5:$E$504,MATCH($L32,'AFA Rates'!$N$5:$N$504,0))),""))</f>
        <v/>
      </c>
      <c r="F32" s="45">
        <f>IF($B32="","",IFERROR(IF(INDEX('AFA Rates'!$F$5:$F$504,MATCH($L32,'AFA Rates'!$N$5:$N$504,0))="","—",INDEX('AFA Rates'!$F$5:$F$504,MATCH($L32,'AFA Rates'!$N$5:$N$504,0))),""))</f>
        <v/>
      </c>
      <c r="G32" s="45">
        <f>IF($B32="","",IFERROR(IF(INDEX('AFA Rates'!$G$5:$G$504,MATCH($L32,'AFA Rates'!$N$5:$N$504,0))="","—",INDEX('AFA Rates'!$G$5:$G$504,MATCH($L32,'AFA Rates'!$N$5:$N$504,0))),""))</f>
        <v/>
      </c>
      <c r="H32" s="45">
        <f>IF($B32="","",IFERROR(IF(INDEX('AFA Rates'!$H$5:$H$504,MATCH($L32,'AFA Rates'!$N$5:$N$504,0))="","—",INDEX('AFA Rates'!$H$5:$H$504,MATCH($L32,'AFA Rates'!$N$5:$N$504,0))),""))</f>
        <v/>
      </c>
      <c r="I32" s="45">
        <f>IF($B32="","",IFERROR(IF(INDEX('AFA Rates'!$I$5:$I$504,MATCH($L32,'AFA Rates'!$N$5:$N$504,0))="","—",INDEX('AFA Rates'!$I$5:$I$504,MATCH($L32,'AFA Rates'!$N$5:$N$504,0))),""))</f>
        <v/>
      </c>
      <c r="J32" s="45">
        <f>IF($B32="","",IFERROR(IF(INDEX('AFA Rates'!$J$5:$J$504,MATCH($L32,'AFA Rates'!$N$5:$N$504,0))="","—",INDEX('AFA Rates'!$J$5:$J$504,MATCH($L32,'AFA Rates'!$N$5:$N$504,0))),""))</f>
        <v/>
      </c>
      <c r="L32" t="n">
        <v>7</v>
      </c>
    </row>
    <row r="33">
      <c r="B33" s="44">
        <f>IFERROR(INDEX('AFA Rates'!$B$5:$B$504,MATCH($L33,'AFA Rates'!$N$5:$N$504,0))&amp;"","")</f>
        <v/>
      </c>
      <c r="C33" s="45">
        <f>IF($B33="","",IFERROR(IF(INDEX('AFA Rates'!$C$5:$C$504,MATCH($L33,'AFA Rates'!$N$5:$N$504,0))="","—",INDEX('AFA Rates'!$C$5:$C$504,MATCH($L33,'AFA Rates'!$N$5:$N$504,0))),""))</f>
        <v/>
      </c>
      <c r="D33" s="45">
        <f>IF($B33="","",IFERROR(IF(INDEX('AFA Rates'!$D$5:$D$504,MATCH($L33,'AFA Rates'!$N$5:$N$504,0))="","—",INDEX('AFA Rates'!$D$5:$D$504,MATCH($L33,'AFA Rates'!$N$5:$N$504,0))),""))</f>
        <v/>
      </c>
      <c r="E33" s="45">
        <f>IF($B33="","",IFERROR(IF(INDEX('AFA Rates'!$E$5:$E$504,MATCH($L33,'AFA Rates'!$N$5:$N$504,0))="","—",INDEX('AFA Rates'!$E$5:$E$504,MATCH($L33,'AFA Rates'!$N$5:$N$504,0))),""))</f>
        <v/>
      </c>
      <c r="F33" s="45">
        <f>IF($B33="","",IFERROR(IF(INDEX('AFA Rates'!$F$5:$F$504,MATCH($L33,'AFA Rates'!$N$5:$N$504,0))="","—",INDEX('AFA Rates'!$F$5:$F$504,MATCH($L33,'AFA Rates'!$N$5:$N$504,0))),""))</f>
        <v/>
      </c>
      <c r="G33" s="45">
        <f>IF($B33="","",IFERROR(IF(INDEX('AFA Rates'!$G$5:$G$504,MATCH($L33,'AFA Rates'!$N$5:$N$504,0))="","—",INDEX('AFA Rates'!$G$5:$G$504,MATCH($L33,'AFA Rates'!$N$5:$N$504,0))),""))</f>
        <v/>
      </c>
      <c r="H33" s="45">
        <f>IF($B33="","",IFERROR(IF(INDEX('AFA Rates'!$H$5:$H$504,MATCH($L33,'AFA Rates'!$N$5:$N$504,0))="","—",INDEX('AFA Rates'!$H$5:$H$504,MATCH($L33,'AFA Rates'!$N$5:$N$504,0))),""))</f>
        <v/>
      </c>
      <c r="I33" s="45">
        <f>IF($B33="","",IFERROR(IF(INDEX('AFA Rates'!$I$5:$I$504,MATCH($L33,'AFA Rates'!$N$5:$N$504,0))="","—",INDEX('AFA Rates'!$I$5:$I$504,MATCH($L33,'AFA Rates'!$N$5:$N$504,0))),""))</f>
        <v/>
      </c>
      <c r="J33" s="45">
        <f>IF($B33="","",IFERROR(IF(INDEX('AFA Rates'!$J$5:$J$504,MATCH($L33,'AFA Rates'!$N$5:$N$504,0))="","—",INDEX('AFA Rates'!$J$5:$J$504,MATCH($L33,'AFA Rates'!$N$5:$N$504,0))),""))</f>
        <v/>
      </c>
      <c r="L33" t="n">
        <v>8</v>
      </c>
    </row>
    <row r="34">
      <c r="B34" s="44">
        <f>IFERROR(INDEX('AFA Rates'!$B$5:$B$504,MATCH($L34,'AFA Rates'!$N$5:$N$504,0))&amp;"","")</f>
        <v/>
      </c>
      <c r="C34" s="45">
        <f>IF($B34="","",IFERROR(IF(INDEX('AFA Rates'!$C$5:$C$504,MATCH($L34,'AFA Rates'!$N$5:$N$504,0))="","—",INDEX('AFA Rates'!$C$5:$C$504,MATCH($L34,'AFA Rates'!$N$5:$N$504,0))),""))</f>
        <v/>
      </c>
      <c r="D34" s="45">
        <f>IF($B34="","",IFERROR(IF(INDEX('AFA Rates'!$D$5:$D$504,MATCH($L34,'AFA Rates'!$N$5:$N$504,0))="","—",INDEX('AFA Rates'!$D$5:$D$504,MATCH($L34,'AFA Rates'!$N$5:$N$504,0))),""))</f>
        <v/>
      </c>
      <c r="E34" s="45">
        <f>IF($B34="","",IFERROR(IF(INDEX('AFA Rates'!$E$5:$E$504,MATCH($L34,'AFA Rates'!$N$5:$N$504,0))="","—",INDEX('AFA Rates'!$E$5:$E$504,MATCH($L34,'AFA Rates'!$N$5:$N$504,0))),""))</f>
        <v/>
      </c>
      <c r="F34" s="45">
        <f>IF($B34="","",IFERROR(IF(INDEX('AFA Rates'!$F$5:$F$504,MATCH($L34,'AFA Rates'!$N$5:$N$504,0))="","—",INDEX('AFA Rates'!$F$5:$F$504,MATCH($L34,'AFA Rates'!$N$5:$N$504,0))),""))</f>
        <v/>
      </c>
      <c r="G34" s="45">
        <f>IF($B34="","",IFERROR(IF(INDEX('AFA Rates'!$G$5:$G$504,MATCH($L34,'AFA Rates'!$N$5:$N$504,0))="","—",INDEX('AFA Rates'!$G$5:$G$504,MATCH($L34,'AFA Rates'!$N$5:$N$504,0))),""))</f>
        <v/>
      </c>
      <c r="H34" s="45">
        <f>IF($B34="","",IFERROR(IF(INDEX('AFA Rates'!$H$5:$H$504,MATCH($L34,'AFA Rates'!$N$5:$N$504,0))="","—",INDEX('AFA Rates'!$H$5:$H$504,MATCH($L34,'AFA Rates'!$N$5:$N$504,0))),""))</f>
        <v/>
      </c>
      <c r="I34" s="45">
        <f>IF($B34="","",IFERROR(IF(INDEX('AFA Rates'!$I$5:$I$504,MATCH($L34,'AFA Rates'!$N$5:$N$504,0))="","—",INDEX('AFA Rates'!$I$5:$I$504,MATCH($L34,'AFA Rates'!$N$5:$N$504,0))),""))</f>
        <v/>
      </c>
      <c r="J34" s="45">
        <f>IF($B34="","",IFERROR(IF(INDEX('AFA Rates'!$J$5:$J$504,MATCH($L34,'AFA Rates'!$N$5:$N$504,0))="","—",INDEX('AFA Rates'!$J$5:$J$504,MATCH($L34,'AFA Rates'!$N$5:$N$504,0))),""))</f>
        <v/>
      </c>
      <c r="L34" t="n">
        <v>9</v>
      </c>
    </row>
    <row r="35">
      <c r="B35" s="44">
        <f>IFERROR(INDEX('AFA Rates'!$B$5:$B$504,MATCH($L35,'AFA Rates'!$N$5:$N$504,0))&amp;"","")</f>
        <v/>
      </c>
      <c r="C35" s="45">
        <f>IF($B35="","",IFERROR(IF(INDEX('AFA Rates'!$C$5:$C$504,MATCH($L35,'AFA Rates'!$N$5:$N$504,0))="","—",INDEX('AFA Rates'!$C$5:$C$504,MATCH($L35,'AFA Rates'!$N$5:$N$504,0))),""))</f>
        <v/>
      </c>
      <c r="D35" s="45">
        <f>IF($B35="","",IFERROR(IF(INDEX('AFA Rates'!$D$5:$D$504,MATCH($L35,'AFA Rates'!$N$5:$N$504,0))="","—",INDEX('AFA Rates'!$D$5:$D$504,MATCH($L35,'AFA Rates'!$N$5:$N$504,0))),""))</f>
        <v/>
      </c>
      <c r="E35" s="45">
        <f>IF($B35="","",IFERROR(IF(INDEX('AFA Rates'!$E$5:$E$504,MATCH($L35,'AFA Rates'!$N$5:$N$504,0))="","—",INDEX('AFA Rates'!$E$5:$E$504,MATCH($L35,'AFA Rates'!$N$5:$N$504,0))),""))</f>
        <v/>
      </c>
      <c r="F35" s="45">
        <f>IF($B35="","",IFERROR(IF(INDEX('AFA Rates'!$F$5:$F$504,MATCH($L35,'AFA Rates'!$N$5:$N$504,0))="","—",INDEX('AFA Rates'!$F$5:$F$504,MATCH($L35,'AFA Rates'!$N$5:$N$504,0))),""))</f>
        <v/>
      </c>
      <c r="G35" s="45">
        <f>IF($B35="","",IFERROR(IF(INDEX('AFA Rates'!$G$5:$G$504,MATCH($L35,'AFA Rates'!$N$5:$N$504,0))="","—",INDEX('AFA Rates'!$G$5:$G$504,MATCH($L35,'AFA Rates'!$N$5:$N$504,0))),""))</f>
        <v/>
      </c>
      <c r="H35" s="45">
        <f>IF($B35="","",IFERROR(IF(INDEX('AFA Rates'!$H$5:$H$504,MATCH($L35,'AFA Rates'!$N$5:$N$504,0))="","—",INDEX('AFA Rates'!$H$5:$H$504,MATCH($L35,'AFA Rates'!$N$5:$N$504,0))),""))</f>
        <v/>
      </c>
      <c r="I35" s="45">
        <f>IF($B35="","",IFERROR(IF(INDEX('AFA Rates'!$I$5:$I$504,MATCH($L35,'AFA Rates'!$N$5:$N$504,0))="","—",INDEX('AFA Rates'!$I$5:$I$504,MATCH($L35,'AFA Rates'!$N$5:$N$504,0))),""))</f>
        <v/>
      </c>
      <c r="J35" s="45">
        <f>IF($B35="","",IFERROR(IF(INDEX('AFA Rates'!$J$5:$J$504,MATCH($L35,'AFA Rates'!$N$5:$N$504,0))="","—",INDEX('AFA Rates'!$J$5:$J$504,MATCH($L35,'AFA Rates'!$N$5:$N$504,0))),""))</f>
        <v/>
      </c>
      <c r="L35" t="n">
        <v>10</v>
      </c>
    </row>
    <row r="36">
      <c r="B36" s="44">
        <f>IFERROR(INDEX('AFA Rates'!$B$5:$B$504,MATCH($L36,'AFA Rates'!$N$5:$N$504,0))&amp;"","")</f>
        <v/>
      </c>
      <c r="C36" s="45">
        <f>IF($B36="","",IFERROR(IF(INDEX('AFA Rates'!$C$5:$C$504,MATCH($L36,'AFA Rates'!$N$5:$N$504,0))="","—",INDEX('AFA Rates'!$C$5:$C$504,MATCH($L36,'AFA Rates'!$N$5:$N$504,0))),""))</f>
        <v/>
      </c>
      <c r="D36" s="45">
        <f>IF($B36="","",IFERROR(IF(INDEX('AFA Rates'!$D$5:$D$504,MATCH($L36,'AFA Rates'!$N$5:$N$504,0))="","—",INDEX('AFA Rates'!$D$5:$D$504,MATCH($L36,'AFA Rates'!$N$5:$N$504,0))),""))</f>
        <v/>
      </c>
      <c r="E36" s="45">
        <f>IF($B36="","",IFERROR(IF(INDEX('AFA Rates'!$E$5:$E$504,MATCH($L36,'AFA Rates'!$N$5:$N$504,0))="","—",INDEX('AFA Rates'!$E$5:$E$504,MATCH($L36,'AFA Rates'!$N$5:$N$504,0))),""))</f>
        <v/>
      </c>
      <c r="F36" s="45">
        <f>IF($B36="","",IFERROR(IF(INDEX('AFA Rates'!$F$5:$F$504,MATCH($L36,'AFA Rates'!$N$5:$N$504,0))="","—",INDEX('AFA Rates'!$F$5:$F$504,MATCH($L36,'AFA Rates'!$N$5:$N$504,0))),""))</f>
        <v/>
      </c>
      <c r="G36" s="45">
        <f>IF($B36="","",IFERROR(IF(INDEX('AFA Rates'!$G$5:$G$504,MATCH($L36,'AFA Rates'!$N$5:$N$504,0))="","—",INDEX('AFA Rates'!$G$5:$G$504,MATCH($L36,'AFA Rates'!$N$5:$N$504,0))),""))</f>
        <v/>
      </c>
      <c r="H36" s="45">
        <f>IF($B36="","",IFERROR(IF(INDEX('AFA Rates'!$H$5:$H$504,MATCH($L36,'AFA Rates'!$N$5:$N$504,0))="","—",INDEX('AFA Rates'!$H$5:$H$504,MATCH($L36,'AFA Rates'!$N$5:$N$504,0))),""))</f>
        <v/>
      </c>
      <c r="I36" s="45">
        <f>IF($B36="","",IFERROR(IF(INDEX('AFA Rates'!$I$5:$I$504,MATCH($L36,'AFA Rates'!$N$5:$N$504,0))="","—",INDEX('AFA Rates'!$I$5:$I$504,MATCH($L36,'AFA Rates'!$N$5:$N$504,0))),""))</f>
        <v/>
      </c>
      <c r="J36" s="45">
        <f>IF($B36="","",IFERROR(IF(INDEX('AFA Rates'!$J$5:$J$504,MATCH($L36,'AFA Rates'!$N$5:$N$504,0))="","—",INDEX('AFA Rates'!$J$5:$J$504,MATCH($L36,'AFA Rates'!$N$5:$N$504,0))),""))</f>
        <v/>
      </c>
      <c r="L36" t="n">
        <v>11</v>
      </c>
    </row>
    <row r="37">
      <c r="B37" s="44">
        <f>IFERROR(INDEX('AFA Rates'!$B$5:$B$504,MATCH($L37,'AFA Rates'!$N$5:$N$504,0))&amp;"","")</f>
        <v/>
      </c>
      <c r="C37" s="45">
        <f>IF($B37="","",IFERROR(IF(INDEX('AFA Rates'!$C$5:$C$504,MATCH($L37,'AFA Rates'!$N$5:$N$504,0))="","—",INDEX('AFA Rates'!$C$5:$C$504,MATCH($L37,'AFA Rates'!$N$5:$N$504,0))),""))</f>
        <v/>
      </c>
      <c r="D37" s="45">
        <f>IF($B37="","",IFERROR(IF(INDEX('AFA Rates'!$D$5:$D$504,MATCH($L37,'AFA Rates'!$N$5:$N$504,0))="","—",INDEX('AFA Rates'!$D$5:$D$504,MATCH($L37,'AFA Rates'!$N$5:$N$504,0))),""))</f>
        <v/>
      </c>
      <c r="E37" s="45">
        <f>IF($B37="","",IFERROR(IF(INDEX('AFA Rates'!$E$5:$E$504,MATCH($L37,'AFA Rates'!$N$5:$N$504,0))="","—",INDEX('AFA Rates'!$E$5:$E$504,MATCH($L37,'AFA Rates'!$N$5:$N$504,0))),""))</f>
        <v/>
      </c>
      <c r="F37" s="45">
        <f>IF($B37="","",IFERROR(IF(INDEX('AFA Rates'!$F$5:$F$504,MATCH($L37,'AFA Rates'!$N$5:$N$504,0))="","—",INDEX('AFA Rates'!$F$5:$F$504,MATCH($L37,'AFA Rates'!$N$5:$N$504,0))),""))</f>
        <v/>
      </c>
      <c r="G37" s="45">
        <f>IF($B37="","",IFERROR(IF(INDEX('AFA Rates'!$G$5:$G$504,MATCH($L37,'AFA Rates'!$N$5:$N$504,0))="","—",INDEX('AFA Rates'!$G$5:$G$504,MATCH($L37,'AFA Rates'!$N$5:$N$504,0))),""))</f>
        <v/>
      </c>
      <c r="H37" s="45">
        <f>IF($B37="","",IFERROR(IF(INDEX('AFA Rates'!$H$5:$H$504,MATCH($L37,'AFA Rates'!$N$5:$N$504,0))="","—",INDEX('AFA Rates'!$H$5:$H$504,MATCH($L37,'AFA Rates'!$N$5:$N$504,0))),""))</f>
        <v/>
      </c>
      <c r="I37" s="45">
        <f>IF($B37="","",IFERROR(IF(INDEX('AFA Rates'!$I$5:$I$504,MATCH($L37,'AFA Rates'!$N$5:$N$504,0))="","—",INDEX('AFA Rates'!$I$5:$I$504,MATCH($L37,'AFA Rates'!$N$5:$N$504,0))),""))</f>
        <v/>
      </c>
      <c r="J37" s="45">
        <f>IF($B37="","",IFERROR(IF(INDEX('AFA Rates'!$J$5:$J$504,MATCH($L37,'AFA Rates'!$N$5:$N$504,0))="","—",INDEX('AFA Rates'!$J$5:$J$504,MATCH($L37,'AFA Rates'!$N$5:$N$504,0))),""))</f>
        <v/>
      </c>
      <c r="L37" t="n">
        <v>12</v>
      </c>
    </row>
    <row r="38">
      <c r="B38" s="46">
        <f>IF($M$7="","",IF(INDEX(Firms!$N$5:$N$504,$M$7)=0,"No AFA on file for this firm — standard rates apply.",""))</f>
        <v/>
      </c>
    </row>
  </sheetData>
  <mergeCells count="16">
    <mergeCell ref="B11:J11"/>
    <mergeCell ref="C7:G7"/>
    <mergeCell ref="B3:J3"/>
    <mergeCell ref="C12:J12"/>
    <mergeCell ref="C17:J17"/>
    <mergeCell ref="B19:J19"/>
    <mergeCell ref="B24:J24"/>
    <mergeCell ref="B38:J38"/>
    <mergeCell ref="C15:J15"/>
    <mergeCell ref="C16:J16"/>
    <mergeCell ref="C5:G5"/>
    <mergeCell ref="B9:J9"/>
    <mergeCell ref="C14:J14"/>
    <mergeCell ref="C13:J13"/>
    <mergeCell ref="H7:J7"/>
    <mergeCell ref="B2:J2"/>
  </mergeCells>
  <conditionalFormatting sqref="B9:J9">
    <cfRule type="expression" priority="1" dxfId="0">
      <formula>LEFT($B$9,1)="⛔"</formula>
    </cfRule>
    <cfRule type="expression" priority="2" dxfId="1">
      <formula>LEFT($B$9,1)="✓"</formula>
    </cfRule>
  </conditionalFormatting>
  <conditionalFormatting sqref="B26:J37">
    <cfRule type="expression" priority="3" dxfId="2">
      <formula>$B26&lt;&gt;""</formula>
    </cfRule>
  </conditionalFormatting>
  <dataValidations count="1">
    <dataValidation sqref="C5" showDropDown="0" showInputMessage="0" showErrorMessage="0" allowBlank="1" promptTitle="Firm Search" prompt="Type a full or partial firm name, or pick from the list." type="list">
      <formula1>=Firm_List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9CC3E6"/>
    <outlinePr summaryBelow="1" summaryRight="1"/>
    <pageSetUpPr fitToPage="1"/>
  </sheetPr>
  <dimension ref="A1:S5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6" customWidth="1" min="12" max="12"/>
    <col width="13" customWidth="1" min="13" max="13"/>
    <col width="12" customWidth="1" min="14" max="14"/>
    <col width="13" customWidth="1" min="15" max="15"/>
    <col width="28" customWidth="1" min="16" max="16"/>
    <col width="44" customWidth="1" min="17" max="17"/>
    <col hidden="1" width="6" customWidth="1" min="18" max="18"/>
    <col hidden="1" width="6" customWidth="1" min="19" max="19"/>
  </cols>
  <sheetData>
    <row r="1" ht="34" customHeight="1">
      <c r="A1" s="47" t="inlineStr">
        <is>
          <t>Approved Firms — Master List</t>
        </is>
      </c>
    </row>
    <row r="2" ht="22" customHeight="1">
      <c r="A2" s="48" t="inlineStr">
        <is>
          <t>One row per firm. White cells = you type. Gray cells = automatic. Set Status to “Paused” and the firm appears on the Do Not Use tab automatically.</t>
        </is>
      </c>
    </row>
    <row r="3">
      <c r="A3" s="17" t="inlineStr">
        <is>
          <t>Tip: list Approved States as 2-letter codes separated by commas (e.g. CA, NV, AZ). Duplicate firm names turn red.</t>
        </is>
      </c>
    </row>
    <row r="4" ht="36" customHeight="1">
      <c r="A4" s="49" t="inlineStr">
        <is>
          <t>Firm Name</t>
        </is>
      </c>
      <c r="B4" s="49" t="inlineStr">
        <is>
          <t>Status</t>
        </is>
      </c>
      <c r="C4" s="49" t="inlineStr">
        <is>
          <t>Approved States</t>
        </is>
      </c>
      <c r="D4" s="49" t="inlineStr">
        <is>
          <t>Counsel
Rate</t>
        </is>
      </c>
      <c r="E4" s="49" t="inlineStr">
        <is>
          <t>Senior Partner
Rate</t>
        </is>
      </c>
      <c r="F4" s="49" t="inlineStr">
        <is>
          <t>Junior Partner
Rate</t>
        </is>
      </c>
      <c r="G4" s="49" t="inlineStr">
        <is>
          <t>Partner
Rate</t>
        </is>
      </c>
      <c r="H4" s="49" t="inlineStr">
        <is>
          <t>Senior Associate
Rate</t>
        </is>
      </c>
      <c r="I4" s="49" t="inlineStr">
        <is>
          <t>Junior Associate
Rate</t>
        </is>
      </c>
      <c r="J4" s="49" t="inlineStr">
        <is>
          <t>Associate
Rate</t>
        </is>
      </c>
      <c r="K4" s="49" t="inlineStr">
        <is>
          <t>Paralegal
Rate</t>
        </is>
      </c>
      <c r="L4" s="49" t="inlineStr">
        <is>
          <t>Cyber Status</t>
        </is>
      </c>
      <c r="M4" s="50" t="inlineStr">
        <is>
          <t>AFA on File?
(auto)</t>
        </is>
      </c>
      <c r="N4" s="50" t="inlineStr">
        <is>
          <t># AFA Types
(auto)</t>
        </is>
      </c>
      <c r="O4" s="49" t="inlineStr">
        <is>
          <t>Date Paused</t>
        </is>
      </c>
      <c r="P4" s="49" t="inlineStr">
        <is>
          <t>Pause Reason</t>
        </is>
      </c>
      <c r="Q4" s="49" t="inlineStr">
        <is>
          <t>Notes</t>
        </is>
      </c>
      <c r="R4" s="50" t="inlineStr">
        <is>
          <t>_dnu</t>
        </is>
      </c>
      <c r="S4" s="50" t="inlineStr">
        <is>
          <t>_afa</t>
        </is>
      </c>
    </row>
    <row r="5">
      <c r="A5" s="5" t="inlineStr">
        <is>
          <t>Sample: Alder &amp; Pine LLP</t>
        </is>
      </c>
      <c r="B5" s="51" t="inlineStr">
        <is>
          <t>Active</t>
        </is>
      </c>
      <c r="C5" s="5" t="inlineStr">
        <is>
          <t>CA, NV, AZ</t>
        </is>
      </c>
      <c r="D5" s="52" t="n">
        <v>475</v>
      </c>
      <c r="E5" s="52" t="n">
        <v>625</v>
      </c>
      <c r="F5" s="52" t="n">
        <v>425</v>
      </c>
      <c r="G5" s="52" t="n">
        <v>525</v>
      </c>
      <c r="H5" s="52" t="n">
        <v>395</v>
      </c>
      <c r="I5" s="52" t="n">
        <v>295</v>
      </c>
      <c r="J5" s="52" t="n">
        <v>345</v>
      </c>
      <c r="K5" s="52" t="n">
        <v>165</v>
      </c>
      <c r="L5" s="51" t="inlineStr">
        <is>
          <t>Compliant</t>
        </is>
      </c>
      <c r="M5" s="53">
        <f>IF(A5="","",IF(COUNTIF('AFA Rates'!$A$5:$A$504,A5)&gt;0,"Yes","No"))</f>
        <v/>
      </c>
      <c r="N5" s="53">
        <f>IF(A5="","",COUNTIF('AFA Rates'!$A$5:$A$504,A5))</f>
        <v/>
      </c>
      <c r="O5" s="54" t="n"/>
      <c r="P5" s="5" t="n"/>
      <c r="Q5" s="5" t="inlineStr">
        <is>
          <t>Sample row — replace with a real firm. Strong in coastal CA venues.</t>
        </is>
      </c>
      <c r="R5">
        <f>IF(AND(A5&lt;&gt;"",B5="Paused"),COUNTIFS($A$5:A5,"&lt;&gt;",$B$5:B5,"Paused"),"")</f>
        <v/>
      </c>
      <c r="S5">
        <f>IF(M5="Yes",COUNTIF($M$5:M5,"Yes"),"")</f>
        <v/>
      </c>
    </row>
    <row r="6">
      <c r="A6" s="5" t="inlineStr">
        <is>
          <t>Sample: Brookstone Legal Group</t>
        </is>
      </c>
      <c r="B6" s="51" t="inlineStr">
        <is>
          <t>Active</t>
        </is>
      </c>
      <c r="C6" s="5" t="inlineStr">
        <is>
          <t>TX, OK, LA, AR</t>
        </is>
      </c>
      <c r="D6" s="52" t="n">
        <v>425</v>
      </c>
      <c r="E6" s="52" t="n">
        <v>575</v>
      </c>
      <c r="F6" s="52" t="n">
        <v>395</v>
      </c>
      <c r="G6" s="52" t="n">
        <v>495</v>
      </c>
      <c r="H6" s="52" t="n">
        <v>350</v>
      </c>
      <c r="I6" s="52" t="n">
        <v>260</v>
      </c>
      <c r="J6" s="52" t="n">
        <v>310</v>
      </c>
      <c r="K6" s="52" t="n">
        <v>150</v>
      </c>
      <c r="L6" s="51" t="inlineStr">
        <is>
          <t>Compliant</t>
        </is>
      </c>
      <c r="M6" s="53">
        <f>IF(A6="","",IF(COUNTIF('AFA Rates'!$A$5:$A$504,A6)&gt;0,"Yes","No"))</f>
        <v/>
      </c>
      <c r="N6" s="53">
        <f>IF(A6="","",COUNTIF('AFA Rates'!$A$5:$A$504,A6))</f>
        <v/>
      </c>
      <c r="O6" s="54" t="n"/>
      <c r="P6" s="5" t="n"/>
      <c r="Q6" s="5" t="inlineStr">
        <is>
          <t>Sample row — trucking &amp; bad-faith panel.</t>
        </is>
      </c>
      <c r="R6">
        <f>IF(AND(A6&lt;&gt;"",B6="Paused"),COUNTIFS($A$5:A6,"&lt;&gt;",$B$5:B6,"Paused"),"")</f>
        <v/>
      </c>
      <c r="S6">
        <f>IF(M6="Yes",COUNTIF($M$5:M6,"Yes"),"")</f>
        <v/>
      </c>
    </row>
    <row r="7">
      <c r="A7" s="5" t="inlineStr">
        <is>
          <t>Sample: Cedar Ridge Partners</t>
        </is>
      </c>
      <c r="B7" s="51" t="inlineStr">
        <is>
          <t>Paused</t>
        </is>
      </c>
      <c r="C7" s="5" t="inlineStr">
        <is>
          <t>FL, GA, AL</t>
        </is>
      </c>
      <c r="D7" s="52" t="n">
        <v>400</v>
      </c>
      <c r="E7" s="52" t="n">
        <v>550</v>
      </c>
      <c r="F7" s="52" t="n">
        <v>375</v>
      </c>
      <c r="G7" s="52" t="n">
        <v>450</v>
      </c>
      <c r="H7" s="52" t="n">
        <v>325</v>
      </c>
      <c r="I7" s="52" t="n">
        <v>245</v>
      </c>
      <c r="J7" s="52" t="n">
        <v>285</v>
      </c>
      <c r="K7" s="52" t="n">
        <v>140</v>
      </c>
      <c r="L7" s="51" t="inlineStr">
        <is>
          <t>Non-Compliant</t>
        </is>
      </c>
      <c r="M7" s="53">
        <f>IF(A7="","",IF(COUNTIF('AFA Rates'!$A$5:$A$504,A7)&gt;0,"Yes","No"))</f>
        <v/>
      </c>
      <c r="N7" s="53">
        <f>IF(A7="","",COUNTIF('AFA Rates'!$A$5:$A$504,A7))</f>
        <v/>
      </c>
      <c r="O7" s="54" t="n">
        <v>46266</v>
      </c>
      <c r="P7" s="5" t="inlineStr">
        <is>
          <t>Cyber assessment failed; under review</t>
        </is>
      </c>
      <c r="Q7" s="5" t="inlineStr">
        <is>
          <t>Sample row — paused example.</t>
        </is>
      </c>
      <c r="R7">
        <f>IF(AND(A7&lt;&gt;"",B7="Paused"),COUNTIFS($A$5:A7,"&lt;&gt;",$B$5:B7,"Paused"),"")</f>
        <v/>
      </c>
      <c r="S7">
        <f>IF(M7="Yes",COUNTIF($M$5:M7,"Yes"),"")</f>
        <v/>
      </c>
    </row>
    <row r="8">
      <c r="A8" s="5" t="inlineStr">
        <is>
          <t>Sample: Dunmore Whitfield PC</t>
        </is>
      </c>
      <c r="B8" s="51" t="inlineStr">
        <is>
          <t>Active</t>
        </is>
      </c>
      <c r="C8" s="5" t="inlineStr">
        <is>
          <t>NY, NJ, CT, PA</t>
        </is>
      </c>
      <c r="D8" s="52" t="n">
        <v>550</v>
      </c>
      <c r="E8" s="52" t="n">
        <v>725</v>
      </c>
      <c r="F8" s="52" t="n">
        <v>495</v>
      </c>
      <c r="G8" s="52" t="n">
        <v>625</v>
      </c>
      <c r="H8" s="52" t="n">
        <v>450</v>
      </c>
      <c r="I8" s="52" t="n">
        <v>325</v>
      </c>
      <c r="J8" s="52" t="n">
        <v>395</v>
      </c>
      <c r="K8" s="52" t="n">
        <v>185</v>
      </c>
      <c r="L8" s="51" t="inlineStr">
        <is>
          <t>Pending Review</t>
        </is>
      </c>
      <c r="M8" s="53">
        <f>IF(A8="","",IF(COUNTIF('AFA Rates'!$A$5:$A$504,A8)&gt;0,"Yes","No"))</f>
        <v/>
      </c>
      <c r="N8" s="53">
        <f>IF(A8="","",COUNTIF('AFA Rates'!$A$5:$A$504,A8))</f>
        <v/>
      </c>
      <c r="O8" s="54" t="n"/>
      <c r="P8" s="5" t="n"/>
      <c r="Q8" s="5" t="inlineStr">
        <is>
          <t>Sample row — appellate specialists.</t>
        </is>
      </c>
      <c r="R8">
        <f>IF(AND(A8&lt;&gt;"",B8="Paused"),COUNTIFS($A$5:A8,"&lt;&gt;",$B$5:B8,"Paused"),"")</f>
        <v/>
      </c>
      <c r="S8">
        <f>IF(M8="Yes",COUNTIF($M$5:M8,"Yes"),"")</f>
        <v/>
      </c>
    </row>
    <row r="9">
      <c r="A9" s="5" t="n"/>
      <c r="B9" s="51" t="n"/>
      <c r="C9" s="5" t="n"/>
      <c r="D9" s="52" t="n"/>
      <c r="E9" s="52" t="n"/>
      <c r="F9" s="52" t="n"/>
      <c r="G9" s="52" t="n"/>
      <c r="H9" s="52" t="n"/>
      <c r="I9" s="52" t="n"/>
      <c r="J9" s="52" t="n"/>
      <c r="K9" s="52" t="n"/>
      <c r="L9" s="51" t="n"/>
      <c r="M9" s="53">
        <f>IF(A9="","",IF(COUNTIF('AFA Rates'!$A$5:$A$504,A9)&gt;0,"Yes","No"))</f>
        <v/>
      </c>
      <c r="N9" s="53">
        <f>IF(A9="","",COUNTIF('AFA Rates'!$A$5:$A$504,A9))</f>
        <v/>
      </c>
      <c r="O9" s="54" t="n"/>
      <c r="P9" s="5" t="n"/>
      <c r="Q9" s="5" t="n"/>
      <c r="R9">
        <f>IF(AND(A9&lt;&gt;"",B9="Paused"),COUNTIFS($A$5:A9,"&lt;&gt;",$B$5:B9,"Paused"),"")</f>
        <v/>
      </c>
      <c r="S9">
        <f>IF(M9="Yes",COUNTIF($M$5:M9,"Yes"),"")</f>
        <v/>
      </c>
    </row>
    <row r="10">
      <c r="A10" s="5" t="n"/>
      <c r="B10" s="51" t="n"/>
      <c r="C10" s="5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1" t="n"/>
      <c r="M10" s="53">
        <f>IF(A10="","",IF(COUNTIF('AFA Rates'!$A$5:$A$504,A10)&gt;0,"Yes","No"))</f>
        <v/>
      </c>
      <c r="N10" s="53">
        <f>IF(A10="","",COUNTIF('AFA Rates'!$A$5:$A$504,A10))</f>
        <v/>
      </c>
      <c r="O10" s="54" t="n"/>
      <c r="P10" s="5" t="n"/>
      <c r="Q10" s="5" t="n"/>
      <c r="R10">
        <f>IF(AND(A10&lt;&gt;"",B10="Paused"),COUNTIFS($A$5:A10,"&lt;&gt;",$B$5:B10,"Paused"),"")</f>
        <v/>
      </c>
      <c r="S10">
        <f>IF(M10="Yes",COUNTIF($M$5:M10,"Yes"),"")</f>
        <v/>
      </c>
    </row>
    <row r="11">
      <c r="A11" s="5" t="n"/>
      <c r="B11" s="51" t="n"/>
      <c r="C11" s="5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1" t="n"/>
      <c r="M11" s="53">
        <f>IF(A11="","",IF(COUNTIF('AFA Rates'!$A$5:$A$504,A11)&gt;0,"Yes","No"))</f>
        <v/>
      </c>
      <c r="N11" s="53">
        <f>IF(A11="","",COUNTIF('AFA Rates'!$A$5:$A$504,A11))</f>
        <v/>
      </c>
      <c r="O11" s="54" t="n"/>
      <c r="P11" s="5" t="n"/>
      <c r="Q11" s="5" t="n"/>
      <c r="R11">
        <f>IF(AND(A11&lt;&gt;"",B11="Paused"),COUNTIFS($A$5:A11,"&lt;&gt;",$B$5:B11,"Paused"),"")</f>
        <v/>
      </c>
      <c r="S11">
        <f>IF(M11="Yes",COUNTIF($M$5:M11,"Yes"),"")</f>
        <v/>
      </c>
    </row>
    <row r="12">
      <c r="A12" s="5" t="n"/>
      <c r="B12" s="51" t="n"/>
      <c r="C12" s="5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1" t="n"/>
      <c r="M12" s="53">
        <f>IF(A12="","",IF(COUNTIF('AFA Rates'!$A$5:$A$504,A12)&gt;0,"Yes","No"))</f>
        <v/>
      </c>
      <c r="N12" s="53">
        <f>IF(A12="","",COUNTIF('AFA Rates'!$A$5:$A$504,A12))</f>
        <v/>
      </c>
      <c r="O12" s="54" t="n"/>
      <c r="P12" s="5" t="n"/>
      <c r="Q12" s="5" t="n"/>
      <c r="R12">
        <f>IF(AND(A12&lt;&gt;"",B12="Paused"),COUNTIFS($A$5:A12,"&lt;&gt;",$B$5:B12,"Paused"),"")</f>
        <v/>
      </c>
      <c r="S12">
        <f>IF(M12="Yes",COUNTIF($M$5:M12,"Yes"),"")</f>
        <v/>
      </c>
    </row>
    <row r="13">
      <c r="A13" s="5" t="n"/>
      <c r="B13" s="51" t="n"/>
      <c r="C13" s="5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1" t="n"/>
      <c r="M13" s="53">
        <f>IF(A13="","",IF(COUNTIF('AFA Rates'!$A$5:$A$504,A13)&gt;0,"Yes","No"))</f>
        <v/>
      </c>
      <c r="N13" s="53">
        <f>IF(A13="","",COUNTIF('AFA Rates'!$A$5:$A$504,A13))</f>
        <v/>
      </c>
      <c r="O13" s="54" t="n"/>
      <c r="P13" s="5" t="n"/>
      <c r="Q13" s="5" t="n"/>
      <c r="R13">
        <f>IF(AND(A13&lt;&gt;"",B13="Paused"),COUNTIFS($A$5:A13,"&lt;&gt;",$B$5:B13,"Paused"),"")</f>
        <v/>
      </c>
      <c r="S13">
        <f>IF(M13="Yes",COUNTIF($M$5:M13,"Yes"),"")</f>
        <v/>
      </c>
    </row>
    <row r="14">
      <c r="A14" s="5" t="n"/>
      <c r="B14" s="51" t="n"/>
      <c r="C14" s="5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1" t="n"/>
      <c r="M14" s="53">
        <f>IF(A14="","",IF(COUNTIF('AFA Rates'!$A$5:$A$504,A14)&gt;0,"Yes","No"))</f>
        <v/>
      </c>
      <c r="N14" s="53">
        <f>IF(A14="","",COUNTIF('AFA Rates'!$A$5:$A$504,A14))</f>
        <v/>
      </c>
      <c r="O14" s="54" t="n"/>
      <c r="P14" s="5" t="n"/>
      <c r="Q14" s="5" t="n"/>
      <c r="R14">
        <f>IF(AND(A14&lt;&gt;"",B14="Paused"),COUNTIFS($A$5:A14,"&lt;&gt;",$B$5:B14,"Paused"),"")</f>
        <v/>
      </c>
      <c r="S14">
        <f>IF(M14="Yes",COUNTIF($M$5:M14,"Yes"),"")</f>
        <v/>
      </c>
    </row>
    <row r="15">
      <c r="A15" s="5" t="n"/>
      <c r="B15" s="51" t="n"/>
      <c r="C15" s="5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1" t="n"/>
      <c r="M15" s="53">
        <f>IF(A15="","",IF(COUNTIF('AFA Rates'!$A$5:$A$504,A15)&gt;0,"Yes","No"))</f>
        <v/>
      </c>
      <c r="N15" s="53">
        <f>IF(A15="","",COUNTIF('AFA Rates'!$A$5:$A$504,A15))</f>
        <v/>
      </c>
      <c r="O15" s="54" t="n"/>
      <c r="P15" s="5" t="n"/>
      <c r="Q15" s="5" t="n"/>
      <c r="R15">
        <f>IF(AND(A15&lt;&gt;"",B15="Paused"),COUNTIFS($A$5:A15,"&lt;&gt;",$B$5:B15,"Paused"),"")</f>
        <v/>
      </c>
      <c r="S15">
        <f>IF(M15="Yes",COUNTIF($M$5:M15,"Yes"),"")</f>
        <v/>
      </c>
    </row>
    <row r="16">
      <c r="A16" s="5" t="n"/>
      <c r="B16" s="51" t="n"/>
      <c r="C16" s="5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1" t="n"/>
      <c r="M16" s="53">
        <f>IF(A16="","",IF(COUNTIF('AFA Rates'!$A$5:$A$504,A16)&gt;0,"Yes","No"))</f>
        <v/>
      </c>
      <c r="N16" s="53">
        <f>IF(A16="","",COUNTIF('AFA Rates'!$A$5:$A$504,A16))</f>
        <v/>
      </c>
      <c r="O16" s="54" t="n"/>
      <c r="P16" s="5" t="n"/>
      <c r="Q16" s="5" t="n"/>
      <c r="R16">
        <f>IF(AND(A16&lt;&gt;"",B16="Paused"),COUNTIFS($A$5:A16,"&lt;&gt;",$B$5:B16,"Paused"),"")</f>
        <v/>
      </c>
      <c r="S16">
        <f>IF(M16="Yes",COUNTIF($M$5:M16,"Yes"),"")</f>
        <v/>
      </c>
    </row>
    <row r="17">
      <c r="A17" s="5" t="n"/>
      <c r="B17" s="51" t="n"/>
      <c r="C17" s="5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1" t="n"/>
      <c r="M17" s="53">
        <f>IF(A17="","",IF(COUNTIF('AFA Rates'!$A$5:$A$504,A17)&gt;0,"Yes","No"))</f>
        <v/>
      </c>
      <c r="N17" s="53">
        <f>IF(A17="","",COUNTIF('AFA Rates'!$A$5:$A$504,A17))</f>
        <v/>
      </c>
      <c r="O17" s="54" t="n"/>
      <c r="P17" s="5" t="n"/>
      <c r="Q17" s="5" t="n"/>
      <c r="R17">
        <f>IF(AND(A17&lt;&gt;"",B17="Paused"),COUNTIFS($A$5:A17,"&lt;&gt;",$B$5:B17,"Paused"),"")</f>
        <v/>
      </c>
      <c r="S17">
        <f>IF(M17="Yes",COUNTIF($M$5:M17,"Yes"),"")</f>
        <v/>
      </c>
    </row>
    <row r="18">
      <c r="A18" s="5" t="n"/>
      <c r="B18" s="51" t="n"/>
      <c r="C18" s="5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1" t="n"/>
      <c r="M18" s="53">
        <f>IF(A18="","",IF(COUNTIF('AFA Rates'!$A$5:$A$504,A18)&gt;0,"Yes","No"))</f>
        <v/>
      </c>
      <c r="N18" s="53">
        <f>IF(A18="","",COUNTIF('AFA Rates'!$A$5:$A$504,A18))</f>
        <v/>
      </c>
      <c r="O18" s="54" t="n"/>
      <c r="P18" s="5" t="n"/>
      <c r="Q18" s="5" t="n"/>
      <c r="R18">
        <f>IF(AND(A18&lt;&gt;"",B18="Paused"),COUNTIFS($A$5:A18,"&lt;&gt;",$B$5:B18,"Paused"),"")</f>
        <v/>
      </c>
      <c r="S18">
        <f>IF(M18="Yes",COUNTIF($M$5:M18,"Yes"),"")</f>
        <v/>
      </c>
    </row>
    <row r="19">
      <c r="A19" s="5" t="n"/>
      <c r="B19" s="51" t="n"/>
      <c r="C19" s="5" t="n"/>
      <c r="D19" s="52" t="n"/>
      <c r="E19" s="52" t="n"/>
      <c r="F19" s="52" t="n"/>
      <c r="G19" s="52" t="n"/>
      <c r="H19" s="52" t="n"/>
      <c r="I19" s="52" t="n"/>
      <c r="J19" s="52" t="n"/>
      <c r="K19" s="52" t="n"/>
      <c r="L19" s="51" t="n"/>
      <c r="M19" s="53">
        <f>IF(A19="","",IF(COUNTIF('AFA Rates'!$A$5:$A$504,A19)&gt;0,"Yes","No"))</f>
        <v/>
      </c>
      <c r="N19" s="53">
        <f>IF(A19="","",COUNTIF('AFA Rates'!$A$5:$A$504,A19))</f>
        <v/>
      </c>
      <c r="O19" s="54" t="n"/>
      <c r="P19" s="5" t="n"/>
      <c r="Q19" s="5" t="n"/>
      <c r="R19">
        <f>IF(AND(A19&lt;&gt;"",B19="Paused"),COUNTIFS($A$5:A19,"&lt;&gt;",$B$5:B19,"Paused"),"")</f>
        <v/>
      </c>
      <c r="S19">
        <f>IF(M19="Yes",COUNTIF($M$5:M19,"Yes"),"")</f>
        <v/>
      </c>
    </row>
    <row r="20">
      <c r="A20" s="5" t="n"/>
      <c r="B20" s="51" t="n"/>
      <c r="C20" s="5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1" t="n"/>
      <c r="M20" s="53">
        <f>IF(A20="","",IF(COUNTIF('AFA Rates'!$A$5:$A$504,A20)&gt;0,"Yes","No"))</f>
        <v/>
      </c>
      <c r="N20" s="53">
        <f>IF(A20="","",COUNTIF('AFA Rates'!$A$5:$A$504,A20))</f>
        <v/>
      </c>
      <c r="O20" s="54" t="n"/>
      <c r="P20" s="5" t="n"/>
      <c r="Q20" s="5" t="n"/>
      <c r="R20">
        <f>IF(AND(A20&lt;&gt;"",B20="Paused"),COUNTIFS($A$5:A20,"&lt;&gt;",$B$5:B20,"Paused"),"")</f>
        <v/>
      </c>
      <c r="S20">
        <f>IF(M20="Yes",COUNTIF($M$5:M20,"Yes"),"")</f>
        <v/>
      </c>
    </row>
    <row r="21">
      <c r="A21" s="5" t="n"/>
      <c r="B21" s="51" t="n"/>
      <c r="C21" s="5" t="n"/>
      <c r="D21" s="52" t="n"/>
      <c r="E21" s="52" t="n"/>
      <c r="F21" s="52" t="n"/>
      <c r="G21" s="52" t="n"/>
      <c r="H21" s="52" t="n"/>
      <c r="I21" s="52" t="n"/>
      <c r="J21" s="52" t="n"/>
      <c r="K21" s="52" t="n"/>
      <c r="L21" s="51" t="n"/>
      <c r="M21" s="53">
        <f>IF(A21="","",IF(COUNTIF('AFA Rates'!$A$5:$A$504,A21)&gt;0,"Yes","No"))</f>
        <v/>
      </c>
      <c r="N21" s="53">
        <f>IF(A21="","",COUNTIF('AFA Rates'!$A$5:$A$504,A21))</f>
        <v/>
      </c>
      <c r="O21" s="54" t="n"/>
      <c r="P21" s="5" t="n"/>
      <c r="Q21" s="5" t="n"/>
      <c r="R21">
        <f>IF(AND(A21&lt;&gt;"",B21="Paused"),COUNTIFS($A$5:A21,"&lt;&gt;",$B$5:B21,"Paused"),"")</f>
        <v/>
      </c>
      <c r="S21">
        <f>IF(M21="Yes",COUNTIF($M$5:M21,"Yes"),"")</f>
        <v/>
      </c>
    </row>
    <row r="22">
      <c r="A22" s="5" t="n"/>
      <c r="B22" s="51" t="n"/>
      <c r="C22" s="5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1" t="n"/>
      <c r="M22" s="53">
        <f>IF(A22="","",IF(COUNTIF('AFA Rates'!$A$5:$A$504,A22)&gt;0,"Yes","No"))</f>
        <v/>
      </c>
      <c r="N22" s="53">
        <f>IF(A22="","",COUNTIF('AFA Rates'!$A$5:$A$504,A22))</f>
        <v/>
      </c>
      <c r="O22" s="54" t="n"/>
      <c r="P22" s="5" t="n"/>
      <c r="Q22" s="5" t="n"/>
      <c r="R22">
        <f>IF(AND(A22&lt;&gt;"",B22="Paused"),COUNTIFS($A$5:A22,"&lt;&gt;",$B$5:B22,"Paused"),"")</f>
        <v/>
      </c>
      <c r="S22">
        <f>IF(M22="Yes",COUNTIF($M$5:M22,"Yes"),"")</f>
        <v/>
      </c>
    </row>
    <row r="23">
      <c r="A23" s="5" t="n"/>
      <c r="B23" s="51" t="n"/>
      <c r="C23" s="5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1" t="n"/>
      <c r="M23" s="53">
        <f>IF(A23="","",IF(COUNTIF('AFA Rates'!$A$5:$A$504,A23)&gt;0,"Yes","No"))</f>
        <v/>
      </c>
      <c r="N23" s="53">
        <f>IF(A23="","",COUNTIF('AFA Rates'!$A$5:$A$504,A23))</f>
        <v/>
      </c>
      <c r="O23" s="54" t="n"/>
      <c r="P23" s="5" t="n"/>
      <c r="Q23" s="5" t="n"/>
      <c r="R23">
        <f>IF(AND(A23&lt;&gt;"",B23="Paused"),COUNTIFS($A$5:A23,"&lt;&gt;",$B$5:B23,"Paused"),"")</f>
        <v/>
      </c>
      <c r="S23">
        <f>IF(M23="Yes",COUNTIF($M$5:M23,"Yes"),"")</f>
        <v/>
      </c>
    </row>
    <row r="24">
      <c r="A24" s="5" t="n"/>
      <c r="B24" s="51" t="n"/>
      <c r="C24" s="5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1" t="n"/>
      <c r="M24" s="53">
        <f>IF(A24="","",IF(COUNTIF('AFA Rates'!$A$5:$A$504,A24)&gt;0,"Yes","No"))</f>
        <v/>
      </c>
      <c r="N24" s="53">
        <f>IF(A24="","",COUNTIF('AFA Rates'!$A$5:$A$504,A24))</f>
        <v/>
      </c>
      <c r="O24" s="54" t="n"/>
      <c r="P24" s="5" t="n"/>
      <c r="Q24" s="5" t="n"/>
      <c r="R24">
        <f>IF(AND(A24&lt;&gt;"",B24="Paused"),COUNTIFS($A$5:A24,"&lt;&gt;",$B$5:B24,"Paused"),"")</f>
        <v/>
      </c>
      <c r="S24">
        <f>IF(M24="Yes",COUNTIF($M$5:M24,"Yes"),"")</f>
        <v/>
      </c>
    </row>
    <row r="25">
      <c r="A25" s="5" t="n"/>
      <c r="B25" s="51" t="n"/>
      <c r="C25" s="5" t="n"/>
      <c r="D25" s="52" t="n"/>
      <c r="E25" s="52" t="n"/>
      <c r="F25" s="52" t="n"/>
      <c r="G25" s="52" t="n"/>
      <c r="H25" s="52" t="n"/>
      <c r="I25" s="52" t="n"/>
      <c r="J25" s="52" t="n"/>
      <c r="K25" s="52" t="n"/>
      <c r="L25" s="51" t="n"/>
      <c r="M25" s="53">
        <f>IF(A25="","",IF(COUNTIF('AFA Rates'!$A$5:$A$504,A25)&gt;0,"Yes","No"))</f>
        <v/>
      </c>
      <c r="N25" s="53">
        <f>IF(A25="","",COUNTIF('AFA Rates'!$A$5:$A$504,A25))</f>
        <v/>
      </c>
      <c r="O25" s="54" t="n"/>
      <c r="P25" s="5" t="n"/>
      <c r="Q25" s="5" t="n"/>
      <c r="R25">
        <f>IF(AND(A25&lt;&gt;"",B25="Paused"),COUNTIFS($A$5:A25,"&lt;&gt;",$B$5:B25,"Paused"),"")</f>
        <v/>
      </c>
      <c r="S25">
        <f>IF(M25="Yes",COUNTIF($M$5:M25,"Yes"),"")</f>
        <v/>
      </c>
    </row>
    <row r="26">
      <c r="A26" s="5" t="n"/>
      <c r="B26" s="51" t="n"/>
      <c r="C26" s="5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1" t="n"/>
      <c r="M26" s="53">
        <f>IF(A26="","",IF(COUNTIF('AFA Rates'!$A$5:$A$504,A26)&gt;0,"Yes","No"))</f>
        <v/>
      </c>
      <c r="N26" s="53">
        <f>IF(A26="","",COUNTIF('AFA Rates'!$A$5:$A$504,A26))</f>
        <v/>
      </c>
      <c r="O26" s="54" t="n"/>
      <c r="P26" s="5" t="n"/>
      <c r="Q26" s="5" t="n"/>
      <c r="R26">
        <f>IF(AND(A26&lt;&gt;"",B26="Paused"),COUNTIFS($A$5:A26,"&lt;&gt;",$B$5:B26,"Paused"),"")</f>
        <v/>
      </c>
      <c r="S26">
        <f>IF(M26="Yes",COUNTIF($M$5:M26,"Yes"),"")</f>
        <v/>
      </c>
    </row>
    <row r="27">
      <c r="A27" s="5" t="n"/>
      <c r="B27" s="51" t="n"/>
      <c r="C27" s="5" t="n"/>
      <c r="D27" s="52" t="n"/>
      <c r="E27" s="52" t="n"/>
      <c r="F27" s="52" t="n"/>
      <c r="G27" s="52" t="n"/>
      <c r="H27" s="52" t="n"/>
      <c r="I27" s="52" t="n"/>
      <c r="J27" s="52" t="n"/>
      <c r="K27" s="52" t="n"/>
      <c r="L27" s="51" t="n"/>
      <c r="M27" s="53">
        <f>IF(A27="","",IF(COUNTIF('AFA Rates'!$A$5:$A$504,A27)&gt;0,"Yes","No"))</f>
        <v/>
      </c>
      <c r="N27" s="53">
        <f>IF(A27="","",COUNTIF('AFA Rates'!$A$5:$A$504,A27))</f>
        <v/>
      </c>
      <c r="O27" s="54" t="n"/>
      <c r="P27" s="5" t="n"/>
      <c r="Q27" s="5" t="n"/>
      <c r="R27">
        <f>IF(AND(A27&lt;&gt;"",B27="Paused"),COUNTIFS($A$5:A27,"&lt;&gt;",$B$5:B27,"Paused"),"")</f>
        <v/>
      </c>
      <c r="S27">
        <f>IF(M27="Yes",COUNTIF($M$5:M27,"Yes"),"")</f>
        <v/>
      </c>
    </row>
    <row r="28">
      <c r="A28" s="5" t="n"/>
      <c r="B28" s="51" t="n"/>
      <c r="C28" s="5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1" t="n"/>
      <c r="M28" s="53">
        <f>IF(A28="","",IF(COUNTIF('AFA Rates'!$A$5:$A$504,A28)&gt;0,"Yes","No"))</f>
        <v/>
      </c>
      <c r="N28" s="53">
        <f>IF(A28="","",COUNTIF('AFA Rates'!$A$5:$A$504,A28))</f>
        <v/>
      </c>
      <c r="O28" s="54" t="n"/>
      <c r="P28" s="5" t="n"/>
      <c r="Q28" s="5" t="n"/>
      <c r="R28">
        <f>IF(AND(A28&lt;&gt;"",B28="Paused"),COUNTIFS($A$5:A28,"&lt;&gt;",$B$5:B28,"Paused"),"")</f>
        <v/>
      </c>
      <c r="S28">
        <f>IF(M28="Yes",COUNTIF($M$5:M28,"Yes"),"")</f>
        <v/>
      </c>
    </row>
    <row r="29">
      <c r="A29" s="5" t="n"/>
      <c r="B29" s="51" t="n"/>
      <c r="C29" s="5" t="n"/>
      <c r="D29" s="52" t="n"/>
      <c r="E29" s="52" t="n"/>
      <c r="F29" s="52" t="n"/>
      <c r="G29" s="52" t="n"/>
      <c r="H29" s="52" t="n"/>
      <c r="I29" s="52" t="n"/>
      <c r="J29" s="52" t="n"/>
      <c r="K29" s="52" t="n"/>
      <c r="L29" s="51" t="n"/>
      <c r="M29" s="53">
        <f>IF(A29="","",IF(COUNTIF('AFA Rates'!$A$5:$A$504,A29)&gt;0,"Yes","No"))</f>
        <v/>
      </c>
      <c r="N29" s="53">
        <f>IF(A29="","",COUNTIF('AFA Rates'!$A$5:$A$504,A29))</f>
        <v/>
      </c>
      <c r="O29" s="54" t="n"/>
      <c r="P29" s="5" t="n"/>
      <c r="Q29" s="5" t="n"/>
      <c r="R29">
        <f>IF(AND(A29&lt;&gt;"",B29="Paused"),COUNTIFS($A$5:A29,"&lt;&gt;",$B$5:B29,"Paused"),"")</f>
        <v/>
      </c>
      <c r="S29">
        <f>IF(M29="Yes",COUNTIF($M$5:M29,"Yes"),"")</f>
        <v/>
      </c>
    </row>
    <row r="30">
      <c r="A30" s="5" t="n"/>
      <c r="B30" s="51" t="n"/>
      <c r="C30" s="5" t="n"/>
      <c r="D30" s="52" t="n"/>
      <c r="E30" s="52" t="n"/>
      <c r="F30" s="52" t="n"/>
      <c r="G30" s="52" t="n"/>
      <c r="H30" s="52" t="n"/>
      <c r="I30" s="52" t="n"/>
      <c r="J30" s="52" t="n"/>
      <c r="K30" s="52" t="n"/>
      <c r="L30" s="51" t="n"/>
      <c r="M30" s="53">
        <f>IF(A30="","",IF(COUNTIF('AFA Rates'!$A$5:$A$504,A30)&gt;0,"Yes","No"))</f>
        <v/>
      </c>
      <c r="N30" s="53">
        <f>IF(A30="","",COUNTIF('AFA Rates'!$A$5:$A$504,A30))</f>
        <v/>
      </c>
      <c r="O30" s="54" t="n"/>
      <c r="P30" s="5" t="n"/>
      <c r="Q30" s="5" t="n"/>
      <c r="R30">
        <f>IF(AND(A30&lt;&gt;"",B30="Paused"),COUNTIFS($A$5:A30,"&lt;&gt;",$B$5:B30,"Paused"),"")</f>
        <v/>
      </c>
      <c r="S30">
        <f>IF(M30="Yes",COUNTIF($M$5:M30,"Yes"),"")</f>
        <v/>
      </c>
    </row>
    <row r="31">
      <c r="A31" s="5" t="n"/>
      <c r="B31" s="51" t="n"/>
      <c r="C31" s="5" t="n"/>
      <c r="D31" s="52" t="n"/>
      <c r="E31" s="52" t="n"/>
      <c r="F31" s="52" t="n"/>
      <c r="G31" s="52" t="n"/>
      <c r="H31" s="52" t="n"/>
      <c r="I31" s="52" t="n"/>
      <c r="J31" s="52" t="n"/>
      <c r="K31" s="52" t="n"/>
      <c r="L31" s="51" t="n"/>
      <c r="M31" s="53">
        <f>IF(A31="","",IF(COUNTIF('AFA Rates'!$A$5:$A$504,A31)&gt;0,"Yes","No"))</f>
        <v/>
      </c>
      <c r="N31" s="53">
        <f>IF(A31="","",COUNTIF('AFA Rates'!$A$5:$A$504,A31))</f>
        <v/>
      </c>
      <c r="O31" s="54" t="n"/>
      <c r="P31" s="5" t="n"/>
      <c r="Q31" s="5" t="n"/>
      <c r="R31">
        <f>IF(AND(A31&lt;&gt;"",B31="Paused"),COUNTIFS($A$5:A31,"&lt;&gt;",$B$5:B31,"Paused"),"")</f>
        <v/>
      </c>
      <c r="S31">
        <f>IF(M31="Yes",COUNTIF($M$5:M31,"Yes"),"")</f>
        <v/>
      </c>
    </row>
    <row r="32">
      <c r="A32" s="5" t="n"/>
      <c r="B32" s="51" t="n"/>
      <c r="C32" s="5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1" t="n"/>
      <c r="M32" s="53">
        <f>IF(A32="","",IF(COUNTIF('AFA Rates'!$A$5:$A$504,A32)&gt;0,"Yes","No"))</f>
        <v/>
      </c>
      <c r="N32" s="53">
        <f>IF(A32="","",COUNTIF('AFA Rates'!$A$5:$A$504,A32))</f>
        <v/>
      </c>
      <c r="O32" s="54" t="n"/>
      <c r="P32" s="5" t="n"/>
      <c r="Q32" s="5" t="n"/>
      <c r="R32">
        <f>IF(AND(A32&lt;&gt;"",B32="Paused"),COUNTIFS($A$5:A32,"&lt;&gt;",$B$5:B32,"Paused"),"")</f>
        <v/>
      </c>
      <c r="S32">
        <f>IF(M32="Yes",COUNTIF($M$5:M32,"Yes"),"")</f>
        <v/>
      </c>
    </row>
    <row r="33">
      <c r="A33" s="5" t="n"/>
      <c r="B33" s="51" t="n"/>
      <c r="C33" s="5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1" t="n"/>
      <c r="M33" s="53">
        <f>IF(A33="","",IF(COUNTIF('AFA Rates'!$A$5:$A$504,A33)&gt;0,"Yes","No"))</f>
        <v/>
      </c>
      <c r="N33" s="53">
        <f>IF(A33="","",COUNTIF('AFA Rates'!$A$5:$A$504,A33))</f>
        <v/>
      </c>
      <c r="O33" s="54" t="n"/>
      <c r="P33" s="5" t="n"/>
      <c r="Q33" s="5" t="n"/>
      <c r="R33">
        <f>IF(AND(A33&lt;&gt;"",B33="Paused"),COUNTIFS($A$5:A33,"&lt;&gt;",$B$5:B33,"Paused"),"")</f>
        <v/>
      </c>
      <c r="S33">
        <f>IF(M33="Yes",COUNTIF($M$5:M33,"Yes"),"")</f>
        <v/>
      </c>
    </row>
    <row r="34">
      <c r="A34" s="5" t="n"/>
      <c r="B34" s="51" t="n"/>
      <c r="C34" s="5" t="n"/>
      <c r="D34" s="52" t="n"/>
      <c r="E34" s="52" t="n"/>
      <c r="F34" s="52" t="n"/>
      <c r="G34" s="52" t="n"/>
      <c r="H34" s="52" t="n"/>
      <c r="I34" s="52" t="n"/>
      <c r="J34" s="52" t="n"/>
      <c r="K34" s="52" t="n"/>
      <c r="L34" s="51" t="n"/>
      <c r="M34" s="53">
        <f>IF(A34="","",IF(COUNTIF('AFA Rates'!$A$5:$A$504,A34)&gt;0,"Yes","No"))</f>
        <v/>
      </c>
      <c r="N34" s="53">
        <f>IF(A34="","",COUNTIF('AFA Rates'!$A$5:$A$504,A34))</f>
        <v/>
      </c>
      <c r="O34" s="54" t="n"/>
      <c r="P34" s="5" t="n"/>
      <c r="Q34" s="5" t="n"/>
      <c r="R34">
        <f>IF(AND(A34&lt;&gt;"",B34="Paused"),COUNTIFS($A$5:A34,"&lt;&gt;",$B$5:B34,"Paused"),"")</f>
        <v/>
      </c>
      <c r="S34">
        <f>IF(M34="Yes",COUNTIF($M$5:M34,"Yes"),"")</f>
        <v/>
      </c>
    </row>
    <row r="35">
      <c r="A35" s="5" t="n"/>
      <c r="B35" s="51" t="n"/>
      <c r="C35" s="5" t="n"/>
      <c r="D35" s="52" t="n"/>
      <c r="E35" s="52" t="n"/>
      <c r="F35" s="52" t="n"/>
      <c r="G35" s="52" t="n"/>
      <c r="H35" s="52" t="n"/>
      <c r="I35" s="52" t="n"/>
      <c r="J35" s="52" t="n"/>
      <c r="K35" s="52" t="n"/>
      <c r="L35" s="51" t="n"/>
      <c r="M35" s="53">
        <f>IF(A35="","",IF(COUNTIF('AFA Rates'!$A$5:$A$504,A35)&gt;0,"Yes","No"))</f>
        <v/>
      </c>
      <c r="N35" s="53">
        <f>IF(A35="","",COUNTIF('AFA Rates'!$A$5:$A$504,A35))</f>
        <v/>
      </c>
      <c r="O35" s="54" t="n"/>
      <c r="P35" s="5" t="n"/>
      <c r="Q35" s="5" t="n"/>
      <c r="R35">
        <f>IF(AND(A35&lt;&gt;"",B35="Paused"),COUNTIFS($A$5:A35,"&lt;&gt;",$B$5:B35,"Paused"),"")</f>
        <v/>
      </c>
      <c r="S35">
        <f>IF(M35="Yes",COUNTIF($M$5:M35,"Yes"),"")</f>
        <v/>
      </c>
    </row>
    <row r="36">
      <c r="A36" s="5" t="n"/>
      <c r="B36" s="51" t="n"/>
      <c r="C36" s="5" t="n"/>
      <c r="D36" s="52" t="n"/>
      <c r="E36" s="52" t="n"/>
      <c r="F36" s="52" t="n"/>
      <c r="G36" s="52" t="n"/>
      <c r="H36" s="52" t="n"/>
      <c r="I36" s="52" t="n"/>
      <c r="J36" s="52" t="n"/>
      <c r="K36" s="52" t="n"/>
      <c r="L36" s="51" t="n"/>
      <c r="M36" s="53">
        <f>IF(A36="","",IF(COUNTIF('AFA Rates'!$A$5:$A$504,A36)&gt;0,"Yes","No"))</f>
        <v/>
      </c>
      <c r="N36" s="53">
        <f>IF(A36="","",COUNTIF('AFA Rates'!$A$5:$A$504,A36))</f>
        <v/>
      </c>
      <c r="O36" s="54" t="n"/>
      <c r="P36" s="5" t="n"/>
      <c r="Q36" s="5" t="n"/>
      <c r="R36">
        <f>IF(AND(A36&lt;&gt;"",B36="Paused"),COUNTIFS($A$5:A36,"&lt;&gt;",$B$5:B36,"Paused"),"")</f>
        <v/>
      </c>
      <c r="S36">
        <f>IF(M36="Yes",COUNTIF($M$5:M36,"Yes"),"")</f>
        <v/>
      </c>
    </row>
    <row r="37">
      <c r="A37" s="5" t="n"/>
      <c r="B37" s="51" t="n"/>
      <c r="C37" s="5" t="n"/>
      <c r="D37" s="52" t="n"/>
      <c r="E37" s="52" t="n"/>
      <c r="F37" s="52" t="n"/>
      <c r="G37" s="52" t="n"/>
      <c r="H37" s="52" t="n"/>
      <c r="I37" s="52" t="n"/>
      <c r="J37" s="52" t="n"/>
      <c r="K37" s="52" t="n"/>
      <c r="L37" s="51" t="n"/>
      <c r="M37" s="53">
        <f>IF(A37="","",IF(COUNTIF('AFA Rates'!$A$5:$A$504,A37)&gt;0,"Yes","No"))</f>
        <v/>
      </c>
      <c r="N37" s="53">
        <f>IF(A37="","",COUNTIF('AFA Rates'!$A$5:$A$504,A37))</f>
        <v/>
      </c>
      <c r="O37" s="54" t="n"/>
      <c r="P37" s="5" t="n"/>
      <c r="Q37" s="5" t="n"/>
      <c r="R37">
        <f>IF(AND(A37&lt;&gt;"",B37="Paused"),COUNTIFS($A$5:A37,"&lt;&gt;",$B$5:B37,"Paused"),"")</f>
        <v/>
      </c>
      <c r="S37">
        <f>IF(M37="Yes",COUNTIF($M$5:M37,"Yes"),"")</f>
        <v/>
      </c>
    </row>
    <row r="38">
      <c r="A38" s="5" t="n"/>
      <c r="B38" s="51" t="n"/>
      <c r="C38" s="5" t="n"/>
      <c r="D38" s="52" t="n"/>
      <c r="E38" s="52" t="n"/>
      <c r="F38" s="52" t="n"/>
      <c r="G38" s="52" t="n"/>
      <c r="H38" s="52" t="n"/>
      <c r="I38" s="52" t="n"/>
      <c r="J38" s="52" t="n"/>
      <c r="K38" s="52" t="n"/>
      <c r="L38" s="51" t="n"/>
      <c r="M38" s="53">
        <f>IF(A38="","",IF(COUNTIF('AFA Rates'!$A$5:$A$504,A38)&gt;0,"Yes","No"))</f>
        <v/>
      </c>
      <c r="N38" s="53">
        <f>IF(A38="","",COUNTIF('AFA Rates'!$A$5:$A$504,A38))</f>
        <v/>
      </c>
      <c r="O38" s="54" t="n"/>
      <c r="P38" s="5" t="n"/>
      <c r="Q38" s="5" t="n"/>
      <c r="R38">
        <f>IF(AND(A38&lt;&gt;"",B38="Paused"),COUNTIFS($A$5:A38,"&lt;&gt;",$B$5:B38,"Paused"),"")</f>
        <v/>
      </c>
      <c r="S38">
        <f>IF(M38="Yes",COUNTIF($M$5:M38,"Yes"),"")</f>
        <v/>
      </c>
    </row>
    <row r="39">
      <c r="A39" s="5" t="n"/>
      <c r="B39" s="51" t="n"/>
      <c r="C39" s="5" t="n"/>
      <c r="D39" s="52" t="n"/>
      <c r="E39" s="52" t="n"/>
      <c r="F39" s="52" t="n"/>
      <c r="G39" s="52" t="n"/>
      <c r="H39" s="52" t="n"/>
      <c r="I39" s="52" t="n"/>
      <c r="J39" s="52" t="n"/>
      <c r="K39" s="52" t="n"/>
      <c r="L39" s="51" t="n"/>
      <c r="M39" s="53">
        <f>IF(A39="","",IF(COUNTIF('AFA Rates'!$A$5:$A$504,A39)&gt;0,"Yes","No"))</f>
        <v/>
      </c>
      <c r="N39" s="53">
        <f>IF(A39="","",COUNTIF('AFA Rates'!$A$5:$A$504,A39))</f>
        <v/>
      </c>
      <c r="O39" s="54" t="n"/>
      <c r="P39" s="5" t="n"/>
      <c r="Q39" s="5" t="n"/>
      <c r="R39">
        <f>IF(AND(A39&lt;&gt;"",B39="Paused"),COUNTIFS($A$5:A39,"&lt;&gt;",$B$5:B39,"Paused"),"")</f>
        <v/>
      </c>
      <c r="S39">
        <f>IF(M39="Yes",COUNTIF($M$5:M39,"Yes"),"")</f>
        <v/>
      </c>
    </row>
    <row r="40">
      <c r="A40" s="5" t="n"/>
      <c r="B40" s="51" t="n"/>
      <c r="C40" s="5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1" t="n"/>
      <c r="M40" s="53">
        <f>IF(A40="","",IF(COUNTIF('AFA Rates'!$A$5:$A$504,A40)&gt;0,"Yes","No"))</f>
        <v/>
      </c>
      <c r="N40" s="53">
        <f>IF(A40="","",COUNTIF('AFA Rates'!$A$5:$A$504,A40))</f>
        <v/>
      </c>
      <c r="O40" s="54" t="n"/>
      <c r="P40" s="5" t="n"/>
      <c r="Q40" s="5" t="n"/>
      <c r="R40">
        <f>IF(AND(A40&lt;&gt;"",B40="Paused"),COUNTIFS($A$5:A40,"&lt;&gt;",$B$5:B40,"Paused"),"")</f>
        <v/>
      </c>
      <c r="S40">
        <f>IF(M40="Yes",COUNTIF($M$5:M40,"Yes"),"")</f>
        <v/>
      </c>
    </row>
    <row r="41">
      <c r="A41" s="5" t="n"/>
      <c r="B41" s="51" t="n"/>
      <c r="C41" s="5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1" t="n"/>
      <c r="M41" s="53">
        <f>IF(A41="","",IF(COUNTIF('AFA Rates'!$A$5:$A$504,A41)&gt;0,"Yes","No"))</f>
        <v/>
      </c>
      <c r="N41" s="53">
        <f>IF(A41="","",COUNTIF('AFA Rates'!$A$5:$A$504,A41))</f>
        <v/>
      </c>
      <c r="O41" s="54" t="n"/>
      <c r="P41" s="5" t="n"/>
      <c r="Q41" s="5" t="n"/>
      <c r="R41">
        <f>IF(AND(A41&lt;&gt;"",B41="Paused"),COUNTIFS($A$5:A41,"&lt;&gt;",$B$5:B41,"Paused"),"")</f>
        <v/>
      </c>
      <c r="S41">
        <f>IF(M41="Yes",COUNTIF($M$5:M41,"Yes"),"")</f>
        <v/>
      </c>
    </row>
    <row r="42">
      <c r="A42" s="5" t="n"/>
      <c r="B42" s="51" t="n"/>
      <c r="C42" s="5" t="n"/>
      <c r="D42" s="52" t="n"/>
      <c r="E42" s="52" t="n"/>
      <c r="F42" s="52" t="n"/>
      <c r="G42" s="52" t="n"/>
      <c r="H42" s="52" t="n"/>
      <c r="I42" s="52" t="n"/>
      <c r="J42" s="52" t="n"/>
      <c r="K42" s="52" t="n"/>
      <c r="L42" s="51" t="n"/>
      <c r="M42" s="53">
        <f>IF(A42="","",IF(COUNTIF('AFA Rates'!$A$5:$A$504,A42)&gt;0,"Yes","No"))</f>
        <v/>
      </c>
      <c r="N42" s="53">
        <f>IF(A42="","",COUNTIF('AFA Rates'!$A$5:$A$504,A42))</f>
        <v/>
      </c>
      <c r="O42" s="54" t="n"/>
      <c r="P42" s="5" t="n"/>
      <c r="Q42" s="5" t="n"/>
      <c r="R42">
        <f>IF(AND(A42&lt;&gt;"",B42="Paused"),COUNTIFS($A$5:A42,"&lt;&gt;",$B$5:B42,"Paused"),"")</f>
        <v/>
      </c>
      <c r="S42">
        <f>IF(M42="Yes",COUNTIF($M$5:M42,"Yes"),"")</f>
        <v/>
      </c>
    </row>
    <row r="43">
      <c r="A43" s="5" t="n"/>
      <c r="B43" s="51" t="n"/>
      <c r="C43" s="5" t="n"/>
      <c r="D43" s="52" t="n"/>
      <c r="E43" s="52" t="n"/>
      <c r="F43" s="52" t="n"/>
      <c r="G43" s="52" t="n"/>
      <c r="H43" s="52" t="n"/>
      <c r="I43" s="52" t="n"/>
      <c r="J43" s="52" t="n"/>
      <c r="K43" s="52" t="n"/>
      <c r="L43" s="51" t="n"/>
      <c r="M43" s="53">
        <f>IF(A43="","",IF(COUNTIF('AFA Rates'!$A$5:$A$504,A43)&gt;0,"Yes","No"))</f>
        <v/>
      </c>
      <c r="N43" s="53">
        <f>IF(A43="","",COUNTIF('AFA Rates'!$A$5:$A$504,A43))</f>
        <v/>
      </c>
      <c r="O43" s="54" t="n"/>
      <c r="P43" s="5" t="n"/>
      <c r="Q43" s="5" t="n"/>
      <c r="R43">
        <f>IF(AND(A43&lt;&gt;"",B43="Paused"),COUNTIFS($A$5:A43,"&lt;&gt;",$B$5:B43,"Paused"),"")</f>
        <v/>
      </c>
      <c r="S43">
        <f>IF(M43="Yes",COUNTIF($M$5:M43,"Yes"),"")</f>
        <v/>
      </c>
    </row>
    <row r="44">
      <c r="A44" s="5" t="n"/>
      <c r="B44" s="51" t="n"/>
      <c r="C44" s="5" t="n"/>
      <c r="D44" s="52" t="n"/>
      <c r="E44" s="52" t="n"/>
      <c r="F44" s="52" t="n"/>
      <c r="G44" s="52" t="n"/>
      <c r="H44" s="52" t="n"/>
      <c r="I44" s="52" t="n"/>
      <c r="J44" s="52" t="n"/>
      <c r="K44" s="52" t="n"/>
      <c r="L44" s="51" t="n"/>
      <c r="M44" s="53">
        <f>IF(A44="","",IF(COUNTIF('AFA Rates'!$A$5:$A$504,A44)&gt;0,"Yes","No"))</f>
        <v/>
      </c>
      <c r="N44" s="53">
        <f>IF(A44="","",COUNTIF('AFA Rates'!$A$5:$A$504,A44))</f>
        <v/>
      </c>
      <c r="O44" s="54" t="n"/>
      <c r="P44" s="5" t="n"/>
      <c r="Q44" s="5" t="n"/>
      <c r="R44">
        <f>IF(AND(A44&lt;&gt;"",B44="Paused"),COUNTIFS($A$5:A44,"&lt;&gt;",$B$5:B44,"Paused"),"")</f>
        <v/>
      </c>
      <c r="S44">
        <f>IF(M44="Yes",COUNTIF($M$5:M44,"Yes"),"")</f>
        <v/>
      </c>
    </row>
    <row r="45">
      <c r="A45" s="5" t="n"/>
      <c r="B45" s="51" t="n"/>
      <c r="C45" s="5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1" t="n"/>
      <c r="M45" s="53">
        <f>IF(A45="","",IF(COUNTIF('AFA Rates'!$A$5:$A$504,A45)&gt;0,"Yes","No"))</f>
        <v/>
      </c>
      <c r="N45" s="53">
        <f>IF(A45="","",COUNTIF('AFA Rates'!$A$5:$A$504,A45))</f>
        <v/>
      </c>
      <c r="O45" s="54" t="n"/>
      <c r="P45" s="5" t="n"/>
      <c r="Q45" s="5" t="n"/>
      <c r="R45">
        <f>IF(AND(A45&lt;&gt;"",B45="Paused"),COUNTIFS($A$5:A45,"&lt;&gt;",$B$5:B45,"Paused"),"")</f>
        <v/>
      </c>
      <c r="S45">
        <f>IF(M45="Yes",COUNTIF($M$5:M45,"Yes"),"")</f>
        <v/>
      </c>
    </row>
    <row r="46">
      <c r="A46" s="5" t="n"/>
      <c r="B46" s="51" t="n"/>
      <c r="C46" s="5" t="n"/>
      <c r="D46" s="52" t="n"/>
      <c r="E46" s="52" t="n"/>
      <c r="F46" s="52" t="n"/>
      <c r="G46" s="52" t="n"/>
      <c r="H46" s="52" t="n"/>
      <c r="I46" s="52" t="n"/>
      <c r="J46" s="52" t="n"/>
      <c r="K46" s="52" t="n"/>
      <c r="L46" s="51" t="n"/>
      <c r="M46" s="53">
        <f>IF(A46="","",IF(COUNTIF('AFA Rates'!$A$5:$A$504,A46)&gt;0,"Yes","No"))</f>
        <v/>
      </c>
      <c r="N46" s="53">
        <f>IF(A46="","",COUNTIF('AFA Rates'!$A$5:$A$504,A46))</f>
        <v/>
      </c>
      <c r="O46" s="54" t="n"/>
      <c r="P46" s="5" t="n"/>
      <c r="Q46" s="5" t="n"/>
      <c r="R46">
        <f>IF(AND(A46&lt;&gt;"",B46="Paused"),COUNTIFS($A$5:A46,"&lt;&gt;",$B$5:B46,"Paused"),"")</f>
        <v/>
      </c>
      <c r="S46">
        <f>IF(M46="Yes",COUNTIF($M$5:M46,"Yes"),"")</f>
        <v/>
      </c>
    </row>
    <row r="47">
      <c r="A47" s="5" t="n"/>
      <c r="B47" s="51" t="n"/>
      <c r="C47" s="5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1" t="n"/>
      <c r="M47" s="53">
        <f>IF(A47="","",IF(COUNTIF('AFA Rates'!$A$5:$A$504,A47)&gt;0,"Yes","No"))</f>
        <v/>
      </c>
      <c r="N47" s="53">
        <f>IF(A47="","",COUNTIF('AFA Rates'!$A$5:$A$504,A47))</f>
        <v/>
      </c>
      <c r="O47" s="54" t="n"/>
      <c r="P47" s="5" t="n"/>
      <c r="Q47" s="5" t="n"/>
      <c r="R47">
        <f>IF(AND(A47&lt;&gt;"",B47="Paused"),COUNTIFS($A$5:A47,"&lt;&gt;",$B$5:B47,"Paused"),"")</f>
        <v/>
      </c>
      <c r="S47">
        <f>IF(M47="Yes",COUNTIF($M$5:M47,"Yes"),"")</f>
        <v/>
      </c>
    </row>
    <row r="48">
      <c r="A48" s="5" t="n"/>
      <c r="B48" s="51" t="n"/>
      <c r="C48" s="5" t="n"/>
      <c r="D48" s="52" t="n"/>
      <c r="E48" s="52" t="n"/>
      <c r="F48" s="52" t="n"/>
      <c r="G48" s="52" t="n"/>
      <c r="H48" s="52" t="n"/>
      <c r="I48" s="52" t="n"/>
      <c r="J48" s="52" t="n"/>
      <c r="K48" s="52" t="n"/>
      <c r="L48" s="51" t="n"/>
      <c r="M48" s="53">
        <f>IF(A48="","",IF(COUNTIF('AFA Rates'!$A$5:$A$504,A48)&gt;0,"Yes","No"))</f>
        <v/>
      </c>
      <c r="N48" s="53">
        <f>IF(A48="","",COUNTIF('AFA Rates'!$A$5:$A$504,A48))</f>
        <v/>
      </c>
      <c r="O48" s="54" t="n"/>
      <c r="P48" s="5" t="n"/>
      <c r="Q48" s="5" t="n"/>
      <c r="R48">
        <f>IF(AND(A48&lt;&gt;"",B48="Paused"),COUNTIFS($A$5:A48,"&lt;&gt;",$B$5:B48,"Paused"),"")</f>
        <v/>
      </c>
      <c r="S48">
        <f>IF(M48="Yes",COUNTIF($M$5:M48,"Yes"),"")</f>
        <v/>
      </c>
    </row>
    <row r="49">
      <c r="A49" s="5" t="n"/>
      <c r="B49" s="51" t="n"/>
      <c r="C49" s="5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1" t="n"/>
      <c r="M49" s="53">
        <f>IF(A49="","",IF(COUNTIF('AFA Rates'!$A$5:$A$504,A49)&gt;0,"Yes","No"))</f>
        <v/>
      </c>
      <c r="N49" s="53">
        <f>IF(A49="","",COUNTIF('AFA Rates'!$A$5:$A$504,A49))</f>
        <v/>
      </c>
      <c r="O49" s="54" t="n"/>
      <c r="P49" s="5" t="n"/>
      <c r="Q49" s="5" t="n"/>
      <c r="R49">
        <f>IF(AND(A49&lt;&gt;"",B49="Paused"),COUNTIFS($A$5:A49,"&lt;&gt;",$B$5:B49,"Paused"),"")</f>
        <v/>
      </c>
      <c r="S49">
        <f>IF(M49="Yes",COUNTIF($M$5:M49,"Yes"),"")</f>
        <v/>
      </c>
    </row>
    <row r="50">
      <c r="A50" s="5" t="n"/>
      <c r="B50" s="51" t="n"/>
      <c r="C50" s="5" t="n"/>
      <c r="D50" s="52" t="n"/>
      <c r="E50" s="52" t="n"/>
      <c r="F50" s="52" t="n"/>
      <c r="G50" s="52" t="n"/>
      <c r="H50" s="52" t="n"/>
      <c r="I50" s="52" t="n"/>
      <c r="J50" s="52" t="n"/>
      <c r="K50" s="52" t="n"/>
      <c r="L50" s="51" t="n"/>
      <c r="M50" s="53">
        <f>IF(A50="","",IF(COUNTIF('AFA Rates'!$A$5:$A$504,A50)&gt;0,"Yes","No"))</f>
        <v/>
      </c>
      <c r="N50" s="53">
        <f>IF(A50="","",COUNTIF('AFA Rates'!$A$5:$A$504,A50))</f>
        <v/>
      </c>
      <c r="O50" s="54" t="n"/>
      <c r="P50" s="5" t="n"/>
      <c r="Q50" s="5" t="n"/>
      <c r="R50">
        <f>IF(AND(A50&lt;&gt;"",B50="Paused"),COUNTIFS($A$5:A50,"&lt;&gt;",$B$5:B50,"Paused"),"")</f>
        <v/>
      </c>
      <c r="S50">
        <f>IF(M50="Yes",COUNTIF($M$5:M50,"Yes"),"")</f>
        <v/>
      </c>
    </row>
    <row r="51">
      <c r="A51" s="5" t="n"/>
      <c r="B51" s="51" t="n"/>
      <c r="C51" s="5" t="n"/>
      <c r="D51" s="52" t="n"/>
      <c r="E51" s="52" t="n"/>
      <c r="F51" s="52" t="n"/>
      <c r="G51" s="52" t="n"/>
      <c r="H51" s="52" t="n"/>
      <c r="I51" s="52" t="n"/>
      <c r="J51" s="52" t="n"/>
      <c r="K51" s="52" t="n"/>
      <c r="L51" s="51" t="n"/>
      <c r="M51" s="53">
        <f>IF(A51="","",IF(COUNTIF('AFA Rates'!$A$5:$A$504,A51)&gt;0,"Yes","No"))</f>
        <v/>
      </c>
      <c r="N51" s="53">
        <f>IF(A51="","",COUNTIF('AFA Rates'!$A$5:$A$504,A51))</f>
        <v/>
      </c>
      <c r="O51" s="54" t="n"/>
      <c r="P51" s="5" t="n"/>
      <c r="Q51" s="5" t="n"/>
      <c r="R51">
        <f>IF(AND(A51&lt;&gt;"",B51="Paused"),COUNTIFS($A$5:A51,"&lt;&gt;",$B$5:B51,"Paused"),"")</f>
        <v/>
      </c>
      <c r="S51">
        <f>IF(M51="Yes",COUNTIF($M$5:M51,"Yes"),"")</f>
        <v/>
      </c>
    </row>
    <row r="52">
      <c r="A52" s="5" t="n"/>
      <c r="B52" s="51" t="n"/>
      <c r="C52" s="5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1" t="n"/>
      <c r="M52" s="53">
        <f>IF(A52="","",IF(COUNTIF('AFA Rates'!$A$5:$A$504,A52)&gt;0,"Yes","No"))</f>
        <v/>
      </c>
      <c r="N52" s="53">
        <f>IF(A52="","",COUNTIF('AFA Rates'!$A$5:$A$504,A52))</f>
        <v/>
      </c>
      <c r="O52" s="54" t="n"/>
      <c r="P52" s="5" t="n"/>
      <c r="Q52" s="5" t="n"/>
      <c r="R52">
        <f>IF(AND(A52&lt;&gt;"",B52="Paused"),COUNTIFS($A$5:A52,"&lt;&gt;",$B$5:B52,"Paused"),"")</f>
        <v/>
      </c>
      <c r="S52">
        <f>IF(M52="Yes",COUNTIF($M$5:M52,"Yes"),"")</f>
        <v/>
      </c>
    </row>
    <row r="53">
      <c r="A53" s="5" t="n"/>
      <c r="B53" s="51" t="n"/>
      <c r="C53" s="5" t="n"/>
      <c r="D53" s="52" t="n"/>
      <c r="E53" s="52" t="n"/>
      <c r="F53" s="52" t="n"/>
      <c r="G53" s="52" t="n"/>
      <c r="H53" s="52" t="n"/>
      <c r="I53" s="52" t="n"/>
      <c r="J53" s="52" t="n"/>
      <c r="K53" s="52" t="n"/>
      <c r="L53" s="51" t="n"/>
      <c r="M53" s="53">
        <f>IF(A53="","",IF(COUNTIF('AFA Rates'!$A$5:$A$504,A53)&gt;0,"Yes","No"))</f>
        <v/>
      </c>
      <c r="N53" s="53">
        <f>IF(A53="","",COUNTIF('AFA Rates'!$A$5:$A$504,A53))</f>
        <v/>
      </c>
      <c r="O53" s="54" t="n"/>
      <c r="P53" s="5" t="n"/>
      <c r="Q53" s="5" t="n"/>
      <c r="R53">
        <f>IF(AND(A53&lt;&gt;"",B53="Paused"),COUNTIFS($A$5:A53,"&lt;&gt;",$B$5:B53,"Paused"),"")</f>
        <v/>
      </c>
      <c r="S53">
        <f>IF(M53="Yes",COUNTIF($M$5:M53,"Yes"),"")</f>
        <v/>
      </c>
    </row>
    <row r="54">
      <c r="A54" s="5" t="n"/>
      <c r="B54" s="51" t="n"/>
      <c r="C54" s="5" t="n"/>
      <c r="D54" s="52" t="n"/>
      <c r="E54" s="52" t="n"/>
      <c r="F54" s="52" t="n"/>
      <c r="G54" s="52" t="n"/>
      <c r="H54" s="52" t="n"/>
      <c r="I54" s="52" t="n"/>
      <c r="J54" s="52" t="n"/>
      <c r="K54" s="52" t="n"/>
      <c r="L54" s="51" t="n"/>
      <c r="M54" s="53">
        <f>IF(A54="","",IF(COUNTIF('AFA Rates'!$A$5:$A$504,A54)&gt;0,"Yes","No"))</f>
        <v/>
      </c>
      <c r="N54" s="53">
        <f>IF(A54="","",COUNTIF('AFA Rates'!$A$5:$A$504,A54))</f>
        <v/>
      </c>
      <c r="O54" s="54" t="n"/>
      <c r="P54" s="5" t="n"/>
      <c r="Q54" s="5" t="n"/>
      <c r="R54">
        <f>IF(AND(A54&lt;&gt;"",B54="Paused"),COUNTIFS($A$5:A54,"&lt;&gt;",$B$5:B54,"Paused"),"")</f>
        <v/>
      </c>
      <c r="S54">
        <f>IF(M54="Yes",COUNTIF($M$5:M54,"Yes"),"")</f>
        <v/>
      </c>
    </row>
    <row r="55">
      <c r="A55" s="5" t="n"/>
      <c r="B55" s="51" t="n"/>
      <c r="C55" s="5" t="n"/>
      <c r="D55" s="52" t="n"/>
      <c r="E55" s="52" t="n"/>
      <c r="F55" s="52" t="n"/>
      <c r="G55" s="52" t="n"/>
      <c r="H55" s="52" t="n"/>
      <c r="I55" s="52" t="n"/>
      <c r="J55" s="52" t="n"/>
      <c r="K55" s="52" t="n"/>
      <c r="L55" s="51" t="n"/>
      <c r="M55" s="53">
        <f>IF(A55="","",IF(COUNTIF('AFA Rates'!$A$5:$A$504,A55)&gt;0,"Yes","No"))</f>
        <v/>
      </c>
      <c r="N55" s="53">
        <f>IF(A55="","",COUNTIF('AFA Rates'!$A$5:$A$504,A55))</f>
        <v/>
      </c>
      <c r="O55" s="54" t="n"/>
      <c r="P55" s="5" t="n"/>
      <c r="Q55" s="5" t="n"/>
      <c r="R55">
        <f>IF(AND(A55&lt;&gt;"",B55="Paused"),COUNTIFS($A$5:A55,"&lt;&gt;",$B$5:B55,"Paused"),"")</f>
        <v/>
      </c>
      <c r="S55">
        <f>IF(M55="Yes",COUNTIF($M$5:M55,"Yes"),"")</f>
        <v/>
      </c>
    </row>
    <row r="56">
      <c r="A56" s="5" t="n"/>
      <c r="B56" s="51" t="n"/>
      <c r="C56" s="5" t="n"/>
      <c r="D56" s="52" t="n"/>
      <c r="E56" s="52" t="n"/>
      <c r="F56" s="52" t="n"/>
      <c r="G56" s="52" t="n"/>
      <c r="H56" s="52" t="n"/>
      <c r="I56" s="52" t="n"/>
      <c r="J56" s="52" t="n"/>
      <c r="K56" s="52" t="n"/>
      <c r="L56" s="51" t="n"/>
      <c r="M56" s="53">
        <f>IF(A56="","",IF(COUNTIF('AFA Rates'!$A$5:$A$504,A56)&gt;0,"Yes","No"))</f>
        <v/>
      </c>
      <c r="N56" s="53">
        <f>IF(A56="","",COUNTIF('AFA Rates'!$A$5:$A$504,A56))</f>
        <v/>
      </c>
      <c r="O56" s="54" t="n"/>
      <c r="P56" s="5" t="n"/>
      <c r="Q56" s="5" t="n"/>
      <c r="R56">
        <f>IF(AND(A56&lt;&gt;"",B56="Paused"),COUNTIFS($A$5:A56,"&lt;&gt;",$B$5:B56,"Paused"),"")</f>
        <v/>
      </c>
      <c r="S56">
        <f>IF(M56="Yes",COUNTIF($M$5:M56,"Yes"),"")</f>
        <v/>
      </c>
    </row>
    <row r="57">
      <c r="A57" s="5" t="n"/>
      <c r="B57" s="51" t="n"/>
      <c r="C57" s="5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1" t="n"/>
      <c r="M57" s="53">
        <f>IF(A57="","",IF(COUNTIF('AFA Rates'!$A$5:$A$504,A57)&gt;0,"Yes","No"))</f>
        <v/>
      </c>
      <c r="N57" s="53">
        <f>IF(A57="","",COUNTIF('AFA Rates'!$A$5:$A$504,A57))</f>
        <v/>
      </c>
      <c r="O57" s="54" t="n"/>
      <c r="P57" s="5" t="n"/>
      <c r="Q57" s="5" t="n"/>
      <c r="R57">
        <f>IF(AND(A57&lt;&gt;"",B57="Paused"),COUNTIFS($A$5:A57,"&lt;&gt;",$B$5:B57,"Paused"),"")</f>
        <v/>
      </c>
      <c r="S57">
        <f>IF(M57="Yes",COUNTIF($M$5:M57,"Yes"),"")</f>
        <v/>
      </c>
    </row>
    <row r="58">
      <c r="A58" s="5" t="n"/>
      <c r="B58" s="51" t="n"/>
      <c r="C58" s="5" t="n"/>
      <c r="D58" s="52" t="n"/>
      <c r="E58" s="52" t="n"/>
      <c r="F58" s="52" t="n"/>
      <c r="G58" s="52" t="n"/>
      <c r="H58" s="52" t="n"/>
      <c r="I58" s="52" t="n"/>
      <c r="J58" s="52" t="n"/>
      <c r="K58" s="52" t="n"/>
      <c r="L58" s="51" t="n"/>
      <c r="M58" s="53">
        <f>IF(A58="","",IF(COUNTIF('AFA Rates'!$A$5:$A$504,A58)&gt;0,"Yes","No"))</f>
        <v/>
      </c>
      <c r="N58" s="53">
        <f>IF(A58="","",COUNTIF('AFA Rates'!$A$5:$A$504,A58))</f>
        <v/>
      </c>
      <c r="O58" s="54" t="n"/>
      <c r="P58" s="5" t="n"/>
      <c r="Q58" s="5" t="n"/>
      <c r="R58">
        <f>IF(AND(A58&lt;&gt;"",B58="Paused"),COUNTIFS($A$5:A58,"&lt;&gt;",$B$5:B58,"Paused"),"")</f>
        <v/>
      </c>
      <c r="S58">
        <f>IF(M58="Yes",COUNTIF($M$5:M58,"Yes"),"")</f>
        <v/>
      </c>
    </row>
    <row r="59">
      <c r="A59" s="5" t="n"/>
      <c r="B59" s="51" t="n"/>
      <c r="C59" s="5" t="n"/>
      <c r="D59" s="52" t="n"/>
      <c r="E59" s="52" t="n"/>
      <c r="F59" s="52" t="n"/>
      <c r="G59" s="52" t="n"/>
      <c r="H59" s="52" t="n"/>
      <c r="I59" s="52" t="n"/>
      <c r="J59" s="52" t="n"/>
      <c r="K59" s="52" t="n"/>
      <c r="L59" s="51" t="n"/>
      <c r="M59" s="53">
        <f>IF(A59="","",IF(COUNTIF('AFA Rates'!$A$5:$A$504,A59)&gt;0,"Yes","No"))</f>
        <v/>
      </c>
      <c r="N59" s="53">
        <f>IF(A59="","",COUNTIF('AFA Rates'!$A$5:$A$504,A59))</f>
        <v/>
      </c>
      <c r="O59" s="54" t="n"/>
      <c r="P59" s="5" t="n"/>
      <c r="Q59" s="5" t="n"/>
      <c r="R59">
        <f>IF(AND(A59&lt;&gt;"",B59="Paused"),COUNTIFS($A$5:A59,"&lt;&gt;",$B$5:B59,"Paused"),"")</f>
        <v/>
      </c>
      <c r="S59">
        <f>IF(M59="Yes",COUNTIF($M$5:M59,"Yes"),"")</f>
        <v/>
      </c>
    </row>
    <row r="60">
      <c r="A60" s="5" t="n"/>
      <c r="B60" s="51" t="n"/>
      <c r="C60" s="5" t="n"/>
      <c r="D60" s="52" t="n"/>
      <c r="E60" s="52" t="n"/>
      <c r="F60" s="52" t="n"/>
      <c r="G60" s="52" t="n"/>
      <c r="H60" s="52" t="n"/>
      <c r="I60" s="52" t="n"/>
      <c r="J60" s="52" t="n"/>
      <c r="K60" s="52" t="n"/>
      <c r="L60" s="51" t="n"/>
      <c r="M60" s="53">
        <f>IF(A60="","",IF(COUNTIF('AFA Rates'!$A$5:$A$504,A60)&gt;0,"Yes","No"))</f>
        <v/>
      </c>
      <c r="N60" s="53">
        <f>IF(A60="","",COUNTIF('AFA Rates'!$A$5:$A$504,A60))</f>
        <v/>
      </c>
      <c r="O60" s="54" t="n"/>
      <c r="P60" s="5" t="n"/>
      <c r="Q60" s="5" t="n"/>
      <c r="R60">
        <f>IF(AND(A60&lt;&gt;"",B60="Paused"),COUNTIFS($A$5:A60,"&lt;&gt;",$B$5:B60,"Paused"),"")</f>
        <v/>
      </c>
      <c r="S60">
        <f>IF(M60="Yes",COUNTIF($M$5:M60,"Yes"),"")</f>
        <v/>
      </c>
    </row>
    <row r="61">
      <c r="A61" s="5" t="n"/>
      <c r="B61" s="51" t="n"/>
      <c r="C61" s="5" t="n"/>
      <c r="D61" s="52" t="n"/>
      <c r="E61" s="52" t="n"/>
      <c r="F61" s="52" t="n"/>
      <c r="G61" s="52" t="n"/>
      <c r="H61" s="52" t="n"/>
      <c r="I61" s="52" t="n"/>
      <c r="J61" s="52" t="n"/>
      <c r="K61" s="52" t="n"/>
      <c r="L61" s="51" t="n"/>
      <c r="M61" s="53">
        <f>IF(A61="","",IF(COUNTIF('AFA Rates'!$A$5:$A$504,A61)&gt;0,"Yes","No"))</f>
        <v/>
      </c>
      <c r="N61" s="53">
        <f>IF(A61="","",COUNTIF('AFA Rates'!$A$5:$A$504,A61))</f>
        <v/>
      </c>
      <c r="O61" s="54" t="n"/>
      <c r="P61" s="5" t="n"/>
      <c r="Q61" s="5" t="n"/>
      <c r="R61">
        <f>IF(AND(A61&lt;&gt;"",B61="Paused"),COUNTIFS($A$5:A61,"&lt;&gt;",$B$5:B61,"Paused"),"")</f>
        <v/>
      </c>
      <c r="S61">
        <f>IF(M61="Yes",COUNTIF($M$5:M61,"Yes"),"")</f>
        <v/>
      </c>
    </row>
    <row r="62">
      <c r="A62" s="5" t="n"/>
      <c r="B62" s="51" t="n"/>
      <c r="C62" s="5" t="n"/>
      <c r="D62" s="52" t="n"/>
      <c r="E62" s="52" t="n"/>
      <c r="F62" s="52" t="n"/>
      <c r="G62" s="52" t="n"/>
      <c r="H62" s="52" t="n"/>
      <c r="I62" s="52" t="n"/>
      <c r="J62" s="52" t="n"/>
      <c r="K62" s="52" t="n"/>
      <c r="L62" s="51" t="n"/>
      <c r="M62" s="53">
        <f>IF(A62="","",IF(COUNTIF('AFA Rates'!$A$5:$A$504,A62)&gt;0,"Yes","No"))</f>
        <v/>
      </c>
      <c r="N62" s="53">
        <f>IF(A62="","",COUNTIF('AFA Rates'!$A$5:$A$504,A62))</f>
        <v/>
      </c>
      <c r="O62" s="54" t="n"/>
      <c r="P62" s="5" t="n"/>
      <c r="Q62" s="5" t="n"/>
      <c r="R62">
        <f>IF(AND(A62&lt;&gt;"",B62="Paused"),COUNTIFS($A$5:A62,"&lt;&gt;",$B$5:B62,"Paused"),"")</f>
        <v/>
      </c>
      <c r="S62">
        <f>IF(M62="Yes",COUNTIF($M$5:M62,"Yes"),"")</f>
        <v/>
      </c>
    </row>
    <row r="63">
      <c r="A63" s="5" t="n"/>
      <c r="B63" s="51" t="n"/>
      <c r="C63" s="5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1" t="n"/>
      <c r="M63" s="53">
        <f>IF(A63="","",IF(COUNTIF('AFA Rates'!$A$5:$A$504,A63)&gt;0,"Yes","No"))</f>
        <v/>
      </c>
      <c r="N63" s="53">
        <f>IF(A63="","",COUNTIF('AFA Rates'!$A$5:$A$504,A63))</f>
        <v/>
      </c>
      <c r="O63" s="54" t="n"/>
      <c r="P63" s="5" t="n"/>
      <c r="Q63" s="5" t="n"/>
      <c r="R63">
        <f>IF(AND(A63&lt;&gt;"",B63="Paused"),COUNTIFS($A$5:A63,"&lt;&gt;",$B$5:B63,"Paused"),"")</f>
        <v/>
      </c>
      <c r="S63">
        <f>IF(M63="Yes",COUNTIF($M$5:M63,"Yes"),"")</f>
        <v/>
      </c>
    </row>
    <row r="64">
      <c r="A64" s="5" t="n"/>
      <c r="B64" s="51" t="n"/>
      <c r="C64" s="5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1" t="n"/>
      <c r="M64" s="53">
        <f>IF(A64="","",IF(COUNTIF('AFA Rates'!$A$5:$A$504,A64)&gt;0,"Yes","No"))</f>
        <v/>
      </c>
      <c r="N64" s="53">
        <f>IF(A64="","",COUNTIF('AFA Rates'!$A$5:$A$504,A64))</f>
        <v/>
      </c>
      <c r="O64" s="54" t="n"/>
      <c r="P64" s="5" t="n"/>
      <c r="Q64" s="5" t="n"/>
      <c r="R64">
        <f>IF(AND(A64&lt;&gt;"",B64="Paused"),COUNTIFS($A$5:A64,"&lt;&gt;",$B$5:B64,"Paused"),"")</f>
        <v/>
      </c>
      <c r="S64">
        <f>IF(M64="Yes",COUNTIF($M$5:M64,"Yes"),"")</f>
        <v/>
      </c>
    </row>
    <row r="65">
      <c r="A65" s="5" t="n"/>
      <c r="B65" s="51" t="n"/>
      <c r="C65" s="5" t="n"/>
      <c r="D65" s="52" t="n"/>
      <c r="E65" s="52" t="n"/>
      <c r="F65" s="52" t="n"/>
      <c r="G65" s="52" t="n"/>
      <c r="H65" s="52" t="n"/>
      <c r="I65" s="52" t="n"/>
      <c r="J65" s="52" t="n"/>
      <c r="K65" s="52" t="n"/>
      <c r="L65" s="51" t="n"/>
      <c r="M65" s="53">
        <f>IF(A65="","",IF(COUNTIF('AFA Rates'!$A$5:$A$504,A65)&gt;0,"Yes","No"))</f>
        <v/>
      </c>
      <c r="N65" s="53">
        <f>IF(A65="","",COUNTIF('AFA Rates'!$A$5:$A$504,A65))</f>
        <v/>
      </c>
      <c r="O65" s="54" t="n"/>
      <c r="P65" s="5" t="n"/>
      <c r="Q65" s="5" t="n"/>
      <c r="R65">
        <f>IF(AND(A65&lt;&gt;"",B65="Paused"),COUNTIFS($A$5:A65,"&lt;&gt;",$B$5:B65,"Paused"),"")</f>
        <v/>
      </c>
      <c r="S65">
        <f>IF(M65="Yes",COUNTIF($M$5:M65,"Yes"),"")</f>
        <v/>
      </c>
    </row>
    <row r="66">
      <c r="A66" s="5" t="n"/>
      <c r="B66" s="51" t="n"/>
      <c r="C66" s="5" t="n"/>
      <c r="D66" s="52" t="n"/>
      <c r="E66" s="52" t="n"/>
      <c r="F66" s="52" t="n"/>
      <c r="G66" s="52" t="n"/>
      <c r="H66" s="52" t="n"/>
      <c r="I66" s="52" t="n"/>
      <c r="J66" s="52" t="n"/>
      <c r="K66" s="52" t="n"/>
      <c r="L66" s="51" t="n"/>
      <c r="M66" s="53">
        <f>IF(A66="","",IF(COUNTIF('AFA Rates'!$A$5:$A$504,A66)&gt;0,"Yes","No"))</f>
        <v/>
      </c>
      <c r="N66" s="53">
        <f>IF(A66="","",COUNTIF('AFA Rates'!$A$5:$A$504,A66))</f>
        <v/>
      </c>
      <c r="O66" s="54" t="n"/>
      <c r="P66" s="5" t="n"/>
      <c r="Q66" s="5" t="n"/>
      <c r="R66">
        <f>IF(AND(A66&lt;&gt;"",B66="Paused"),COUNTIFS($A$5:A66,"&lt;&gt;",$B$5:B66,"Paused"),"")</f>
        <v/>
      </c>
      <c r="S66">
        <f>IF(M66="Yes",COUNTIF($M$5:M66,"Yes"),"")</f>
        <v/>
      </c>
    </row>
    <row r="67">
      <c r="A67" s="5" t="n"/>
      <c r="B67" s="51" t="n"/>
      <c r="C67" s="5" t="n"/>
      <c r="D67" s="52" t="n"/>
      <c r="E67" s="52" t="n"/>
      <c r="F67" s="52" t="n"/>
      <c r="G67" s="52" t="n"/>
      <c r="H67" s="52" t="n"/>
      <c r="I67" s="52" t="n"/>
      <c r="J67" s="52" t="n"/>
      <c r="K67" s="52" t="n"/>
      <c r="L67" s="51" t="n"/>
      <c r="M67" s="53">
        <f>IF(A67="","",IF(COUNTIF('AFA Rates'!$A$5:$A$504,A67)&gt;0,"Yes","No"))</f>
        <v/>
      </c>
      <c r="N67" s="53">
        <f>IF(A67="","",COUNTIF('AFA Rates'!$A$5:$A$504,A67))</f>
        <v/>
      </c>
      <c r="O67" s="54" t="n"/>
      <c r="P67" s="5" t="n"/>
      <c r="Q67" s="5" t="n"/>
      <c r="R67">
        <f>IF(AND(A67&lt;&gt;"",B67="Paused"),COUNTIFS($A$5:A67,"&lt;&gt;",$B$5:B67,"Paused"),"")</f>
        <v/>
      </c>
      <c r="S67">
        <f>IF(M67="Yes",COUNTIF($M$5:M67,"Yes"),"")</f>
        <v/>
      </c>
    </row>
    <row r="68">
      <c r="A68" s="5" t="n"/>
      <c r="B68" s="51" t="n"/>
      <c r="C68" s="5" t="n"/>
      <c r="D68" s="52" t="n"/>
      <c r="E68" s="52" t="n"/>
      <c r="F68" s="52" t="n"/>
      <c r="G68" s="52" t="n"/>
      <c r="H68" s="52" t="n"/>
      <c r="I68" s="52" t="n"/>
      <c r="J68" s="52" t="n"/>
      <c r="K68" s="52" t="n"/>
      <c r="L68" s="51" t="n"/>
      <c r="M68" s="53">
        <f>IF(A68="","",IF(COUNTIF('AFA Rates'!$A$5:$A$504,A68)&gt;0,"Yes","No"))</f>
        <v/>
      </c>
      <c r="N68" s="53">
        <f>IF(A68="","",COUNTIF('AFA Rates'!$A$5:$A$504,A68))</f>
        <v/>
      </c>
      <c r="O68" s="54" t="n"/>
      <c r="P68" s="5" t="n"/>
      <c r="Q68" s="5" t="n"/>
      <c r="R68">
        <f>IF(AND(A68&lt;&gt;"",B68="Paused"),COUNTIFS($A$5:A68,"&lt;&gt;",$B$5:B68,"Paused"),"")</f>
        <v/>
      </c>
      <c r="S68">
        <f>IF(M68="Yes",COUNTIF($M$5:M68,"Yes"),"")</f>
        <v/>
      </c>
    </row>
    <row r="69">
      <c r="A69" s="5" t="n"/>
      <c r="B69" s="51" t="n"/>
      <c r="C69" s="5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1" t="n"/>
      <c r="M69" s="53">
        <f>IF(A69="","",IF(COUNTIF('AFA Rates'!$A$5:$A$504,A69)&gt;0,"Yes","No"))</f>
        <v/>
      </c>
      <c r="N69" s="53">
        <f>IF(A69="","",COUNTIF('AFA Rates'!$A$5:$A$504,A69))</f>
        <v/>
      </c>
      <c r="O69" s="54" t="n"/>
      <c r="P69" s="5" t="n"/>
      <c r="Q69" s="5" t="n"/>
      <c r="R69">
        <f>IF(AND(A69&lt;&gt;"",B69="Paused"),COUNTIFS($A$5:A69,"&lt;&gt;",$B$5:B69,"Paused"),"")</f>
        <v/>
      </c>
      <c r="S69">
        <f>IF(M69="Yes",COUNTIF($M$5:M69,"Yes"),"")</f>
        <v/>
      </c>
    </row>
    <row r="70">
      <c r="A70" s="5" t="n"/>
      <c r="B70" s="51" t="n"/>
      <c r="C70" s="5" t="n"/>
      <c r="D70" s="52" t="n"/>
      <c r="E70" s="52" t="n"/>
      <c r="F70" s="52" t="n"/>
      <c r="G70" s="52" t="n"/>
      <c r="H70" s="52" t="n"/>
      <c r="I70" s="52" t="n"/>
      <c r="J70" s="52" t="n"/>
      <c r="K70" s="52" t="n"/>
      <c r="L70" s="51" t="n"/>
      <c r="M70" s="53">
        <f>IF(A70="","",IF(COUNTIF('AFA Rates'!$A$5:$A$504,A70)&gt;0,"Yes","No"))</f>
        <v/>
      </c>
      <c r="N70" s="53">
        <f>IF(A70="","",COUNTIF('AFA Rates'!$A$5:$A$504,A70))</f>
        <v/>
      </c>
      <c r="O70" s="54" t="n"/>
      <c r="P70" s="5" t="n"/>
      <c r="Q70" s="5" t="n"/>
      <c r="R70">
        <f>IF(AND(A70&lt;&gt;"",B70="Paused"),COUNTIFS($A$5:A70,"&lt;&gt;",$B$5:B70,"Paused"),"")</f>
        <v/>
      </c>
      <c r="S70">
        <f>IF(M70="Yes",COUNTIF($M$5:M70,"Yes"),"")</f>
        <v/>
      </c>
    </row>
    <row r="71">
      <c r="A71" s="5" t="n"/>
      <c r="B71" s="51" t="n"/>
      <c r="C71" s="5" t="n"/>
      <c r="D71" s="52" t="n"/>
      <c r="E71" s="52" t="n"/>
      <c r="F71" s="52" t="n"/>
      <c r="G71" s="52" t="n"/>
      <c r="H71" s="52" t="n"/>
      <c r="I71" s="52" t="n"/>
      <c r="J71" s="52" t="n"/>
      <c r="K71" s="52" t="n"/>
      <c r="L71" s="51" t="n"/>
      <c r="M71" s="53">
        <f>IF(A71="","",IF(COUNTIF('AFA Rates'!$A$5:$A$504,A71)&gt;0,"Yes","No"))</f>
        <v/>
      </c>
      <c r="N71" s="53">
        <f>IF(A71="","",COUNTIF('AFA Rates'!$A$5:$A$504,A71))</f>
        <v/>
      </c>
      <c r="O71" s="54" t="n"/>
      <c r="P71" s="5" t="n"/>
      <c r="Q71" s="5" t="n"/>
      <c r="R71">
        <f>IF(AND(A71&lt;&gt;"",B71="Paused"),COUNTIFS($A$5:A71,"&lt;&gt;",$B$5:B71,"Paused"),"")</f>
        <v/>
      </c>
      <c r="S71">
        <f>IF(M71="Yes",COUNTIF($M$5:M71,"Yes"),"")</f>
        <v/>
      </c>
    </row>
    <row r="72">
      <c r="A72" s="5" t="n"/>
      <c r="B72" s="51" t="n"/>
      <c r="C72" s="5" t="n"/>
      <c r="D72" s="52" t="n"/>
      <c r="E72" s="52" t="n"/>
      <c r="F72" s="52" t="n"/>
      <c r="G72" s="52" t="n"/>
      <c r="H72" s="52" t="n"/>
      <c r="I72" s="52" t="n"/>
      <c r="J72" s="52" t="n"/>
      <c r="K72" s="52" t="n"/>
      <c r="L72" s="51" t="n"/>
      <c r="M72" s="53">
        <f>IF(A72="","",IF(COUNTIF('AFA Rates'!$A$5:$A$504,A72)&gt;0,"Yes","No"))</f>
        <v/>
      </c>
      <c r="N72" s="53">
        <f>IF(A72="","",COUNTIF('AFA Rates'!$A$5:$A$504,A72))</f>
        <v/>
      </c>
      <c r="O72" s="54" t="n"/>
      <c r="P72" s="5" t="n"/>
      <c r="Q72" s="5" t="n"/>
      <c r="R72">
        <f>IF(AND(A72&lt;&gt;"",B72="Paused"),COUNTIFS($A$5:A72,"&lt;&gt;",$B$5:B72,"Paused"),"")</f>
        <v/>
      </c>
      <c r="S72">
        <f>IF(M72="Yes",COUNTIF($M$5:M72,"Yes"),"")</f>
        <v/>
      </c>
    </row>
    <row r="73">
      <c r="A73" s="5" t="n"/>
      <c r="B73" s="51" t="n"/>
      <c r="C73" s="5" t="n"/>
      <c r="D73" s="52" t="n"/>
      <c r="E73" s="52" t="n"/>
      <c r="F73" s="52" t="n"/>
      <c r="G73" s="52" t="n"/>
      <c r="H73" s="52" t="n"/>
      <c r="I73" s="52" t="n"/>
      <c r="J73" s="52" t="n"/>
      <c r="K73" s="52" t="n"/>
      <c r="L73" s="51" t="n"/>
      <c r="M73" s="53">
        <f>IF(A73="","",IF(COUNTIF('AFA Rates'!$A$5:$A$504,A73)&gt;0,"Yes","No"))</f>
        <v/>
      </c>
      <c r="N73" s="53">
        <f>IF(A73="","",COUNTIF('AFA Rates'!$A$5:$A$504,A73))</f>
        <v/>
      </c>
      <c r="O73" s="54" t="n"/>
      <c r="P73" s="5" t="n"/>
      <c r="Q73" s="5" t="n"/>
      <c r="R73">
        <f>IF(AND(A73&lt;&gt;"",B73="Paused"),COUNTIFS($A$5:A73,"&lt;&gt;",$B$5:B73,"Paused"),"")</f>
        <v/>
      </c>
      <c r="S73">
        <f>IF(M73="Yes",COUNTIF($M$5:M73,"Yes"),"")</f>
        <v/>
      </c>
    </row>
    <row r="74">
      <c r="A74" s="5" t="n"/>
      <c r="B74" s="51" t="n"/>
      <c r="C74" s="5" t="n"/>
      <c r="D74" s="52" t="n"/>
      <c r="E74" s="52" t="n"/>
      <c r="F74" s="52" t="n"/>
      <c r="G74" s="52" t="n"/>
      <c r="H74" s="52" t="n"/>
      <c r="I74" s="52" t="n"/>
      <c r="J74" s="52" t="n"/>
      <c r="K74" s="52" t="n"/>
      <c r="L74" s="51" t="n"/>
      <c r="M74" s="53">
        <f>IF(A74="","",IF(COUNTIF('AFA Rates'!$A$5:$A$504,A74)&gt;0,"Yes","No"))</f>
        <v/>
      </c>
      <c r="N74" s="53">
        <f>IF(A74="","",COUNTIF('AFA Rates'!$A$5:$A$504,A74))</f>
        <v/>
      </c>
      <c r="O74" s="54" t="n"/>
      <c r="P74" s="5" t="n"/>
      <c r="Q74" s="5" t="n"/>
      <c r="R74">
        <f>IF(AND(A74&lt;&gt;"",B74="Paused"),COUNTIFS($A$5:A74,"&lt;&gt;",$B$5:B74,"Paused"),"")</f>
        <v/>
      </c>
      <c r="S74">
        <f>IF(M74="Yes",COUNTIF($M$5:M74,"Yes"),"")</f>
        <v/>
      </c>
    </row>
    <row r="75">
      <c r="A75" s="5" t="n"/>
      <c r="B75" s="51" t="n"/>
      <c r="C75" s="5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1" t="n"/>
      <c r="M75" s="53">
        <f>IF(A75="","",IF(COUNTIF('AFA Rates'!$A$5:$A$504,A75)&gt;0,"Yes","No"))</f>
        <v/>
      </c>
      <c r="N75" s="53">
        <f>IF(A75="","",COUNTIF('AFA Rates'!$A$5:$A$504,A75))</f>
        <v/>
      </c>
      <c r="O75" s="54" t="n"/>
      <c r="P75" s="5" t="n"/>
      <c r="Q75" s="5" t="n"/>
      <c r="R75">
        <f>IF(AND(A75&lt;&gt;"",B75="Paused"),COUNTIFS($A$5:A75,"&lt;&gt;",$B$5:B75,"Paused"),"")</f>
        <v/>
      </c>
      <c r="S75">
        <f>IF(M75="Yes",COUNTIF($M$5:M75,"Yes"),"")</f>
        <v/>
      </c>
    </row>
    <row r="76">
      <c r="A76" s="5" t="n"/>
      <c r="B76" s="51" t="n"/>
      <c r="C76" s="5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1" t="n"/>
      <c r="M76" s="53">
        <f>IF(A76="","",IF(COUNTIF('AFA Rates'!$A$5:$A$504,A76)&gt;0,"Yes","No"))</f>
        <v/>
      </c>
      <c r="N76" s="53">
        <f>IF(A76="","",COUNTIF('AFA Rates'!$A$5:$A$504,A76))</f>
        <v/>
      </c>
      <c r="O76" s="54" t="n"/>
      <c r="P76" s="5" t="n"/>
      <c r="Q76" s="5" t="n"/>
      <c r="R76">
        <f>IF(AND(A76&lt;&gt;"",B76="Paused"),COUNTIFS($A$5:A76,"&lt;&gt;",$B$5:B76,"Paused"),"")</f>
        <v/>
      </c>
      <c r="S76">
        <f>IF(M76="Yes",COUNTIF($M$5:M76,"Yes"),"")</f>
        <v/>
      </c>
    </row>
    <row r="77">
      <c r="A77" s="5" t="n"/>
      <c r="B77" s="51" t="n"/>
      <c r="C77" s="5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1" t="n"/>
      <c r="M77" s="53">
        <f>IF(A77="","",IF(COUNTIF('AFA Rates'!$A$5:$A$504,A77)&gt;0,"Yes","No"))</f>
        <v/>
      </c>
      <c r="N77" s="53">
        <f>IF(A77="","",COUNTIF('AFA Rates'!$A$5:$A$504,A77))</f>
        <v/>
      </c>
      <c r="O77" s="54" t="n"/>
      <c r="P77" s="5" t="n"/>
      <c r="Q77" s="5" t="n"/>
      <c r="R77">
        <f>IF(AND(A77&lt;&gt;"",B77="Paused"),COUNTIFS($A$5:A77,"&lt;&gt;",$B$5:B77,"Paused"),"")</f>
        <v/>
      </c>
      <c r="S77">
        <f>IF(M77="Yes",COUNTIF($M$5:M77,"Yes"),"")</f>
        <v/>
      </c>
    </row>
    <row r="78">
      <c r="A78" s="5" t="n"/>
      <c r="B78" s="51" t="n"/>
      <c r="C78" s="5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1" t="n"/>
      <c r="M78" s="53">
        <f>IF(A78="","",IF(COUNTIF('AFA Rates'!$A$5:$A$504,A78)&gt;0,"Yes","No"))</f>
        <v/>
      </c>
      <c r="N78" s="53">
        <f>IF(A78="","",COUNTIF('AFA Rates'!$A$5:$A$504,A78))</f>
        <v/>
      </c>
      <c r="O78" s="54" t="n"/>
      <c r="P78" s="5" t="n"/>
      <c r="Q78" s="5" t="n"/>
      <c r="R78">
        <f>IF(AND(A78&lt;&gt;"",B78="Paused"),COUNTIFS($A$5:A78,"&lt;&gt;",$B$5:B78,"Paused"),"")</f>
        <v/>
      </c>
      <c r="S78">
        <f>IF(M78="Yes",COUNTIF($M$5:M78,"Yes"),"")</f>
        <v/>
      </c>
    </row>
    <row r="79">
      <c r="A79" s="5" t="n"/>
      <c r="B79" s="51" t="n"/>
      <c r="C79" s="5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1" t="n"/>
      <c r="M79" s="53">
        <f>IF(A79="","",IF(COUNTIF('AFA Rates'!$A$5:$A$504,A79)&gt;0,"Yes","No"))</f>
        <v/>
      </c>
      <c r="N79" s="53">
        <f>IF(A79="","",COUNTIF('AFA Rates'!$A$5:$A$504,A79))</f>
        <v/>
      </c>
      <c r="O79" s="54" t="n"/>
      <c r="P79" s="5" t="n"/>
      <c r="Q79" s="5" t="n"/>
      <c r="R79">
        <f>IF(AND(A79&lt;&gt;"",B79="Paused"),COUNTIFS($A$5:A79,"&lt;&gt;",$B$5:B79,"Paused"),"")</f>
        <v/>
      </c>
      <c r="S79">
        <f>IF(M79="Yes",COUNTIF($M$5:M79,"Yes"),"")</f>
        <v/>
      </c>
    </row>
    <row r="80">
      <c r="A80" s="5" t="n"/>
      <c r="B80" s="51" t="n"/>
      <c r="C80" s="5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1" t="n"/>
      <c r="M80" s="53">
        <f>IF(A80="","",IF(COUNTIF('AFA Rates'!$A$5:$A$504,A80)&gt;0,"Yes","No"))</f>
        <v/>
      </c>
      <c r="N80" s="53">
        <f>IF(A80="","",COUNTIF('AFA Rates'!$A$5:$A$504,A80))</f>
        <v/>
      </c>
      <c r="O80" s="54" t="n"/>
      <c r="P80" s="5" t="n"/>
      <c r="Q80" s="5" t="n"/>
      <c r="R80">
        <f>IF(AND(A80&lt;&gt;"",B80="Paused"),COUNTIFS($A$5:A80,"&lt;&gt;",$B$5:B80,"Paused"),"")</f>
        <v/>
      </c>
      <c r="S80">
        <f>IF(M80="Yes",COUNTIF($M$5:M80,"Yes"),"")</f>
        <v/>
      </c>
    </row>
    <row r="81">
      <c r="A81" s="5" t="n"/>
      <c r="B81" s="51" t="n"/>
      <c r="C81" s="5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1" t="n"/>
      <c r="M81" s="53">
        <f>IF(A81="","",IF(COUNTIF('AFA Rates'!$A$5:$A$504,A81)&gt;0,"Yes","No"))</f>
        <v/>
      </c>
      <c r="N81" s="53">
        <f>IF(A81="","",COUNTIF('AFA Rates'!$A$5:$A$504,A81))</f>
        <v/>
      </c>
      <c r="O81" s="54" t="n"/>
      <c r="P81" s="5" t="n"/>
      <c r="Q81" s="5" t="n"/>
      <c r="R81">
        <f>IF(AND(A81&lt;&gt;"",B81="Paused"),COUNTIFS($A$5:A81,"&lt;&gt;",$B$5:B81,"Paused"),"")</f>
        <v/>
      </c>
      <c r="S81">
        <f>IF(M81="Yes",COUNTIF($M$5:M81,"Yes"),"")</f>
        <v/>
      </c>
    </row>
    <row r="82">
      <c r="A82" s="5" t="n"/>
      <c r="B82" s="51" t="n"/>
      <c r="C82" s="5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1" t="n"/>
      <c r="M82" s="53">
        <f>IF(A82="","",IF(COUNTIF('AFA Rates'!$A$5:$A$504,A82)&gt;0,"Yes","No"))</f>
        <v/>
      </c>
      <c r="N82" s="53">
        <f>IF(A82="","",COUNTIF('AFA Rates'!$A$5:$A$504,A82))</f>
        <v/>
      </c>
      <c r="O82" s="54" t="n"/>
      <c r="P82" s="5" t="n"/>
      <c r="Q82" s="5" t="n"/>
      <c r="R82">
        <f>IF(AND(A82&lt;&gt;"",B82="Paused"),COUNTIFS($A$5:A82,"&lt;&gt;",$B$5:B82,"Paused"),"")</f>
        <v/>
      </c>
      <c r="S82">
        <f>IF(M82="Yes",COUNTIF($M$5:M82,"Yes"),"")</f>
        <v/>
      </c>
    </row>
    <row r="83">
      <c r="A83" s="5" t="n"/>
      <c r="B83" s="51" t="n"/>
      <c r="C83" s="5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1" t="n"/>
      <c r="M83" s="53">
        <f>IF(A83="","",IF(COUNTIF('AFA Rates'!$A$5:$A$504,A83)&gt;0,"Yes","No"))</f>
        <v/>
      </c>
      <c r="N83" s="53">
        <f>IF(A83="","",COUNTIF('AFA Rates'!$A$5:$A$504,A83))</f>
        <v/>
      </c>
      <c r="O83" s="54" t="n"/>
      <c r="P83" s="5" t="n"/>
      <c r="Q83" s="5" t="n"/>
      <c r="R83">
        <f>IF(AND(A83&lt;&gt;"",B83="Paused"),COUNTIFS($A$5:A83,"&lt;&gt;",$B$5:B83,"Paused"),"")</f>
        <v/>
      </c>
      <c r="S83">
        <f>IF(M83="Yes",COUNTIF($M$5:M83,"Yes"),"")</f>
        <v/>
      </c>
    </row>
    <row r="84">
      <c r="A84" s="5" t="n"/>
      <c r="B84" s="51" t="n"/>
      <c r="C84" s="5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1" t="n"/>
      <c r="M84" s="53">
        <f>IF(A84="","",IF(COUNTIF('AFA Rates'!$A$5:$A$504,A84)&gt;0,"Yes","No"))</f>
        <v/>
      </c>
      <c r="N84" s="53">
        <f>IF(A84="","",COUNTIF('AFA Rates'!$A$5:$A$504,A84))</f>
        <v/>
      </c>
      <c r="O84" s="54" t="n"/>
      <c r="P84" s="5" t="n"/>
      <c r="Q84" s="5" t="n"/>
      <c r="R84">
        <f>IF(AND(A84&lt;&gt;"",B84="Paused"),COUNTIFS($A$5:A84,"&lt;&gt;",$B$5:B84,"Paused"),"")</f>
        <v/>
      </c>
      <c r="S84">
        <f>IF(M84="Yes",COUNTIF($M$5:M84,"Yes"),"")</f>
        <v/>
      </c>
    </row>
    <row r="85">
      <c r="A85" s="5" t="n"/>
      <c r="B85" s="51" t="n"/>
      <c r="C85" s="5" t="n"/>
      <c r="D85" s="52" t="n"/>
      <c r="E85" s="52" t="n"/>
      <c r="F85" s="52" t="n"/>
      <c r="G85" s="52" t="n"/>
      <c r="H85" s="52" t="n"/>
      <c r="I85" s="52" t="n"/>
      <c r="J85" s="52" t="n"/>
      <c r="K85" s="52" t="n"/>
      <c r="L85" s="51" t="n"/>
      <c r="M85" s="53">
        <f>IF(A85="","",IF(COUNTIF('AFA Rates'!$A$5:$A$504,A85)&gt;0,"Yes","No"))</f>
        <v/>
      </c>
      <c r="N85" s="53">
        <f>IF(A85="","",COUNTIF('AFA Rates'!$A$5:$A$504,A85))</f>
        <v/>
      </c>
      <c r="O85" s="54" t="n"/>
      <c r="P85" s="5" t="n"/>
      <c r="Q85" s="5" t="n"/>
      <c r="R85">
        <f>IF(AND(A85&lt;&gt;"",B85="Paused"),COUNTIFS($A$5:A85,"&lt;&gt;",$B$5:B85,"Paused"),"")</f>
        <v/>
      </c>
      <c r="S85">
        <f>IF(M85="Yes",COUNTIF($M$5:M85,"Yes"),"")</f>
        <v/>
      </c>
    </row>
    <row r="86">
      <c r="A86" s="5" t="n"/>
      <c r="B86" s="51" t="n"/>
      <c r="C86" s="5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1" t="n"/>
      <c r="M86" s="53">
        <f>IF(A86="","",IF(COUNTIF('AFA Rates'!$A$5:$A$504,A86)&gt;0,"Yes","No"))</f>
        <v/>
      </c>
      <c r="N86" s="53">
        <f>IF(A86="","",COUNTIF('AFA Rates'!$A$5:$A$504,A86))</f>
        <v/>
      </c>
      <c r="O86" s="54" t="n"/>
      <c r="P86" s="5" t="n"/>
      <c r="Q86" s="5" t="n"/>
      <c r="R86">
        <f>IF(AND(A86&lt;&gt;"",B86="Paused"),COUNTIFS($A$5:A86,"&lt;&gt;",$B$5:B86,"Paused"),"")</f>
        <v/>
      </c>
      <c r="S86">
        <f>IF(M86="Yes",COUNTIF($M$5:M86,"Yes"),"")</f>
        <v/>
      </c>
    </row>
    <row r="87">
      <c r="A87" s="5" t="n"/>
      <c r="B87" s="51" t="n"/>
      <c r="C87" s="5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1" t="n"/>
      <c r="M87" s="53">
        <f>IF(A87="","",IF(COUNTIF('AFA Rates'!$A$5:$A$504,A87)&gt;0,"Yes","No"))</f>
        <v/>
      </c>
      <c r="N87" s="53">
        <f>IF(A87="","",COUNTIF('AFA Rates'!$A$5:$A$504,A87))</f>
        <v/>
      </c>
      <c r="O87" s="54" t="n"/>
      <c r="P87" s="5" t="n"/>
      <c r="Q87" s="5" t="n"/>
      <c r="R87">
        <f>IF(AND(A87&lt;&gt;"",B87="Paused"),COUNTIFS($A$5:A87,"&lt;&gt;",$B$5:B87,"Paused"),"")</f>
        <v/>
      </c>
      <c r="S87">
        <f>IF(M87="Yes",COUNTIF($M$5:M87,"Yes"),"")</f>
        <v/>
      </c>
    </row>
    <row r="88">
      <c r="A88" s="5" t="n"/>
      <c r="B88" s="51" t="n"/>
      <c r="C88" s="5" t="n"/>
      <c r="D88" s="52" t="n"/>
      <c r="E88" s="52" t="n"/>
      <c r="F88" s="52" t="n"/>
      <c r="G88" s="52" t="n"/>
      <c r="H88" s="52" t="n"/>
      <c r="I88" s="52" t="n"/>
      <c r="J88" s="52" t="n"/>
      <c r="K88" s="52" t="n"/>
      <c r="L88" s="51" t="n"/>
      <c r="M88" s="53">
        <f>IF(A88="","",IF(COUNTIF('AFA Rates'!$A$5:$A$504,A88)&gt;0,"Yes","No"))</f>
        <v/>
      </c>
      <c r="N88" s="53">
        <f>IF(A88="","",COUNTIF('AFA Rates'!$A$5:$A$504,A88))</f>
        <v/>
      </c>
      <c r="O88" s="54" t="n"/>
      <c r="P88" s="5" t="n"/>
      <c r="Q88" s="5" t="n"/>
      <c r="R88">
        <f>IF(AND(A88&lt;&gt;"",B88="Paused"),COUNTIFS($A$5:A88,"&lt;&gt;",$B$5:B88,"Paused"),"")</f>
        <v/>
      </c>
      <c r="S88">
        <f>IF(M88="Yes",COUNTIF($M$5:M88,"Yes"),"")</f>
        <v/>
      </c>
    </row>
    <row r="89">
      <c r="A89" s="5" t="n"/>
      <c r="B89" s="51" t="n"/>
      <c r="C89" s="5" t="n"/>
      <c r="D89" s="52" t="n"/>
      <c r="E89" s="52" t="n"/>
      <c r="F89" s="52" t="n"/>
      <c r="G89" s="52" t="n"/>
      <c r="H89" s="52" t="n"/>
      <c r="I89" s="52" t="n"/>
      <c r="J89" s="52" t="n"/>
      <c r="K89" s="52" t="n"/>
      <c r="L89" s="51" t="n"/>
      <c r="M89" s="53">
        <f>IF(A89="","",IF(COUNTIF('AFA Rates'!$A$5:$A$504,A89)&gt;0,"Yes","No"))</f>
        <v/>
      </c>
      <c r="N89" s="53">
        <f>IF(A89="","",COUNTIF('AFA Rates'!$A$5:$A$504,A89))</f>
        <v/>
      </c>
      <c r="O89" s="54" t="n"/>
      <c r="P89" s="5" t="n"/>
      <c r="Q89" s="5" t="n"/>
      <c r="R89">
        <f>IF(AND(A89&lt;&gt;"",B89="Paused"),COUNTIFS($A$5:A89,"&lt;&gt;",$B$5:B89,"Paused"),"")</f>
        <v/>
      </c>
      <c r="S89">
        <f>IF(M89="Yes",COUNTIF($M$5:M89,"Yes"),"")</f>
        <v/>
      </c>
    </row>
    <row r="90">
      <c r="A90" s="5" t="n"/>
      <c r="B90" s="51" t="n"/>
      <c r="C90" s="5" t="n"/>
      <c r="D90" s="52" t="n"/>
      <c r="E90" s="52" t="n"/>
      <c r="F90" s="52" t="n"/>
      <c r="G90" s="52" t="n"/>
      <c r="H90" s="52" t="n"/>
      <c r="I90" s="52" t="n"/>
      <c r="J90" s="52" t="n"/>
      <c r="K90" s="52" t="n"/>
      <c r="L90" s="51" t="n"/>
      <c r="M90" s="53">
        <f>IF(A90="","",IF(COUNTIF('AFA Rates'!$A$5:$A$504,A90)&gt;0,"Yes","No"))</f>
        <v/>
      </c>
      <c r="N90" s="53">
        <f>IF(A90="","",COUNTIF('AFA Rates'!$A$5:$A$504,A90))</f>
        <v/>
      </c>
      <c r="O90" s="54" t="n"/>
      <c r="P90" s="5" t="n"/>
      <c r="Q90" s="5" t="n"/>
      <c r="R90">
        <f>IF(AND(A90&lt;&gt;"",B90="Paused"),COUNTIFS($A$5:A90,"&lt;&gt;",$B$5:B90,"Paused"),"")</f>
        <v/>
      </c>
      <c r="S90">
        <f>IF(M90="Yes",COUNTIF($M$5:M90,"Yes"),"")</f>
        <v/>
      </c>
    </row>
    <row r="91">
      <c r="A91" s="5" t="n"/>
      <c r="B91" s="51" t="n"/>
      <c r="C91" s="5" t="n"/>
      <c r="D91" s="52" t="n"/>
      <c r="E91" s="52" t="n"/>
      <c r="F91" s="52" t="n"/>
      <c r="G91" s="52" t="n"/>
      <c r="H91" s="52" t="n"/>
      <c r="I91" s="52" t="n"/>
      <c r="J91" s="52" t="n"/>
      <c r="K91" s="52" t="n"/>
      <c r="L91" s="51" t="n"/>
      <c r="M91" s="53">
        <f>IF(A91="","",IF(COUNTIF('AFA Rates'!$A$5:$A$504,A91)&gt;0,"Yes","No"))</f>
        <v/>
      </c>
      <c r="N91" s="53">
        <f>IF(A91="","",COUNTIF('AFA Rates'!$A$5:$A$504,A91))</f>
        <v/>
      </c>
      <c r="O91" s="54" t="n"/>
      <c r="P91" s="5" t="n"/>
      <c r="Q91" s="5" t="n"/>
      <c r="R91">
        <f>IF(AND(A91&lt;&gt;"",B91="Paused"),COUNTIFS($A$5:A91,"&lt;&gt;",$B$5:B91,"Paused"),"")</f>
        <v/>
      </c>
      <c r="S91">
        <f>IF(M91="Yes",COUNTIF($M$5:M91,"Yes"),"")</f>
        <v/>
      </c>
    </row>
    <row r="92">
      <c r="A92" s="5" t="n"/>
      <c r="B92" s="51" t="n"/>
      <c r="C92" s="5" t="n"/>
      <c r="D92" s="52" t="n"/>
      <c r="E92" s="52" t="n"/>
      <c r="F92" s="52" t="n"/>
      <c r="G92" s="52" t="n"/>
      <c r="H92" s="52" t="n"/>
      <c r="I92" s="52" t="n"/>
      <c r="J92" s="52" t="n"/>
      <c r="K92" s="52" t="n"/>
      <c r="L92" s="51" t="n"/>
      <c r="M92" s="53">
        <f>IF(A92="","",IF(COUNTIF('AFA Rates'!$A$5:$A$504,A92)&gt;0,"Yes","No"))</f>
        <v/>
      </c>
      <c r="N92" s="53">
        <f>IF(A92="","",COUNTIF('AFA Rates'!$A$5:$A$504,A92))</f>
        <v/>
      </c>
      <c r="O92" s="54" t="n"/>
      <c r="P92" s="5" t="n"/>
      <c r="Q92" s="5" t="n"/>
      <c r="R92">
        <f>IF(AND(A92&lt;&gt;"",B92="Paused"),COUNTIFS($A$5:A92,"&lt;&gt;",$B$5:B92,"Paused"),"")</f>
        <v/>
      </c>
      <c r="S92">
        <f>IF(M92="Yes",COUNTIF($M$5:M92,"Yes"),"")</f>
        <v/>
      </c>
    </row>
    <row r="93">
      <c r="A93" s="5" t="n"/>
      <c r="B93" s="51" t="n"/>
      <c r="C93" s="5" t="n"/>
      <c r="D93" s="52" t="n"/>
      <c r="E93" s="52" t="n"/>
      <c r="F93" s="52" t="n"/>
      <c r="G93" s="52" t="n"/>
      <c r="H93" s="52" t="n"/>
      <c r="I93" s="52" t="n"/>
      <c r="J93" s="52" t="n"/>
      <c r="K93" s="52" t="n"/>
      <c r="L93" s="51" t="n"/>
      <c r="M93" s="53">
        <f>IF(A93="","",IF(COUNTIF('AFA Rates'!$A$5:$A$504,A93)&gt;0,"Yes","No"))</f>
        <v/>
      </c>
      <c r="N93" s="53">
        <f>IF(A93="","",COUNTIF('AFA Rates'!$A$5:$A$504,A93))</f>
        <v/>
      </c>
      <c r="O93" s="54" t="n"/>
      <c r="P93" s="5" t="n"/>
      <c r="Q93" s="5" t="n"/>
      <c r="R93">
        <f>IF(AND(A93&lt;&gt;"",B93="Paused"),COUNTIFS($A$5:A93,"&lt;&gt;",$B$5:B93,"Paused"),"")</f>
        <v/>
      </c>
      <c r="S93">
        <f>IF(M93="Yes",COUNTIF($M$5:M93,"Yes"),"")</f>
        <v/>
      </c>
    </row>
    <row r="94">
      <c r="A94" s="5" t="n"/>
      <c r="B94" s="51" t="n"/>
      <c r="C94" s="5" t="n"/>
      <c r="D94" s="52" t="n"/>
      <c r="E94" s="52" t="n"/>
      <c r="F94" s="52" t="n"/>
      <c r="G94" s="52" t="n"/>
      <c r="H94" s="52" t="n"/>
      <c r="I94" s="52" t="n"/>
      <c r="J94" s="52" t="n"/>
      <c r="K94" s="52" t="n"/>
      <c r="L94" s="51" t="n"/>
      <c r="M94" s="53">
        <f>IF(A94="","",IF(COUNTIF('AFA Rates'!$A$5:$A$504,A94)&gt;0,"Yes","No"))</f>
        <v/>
      </c>
      <c r="N94" s="53">
        <f>IF(A94="","",COUNTIF('AFA Rates'!$A$5:$A$504,A94))</f>
        <v/>
      </c>
      <c r="O94" s="54" t="n"/>
      <c r="P94" s="5" t="n"/>
      <c r="Q94" s="5" t="n"/>
      <c r="R94">
        <f>IF(AND(A94&lt;&gt;"",B94="Paused"),COUNTIFS($A$5:A94,"&lt;&gt;",$B$5:B94,"Paused"),"")</f>
        <v/>
      </c>
      <c r="S94">
        <f>IF(M94="Yes",COUNTIF($M$5:M94,"Yes"),"")</f>
        <v/>
      </c>
    </row>
    <row r="95">
      <c r="A95" s="5" t="n"/>
      <c r="B95" s="51" t="n"/>
      <c r="C95" s="5" t="n"/>
      <c r="D95" s="52" t="n"/>
      <c r="E95" s="52" t="n"/>
      <c r="F95" s="52" t="n"/>
      <c r="G95" s="52" t="n"/>
      <c r="H95" s="52" t="n"/>
      <c r="I95" s="52" t="n"/>
      <c r="J95" s="52" t="n"/>
      <c r="K95" s="52" t="n"/>
      <c r="L95" s="51" t="n"/>
      <c r="M95" s="53">
        <f>IF(A95="","",IF(COUNTIF('AFA Rates'!$A$5:$A$504,A95)&gt;0,"Yes","No"))</f>
        <v/>
      </c>
      <c r="N95" s="53">
        <f>IF(A95="","",COUNTIF('AFA Rates'!$A$5:$A$504,A95))</f>
        <v/>
      </c>
      <c r="O95" s="54" t="n"/>
      <c r="P95" s="5" t="n"/>
      <c r="Q95" s="5" t="n"/>
      <c r="R95">
        <f>IF(AND(A95&lt;&gt;"",B95="Paused"),COUNTIFS($A$5:A95,"&lt;&gt;",$B$5:B95,"Paused"),"")</f>
        <v/>
      </c>
      <c r="S95">
        <f>IF(M95="Yes",COUNTIF($M$5:M95,"Yes"),"")</f>
        <v/>
      </c>
    </row>
    <row r="96">
      <c r="A96" s="5" t="n"/>
      <c r="B96" s="51" t="n"/>
      <c r="C96" s="5" t="n"/>
      <c r="D96" s="52" t="n"/>
      <c r="E96" s="52" t="n"/>
      <c r="F96" s="52" t="n"/>
      <c r="G96" s="52" t="n"/>
      <c r="H96" s="52" t="n"/>
      <c r="I96" s="52" t="n"/>
      <c r="J96" s="52" t="n"/>
      <c r="K96" s="52" t="n"/>
      <c r="L96" s="51" t="n"/>
      <c r="M96" s="53">
        <f>IF(A96="","",IF(COUNTIF('AFA Rates'!$A$5:$A$504,A96)&gt;0,"Yes","No"))</f>
        <v/>
      </c>
      <c r="N96" s="53">
        <f>IF(A96="","",COUNTIF('AFA Rates'!$A$5:$A$504,A96))</f>
        <v/>
      </c>
      <c r="O96" s="54" t="n"/>
      <c r="P96" s="5" t="n"/>
      <c r="Q96" s="5" t="n"/>
      <c r="R96">
        <f>IF(AND(A96&lt;&gt;"",B96="Paused"),COUNTIFS($A$5:A96,"&lt;&gt;",$B$5:B96,"Paused"),"")</f>
        <v/>
      </c>
      <c r="S96">
        <f>IF(M96="Yes",COUNTIF($M$5:M96,"Yes"),"")</f>
        <v/>
      </c>
    </row>
    <row r="97">
      <c r="A97" s="5" t="n"/>
      <c r="B97" s="51" t="n"/>
      <c r="C97" s="5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1" t="n"/>
      <c r="M97" s="53">
        <f>IF(A97="","",IF(COUNTIF('AFA Rates'!$A$5:$A$504,A97)&gt;0,"Yes","No"))</f>
        <v/>
      </c>
      <c r="N97" s="53">
        <f>IF(A97="","",COUNTIF('AFA Rates'!$A$5:$A$504,A97))</f>
        <v/>
      </c>
      <c r="O97" s="54" t="n"/>
      <c r="P97" s="5" t="n"/>
      <c r="Q97" s="5" t="n"/>
      <c r="R97">
        <f>IF(AND(A97&lt;&gt;"",B97="Paused"),COUNTIFS($A$5:A97,"&lt;&gt;",$B$5:B97,"Paused"),"")</f>
        <v/>
      </c>
      <c r="S97">
        <f>IF(M97="Yes",COUNTIF($M$5:M97,"Yes"),"")</f>
        <v/>
      </c>
    </row>
    <row r="98">
      <c r="A98" s="5" t="n"/>
      <c r="B98" s="51" t="n"/>
      <c r="C98" s="5" t="n"/>
      <c r="D98" s="52" t="n"/>
      <c r="E98" s="52" t="n"/>
      <c r="F98" s="52" t="n"/>
      <c r="G98" s="52" t="n"/>
      <c r="H98" s="52" t="n"/>
      <c r="I98" s="52" t="n"/>
      <c r="J98" s="52" t="n"/>
      <c r="K98" s="52" t="n"/>
      <c r="L98" s="51" t="n"/>
      <c r="M98" s="53">
        <f>IF(A98="","",IF(COUNTIF('AFA Rates'!$A$5:$A$504,A98)&gt;0,"Yes","No"))</f>
        <v/>
      </c>
      <c r="N98" s="53">
        <f>IF(A98="","",COUNTIF('AFA Rates'!$A$5:$A$504,A98))</f>
        <v/>
      </c>
      <c r="O98" s="54" t="n"/>
      <c r="P98" s="5" t="n"/>
      <c r="Q98" s="5" t="n"/>
      <c r="R98">
        <f>IF(AND(A98&lt;&gt;"",B98="Paused"),COUNTIFS($A$5:A98,"&lt;&gt;",$B$5:B98,"Paused"),"")</f>
        <v/>
      </c>
      <c r="S98">
        <f>IF(M98="Yes",COUNTIF($M$5:M98,"Yes"),"")</f>
        <v/>
      </c>
    </row>
    <row r="99">
      <c r="A99" s="5" t="n"/>
      <c r="B99" s="51" t="n"/>
      <c r="C99" s="5" t="n"/>
      <c r="D99" s="52" t="n"/>
      <c r="E99" s="52" t="n"/>
      <c r="F99" s="52" t="n"/>
      <c r="G99" s="52" t="n"/>
      <c r="H99" s="52" t="n"/>
      <c r="I99" s="52" t="n"/>
      <c r="J99" s="52" t="n"/>
      <c r="K99" s="52" t="n"/>
      <c r="L99" s="51" t="n"/>
      <c r="M99" s="53">
        <f>IF(A99="","",IF(COUNTIF('AFA Rates'!$A$5:$A$504,A99)&gt;0,"Yes","No"))</f>
        <v/>
      </c>
      <c r="N99" s="53">
        <f>IF(A99="","",COUNTIF('AFA Rates'!$A$5:$A$504,A99))</f>
        <v/>
      </c>
      <c r="O99" s="54" t="n"/>
      <c r="P99" s="5" t="n"/>
      <c r="Q99" s="5" t="n"/>
      <c r="R99">
        <f>IF(AND(A99&lt;&gt;"",B99="Paused"),COUNTIFS($A$5:A99,"&lt;&gt;",$B$5:B99,"Paused"),"")</f>
        <v/>
      </c>
      <c r="S99">
        <f>IF(M99="Yes",COUNTIF($M$5:M99,"Yes"),"")</f>
        <v/>
      </c>
    </row>
    <row r="100">
      <c r="A100" s="5" t="n"/>
      <c r="B100" s="51" t="n"/>
      <c r="C100" s="5" t="n"/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1" t="n"/>
      <c r="M100" s="53">
        <f>IF(A100="","",IF(COUNTIF('AFA Rates'!$A$5:$A$504,A100)&gt;0,"Yes","No"))</f>
        <v/>
      </c>
      <c r="N100" s="53">
        <f>IF(A100="","",COUNTIF('AFA Rates'!$A$5:$A$504,A100))</f>
        <v/>
      </c>
      <c r="O100" s="54" t="n"/>
      <c r="P100" s="5" t="n"/>
      <c r="Q100" s="5" t="n"/>
      <c r="R100">
        <f>IF(AND(A100&lt;&gt;"",B100="Paused"),COUNTIFS($A$5:A100,"&lt;&gt;",$B$5:B100,"Paused"),"")</f>
        <v/>
      </c>
      <c r="S100">
        <f>IF(M100="Yes",COUNTIF($M$5:M100,"Yes"),"")</f>
        <v/>
      </c>
    </row>
    <row r="101">
      <c r="A101" s="5" t="n"/>
      <c r="B101" s="51" t="n"/>
      <c r="C101" s="5" t="n"/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1" t="n"/>
      <c r="M101" s="53">
        <f>IF(A101="","",IF(COUNTIF('AFA Rates'!$A$5:$A$504,A101)&gt;0,"Yes","No"))</f>
        <v/>
      </c>
      <c r="N101" s="53">
        <f>IF(A101="","",COUNTIF('AFA Rates'!$A$5:$A$504,A101))</f>
        <v/>
      </c>
      <c r="O101" s="54" t="n"/>
      <c r="P101" s="5" t="n"/>
      <c r="Q101" s="5" t="n"/>
      <c r="R101">
        <f>IF(AND(A101&lt;&gt;"",B101="Paused"),COUNTIFS($A$5:A101,"&lt;&gt;",$B$5:B101,"Paused"),"")</f>
        <v/>
      </c>
      <c r="S101">
        <f>IF(M101="Yes",COUNTIF($M$5:M101,"Yes"),"")</f>
        <v/>
      </c>
    </row>
    <row r="102">
      <c r="A102" s="5" t="n"/>
      <c r="B102" s="51" t="n"/>
      <c r="C102" s="5" t="n"/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1" t="n"/>
      <c r="M102" s="53">
        <f>IF(A102="","",IF(COUNTIF('AFA Rates'!$A$5:$A$504,A102)&gt;0,"Yes","No"))</f>
        <v/>
      </c>
      <c r="N102" s="53">
        <f>IF(A102="","",COUNTIF('AFA Rates'!$A$5:$A$504,A102))</f>
        <v/>
      </c>
      <c r="O102" s="54" t="n"/>
      <c r="P102" s="5" t="n"/>
      <c r="Q102" s="5" t="n"/>
      <c r="R102">
        <f>IF(AND(A102&lt;&gt;"",B102="Paused"),COUNTIFS($A$5:A102,"&lt;&gt;",$B$5:B102,"Paused"),"")</f>
        <v/>
      </c>
      <c r="S102">
        <f>IF(M102="Yes",COUNTIF($M$5:M102,"Yes"),"")</f>
        <v/>
      </c>
    </row>
    <row r="103">
      <c r="A103" s="5" t="n"/>
      <c r="B103" s="51" t="n"/>
      <c r="C103" s="5" t="n"/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1" t="n"/>
      <c r="M103" s="53">
        <f>IF(A103="","",IF(COUNTIF('AFA Rates'!$A$5:$A$504,A103)&gt;0,"Yes","No"))</f>
        <v/>
      </c>
      <c r="N103" s="53">
        <f>IF(A103="","",COUNTIF('AFA Rates'!$A$5:$A$504,A103))</f>
        <v/>
      </c>
      <c r="O103" s="54" t="n"/>
      <c r="P103" s="5" t="n"/>
      <c r="Q103" s="5" t="n"/>
      <c r="R103">
        <f>IF(AND(A103&lt;&gt;"",B103="Paused"),COUNTIFS($A$5:A103,"&lt;&gt;",$B$5:B103,"Paused"),"")</f>
        <v/>
      </c>
      <c r="S103">
        <f>IF(M103="Yes",COUNTIF($M$5:M103,"Yes"),"")</f>
        <v/>
      </c>
    </row>
    <row r="104">
      <c r="A104" s="5" t="n"/>
      <c r="B104" s="51" t="n"/>
      <c r="C104" s="5" t="n"/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1" t="n"/>
      <c r="M104" s="53">
        <f>IF(A104="","",IF(COUNTIF('AFA Rates'!$A$5:$A$504,A104)&gt;0,"Yes","No"))</f>
        <v/>
      </c>
      <c r="N104" s="53">
        <f>IF(A104="","",COUNTIF('AFA Rates'!$A$5:$A$504,A104))</f>
        <v/>
      </c>
      <c r="O104" s="54" t="n"/>
      <c r="P104" s="5" t="n"/>
      <c r="Q104" s="5" t="n"/>
      <c r="R104">
        <f>IF(AND(A104&lt;&gt;"",B104="Paused"),COUNTIFS($A$5:A104,"&lt;&gt;",$B$5:B104,"Paused"),"")</f>
        <v/>
      </c>
      <c r="S104">
        <f>IF(M104="Yes",COUNTIF($M$5:M104,"Yes"),"")</f>
        <v/>
      </c>
    </row>
    <row r="105">
      <c r="A105" s="5" t="n"/>
      <c r="B105" s="51" t="n"/>
      <c r="C105" s="5" t="n"/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1" t="n"/>
      <c r="M105" s="53">
        <f>IF(A105="","",IF(COUNTIF('AFA Rates'!$A$5:$A$504,A105)&gt;0,"Yes","No"))</f>
        <v/>
      </c>
      <c r="N105" s="53">
        <f>IF(A105="","",COUNTIF('AFA Rates'!$A$5:$A$504,A105))</f>
        <v/>
      </c>
      <c r="O105" s="54" t="n"/>
      <c r="P105" s="5" t="n"/>
      <c r="Q105" s="5" t="n"/>
      <c r="R105">
        <f>IF(AND(A105&lt;&gt;"",B105="Paused"),COUNTIFS($A$5:A105,"&lt;&gt;",$B$5:B105,"Paused"),"")</f>
        <v/>
      </c>
      <c r="S105">
        <f>IF(M105="Yes",COUNTIF($M$5:M105,"Yes"),"")</f>
        <v/>
      </c>
    </row>
    <row r="106">
      <c r="A106" s="5" t="n"/>
      <c r="B106" s="51" t="n"/>
      <c r="C106" s="5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1" t="n"/>
      <c r="M106" s="53">
        <f>IF(A106="","",IF(COUNTIF('AFA Rates'!$A$5:$A$504,A106)&gt;0,"Yes","No"))</f>
        <v/>
      </c>
      <c r="N106" s="53">
        <f>IF(A106="","",COUNTIF('AFA Rates'!$A$5:$A$504,A106))</f>
        <v/>
      </c>
      <c r="O106" s="54" t="n"/>
      <c r="P106" s="5" t="n"/>
      <c r="Q106" s="5" t="n"/>
      <c r="R106">
        <f>IF(AND(A106&lt;&gt;"",B106="Paused"),COUNTIFS($A$5:A106,"&lt;&gt;",$B$5:B106,"Paused"),"")</f>
        <v/>
      </c>
      <c r="S106">
        <f>IF(M106="Yes",COUNTIF($M$5:M106,"Yes"),"")</f>
        <v/>
      </c>
    </row>
    <row r="107">
      <c r="A107" s="5" t="n"/>
      <c r="B107" s="51" t="n"/>
      <c r="C107" s="5" t="n"/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1" t="n"/>
      <c r="M107" s="53">
        <f>IF(A107="","",IF(COUNTIF('AFA Rates'!$A$5:$A$504,A107)&gt;0,"Yes","No"))</f>
        <v/>
      </c>
      <c r="N107" s="53">
        <f>IF(A107="","",COUNTIF('AFA Rates'!$A$5:$A$504,A107))</f>
        <v/>
      </c>
      <c r="O107" s="54" t="n"/>
      <c r="P107" s="5" t="n"/>
      <c r="Q107" s="5" t="n"/>
      <c r="R107">
        <f>IF(AND(A107&lt;&gt;"",B107="Paused"),COUNTIFS($A$5:A107,"&lt;&gt;",$B$5:B107,"Paused"),"")</f>
        <v/>
      </c>
      <c r="S107">
        <f>IF(M107="Yes",COUNTIF($M$5:M107,"Yes"),"")</f>
        <v/>
      </c>
    </row>
    <row r="108">
      <c r="A108" s="5" t="n"/>
      <c r="B108" s="51" t="n"/>
      <c r="C108" s="5" t="n"/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1" t="n"/>
      <c r="M108" s="53">
        <f>IF(A108="","",IF(COUNTIF('AFA Rates'!$A$5:$A$504,A108)&gt;0,"Yes","No"))</f>
        <v/>
      </c>
      <c r="N108" s="53">
        <f>IF(A108="","",COUNTIF('AFA Rates'!$A$5:$A$504,A108))</f>
        <v/>
      </c>
      <c r="O108" s="54" t="n"/>
      <c r="P108" s="5" t="n"/>
      <c r="Q108" s="5" t="n"/>
      <c r="R108">
        <f>IF(AND(A108&lt;&gt;"",B108="Paused"),COUNTIFS($A$5:A108,"&lt;&gt;",$B$5:B108,"Paused"),"")</f>
        <v/>
      </c>
      <c r="S108">
        <f>IF(M108="Yes",COUNTIF($M$5:M108,"Yes"),"")</f>
        <v/>
      </c>
    </row>
    <row r="109">
      <c r="A109" s="5" t="n"/>
      <c r="B109" s="51" t="n"/>
      <c r="C109" s="5" t="n"/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1" t="n"/>
      <c r="M109" s="53">
        <f>IF(A109="","",IF(COUNTIF('AFA Rates'!$A$5:$A$504,A109)&gt;0,"Yes","No"))</f>
        <v/>
      </c>
      <c r="N109" s="53">
        <f>IF(A109="","",COUNTIF('AFA Rates'!$A$5:$A$504,A109))</f>
        <v/>
      </c>
      <c r="O109" s="54" t="n"/>
      <c r="P109" s="5" t="n"/>
      <c r="Q109" s="5" t="n"/>
      <c r="R109">
        <f>IF(AND(A109&lt;&gt;"",B109="Paused"),COUNTIFS($A$5:A109,"&lt;&gt;",$B$5:B109,"Paused"),"")</f>
        <v/>
      </c>
      <c r="S109">
        <f>IF(M109="Yes",COUNTIF($M$5:M109,"Yes"),"")</f>
        <v/>
      </c>
    </row>
    <row r="110">
      <c r="A110" s="5" t="n"/>
      <c r="B110" s="51" t="n"/>
      <c r="C110" s="5" t="n"/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1" t="n"/>
      <c r="M110" s="53">
        <f>IF(A110="","",IF(COUNTIF('AFA Rates'!$A$5:$A$504,A110)&gt;0,"Yes","No"))</f>
        <v/>
      </c>
      <c r="N110" s="53">
        <f>IF(A110="","",COUNTIF('AFA Rates'!$A$5:$A$504,A110))</f>
        <v/>
      </c>
      <c r="O110" s="54" t="n"/>
      <c r="P110" s="5" t="n"/>
      <c r="Q110" s="5" t="n"/>
      <c r="R110">
        <f>IF(AND(A110&lt;&gt;"",B110="Paused"),COUNTIFS($A$5:A110,"&lt;&gt;",$B$5:B110,"Paused"),"")</f>
        <v/>
      </c>
      <c r="S110">
        <f>IF(M110="Yes",COUNTIF($M$5:M110,"Yes"),"")</f>
        <v/>
      </c>
    </row>
    <row r="111">
      <c r="A111" s="5" t="n"/>
      <c r="B111" s="51" t="n"/>
      <c r="C111" s="5" t="n"/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1" t="n"/>
      <c r="M111" s="53">
        <f>IF(A111="","",IF(COUNTIF('AFA Rates'!$A$5:$A$504,A111)&gt;0,"Yes","No"))</f>
        <v/>
      </c>
      <c r="N111" s="53">
        <f>IF(A111="","",COUNTIF('AFA Rates'!$A$5:$A$504,A111))</f>
        <v/>
      </c>
      <c r="O111" s="54" t="n"/>
      <c r="P111" s="5" t="n"/>
      <c r="Q111" s="5" t="n"/>
      <c r="R111">
        <f>IF(AND(A111&lt;&gt;"",B111="Paused"),COUNTIFS($A$5:A111,"&lt;&gt;",$B$5:B111,"Paused"),"")</f>
        <v/>
      </c>
      <c r="S111">
        <f>IF(M111="Yes",COUNTIF($M$5:M111,"Yes"),"")</f>
        <v/>
      </c>
    </row>
    <row r="112">
      <c r="A112" s="5" t="n"/>
      <c r="B112" s="51" t="n"/>
      <c r="C112" s="5" t="n"/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1" t="n"/>
      <c r="M112" s="53">
        <f>IF(A112="","",IF(COUNTIF('AFA Rates'!$A$5:$A$504,A112)&gt;0,"Yes","No"))</f>
        <v/>
      </c>
      <c r="N112" s="53">
        <f>IF(A112="","",COUNTIF('AFA Rates'!$A$5:$A$504,A112))</f>
        <v/>
      </c>
      <c r="O112" s="54" t="n"/>
      <c r="P112" s="5" t="n"/>
      <c r="Q112" s="5" t="n"/>
      <c r="R112">
        <f>IF(AND(A112&lt;&gt;"",B112="Paused"),COUNTIFS($A$5:A112,"&lt;&gt;",$B$5:B112,"Paused"),"")</f>
        <v/>
      </c>
      <c r="S112">
        <f>IF(M112="Yes",COUNTIF($M$5:M112,"Yes"),"")</f>
        <v/>
      </c>
    </row>
    <row r="113">
      <c r="A113" s="5" t="n"/>
      <c r="B113" s="51" t="n"/>
      <c r="C113" s="5" t="n"/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1" t="n"/>
      <c r="M113" s="53">
        <f>IF(A113="","",IF(COUNTIF('AFA Rates'!$A$5:$A$504,A113)&gt;0,"Yes","No"))</f>
        <v/>
      </c>
      <c r="N113" s="53">
        <f>IF(A113="","",COUNTIF('AFA Rates'!$A$5:$A$504,A113))</f>
        <v/>
      </c>
      <c r="O113" s="54" t="n"/>
      <c r="P113" s="5" t="n"/>
      <c r="Q113" s="5" t="n"/>
      <c r="R113">
        <f>IF(AND(A113&lt;&gt;"",B113="Paused"),COUNTIFS($A$5:A113,"&lt;&gt;",$B$5:B113,"Paused"),"")</f>
        <v/>
      </c>
      <c r="S113">
        <f>IF(M113="Yes",COUNTIF($M$5:M113,"Yes"),"")</f>
        <v/>
      </c>
    </row>
    <row r="114">
      <c r="A114" s="5" t="n"/>
      <c r="B114" s="51" t="n"/>
      <c r="C114" s="5" t="n"/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1" t="n"/>
      <c r="M114" s="53">
        <f>IF(A114="","",IF(COUNTIF('AFA Rates'!$A$5:$A$504,A114)&gt;0,"Yes","No"))</f>
        <v/>
      </c>
      <c r="N114" s="53">
        <f>IF(A114="","",COUNTIF('AFA Rates'!$A$5:$A$504,A114))</f>
        <v/>
      </c>
      <c r="O114" s="54" t="n"/>
      <c r="P114" s="5" t="n"/>
      <c r="Q114" s="5" t="n"/>
      <c r="R114">
        <f>IF(AND(A114&lt;&gt;"",B114="Paused"),COUNTIFS($A$5:A114,"&lt;&gt;",$B$5:B114,"Paused"),"")</f>
        <v/>
      </c>
      <c r="S114">
        <f>IF(M114="Yes",COUNTIF($M$5:M114,"Yes"),"")</f>
        <v/>
      </c>
    </row>
    <row r="115">
      <c r="A115" s="5" t="n"/>
      <c r="B115" s="51" t="n"/>
      <c r="C115" s="5" t="n"/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1" t="n"/>
      <c r="M115" s="53">
        <f>IF(A115="","",IF(COUNTIF('AFA Rates'!$A$5:$A$504,A115)&gt;0,"Yes","No"))</f>
        <v/>
      </c>
      <c r="N115" s="53">
        <f>IF(A115="","",COUNTIF('AFA Rates'!$A$5:$A$504,A115))</f>
        <v/>
      </c>
      <c r="O115" s="54" t="n"/>
      <c r="P115" s="5" t="n"/>
      <c r="Q115" s="5" t="n"/>
      <c r="R115">
        <f>IF(AND(A115&lt;&gt;"",B115="Paused"),COUNTIFS($A$5:A115,"&lt;&gt;",$B$5:B115,"Paused"),"")</f>
        <v/>
      </c>
      <c r="S115">
        <f>IF(M115="Yes",COUNTIF($M$5:M115,"Yes"),"")</f>
        <v/>
      </c>
    </row>
    <row r="116">
      <c r="A116" s="5" t="n"/>
      <c r="B116" s="51" t="n"/>
      <c r="C116" s="5" t="n"/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1" t="n"/>
      <c r="M116" s="53">
        <f>IF(A116="","",IF(COUNTIF('AFA Rates'!$A$5:$A$504,A116)&gt;0,"Yes","No"))</f>
        <v/>
      </c>
      <c r="N116" s="53">
        <f>IF(A116="","",COUNTIF('AFA Rates'!$A$5:$A$504,A116))</f>
        <v/>
      </c>
      <c r="O116" s="54" t="n"/>
      <c r="P116" s="5" t="n"/>
      <c r="Q116" s="5" t="n"/>
      <c r="R116">
        <f>IF(AND(A116&lt;&gt;"",B116="Paused"),COUNTIFS($A$5:A116,"&lt;&gt;",$B$5:B116,"Paused"),"")</f>
        <v/>
      </c>
      <c r="S116">
        <f>IF(M116="Yes",COUNTIF($M$5:M116,"Yes"),"")</f>
        <v/>
      </c>
    </row>
    <row r="117">
      <c r="A117" s="5" t="n"/>
      <c r="B117" s="51" t="n"/>
      <c r="C117" s="5" t="n"/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1" t="n"/>
      <c r="M117" s="53">
        <f>IF(A117="","",IF(COUNTIF('AFA Rates'!$A$5:$A$504,A117)&gt;0,"Yes","No"))</f>
        <v/>
      </c>
      <c r="N117" s="53">
        <f>IF(A117="","",COUNTIF('AFA Rates'!$A$5:$A$504,A117))</f>
        <v/>
      </c>
      <c r="O117" s="54" t="n"/>
      <c r="P117" s="5" t="n"/>
      <c r="Q117" s="5" t="n"/>
      <c r="R117">
        <f>IF(AND(A117&lt;&gt;"",B117="Paused"),COUNTIFS($A$5:A117,"&lt;&gt;",$B$5:B117,"Paused"),"")</f>
        <v/>
      </c>
      <c r="S117">
        <f>IF(M117="Yes",COUNTIF($M$5:M117,"Yes"),"")</f>
        <v/>
      </c>
    </row>
    <row r="118">
      <c r="A118" s="5" t="n"/>
      <c r="B118" s="51" t="n"/>
      <c r="C118" s="5" t="n"/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1" t="n"/>
      <c r="M118" s="53">
        <f>IF(A118="","",IF(COUNTIF('AFA Rates'!$A$5:$A$504,A118)&gt;0,"Yes","No"))</f>
        <v/>
      </c>
      <c r="N118" s="53">
        <f>IF(A118="","",COUNTIF('AFA Rates'!$A$5:$A$504,A118))</f>
        <v/>
      </c>
      <c r="O118" s="54" t="n"/>
      <c r="P118" s="5" t="n"/>
      <c r="Q118" s="5" t="n"/>
      <c r="R118">
        <f>IF(AND(A118&lt;&gt;"",B118="Paused"),COUNTIFS($A$5:A118,"&lt;&gt;",$B$5:B118,"Paused"),"")</f>
        <v/>
      </c>
      <c r="S118">
        <f>IF(M118="Yes",COUNTIF($M$5:M118,"Yes"),"")</f>
        <v/>
      </c>
    </row>
    <row r="119">
      <c r="A119" s="5" t="n"/>
      <c r="B119" s="51" t="n"/>
      <c r="C119" s="5" t="n"/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1" t="n"/>
      <c r="M119" s="53">
        <f>IF(A119="","",IF(COUNTIF('AFA Rates'!$A$5:$A$504,A119)&gt;0,"Yes","No"))</f>
        <v/>
      </c>
      <c r="N119" s="53">
        <f>IF(A119="","",COUNTIF('AFA Rates'!$A$5:$A$504,A119))</f>
        <v/>
      </c>
      <c r="O119" s="54" t="n"/>
      <c r="P119" s="5" t="n"/>
      <c r="Q119" s="5" t="n"/>
      <c r="R119">
        <f>IF(AND(A119&lt;&gt;"",B119="Paused"),COUNTIFS($A$5:A119,"&lt;&gt;",$B$5:B119,"Paused"),"")</f>
        <v/>
      </c>
      <c r="S119">
        <f>IF(M119="Yes",COUNTIF($M$5:M119,"Yes"),"")</f>
        <v/>
      </c>
    </row>
    <row r="120">
      <c r="A120" s="5" t="n"/>
      <c r="B120" s="51" t="n"/>
      <c r="C120" s="5" t="n"/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1" t="n"/>
      <c r="M120" s="53">
        <f>IF(A120="","",IF(COUNTIF('AFA Rates'!$A$5:$A$504,A120)&gt;0,"Yes","No"))</f>
        <v/>
      </c>
      <c r="N120" s="53">
        <f>IF(A120="","",COUNTIF('AFA Rates'!$A$5:$A$504,A120))</f>
        <v/>
      </c>
      <c r="O120" s="54" t="n"/>
      <c r="P120" s="5" t="n"/>
      <c r="Q120" s="5" t="n"/>
      <c r="R120">
        <f>IF(AND(A120&lt;&gt;"",B120="Paused"),COUNTIFS($A$5:A120,"&lt;&gt;",$B$5:B120,"Paused"),"")</f>
        <v/>
      </c>
      <c r="S120">
        <f>IF(M120="Yes",COUNTIF($M$5:M120,"Yes"),"")</f>
        <v/>
      </c>
    </row>
    <row r="121">
      <c r="A121" s="5" t="n"/>
      <c r="B121" s="51" t="n"/>
      <c r="C121" s="5" t="n"/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1" t="n"/>
      <c r="M121" s="53">
        <f>IF(A121="","",IF(COUNTIF('AFA Rates'!$A$5:$A$504,A121)&gt;0,"Yes","No"))</f>
        <v/>
      </c>
      <c r="N121" s="53">
        <f>IF(A121="","",COUNTIF('AFA Rates'!$A$5:$A$504,A121))</f>
        <v/>
      </c>
      <c r="O121" s="54" t="n"/>
      <c r="P121" s="5" t="n"/>
      <c r="Q121" s="5" t="n"/>
      <c r="R121">
        <f>IF(AND(A121&lt;&gt;"",B121="Paused"),COUNTIFS($A$5:A121,"&lt;&gt;",$B$5:B121,"Paused"),"")</f>
        <v/>
      </c>
      <c r="S121">
        <f>IF(M121="Yes",COUNTIF($M$5:M121,"Yes"),"")</f>
        <v/>
      </c>
    </row>
    <row r="122">
      <c r="A122" s="5" t="n"/>
      <c r="B122" s="51" t="n"/>
      <c r="C122" s="5" t="n"/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1" t="n"/>
      <c r="M122" s="53">
        <f>IF(A122="","",IF(COUNTIF('AFA Rates'!$A$5:$A$504,A122)&gt;0,"Yes","No"))</f>
        <v/>
      </c>
      <c r="N122" s="53">
        <f>IF(A122="","",COUNTIF('AFA Rates'!$A$5:$A$504,A122))</f>
        <v/>
      </c>
      <c r="O122" s="54" t="n"/>
      <c r="P122" s="5" t="n"/>
      <c r="Q122" s="5" t="n"/>
      <c r="R122">
        <f>IF(AND(A122&lt;&gt;"",B122="Paused"),COUNTIFS($A$5:A122,"&lt;&gt;",$B$5:B122,"Paused"),"")</f>
        <v/>
      </c>
      <c r="S122">
        <f>IF(M122="Yes",COUNTIF($M$5:M122,"Yes"),"")</f>
        <v/>
      </c>
    </row>
    <row r="123">
      <c r="A123" s="5" t="n"/>
      <c r="B123" s="51" t="n"/>
      <c r="C123" s="5" t="n"/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1" t="n"/>
      <c r="M123" s="53">
        <f>IF(A123="","",IF(COUNTIF('AFA Rates'!$A$5:$A$504,A123)&gt;0,"Yes","No"))</f>
        <v/>
      </c>
      <c r="N123" s="53">
        <f>IF(A123="","",COUNTIF('AFA Rates'!$A$5:$A$504,A123))</f>
        <v/>
      </c>
      <c r="O123" s="54" t="n"/>
      <c r="P123" s="5" t="n"/>
      <c r="Q123" s="5" t="n"/>
      <c r="R123">
        <f>IF(AND(A123&lt;&gt;"",B123="Paused"),COUNTIFS($A$5:A123,"&lt;&gt;",$B$5:B123,"Paused"),"")</f>
        <v/>
      </c>
      <c r="S123">
        <f>IF(M123="Yes",COUNTIF($M$5:M123,"Yes"),"")</f>
        <v/>
      </c>
    </row>
    <row r="124">
      <c r="A124" s="5" t="n"/>
      <c r="B124" s="51" t="n"/>
      <c r="C124" s="5" t="n"/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1" t="n"/>
      <c r="M124" s="53">
        <f>IF(A124="","",IF(COUNTIF('AFA Rates'!$A$5:$A$504,A124)&gt;0,"Yes","No"))</f>
        <v/>
      </c>
      <c r="N124" s="53">
        <f>IF(A124="","",COUNTIF('AFA Rates'!$A$5:$A$504,A124))</f>
        <v/>
      </c>
      <c r="O124" s="54" t="n"/>
      <c r="P124" s="5" t="n"/>
      <c r="Q124" s="5" t="n"/>
      <c r="R124">
        <f>IF(AND(A124&lt;&gt;"",B124="Paused"),COUNTIFS($A$5:A124,"&lt;&gt;",$B$5:B124,"Paused"),"")</f>
        <v/>
      </c>
      <c r="S124">
        <f>IF(M124="Yes",COUNTIF($M$5:M124,"Yes"),"")</f>
        <v/>
      </c>
    </row>
    <row r="125">
      <c r="A125" s="5" t="n"/>
      <c r="B125" s="51" t="n"/>
      <c r="C125" s="5" t="n"/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1" t="n"/>
      <c r="M125" s="53">
        <f>IF(A125="","",IF(COUNTIF('AFA Rates'!$A$5:$A$504,A125)&gt;0,"Yes","No"))</f>
        <v/>
      </c>
      <c r="N125" s="53">
        <f>IF(A125="","",COUNTIF('AFA Rates'!$A$5:$A$504,A125))</f>
        <v/>
      </c>
      <c r="O125" s="54" t="n"/>
      <c r="P125" s="5" t="n"/>
      <c r="Q125" s="5" t="n"/>
      <c r="R125">
        <f>IF(AND(A125&lt;&gt;"",B125="Paused"),COUNTIFS($A$5:A125,"&lt;&gt;",$B$5:B125,"Paused"),"")</f>
        <v/>
      </c>
      <c r="S125">
        <f>IF(M125="Yes",COUNTIF($M$5:M125,"Yes"),"")</f>
        <v/>
      </c>
    </row>
    <row r="126">
      <c r="A126" s="5" t="n"/>
      <c r="B126" s="51" t="n"/>
      <c r="C126" s="5" t="n"/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1" t="n"/>
      <c r="M126" s="53">
        <f>IF(A126="","",IF(COUNTIF('AFA Rates'!$A$5:$A$504,A126)&gt;0,"Yes","No"))</f>
        <v/>
      </c>
      <c r="N126" s="53">
        <f>IF(A126="","",COUNTIF('AFA Rates'!$A$5:$A$504,A126))</f>
        <v/>
      </c>
      <c r="O126" s="54" t="n"/>
      <c r="P126" s="5" t="n"/>
      <c r="Q126" s="5" t="n"/>
      <c r="R126">
        <f>IF(AND(A126&lt;&gt;"",B126="Paused"),COUNTIFS($A$5:A126,"&lt;&gt;",$B$5:B126,"Paused"),"")</f>
        <v/>
      </c>
      <c r="S126">
        <f>IF(M126="Yes",COUNTIF($M$5:M126,"Yes"),"")</f>
        <v/>
      </c>
    </row>
    <row r="127">
      <c r="A127" s="5" t="n"/>
      <c r="B127" s="51" t="n"/>
      <c r="C127" s="5" t="n"/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1" t="n"/>
      <c r="M127" s="53">
        <f>IF(A127="","",IF(COUNTIF('AFA Rates'!$A$5:$A$504,A127)&gt;0,"Yes","No"))</f>
        <v/>
      </c>
      <c r="N127" s="53">
        <f>IF(A127="","",COUNTIF('AFA Rates'!$A$5:$A$504,A127))</f>
        <v/>
      </c>
      <c r="O127" s="54" t="n"/>
      <c r="P127" s="5" t="n"/>
      <c r="Q127" s="5" t="n"/>
      <c r="R127">
        <f>IF(AND(A127&lt;&gt;"",B127="Paused"),COUNTIFS($A$5:A127,"&lt;&gt;",$B$5:B127,"Paused"),"")</f>
        <v/>
      </c>
      <c r="S127">
        <f>IF(M127="Yes",COUNTIF($M$5:M127,"Yes"),"")</f>
        <v/>
      </c>
    </row>
    <row r="128">
      <c r="A128" s="5" t="n"/>
      <c r="B128" s="51" t="n"/>
      <c r="C128" s="5" t="n"/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1" t="n"/>
      <c r="M128" s="53">
        <f>IF(A128="","",IF(COUNTIF('AFA Rates'!$A$5:$A$504,A128)&gt;0,"Yes","No"))</f>
        <v/>
      </c>
      <c r="N128" s="53">
        <f>IF(A128="","",COUNTIF('AFA Rates'!$A$5:$A$504,A128))</f>
        <v/>
      </c>
      <c r="O128" s="54" t="n"/>
      <c r="P128" s="5" t="n"/>
      <c r="Q128" s="5" t="n"/>
      <c r="R128">
        <f>IF(AND(A128&lt;&gt;"",B128="Paused"),COUNTIFS($A$5:A128,"&lt;&gt;",$B$5:B128,"Paused"),"")</f>
        <v/>
      </c>
      <c r="S128">
        <f>IF(M128="Yes",COUNTIF($M$5:M128,"Yes"),"")</f>
        <v/>
      </c>
    </row>
    <row r="129">
      <c r="A129" s="5" t="n"/>
      <c r="B129" s="51" t="n"/>
      <c r="C129" s="5" t="n"/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1" t="n"/>
      <c r="M129" s="53">
        <f>IF(A129="","",IF(COUNTIF('AFA Rates'!$A$5:$A$504,A129)&gt;0,"Yes","No"))</f>
        <v/>
      </c>
      <c r="N129" s="53">
        <f>IF(A129="","",COUNTIF('AFA Rates'!$A$5:$A$504,A129))</f>
        <v/>
      </c>
      <c r="O129" s="54" t="n"/>
      <c r="P129" s="5" t="n"/>
      <c r="Q129" s="5" t="n"/>
      <c r="R129">
        <f>IF(AND(A129&lt;&gt;"",B129="Paused"),COUNTIFS($A$5:A129,"&lt;&gt;",$B$5:B129,"Paused"),"")</f>
        <v/>
      </c>
      <c r="S129">
        <f>IF(M129="Yes",COUNTIF($M$5:M129,"Yes"),"")</f>
        <v/>
      </c>
    </row>
    <row r="130">
      <c r="A130" s="5" t="n"/>
      <c r="B130" s="51" t="n"/>
      <c r="C130" s="5" t="n"/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1" t="n"/>
      <c r="M130" s="53">
        <f>IF(A130="","",IF(COUNTIF('AFA Rates'!$A$5:$A$504,A130)&gt;0,"Yes","No"))</f>
        <v/>
      </c>
      <c r="N130" s="53">
        <f>IF(A130="","",COUNTIF('AFA Rates'!$A$5:$A$504,A130))</f>
        <v/>
      </c>
      <c r="O130" s="54" t="n"/>
      <c r="P130" s="5" t="n"/>
      <c r="Q130" s="5" t="n"/>
      <c r="R130">
        <f>IF(AND(A130&lt;&gt;"",B130="Paused"),COUNTIFS($A$5:A130,"&lt;&gt;",$B$5:B130,"Paused"),"")</f>
        <v/>
      </c>
      <c r="S130">
        <f>IF(M130="Yes",COUNTIF($M$5:M130,"Yes"),"")</f>
        <v/>
      </c>
    </row>
    <row r="131">
      <c r="A131" s="5" t="n"/>
      <c r="B131" s="51" t="n"/>
      <c r="C131" s="5" t="n"/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1" t="n"/>
      <c r="M131" s="53">
        <f>IF(A131="","",IF(COUNTIF('AFA Rates'!$A$5:$A$504,A131)&gt;0,"Yes","No"))</f>
        <v/>
      </c>
      <c r="N131" s="53">
        <f>IF(A131="","",COUNTIF('AFA Rates'!$A$5:$A$504,A131))</f>
        <v/>
      </c>
      <c r="O131" s="54" t="n"/>
      <c r="P131" s="5" t="n"/>
      <c r="Q131" s="5" t="n"/>
      <c r="R131">
        <f>IF(AND(A131&lt;&gt;"",B131="Paused"),COUNTIFS($A$5:A131,"&lt;&gt;",$B$5:B131,"Paused"),"")</f>
        <v/>
      </c>
      <c r="S131">
        <f>IF(M131="Yes",COUNTIF($M$5:M131,"Yes"),"")</f>
        <v/>
      </c>
    </row>
    <row r="132">
      <c r="A132" s="5" t="n"/>
      <c r="B132" s="51" t="n"/>
      <c r="C132" s="5" t="n"/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1" t="n"/>
      <c r="M132" s="53">
        <f>IF(A132="","",IF(COUNTIF('AFA Rates'!$A$5:$A$504,A132)&gt;0,"Yes","No"))</f>
        <v/>
      </c>
      <c r="N132" s="53">
        <f>IF(A132="","",COUNTIF('AFA Rates'!$A$5:$A$504,A132))</f>
        <v/>
      </c>
      <c r="O132" s="54" t="n"/>
      <c r="P132" s="5" t="n"/>
      <c r="Q132" s="5" t="n"/>
      <c r="R132">
        <f>IF(AND(A132&lt;&gt;"",B132="Paused"),COUNTIFS($A$5:A132,"&lt;&gt;",$B$5:B132,"Paused"),"")</f>
        <v/>
      </c>
      <c r="S132">
        <f>IF(M132="Yes",COUNTIF($M$5:M132,"Yes"),"")</f>
        <v/>
      </c>
    </row>
    <row r="133">
      <c r="A133" s="5" t="n"/>
      <c r="B133" s="51" t="n"/>
      <c r="C133" s="5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1" t="n"/>
      <c r="M133" s="53">
        <f>IF(A133="","",IF(COUNTIF('AFA Rates'!$A$5:$A$504,A133)&gt;0,"Yes","No"))</f>
        <v/>
      </c>
      <c r="N133" s="53">
        <f>IF(A133="","",COUNTIF('AFA Rates'!$A$5:$A$504,A133))</f>
        <v/>
      </c>
      <c r="O133" s="54" t="n"/>
      <c r="P133" s="5" t="n"/>
      <c r="Q133" s="5" t="n"/>
      <c r="R133">
        <f>IF(AND(A133&lt;&gt;"",B133="Paused"),COUNTIFS($A$5:A133,"&lt;&gt;",$B$5:B133,"Paused"),"")</f>
        <v/>
      </c>
      <c r="S133">
        <f>IF(M133="Yes",COUNTIF($M$5:M133,"Yes"),"")</f>
        <v/>
      </c>
    </row>
    <row r="134">
      <c r="A134" s="5" t="n"/>
      <c r="B134" s="51" t="n"/>
      <c r="C134" s="5" t="n"/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1" t="n"/>
      <c r="M134" s="53">
        <f>IF(A134="","",IF(COUNTIF('AFA Rates'!$A$5:$A$504,A134)&gt;0,"Yes","No"))</f>
        <v/>
      </c>
      <c r="N134" s="53">
        <f>IF(A134="","",COUNTIF('AFA Rates'!$A$5:$A$504,A134))</f>
        <v/>
      </c>
      <c r="O134" s="54" t="n"/>
      <c r="P134" s="5" t="n"/>
      <c r="Q134" s="5" t="n"/>
      <c r="R134">
        <f>IF(AND(A134&lt;&gt;"",B134="Paused"),COUNTIFS($A$5:A134,"&lt;&gt;",$B$5:B134,"Paused"),"")</f>
        <v/>
      </c>
      <c r="S134">
        <f>IF(M134="Yes",COUNTIF($M$5:M134,"Yes"),"")</f>
        <v/>
      </c>
    </row>
    <row r="135">
      <c r="A135" s="5" t="n"/>
      <c r="B135" s="51" t="n"/>
      <c r="C135" s="5" t="n"/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1" t="n"/>
      <c r="M135" s="53">
        <f>IF(A135="","",IF(COUNTIF('AFA Rates'!$A$5:$A$504,A135)&gt;0,"Yes","No"))</f>
        <v/>
      </c>
      <c r="N135" s="53">
        <f>IF(A135="","",COUNTIF('AFA Rates'!$A$5:$A$504,A135))</f>
        <v/>
      </c>
      <c r="O135" s="54" t="n"/>
      <c r="P135" s="5" t="n"/>
      <c r="Q135" s="5" t="n"/>
      <c r="R135">
        <f>IF(AND(A135&lt;&gt;"",B135="Paused"),COUNTIFS($A$5:A135,"&lt;&gt;",$B$5:B135,"Paused"),"")</f>
        <v/>
      </c>
      <c r="S135">
        <f>IF(M135="Yes",COUNTIF($M$5:M135,"Yes"),"")</f>
        <v/>
      </c>
    </row>
    <row r="136">
      <c r="A136" s="5" t="n"/>
      <c r="B136" s="51" t="n"/>
      <c r="C136" s="5" t="n"/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1" t="n"/>
      <c r="M136" s="53">
        <f>IF(A136="","",IF(COUNTIF('AFA Rates'!$A$5:$A$504,A136)&gt;0,"Yes","No"))</f>
        <v/>
      </c>
      <c r="N136" s="53">
        <f>IF(A136="","",COUNTIF('AFA Rates'!$A$5:$A$504,A136))</f>
        <v/>
      </c>
      <c r="O136" s="54" t="n"/>
      <c r="P136" s="5" t="n"/>
      <c r="Q136" s="5" t="n"/>
      <c r="R136">
        <f>IF(AND(A136&lt;&gt;"",B136="Paused"),COUNTIFS($A$5:A136,"&lt;&gt;",$B$5:B136,"Paused"),"")</f>
        <v/>
      </c>
      <c r="S136">
        <f>IF(M136="Yes",COUNTIF($M$5:M136,"Yes"),"")</f>
        <v/>
      </c>
    </row>
    <row r="137">
      <c r="A137" s="5" t="n"/>
      <c r="B137" s="51" t="n"/>
      <c r="C137" s="5" t="n"/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1" t="n"/>
      <c r="M137" s="53">
        <f>IF(A137="","",IF(COUNTIF('AFA Rates'!$A$5:$A$504,A137)&gt;0,"Yes","No"))</f>
        <v/>
      </c>
      <c r="N137" s="53">
        <f>IF(A137="","",COUNTIF('AFA Rates'!$A$5:$A$504,A137))</f>
        <v/>
      </c>
      <c r="O137" s="54" t="n"/>
      <c r="P137" s="5" t="n"/>
      <c r="Q137" s="5" t="n"/>
      <c r="R137">
        <f>IF(AND(A137&lt;&gt;"",B137="Paused"),COUNTIFS($A$5:A137,"&lt;&gt;",$B$5:B137,"Paused"),"")</f>
        <v/>
      </c>
      <c r="S137">
        <f>IF(M137="Yes",COUNTIF($M$5:M137,"Yes"),"")</f>
        <v/>
      </c>
    </row>
    <row r="138">
      <c r="A138" s="5" t="n"/>
      <c r="B138" s="51" t="n"/>
      <c r="C138" s="5" t="n"/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1" t="n"/>
      <c r="M138" s="53">
        <f>IF(A138="","",IF(COUNTIF('AFA Rates'!$A$5:$A$504,A138)&gt;0,"Yes","No"))</f>
        <v/>
      </c>
      <c r="N138" s="53">
        <f>IF(A138="","",COUNTIF('AFA Rates'!$A$5:$A$504,A138))</f>
        <v/>
      </c>
      <c r="O138" s="54" t="n"/>
      <c r="P138" s="5" t="n"/>
      <c r="Q138" s="5" t="n"/>
      <c r="R138">
        <f>IF(AND(A138&lt;&gt;"",B138="Paused"),COUNTIFS($A$5:A138,"&lt;&gt;",$B$5:B138,"Paused"),"")</f>
        <v/>
      </c>
      <c r="S138">
        <f>IF(M138="Yes",COUNTIF($M$5:M138,"Yes"),"")</f>
        <v/>
      </c>
    </row>
    <row r="139">
      <c r="A139" s="5" t="n"/>
      <c r="B139" s="51" t="n"/>
      <c r="C139" s="5" t="n"/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1" t="n"/>
      <c r="M139" s="53">
        <f>IF(A139="","",IF(COUNTIF('AFA Rates'!$A$5:$A$504,A139)&gt;0,"Yes","No"))</f>
        <v/>
      </c>
      <c r="N139" s="53">
        <f>IF(A139="","",COUNTIF('AFA Rates'!$A$5:$A$504,A139))</f>
        <v/>
      </c>
      <c r="O139" s="54" t="n"/>
      <c r="P139" s="5" t="n"/>
      <c r="Q139" s="5" t="n"/>
      <c r="R139">
        <f>IF(AND(A139&lt;&gt;"",B139="Paused"),COUNTIFS($A$5:A139,"&lt;&gt;",$B$5:B139,"Paused"),"")</f>
        <v/>
      </c>
      <c r="S139">
        <f>IF(M139="Yes",COUNTIF($M$5:M139,"Yes"),"")</f>
        <v/>
      </c>
    </row>
    <row r="140">
      <c r="A140" s="5" t="n"/>
      <c r="B140" s="51" t="n"/>
      <c r="C140" s="5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1" t="n"/>
      <c r="M140" s="53">
        <f>IF(A140="","",IF(COUNTIF('AFA Rates'!$A$5:$A$504,A140)&gt;0,"Yes","No"))</f>
        <v/>
      </c>
      <c r="N140" s="53">
        <f>IF(A140="","",COUNTIF('AFA Rates'!$A$5:$A$504,A140))</f>
        <v/>
      </c>
      <c r="O140" s="54" t="n"/>
      <c r="P140" s="5" t="n"/>
      <c r="Q140" s="5" t="n"/>
      <c r="R140">
        <f>IF(AND(A140&lt;&gt;"",B140="Paused"),COUNTIFS($A$5:A140,"&lt;&gt;",$B$5:B140,"Paused"),"")</f>
        <v/>
      </c>
      <c r="S140">
        <f>IF(M140="Yes",COUNTIF($M$5:M140,"Yes"),"")</f>
        <v/>
      </c>
    </row>
    <row r="141">
      <c r="A141" s="5" t="n"/>
      <c r="B141" s="51" t="n"/>
      <c r="C141" s="5" t="n"/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1" t="n"/>
      <c r="M141" s="53">
        <f>IF(A141="","",IF(COUNTIF('AFA Rates'!$A$5:$A$504,A141)&gt;0,"Yes","No"))</f>
        <v/>
      </c>
      <c r="N141" s="53">
        <f>IF(A141="","",COUNTIF('AFA Rates'!$A$5:$A$504,A141))</f>
        <v/>
      </c>
      <c r="O141" s="54" t="n"/>
      <c r="P141" s="5" t="n"/>
      <c r="Q141" s="5" t="n"/>
      <c r="R141">
        <f>IF(AND(A141&lt;&gt;"",B141="Paused"),COUNTIFS($A$5:A141,"&lt;&gt;",$B$5:B141,"Paused"),"")</f>
        <v/>
      </c>
      <c r="S141">
        <f>IF(M141="Yes",COUNTIF($M$5:M141,"Yes"),"")</f>
        <v/>
      </c>
    </row>
    <row r="142">
      <c r="A142" s="5" t="n"/>
      <c r="B142" s="51" t="n"/>
      <c r="C142" s="5" t="n"/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1" t="n"/>
      <c r="M142" s="53">
        <f>IF(A142="","",IF(COUNTIF('AFA Rates'!$A$5:$A$504,A142)&gt;0,"Yes","No"))</f>
        <v/>
      </c>
      <c r="N142" s="53">
        <f>IF(A142="","",COUNTIF('AFA Rates'!$A$5:$A$504,A142))</f>
        <v/>
      </c>
      <c r="O142" s="54" t="n"/>
      <c r="P142" s="5" t="n"/>
      <c r="Q142" s="5" t="n"/>
      <c r="R142">
        <f>IF(AND(A142&lt;&gt;"",B142="Paused"),COUNTIFS($A$5:A142,"&lt;&gt;",$B$5:B142,"Paused"),"")</f>
        <v/>
      </c>
      <c r="S142">
        <f>IF(M142="Yes",COUNTIF($M$5:M142,"Yes"),"")</f>
        <v/>
      </c>
    </row>
    <row r="143">
      <c r="A143" s="5" t="n"/>
      <c r="B143" s="51" t="n"/>
      <c r="C143" s="5" t="n"/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1" t="n"/>
      <c r="M143" s="53">
        <f>IF(A143="","",IF(COUNTIF('AFA Rates'!$A$5:$A$504,A143)&gt;0,"Yes","No"))</f>
        <v/>
      </c>
      <c r="N143" s="53">
        <f>IF(A143="","",COUNTIF('AFA Rates'!$A$5:$A$504,A143))</f>
        <v/>
      </c>
      <c r="O143" s="54" t="n"/>
      <c r="P143" s="5" t="n"/>
      <c r="Q143" s="5" t="n"/>
      <c r="R143">
        <f>IF(AND(A143&lt;&gt;"",B143="Paused"),COUNTIFS($A$5:A143,"&lt;&gt;",$B$5:B143,"Paused"),"")</f>
        <v/>
      </c>
      <c r="S143">
        <f>IF(M143="Yes",COUNTIF($M$5:M143,"Yes"),"")</f>
        <v/>
      </c>
    </row>
    <row r="144">
      <c r="A144" s="5" t="n"/>
      <c r="B144" s="51" t="n"/>
      <c r="C144" s="5" t="n"/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1" t="n"/>
      <c r="M144" s="53">
        <f>IF(A144="","",IF(COUNTIF('AFA Rates'!$A$5:$A$504,A144)&gt;0,"Yes","No"))</f>
        <v/>
      </c>
      <c r="N144" s="53">
        <f>IF(A144="","",COUNTIF('AFA Rates'!$A$5:$A$504,A144))</f>
        <v/>
      </c>
      <c r="O144" s="54" t="n"/>
      <c r="P144" s="5" t="n"/>
      <c r="Q144" s="5" t="n"/>
      <c r="R144">
        <f>IF(AND(A144&lt;&gt;"",B144="Paused"),COUNTIFS($A$5:A144,"&lt;&gt;",$B$5:B144,"Paused"),"")</f>
        <v/>
      </c>
      <c r="S144">
        <f>IF(M144="Yes",COUNTIF($M$5:M144,"Yes"),"")</f>
        <v/>
      </c>
    </row>
    <row r="145">
      <c r="A145" s="5" t="n"/>
      <c r="B145" s="51" t="n"/>
      <c r="C145" s="5" t="n"/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1" t="n"/>
      <c r="M145" s="53">
        <f>IF(A145="","",IF(COUNTIF('AFA Rates'!$A$5:$A$504,A145)&gt;0,"Yes","No"))</f>
        <v/>
      </c>
      <c r="N145" s="53">
        <f>IF(A145="","",COUNTIF('AFA Rates'!$A$5:$A$504,A145))</f>
        <v/>
      </c>
      <c r="O145" s="54" t="n"/>
      <c r="P145" s="5" t="n"/>
      <c r="Q145" s="5" t="n"/>
      <c r="R145">
        <f>IF(AND(A145&lt;&gt;"",B145="Paused"),COUNTIFS($A$5:A145,"&lt;&gt;",$B$5:B145,"Paused"),"")</f>
        <v/>
      </c>
      <c r="S145">
        <f>IF(M145="Yes",COUNTIF($M$5:M145,"Yes"),"")</f>
        <v/>
      </c>
    </row>
    <row r="146">
      <c r="A146" s="5" t="n"/>
      <c r="B146" s="51" t="n"/>
      <c r="C146" s="5" t="n"/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1" t="n"/>
      <c r="M146" s="53">
        <f>IF(A146="","",IF(COUNTIF('AFA Rates'!$A$5:$A$504,A146)&gt;0,"Yes","No"))</f>
        <v/>
      </c>
      <c r="N146" s="53">
        <f>IF(A146="","",COUNTIF('AFA Rates'!$A$5:$A$504,A146))</f>
        <v/>
      </c>
      <c r="O146" s="54" t="n"/>
      <c r="P146" s="5" t="n"/>
      <c r="Q146" s="5" t="n"/>
      <c r="R146">
        <f>IF(AND(A146&lt;&gt;"",B146="Paused"),COUNTIFS($A$5:A146,"&lt;&gt;",$B$5:B146,"Paused"),"")</f>
        <v/>
      </c>
      <c r="S146">
        <f>IF(M146="Yes",COUNTIF($M$5:M146,"Yes"),"")</f>
        <v/>
      </c>
    </row>
    <row r="147">
      <c r="A147" s="5" t="n"/>
      <c r="B147" s="51" t="n"/>
      <c r="C147" s="5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1" t="n"/>
      <c r="M147" s="53">
        <f>IF(A147="","",IF(COUNTIF('AFA Rates'!$A$5:$A$504,A147)&gt;0,"Yes","No"))</f>
        <v/>
      </c>
      <c r="N147" s="53">
        <f>IF(A147="","",COUNTIF('AFA Rates'!$A$5:$A$504,A147))</f>
        <v/>
      </c>
      <c r="O147" s="54" t="n"/>
      <c r="P147" s="5" t="n"/>
      <c r="Q147" s="5" t="n"/>
      <c r="R147">
        <f>IF(AND(A147&lt;&gt;"",B147="Paused"),COUNTIFS($A$5:A147,"&lt;&gt;",$B$5:B147,"Paused"),"")</f>
        <v/>
      </c>
      <c r="S147">
        <f>IF(M147="Yes",COUNTIF($M$5:M147,"Yes"),"")</f>
        <v/>
      </c>
    </row>
    <row r="148">
      <c r="A148" s="5" t="n"/>
      <c r="B148" s="51" t="n"/>
      <c r="C148" s="5" t="n"/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1" t="n"/>
      <c r="M148" s="53">
        <f>IF(A148="","",IF(COUNTIF('AFA Rates'!$A$5:$A$504,A148)&gt;0,"Yes","No"))</f>
        <v/>
      </c>
      <c r="N148" s="53">
        <f>IF(A148="","",COUNTIF('AFA Rates'!$A$5:$A$504,A148))</f>
        <v/>
      </c>
      <c r="O148" s="54" t="n"/>
      <c r="P148" s="5" t="n"/>
      <c r="Q148" s="5" t="n"/>
      <c r="R148">
        <f>IF(AND(A148&lt;&gt;"",B148="Paused"),COUNTIFS($A$5:A148,"&lt;&gt;",$B$5:B148,"Paused"),"")</f>
        <v/>
      </c>
      <c r="S148">
        <f>IF(M148="Yes",COUNTIF($M$5:M148,"Yes"),"")</f>
        <v/>
      </c>
    </row>
    <row r="149">
      <c r="A149" s="5" t="n"/>
      <c r="B149" s="51" t="n"/>
      <c r="C149" s="5" t="n"/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1" t="n"/>
      <c r="M149" s="53">
        <f>IF(A149="","",IF(COUNTIF('AFA Rates'!$A$5:$A$504,A149)&gt;0,"Yes","No"))</f>
        <v/>
      </c>
      <c r="N149" s="53">
        <f>IF(A149="","",COUNTIF('AFA Rates'!$A$5:$A$504,A149))</f>
        <v/>
      </c>
      <c r="O149" s="54" t="n"/>
      <c r="P149" s="5" t="n"/>
      <c r="Q149" s="5" t="n"/>
      <c r="R149">
        <f>IF(AND(A149&lt;&gt;"",B149="Paused"),COUNTIFS($A$5:A149,"&lt;&gt;",$B$5:B149,"Paused"),"")</f>
        <v/>
      </c>
      <c r="S149">
        <f>IF(M149="Yes",COUNTIF($M$5:M149,"Yes"),"")</f>
        <v/>
      </c>
    </row>
    <row r="150">
      <c r="A150" s="5" t="n"/>
      <c r="B150" s="51" t="n"/>
      <c r="C150" s="5" t="n"/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1" t="n"/>
      <c r="M150" s="53">
        <f>IF(A150="","",IF(COUNTIF('AFA Rates'!$A$5:$A$504,A150)&gt;0,"Yes","No"))</f>
        <v/>
      </c>
      <c r="N150" s="53">
        <f>IF(A150="","",COUNTIF('AFA Rates'!$A$5:$A$504,A150))</f>
        <v/>
      </c>
      <c r="O150" s="54" t="n"/>
      <c r="P150" s="5" t="n"/>
      <c r="Q150" s="5" t="n"/>
      <c r="R150">
        <f>IF(AND(A150&lt;&gt;"",B150="Paused"),COUNTIFS($A$5:A150,"&lt;&gt;",$B$5:B150,"Paused"),"")</f>
        <v/>
      </c>
      <c r="S150">
        <f>IF(M150="Yes",COUNTIF($M$5:M150,"Yes"),"")</f>
        <v/>
      </c>
    </row>
    <row r="151">
      <c r="A151" s="5" t="n"/>
      <c r="B151" s="51" t="n"/>
      <c r="C151" s="5" t="n"/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1" t="n"/>
      <c r="M151" s="53">
        <f>IF(A151="","",IF(COUNTIF('AFA Rates'!$A$5:$A$504,A151)&gt;0,"Yes","No"))</f>
        <v/>
      </c>
      <c r="N151" s="53">
        <f>IF(A151="","",COUNTIF('AFA Rates'!$A$5:$A$504,A151))</f>
        <v/>
      </c>
      <c r="O151" s="54" t="n"/>
      <c r="P151" s="5" t="n"/>
      <c r="Q151" s="5" t="n"/>
      <c r="R151">
        <f>IF(AND(A151&lt;&gt;"",B151="Paused"),COUNTIFS($A$5:A151,"&lt;&gt;",$B$5:B151,"Paused"),"")</f>
        <v/>
      </c>
      <c r="S151">
        <f>IF(M151="Yes",COUNTIF($M$5:M151,"Yes"),"")</f>
        <v/>
      </c>
    </row>
    <row r="152">
      <c r="A152" s="5" t="n"/>
      <c r="B152" s="51" t="n"/>
      <c r="C152" s="5" t="n"/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1" t="n"/>
      <c r="M152" s="53">
        <f>IF(A152="","",IF(COUNTIF('AFA Rates'!$A$5:$A$504,A152)&gt;0,"Yes","No"))</f>
        <v/>
      </c>
      <c r="N152" s="53">
        <f>IF(A152="","",COUNTIF('AFA Rates'!$A$5:$A$504,A152))</f>
        <v/>
      </c>
      <c r="O152" s="54" t="n"/>
      <c r="P152" s="5" t="n"/>
      <c r="Q152" s="5" t="n"/>
      <c r="R152">
        <f>IF(AND(A152&lt;&gt;"",B152="Paused"),COUNTIFS($A$5:A152,"&lt;&gt;",$B$5:B152,"Paused"),"")</f>
        <v/>
      </c>
      <c r="S152">
        <f>IF(M152="Yes",COUNTIF($M$5:M152,"Yes"),"")</f>
        <v/>
      </c>
    </row>
    <row r="153">
      <c r="A153" s="5" t="n"/>
      <c r="B153" s="51" t="n"/>
      <c r="C153" s="5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1" t="n"/>
      <c r="M153" s="53">
        <f>IF(A153="","",IF(COUNTIF('AFA Rates'!$A$5:$A$504,A153)&gt;0,"Yes","No"))</f>
        <v/>
      </c>
      <c r="N153" s="53">
        <f>IF(A153="","",COUNTIF('AFA Rates'!$A$5:$A$504,A153))</f>
        <v/>
      </c>
      <c r="O153" s="54" t="n"/>
      <c r="P153" s="5" t="n"/>
      <c r="Q153" s="5" t="n"/>
      <c r="R153">
        <f>IF(AND(A153&lt;&gt;"",B153="Paused"),COUNTIFS($A$5:A153,"&lt;&gt;",$B$5:B153,"Paused"),"")</f>
        <v/>
      </c>
      <c r="S153">
        <f>IF(M153="Yes",COUNTIF($M$5:M153,"Yes"),"")</f>
        <v/>
      </c>
    </row>
    <row r="154">
      <c r="A154" s="5" t="n"/>
      <c r="B154" s="51" t="n"/>
      <c r="C154" s="5" t="n"/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1" t="n"/>
      <c r="M154" s="53">
        <f>IF(A154="","",IF(COUNTIF('AFA Rates'!$A$5:$A$504,A154)&gt;0,"Yes","No"))</f>
        <v/>
      </c>
      <c r="N154" s="53">
        <f>IF(A154="","",COUNTIF('AFA Rates'!$A$5:$A$504,A154))</f>
        <v/>
      </c>
      <c r="O154" s="54" t="n"/>
      <c r="P154" s="5" t="n"/>
      <c r="Q154" s="5" t="n"/>
      <c r="R154">
        <f>IF(AND(A154&lt;&gt;"",B154="Paused"),COUNTIFS($A$5:A154,"&lt;&gt;",$B$5:B154,"Paused"),"")</f>
        <v/>
      </c>
      <c r="S154">
        <f>IF(M154="Yes",COUNTIF($M$5:M154,"Yes"),"")</f>
        <v/>
      </c>
    </row>
    <row r="155">
      <c r="A155" s="5" t="n"/>
      <c r="B155" s="51" t="n"/>
      <c r="C155" s="5" t="n"/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1" t="n"/>
      <c r="M155" s="53">
        <f>IF(A155="","",IF(COUNTIF('AFA Rates'!$A$5:$A$504,A155)&gt;0,"Yes","No"))</f>
        <v/>
      </c>
      <c r="N155" s="53">
        <f>IF(A155="","",COUNTIF('AFA Rates'!$A$5:$A$504,A155))</f>
        <v/>
      </c>
      <c r="O155" s="54" t="n"/>
      <c r="P155" s="5" t="n"/>
      <c r="Q155" s="5" t="n"/>
      <c r="R155">
        <f>IF(AND(A155&lt;&gt;"",B155="Paused"),COUNTIFS($A$5:A155,"&lt;&gt;",$B$5:B155,"Paused"),"")</f>
        <v/>
      </c>
      <c r="S155">
        <f>IF(M155="Yes",COUNTIF($M$5:M155,"Yes"),"")</f>
        <v/>
      </c>
    </row>
    <row r="156">
      <c r="A156" s="5" t="n"/>
      <c r="B156" s="51" t="n"/>
      <c r="C156" s="5" t="n"/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1" t="n"/>
      <c r="M156" s="53">
        <f>IF(A156="","",IF(COUNTIF('AFA Rates'!$A$5:$A$504,A156)&gt;0,"Yes","No"))</f>
        <v/>
      </c>
      <c r="N156" s="53">
        <f>IF(A156="","",COUNTIF('AFA Rates'!$A$5:$A$504,A156))</f>
        <v/>
      </c>
      <c r="O156" s="54" t="n"/>
      <c r="P156" s="5" t="n"/>
      <c r="Q156" s="5" t="n"/>
      <c r="R156">
        <f>IF(AND(A156&lt;&gt;"",B156="Paused"),COUNTIFS($A$5:A156,"&lt;&gt;",$B$5:B156,"Paused"),"")</f>
        <v/>
      </c>
      <c r="S156">
        <f>IF(M156="Yes",COUNTIF($M$5:M156,"Yes"),"")</f>
        <v/>
      </c>
    </row>
    <row r="157">
      <c r="A157" s="5" t="n"/>
      <c r="B157" s="51" t="n"/>
      <c r="C157" s="5" t="n"/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1" t="n"/>
      <c r="M157" s="53">
        <f>IF(A157="","",IF(COUNTIF('AFA Rates'!$A$5:$A$504,A157)&gt;0,"Yes","No"))</f>
        <v/>
      </c>
      <c r="N157" s="53">
        <f>IF(A157="","",COUNTIF('AFA Rates'!$A$5:$A$504,A157))</f>
        <v/>
      </c>
      <c r="O157" s="54" t="n"/>
      <c r="P157" s="5" t="n"/>
      <c r="Q157" s="5" t="n"/>
      <c r="R157">
        <f>IF(AND(A157&lt;&gt;"",B157="Paused"),COUNTIFS($A$5:A157,"&lt;&gt;",$B$5:B157,"Paused"),"")</f>
        <v/>
      </c>
      <c r="S157">
        <f>IF(M157="Yes",COUNTIF($M$5:M157,"Yes"),"")</f>
        <v/>
      </c>
    </row>
    <row r="158">
      <c r="A158" s="5" t="n"/>
      <c r="B158" s="51" t="n"/>
      <c r="C158" s="5" t="n"/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1" t="n"/>
      <c r="M158" s="53">
        <f>IF(A158="","",IF(COUNTIF('AFA Rates'!$A$5:$A$504,A158)&gt;0,"Yes","No"))</f>
        <v/>
      </c>
      <c r="N158" s="53">
        <f>IF(A158="","",COUNTIF('AFA Rates'!$A$5:$A$504,A158))</f>
        <v/>
      </c>
      <c r="O158" s="54" t="n"/>
      <c r="P158" s="5" t="n"/>
      <c r="Q158" s="5" t="n"/>
      <c r="R158">
        <f>IF(AND(A158&lt;&gt;"",B158="Paused"),COUNTIFS($A$5:A158,"&lt;&gt;",$B$5:B158,"Paused"),"")</f>
        <v/>
      </c>
      <c r="S158">
        <f>IF(M158="Yes",COUNTIF($M$5:M158,"Yes"),"")</f>
        <v/>
      </c>
    </row>
    <row r="159">
      <c r="A159" s="5" t="n"/>
      <c r="B159" s="51" t="n"/>
      <c r="C159" s="5" t="n"/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1" t="n"/>
      <c r="M159" s="53">
        <f>IF(A159="","",IF(COUNTIF('AFA Rates'!$A$5:$A$504,A159)&gt;0,"Yes","No"))</f>
        <v/>
      </c>
      <c r="N159" s="53">
        <f>IF(A159="","",COUNTIF('AFA Rates'!$A$5:$A$504,A159))</f>
        <v/>
      </c>
      <c r="O159" s="54" t="n"/>
      <c r="P159" s="5" t="n"/>
      <c r="Q159" s="5" t="n"/>
      <c r="R159">
        <f>IF(AND(A159&lt;&gt;"",B159="Paused"),COUNTIFS($A$5:A159,"&lt;&gt;",$B$5:B159,"Paused"),"")</f>
        <v/>
      </c>
      <c r="S159">
        <f>IF(M159="Yes",COUNTIF($M$5:M159,"Yes"),"")</f>
        <v/>
      </c>
    </row>
    <row r="160">
      <c r="A160" s="5" t="n"/>
      <c r="B160" s="51" t="n"/>
      <c r="C160" s="5" t="n"/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1" t="n"/>
      <c r="M160" s="53">
        <f>IF(A160="","",IF(COUNTIF('AFA Rates'!$A$5:$A$504,A160)&gt;0,"Yes","No"))</f>
        <v/>
      </c>
      <c r="N160" s="53">
        <f>IF(A160="","",COUNTIF('AFA Rates'!$A$5:$A$504,A160))</f>
        <v/>
      </c>
      <c r="O160" s="54" t="n"/>
      <c r="P160" s="5" t="n"/>
      <c r="Q160" s="5" t="n"/>
      <c r="R160">
        <f>IF(AND(A160&lt;&gt;"",B160="Paused"),COUNTIFS($A$5:A160,"&lt;&gt;",$B$5:B160,"Paused"),"")</f>
        <v/>
      </c>
      <c r="S160">
        <f>IF(M160="Yes",COUNTIF($M$5:M160,"Yes"),"")</f>
        <v/>
      </c>
    </row>
    <row r="161">
      <c r="A161" s="5" t="n"/>
      <c r="B161" s="51" t="n"/>
      <c r="C161" s="5" t="n"/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1" t="n"/>
      <c r="M161" s="53">
        <f>IF(A161="","",IF(COUNTIF('AFA Rates'!$A$5:$A$504,A161)&gt;0,"Yes","No"))</f>
        <v/>
      </c>
      <c r="N161" s="53">
        <f>IF(A161="","",COUNTIF('AFA Rates'!$A$5:$A$504,A161))</f>
        <v/>
      </c>
      <c r="O161" s="54" t="n"/>
      <c r="P161" s="5" t="n"/>
      <c r="Q161" s="5" t="n"/>
      <c r="R161">
        <f>IF(AND(A161&lt;&gt;"",B161="Paused"),COUNTIFS($A$5:A161,"&lt;&gt;",$B$5:B161,"Paused"),"")</f>
        <v/>
      </c>
      <c r="S161">
        <f>IF(M161="Yes",COUNTIF($M$5:M161,"Yes"),"")</f>
        <v/>
      </c>
    </row>
    <row r="162">
      <c r="A162" s="5" t="n"/>
      <c r="B162" s="51" t="n"/>
      <c r="C162" s="5" t="n"/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1" t="n"/>
      <c r="M162" s="53">
        <f>IF(A162="","",IF(COUNTIF('AFA Rates'!$A$5:$A$504,A162)&gt;0,"Yes","No"))</f>
        <v/>
      </c>
      <c r="N162" s="53">
        <f>IF(A162="","",COUNTIF('AFA Rates'!$A$5:$A$504,A162))</f>
        <v/>
      </c>
      <c r="O162" s="54" t="n"/>
      <c r="P162" s="5" t="n"/>
      <c r="Q162" s="5" t="n"/>
      <c r="R162">
        <f>IF(AND(A162&lt;&gt;"",B162="Paused"),COUNTIFS($A$5:A162,"&lt;&gt;",$B$5:B162,"Paused"),"")</f>
        <v/>
      </c>
      <c r="S162">
        <f>IF(M162="Yes",COUNTIF($M$5:M162,"Yes"),"")</f>
        <v/>
      </c>
    </row>
    <row r="163">
      <c r="A163" s="5" t="n"/>
      <c r="B163" s="51" t="n"/>
      <c r="C163" s="5" t="n"/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1" t="n"/>
      <c r="M163" s="53">
        <f>IF(A163="","",IF(COUNTIF('AFA Rates'!$A$5:$A$504,A163)&gt;0,"Yes","No"))</f>
        <v/>
      </c>
      <c r="N163" s="53">
        <f>IF(A163="","",COUNTIF('AFA Rates'!$A$5:$A$504,A163))</f>
        <v/>
      </c>
      <c r="O163" s="54" t="n"/>
      <c r="P163" s="5" t="n"/>
      <c r="Q163" s="5" t="n"/>
      <c r="R163">
        <f>IF(AND(A163&lt;&gt;"",B163="Paused"),COUNTIFS($A$5:A163,"&lt;&gt;",$B$5:B163,"Paused"),"")</f>
        <v/>
      </c>
      <c r="S163">
        <f>IF(M163="Yes",COUNTIF($M$5:M163,"Yes"),"")</f>
        <v/>
      </c>
    </row>
    <row r="164">
      <c r="A164" s="5" t="n"/>
      <c r="B164" s="51" t="n"/>
      <c r="C164" s="5" t="n"/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1" t="n"/>
      <c r="M164" s="53">
        <f>IF(A164="","",IF(COUNTIF('AFA Rates'!$A$5:$A$504,A164)&gt;0,"Yes","No"))</f>
        <v/>
      </c>
      <c r="N164" s="53">
        <f>IF(A164="","",COUNTIF('AFA Rates'!$A$5:$A$504,A164))</f>
        <v/>
      </c>
      <c r="O164" s="54" t="n"/>
      <c r="P164" s="5" t="n"/>
      <c r="Q164" s="5" t="n"/>
      <c r="R164">
        <f>IF(AND(A164&lt;&gt;"",B164="Paused"),COUNTIFS($A$5:A164,"&lt;&gt;",$B$5:B164,"Paused"),"")</f>
        <v/>
      </c>
      <c r="S164">
        <f>IF(M164="Yes",COUNTIF($M$5:M164,"Yes"),"")</f>
        <v/>
      </c>
    </row>
    <row r="165">
      <c r="A165" s="5" t="n"/>
      <c r="B165" s="51" t="n"/>
      <c r="C165" s="5" t="n"/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1" t="n"/>
      <c r="M165" s="53">
        <f>IF(A165="","",IF(COUNTIF('AFA Rates'!$A$5:$A$504,A165)&gt;0,"Yes","No"))</f>
        <v/>
      </c>
      <c r="N165" s="53">
        <f>IF(A165="","",COUNTIF('AFA Rates'!$A$5:$A$504,A165))</f>
        <v/>
      </c>
      <c r="O165" s="54" t="n"/>
      <c r="P165" s="5" t="n"/>
      <c r="Q165" s="5" t="n"/>
      <c r="R165">
        <f>IF(AND(A165&lt;&gt;"",B165="Paused"),COUNTIFS($A$5:A165,"&lt;&gt;",$B$5:B165,"Paused"),"")</f>
        <v/>
      </c>
      <c r="S165">
        <f>IF(M165="Yes",COUNTIF($M$5:M165,"Yes"),"")</f>
        <v/>
      </c>
    </row>
    <row r="166">
      <c r="A166" s="5" t="n"/>
      <c r="B166" s="51" t="n"/>
      <c r="C166" s="5" t="n"/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1" t="n"/>
      <c r="M166" s="53">
        <f>IF(A166="","",IF(COUNTIF('AFA Rates'!$A$5:$A$504,A166)&gt;0,"Yes","No"))</f>
        <v/>
      </c>
      <c r="N166" s="53">
        <f>IF(A166="","",COUNTIF('AFA Rates'!$A$5:$A$504,A166))</f>
        <v/>
      </c>
      <c r="O166" s="54" t="n"/>
      <c r="P166" s="5" t="n"/>
      <c r="Q166" s="5" t="n"/>
      <c r="R166">
        <f>IF(AND(A166&lt;&gt;"",B166="Paused"),COUNTIFS($A$5:A166,"&lt;&gt;",$B$5:B166,"Paused"),"")</f>
        <v/>
      </c>
      <c r="S166">
        <f>IF(M166="Yes",COUNTIF($M$5:M166,"Yes"),"")</f>
        <v/>
      </c>
    </row>
    <row r="167">
      <c r="A167" s="5" t="n"/>
      <c r="B167" s="51" t="n"/>
      <c r="C167" s="5" t="n"/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1" t="n"/>
      <c r="M167" s="53">
        <f>IF(A167="","",IF(COUNTIF('AFA Rates'!$A$5:$A$504,A167)&gt;0,"Yes","No"))</f>
        <v/>
      </c>
      <c r="N167" s="53">
        <f>IF(A167="","",COUNTIF('AFA Rates'!$A$5:$A$504,A167))</f>
        <v/>
      </c>
      <c r="O167" s="54" t="n"/>
      <c r="P167" s="5" t="n"/>
      <c r="Q167" s="5" t="n"/>
      <c r="R167">
        <f>IF(AND(A167&lt;&gt;"",B167="Paused"),COUNTIFS($A$5:A167,"&lt;&gt;",$B$5:B167,"Paused"),"")</f>
        <v/>
      </c>
      <c r="S167">
        <f>IF(M167="Yes",COUNTIF($M$5:M167,"Yes"),"")</f>
        <v/>
      </c>
    </row>
    <row r="168">
      <c r="A168" s="5" t="n"/>
      <c r="B168" s="51" t="n"/>
      <c r="C168" s="5" t="n"/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1" t="n"/>
      <c r="M168" s="53">
        <f>IF(A168="","",IF(COUNTIF('AFA Rates'!$A$5:$A$504,A168)&gt;0,"Yes","No"))</f>
        <v/>
      </c>
      <c r="N168" s="53">
        <f>IF(A168="","",COUNTIF('AFA Rates'!$A$5:$A$504,A168))</f>
        <v/>
      </c>
      <c r="O168" s="54" t="n"/>
      <c r="P168" s="5" t="n"/>
      <c r="Q168" s="5" t="n"/>
      <c r="R168">
        <f>IF(AND(A168&lt;&gt;"",B168="Paused"),COUNTIFS($A$5:A168,"&lt;&gt;",$B$5:B168,"Paused"),"")</f>
        <v/>
      </c>
      <c r="S168">
        <f>IF(M168="Yes",COUNTIF($M$5:M168,"Yes"),"")</f>
        <v/>
      </c>
    </row>
    <row r="169">
      <c r="A169" s="5" t="n"/>
      <c r="B169" s="51" t="n"/>
      <c r="C169" s="5" t="n"/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1" t="n"/>
      <c r="M169" s="53">
        <f>IF(A169="","",IF(COUNTIF('AFA Rates'!$A$5:$A$504,A169)&gt;0,"Yes","No"))</f>
        <v/>
      </c>
      <c r="N169" s="53">
        <f>IF(A169="","",COUNTIF('AFA Rates'!$A$5:$A$504,A169))</f>
        <v/>
      </c>
      <c r="O169" s="54" t="n"/>
      <c r="P169" s="5" t="n"/>
      <c r="Q169" s="5" t="n"/>
      <c r="R169">
        <f>IF(AND(A169&lt;&gt;"",B169="Paused"),COUNTIFS($A$5:A169,"&lt;&gt;",$B$5:B169,"Paused"),"")</f>
        <v/>
      </c>
      <c r="S169">
        <f>IF(M169="Yes",COUNTIF($M$5:M169,"Yes"),"")</f>
        <v/>
      </c>
    </row>
    <row r="170">
      <c r="A170" s="5" t="n"/>
      <c r="B170" s="51" t="n"/>
      <c r="C170" s="5" t="n"/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1" t="n"/>
      <c r="M170" s="53">
        <f>IF(A170="","",IF(COUNTIF('AFA Rates'!$A$5:$A$504,A170)&gt;0,"Yes","No"))</f>
        <v/>
      </c>
      <c r="N170" s="53">
        <f>IF(A170="","",COUNTIF('AFA Rates'!$A$5:$A$504,A170))</f>
        <v/>
      </c>
      <c r="O170" s="54" t="n"/>
      <c r="P170" s="5" t="n"/>
      <c r="Q170" s="5" t="n"/>
      <c r="R170">
        <f>IF(AND(A170&lt;&gt;"",B170="Paused"),COUNTIFS($A$5:A170,"&lt;&gt;",$B$5:B170,"Paused"),"")</f>
        <v/>
      </c>
      <c r="S170">
        <f>IF(M170="Yes",COUNTIF($M$5:M170,"Yes"),"")</f>
        <v/>
      </c>
    </row>
    <row r="171">
      <c r="A171" s="5" t="n"/>
      <c r="B171" s="51" t="n"/>
      <c r="C171" s="5" t="n"/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1" t="n"/>
      <c r="M171" s="53">
        <f>IF(A171="","",IF(COUNTIF('AFA Rates'!$A$5:$A$504,A171)&gt;0,"Yes","No"))</f>
        <v/>
      </c>
      <c r="N171" s="53">
        <f>IF(A171="","",COUNTIF('AFA Rates'!$A$5:$A$504,A171))</f>
        <v/>
      </c>
      <c r="O171" s="54" t="n"/>
      <c r="P171" s="5" t="n"/>
      <c r="Q171" s="5" t="n"/>
      <c r="R171">
        <f>IF(AND(A171&lt;&gt;"",B171="Paused"),COUNTIFS($A$5:A171,"&lt;&gt;",$B$5:B171,"Paused"),"")</f>
        <v/>
      </c>
      <c r="S171">
        <f>IF(M171="Yes",COUNTIF($M$5:M171,"Yes"),"")</f>
        <v/>
      </c>
    </row>
    <row r="172">
      <c r="A172" s="5" t="n"/>
      <c r="B172" s="51" t="n"/>
      <c r="C172" s="5" t="n"/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1" t="n"/>
      <c r="M172" s="53">
        <f>IF(A172="","",IF(COUNTIF('AFA Rates'!$A$5:$A$504,A172)&gt;0,"Yes","No"))</f>
        <v/>
      </c>
      <c r="N172" s="53">
        <f>IF(A172="","",COUNTIF('AFA Rates'!$A$5:$A$504,A172))</f>
        <v/>
      </c>
      <c r="O172" s="54" t="n"/>
      <c r="P172" s="5" t="n"/>
      <c r="Q172" s="5" t="n"/>
      <c r="R172">
        <f>IF(AND(A172&lt;&gt;"",B172="Paused"),COUNTIFS($A$5:A172,"&lt;&gt;",$B$5:B172,"Paused"),"")</f>
        <v/>
      </c>
      <c r="S172">
        <f>IF(M172="Yes",COUNTIF($M$5:M172,"Yes"),"")</f>
        <v/>
      </c>
    </row>
    <row r="173">
      <c r="A173" s="5" t="n"/>
      <c r="B173" s="51" t="n"/>
      <c r="C173" s="5" t="n"/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1" t="n"/>
      <c r="M173" s="53">
        <f>IF(A173="","",IF(COUNTIF('AFA Rates'!$A$5:$A$504,A173)&gt;0,"Yes","No"))</f>
        <v/>
      </c>
      <c r="N173" s="53">
        <f>IF(A173="","",COUNTIF('AFA Rates'!$A$5:$A$504,A173))</f>
        <v/>
      </c>
      <c r="O173" s="54" t="n"/>
      <c r="P173" s="5" t="n"/>
      <c r="Q173" s="5" t="n"/>
      <c r="R173">
        <f>IF(AND(A173&lt;&gt;"",B173="Paused"),COUNTIFS($A$5:A173,"&lt;&gt;",$B$5:B173,"Paused"),"")</f>
        <v/>
      </c>
      <c r="S173">
        <f>IF(M173="Yes",COUNTIF($M$5:M173,"Yes"),"")</f>
        <v/>
      </c>
    </row>
    <row r="174">
      <c r="A174" s="5" t="n"/>
      <c r="B174" s="51" t="n"/>
      <c r="C174" s="5" t="n"/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1" t="n"/>
      <c r="M174" s="53">
        <f>IF(A174="","",IF(COUNTIF('AFA Rates'!$A$5:$A$504,A174)&gt;0,"Yes","No"))</f>
        <v/>
      </c>
      <c r="N174" s="53">
        <f>IF(A174="","",COUNTIF('AFA Rates'!$A$5:$A$504,A174))</f>
        <v/>
      </c>
      <c r="O174" s="54" t="n"/>
      <c r="P174" s="5" t="n"/>
      <c r="Q174" s="5" t="n"/>
      <c r="R174">
        <f>IF(AND(A174&lt;&gt;"",B174="Paused"),COUNTIFS($A$5:A174,"&lt;&gt;",$B$5:B174,"Paused"),"")</f>
        <v/>
      </c>
      <c r="S174">
        <f>IF(M174="Yes",COUNTIF($M$5:M174,"Yes"),"")</f>
        <v/>
      </c>
    </row>
    <row r="175">
      <c r="A175" s="5" t="n"/>
      <c r="B175" s="51" t="n"/>
      <c r="C175" s="5" t="n"/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1" t="n"/>
      <c r="M175" s="53">
        <f>IF(A175="","",IF(COUNTIF('AFA Rates'!$A$5:$A$504,A175)&gt;0,"Yes","No"))</f>
        <v/>
      </c>
      <c r="N175" s="53">
        <f>IF(A175="","",COUNTIF('AFA Rates'!$A$5:$A$504,A175))</f>
        <v/>
      </c>
      <c r="O175" s="54" t="n"/>
      <c r="P175" s="5" t="n"/>
      <c r="Q175" s="5" t="n"/>
      <c r="R175">
        <f>IF(AND(A175&lt;&gt;"",B175="Paused"),COUNTIFS($A$5:A175,"&lt;&gt;",$B$5:B175,"Paused"),"")</f>
        <v/>
      </c>
      <c r="S175">
        <f>IF(M175="Yes",COUNTIF($M$5:M175,"Yes"),"")</f>
        <v/>
      </c>
    </row>
    <row r="176">
      <c r="A176" s="5" t="n"/>
      <c r="B176" s="51" t="n"/>
      <c r="C176" s="5" t="n"/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1" t="n"/>
      <c r="M176" s="53">
        <f>IF(A176="","",IF(COUNTIF('AFA Rates'!$A$5:$A$504,A176)&gt;0,"Yes","No"))</f>
        <v/>
      </c>
      <c r="N176" s="53">
        <f>IF(A176="","",COUNTIF('AFA Rates'!$A$5:$A$504,A176))</f>
        <v/>
      </c>
      <c r="O176" s="54" t="n"/>
      <c r="P176" s="5" t="n"/>
      <c r="Q176" s="5" t="n"/>
      <c r="R176">
        <f>IF(AND(A176&lt;&gt;"",B176="Paused"),COUNTIFS($A$5:A176,"&lt;&gt;",$B$5:B176,"Paused"),"")</f>
        <v/>
      </c>
      <c r="S176">
        <f>IF(M176="Yes",COUNTIF($M$5:M176,"Yes"),"")</f>
        <v/>
      </c>
    </row>
    <row r="177">
      <c r="A177" s="5" t="n"/>
      <c r="B177" s="51" t="n"/>
      <c r="C177" s="5" t="n"/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1" t="n"/>
      <c r="M177" s="53">
        <f>IF(A177="","",IF(COUNTIF('AFA Rates'!$A$5:$A$504,A177)&gt;0,"Yes","No"))</f>
        <v/>
      </c>
      <c r="N177" s="53">
        <f>IF(A177="","",COUNTIF('AFA Rates'!$A$5:$A$504,A177))</f>
        <v/>
      </c>
      <c r="O177" s="54" t="n"/>
      <c r="P177" s="5" t="n"/>
      <c r="Q177" s="5" t="n"/>
      <c r="R177">
        <f>IF(AND(A177&lt;&gt;"",B177="Paused"),COUNTIFS($A$5:A177,"&lt;&gt;",$B$5:B177,"Paused"),"")</f>
        <v/>
      </c>
      <c r="S177">
        <f>IF(M177="Yes",COUNTIF($M$5:M177,"Yes"),"")</f>
        <v/>
      </c>
    </row>
    <row r="178">
      <c r="A178" s="5" t="n"/>
      <c r="B178" s="51" t="n"/>
      <c r="C178" s="5" t="n"/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1" t="n"/>
      <c r="M178" s="53">
        <f>IF(A178="","",IF(COUNTIF('AFA Rates'!$A$5:$A$504,A178)&gt;0,"Yes","No"))</f>
        <v/>
      </c>
      <c r="N178" s="53">
        <f>IF(A178="","",COUNTIF('AFA Rates'!$A$5:$A$504,A178))</f>
        <v/>
      </c>
      <c r="O178" s="54" t="n"/>
      <c r="P178" s="5" t="n"/>
      <c r="Q178" s="5" t="n"/>
      <c r="R178">
        <f>IF(AND(A178&lt;&gt;"",B178="Paused"),COUNTIFS($A$5:A178,"&lt;&gt;",$B$5:B178,"Paused"),"")</f>
        <v/>
      </c>
      <c r="S178">
        <f>IF(M178="Yes",COUNTIF($M$5:M178,"Yes"),"")</f>
        <v/>
      </c>
    </row>
    <row r="179">
      <c r="A179" s="5" t="n"/>
      <c r="B179" s="51" t="n"/>
      <c r="C179" s="5" t="n"/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1" t="n"/>
      <c r="M179" s="53">
        <f>IF(A179="","",IF(COUNTIF('AFA Rates'!$A$5:$A$504,A179)&gt;0,"Yes","No"))</f>
        <v/>
      </c>
      <c r="N179" s="53">
        <f>IF(A179="","",COUNTIF('AFA Rates'!$A$5:$A$504,A179))</f>
        <v/>
      </c>
      <c r="O179" s="54" t="n"/>
      <c r="P179" s="5" t="n"/>
      <c r="Q179" s="5" t="n"/>
      <c r="R179">
        <f>IF(AND(A179&lt;&gt;"",B179="Paused"),COUNTIFS($A$5:A179,"&lt;&gt;",$B$5:B179,"Paused"),"")</f>
        <v/>
      </c>
      <c r="S179">
        <f>IF(M179="Yes",COUNTIF($M$5:M179,"Yes"),"")</f>
        <v/>
      </c>
    </row>
    <row r="180">
      <c r="A180" s="5" t="n"/>
      <c r="B180" s="51" t="n"/>
      <c r="C180" s="5" t="n"/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1" t="n"/>
      <c r="M180" s="53">
        <f>IF(A180="","",IF(COUNTIF('AFA Rates'!$A$5:$A$504,A180)&gt;0,"Yes","No"))</f>
        <v/>
      </c>
      <c r="N180" s="53">
        <f>IF(A180="","",COUNTIF('AFA Rates'!$A$5:$A$504,A180))</f>
        <v/>
      </c>
      <c r="O180" s="54" t="n"/>
      <c r="P180" s="5" t="n"/>
      <c r="Q180" s="5" t="n"/>
      <c r="R180">
        <f>IF(AND(A180&lt;&gt;"",B180="Paused"),COUNTIFS($A$5:A180,"&lt;&gt;",$B$5:B180,"Paused"),"")</f>
        <v/>
      </c>
      <c r="S180">
        <f>IF(M180="Yes",COUNTIF($M$5:M180,"Yes"),"")</f>
        <v/>
      </c>
    </row>
    <row r="181">
      <c r="A181" s="5" t="n"/>
      <c r="B181" s="51" t="n"/>
      <c r="C181" s="5" t="n"/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1" t="n"/>
      <c r="M181" s="53">
        <f>IF(A181="","",IF(COUNTIF('AFA Rates'!$A$5:$A$504,A181)&gt;0,"Yes","No"))</f>
        <v/>
      </c>
      <c r="N181" s="53">
        <f>IF(A181="","",COUNTIF('AFA Rates'!$A$5:$A$504,A181))</f>
        <v/>
      </c>
      <c r="O181" s="54" t="n"/>
      <c r="P181" s="5" t="n"/>
      <c r="Q181" s="5" t="n"/>
      <c r="R181">
        <f>IF(AND(A181&lt;&gt;"",B181="Paused"),COUNTIFS($A$5:A181,"&lt;&gt;",$B$5:B181,"Paused"),"")</f>
        <v/>
      </c>
      <c r="S181">
        <f>IF(M181="Yes",COUNTIF($M$5:M181,"Yes"),"")</f>
        <v/>
      </c>
    </row>
    <row r="182">
      <c r="A182" s="5" t="n"/>
      <c r="B182" s="51" t="n"/>
      <c r="C182" s="5" t="n"/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1" t="n"/>
      <c r="M182" s="53">
        <f>IF(A182="","",IF(COUNTIF('AFA Rates'!$A$5:$A$504,A182)&gt;0,"Yes","No"))</f>
        <v/>
      </c>
      <c r="N182" s="53">
        <f>IF(A182="","",COUNTIF('AFA Rates'!$A$5:$A$504,A182))</f>
        <v/>
      </c>
      <c r="O182" s="54" t="n"/>
      <c r="P182" s="5" t="n"/>
      <c r="Q182" s="5" t="n"/>
      <c r="R182">
        <f>IF(AND(A182&lt;&gt;"",B182="Paused"),COUNTIFS($A$5:A182,"&lt;&gt;",$B$5:B182,"Paused"),"")</f>
        <v/>
      </c>
      <c r="S182">
        <f>IF(M182="Yes",COUNTIF($M$5:M182,"Yes"),"")</f>
        <v/>
      </c>
    </row>
    <row r="183">
      <c r="A183" s="5" t="n"/>
      <c r="B183" s="51" t="n"/>
      <c r="C183" s="5" t="n"/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1" t="n"/>
      <c r="M183" s="53">
        <f>IF(A183="","",IF(COUNTIF('AFA Rates'!$A$5:$A$504,A183)&gt;0,"Yes","No"))</f>
        <v/>
      </c>
      <c r="N183" s="53">
        <f>IF(A183="","",COUNTIF('AFA Rates'!$A$5:$A$504,A183))</f>
        <v/>
      </c>
      <c r="O183" s="54" t="n"/>
      <c r="P183" s="5" t="n"/>
      <c r="Q183" s="5" t="n"/>
      <c r="R183">
        <f>IF(AND(A183&lt;&gt;"",B183="Paused"),COUNTIFS($A$5:A183,"&lt;&gt;",$B$5:B183,"Paused"),"")</f>
        <v/>
      </c>
      <c r="S183">
        <f>IF(M183="Yes",COUNTIF($M$5:M183,"Yes"),"")</f>
        <v/>
      </c>
    </row>
    <row r="184">
      <c r="A184" s="5" t="n"/>
      <c r="B184" s="51" t="n"/>
      <c r="C184" s="5" t="n"/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1" t="n"/>
      <c r="M184" s="53">
        <f>IF(A184="","",IF(COUNTIF('AFA Rates'!$A$5:$A$504,A184)&gt;0,"Yes","No"))</f>
        <v/>
      </c>
      <c r="N184" s="53">
        <f>IF(A184="","",COUNTIF('AFA Rates'!$A$5:$A$504,A184))</f>
        <v/>
      </c>
      <c r="O184" s="54" t="n"/>
      <c r="P184" s="5" t="n"/>
      <c r="Q184" s="5" t="n"/>
      <c r="R184">
        <f>IF(AND(A184&lt;&gt;"",B184="Paused"),COUNTIFS($A$5:A184,"&lt;&gt;",$B$5:B184,"Paused"),"")</f>
        <v/>
      </c>
      <c r="S184">
        <f>IF(M184="Yes",COUNTIF($M$5:M184,"Yes"),"")</f>
        <v/>
      </c>
    </row>
    <row r="185">
      <c r="A185" s="5" t="n"/>
      <c r="B185" s="51" t="n"/>
      <c r="C185" s="5" t="n"/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1" t="n"/>
      <c r="M185" s="53">
        <f>IF(A185="","",IF(COUNTIF('AFA Rates'!$A$5:$A$504,A185)&gt;0,"Yes","No"))</f>
        <v/>
      </c>
      <c r="N185" s="53">
        <f>IF(A185="","",COUNTIF('AFA Rates'!$A$5:$A$504,A185))</f>
        <v/>
      </c>
      <c r="O185" s="54" t="n"/>
      <c r="P185" s="5" t="n"/>
      <c r="Q185" s="5" t="n"/>
      <c r="R185">
        <f>IF(AND(A185&lt;&gt;"",B185="Paused"),COUNTIFS($A$5:A185,"&lt;&gt;",$B$5:B185,"Paused"),"")</f>
        <v/>
      </c>
      <c r="S185">
        <f>IF(M185="Yes",COUNTIF($M$5:M185,"Yes"),"")</f>
        <v/>
      </c>
    </row>
    <row r="186">
      <c r="A186" s="5" t="n"/>
      <c r="B186" s="51" t="n"/>
      <c r="C186" s="5" t="n"/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1" t="n"/>
      <c r="M186" s="53">
        <f>IF(A186="","",IF(COUNTIF('AFA Rates'!$A$5:$A$504,A186)&gt;0,"Yes","No"))</f>
        <v/>
      </c>
      <c r="N186" s="53">
        <f>IF(A186="","",COUNTIF('AFA Rates'!$A$5:$A$504,A186))</f>
        <v/>
      </c>
      <c r="O186" s="54" t="n"/>
      <c r="P186" s="5" t="n"/>
      <c r="Q186" s="5" t="n"/>
      <c r="R186">
        <f>IF(AND(A186&lt;&gt;"",B186="Paused"),COUNTIFS($A$5:A186,"&lt;&gt;",$B$5:B186,"Paused"),"")</f>
        <v/>
      </c>
      <c r="S186">
        <f>IF(M186="Yes",COUNTIF($M$5:M186,"Yes"),"")</f>
        <v/>
      </c>
    </row>
    <row r="187">
      <c r="A187" s="5" t="n"/>
      <c r="B187" s="51" t="n"/>
      <c r="C187" s="5" t="n"/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1" t="n"/>
      <c r="M187" s="53">
        <f>IF(A187="","",IF(COUNTIF('AFA Rates'!$A$5:$A$504,A187)&gt;0,"Yes","No"))</f>
        <v/>
      </c>
      <c r="N187" s="53">
        <f>IF(A187="","",COUNTIF('AFA Rates'!$A$5:$A$504,A187))</f>
        <v/>
      </c>
      <c r="O187" s="54" t="n"/>
      <c r="P187" s="5" t="n"/>
      <c r="Q187" s="5" t="n"/>
      <c r="R187">
        <f>IF(AND(A187&lt;&gt;"",B187="Paused"),COUNTIFS($A$5:A187,"&lt;&gt;",$B$5:B187,"Paused"),"")</f>
        <v/>
      </c>
      <c r="S187">
        <f>IF(M187="Yes",COUNTIF($M$5:M187,"Yes"),"")</f>
        <v/>
      </c>
    </row>
    <row r="188">
      <c r="A188" s="5" t="n"/>
      <c r="B188" s="51" t="n"/>
      <c r="C188" s="5" t="n"/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1" t="n"/>
      <c r="M188" s="53">
        <f>IF(A188="","",IF(COUNTIF('AFA Rates'!$A$5:$A$504,A188)&gt;0,"Yes","No"))</f>
        <v/>
      </c>
      <c r="N188" s="53">
        <f>IF(A188="","",COUNTIF('AFA Rates'!$A$5:$A$504,A188))</f>
        <v/>
      </c>
      <c r="O188" s="54" t="n"/>
      <c r="P188" s="5" t="n"/>
      <c r="Q188" s="5" t="n"/>
      <c r="R188">
        <f>IF(AND(A188&lt;&gt;"",B188="Paused"),COUNTIFS($A$5:A188,"&lt;&gt;",$B$5:B188,"Paused"),"")</f>
        <v/>
      </c>
      <c r="S188">
        <f>IF(M188="Yes",COUNTIF($M$5:M188,"Yes"),"")</f>
        <v/>
      </c>
    </row>
    <row r="189">
      <c r="A189" s="5" t="n"/>
      <c r="B189" s="51" t="n"/>
      <c r="C189" s="5" t="n"/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1" t="n"/>
      <c r="M189" s="53">
        <f>IF(A189="","",IF(COUNTIF('AFA Rates'!$A$5:$A$504,A189)&gt;0,"Yes","No"))</f>
        <v/>
      </c>
      <c r="N189" s="53">
        <f>IF(A189="","",COUNTIF('AFA Rates'!$A$5:$A$504,A189))</f>
        <v/>
      </c>
      <c r="O189" s="54" t="n"/>
      <c r="P189" s="5" t="n"/>
      <c r="Q189" s="5" t="n"/>
      <c r="R189">
        <f>IF(AND(A189&lt;&gt;"",B189="Paused"),COUNTIFS($A$5:A189,"&lt;&gt;",$B$5:B189,"Paused"),"")</f>
        <v/>
      </c>
      <c r="S189">
        <f>IF(M189="Yes",COUNTIF($M$5:M189,"Yes"),"")</f>
        <v/>
      </c>
    </row>
    <row r="190">
      <c r="A190" s="5" t="n"/>
      <c r="B190" s="51" t="n"/>
      <c r="C190" s="5" t="n"/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1" t="n"/>
      <c r="M190" s="53">
        <f>IF(A190="","",IF(COUNTIF('AFA Rates'!$A$5:$A$504,A190)&gt;0,"Yes","No"))</f>
        <v/>
      </c>
      <c r="N190" s="53">
        <f>IF(A190="","",COUNTIF('AFA Rates'!$A$5:$A$504,A190))</f>
        <v/>
      </c>
      <c r="O190" s="54" t="n"/>
      <c r="P190" s="5" t="n"/>
      <c r="Q190" s="5" t="n"/>
      <c r="R190">
        <f>IF(AND(A190&lt;&gt;"",B190="Paused"),COUNTIFS($A$5:A190,"&lt;&gt;",$B$5:B190,"Paused"),"")</f>
        <v/>
      </c>
      <c r="S190">
        <f>IF(M190="Yes",COUNTIF($M$5:M190,"Yes"),"")</f>
        <v/>
      </c>
    </row>
    <row r="191">
      <c r="A191" s="5" t="n"/>
      <c r="B191" s="51" t="n"/>
      <c r="C191" s="5" t="n"/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1" t="n"/>
      <c r="M191" s="53">
        <f>IF(A191="","",IF(COUNTIF('AFA Rates'!$A$5:$A$504,A191)&gt;0,"Yes","No"))</f>
        <v/>
      </c>
      <c r="N191" s="53">
        <f>IF(A191="","",COUNTIF('AFA Rates'!$A$5:$A$504,A191))</f>
        <v/>
      </c>
      <c r="O191" s="54" t="n"/>
      <c r="P191" s="5" t="n"/>
      <c r="Q191" s="5" t="n"/>
      <c r="R191">
        <f>IF(AND(A191&lt;&gt;"",B191="Paused"),COUNTIFS($A$5:A191,"&lt;&gt;",$B$5:B191,"Paused"),"")</f>
        <v/>
      </c>
      <c r="S191">
        <f>IF(M191="Yes",COUNTIF($M$5:M191,"Yes"),"")</f>
        <v/>
      </c>
    </row>
    <row r="192">
      <c r="A192" s="5" t="n"/>
      <c r="B192" s="51" t="n"/>
      <c r="C192" s="5" t="n"/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1" t="n"/>
      <c r="M192" s="53">
        <f>IF(A192="","",IF(COUNTIF('AFA Rates'!$A$5:$A$504,A192)&gt;0,"Yes","No"))</f>
        <v/>
      </c>
      <c r="N192" s="53">
        <f>IF(A192="","",COUNTIF('AFA Rates'!$A$5:$A$504,A192))</f>
        <v/>
      </c>
      <c r="O192" s="54" t="n"/>
      <c r="P192" s="5" t="n"/>
      <c r="Q192" s="5" t="n"/>
      <c r="R192">
        <f>IF(AND(A192&lt;&gt;"",B192="Paused"),COUNTIFS($A$5:A192,"&lt;&gt;",$B$5:B192,"Paused"),"")</f>
        <v/>
      </c>
      <c r="S192">
        <f>IF(M192="Yes",COUNTIF($M$5:M192,"Yes"),"")</f>
        <v/>
      </c>
    </row>
    <row r="193">
      <c r="A193" s="5" t="n"/>
      <c r="B193" s="51" t="n"/>
      <c r="C193" s="5" t="n"/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1" t="n"/>
      <c r="M193" s="53">
        <f>IF(A193="","",IF(COUNTIF('AFA Rates'!$A$5:$A$504,A193)&gt;0,"Yes","No"))</f>
        <v/>
      </c>
      <c r="N193" s="53">
        <f>IF(A193="","",COUNTIF('AFA Rates'!$A$5:$A$504,A193))</f>
        <v/>
      </c>
      <c r="O193" s="54" t="n"/>
      <c r="P193" s="5" t="n"/>
      <c r="Q193" s="5" t="n"/>
      <c r="R193">
        <f>IF(AND(A193&lt;&gt;"",B193="Paused"),COUNTIFS($A$5:A193,"&lt;&gt;",$B$5:B193,"Paused"),"")</f>
        <v/>
      </c>
      <c r="S193">
        <f>IF(M193="Yes",COUNTIF($M$5:M193,"Yes"),"")</f>
        <v/>
      </c>
    </row>
    <row r="194">
      <c r="A194" s="5" t="n"/>
      <c r="B194" s="51" t="n"/>
      <c r="C194" s="5" t="n"/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1" t="n"/>
      <c r="M194" s="53">
        <f>IF(A194="","",IF(COUNTIF('AFA Rates'!$A$5:$A$504,A194)&gt;0,"Yes","No"))</f>
        <v/>
      </c>
      <c r="N194" s="53">
        <f>IF(A194="","",COUNTIF('AFA Rates'!$A$5:$A$504,A194))</f>
        <v/>
      </c>
      <c r="O194" s="54" t="n"/>
      <c r="P194" s="5" t="n"/>
      <c r="Q194" s="5" t="n"/>
      <c r="R194">
        <f>IF(AND(A194&lt;&gt;"",B194="Paused"),COUNTIFS($A$5:A194,"&lt;&gt;",$B$5:B194,"Paused"),"")</f>
        <v/>
      </c>
      <c r="S194">
        <f>IF(M194="Yes",COUNTIF($M$5:M194,"Yes"),"")</f>
        <v/>
      </c>
    </row>
    <row r="195">
      <c r="A195" s="5" t="n"/>
      <c r="B195" s="51" t="n"/>
      <c r="C195" s="5" t="n"/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1" t="n"/>
      <c r="M195" s="53">
        <f>IF(A195="","",IF(COUNTIF('AFA Rates'!$A$5:$A$504,A195)&gt;0,"Yes","No"))</f>
        <v/>
      </c>
      <c r="N195" s="53">
        <f>IF(A195="","",COUNTIF('AFA Rates'!$A$5:$A$504,A195))</f>
        <v/>
      </c>
      <c r="O195" s="54" t="n"/>
      <c r="P195" s="5" t="n"/>
      <c r="Q195" s="5" t="n"/>
      <c r="R195">
        <f>IF(AND(A195&lt;&gt;"",B195="Paused"),COUNTIFS($A$5:A195,"&lt;&gt;",$B$5:B195,"Paused"),"")</f>
        <v/>
      </c>
      <c r="S195">
        <f>IF(M195="Yes",COUNTIF($M$5:M195,"Yes"),"")</f>
        <v/>
      </c>
    </row>
    <row r="196">
      <c r="A196" s="5" t="n"/>
      <c r="B196" s="51" t="n"/>
      <c r="C196" s="5" t="n"/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1" t="n"/>
      <c r="M196" s="53">
        <f>IF(A196="","",IF(COUNTIF('AFA Rates'!$A$5:$A$504,A196)&gt;0,"Yes","No"))</f>
        <v/>
      </c>
      <c r="N196" s="53">
        <f>IF(A196="","",COUNTIF('AFA Rates'!$A$5:$A$504,A196))</f>
        <v/>
      </c>
      <c r="O196" s="54" t="n"/>
      <c r="P196" s="5" t="n"/>
      <c r="Q196" s="5" t="n"/>
      <c r="R196">
        <f>IF(AND(A196&lt;&gt;"",B196="Paused"),COUNTIFS($A$5:A196,"&lt;&gt;",$B$5:B196,"Paused"),"")</f>
        <v/>
      </c>
      <c r="S196">
        <f>IF(M196="Yes",COUNTIF($M$5:M196,"Yes"),"")</f>
        <v/>
      </c>
    </row>
    <row r="197">
      <c r="A197" s="5" t="n"/>
      <c r="B197" s="51" t="n"/>
      <c r="C197" s="5" t="n"/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1" t="n"/>
      <c r="M197" s="53">
        <f>IF(A197="","",IF(COUNTIF('AFA Rates'!$A$5:$A$504,A197)&gt;0,"Yes","No"))</f>
        <v/>
      </c>
      <c r="N197" s="53">
        <f>IF(A197="","",COUNTIF('AFA Rates'!$A$5:$A$504,A197))</f>
        <v/>
      </c>
      <c r="O197" s="54" t="n"/>
      <c r="P197" s="5" t="n"/>
      <c r="Q197" s="5" t="n"/>
      <c r="R197">
        <f>IF(AND(A197&lt;&gt;"",B197="Paused"),COUNTIFS($A$5:A197,"&lt;&gt;",$B$5:B197,"Paused"),"")</f>
        <v/>
      </c>
      <c r="S197">
        <f>IF(M197="Yes",COUNTIF($M$5:M197,"Yes"),"")</f>
        <v/>
      </c>
    </row>
    <row r="198">
      <c r="A198" s="5" t="n"/>
      <c r="B198" s="51" t="n"/>
      <c r="C198" s="5" t="n"/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1" t="n"/>
      <c r="M198" s="53">
        <f>IF(A198="","",IF(COUNTIF('AFA Rates'!$A$5:$A$504,A198)&gt;0,"Yes","No"))</f>
        <v/>
      </c>
      <c r="N198" s="53">
        <f>IF(A198="","",COUNTIF('AFA Rates'!$A$5:$A$504,A198))</f>
        <v/>
      </c>
      <c r="O198" s="54" t="n"/>
      <c r="P198" s="5" t="n"/>
      <c r="Q198" s="5" t="n"/>
      <c r="R198">
        <f>IF(AND(A198&lt;&gt;"",B198="Paused"),COUNTIFS($A$5:A198,"&lt;&gt;",$B$5:B198,"Paused"),"")</f>
        <v/>
      </c>
      <c r="S198">
        <f>IF(M198="Yes",COUNTIF($M$5:M198,"Yes"),"")</f>
        <v/>
      </c>
    </row>
    <row r="199">
      <c r="A199" s="5" t="n"/>
      <c r="B199" s="51" t="n"/>
      <c r="C199" s="5" t="n"/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1" t="n"/>
      <c r="M199" s="53">
        <f>IF(A199="","",IF(COUNTIF('AFA Rates'!$A$5:$A$504,A199)&gt;0,"Yes","No"))</f>
        <v/>
      </c>
      <c r="N199" s="53">
        <f>IF(A199="","",COUNTIF('AFA Rates'!$A$5:$A$504,A199))</f>
        <v/>
      </c>
      <c r="O199" s="54" t="n"/>
      <c r="P199" s="5" t="n"/>
      <c r="Q199" s="5" t="n"/>
      <c r="R199">
        <f>IF(AND(A199&lt;&gt;"",B199="Paused"),COUNTIFS($A$5:A199,"&lt;&gt;",$B$5:B199,"Paused"),"")</f>
        <v/>
      </c>
      <c r="S199">
        <f>IF(M199="Yes",COUNTIF($M$5:M199,"Yes"),"")</f>
        <v/>
      </c>
    </row>
    <row r="200">
      <c r="A200" s="5" t="n"/>
      <c r="B200" s="51" t="n"/>
      <c r="C200" s="5" t="n"/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1" t="n"/>
      <c r="M200" s="53">
        <f>IF(A200="","",IF(COUNTIF('AFA Rates'!$A$5:$A$504,A200)&gt;0,"Yes","No"))</f>
        <v/>
      </c>
      <c r="N200" s="53">
        <f>IF(A200="","",COUNTIF('AFA Rates'!$A$5:$A$504,A200))</f>
        <v/>
      </c>
      <c r="O200" s="54" t="n"/>
      <c r="P200" s="5" t="n"/>
      <c r="Q200" s="5" t="n"/>
      <c r="R200">
        <f>IF(AND(A200&lt;&gt;"",B200="Paused"),COUNTIFS($A$5:A200,"&lt;&gt;",$B$5:B200,"Paused"),"")</f>
        <v/>
      </c>
      <c r="S200">
        <f>IF(M200="Yes",COUNTIF($M$5:M200,"Yes"),"")</f>
        <v/>
      </c>
    </row>
    <row r="201">
      <c r="A201" s="5" t="n"/>
      <c r="B201" s="51" t="n"/>
      <c r="C201" s="5" t="n"/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1" t="n"/>
      <c r="M201" s="53">
        <f>IF(A201="","",IF(COUNTIF('AFA Rates'!$A$5:$A$504,A201)&gt;0,"Yes","No"))</f>
        <v/>
      </c>
      <c r="N201" s="53">
        <f>IF(A201="","",COUNTIF('AFA Rates'!$A$5:$A$504,A201))</f>
        <v/>
      </c>
      <c r="O201" s="54" t="n"/>
      <c r="P201" s="5" t="n"/>
      <c r="Q201" s="5" t="n"/>
      <c r="R201">
        <f>IF(AND(A201&lt;&gt;"",B201="Paused"),COUNTIFS($A$5:A201,"&lt;&gt;",$B$5:B201,"Paused"),"")</f>
        <v/>
      </c>
      <c r="S201">
        <f>IF(M201="Yes",COUNTIF($M$5:M201,"Yes"),"")</f>
        <v/>
      </c>
    </row>
    <row r="202">
      <c r="A202" s="5" t="n"/>
      <c r="B202" s="51" t="n"/>
      <c r="C202" s="5" t="n"/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1" t="n"/>
      <c r="M202" s="53">
        <f>IF(A202="","",IF(COUNTIF('AFA Rates'!$A$5:$A$504,A202)&gt;0,"Yes","No"))</f>
        <v/>
      </c>
      <c r="N202" s="53">
        <f>IF(A202="","",COUNTIF('AFA Rates'!$A$5:$A$504,A202))</f>
        <v/>
      </c>
      <c r="O202" s="54" t="n"/>
      <c r="P202" s="5" t="n"/>
      <c r="Q202" s="5" t="n"/>
      <c r="R202">
        <f>IF(AND(A202&lt;&gt;"",B202="Paused"),COUNTIFS($A$5:A202,"&lt;&gt;",$B$5:B202,"Paused"),"")</f>
        <v/>
      </c>
      <c r="S202">
        <f>IF(M202="Yes",COUNTIF($M$5:M202,"Yes"),"")</f>
        <v/>
      </c>
    </row>
    <row r="203">
      <c r="A203" s="5" t="n"/>
      <c r="B203" s="51" t="n"/>
      <c r="C203" s="5" t="n"/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1" t="n"/>
      <c r="M203" s="53">
        <f>IF(A203="","",IF(COUNTIF('AFA Rates'!$A$5:$A$504,A203)&gt;0,"Yes","No"))</f>
        <v/>
      </c>
      <c r="N203" s="53">
        <f>IF(A203="","",COUNTIF('AFA Rates'!$A$5:$A$504,A203))</f>
        <v/>
      </c>
      <c r="O203" s="54" t="n"/>
      <c r="P203" s="5" t="n"/>
      <c r="Q203" s="5" t="n"/>
      <c r="R203">
        <f>IF(AND(A203&lt;&gt;"",B203="Paused"),COUNTIFS($A$5:A203,"&lt;&gt;",$B$5:B203,"Paused"),"")</f>
        <v/>
      </c>
      <c r="S203">
        <f>IF(M203="Yes",COUNTIF($M$5:M203,"Yes"),"")</f>
        <v/>
      </c>
    </row>
    <row r="204">
      <c r="A204" s="5" t="n"/>
      <c r="B204" s="51" t="n"/>
      <c r="C204" s="5" t="n"/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1" t="n"/>
      <c r="M204" s="53">
        <f>IF(A204="","",IF(COUNTIF('AFA Rates'!$A$5:$A$504,A204)&gt;0,"Yes","No"))</f>
        <v/>
      </c>
      <c r="N204" s="53">
        <f>IF(A204="","",COUNTIF('AFA Rates'!$A$5:$A$504,A204))</f>
        <v/>
      </c>
      <c r="O204" s="54" t="n"/>
      <c r="P204" s="5" t="n"/>
      <c r="Q204" s="5" t="n"/>
      <c r="R204">
        <f>IF(AND(A204&lt;&gt;"",B204="Paused"),COUNTIFS($A$5:A204,"&lt;&gt;",$B$5:B204,"Paused"),"")</f>
        <v/>
      </c>
      <c r="S204">
        <f>IF(M204="Yes",COUNTIF($M$5:M204,"Yes"),"")</f>
        <v/>
      </c>
    </row>
    <row r="205">
      <c r="A205" s="5" t="n"/>
      <c r="B205" s="51" t="n"/>
      <c r="C205" s="5" t="n"/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1" t="n"/>
      <c r="M205" s="53">
        <f>IF(A205="","",IF(COUNTIF('AFA Rates'!$A$5:$A$504,A205)&gt;0,"Yes","No"))</f>
        <v/>
      </c>
      <c r="N205" s="53">
        <f>IF(A205="","",COUNTIF('AFA Rates'!$A$5:$A$504,A205))</f>
        <v/>
      </c>
      <c r="O205" s="54" t="n"/>
      <c r="P205" s="5" t="n"/>
      <c r="Q205" s="5" t="n"/>
      <c r="R205">
        <f>IF(AND(A205&lt;&gt;"",B205="Paused"),COUNTIFS($A$5:A205,"&lt;&gt;",$B$5:B205,"Paused"),"")</f>
        <v/>
      </c>
      <c r="S205">
        <f>IF(M205="Yes",COUNTIF($M$5:M205,"Yes"),"")</f>
        <v/>
      </c>
    </row>
    <row r="206">
      <c r="A206" s="5" t="n"/>
      <c r="B206" s="51" t="n"/>
      <c r="C206" s="5" t="n"/>
      <c r="D206" s="52" t="n"/>
      <c r="E206" s="52" t="n"/>
      <c r="F206" s="52" t="n"/>
      <c r="G206" s="52" t="n"/>
      <c r="H206" s="52" t="n"/>
      <c r="I206" s="52" t="n"/>
      <c r="J206" s="52" t="n"/>
      <c r="K206" s="52" t="n"/>
      <c r="L206" s="51" t="n"/>
      <c r="M206" s="53">
        <f>IF(A206="","",IF(COUNTIF('AFA Rates'!$A$5:$A$504,A206)&gt;0,"Yes","No"))</f>
        <v/>
      </c>
      <c r="N206" s="53">
        <f>IF(A206="","",COUNTIF('AFA Rates'!$A$5:$A$504,A206))</f>
        <v/>
      </c>
      <c r="O206" s="54" t="n"/>
      <c r="P206" s="5" t="n"/>
      <c r="Q206" s="5" t="n"/>
      <c r="R206">
        <f>IF(AND(A206&lt;&gt;"",B206="Paused"),COUNTIFS($A$5:A206,"&lt;&gt;",$B$5:B206,"Paused"),"")</f>
        <v/>
      </c>
      <c r="S206">
        <f>IF(M206="Yes",COUNTIF($M$5:M206,"Yes"),"")</f>
        <v/>
      </c>
    </row>
    <row r="207">
      <c r="A207" s="5" t="n"/>
      <c r="B207" s="51" t="n"/>
      <c r="C207" s="5" t="n"/>
      <c r="D207" s="52" t="n"/>
      <c r="E207" s="52" t="n"/>
      <c r="F207" s="52" t="n"/>
      <c r="G207" s="52" t="n"/>
      <c r="H207" s="52" t="n"/>
      <c r="I207" s="52" t="n"/>
      <c r="J207" s="52" t="n"/>
      <c r="K207" s="52" t="n"/>
      <c r="L207" s="51" t="n"/>
      <c r="M207" s="53">
        <f>IF(A207="","",IF(COUNTIF('AFA Rates'!$A$5:$A$504,A207)&gt;0,"Yes","No"))</f>
        <v/>
      </c>
      <c r="N207" s="53">
        <f>IF(A207="","",COUNTIF('AFA Rates'!$A$5:$A$504,A207))</f>
        <v/>
      </c>
      <c r="O207" s="54" t="n"/>
      <c r="P207" s="5" t="n"/>
      <c r="Q207" s="5" t="n"/>
      <c r="R207">
        <f>IF(AND(A207&lt;&gt;"",B207="Paused"),COUNTIFS($A$5:A207,"&lt;&gt;",$B$5:B207,"Paused"),"")</f>
        <v/>
      </c>
      <c r="S207">
        <f>IF(M207="Yes",COUNTIF($M$5:M207,"Yes"),"")</f>
        <v/>
      </c>
    </row>
    <row r="208">
      <c r="A208" s="5" t="n"/>
      <c r="B208" s="51" t="n"/>
      <c r="C208" s="5" t="n"/>
      <c r="D208" s="52" t="n"/>
      <c r="E208" s="52" t="n"/>
      <c r="F208" s="52" t="n"/>
      <c r="G208" s="52" t="n"/>
      <c r="H208" s="52" t="n"/>
      <c r="I208" s="52" t="n"/>
      <c r="J208" s="52" t="n"/>
      <c r="K208" s="52" t="n"/>
      <c r="L208" s="51" t="n"/>
      <c r="M208" s="53">
        <f>IF(A208="","",IF(COUNTIF('AFA Rates'!$A$5:$A$504,A208)&gt;0,"Yes","No"))</f>
        <v/>
      </c>
      <c r="N208" s="53">
        <f>IF(A208="","",COUNTIF('AFA Rates'!$A$5:$A$504,A208))</f>
        <v/>
      </c>
      <c r="O208" s="54" t="n"/>
      <c r="P208" s="5" t="n"/>
      <c r="Q208" s="5" t="n"/>
      <c r="R208">
        <f>IF(AND(A208&lt;&gt;"",B208="Paused"),COUNTIFS($A$5:A208,"&lt;&gt;",$B$5:B208,"Paused"),"")</f>
        <v/>
      </c>
      <c r="S208">
        <f>IF(M208="Yes",COUNTIF($M$5:M208,"Yes"),"")</f>
        <v/>
      </c>
    </row>
    <row r="209">
      <c r="A209" s="5" t="n"/>
      <c r="B209" s="51" t="n"/>
      <c r="C209" s="5" t="n"/>
      <c r="D209" s="52" t="n"/>
      <c r="E209" s="52" t="n"/>
      <c r="F209" s="52" t="n"/>
      <c r="G209" s="52" t="n"/>
      <c r="H209" s="52" t="n"/>
      <c r="I209" s="52" t="n"/>
      <c r="J209" s="52" t="n"/>
      <c r="K209" s="52" t="n"/>
      <c r="L209" s="51" t="n"/>
      <c r="M209" s="53">
        <f>IF(A209="","",IF(COUNTIF('AFA Rates'!$A$5:$A$504,A209)&gt;0,"Yes","No"))</f>
        <v/>
      </c>
      <c r="N209" s="53">
        <f>IF(A209="","",COUNTIF('AFA Rates'!$A$5:$A$504,A209))</f>
        <v/>
      </c>
      <c r="O209" s="54" t="n"/>
      <c r="P209" s="5" t="n"/>
      <c r="Q209" s="5" t="n"/>
      <c r="R209">
        <f>IF(AND(A209&lt;&gt;"",B209="Paused"),COUNTIFS($A$5:A209,"&lt;&gt;",$B$5:B209,"Paused"),"")</f>
        <v/>
      </c>
      <c r="S209">
        <f>IF(M209="Yes",COUNTIF($M$5:M209,"Yes"),"")</f>
        <v/>
      </c>
    </row>
    <row r="210">
      <c r="A210" s="5" t="n"/>
      <c r="B210" s="51" t="n"/>
      <c r="C210" s="5" t="n"/>
      <c r="D210" s="52" t="n"/>
      <c r="E210" s="52" t="n"/>
      <c r="F210" s="52" t="n"/>
      <c r="G210" s="52" t="n"/>
      <c r="H210" s="52" t="n"/>
      <c r="I210" s="52" t="n"/>
      <c r="J210" s="52" t="n"/>
      <c r="K210" s="52" t="n"/>
      <c r="L210" s="51" t="n"/>
      <c r="M210" s="53">
        <f>IF(A210="","",IF(COUNTIF('AFA Rates'!$A$5:$A$504,A210)&gt;0,"Yes","No"))</f>
        <v/>
      </c>
      <c r="N210" s="53">
        <f>IF(A210="","",COUNTIF('AFA Rates'!$A$5:$A$504,A210))</f>
        <v/>
      </c>
      <c r="O210" s="54" t="n"/>
      <c r="P210" s="5" t="n"/>
      <c r="Q210" s="5" t="n"/>
      <c r="R210">
        <f>IF(AND(A210&lt;&gt;"",B210="Paused"),COUNTIFS($A$5:A210,"&lt;&gt;",$B$5:B210,"Paused"),"")</f>
        <v/>
      </c>
      <c r="S210">
        <f>IF(M210="Yes",COUNTIF($M$5:M210,"Yes"),"")</f>
        <v/>
      </c>
    </row>
    <row r="211">
      <c r="A211" s="5" t="n"/>
      <c r="B211" s="51" t="n"/>
      <c r="C211" s="5" t="n"/>
      <c r="D211" s="52" t="n"/>
      <c r="E211" s="52" t="n"/>
      <c r="F211" s="52" t="n"/>
      <c r="G211" s="52" t="n"/>
      <c r="H211" s="52" t="n"/>
      <c r="I211" s="52" t="n"/>
      <c r="J211" s="52" t="n"/>
      <c r="K211" s="52" t="n"/>
      <c r="L211" s="51" t="n"/>
      <c r="M211" s="53">
        <f>IF(A211="","",IF(COUNTIF('AFA Rates'!$A$5:$A$504,A211)&gt;0,"Yes","No"))</f>
        <v/>
      </c>
      <c r="N211" s="53">
        <f>IF(A211="","",COUNTIF('AFA Rates'!$A$5:$A$504,A211))</f>
        <v/>
      </c>
      <c r="O211" s="54" t="n"/>
      <c r="P211" s="5" t="n"/>
      <c r="Q211" s="5" t="n"/>
      <c r="R211">
        <f>IF(AND(A211&lt;&gt;"",B211="Paused"),COUNTIFS($A$5:A211,"&lt;&gt;",$B$5:B211,"Paused"),"")</f>
        <v/>
      </c>
      <c r="S211">
        <f>IF(M211="Yes",COUNTIF($M$5:M211,"Yes"),"")</f>
        <v/>
      </c>
    </row>
    <row r="212">
      <c r="A212" s="5" t="n"/>
      <c r="B212" s="51" t="n"/>
      <c r="C212" s="5" t="n"/>
      <c r="D212" s="52" t="n"/>
      <c r="E212" s="52" t="n"/>
      <c r="F212" s="52" t="n"/>
      <c r="G212" s="52" t="n"/>
      <c r="H212" s="52" t="n"/>
      <c r="I212" s="52" t="n"/>
      <c r="J212" s="52" t="n"/>
      <c r="K212" s="52" t="n"/>
      <c r="L212" s="51" t="n"/>
      <c r="M212" s="53">
        <f>IF(A212="","",IF(COUNTIF('AFA Rates'!$A$5:$A$504,A212)&gt;0,"Yes","No"))</f>
        <v/>
      </c>
      <c r="N212" s="53">
        <f>IF(A212="","",COUNTIF('AFA Rates'!$A$5:$A$504,A212))</f>
        <v/>
      </c>
      <c r="O212" s="54" t="n"/>
      <c r="P212" s="5" t="n"/>
      <c r="Q212" s="5" t="n"/>
      <c r="R212">
        <f>IF(AND(A212&lt;&gt;"",B212="Paused"),COUNTIFS($A$5:A212,"&lt;&gt;",$B$5:B212,"Paused"),"")</f>
        <v/>
      </c>
      <c r="S212">
        <f>IF(M212="Yes",COUNTIF($M$5:M212,"Yes"),"")</f>
        <v/>
      </c>
    </row>
    <row r="213">
      <c r="A213" s="5" t="n"/>
      <c r="B213" s="51" t="n"/>
      <c r="C213" s="5" t="n"/>
      <c r="D213" s="52" t="n"/>
      <c r="E213" s="52" t="n"/>
      <c r="F213" s="52" t="n"/>
      <c r="G213" s="52" t="n"/>
      <c r="H213" s="52" t="n"/>
      <c r="I213" s="52" t="n"/>
      <c r="J213" s="52" t="n"/>
      <c r="K213" s="52" t="n"/>
      <c r="L213" s="51" t="n"/>
      <c r="M213" s="53">
        <f>IF(A213="","",IF(COUNTIF('AFA Rates'!$A$5:$A$504,A213)&gt;0,"Yes","No"))</f>
        <v/>
      </c>
      <c r="N213" s="53">
        <f>IF(A213="","",COUNTIF('AFA Rates'!$A$5:$A$504,A213))</f>
        <v/>
      </c>
      <c r="O213" s="54" t="n"/>
      <c r="P213" s="5" t="n"/>
      <c r="Q213" s="5" t="n"/>
      <c r="R213">
        <f>IF(AND(A213&lt;&gt;"",B213="Paused"),COUNTIFS($A$5:A213,"&lt;&gt;",$B$5:B213,"Paused"),"")</f>
        <v/>
      </c>
      <c r="S213">
        <f>IF(M213="Yes",COUNTIF($M$5:M213,"Yes"),"")</f>
        <v/>
      </c>
    </row>
    <row r="214">
      <c r="A214" s="5" t="n"/>
      <c r="B214" s="51" t="n"/>
      <c r="C214" s="5" t="n"/>
      <c r="D214" s="52" t="n"/>
      <c r="E214" s="52" t="n"/>
      <c r="F214" s="52" t="n"/>
      <c r="G214" s="52" t="n"/>
      <c r="H214" s="52" t="n"/>
      <c r="I214" s="52" t="n"/>
      <c r="J214" s="52" t="n"/>
      <c r="K214" s="52" t="n"/>
      <c r="L214" s="51" t="n"/>
      <c r="M214" s="53">
        <f>IF(A214="","",IF(COUNTIF('AFA Rates'!$A$5:$A$504,A214)&gt;0,"Yes","No"))</f>
        <v/>
      </c>
      <c r="N214" s="53">
        <f>IF(A214="","",COUNTIF('AFA Rates'!$A$5:$A$504,A214))</f>
        <v/>
      </c>
      <c r="O214" s="54" t="n"/>
      <c r="P214" s="5" t="n"/>
      <c r="Q214" s="5" t="n"/>
      <c r="R214">
        <f>IF(AND(A214&lt;&gt;"",B214="Paused"),COUNTIFS($A$5:A214,"&lt;&gt;",$B$5:B214,"Paused"),"")</f>
        <v/>
      </c>
      <c r="S214">
        <f>IF(M214="Yes",COUNTIF($M$5:M214,"Yes"),"")</f>
        <v/>
      </c>
    </row>
    <row r="215">
      <c r="A215" s="5" t="n"/>
      <c r="B215" s="51" t="n"/>
      <c r="C215" s="5" t="n"/>
      <c r="D215" s="52" t="n"/>
      <c r="E215" s="52" t="n"/>
      <c r="F215" s="52" t="n"/>
      <c r="G215" s="52" t="n"/>
      <c r="H215" s="52" t="n"/>
      <c r="I215" s="52" t="n"/>
      <c r="J215" s="52" t="n"/>
      <c r="K215" s="52" t="n"/>
      <c r="L215" s="51" t="n"/>
      <c r="M215" s="53">
        <f>IF(A215="","",IF(COUNTIF('AFA Rates'!$A$5:$A$504,A215)&gt;0,"Yes","No"))</f>
        <v/>
      </c>
      <c r="N215" s="53">
        <f>IF(A215="","",COUNTIF('AFA Rates'!$A$5:$A$504,A215))</f>
        <v/>
      </c>
      <c r="O215" s="54" t="n"/>
      <c r="P215" s="5" t="n"/>
      <c r="Q215" s="5" t="n"/>
      <c r="R215">
        <f>IF(AND(A215&lt;&gt;"",B215="Paused"),COUNTIFS($A$5:A215,"&lt;&gt;",$B$5:B215,"Paused"),"")</f>
        <v/>
      </c>
      <c r="S215">
        <f>IF(M215="Yes",COUNTIF($M$5:M215,"Yes"),"")</f>
        <v/>
      </c>
    </row>
    <row r="216">
      <c r="A216" s="5" t="n"/>
      <c r="B216" s="51" t="n"/>
      <c r="C216" s="5" t="n"/>
      <c r="D216" s="52" t="n"/>
      <c r="E216" s="52" t="n"/>
      <c r="F216" s="52" t="n"/>
      <c r="G216" s="52" t="n"/>
      <c r="H216" s="52" t="n"/>
      <c r="I216" s="52" t="n"/>
      <c r="J216" s="52" t="n"/>
      <c r="K216" s="52" t="n"/>
      <c r="L216" s="51" t="n"/>
      <c r="M216" s="53">
        <f>IF(A216="","",IF(COUNTIF('AFA Rates'!$A$5:$A$504,A216)&gt;0,"Yes","No"))</f>
        <v/>
      </c>
      <c r="N216" s="53">
        <f>IF(A216="","",COUNTIF('AFA Rates'!$A$5:$A$504,A216))</f>
        <v/>
      </c>
      <c r="O216" s="54" t="n"/>
      <c r="P216" s="5" t="n"/>
      <c r="Q216" s="5" t="n"/>
      <c r="R216">
        <f>IF(AND(A216&lt;&gt;"",B216="Paused"),COUNTIFS($A$5:A216,"&lt;&gt;",$B$5:B216,"Paused"),"")</f>
        <v/>
      </c>
      <c r="S216">
        <f>IF(M216="Yes",COUNTIF($M$5:M216,"Yes"),"")</f>
        <v/>
      </c>
    </row>
    <row r="217">
      <c r="A217" s="5" t="n"/>
      <c r="B217" s="51" t="n"/>
      <c r="C217" s="5" t="n"/>
      <c r="D217" s="52" t="n"/>
      <c r="E217" s="52" t="n"/>
      <c r="F217" s="52" t="n"/>
      <c r="G217" s="52" t="n"/>
      <c r="H217" s="52" t="n"/>
      <c r="I217" s="52" t="n"/>
      <c r="J217" s="52" t="n"/>
      <c r="K217" s="52" t="n"/>
      <c r="L217" s="51" t="n"/>
      <c r="M217" s="53">
        <f>IF(A217="","",IF(COUNTIF('AFA Rates'!$A$5:$A$504,A217)&gt;0,"Yes","No"))</f>
        <v/>
      </c>
      <c r="N217" s="53">
        <f>IF(A217="","",COUNTIF('AFA Rates'!$A$5:$A$504,A217))</f>
        <v/>
      </c>
      <c r="O217" s="54" t="n"/>
      <c r="P217" s="5" t="n"/>
      <c r="Q217" s="5" t="n"/>
      <c r="R217">
        <f>IF(AND(A217&lt;&gt;"",B217="Paused"),COUNTIFS($A$5:A217,"&lt;&gt;",$B$5:B217,"Paused"),"")</f>
        <v/>
      </c>
      <c r="S217">
        <f>IF(M217="Yes",COUNTIF($M$5:M217,"Yes"),"")</f>
        <v/>
      </c>
    </row>
    <row r="218">
      <c r="A218" s="5" t="n"/>
      <c r="B218" s="51" t="n"/>
      <c r="C218" s="5" t="n"/>
      <c r="D218" s="52" t="n"/>
      <c r="E218" s="52" t="n"/>
      <c r="F218" s="52" t="n"/>
      <c r="G218" s="52" t="n"/>
      <c r="H218" s="52" t="n"/>
      <c r="I218" s="52" t="n"/>
      <c r="J218" s="52" t="n"/>
      <c r="K218" s="52" t="n"/>
      <c r="L218" s="51" t="n"/>
      <c r="M218" s="53">
        <f>IF(A218="","",IF(COUNTIF('AFA Rates'!$A$5:$A$504,A218)&gt;0,"Yes","No"))</f>
        <v/>
      </c>
      <c r="N218" s="53">
        <f>IF(A218="","",COUNTIF('AFA Rates'!$A$5:$A$504,A218))</f>
        <v/>
      </c>
      <c r="O218" s="54" t="n"/>
      <c r="P218" s="5" t="n"/>
      <c r="Q218" s="5" t="n"/>
      <c r="R218">
        <f>IF(AND(A218&lt;&gt;"",B218="Paused"),COUNTIFS($A$5:A218,"&lt;&gt;",$B$5:B218,"Paused"),"")</f>
        <v/>
      </c>
      <c r="S218">
        <f>IF(M218="Yes",COUNTIF($M$5:M218,"Yes"),"")</f>
        <v/>
      </c>
    </row>
    <row r="219">
      <c r="A219" s="5" t="n"/>
      <c r="B219" s="51" t="n"/>
      <c r="C219" s="5" t="n"/>
      <c r="D219" s="52" t="n"/>
      <c r="E219" s="52" t="n"/>
      <c r="F219" s="52" t="n"/>
      <c r="G219" s="52" t="n"/>
      <c r="H219" s="52" t="n"/>
      <c r="I219" s="52" t="n"/>
      <c r="J219" s="52" t="n"/>
      <c r="K219" s="52" t="n"/>
      <c r="L219" s="51" t="n"/>
      <c r="M219" s="53">
        <f>IF(A219="","",IF(COUNTIF('AFA Rates'!$A$5:$A$504,A219)&gt;0,"Yes","No"))</f>
        <v/>
      </c>
      <c r="N219" s="53">
        <f>IF(A219="","",COUNTIF('AFA Rates'!$A$5:$A$504,A219))</f>
        <v/>
      </c>
      <c r="O219" s="54" t="n"/>
      <c r="P219" s="5" t="n"/>
      <c r="Q219" s="5" t="n"/>
      <c r="R219">
        <f>IF(AND(A219&lt;&gt;"",B219="Paused"),COUNTIFS($A$5:A219,"&lt;&gt;",$B$5:B219,"Paused"),"")</f>
        <v/>
      </c>
      <c r="S219">
        <f>IF(M219="Yes",COUNTIF($M$5:M219,"Yes"),"")</f>
        <v/>
      </c>
    </row>
    <row r="220">
      <c r="A220" s="5" t="n"/>
      <c r="B220" s="51" t="n"/>
      <c r="C220" s="5" t="n"/>
      <c r="D220" s="52" t="n"/>
      <c r="E220" s="52" t="n"/>
      <c r="F220" s="52" t="n"/>
      <c r="G220" s="52" t="n"/>
      <c r="H220" s="52" t="n"/>
      <c r="I220" s="52" t="n"/>
      <c r="J220" s="52" t="n"/>
      <c r="K220" s="52" t="n"/>
      <c r="L220" s="51" t="n"/>
      <c r="M220" s="53">
        <f>IF(A220="","",IF(COUNTIF('AFA Rates'!$A$5:$A$504,A220)&gt;0,"Yes","No"))</f>
        <v/>
      </c>
      <c r="N220" s="53">
        <f>IF(A220="","",COUNTIF('AFA Rates'!$A$5:$A$504,A220))</f>
        <v/>
      </c>
      <c r="O220" s="54" t="n"/>
      <c r="P220" s="5" t="n"/>
      <c r="Q220" s="5" t="n"/>
      <c r="R220">
        <f>IF(AND(A220&lt;&gt;"",B220="Paused"),COUNTIFS($A$5:A220,"&lt;&gt;",$B$5:B220,"Paused"),"")</f>
        <v/>
      </c>
      <c r="S220">
        <f>IF(M220="Yes",COUNTIF($M$5:M220,"Yes"),"")</f>
        <v/>
      </c>
    </row>
    <row r="221">
      <c r="A221" s="5" t="n"/>
      <c r="B221" s="51" t="n"/>
      <c r="C221" s="5" t="n"/>
      <c r="D221" s="52" t="n"/>
      <c r="E221" s="52" t="n"/>
      <c r="F221" s="52" t="n"/>
      <c r="G221" s="52" t="n"/>
      <c r="H221" s="52" t="n"/>
      <c r="I221" s="52" t="n"/>
      <c r="J221" s="52" t="n"/>
      <c r="K221" s="52" t="n"/>
      <c r="L221" s="51" t="n"/>
      <c r="M221" s="53">
        <f>IF(A221="","",IF(COUNTIF('AFA Rates'!$A$5:$A$504,A221)&gt;0,"Yes","No"))</f>
        <v/>
      </c>
      <c r="N221" s="53">
        <f>IF(A221="","",COUNTIF('AFA Rates'!$A$5:$A$504,A221))</f>
        <v/>
      </c>
      <c r="O221" s="54" t="n"/>
      <c r="P221" s="5" t="n"/>
      <c r="Q221" s="5" t="n"/>
      <c r="R221">
        <f>IF(AND(A221&lt;&gt;"",B221="Paused"),COUNTIFS($A$5:A221,"&lt;&gt;",$B$5:B221,"Paused"),"")</f>
        <v/>
      </c>
      <c r="S221">
        <f>IF(M221="Yes",COUNTIF($M$5:M221,"Yes"),"")</f>
        <v/>
      </c>
    </row>
    <row r="222">
      <c r="A222" s="5" t="n"/>
      <c r="B222" s="51" t="n"/>
      <c r="C222" s="5" t="n"/>
      <c r="D222" s="52" t="n"/>
      <c r="E222" s="52" t="n"/>
      <c r="F222" s="52" t="n"/>
      <c r="G222" s="52" t="n"/>
      <c r="H222" s="52" t="n"/>
      <c r="I222" s="52" t="n"/>
      <c r="J222" s="52" t="n"/>
      <c r="K222" s="52" t="n"/>
      <c r="L222" s="51" t="n"/>
      <c r="M222" s="53">
        <f>IF(A222="","",IF(COUNTIF('AFA Rates'!$A$5:$A$504,A222)&gt;0,"Yes","No"))</f>
        <v/>
      </c>
      <c r="N222" s="53">
        <f>IF(A222="","",COUNTIF('AFA Rates'!$A$5:$A$504,A222))</f>
        <v/>
      </c>
      <c r="O222" s="54" t="n"/>
      <c r="P222" s="5" t="n"/>
      <c r="Q222" s="5" t="n"/>
      <c r="R222">
        <f>IF(AND(A222&lt;&gt;"",B222="Paused"),COUNTIFS($A$5:A222,"&lt;&gt;",$B$5:B222,"Paused"),"")</f>
        <v/>
      </c>
      <c r="S222">
        <f>IF(M222="Yes",COUNTIF($M$5:M222,"Yes"),"")</f>
        <v/>
      </c>
    </row>
    <row r="223">
      <c r="A223" s="5" t="n"/>
      <c r="B223" s="51" t="n"/>
      <c r="C223" s="5" t="n"/>
      <c r="D223" s="52" t="n"/>
      <c r="E223" s="52" t="n"/>
      <c r="F223" s="52" t="n"/>
      <c r="G223" s="52" t="n"/>
      <c r="H223" s="52" t="n"/>
      <c r="I223" s="52" t="n"/>
      <c r="J223" s="52" t="n"/>
      <c r="K223" s="52" t="n"/>
      <c r="L223" s="51" t="n"/>
      <c r="M223" s="53">
        <f>IF(A223="","",IF(COUNTIF('AFA Rates'!$A$5:$A$504,A223)&gt;0,"Yes","No"))</f>
        <v/>
      </c>
      <c r="N223" s="53">
        <f>IF(A223="","",COUNTIF('AFA Rates'!$A$5:$A$504,A223))</f>
        <v/>
      </c>
      <c r="O223" s="54" t="n"/>
      <c r="P223" s="5" t="n"/>
      <c r="Q223" s="5" t="n"/>
      <c r="R223">
        <f>IF(AND(A223&lt;&gt;"",B223="Paused"),COUNTIFS($A$5:A223,"&lt;&gt;",$B$5:B223,"Paused"),"")</f>
        <v/>
      </c>
      <c r="S223">
        <f>IF(M223="Yes",COUNTIF($M$5:M223,"Yes"),"")</f>
        <v/>
      </c>
    </row>
    <row r="224">
      <c r="A224" s="5" t="n"/>
      <c r="B224" s="51" t="n"/>
      <c r="C224" s="5" t="n"/>
      <c r="D224" s="52" t="n"/>
      <c r="E224" s="52" t="n"/>
      <c r="F224" s="52" t="n"/>
      <c r="G224" s="52" t="n"/>
      <c r="H224" s="52" t="n"/>
      <c r="I224" s="52" t="n"/>
      <c r="J224" s="52" t="n"/>
      <c r="K224" s="52" t="n"/>
      <c r="L224" s="51" t="n"/>
      <c r="M224" s="53">
        <f>IF(A224="","",IF(COUNTIF('AFA Rates'!$A$5:$A$504,A224)&gt;0,"Yes","No"))</f>
        <v/>
      </c>
      <c r="N224" s="53">
        <f>IF(A224="","",COUNTIF('AFA Rates'!$A$5:$A$504,A224))</f>
        <v/>
      </c>
      <c r="O224" s="54" t="n"/>
      <c r="P224" s="5" t="n"/>
      <c r="Q224" s="5" t="n"/>
      <c r="R224">
        <f>IF(AND(A224&lt;&gt;"",B224="Paused"),COUNTIFS($A$5:A224,"&lt;&gt;",$B$5:B224,"Paused"),"")</f>
        <v/>
      </c>
      <c r="S224">
        <f>IF(M224="Yes",COUNTIF($M$5:M224,"Yes"),"")</f>
        <v/>
      </c>
    </row>
    <row r="225">
      <c r="A225" s="5" t="n"/>
      <c r="B225" s="51" t="n"/>
      <c r="C225" s="5" t="n"/>
      <c r="D225" s="52" t="n"/>
      <c r="E225" s="52" t="n"/>
      <c r="F225" s="52" t="n"/>
      <c r="G225" s="52" t="n"/>
      <c r="H225" s="52" t="n"/>
      <c r="I225" s="52" t="n"/>
      <c r="J225" s="52" t="n"/>
      <c r="K225" s="52" t="n"/>
      <c r="L225" s="51" t="n"/>
      <c r="M225" s="53">
        <f>IF(A225="","",IF(COUNTIF('AFA Rates'!$A$5:$A$504,A225)&gt;0,"Yes","No"))</f>
        <v/>
      </c>
      <c r="N225" s="53">
        <f>IF(A225="","",COUNTIF('AFA Rates'!$A$5:$A$504,A225))</f>
        <v/>
      </c>
      <c r="O225" s="54" t="n"/>
      <c r="P225" s="5" t="n"/>
      <c r="Q225" s="5" t="n"/>
      <c r="R225">
        <f>IF(AND(A225&lt;&gt;"",B225="Paused"),COUNTIFS($A$5:A225,"&lt;&gt;",$B$5:B225,"Paused"),"")</f>
        <v/>
      </c>
      <c r="S225">
        <f>IF(M225="Yes",COUNTIF($M$5:M225,"Yes"),"")</f>
        <v/>
      </c>
    </row>
    <row r="226">
      <c r="A226" s="5" t="n"/>
      <c r="B226" s="51" t="n"/>
      <c r="C226" s="5" t="n"/>
      <c r="D226" s="52" t="n"/>
      <c r="E226" s="52" t="n"/>
      <c r="F226" s="52" t="n"/>
      <c r="G226" s="52" t="n"/>
      <c r="H226" s="52" t="n"/>
      <c r="I226" s="52" t="n"/>
      <c r="J226" s="52" t="n"/>
      <c r="K226" s="52" t="n"/>
      <c r="L226" s="51" t="n"/>
      <c r="M226" s="53">
        <f>IF(A226="","",IF(COUNTIF('AFA Rates'!$A$5:$A$504,A226)&gt;0,"Yes","No"))</f>
        <v/>
      </c>
      <c r="N226" s="53">
        <f>IF(A226="","",COUNTIF('AFA Rates'!$A$5:$A$504,A226))</f>
        <v/>
      </c>
      <c r="O226" s="54" t="n"/>
      <c r="P226" s="5" t="n"/>
      <c r="Q226" s="5" t="n"/>
      <c r="R226">
        <f>IF(AND(A226&lt;&gt;"",B226="Paused"),COUNTIFS($A$5:A226,"&lt;&gt;",$B$5:B226,"Paused"),"")</f>
        <v/>
      </c>
      <c r="S226">
        <f>IF(M226="Yes",COUNTIF($M$5:M226,"Yes"),"")</f>
        <v/>
      </c>
    </row>
    <row r="227">
      <c r="A227" s="5" t="n"/>
      <c r="B227" s="51" t="n"/>
      <c r="C227" s="5" t="n"/>
      <c r="D227" s="52" t="n"/>
      <c r="E227" s="52" t="n"/>
      <c r="F227" s="52" t="n"/>
      <c r="G227" s="52" t="n"/>
      <c r="H227" s="52" t="n"/>
      <c r="I227" s="52" t="n"/>
      <c r="J227" s="52" t="n"/>
      <c r="K227" s="52" t="n"/>
      <c r="L227" s="51" t="n"/>
      <c r="M227" s="53">
        <f>IF(A227="","",IF(COUNTIF('AFA Rates'!$A$5:$A$504,A227)&gt;0,"Yes","No"))</f>
        <v/>
      </c>
      <c r="N227" s="53">
        <f>IF(A227="","",COUNTIF('AFA Rates'!$A$5:$A$504,A227))</f>
        <v/>
      </c>
      <c r="O227" s="54" t="n"/>
      <c r="P227" s="5" t="n"/>
      <c r="Q227" s="5" t="n"/>
      <c r="R227">
        <f>IF(AND(A227&lt;&gt;"",B227="Paused"),COUNTIFS($A$5:A227,"&lt;&gt;",$B$5:B227,"Paused"),"")</f>
        <v/>
      </c>
      <c r="S227">
        <f>IF(M227="Yes",COUNTIF($M$5:M227,"Yes"),"")</f>
        <v/>
      </c>
    </row>
    <row r="228">
      <c r="A228" s="5" t="n"/>
      <c r="B228" s="51" t="n"/>
      <c r="C228" s="5" t="n"/>
      <c r="D228" s="52" t="n"/>
      <c r="E228" s="52" t="n"/>
      <c r="F228" s="52" t="n"/>
      <c r="G228" s="52" t="n"/>
      <c r="H228" s="52" t="n"/>
      <c r="I228" s="52" t="n"/>
      <c r="J228" s="52" t="n"/>
      <c r="K228" s="52" t="n"/>
      <c r="L228" s="51" t="n"/>
      <c r="M228" s="53">
        <f>IF(A228="","",IF(COUNTIF('AFA Rates'!$A$5:$A$504,A228)&gt;0,"Yes","No"))</f>
        <v/>
      </c>
      <c r="N228" s="53">
        <f>IF(A228="","",COUNTIF('AFA Rates'!$A$5:$A$504,A228))</f>
        <v/>
      </c>
      <c r="O228" s="54" t="n"/>
      <c r="P228" s="5" t="n"/>
      <c r="Q228" s="5" t="n"/>
      <c r="R228">
        <f>IF(AND(A228&lt;&gt;"",B228="Paused"),COUNTIFS($A$5:A228,"&lt;&gt;",$B$5:B228,"Paused"),"")</f>
        <v/>
      </c>
      <c r="S228">
        <f>IF(M228="Yes",COUNTIF($M$5:M228,"Yes"),"")</f>
        <v/>
      </c>
    </row>
    <row r="229">
      <c r="A229" s="5" t="n"/>
      <c r="B229" s="51" t="n"/>
      <c r="C229" s="5" t="n"/>
      <c r="D229" s="52" t="n"/>
      <c r="E229" s="52" t="n"/>
      <c r="F229" s="52" t="n"/>
      <c r="G229" s="52" t="n"/>
      <c r="H229" s="52" t="n"/>
      <c r="I229" s="52" t="n"/>
      <c r="J229" s="52" t="n"/>
      <c r="K229" s="52" t="n"/>
      <c r="L229" s="51" t="n"/>
      <c r="M229" s="53">
        <f>IF(A229="","",IF(COUNTIF('AFA Rates'!$A$5:$A$504,A229)&gt;0,"Yes","No"))</f>
        <v/>
      </c>
      <c r="N229" s="53">
        <f>IF(A229="","",COUNTIF('AFA Rates'!$A$5:$A$504,A229))</f>
        <v/>
      </c>
      <c r="O229" s="54" t="n"/>
      <c r="P229" s="5" t="n"/>
      <c r="Q229" s="5" t="n"/>
      <c r="R229">
        <f>IF(AND(A229&lt;&gt;"",B229="Paused"),COUNTIFS($A$5:A229,"&lt;&gt;",$B$5:B229,"Paused"),"")</f>
        <v/>
      </c>
      <c r="S229">
        <f>IF(M229="Yes",COUNTIF($M$5:M229,"Yes"),"")</f>
        <v/>
      </c>
    </row>
    <row r="230">
      <c r="A230" s="5" t="n"/>
      <c r="B230" s="51" t="n"/>
      <c r="C230" s="5" t="n"/>
      <c r="D230" s="52" t="n"/>
      <c r="E230" s="52" t="n"/>
      <c r="F230" s="52" t="n"/>
      <c r="G230" s="52" t="n"/>
      <c r="H230" s="52" t="n"/>
      <c r="I230" s="52" t="n"/>
      <c r="J230" s="52" t="n"/>
      <c r="K230" s="52" t="n"/>
      <c r="L230" s="51" t="n"/>
      <c r="M230" s="53">
        <f>IF(A230="","",IF(COUNTIF('AFA Rates'!$A$5:$A$504,A230)&gt;0,"Yes","No"))</f>
        <v/>
      </c>
      <c r="N230" s="53">
        <f>IF(A230="","",COUNTIF('AFA Rates'!$A$5:$A$504,A230))</f>
        <v/>
      </c>
      <c r="O230" s="54" t="n"/>
      <c r="P230" s="5" t="n"/>
      <c r="Q230" s="5" t="n"/>
      <c r="R230">
        <f>IF(AND(A230&lt;&gt;"",B230="Paused"),COUNTIFS($A$5:A230,"&lt;&gt;",$B$5:B230,"Paused"),"")</f>
        <v/>
      </c>
      <c r="S230">
        <f>IF(M230="Yes",COUNTIF($M$5:M230,"Yes"),"")</f>
        <v/>
      </c>
    </row>
    <row r="231">
      <c r="A231" s="5" t="n"/>
      <c r="B231" s="51" t="n"/>
      <c r="C231" s="5" t="n"/>
      <c r="D231" s="52" t="n"/>
      <c r="E231" s="52" t="n"/>
      <c r="F231" s="52" t="n"/>
      <c r="G231" s="52" t="n"/>
      <c r="H231" s="52" t="n"/>
      <c r="I231" s="52" t="n"/>
      <c r="J231" s="52" t="n"/>
      <c r="K231" s="52" t="n"/>
      <c r="L231" s="51" t="n"/>
      <c r="M231" s="53">
        <f>IF(A231="","",IF(COUNTIF('AFA Rates'!$A$5:$A$504,A231)&gt;0,"Yes","No"))</f>
        <v/>
      </c>
      <c r="N231" s="53">
        <f>IF(A231="","",COUNTIF('AFA Rates'!$A$5:$A$504,A231))</f>
        <v/>
      </c>
      <c r="O231" s="54" t="n"/>
      <c r="P231" s="5" t="n"/>
      <c r="Q231" s="5" t="n"/>
      <c r="R231">
        <f>IF(AND(A231&lt;&gt;"",B231="Paused"),COUNTIFS($A$5:A231,"&lt;&gt;",$B$5:B231,"Paused"),"")</f>
        <v/>
      </c>
      <c r="S231">
        <f>IF(M231="Yes",COUNTIF($M$5:M231,"Yes"),"")</f>
        <v/>
      </c>
    </row>
    <row r="232">
      <c r="A232" s="5" t="n"/>
      <c r="B232" s="51" t="n"/>
      <c r="C232" s="5" t="n"/>
      <c r="D232" s="52" t="n"/>
      <c r="E232" s="52" t="n"/>
      <c r="F232" s="52" t="n"/>
      <c r="G232" s="52" t="n"/>
      <c r="H232" s="52" t="n"/>
      <c r="I232" s="52" t="n"/>
      <c r="J232" s="52" t="n"/>
      <c r="K232" s="52" t="n"/>
      <c r="L232" s="51" t="n"/>
      <c r="M232" s="53">
        <f>IF(A232="","",IF(COUNTIF('AFA Rates'!$A$5:$A$504,A232)&gt;0,"Yes","No"))</f>
        <v/>
      </c>
      <c r="N232" s="53">
        <f>IF(A232="","",COUNTIF('AFA Rates'!$A$5:$A$504,A232))</f>
        <v/>
      </c>
      <c r="O232" s="54" t="n"/>
      <c r="P232" s="5" t="n"/>
      <c r="Q232" s="5" t="n"/>
      <c r="R232">
        <f>IF(AND(A232&lt;&gt;"",B232="Paused"),COUNTIFS($A$5:A232,"&lt;&gt;",$B$5:B232,"Paused"),"")</f>
        <v/>
      </c>
      <c r="S232">
        <f>IF(M232="Yes",COUNTIF($M$5:M232,"Yes"),"")</f>
        <v/>
      </c>
    </row>
    <row r="233">
      <c r="A233" s="5" t="n"/>
      <c r="B233" s="51" t="n"/>
      <c r="C233" s="5" t="n"/>
      <c r="D233" s="52" t="n"/>
      <c r="E233" s="52" t="n"/>
      <c r="F233" s="52" t="n"/>
      <c r="G233" s="52" t="n"/>
      <c r="H233" s="52" t="n"/>
      <c r="I233" s="52" t="n"/>
      <c r="J233" s="52" t="n"/>
      <c r="K233" s="52" t="n"/>
      <c r="L233" s="51" t="n"/>
      <c r="M233" s="53">
        <f>IF(A233="","",IF(COUNTIF('AFA Rates'!$A$5:$A$504,A233)&gt;0,"Yes","No"))</f>
        <v/>
      </c>
      <c r="N233" s="53">
        <f>IF(A233="","",COUNTIF('AFA Rates'!$A$5:$A$504,A233))</f>
        <v/>
      </c>
      <c r="O233" s="54" t="n"/>
      <c r="P233" s="5" t="n"/>
      <c r="Q233" s="5" t="n"/>
      <c r="R233">
        <f>IF(AND(A233&lt;&gt;"",B233="Paused"),COUNTIFS($A$5:A233,"&lt;&gt;",$B$5:B233,"Paused"),"")</f>
        <v/>
      </c>
      <c r="S233">
        <f>IF(M233="Yes",COUNTIF($M$5:M233,"Yes"),"")</f>
        <v/>
      </c>
    </row>
    <row r="234">
      <c r="A234" s="5" t="n"/>
      <c r="B234" s="51" t="n"/>
      <c r="C234" s="5" t="n"/>
      <c r="D234" s="52" t="n"/>
      <c r="E234" s="52" t="n"/>
      <c r="F234" s="52" t="n"/>
      <c r="G234" s="52" t="n"/>
      <c r="H234" s="52" t="n"/>
      <c r="I234" s="52" t="n"/>
      <c r="J234" s="52" t="n"/>
      <c r="K234" s="52" t="n"/>
      <c r="L234" s="51" t="n"/>
      <c r="M234" s="53">
        <f>IF(A234="","",IF(COUNTIF('AFA Rates'!$A$5:$A$504,A234)&gt;0,"Yes","No"))</f>
        <v/>
      </c>
      <c r="N234" s="53">
        <f>IF(A234="","",COUNTIF('AFA Rates'!$A$5:$A$504,A234))</f>
        <v/>
      </c>
      <c r="O234" s="54" t="n"/>
      <c r="P234" s="5" t="n"/>
      <c r="Q234" s="5" t="n"/>
      <c r="R234">
        <f>IF(AND(A234&lt;&gt;"",B234="Paused"),COUNTIFS($A$5:A234,"&lt;&gt;",$B$5:B234,"Paused"),"")</f>
        <v/>
      </c>
      <c r="S234">
        <f>IF(M234="Yes",COUNTIF($M$5:M234,"Yes"),"")</f>
        <v/>
      </c>
    </row>
    <row r="235">
      <c r="A235" s="5" t="n"/>
      <c r="B235" s="51" t="n"/>
      <c r="C235" s="5" t="n"/>
      <c r="D235" s="52" t="n"/>
      <c r="E235" s="52" t="n"/>
      <c r="F235" s="52" t="n"/>
      <c r="G235" s="52" t="n"/>
      <c r="H235" s="52" t="n"/>
      <c r="I235" s="52" t="n"/>
      <c r="J235" s="52" t="n"/>
      <c r="K235" s="52" t="n"/>
      <c r="L235" s="51" t="n"/>
      <c r="M235" s="53">
        <f>IF(A235="","",IF(COUNTIF('AFA Rates'!$A$5:$A$504,A235)&gt;0,"Yes","No"))</f>
        <v/>
      </c>
      <c r="N235" s="53">
        <f>IF(A235="","",COUNTIF('AFA Rates'!$A$5:$A$504,A235))</f>
        <v/>
      </c>
      <c r="O235" s="54" t="n"/>
      <c r="P235" s="5" t="n"/>
      <c r="Q235" s="5" t="n"/>
      <c r="R235">
        <f>IF(AND(A235&lt;&gt;"",B235="Paused"),COUNTIFS($A$5:A235,"&lt;&gt;",$B$5:B235,"Paused"),"")</f>
        <v/>
      </c>
      <c r="S235">
        <f>IF(M235="Yes",COUNTIF($M$5:M235,"Yes"),"")</f>
        <v/>
      </c>
    </row>
    <row r="236">
      <c r="A236" s="5" t="n"/>
      <c r="B236" s="51" t="n"/>
      <c r="C236" s="5" t="n"/>
      <c r="D236" s="52" t="n"/>
      <c r="E236" s="52" t="n"/>
      <c r="F236" s="52" t="n"/>
      <c r="G236" s="52" t="n"/>
      <c r="H236" s="52" t="n"/>
      <c r="I236" s="52" t="n"/>
      <c r="J236" s="52" t="n"/>
      <c r="K236" s="52" t="n"/>
      <c r="L236" s="51" t="n"/>
      <c r="M236" s="53">
        <f>IF(A236="","",IF(COUNTIF('AFA Rates'!$A$5:$A$504,A236)&gt;0,"Yes","No"))</f>
        <v/>
      </c>
      <c r="N236" s="53">
        <f>IF(A236="","",COUNTIF('AFA Rates'!$A$5:$A$504,A236))</f>
        <v/>
      </c>
      <c r="O236" s="54" t="n"/>
      <c r="P236" s="5" t="n"/>
      <c r="Q236" s="5" t="n"/>
      <c r="R236">
        <f>IF(AND(A236&lt;&gt;"",B236="Paused"),COUNTIFS($A$5:A236,"&lt;&gt;",$B$5:B236,"Paused"),"")</f>
        <v/>
      </c>
      <c r="S236">
        <f>IF(M236="Yes",COUNTIF($M$5:M236,"Yes"),"")</f>
        <v/>
      </c>
    </row>
    <row r="237">
      <c r="A237" s="5" t="n"/>
      <c r="B237" s="51" t="n"/>
      <c r="C237" s="5" t="n"/>
      <c r="D237" s="52" t="n"/>
      <c r="E237" s="52" t="n"/>
      <c r="F237" s="52" t="n"/>
      <c r="G237" s="52" t="n"/>
      <c r="H237" s="52" t="n"/>
      <c r="I237" s="52" t="n"/>
      <c r="J237" s="52" t="n"/>
      <c r="K237" s="52" t="n"/>
      <c r="L237" s="51" t="n"/>
      <c r="M237" s="53">
        <f>IF(A237="","",IF(COUNTIF('AFA Rates'!$A$5:$A$504,A237)&gt;0,"Yes","No"))</f>
        <v/>
      </c>
      <c r="N237" s="53">
        <f>IF(A237="","",COUNTIF('AFA Rates'!$A$5:$A$504,A237))</f>
        <v/>
      </c>
      <c r="O237" s="54" t="n"/>
      <c r="P237" s="5" t="n"/>
      <c r="Q237" s="5" t="n"/>
      <c r="R237">
        <f>IF(AND(A237&lt;&gt;"",B237="Paused"),COUNTIFS($A$5:A237,"&lt;&gt;",$B$5:B237,"Paused"),"")</f>
        <v/>
      </c>
      <c r="S237">
        <f>IF(M237="Yes",COUNTIF($M$5:M237,"Yes"),"")</f>
        <v/>
      </c>
    </row>
    <row r="238">
      <c r="A238" s="5" t="n"/>
      <c r="B238" s="51" t="n"/>
      <c r="C238" s="5" t="n"/>
      <c r="D238" s="52" t="n"/>
      <c r="E238" s="52" t="n"/>
      <c r="F238" s="52" t="n"/>
      <c r="G238" s="52" t="n"/>
      <c r="H238" s="52" t="n"/>
      <c r="I238" s="52" t="n"/>
      <c r="J238" s="52" t="n"/>
      <c r="K238" s="52" t="n"/>
      <c r="L238" s="51" t="n"/>
      <c r="M238" s="53">
        <f>IF(A238="","",IF(COUNTIF('AFA Rates'!$A$5:$A$504,A238)&gt;0,"Yes","No"))</f>
        <v/>
      </c>
      <c r="N238" s="53">
        <f>IF(A238="","",COUNTIF('AFA Rates'!$A$5:$A$504,A238))</f>
        <v/>
      </c>
      <c r="O238" s="54" t="n"/>
      <c r="P238" s="5" t="n"/>
      <c r="Q238" s="5" t="n"/>
      <c r="R238">
        <f>IF(AND(A238&lt;&gt;"",B238="Paused"),COUNTIFS($A$5:A238,"&lt;&gt;",$B$5:B238,"Paused"),"")</f>
        <v/>
      </c>
      <c r="S238">
        <f>IF(M238="Yes",COUNTIF($M$5:M238,"Yes"),"")</f>
        <v/>
      </c>
    </row>
    <row r="239">
      <c r="A239" s="5" t="n"/>
      <c r="B239" s="51" t="n"/>
      <c r="C239" s="5" t="n"/>
      <c r="D239" s="52" t="n"/>
      <c r="E239" s="52" t="n"/>
      <c r="F239" s="52" t="n"/>
      <c r="G239" s="52" t="n"/>
      <c r="H239" s="52" t="n"/>
      <c r="I239" s="52" t="n"/>
      <c r="J239" s="52" t="n"/>
      <c r="K239" s="52" t="n"/>
      <c r="L239" s="51" t="n"/>
      <c r="M239" s="53">
        <f>IF(A239="","",IF(COUNTIF('AFA Rates'!$A$5:$A$504,A239)&gt;0,"Yes","No"))</f>
        <v/>
      </c>
      <c r="N239" s="53">
        <f>IF(A239="","",COUNTIF('AFA Rates'!$A$5:$A$504,A239))</f>
        <v/>
      </c>
      <c r="O239" s="54" t="n"/>
      <c r="P239" s="5" t="n"/>
      <c r="Q239" s="5" t="n"/>
      <c r="R239">
        <f>IF(AND(A239&lt;&gt;"",B239="Paused"),COUNTIFS($A$5:A239,"&lt;&gt;",$B$5:B239,"Paused"),"")</f>
        <v/>
      </c>
      <c r="S239">
        <f>IF(M239="Yes",COUNTIF($M$5:M239,"Yes"),"")</f>
        <v/>
      </c>
    </row>
    <row r="240">
      <c r="A240" s="5" t="n"/>
      <c r="B240" s="51" t="n"/>
      <c r="C240" s="5" t="n"/>
      <c r="D240" s="52" t="n"/>
      <c r="E240" s="52" t="n"/>
      <c r="F240" s="52" t="n"/>
      <c r="G240" s="52" t="n"/>
      <c r="H240" s="52" t="n"/>
      <c r="I240" s="52" t="n"/>
      <c r="J240" s="52" t="n"/>
      <c r="K240" s="52" t="n"/>
      <c r="L240" s="51" t="n"/>
      <c r="M240" s="53">
        <f>IF(A240="","",IF(COUNTIF('AFA Rates'!$A$5:$A$504,A240)&gt;0,"Yes","No"))</f>
        <v/>
      </c>
      <c r="N240" s="53">
        <f>IF(A240="","",COUNTIF('AFA Rates'!$A$5:$A$504,A240))</f>
        <v/>
      </c>
      <c r="O240" s="54" t="n"/>
      <c r="P240" s="5" t="n"/>
      <c r="Q240" s="5" t="n"/>
      <c r="R240">
        <f>IF(AND(A240&lt;&gt;"",B240="Paused"),COUNTIFS($A$5:A240,"&lt;&gt;",$B$5:B240,"Paused"),"")</f>
        <v/>
      </c>
      <c r="S240">
        <f>IF(M240="Yes",COUNTIF($M$5:M240,"Yes"),"")</f>
        <v/>
      </c>
    </row>
    <row r="241">
      <c r="A241" s="5" t="n"/>
      <c r="B241" s="51" t="n"/>
      <c r="C241" s="5" t="n"/>
      <c r="D241" s="52" t="n"/>
      <c r="E241" s="52" t="n"/>
      <c r="F241" s="52" t="n"/>
      <c r="G241" s="52" t="n"/>
      <c r="H241" s="52" t="n"/>
      <c r="I241" s="52" t="n"/>
      <c r="J241" s="52" t="n"/>
      <c r="K241" s="52" t="n"/>
      <c r="L241" s="51" t="n"/>
      <c r="M241" s="53">
        <f>IF(A241="","",IF(COUNTIF('AFA Rates'!$A$5:$A$504,A241)&gt;0,"Yes","No"))</f>
        <v/>
      </c>
      <c r="N241" s="53">
        <f>IF(A241="","",COUNTIF('AFA Rates'!$A$5:$A$504,A241))</f>
        <v/>
      </c>
      <c r="O241" s="54" t="n"/>
      <c r="P241" s="5" t="n"/>
      <c r="Q241" s="5" t="n"/>
      <c r="R241">
        <f>IF(AND(A241&lt;&gt;"",B241="Paused"),COUNTIFS($A$5:A241,"&lt;&gt;",$B$5:B241,"Paused"),"")</f>
        <v/>
      </c>
      <c r="S241">
        <f>IF(M241="Yes",COUNTIF($M$5:M241,"Yes"),"")</f>
        <v/>
      </c>
    </row>
    <row r="242">
      <c r="A242" s="5" t="n"/>
      <c r="B242" s="51" t="n"/>
      <c r="C242" s="5" t="n"/>
      <c r="D242" s="52" t="n"/>
      <c r="E242" s="52" t="n"/>
      <c r="F242" s="52" t="n"/>
      <c r="G242" s="52" t="n"/>
      <c r="H242" s="52" t="n"/>
      <c r="I242" s="52" t="n"/>
      <c r="J242" s="52" t="n"/>
      <c r="K242" s="52" t="n"/>
      <c r="L242" s="51" t="n"/>
      <c r="M242" s="53">
        <f>IF(A242="","",IF(COUNTIF('AFA Rates'!$A$5:$A$504,A242)&gt;0,"Yes","No"))</f>
        <v/>
      </c>
      <c r="N242" s="53">
        <f>IF(A242="","",COUNTIF('AFA Rates'!$A$5:$A$504,A242))</f>
        <v/>
      </c>
      <c r="O242" s="54" t="n"/>
      <c r="P242" s="5" t="n"/>
      <c r="Q242" s="5" t="n"/>
      <c r="R242">
        <f>IF(AND(A242&lt;&gt;"",B242="Paused"),COUNTIFS($A$5:A242,"&lt;&gt;",$B$5:B242,"Paused"),"")</f>
        <v/>
      </c>
      <c r="S242">
        <f>IF(M242="Yes",COUNTIF($M$5:M242,"Yes"),"")</f>
        <v/>
      </c>
    </row>
    <row r="243">
      <c r="A243" s="5" t="n"/>
      <c r="B243" s="51" t="n"/>
      <c r="C243" s="5" t="n"/>
      <c r="D243" s="52" t="n"/>
      <c r="E243" s="52" t="n"/>
      <c r="F243" s="52" t="n"/>
      <c r="G243" s="52" t="n"/>
      <c r="H243" s="52" t="n"/>
      <c r="I243" s="52" t="n"/>
      <c r="J243" s="52" t="n"/>
      <c r="K243" s="52" t="n"/>
      <c r="L243" s="51" t="n"/>
      <c r="M243" s="53">
        <f>IF(A243="","",IF(COUNTIF('AFA Rates'!$A$5:$A$504,A243)&gt;0,"Yes","No"))</f>
        <v/>
      </c>
      <c r="N243" s="53">
        <f>IF(A243="","",COUNTIF('AFA Rates'!$A$5:$A$504,A243))</f>
        <v/>
      </c>
      <c r="O243" s="54" t="n"/>
      <c r="P243" s="5" t="n"/>
      <c r="Q243" s="5" t="n"/>
      <c r="R243">
        <f>IF(AND(A243&lt;&gt;"",B243="Paused"),COUNTIFS($A$5:A243,"&lt;&gt;",$B$5:B243,"Paused"),"")</f>
        <v/>
      </c>
      <c r="S243">
        <f>IF(M243="Yes",COUNTIF($M$5:M243,"Yes"),"")</f>
        <v/>
      </c>
    </row>
    <row r="244">
      <c r="A244" s="5" t="n"/>
      <c r="B244" s="51" t="n"/>
      <c r="C244" s="5" t="n"/>
      <c r="D244" s="52" t="n"/>
      <c r="E244" s="52" t="n"/>
      <c r="F244" s="52" t="n"/>
      <c r="G244" s="52" t="n"/>
      <c r="H244" s="52" t="n"/>
      <c r="I244" s="52" t="n"/>
      <c r="J244" s="52" t="n"/>
      <c r="K244" s="52" t="n"/>
      <c r="L244" s="51" t="n"/>
      <c r="M244" s="53">
        <f>IF(A244="","",IF(COUNTIF('AFA Rates'!$A$5:$A$504,A244)&gt;0,"Yes","No"))</f>
        <v/>
      </c>
      <c r="N244" s="53">
        <f>IF(A244="","",COUNTIF('AFA Rates'!$A$5:$A$504,A244))</f>
        <v/>
      </c>
      <c r="O244" s="54" t="n"/>
      <c r="P244" s="5" t="n"/>
      <c r="Q244" s="5" t="n"/>
      <c r="R244">
        <f>IF(AND(A244&lt;&gt;"",B244="Paused"),COUNTIFS($A$5:A244,"&lt;&gt;",$B$5:B244,"Paused"),"")</f>
        <v/>
      </c>
      <c r="S244">
        <f>IF(M244="Yes",COUNTIF($M$5:M244,"Yes"),"")</f>
        <v/>
      </c>
    </row>
    <row r="245">
      <c r="A245" s="5" t="n"/>
      <c r="B245" s="51" t="n"/>
      <c r="C245" s="5" t="n"/>
      <c r="D245" s="52" t="n"/>
      <c r="E245" s="52" t="n"/>
      <c r="F245" s="52" t="n"/>
      <c r="G245" s="52" t="n"/>
      <c r="H245" s="52" t="n"/>
      <c r="I245" s="52" t="n"/>
      <c r="J245" s="52" t="n"/>
      <c r="K245" s="52" t="n"/>
      <c r="L245" s="51" t="n"/>
      <c r="M245" s="53">
        <f>IF(A245="","",IF(COUNTIF('AFA Rates'!$A$5:$A$504,A245)&gt;0,"Yes","No"))</f>
        <v/>
      </c>
      <c r="N245" s="53">
        <f>IF(A245="","",COUNTIF('AFA Rates'!$A$5:$A$504,A245))</f>
        <v/>
      </c>
      <c r="O245" s="54" t="n"/>
      <c r="P245" s="5" t="n"/>
      <c r="Q245" s="5" t="n"/>
      <c r="R245">
        <f>IF(AND(A245&lt;&gt;"",B245="Paused"),COUNTIFS($A$5:A245,"&lt;&gt;",$B$5:B245,"Paused"),"")</f>
        <v/>
      </c>
      <c r="S245">
        <f>IF(M245="Yes",COUNTIF($M$5:M245,"Yes"),"")</f>
        <v/>
      </c>
    </row>
    <row r="246">
      <c r="A246" s="5" t="n"/>
      <c r="B246" s="51" t="n"/>
      <c r="C246" s="5" t="n"/>
      <c r="D246" s="52" t="n"/>
      <c r="E246" s="52" t="n"/>
      <c r="F246" s="52" t="n"/>
      <c r="G246" s="52" t="n"/>
      <c r="H246" s="52" t="n"/>
      <c r="I246" s="52" t="n"/>
      <c r="J246" s="52" t="n"/>
      <c r="K246" s="52" t="n"/>
      <c r="L246" s="51" t="n"/>
      <c r="M246" s="53">
        <f>IF(A246="","",IF(COUNTIF('AFA Rates'!$A$5:$A$504,A246)&gt;0,"Yes","No"))</f>
        <v/>
      </c>
      <c r="N246" s="53">
        <f>IF(A246="","",COUNTIF('AFA Rates'!$A$5:$A$504,A246))</f>
        <v/>
      </c>
      <c r="O246" s="54" t="n"/>
      <c r="P246" s="5" t="n"/>
      <c r="Q246" s="5" t="n"/>
      <c r="R246">
        <f>IF(AND(A246&lt;&gt;"",B246="Paused"),COUNTIFS($A$5:A246,"&lt;&gt;",$B$5:B246,"Paused"),"")</f>
        <v/>
      </c>
      <c r="S246">
        <f>IF(M246="Yes",COUNTIF($M$5:M246,"Yes"),"")</f>
        <v/>
      </c>
    </row>
    <row r="247">
      <c r="A247" s="5" t="n"/>
      <c r="B247" s="51" t="n"/>
      <c r="C247" s="5" t="n"/>
      <c r="D247" s="52" t="n"/>
      <c r="E247" s="52" t="n"/>
      <c r="F247" s="52" t="n"/>
      <c r="G247" s="52" t="n"/>
      <c r="H247" s="52" t="n"/>
      <c r="I247" s="52" t="n"/>
      <c r="J247" s="52" t="n"/>
      <c r="K247" s="52" t="n"/>
      <c r="L247" s="51" t="n"/>
      <c r="M247" s="53">
        <f>IF(A247="","",IF(COUNTIF('AFA Rates'!$A$5:$A$504,A247)&gt;0,"Yes","No"))</f>
        <v/>
      </c>
      <c r="N247" s="53">
        <f>IF(A247="","",COUNTIF('AFA Rates'!$A$5:$A$504,A247))</f>
        <v/>
      </c>
      <c r="O247" s="54" t="n"/>
      <c r="P247" s="5" t="n"/>
      <c r="Q247" s="5" t="n"/>
      <c r="R247">
        <f>IF(AND(A247&lt;&gt;"",B247="Paused"),COUNTIFS($A$5:A247,"&lt;&gt;",$B$5:B247,"Paused"),"")</f>
        <v/>
      </c>
      <c r="S247">
        <f>IF(M247="Yes",COUNTIF($M$5:M247,"Yes"),"")</f>
        <v/>
      </c>
    </row>
    <row r="248">
      <c r="A248" s="5" t="n"/>
      <c r="B248" s="51" t="n"/>
      <c r="C248" s="5" t="n"/>
      <c r="D248" s="52" t="n"/>
      <c r="E248" s="52" t="n"/>
      <c r="F248" s="52" t="n"/>
      <c r="G248" s="52" t="n"/>
      <c r="H248" s="52" t="n"/>
      <c r="I248" s="52" t="n"/>
      <c r="J248" s="52" t="n"/>
      <c r="K248" s="52" t="n"/>
      <c r="L248" s="51" t="n"/>
      <c r="M248" s="53">
        <f>IF(A248="","",IF(COUNTIF('AFA Rates'!$A$5:$A$504,A248)&gt;0,"Yes","No"))</f>
        <v/>
      </c>
      <c r="N248" s="53">
        <f>IF(A248="","",COUNTIF('AFA Rates'!$A$5:$A$504,A248))</f>
        <v/>
      </c>
      <c r="O248" s="54" t="n"/>
      <c r="P248" s="5" t="n"/>
      <c r="Q248" s="5" t="n"/>
      <c r="R248">
        <f>IF(AND(A248&lt;&gt;"",B248="Paused"),COUNTIFS($A$5:A248,"&lt;&gt;",$B$5:B248,"Paused"),"")</f>
        <v/>
      </c>
      <c r="S248">
        <f>IF(M248="Yes",COUNTIF($M$5:M248,"Yes"),"")</f>
        <v/>
      </c>
    </row>
    <row r="249">
      <c r="A249" s="5" t="n"/>
      <c r="B249" s="51" t="n"/>
      <c r="C249" s="5" t="n"/>
      <c r="D249" s="52" t="n"/>
      <c r="E249" s="52" t="n"/>
      <c r="F249" s="52" t="n"/>
      <c r="G249" s="52" t="n"/>
      <c r="H249" s="52" t="n"/>
      <c r="I249" s="52" t="n"/>
      <c r="J249" s="52" t="n"/>
      <c r="K249" s="52" t="n"/>
      <c r="L249" s="51" t="n"/>
      <c r="M249" s="53">
        <f>IF(A249="","",IF(COUNTIF('AFA Rates'!$A$5:$A$504,A249)&gt;0,"Yes","No"))</f>
        <v/>
      </c>
      <c r="N249" s="53">
        <f>IF(A249="","",COUNTIF('AFA Rates'!$A$5:$A$504,A249))</f>
        <v/>
      </c>
      <c r="O249" s="54" t="n"/>
      <c r="P249" s="5" t="n"/>
      <c r="Q249" s="5" t="n"/>
      <c r="R249">
        <f>IF(AND(A249&lt;&gt;"",B249="Paused"),COUNTIFS($A$5:A249,"&lt;&gt;",$B$5:B249,"Paused"),"")</f>
        <v/>
      </c>
      <c r="S249">
        <f>IF(M249="Yes",COUNTIF($M$5:M249,"Yes"),"")</f>
        <v/>
      </c>
    </row>
    <row r="250">
      <c r="A250" s="5" t="n"/>
      <c r="B250" s="51" t="n"/>
      <c r="C250" s="5" t="n"/>
      <c r="D250" s="52" t="n"/>
      <c r="E250" s="52" t="n"/>
      <c r="F250" s="52" t="n"/>
      <c r="G250" s="52" t="n"/>
      <c r="H250" s="52" t="n"/>
      <c r="I250" s="52" t="n"/>
      <c r="J250" s="52" t="n"/>
      <c r="K250" s="52" t="n"/>
      <c r="L250" s="51" t="n"/>
      <c r="M250" s="53">
        <f>IF(A250="","",IF(COUNTIF('AFA Rates'!$A$5:$A$504,A250)&gt;0,"Yes","No"))</f>
        <v/>
      </c>
      <c r="N250" s="53">
        <f>IF(A250="","",COUNTIF('AFA Rates'!$A$5:$A$504,A250))</f>
        <v/>
      </c>
      <c r="O250" s="54" t="n"/>
      <c r="P250" s="5" t="n"/>
      <c r="Q250" s="5" t="n"/>
      <c r="R250">
        <f>IF(AND(A250&lt;&gt;"",B250="Paused"),COUNTIFS($A$5:A250,"&lt;&gt;",$B$5:B250,"Paused"),"")</f>
        <v/>
      </c>
      <c r="S250">
        <f>IF(M250="Yes",COUNTIF($M$5:M250,"Yes"),"")</f>
        <v/>
      </c>
    </row>
    <row r="251">
      <c r="A251" s="5" t="n"/>
      <c r="B251" s="51" t="n"/>
      <c r="C251" s="5" t="n"/>
      <c r="D251" s="52" t="n"/>
      <c r="E251" s="52" t="n"/>
      <c r="F251" s="52" t="n"/>
      <c r="G251" s="52" t="n"/>
      <c r="H251" s="52" t="n"/>
      <c r="I251" s="52" t="n"/>
      <c r="J251" s="52" t="n"/>
      <c r="K251" s="52" t="n"/>
      <c r="L251" s="51" t="n"/>
      <c r="M251" s="53">
        <f>IF(A251="","",IF(COUNTIF('AFA Rates'!$A$5:$A$504,A251)&gt;0,"Yes","No"))</f>
        <v/>
      </c>
      <c r="N251" s="53">
        <f>IF(A251="","",COUNTIF('AFA Rates'!$A$5:$A$504,A251))</f>
        <v/>
      </c>
      <c r="O251" s="54" t="n"/>
      <c r="P251" s="5" t="n"/>
      <c r="Q251" s="5" t="n"/>
      <c r="R251">
        <f>IF(AND(A251&lt;&gt;"",B251="Paused"),COUNTIFS($A$5:A251,"&lt;&gt;",$B$5:B251,"Paused"),"")</f>
        <v/>
      </c>
      <c r="S251">
        <f>IF(M251="Yes",COUNTIF($M$5:M251,"Yes"),"")</f>
        <v/>
      </c>
    </row>
    <row r="252">
      <c r="A252" s="5" t="n"/>
      <c r="B252" s="51" t="n"/>
      <c r="C252" s="5" t="n"/>
      <c r="D252" s="52" t="n"/>
      <c r="E252" s="52" t="n"/>
      <c r="F252" s="52" t="n"/>
      <c r="G252" s="52" t="n"/>
      <c r="H252" s="52" t="n"/>
      <c r="I252" s="52" t="n"/>
      <c r="J252" s="52" t="n"/>
      <c r="K252" s="52" t="n"/>
      <c r="L252" s="51" t="n"/>
      <c r="M252" s="53">
        <f>IF(A252="","",IF(COUNTIF('AFA Rates'!$A$5:$A$504,A252)&gt;0,"Yes","No"))</f>
        <v/>
      </c>
      <c r="N252" s="53">
        <f>IF(A252="","",COUNTIF('AFA Rates'!$A$5:$A$504,A252))</f>
        <v/>
      </c>
      <c r="O252" s="54" t="n"/>
      <c r="P252" s="5" t="n"/>
      <c r="Q252" s="5" t="n"/>
      <c r="R252">
        <f>IF(AND(A252&lt;&gt;"",B252="Paused"),COUNTIFS($A$5:A252,"&lt;&gt;",$B$5:B252,"Paused"),"")</f>
        <v/>
      </c>
      <c r="S252">
        <f>IF(M252="Yes",COUNTIF($M$5:M252,"Yes"),"")</f>
        <v/>
      </c>
    </row>
    <row r="253">
      <c r="A253" s="5" t="n"/>
      <c r="B253" s="51" t="n"/>
      <c r="C253" s="5" t="n"/>
      <c r="D253" s="52" t="n"/>
      <c r="E253" s="52" t="n"/>
      <c r="F253" s="52" t="n"/>
      <c r="G253" s="52" t="n"/>
      <c r="H253" s="52" t="n"/>
      <c r="I253" s="52" t="n"/>
      <c r="J253" s="52" t="n"/>
      <c r="K253" s="52" t="n"/>
      <c r="L253" s="51" t="n"/>
      <c r="M253" s="53">
        <f>IF(A253="","",IF(COUNTIF('AFA Rates'!$A$5:$A$504,A253)&gt;0,"Yes","No"))</f>
        <v/>
      </c>
      <c r="N253" s="53">
        <f>IF(A253="","",COUNTIF('AFA Rates'!$A$5:$A$504,A253))</f>
        <v/>
      </c>
      <c r="O253" s="54" t="n"/>
      <c r="P253" s="5" t="n"/>
      <c r="Q253" s="5" t="n"/>
      <c r="R253">
        <f>IF(AND(A253&lt;&gt;"",B253="Paused"),COUNTIFS($A$5:A253,"&lt;&gt;",$B$5:B253,"Paused"),"")</f>
        <v/>
      </c>
      <c r="S253">
        <f>IF(M253="Yes",COUNTIF($M$5:M253,"Yes"),"")</f>
        <v/>
      </c>
    </row>
    <row r="254">
      <c r="A254" s="5" t="n"/>
      <c r="B254" s="51" t="n"/>
      <c r="C254" s="5" t="n"/>
      <c r="D254" s="52" t="n"/>
      <c r="E254" s="52" t="n"/>
      <c r="F254" s="52" t="n"/>
      <c r="G254" s="52" t="n"/>
      <c r="H254" s="52" t="n"/>
      <c r="I254" s="52" t="n"/>
      <c r="J254" s="52" t="n"/>
      <c r="K254" s="52" t="n"/>
      <c r="L254" s="51" t="n"/>
      <c r="M254" s="53">
        <f>IF(A254="","",IF(COUNTIF('AFA Rates'!$A$5:$A$504,A254)&gt;0,"Yes","No"))</f>
        <v/>
      </c>
      <c r="N254" s="53">
        <f>IF(A254="","",COUNTIF('AFA Rates'!$A$5:$A$504,A254))</f>
        <v/>
      </c>
      <c r="O254" s="54" t="n"/>
      <c r="P254" s="5" t="n"/>
      <c r="Q254" s="5" t="n"/>
      <c r="R254">
        <f>IF(AND(A254&lt;&gt;"",B254="Paused"),COUNTIFS($A$5:A254,"&lt;&gt;",$B$5:B254,"Paused"),"")</f>
        <v/>
      </c>
      <c r="S254">
        <f>IF(M254="Yes",COUNTIF($M$5:M254,"Yes"),"")</f>
        <v/>
      </c>
    </row>
    <row r="255">
      <c r="A255" s="5" t="n"/>
      <c r="B255" s="51" t="n"/>
      <c r="C255" s="5" t="n"/>
      <c r="D255" s="52" t="n"/>
      <c r="E255" s="52" t="n"/>
      <c r="F255" s="52" t="n"/>
      <c r="G255" s="52" t="n"/>
      <c r="H255" s="52" t="n"/>
      <c r="I255" s="52" t="n"/>
      <c r="J255" s="52" t="n"/>
      <c r="K255" s="52" t="n"/>
      <c r="L255" s="51" t="n"/>
      <c r="M255" s="53">
        <f>IF(A255="","",IF(COUNTIF('AFA Rates'!$A$5:$A$504,A255)&gt;0,"Yes","No"))</f>
        <v/>
      </c>
      <c r="N255" s="53">
        <f>IF(A255="","",COUNTIF('AFA Rates'!$A$5:$A$504,A255))</f>
        <v/>
      </c>
      <c r="O255" s="54" t="n"/>
      <c r="P255" s="5" t="n"/>
      <c r="Q255" s="5" t="n"/>
      <c r="R255">
        <f>IF(AND(A255&lt;&gt;"",B255="Paused"),COUNTIFS($A$5:A255,"&lt;&gt;",$B$5:B255,"Paused"),"")</f>
        <v/>
      </c>
      <c r="S255">
        <f>IF(M255="Yes",COUNTIF($M$5:M255,"Yes"),"")</f>
        <v/>
      </c>
    </row>
    <row r="256">
      <c r="A256" s="5" t="n"/>
      <c r="B256" s="51" t="n"/>
      <c r="C256" s="5" t="n"/>
      <c r="D256" s="52" t="n"/>
      <c r="E256" s="52" t="n"/>
      <c r="F256" s="52" t="n"/>
      <c r="G256" s="52" t="n"/>
      <c r="H256" s="52" t="n"/>
      <c r="I256" s="52" t="n"/>
      <c r="J256" s="52" t="n"/>
      <c r="K256" s="52" t="n"/>
      <c r="L256" s="51" t="n"/>
      <c r="M256" s="53">
        <f>IF(A256="","",IF(COUNTIF('AFA Rates'!$A$5:$A$504,A256)&gt;0,"Yes","No"))</f>
        <v/>
      </c>
      <c r="N256" s="53">
        <f>IF(A256="","",COUNTIF('AFA Rates'!$A$5:$A$504,A256))</f>
        <v/>
      </c>
      <c r="O256" s="54" t="n"/>
      <c r="P256" s="5" t="n"/>
      <c r="Q256" s="5" t="n"/>
      <c r="R256">
        <f>IF(AND(A256&lt;&gt;"",B256="Paused"),COUNTIFS($A$5:A256,"&lt;&gt;",$B$5:B256,"Paused"),"")</f>
        <v/>
      </c>
      <c r="S256">
        <f>IF(M256="Yes",COUNTIF($M$5:M256,"Yes"),"")</f>
        <v/>
      </c>
    </row>
    <row r="257">
      <c r="A257" s="5" t="n"/>
      <c r="B257" s="51" t="n"/>
      <c r="C257" s="5" t="n"/>
      <c r="D257" s="52" t="n"/>
      <c r="E257" s="52" t="n"/>
      <c r="F257" s="52" t="n"/>
      <c r="G257" s="52" t="n"/>
      <c r="H257" s="52" t="n"/>
      <c r="I257" s="52" t="n"/>
      <c r="J257" s="52" t="n"/>
      <c r="K257" s="52" t="n"/>
      <c r="L257" s="51" t="n"/>
      <c r="M257" s="53">
        <f>IF(A257="","",IF(COUNTIF('AFA Rates'!$A$5:$A$504,A257)&gt;0,"Yes","No"))</f>
        <v/>
      </c>
      <c r="N257" s="53">
        <f>IF(A257="","",COUNTIF('AFA Rates'!$A$5:$A$504,A257))</f>
        <v/>
      </c>
      <c r="O257" s="54" t="n"/>
      <c r="P257" s="5" t="n"/>
      <c r="Q257" s="5" t="n"/>
      <c r="R257">
        <f>IF(AND(A257&lt;&gt;"",B257="Paused"),COUNTIFS($A$5:A257,"&lt;&gt;",$B$5:B257,"Paused"),"")</f>
        <v/>
      </c>
      <c r="S257">
        <f>IF(M257="Yes",COUNTIF($M$5:M257,"Yes"),"")</f>
        <v/>
      </c>
    </row>
    <row r="258">
      <c r="A258" s="5" t="n"/>
      <c r="B258" s="51" t="n"/>
      <c r="C258" s="5" t="n"/>
      <c r="D258" s="52" t="n"/>
      <c r="E258" s="52" t="n"/>
      <c r="F258" s="52" t="n"/>
      <c r="G258" s="52" t="n"/>
      <c r="H258" s="52" t="n"/>
      <c r="I258" s="52" t="n"/>
      <c r="J258" s="52" t="n"/>
      <c r="K258" s="52" t="n"/>
      <c r="L258" s="51" t="n"/>
      <c r="M258" s="53">
        <f>IF(A258="","",IF(COUNTIF('AFA Rates'!$A$5:$A$504,A258)&gt;0,"Yes","No"))</f>
        <v/>
      </c>
      <c r="N258" s="53">
        <f>IF(A258="","",COUNTIF('AFA Rates'!$A$5:$A$504,A258))</f>
        <v/>
      </c>
      <c r="O258" s="54" t="n"/>
      <c r="P258" s="5" t="n"/>
      <c r="Q258" s="5" t="n"/>
      <c r="R258">
        <f>IF(AND(A258&lt;&gt;"",B258="Paused"),COUNTIFS($A$5:A258,"&lt;&gt;",$B$5:B258,"Paused"),"")</f>
        <v/>
      </c>
      <c r="S258">
        <f>IF(M258="Yes",COUNTIF($M$5:M258,"Yes"),"")</f>
        <v/>
      </c>
    </row>
    <row r="259">
      <c r="A259" s="5" t="n"/>
      <c r="B259" s="51" t="n"/>
      <c r="C259" s="5" t="n"/>
      <c r="D259" s="52" t="n"/>
      <c r="E259" s="52" t="n"/>
      <c r="F259" s="52" t="n"/>
      <c r="G259" s="52" t="n"/>
      <c r="H259" s="52" t="n"/>
      <c r="I259" s="52" t="n"/>
      <c r="J259" s="52" t="n"/>
      <c r="K259" s="52" t="n"/>
      <c r="L259" s="51" t="n"/>
      <c r="M259" s="53">
        <f>IF(A259="","",IF(COUNTIF('AFA Rates'!$A$5:$A$504,A259)&gt;0,"Yes","No"))</f>
        <v/>
      </c>
      <c r="N259" s="53">
        <f>IF(A259="","",COUNTIF('AFA Rates'!$A$5:$A$504,A259))</f>
        <v/>
      </c>
      <c r="O259" s="54" t="n"/>
      <c r="P259" s="5" t="n"/>
      <c r="Q259" s="5" t="n"/>
      <c r="R259">
        <f>IF(AND(A259&lt;&gt;"",B259="Paused"),COUNTIFS($A$5:A259,"&lt;&gt;",$B$5:B259,"Paused"),"")</f>
        <v/>
      </c>
      <c r="S259">
        <f>IF(M259="Yes",COUNTIF($M$5:M259,"Yes"),"")</f>
        <v/>
      </c>
    </row>
    <row r="260">
      <c r="A260" s="5" t="n"/>
      <c r="B260" s="51" t="n"/>
      <c r="C260" s="5" t="n"/>
      <c r="D260" s="52" t="n"/>
      <c r="E260" s="52" t="n"/>
      <c r="F260" s="52" t="n"/>
      <c r="G260" s="52" t="n"/>
      <c r="H260" s="52" t="n"/>
      <c r="I260" s="52" t="n"/>
      <c r="J260" s="52" t="n"/>
      <c r="K260" s="52" t="n"/>
      <c r="L260" s="51" t="n"/>
      <c r="M260" s="53">
        <f>IF(A260="","",IF(COUNTIF('AFA Rates'!$A$5:$A$504,A260)&gt;0,"Yes","No"))</f>
        <v/>
      </c>
      <c r="N260" s="53">
        <f>IF(A260="","",COUNTIF('AFA Rates'!$A$5:$A$504,A260))</f>
        <v/>
      </c>
      <c r="O260" s="54" t="n"/>
      <c r="P260" s="5" t="n"/>
      <c r="Q260" s="5" t="n"/>
      <c r="R260">
        <f>IF(AND(A260&lt;&gt;"",B260="Paused"),COUNTIFS($A$5:A260,"&lt;&gt;",$B$5:B260,"Paused"),"")</f>
        <v/>
      </c>
      <c r="S260">
        <f>IF(M260="Yes",COUNTIF($M$5:M260,"Yes"),"")</f>
        <v/>
      </c>
    </row>
    <row r="261">
      <c r="A261" s="5" t="n"/>
      <c r="B261" s="51" t="n"/>
      <c r="C261" s="5" t="n"/>
      <c r="D261" s="52" t="n"/>
      <c r="E261" s="52" t="n"/>
      <c r="F261" s="52" t="n"/>
      <c r="G261" s="52" t="n"/>
      <c r="H261" s="52" t="n"/>
      <c r="I261" s="52" t="n"/>
      <c r="J261" s="52" t="n"/>
      <c r="K261" s="52" t="n"/>
      <c r="L261" s="51" t="n"/>
      <c r="M261" s="53">
        <f>IF(A261="","",IF(COUNTIF('AFA Rates'!$A$5:$A$504,A261)&gt;0,"Yes","No"))</f>
        <v/>
      </c>
      <c r="N261" s="53">
        <f>IF(A261="","",COUNTIF('AFA Rates'!$A$5:$A$504,A261))</f>
        <v/>
      </c>
      <c r="O261" s="54" t="n"/>
      <c r="P261" s="5" t="n"/>
      <c r="Q261" s="5" t="n"/>
      <c r="R261">
        <f>IF(AND(A261&lt;&gt;"",B261="Paused"),COUNTIFS($A$5:A261,"&lt;&gt;",$B$5:B261,"Paused"),"")</f>
        <v/>
      </c>
      <c r="S261">
        <f>IF(M261="Yes",COUNTIF($M$5:M261,"Yes"),"")</f>
        <v/>
      </c>
    </row>
    <row r="262">
      <c r="A262" s="5" t="n"/>
      <c r="B262" s="51" t="n"/>
      <c r="C262" s="5" t="n"/>
      <c r="D262" s="52" t="n"/>
      <c r="E262" s="52" t="n"/>
      <c r="F262" s="52" t="n"/>
      <c r="G262" s="52" t="n"/>
      <c r="H262" s="52" t="n"/>
      <c r="I262" s="52" t="n"/>
      <c r="J262" s="52" t="n"/>
      <c r="K262" s="52" t="n"/>
      <c r="L262" s="51" t="n"/>
      <c r="M262" s="53">
        <f>IF(A262="","",IF(COUNTIF('AFA Rates'!$A$5:$A$504,A262)&gt;0,"Yes","No"))</f>
        <v/>
      </c>
      <c r="N262" s="53">
        <f>IF(A262="","",COUNTIF('AFA Rates'!$A$5:$A$504,A262))</f>
        <v/>
      </c>
      <c r="O262" s="54" t="n"/>
      <c r="P262" s="5" t="n"/>
      <c r="Q262" s="5" t="n"/>
      <c r="R262">
        <f>IF(AND(A262&lt;&gt;"",B262="Paused"),COUNTIFS($A$5:A262,"&lt;&gt;",$B$5:B262,"Paused"),"")</f>
        <v/>
      </c>
      <c r="S262">
        <f>IF(M262="Yes",COUNTIF($M$5:M262,"Yes"),"")</f>
        <v/>
      </c>
    </row>
    <row r="263">
      <c r="A263" s="5" t="n"/>
      <c r="B263" s="51" t="n"/>
      <c r="C263" s="5" t="n"/>
      <c r="D263" s="52" t="n"/>
      <c r="E263" s="52" t="n"/>
      <c r="F263" s="52" t="n"/>
      <c r="G263" s="52" t="n"/>
      <c r="H263" s="52" t="n"/>
      <c r="I263" s="52" t="n"/>
      <c r="J263" s="52" t="n"/>
      <c r="K263" s="52" t="n"/>
      <c r="L263" s="51" t="n"/>
      <c r="M263" s="53">
        <f>IF(A263="","",IF(COUNTIF('AFA Rates'!$A$5:$A$504,A263)&gt;0,"Yes","No"))</f>
        <v/>
      </c>
      <c r="N263" s="53">
        <f>IF(A263="","",COUNTIF('AFA Rates'!$A$5:$A$504,A263))</f>
        <v/>
      </c>
      <c r="O263" s="54" t="n"/>
      <c r="P263" s="5" t="n"/>
      <c r="Q263" s="5" t="n"/>
      <c r="R263">
        <f>IF(AND(A263&lt;&gt;"",B263="Paused"),COUNTIFS($A$5:A263,"&lt;&gt;",$B$5:B263,"Paused"),"")</f>
        <v/>
      </c>
      <c r="S263">
        <f>IF(M263="Yes",COUNTIF($M$5:M263,"Yes"),"")</f>
        <v/>
      </c>
    </row>
    <row r="264">
      <c r="A264" s="5" t="n"/>
      <c r="B264" s="51" t="n"/>
      <c r="C264" s="5" t="n"/>
      <c r="D264" s="52" t="n"/>
      <c r="E264" s="52" t="n"/>
      <c r="F264" s="52" t="n"/>
      <c r="G264" s="52" t="n"/>
      <c r="H264" s="52" t="n"/>
      <c r="I264" s="52" t="n"/>
      <c r="J264" s="52" t="n"/>
      <c r="K264" s="52" t="n"/>
      <c r="L264" s="51" t="n"/>
      <c r="M264" s="53">
        <f>IF(A264="","",IF(COUNTIF('AFA Rates'!$A$5:$A$504,A264)&gt;0,"Yes","No"))</f>
        <v/>
      </c>
      <c r="N264" s="53">
        <f>IF(A264="","",COUNTIF('AFA Rates'!$A$5:$A$504,A264))</f>
        <v/>
      </c>
      <c r="O264" s="54" t="n"/>
      <c r="P264" s="5" t="n"/>
      <c r="Q264" s="5" t="n"/>
      <c r="R264">
        <f>IF(AND(A264&lt;&gt;"",B264="Paused"),COUNTIFS($A$5:A264,"&lt;&gt;",$B$5:B264,"Paused"),"")</f>
        <v/>
      </c>
      <c r="S264">
        <f>IF(M264="Yes",COUNTIF($M$5:M264,"Yes"),"")</f>
        <v/>
      </c>
    </row>
    <row r="265">
      <c r="A265" s="5" t="n"/>
      <c r="B265" s="51" t="n"/>
      <c r="C265" s="5" t="n"/>
      <c r="D265" s="52" t="n"/>
      <c r="E265" s="52" t="n"/>
      <c r="F265" s="52" t="n"/>
      <c r="G265" s="52" t="n"/>
      <c r="H265" s="52" t="n"/>
      <c r="I265" s="52" t="n"/>
      <c r="J265" s="52" t="n"/>
      <c r="K265" s="52" t="n"/>
      <c r="L265" s="51" t="n"/>
      <c r="M265" s="53">
        <f>IF(A265="","",IF(COUNTIF('AFA Rates'!$A$5:$A$504,A265)&gt;0,"Yes","No"))</f>
        <v/>
      </c>
      <c r="N265" s="53">
        <f>IF(A265="","",COUNTIF('AFA Rates'!$A$5:$A$504,A265))</f>
        <v/>
      </c>
      <c r="O265" s="54" t="n"/>
      <c r="P265" s="5" t="n"/>
      <c r="Q265" s="5" t="n"/>
      <c r="R265">
        <f>IF(AND(A265&lt;&gt;"",B265="Paused"),COUNTIFS($A$5:A265,"&lt;&gt;",$B$5:B265,"Paused"),"")</f>
        <v/>
      </c>
      <c r="S265">
        <f>IF(M265="Yes",COUNTIF($M$5:M265,"Yes"),"")</f>
        <v/>
      </c>
    </row>
    <row r="266">
      <c r="A266" s="5" t="n"/>
      <c r="B266" s="51" t="n"/>
      <c r="C266" s="5" t="n"/>
      <c r="D266" s="52" t="n"/>
      <c r="E266" s="52" t="n"/>
      <c r="F266" s="52" t="n"/>
      <c r="G266" s="52" t="n"/>
      <c r="H266" s="52" t="n"/>
      <c r="I266" s="52" t="n"/>
      <c r="J266" s="52" t="n"/>
      <c r="K266" s="52" t="n"/>
      <c r="L266" s="51" t="n"/>
      <c r="M266" s="53">
        <f>IF(A266="","",IF(COUNTIF('AFA Rates'!$A$5:$A$504,A266)&gt;0,"Yes","No"))</f>
        <v/>
      </c>
      <c r="N266" s="53">
        <f>IF(A266="","",COUNTIF('AFA Rates'!$A$5:$A$504,A266))</f>
        <v/>
      </c>
      <c r="O266" s="54" t="n"/>
      <c r="P266" s="5" t="n"/>
      <c r="Q266" s="5" t="n"/>
      <c r="R266">
        <f>IF(AND(A266&lt;&gt;"",B266="Paused"),COUNTIFS($A$5:A266,"&lt;&gt;",$B$5:B266,"Paused"),"")</f>
        <v/>
      </c>
      <c r="S266">
        <f>IF(M266="Yes",COUNTIF($M$5:M266,"Yes"),"")</f>
        <v/>
      </c>
    </row>
    <row r="267">
      <c r="A267" s="5" t="n"/>
      <c r="B267" s="51" t="n"/>
      <c r="C267" s="5" t="n"/>
      <c r="D267" s="52" t="n"/>
      <c r="E267" s="52" t="n"/>
      <c r="F267" s="52" t="n"/>
      <c r="G267" s="52" t="n"/>
      <c r="H267" s="52" t="n"/>
      <c r="I267" s="52" t="n"/>
      <c r="J267" s="52" t="n"/>
      <c r="K267" s="52" t="n"/>
      <c r="L267" s="51" t="n"/>
      <c r="M267" s="53">
        <f>IF(A267="","",IF(COUNTIF('AFA Rates'!$A$5:$A$504,A267)&gt;0,"Yes","No"))</f>
        <v/>
      </c>
      <c r="N267" s="53">
        <f>IF(A267="","",COUNTIF('AFA Rates'!$A$5:$A$504,A267))</f>
        <v/>
      </c>
      <c r="O267" s="54" t="n"/>
      <c r="P267" s="5" t="n"/>
      <c r="Q267" s="5" t="n"/>
      <c r="R267">
        <f>IF(AND(A267&lt;&gt;"",B267="Paused"),COUNTIFS($A$5:A267,"&lt;&gt;",$B$5:B267,"Paused"),"")</f>
        <v/>
      </c>
      <c r="S267">
        <f>IF(M267="Yes",COUNTIF($M$5:M267,"Yes"),"")</f>
        <v/>
      </c>
    </row>
    <row r="268">
      <c r="A268" s="5" t="n"/>
      <c r="B268" s="51" t="n"/>
      <c r="C268" s="5" t="n"/>
      <c r="D268" s="52" t="n"/>
      <c r="E268" s="52" t="n"/>
      <c r="F268" s="52" t="n"/>
      <c r="G268" s="52" t="n"/>
      <c r="H268" s="52" t="n"/>
      <c r="I268" s="52" t="n"/>
      <c r="J268" s="52" t="n"/>
      <c r="K268" s="52" t="n"/>
      <c r="L268" s="51" t="n"/>
      <c r="M268" s="53">
        <f>IF(A268="","",IF(COUNTIF('AFA Rates'!$A$5:$A$504,A268)&gt;0,"Yes","No"))</f>
        <v/>
      </c>
      <c r="N268" s="53">
        <f>IF(A268="","",COUNTIF('AFA Rates'!$A$5:$A$504,A268))</f>
        <v/>
      </c>
      <c r="O268" s="54" t="n"/>
      <c r="P268" s="5" t="n"/>
      <c r="Q268" s="5" t="n"/>
      <c r="R268">
        <f>IF(AND(A268&lt;&gt;"",B268="Paused"),COUNTIFS($A$5:A268,"&lt;&gt;",$B$5:B268,"Paused"),"")</f>
        <v/>
      </c>
      <c r="S268">
        <f>IF(M268="Yes",COUNTIF($M$5:M268,"Yes"),"")</f>
        <v/>
      </c>
    </row>
    <row r="269">
      <c r="A269" s="5" t="n"/>
      <c r="B269" s="51" t="n"/>
      <c r="C269" s="5" t="n"/>
      <c r="D269" s="52" t="n"/>
      <c r="E269" s="52" t="n"/>
      <c r="F269" s="52" t="n"/>
      <c r="G269" s="52" t="n"/>
      <c r="H269" s="52" t="n"/>
      <c r="I269" s="52" t="n"/>
      <c r="J269" s="52" t="n"/>
      <c r="K269" s="52" t="n"/>
      <c r="L269" s="51" t="n"/>
      <c r="M269" s="53">
        <f>IF(A269="","",IF(COUNTIF('AFA Rates'!$A$5:$A$504,A269)&gt;0,"Yes","No"))</f>
        <v/>
      </c>
      <c r="N269" s="53">
        <f>IF(A269="","",COUNTIF('AFA Rates'!$A$5:$A$504,A269))</f>
        <v/>
      </c>
      <c r="O269" s="54" t="n"/>
      <c r="P269" s="5" t="n"/>
      <c r="Q269" s="5" t="n"/>
      <c r="R269">
        <f>IF(AND(A269&lt;&gt;"",B269="Paused"),COUNTIFS($A$5:A269,"&lt;&gt;",$B$5:B269,"Paused"),"")</f>
        <v/>
      </c>
      <c r="S269">
        <f>IF(M269="Yes",COUNTIF($M$5:M269,"Yes"),"")</f>
        <v/>
      </c>
    </row>
    <row r="270">
      <c r="A270" s="5" t="n"/>
      <c r="B270" s="51" t="n"/>
      <c r="C270" s="5" t="n"/>
      <c r="D270" s="52" t="n"/>
      <c r="E270" s="52" t="n"/>
      <c r="F270" s="52" t="n"/>
      <c r="G270" s="52" t="n"/>
      <c r="H270" s="52" t="n"/>
      <c r="I270" s="52" t="n"/>
      <c r="J270" s="52" t="n"/>
      <c r="K270" s="52" t="n"/>
      <c r="L270" s="51" t="n"/>
      <c r="M270" s="53">
        <f>IF(A270="","",IF(COUNTIF('AFA Rates'!$A$5:$A$504,A270)&gt;0,"Yes","No"))</f>
        <v/>
      </c>
      <c r="N270" s="53">
        <f>IF(A270="","",COUNTIF('AFA Rates'!$A$5:$A$504,A270))</f>
        <v/>
      </c>
      <c r="O270" s="54" t="n"/>
      <c r="P270" s="5" t="n"/>
      <c r="Q270" s="5" t="n"/>
      <c r="R270">
        <f>IF(AND(A270&lt;&gt;"",B270="Paused"),COUNTIFS($A$5:A270,"&lt;&gt;",$B$5:B270,"Paused"),"")</f>
        <v/>
      </c>
      <c r="S270">
        <f>IF(M270="Yes",COUNTIF($M$5:M270,"Yes"),"")</f>
        <v/>
      </c>
    </row>
    <row r="271">
      <c r="A271" s="5" t="n"/>
      <c r="B271" s="51" t="n"/>
      <c r="C271" s="5" t="n"/>
      <c r="D271" s="52" t="n"/>
      <c r="E271" s="52" t="n"/>
      <c r="F271" s="52" t="n"/>
      <c r="G271" s="52" t="n"/>
      <c r="H271" s="52" t="n"/>
      <c r="I271" s="52" t="n"/>
      <c r="J271" s="52" t="n"/>
      <c r="K271" s="52" t="n"/>
      <c r="L271" s="51" t="n"/>
      <c r="M271" s="53">
        <f>IF(A271="","",IF(COUNTIF('AFA Rates'!$A$5:$A$504,A271)&gt;0,"Yes","No"))</f>
        <v/>
      </c>
      <c r="N271" s="53">
        <f>IF(A271="","",COUNTIF('AFA Rates'!$A$5:$A$504,A271))</f>
        <v/>
      </c>
      <c r="O271" s="54" t="n"/>
      <c r="P271" s="5" t="n"/>
      <c r="Q271" s="5" t="n"/>
      <c r="R271">
        <f>IF(AND(A271&lt;&gt;"",B271="Paused"),COUNTIFS($A$5:A271,"&lt;&gt;",$B$5:B271,"Paused"),"")</f>
        <v/>
      </c>
      <c r="S271">
        <f>IF(M271="Yes",COUNTIF($M$5:M271,"Yes"),"")</f>
        <v/>
      </c>
    </row>
    <row r="272">
      <c r="A272" s="5" t="n"/>
      <c r="B272" s="51" t="n"/>
      <c r="C272" s="5" t="n"/>
      <c r="D272" s="52" t="n"/>
      <c r="E272" s="52" t="n"/>
      <c r="F272" s="52" t="n"/>
      <c r="G272" s="52" t="n"/>
      <c r="H272" s="52" t="n"/>
      <c r="I272" s="52" t="n"/>
      <c r="J272" s="52" t="n"/>
      <c r="K272" s="52" t="n"/>
      <c r="L272" s="51" t="n"/>
      <c r="M272" s="53">
        <f>IF(A272="","",IF(COUNTIF('AFA Rates'!$A$5:$A$504,A272)&gt;0,"Yes","No"))</f>
        <v/>
      </c>
      <c r="N272" s="53">
        <f>IF(A272="","",COUNTIF('AFA Rates'!$A$5:$A$504,A272))</f>
        <v/>
      </c>
      <c r="O272" s="54" t="n"/>
      <c r="P272" s="5" t="n"/>
      <c r="Q272" s="5" t="n"/>
      <c r="R272">
        <f>IF(AND(A272&lt;&gt;"",B272="Paused"),COUNTIFS($A$5:A272,"&lt;&gt;",$B$5:B272,"Paused"),"")</f>
        <v/>
      </c>
      <c r="S272">
        <f>IF(M272="Yes",COUNTIF($M$5:M272,"Yes"),"")</f>
        <v/>
      </c>
    </row>
    <row r="273">
      <c r="A273" s="5" t="n"/>
      <c r="B273" s="51" t="n"/>
      <c r="C273" s="5" t="n"/>
      <c r="D273" s="52" t="n"/>
      <c r="E273" s="52" t="n"/>
      <c r="F273" s="52" t="n"/>
      <c r="G273" s="52" t="n"/>
      <c r="H273" s="52" t="n"/>
      <c r="I273" s="52" t="n"/>
      <c r="J273" s="52" t="n"/>
      <c r="K273" s="52" t="n"/>
      <c r="L273" s="51" t="n"/>
      <c r="M273" s="53">
        <f>IF(A273="","",IF(COUNTIF('AFA Rates'!$A$5:$A$504,A273)&gt;0,"Yes","No"))</f>
        <v/>
      </c>
      <c r="N273" s="53">
        <f>IF(A273="","",COUNTIF('AFA Rates'!$A$5:$A$504,A273))</f>
        <v/>
      </c>
      <c r="O273" s="54" t="n"/>
      <c r="P273" s="5" t="n"/>
      <c r="Q273" s="5" t="n"/>
      <c r="R273">
        <f>IF(AND(A273&lt;&gt;"",B273="Paused"),COUNTIFS($A$5:A273,"&lt;&gt;",$B$5:B273,"Paused"),"")</f>
        <v/>
      </c>
      <c r="S273">
        <f>IF(M273="Yes",COUNTIF($M$5:M273,"Yes"),"")</f>
        <v/>
      </c>
    </row>
    <row r="274">
      <c r="A274" s="5" t="n"/>
      <c r="B274" s="51" t="n"/>
      <c r="C274" s="5" t="n"/>
      <c r="D274" s="52" t="n"/>
      <c r="E274" s="52" t="n"/>
      <c r="F274" s="52" t="n"/>
      <c r="G274" s="52" t="n"/>
      <c r="H274" s="52" t="n"/>
      <c r="I274" s="52" t="n"/>
      <c r="J274" s="52" t="n"/>
      <c r="K274" s="52" t="n"/>
      <c r="L274" s="51" t="n"/>
      <c r="M274" s="53">
        <f>IF(A274="","",IF(COUNTIF('AFA Rates'!$A$5:$A$504,A274)&gt;0,"Yes","No"))</f>
        <v/>
      </c>
      <c r="N274" s="53">
        <f>IF(A274="","",COUNTIF('AFA Rates'!$A$5:$A$504,A274))</f>
        <v/>
      </c>
      <c r="O274" s="54" t="n"/>
      <c r="P274" s="5" t="n"/>
      <c r="Q274" s="5" t="n"/>
      <c r="R274">
        <f>IF(AND(A274&lt;&gt;"",B274="Paused"),COUNTIFS($A$5:A274,"&lt;&gt;",$B$5:B274,"Paused"),"")</f>
        <v/>
      </c>
      <c r="S274">
        <f>IF(M274="Yes",COUNTIF($M$5:M274,"Yes"),"")</f>
        <v/>
      </c>
    </row>
    <row r="275">
      <c r="A275" s="5" t="n"/>
      <c r="B275" s="51" t="n"/>
      <c r="C275" s="5" t="n"/>
      <c r="D275" s="52" t="n"/>
      <c r="E275" s="52" t="n"/>
      <c r="F275" s="52" t="n"/>
      <c r="G275" s="52" t="n"/>
      <c r="H275" s="52" t="n"/>
      <c r="I275" s="52" t="n"/>
      <c r="J275" s="52" t="n"/>
      <c r="K275" s="52" t="n"/>
      <c r="L275" s="51" t="n"/>
      <c r="M275" s="53">
        <f>IF(A275="","",IF(COUNTIF('AFA Rates'!$A$5:$A$504,A275)&gt;0,"Yes","No"))</f>
        <v/>
      </c>
      <c r="N275" s="53">
        <f>IF(A275="","",COUNTIF('AFA Rates'!$A$5:$A$504,A275))</f>
        <v/>
      </c>
      <c r="O275" s="54" t="n"/>
      <c r="P275" s="5" t="n"/>
      <c r="Q275" s="5" t="n"/>
      <c r="R275">
        <f>IF(AND(A275&lt;&gt;"",B275="Paused"),COUNTIFS($A$5:A275,"&lt;&gt;",$B$5:B275,"Paused"),"")</f>
        <v/>
      </c>
      <c r="S275">
        <f>IF(M275="Yes",COUNTIF($M$5:M275,"Yes"),"")</f>
        <v/>
      </c>
    </row>
    <row r="276">
      <c r="A276" s="5" t="n"/>
      <c r="B276" s="51" t="n"/>
      <c r="C276" s="5" t="n"/>
      <c r="D276" s="52" t="n"/>
      <c r="E276" s="52" t="n"/>
      <c r="F276" s="52" t="n"/>
      <c r="G276" s="52" t="n"/>
      <c r="H276" s="52" t="n"/>
      <c r="I276" s="52" t="n"/>
      <c r="J276" s="52" t="n"/>
      <c r="K276" s="52" t="n"/>
      <c r="L276" s="51" t="n"/>
      <c r="M276" s="53">
        <f>IF(A276="","",IF(COUNTIF('AFA Rates'!$A$5:$A$504,A276)&gt;0,"Yes","No"))</f>
        <v/>
      </c>
      <c r="N276" s="53">
        <f>IF(A276="","",COUNTIF('AFA Rates'!$A$5:$A$504,A276))</f>
        <v/>
      </c>
      <c r="O276" s="54" t="n"/>
      <c r="P276" s="5" t="n"/>
      <c r="Q276" s="5" t="n"/>
      <c r="R276">
        <f>IF(AND(A276&lt;&gt;"",B276="Paused"),COUNTIFS($A$5:A276,"&lt;&gt;",$B$5:B276,"Paused"),"")</f>
        <v/>
      </c>
      <c r="S276">
        <f>IF(M276="Yes",COUNTIF($M$5:M276,"Yes"),"")</f>
        <v/>
      </c>
    </row>
    <row r="277">
      <c r="A277" s="5" t="n"/>
      <c r="B277" s="51" t="n"/>
      <c r="C277" s="5" t="n"/>
      <c r="D277" s="52" t="n"/>
      <c r="E277" s="52" t="n"/>
      <c r="F277" s="52" t="n"/>
      <c r="G277" s="52" t="n"/>
      <c r="H277" s="52" t="n"/>
      <c r="I277" s="52" t="n"/>
      <c r="J277" s="52" t="n"/>
      <c r="K277" s="52" t="n"/>
      <c r="L277" s="51" t="n"/>
      <c r="M277" s="53">
        <f>IF(A277="","",IF(COUNTIF('AFA Rates'!$A$5:$A$504,A277)&gt;0,"Yes","No"))</f>
        <v/>
      </c>
      <c r="N277" s="53">
        <f>IF(A277="","",COUNTIF('AFA Rates'!$A$5:$A$504,A277))</f>
        <v/>
      </c>
      <c r="O277" s="54" t="n"/>
      <c r="P277" s="5" t="n"/>
      <c r="Q277" s="5" t="n"/>
      <c r="R277">
        <f>IF(AND(A277&lt;&gt;"",B277="Paused"),COUNTIFS($A$5:A277,"&lt;&gt;",$B$5:B277,"Paused"),"")</f>
        <v/>
      </c>
      <c r="S277">
        <f>IF(M277="Yes",COUNTIF($M$5:M277,"Yes"),"")</f>
        <v/>
      </c>
    </row>
    <row r="278">
      <c r="A278" s="5" t="n"/>
      <c r="B278" s="51" t="n"/>
      <c r="C278" s="5" t="n"/>
      <c r="D278" s="52" t="n"/>
      <c r="E278" s="52" t="n"/>
      <c r="F278" s="52" t="n"/>
      <c r="G278" s="52" t="n"/>
      <c r="H278" s="52" t="n"/>
      <c r="I278" s="52" t="n"/>
      <c r="J278" s="52" t="n"/>
      <c r="K278" s="52" t="n"/>
      <c r="L278" s="51" t="n"/>
      <c r="M278" s="53">
        <f>IF(A278="","",IF(COUNTIF('AFA Rates'!$A$5:$A$504,A278)&gt;0,"Yes","No"))</f>
        <v/>
      </c>
      <c r="N278" s="53">
        <f>IF(A278="","",COUNTIF('AFA Rates'!$A$5:$A$504,A278))</f>
        <v/>
      </c>
      <c r="O278" s="54" t="n"/>
      <c r="P278" s="5" t="n"/>
      <c r="Q278" s="5" t="n"/>
      <c r="R278">
        <f>IF(AND(A278&lt;&gt;"",B278="Paused"),COUNTIFS($A$5:A278,"&lt;&gt;",$B$5:B278,"Paused"),"")</f>
        <v/>
      </c>
      <c r="S278">
        <f>IF(M278="Yes",COUNTIF($M$5:M278,"Yes"),"")</f>
        <v/>
      </c>
    </row>
    <row r="279">
      <c r="A279" s="5" t="n"/>
      <c r="B279" s="51" t="n"/>
      <c r="C279" s="5" t="n"/>
      <c r="D279" s="52" t="n"/>
      <c r="E279" s="52" t="n"/>
      <c r="F279" s="52" t="n"/>
      <c r="G279" s="52" t="n"/>
      <c r="H279" s="52" t="n"/>
      <c r="I279" s="52" t="n"/>
      <c r="J279" s="52" t="n"/>
      <c r="K279" s="52" t="n"/>
      <c r="L279" s="51" t="n"/>
      <c r="M279" s="53">
        <f>IF(A279="","",IF(COUNTIF('AFA Rates'!$A$5:$A$504,A279)&gt;0,"Yes","No"))</f>
        <v/>
      </c>
      <c r="N279" s="53">
        <f>IF(A279="","",COUNTIF('AFA Rates'!$A$5:$A$504,A279))</f>
        <v/>
      </c>
      <c r="O279" s="54" t="n"/>
      <c r="P279" s="5" t="n"/>
      <c r="Q279" s="5" t="n"/>
      <c r="R279">
        <f>IF(AND(A279&lt;&gt;"",B279="Paused"),COUNTIFS($A$5:A279,"&lt;&gt;",$B$5:B279,"Paused"),"")</f>
        <v/>
      </c>
      <c r="S279">
        <f>IF(M279="Yes",COUNTIF($M$5:M279,"Yes"),"")</f>
        <v/>
      </c>
    </row>
    <row r="280">
      <c r="A280" s="5" t="n"/>
      <c r="B280" s="51" t="n"/>
      <c r="C280" s="5" t="n"/>
      <c r="D280" s="52" t="n"/>
      <c r="E280" s="52" t="n"/>
      <c r="F280" s="52" t="n"/>
      <c r="G280" s="52" t="n"/>
      <c r="H280" s="52" t="n"/>
      <c r="I280" s="52" t="n"/>
      <c r="J280" s="52" t="n"/>
      <c r="K280" s="52" t="n"/>
      <c r="L280" s="51" t="n"/>
      <c r="M280" s="53">
        <f>IF(A280="","",IF(COUNTIF('AFA Rates'!$A$5:$A$504,A280)&gt;0,"Yes","No"))</f>
        <v/>
      </c>
      <c r="N280" s="53">
        <f>IF(A280="","",COUNTIF('AFA Rates'!$A$5:$A$504,A280))</f>
        <v/>
      </c>
      <c r="O280" s="54" t="n"/>
      <c r="P280" s="5" t="n"/>
      <c r="Q280" s="5" t="n"/>
      <c r="R280">
        <f>IF(AND(A280&lt;&gt;"",B280="Paused"),COUNTIFS($A$5:A280,"&lt;&gt;",$B$5:B280,"Paused"),"")</f>
        <v/>
      </c>
      <c r="S280">
        <f>IF(M280="Yes",COUNTIF($M$5:M280,"Yes"),"")</f>
        <v/>
      </c>
    </row>
    <row r="281">
      <c r="A281" s="5" t="n"/>
      <c r="B281" s="51" t="n"/>
      <c r="C281" s="5" t="n"/>
      <c r="D281" s="52" t="n"/>
      <c r="E281" s="52" t="n"/>
      <c r="F281" s="52" t="n"/>
      <c r="G281" s="52" t="n"/>
      <c r="H281" s="52" t="n"/>
      <c r="I281" s="52" t="n"/>
      <c r="J281" s="52" t="n"/>
      <c r="K281" s="52" t="n"/>
      <c r="L281" s="51" t="n"/>
      <c r="M281" s="53">
        <f>IF(A281="","",IF(COUNTIF('AFA Rates'!$A$5:$A$504,A281)&gt;0,"Yes","No"))</f>
        <v/>
      </c>
      <c r="N281" s="53">
        <f>IF(A281="","",COUNTIF('AFA Rates'!$A$5:$A$504,A281))</f>
        <v/>
      </c>
      <c r="O281" s="54" t="n"/>
      <c r="P281" s="5" t="n"/>
      <c r="Q281" s="5" t="n"/>
      <c r="R281">
        <f>IF(AND(A281&lt;&gt;"",B281="Paused"),COUNTIFS($A$5:A281,"&lt;&gt;",$B$5:B281,"Paused"),"")</f>
        <v/>
      </c>
      <c r="S281">
        <f>IF(M281="Yes",COUNTIF($M$5:M281,"Yes"),"")</f>
        <v/>
      </c>
    </row>
    <row r="282">
      <c r="A282" s="5" t="n"/>
      <c r="B282" s="51" t="n"/>
      <c r="C282" s="5" t="n"/>
      <c r="D282" s="52" t="n"/>
      <c r="E282" s="52" t="n"/>
      <c r="F282" s="52" t="n"/>
      <c r="G282" s="52" t="n"/>
      <c r="H282" s="52" t="n"/>
      <c r="I282" s="52" t="n"/>
      <c r="J282" s="52" t="n"/>
      <c r="K282" s="52" t="n"/>
      <c r="L282" s="51" t="n"/>
      <c r="M282" s="53">
        <f>IF(A282="","",IF(COUNTIF('AFA Rates'!$A$5:$A$504,A282)&gt;0,"Yes","No"))</f>
        <v/>
      </c>
      <c r="N282" s="53">
        <f>IF(A282="","",COUNTIF('AFA Rates'!$A$5:$A$504,A282))</f>
        <v/>
      </c>
      <c r="O282" s="54" t="n"/>
      <c r="P282" s="5" t="n"/>
      <c r="Q282" s="5" t="n"/>
      <c r="R282">
        <f>IF(AND(A282&lt;&gt;"",B282="Paused"),COUNTIFS($A$5:A282,"&lt;&gt;",$B$5:B282,"Paused"),"")</f>
        <v/>
      </c>
      <c r="S282">
        <f>IF(M282="Yes",COUNTIF($M$5:M282,"Yes"),"")</f>
        <v/>
      </c>
    </row>
    <row r="283">
      <c r="A283" s="5" t="n"/>
      <c r="B283" s="51" t="n"/>
      <c r="C283" s="5" t="n"/>
      <c r="D283" s="52" t="n"/>
      <c r="E283" s="52" t="n"/>
      <c r="F283" s="52" t="n"/>
      <c r="G283" s="52" t="n"/>
      <c r="H283" s="52" t="n"/>
      <c r="I283" s="52" t="n"/>
      <c r="J283" s="52" t="n"/>
      <c r="K283" s="52" t="n"/>
      <c r="L283" s="51" t="n"/>
      <c r="M283" s="53">
        <f>IF(A283="","",IF(COUNTIF('AFA Rates'!$A$5:$A$504,A283)&gt;0,"Yes","No"))</f>
        <v/>
      </c>
      <c r="N283" s="53">
        <f>IF(A283="","",COUNTIF('AFA Rates'!$A$5:$A$504,A283))</f>
        <v/>
      </c>
      <c r="O283" s="54" t="n"/>
      <c r="P283" s="5" t="n"/>
      <c r="Q283" s="5" t="n"/>
      <c r="R283">
        <f>IF(AND(A283&lt;&gt;"",B283="Paused"),COUNTIFS($A$5:A283,"&lt;&gt;",$B$5:B283,"Paused"),"")</f>
        <v/>
      </c>
      <c r="S283">
        <f>IF(M283="Yes",COUNTIF($M$5:M283,"Yes"),"")</f>
        <v/>
      </c>
    </row>
    <row r="284">
      <c r="A284" s="5" t="n"/>
      <c r="B284" s="51" t="n"/>
      <c r="C284" s="5" t="n"/>
      <c r="D284" s="52" t="n"/>
      <c r="E284" s="52" t="n"/>
      <c r="F284" s="52" t="n"/>
      <c r="G284" s="52" t="n"/>
      <c r="H284" s="52" t="n"/>
      <c r="I284" s="52" t="n"/>
      <c r="J284" s="52" t="n"/>
      <c r="K284" s="52" t="n"/>
      <c r="L284" s="51" t="n"/>
      <c r="M284" s="53">
        <f>IF(A284="","",IF(COUNTIF('AFA Rates'!$A$5:$A$504,A284)&gt;0,"Yes","No"))</f>
        <v/>
      </c>
      <c r="N284" s="53">
        <f>IF(A284="","",COUNTIF('AFA Rates'!$A$5:$A$504,A284))</f>
        <v/>
      </c>
      <c r="O284" s="54" t="n"/>
      <c r="P284" s="5" t="n"/>
      <c r="Q284" s="5" t="n"/>
      <c r="R284">
        <f>IF(AND(A284&lt;&gt;"",B284="Paused"),COUNTIFS($A$5:A284,"&lt;&gt;",$B$5:B284,"Paused"),"")</f>
        <v/>
      </c>
      <c r="S284">
        <f>IF(M284="Yes",COUNTIF($M$5:M284,"Yes"),"")</f>
        <v/>
      </c>
    </row>
    <row r="285">
      <c r="A285" s="5" t="n"/>
      <c r="B285" s="51" t="n"/>
      <c r="C285" s="5" t="n"/>
      <c r="D285" s="52" t="n"/>
      <c r="E285" s="52" t="n"/>
      <c r="F285" s="52" t="n"/>
      <c r="G285" s="52" t="n"/>
      <c r="H285" s="52" t="n"/>
      <c r="I285" s="52" t="n"/>
      <c r="J285" s="52" t="n"/>
      <c r="K285" s="52" t="n"/>
      <c r="L285" s="51" t="n"/>
      <c r="M285" s="53">
        <f>IF(A285="","",IF(COUNTIF('AFA Rates'!$A$5:$A$504,A285)&gt;0,"Yes","No"))</f>
        <v/>
      </c>
      <c r="N285" s="53">
        <f>IF(A285="","",COUNTIF('AFA Rates'!$A$5:$A$504,A285))</f>
        <v/>
      </c>
      <c r="O285" s="54" t="n"/>
      <c r="P285" s="5" t="n"/>
      <c r="Q285" s="5" t="n"/>
      <c r="R285">
        <f>IF(AND(A285&lt;&gt;"",B285="Paused"),COUNTIFS($A$5:A285,"&lt;&gt;",$B$5:B285,"Paused"),"")</f>
        <v/>
      </c>
      <c r="S285">
        <f>IF(M285="Yes",COUNTIF($M$5:M285,"Yes"),"")</f>
        <v/>
      </c>
    </row>
    <row r="286">
      <c r="A286" s="5" t="n"/>
      <c r="B286" s="51" t="n"/>
      <c r="C286" s="5" t="n"/>
      <c r="D286" s="52" t="n"/>
      <c r="E286" s="52" t="n"/>
      <c r="F286" s="52" t="n"/>
      <c r="G286" s="52" t="n"/>
      <c r="H286" s="52" t="n"/>
      <c r="I286" s="52" t="n"/>
      <c r="J286" s="52" t="n"/>
      <c r="K286" s="52" t="n"/>
      <c r="L286" s="51" t="n"/>
      <c r="M286" s="53">
        <f>IF(A286="","",IF(COUNTIF('AFA Rates'!$A$5:$A$504,A286)&gt;0,"Yes","No"))</f>
        <v/>
      </c>
      <c r="N286" s="53">
        <f>IF(A286="","",COUNTIF('AFA Rates'!$A$5:$A$504,A286))</f>
        <v/>
      </c>
      <c r="O286" s="54" t="n"/>
      <c r="P286" s="5" t="n"/>
      <c r="Q286" s="5" t="n"/>
      <c r="R286">
        <f>IF(AND(A286&lt;&gt;"",B286="Paused"),COUNTIFS($A$5:A286,"&lt;&gt;",$B$5:B286,"Paused"),"")</f>
        <v/>
      </c>
      <c r="S286">
        <f>IF(M286="Yes",COUNTIF($M$5:M286,"Yes"),"")</f>
        <v/>
      </c>
    </row>
    <row r="287">
      <c r="A287" s="5" t="n"/>
      <c r="B287" s="51" t="n"/>
      <c r="C287" s="5" t="n"/>
      <c r="D287" s="52" t="n"/>
      <c r="E287" s="52" t="n"/>
      <c r="F287" s="52" t="n"/>
      <c r="G287" s="52" t="n"/>
      <c r="H287" s="52" t="n"/>
      <c r="I287" s="52" t="n"/>
      <c r="J287" s="52" t="n"/>
      <c r="K287" s="52" t="n"/>
      <c r="L287" s="51" t="n"/>
      <c r="M287" s="53">
        <f>IF(A287="","",IF(COUNTIF('AFA Rates'!$A$5:$A$504,A287)&gt;0,"Yes","No"))</f>
        <v/>
      </c>
      <c r="N287" s="53">
        <f>IF(A287="","",COUNTIF('AFA Rates'!$A$5:$A$504,A287))</f>
        <v/>
      </c>
      <c r="O287" s="54" t="n"/>
      <c r="P287" s="5" t="n"/>
      <c r="Q287" s="5" t="n"/>
      <c r="R287">
        <f>IF(AND(A287&lt;&gt;"",B287="Paused"),COUNTIFS($A$5:A287,"&lt;&gt;",$B$5:B287,"Paused"),"")</f>
        <v/>
      </c>
      <c r="S287">
        <f>IF(M287="Yes",COUNTIF($M$5:M287,"Yes"),"")</f>
        <v/>
      </c>
    </row>
    <row r="288">
      <c r="A288" s="5" t="n"/>
      <c r="B288" s="51" t="n"/>
      <c r="C288" s="5" t="n"/>
      <c r="D288" s="52" t="n"/>
      <c r="E288" s="52" t="n"/>
      <c r="F288" s="52" t="n"/>
      <c r="G288" s="52" t="n"/>
      <c r="H288" s="52" t="n"/>
      <c r="I288" s="52" t="n"/>
      <c r="J288" s="52" t="n"/>
      <c r="K288" s="52" t="n"/>
      <c r="L288" s="51" t="n"/>
      <c r="M288" s="53">
        <f>IF(A288="","",IF(COUNTIF('AFA Rates'!$A$5:$A$504,A288)&gt;0,"Yes","No"))</f>
        <v/>
      </c>
      <c r="N288" s="53">
        <f>IF(A288="","",COUNTIF('AFA Rates'!$A$5:$A$504,A288))</f>
        <v/>
      </c>
      <c r="O288" s="54" t="n"/>
      <c r="P288" s="5" t="n"/>
      <c r="Q288" s="5" t="n"/>
      <c r="R288">
        <f>IF(AND(A288&lt;&gt;"",B288="Paused"),COUNTIFS($A$5:A288,"&lt;&gt;",$B$5:B288,"Paused"),"")</f>
        <v/>
      </c>
      <c r="S288">
        <f>IF(M288="Yes",COUNTIF($M$5:M288,"Yes"),"")</f>
        <v/>
      </c>
    </row>
    <row r="289">
      <c r="A289" s="5" t="n"/>
      <c r="B289" s="51" t="n"/>
      <c r="C289" s="5" t="n"/>
      <c r="D289" s="52" t="n"/>
      <c r="E289" s="52" t="n"/>
      <c r="F289" s="52" t="n"/>
      <c r="G289" s="52" t="n"/>
      <c r="H289" s="52" t="n"/>
      <c r="I289" s="52" t="n"/>
      <c r="J289" s="52" t="n"/>
      <c r="K289" s="52" t="n"/>
      <c r="L289" s="51" t="n"/>
      <c r="M289" s="53">
        <f>IF(A289="","",IF(COUNTIF('AFA Rates'!$A$5:$A$504,A289)&gt;0,"Yes","No"))</f>
        <v/>
      </c>
      <c r="N289" s="53">
        <f>IF(A289="","",COUNTIF('AFA Rates'!$A$5:$A$504,A289))</f>
        <v/>
      </c>
      <c r="O289" s="54" t="n"/>
      <c r="P289" s="5" t="n"/>
      <c r="Q289" s="5" t="n"/>
      <c r="R289">
        <f>IF(AND(A289&lt;&gt;"",B289="Paused"),COUNTIFS($A$5:A289,"&lt;&gt;",$B$5:B289,"Paused"),"")</f>
        <v/>
      </c>
      <c r="S289">
        <f>IF(M289="Yes",COUNTIF($M$5:M289,"Yes"),"")</f>
        <v/>
      </c>
    </row>
    <row r="290">
      <c r="A290" s="5" t="n"/>
      <c r="B290" s="51" t="n"/>
      <c r="C290" s="5" t="n"/>
      <c r="D290" s="52" t="n"/>
      <c r="E290" s="52" t="n"/>
      <c r="F290" s="52" t="n"/>
      <c r="G290" s="52" t="n"/>
      <c r="H290" s="52" t="n"/>
      <c r="I290" s="52" t="n"/>
      <c r="J290" s="52" t="n"/>
      <c r="K290" s="52" t="n"/>
      <c r="L290" s="51" t="n"/>
      <c r="M290" s="53">
        <f>IF(A290="","",IF(COUNTIF('AFA Rates'!$A$5:$A$504,A290)&gt;0,"Yes","No"))</f>
        <v/>
      </c>
      <c r="N290" s="53">
        <f>IF(A290="","",COUNTIF('AFA Rates'!$A$5:$A$504,A290))</f>
        <v/>
      </c>
      <c r="O290" s="54" t="n"/>
      <c r="P290" s="5" t="n"/>
      <c r="Q290" s="5" t="n"/>
      <c r="R290">
        <f>IF(AND(A290&lt;&gt;"",B290="Paused"),COUNTIFS($A$5:A290,"&lt;&gt;",$B$5:B290,"Paused"),"")</f>
        <v/>
      </c>
      <c r="S290">
        <f>IF(M290="Yes",COUNTIF($M$5:M290,"Yes"),"")</f>
        <v/>
      </c>
    </row>
    <row r="291">
      <c r="A291" s="5" t="n"/>
      <c r="B291" s="51" t="n"/>
      <c r="C291" s="5" t="n"/>
      <c r="D291" s="52" t="n"/>
      <c r="E291" s="52" t="n"/>
      <c r="F291" s="52" t="n"/>
      <c r="G291" s="52" t="n"/>
      <c r="H291" s="52" t="n"/>
      <c r="I291" s="52" t="n"/>
      <c r="J291" s="52" t="n"/>
      <c r="K291" s="52" t="n"/>
      <c r="L291" s="51" t="n"/>
      <c r="M291" s="53">
        <f>IF(A291="","",IF(COUNTIF('AFA Rates'!$A$5:$A$504,A291)&gt;0,"Yes","No"))</f>
        <v/>
      </c>
      <c r="N291" s="53">
        <f>IF(A291="","",COUNTIF('AFA Rates'!$A$5:$A$504,A291))</f>
        <v/>
      </c>
      <c r="O291" s="54" t="n"/>
      <c r="P291" s="5" t="n"/>
      <c r="Q291" s="5" t="n"/>
      <c r="R291">
        <f>IF(AND(A291&lt;&gt;"",B291="Paused"),COUNTIFS($A$5:A291,"&lt;&gt;",$B$5:B291,"Paused"),"")</f>
        <v/>
      </c>
      <c r="S291">
        <f>IF(M291="Yes",COUNTIF($M$5:M291,"Yes"),"")</f>
        <v/>
      </c>
    </row>
    <row r="292">
      <c r="A292" s="5" t="n"/>
      <c r="B292" s="51" t="n"/>
      <c r="C292" s="5" t="n"/>
      <c r="D292" s="52" t="n"/>
      <c r="E292" s="52" t="n"/>
      <c r="F292" s="52" t="n"/>
      <c r="G292" s="52" t="n"/>
      <c r="H292" s="52" t="n"/>
      <c r="I292" s="52" t="n"/>
      <c r="J292" s="52" t="n"/>
      <c r="K292" s="52" t="n"/>
      <c r="L292" s="51" t="n"/>
      <c r="M292" s="53">
        <f>IF(A292="","",IF(COUNTIF('AFA Rates'!$A$5:$A$504,A292)&gt;0,"Yes","No"))</f>
        <v/>
      </c>
      <c r="N292" s="53">
        <f>IF(A292="","",COUNTIF('AFA Rates'!$A$5:$A$504,A292))</f>
        <v/>
      </c>
      <c r="O292" s="54" t="n"/>
      <c r="P292" s="5" t="n"/>
      <c r="Q292" s="5" t="n"/>
      <c r="R292">
        <f>IF(AND(A292&lt;&gt;"",B292="Paused"),COUNTIFS($A$5:A292,"&lt;&gt;",$B$5:B292,"Paused"),"")</f>
        <v/>
      </c>
      <c r="S292">
        <f>IF(M292="Yes",COUNTIF($M$5:M292,"Yes"),"")</f>
        <v/>
      </c>
    </row>
    <row r="293">
      <c r="A293" s="5" t="n"/>
      <c r="B293" s="51" t="n"/>
      <c r="C293" s="5" t="n"/>
      <c r="D293" s="52" t="n"/>
      <c r="E293" s="52" t="n"/>
      <c r="F293" s="52" t="n"/>
      <c r="G293" s="52" t="n"/>
      <c r="H293" s="52" t="n"/>
      <c r="I293" s="52" t="n"/>
      <c r="J293" s="52" t="n"/>
      <c r="K293" s="52" t="n"/>
      <c r="L293" s="51" t="n"/>
      <c r="M293" s="53">
        <f>IF(A293="","",IF(COUNTIF('AFA Rates'!$A$5:$A$504,A293)&gt;0,"Yes","No"))</f>
        <v/>
      </c>
      <c r="N293" s="53">
        <f>IF(A293="","",COUNTIF('AFA Rates'!$A$5:$A$504,A293))</f>
        <v/>
      </c>
      <c r="O293" s="54" t="n"/>
      <c r="P293" s="5" t="n"/>
      <c r="Q293" s="5" t="n"/>
      <c r="R293">
        <f>IF(AND(A293&lt;&gt;"",B293="Paused"),COUNTIFS($A$5:A293,"&lt;&gt;",$B$5:B293,"Paused"),"")</f>
        <v/>
      </c>
      <c r="S293">
        <f>IF(M293="Yes",COUNTIF($M$5:M293,"Yes"),"")</f>
        <v/>
      </c>
    </row>
    <row r="294">
      <c r="A294" s="5" t="n"/>
      <c r="B294" s="51" t="n"/>
      <c r="C294" s="5" t="n"/>
      <c r="D294" s="52" t="n"/>
      <c r="E294" s="52" t="n"/>
      <c r="F294" s="52" t="n"/>
      <c r="G294" s="52" t="n"/>
      <c r="H294" s="52" t="n"/>
      <c r="I294" s="52" t="n"/>
      <c r="J294" s="52" t="n"/>
      <c r="K294" s="52" t="n"/>
      <c r="L294" s="51" t="n"/>
      <c r="M294" s="53">
        <f>IF(A294="","",IF(COUNTIF('AFA Rates'!$A$5:$A$504,A294)&gt;0,"Yes","No"))</f>
        <v/>
      </c>
      <c r="N294" s="53">
        <f>IF(A294="","",COUNTIF('AFA Rates'!$A$5:$A$504,A294))</f>
        <v/>
      </c>
      <c r="O294" s="54" t="n"/>
      <c r="P294" s="5" t="n"/>
      <c r="Q294" s="5" t="n"/>
      <c r="R294">
        <f>IF(AND(A294&lt;&gt;"",B294="Paused"),COUNTIFS($A$5:A294,"&lt;&gt;",$B$5:B294,"Paused"),"")</f>
        <v/>
      </c>
      <c r="S294">
        <f>IF(M294="Yes",COUNTIF($M$5:M294,"Yes"),"")</f>
        <v/>
      </c>
    </row>
    <row r="295">
      <c r="A295" s="5" t="n"/>
      <c r="B295" s="51" t="n"/>
      <c r="C295" s="5" t="n"/>
      <c r="D295" s="52" t="n"/>
      <c r="E295" s="52" t="n"/>
      <c r="F295" s="52" t="n"/>
      <c r="G295" s="52" t="n"/>
      <c r="H295" s="52" t="n"/>
      <c r="I295" s="52" t="n"/>
      <c r="J295" s="52" t="n"/>
      <c r="K295" s="52" t="n"/>
      <c r="L295" s="51" t="n"/>
      <c r="M295" s="53">
        <f>IF(A295="","",IF(COUNTIF('AFA Rates'!$A$5:$A$504,A295)&gt;0,"Yes","No"))</f>
        <v/>
      </c>
      <c r="N295" s="53">
        <f>IF(A295="","",COUNTIF('AFA Rates'!$A$5:$A$504,A295))</f>
        <v/>
      </c>
      <c r="O295" s="54" t="n"/>
      <c r="P295" s="5" t="n"/>
      <c r="Q295" s="5" t="n"/>
      <c r="R295">
        <f>IF(AND(A295&lt;&gt;"",B295="Paused"),COUNTIFS($A$5:A295,"&lt;&gt;",$B$5:B295,"Paused"),"")</f>
        <v/>
      </c>
      <c r="S295">
        <f>IF(M295="Yes",COUNTIF($M$5:M295,"Yes"),"")</f>
        <v/>
      </c>
    </row>
    <row r="296">
      <c r="A296" s="5" t="n"/>
      <c r="B296" s="51" t="n"/>
      <c r="C296" s="5" t="n"/>
      <c r="D296" s="52" t="n"/>
      <c r="E296" s="52" t="n"/>
      <c r="F296" s="52" t="n"/>
      <c r="G296" s="52" t="n"/>
      <c r="H296" s="52" t="n"/>
      <c r="I296" s="52" t="n"/>
      <c r="J296" s="52" t="n"/>
      <c r="K296" s="52" t="n"/>
      <c r="L296" s="51" t="n"/>
      <c r="M296" s="53">
        <f>IF(A296="","",IF(COUNTIF('AFA Rates'!$A$5:$A$504,A296)&gt;0,"Yes","No"))</f>
        <v/>
      </c>
      <c r="N296" s="53">
        <f>IF(A296="","",COUNTIF('AFA Rates'!$A$5:$A$504,A296))</f>
        <v/>
      </c>
      <c r="O296" s="54" t="n"/>
      <c r="P296" s="5" t="n"/>
      <c r="Q296" s="5" t="n"/>
      <c r="R296">
        <f>IF(AND(A296&lt;&gt;"",B296="Paused"),COUNTIFS($A$5:A296,"&lt;&gt;",$B$5:B296,"Paused"),"")</f>
        <v/>
      </c>
      <c r="S296">
        <f>IF(M296="Yes",COUNTIF($M$5:M296,"Yes"),"")</f>
        <v/>
      </c>
    </row>
    <row r="297">
      <c r="A297" s="5" t="n"/>
      <c r="B297" s="51" t="n"/>
      <c r="C297" s="5" t="n"/>
      <c r="D297" s="52" t="n"/>
      <c r="E297" s="52" t="n"/>
      <c r="F297" s="52" t="n"/>
      <c r="G297" s="52" t="n"/>
      <c r="H297" s="52" t="n"/>
      <c r="I297" s="52" t="n"/>
      <c r="J297" s="52" t="n"/>
      <c r="K297" s="52" t="n"/>
      <c r="L297" s="51" t="n"/>
      <c r="M297" s="53">
        <f>IF(A297="","",IF(COUNTIF('AFA Rates'!$A$5:$A$504,A297)&gt;0,"Yes","No"))</f>
        <v/>
      </c>
      <c r="N297" s="53">
        <f>IF(A297="","",COUNTIF('AFA Rates'!$A$5:$A$504,A297))</f>
        <v/>
      </c>
      <c r="O297" s="54" t="n"/>
      <c r="P297" s="5" t="n"/>
      <c r="Q297" s="5" t="n"/>
      <c r="R297">
        <f>IF(AND(A297&lt;&gt;"",B297="Paused"),COUNTIFS($A$5:A297,"&lt;&gt;",$B$5:B297,"Paused"),"")</f>
        <v/>
      </c>
      <c r="S297">
        <f>IF(M297="Yes",COUNTIF($M$5:M297,"Yes"),"")</f>
        <v/>
      </c>
    </row>
    <row r="298">
      <c r="A298" s="5" t="n"/>
      <c r="B298" s="51" t="n"/>
      <c r="C298" s="5" t="n"/>
      <c r="D298" s="52" t="n"/>
      <c r="E298" s="52" t="n"/>
      <c r="F298" s="52" t="n"/>
      <c r="G298" s="52" t="n"/>
      <c r="H298" s="52" t="n"/>
      <c r="I298" s="52" t="n"/>
      <c r="J298" s="52" t="n"/>
      <c r="K298" s="52" t="n"/>
      <c r="L298" s="51" t="n"/>
      <c r="M298" s="53">
        <f>IF(A298="","",IF(COUNTIF('AFA Rates'!$A$5:$A$504,A298)&gt;0,"Yes","No"))</f>
        <v/>
      </c>
      <c r="N298" s="53">
        <f>IF(A298="","",COUNTIF('AFA Rates'!$A$5:$A$504,A298))</f>
        <v/>
      </c>
      <c r="O298" s="54" t="n"/>
      <c r="P298" s="5" t="n"/>
      <c r="Q298" s="5" t="n"/>
      <c r="R298">
        <f>IF(AND(A298&lt;&gt;"",B298="Paused"),COUNTIFS($A$5:A298,"&lt;&gt;",$B$5:B298,"Paused"),"")</f>
        <v/>
      </c>
      <c r="S298">
        <f>IF(M298="Yes",COUNTIF($M$5:M298,"Yes"),"")</f>
        <v/>
      </c>
    </row>
    <row r="299">
      <c r="A299" s="5" t="n"/>
      <c r="B299" s="51" t="n"/>
      <c r="C299" s="5" t="n"/>
      <c r="D299" s="52" t="n"/>
      <c r="E299" s="52" t="n"/>
      <c r="F299" s="52" t="n"/>
      <c r="G299" s="52" t="n"/>
      <c r="H299" s="52" t="n"/>
      <c r="I299" s="52" t="n"/>
      <c r="J299" s="52" t="n"/>
      <c r="K299" s="52" t="n"/>
      <c r="L299" s="51" t="n"/>
      <c r="M299" s="53">
        <f>IF(A299="","",IF(COUNTIF('AFA Rates'!$A$5:$A$504,A299)&gt;0,"Yes","No"))</f>
        <v/>
      </c>
      <c r="N299" s="53">
        <f>IF(A299="","",COUNTIF('AFA Rates'!$A$5:$A$504,A299))</f>
        <v/>
      </c>
      <c r="O299" s="54" t="n"/>
      <c r="P299" s="5" t="n"/>
      <c r="Q299" s="5" t="n"/>
      <c r="R299">
        <f>IF(AND(A299&lt;&gt;"",B299="Paused"),COUNTIFS($A$5:A299,"&lt;&gt;",$B$5:B299,"Paused"),"")</f>
        <v/>
      </c>
      <c r="S299">
        <f>IF(M299="Yes",COUNTIF($M$5:M299,"Yes"),"")</f>
        <v/>
      </c>
    </row>
    <row r="300">
      <c r="A300" s="5" t="n"/>
      <c r="B300" s="51" t="n"/>
      <c r="C300" s="5" t="n"/>
      <c r="D300" s="52" t="n"/>
      <c r="E300" s="52" t="n"/>
      <c r="F300" s="52" t="n"/>
      <c r="G300" s="52" t="n"/>
      <c r="H300" s="52" t="n"/>
      <c r="I300" s="52" t="n"/>
      <c r="J300" s="52" t="n"/>
      <c r="K300" s="52" t="n"/>
      <c r="L300" s="51" t="n"/>
      <c r="M300" s="53">
        <f>IF(A300="","",IF(COUNTIF('AFA Rates'!$A$5:$A$504,A300)&gt;0,"Yes","No"))</f>
        <v/>
      </c>
      <c r="N300" s="53">
        <f>IF(A300="","",COUNTIF('AFA Rates'!$A$5:$A$504,A300))</f>
        <v/>
      </c>
      <c r="O300" s="54" t="n"/>
      <c r="P300" s="5" t="n"/>
      <c r="Q300" s="5" t="n"/>
      <c r="R300">
        <f>IF(AND(A300&lt;&gt;"",B300="Paused"),COUNTIFS($A$5:A300,"&lt;&gt;",$B$5:B300,"Paused"),"")</f>
        <v/>
      </c>
      <c r="S300">
        <f>IF(M300="Yes",COUNTIF($M$5:M300,"Yes"),"")</f>
        <v/>
      </c>
    </row>
    <row r="301">
      <c r="A301" s="5" t="n"/>
      <c r="B301" s="51" t="n"/>
      <c r="C301" s="5" t="n"/>
      <c r="D301" s="52" t="n"/>
      <c r="E301" s="52" t="n"/>
      <c r="F301" s="52" t="n"/>
      <c r="G301" s="52" t="n"/>
      <c r="H301" s="52" t="n"/>
      <c r="I301" s="52" t="n"/>
      <c r="J301" s="52" t="n"/>
      <c r="K301" s="52" t="n"/>
      <c r="L301" s="51" t="n"/>
      <c r="M301" s="53">
        <f>IF(A301="","",IF(COUNTIF('AFA Rates'!$A$5:$A$504,A301)&gt;0,"Yes","No"))</f>
        <v/>
      </c>
      <c r="N301" s="53">
        <f>IF(A301="","",COUNTIF('AFA Rates'!$A$5:$A$504,A301))</f>
        <v/>
      </c>
      <c r="O301" s="54" t="n"/>
      <c r="P301" s="5" t="n"/>
      <c r="Q301" s="5" t="n"/>
      <c r="R301">
        <f>IF(AND(A301&lt;&gt;"",B301="Paused"),COUNTIFS($A$5:A301,"&lt;&gt;",$B$5:B301,"Paused"),"")</f>
        <v/>
      </c>
      <c r="S301">
        <f>IF(M301="Yes",COUNTIF($M$5:M301,"Yes"),"")</f>
        <v/>
      </c>
    </row>
    <row r="302">
      <c r="A302" s="5" t="n"/>
      <c r="B302" s="51" t="n"/>
      <c r="C302" s="5" t="n"/>
      <c r="D302" s="52" t="n"/>
      <c r="E302" s="52" t="n"/>
      <c r="F302" s="52" t="n"/>
      <c r="G302" s="52" t="n"/>
      <c r="H302" s="52" t="n"/>
      <c r="I302" s="52" t="n"/>
      <c r="J302" s="52" t="n"/>
      <c r="K302" s="52" t="n"/>
      <c r="L302" s="51" t="n"/>
      <c r="M302" s="53">
        <f>IF(A302="","",IF(COUNTIF('AFA Rates'!$A$5:$A$504,A302)&gt;0,"Yes","No"))</f>
        <v/>
      </c>
      <c r="N302" s="53">
        <f>IF(A302="","",COUNTIF('AFA Rates'!$A$5:$A$504,A302))</f>
        <v/>
      </c>
      <c r="O302" s="54" t="n"/>
      <c r="P302" s="5" t="n"/>
      <c r="Q302" s="5" t="n"/>
      <c r="R302">
        <f>IF(AND(A302&lt;&gt;"",B302="Paused"),COUNTIFS($A$5:A302,"&lt;&gt;",$B$5:B302,"Paused"),"")</f>
        <v/>
      </c>
      <c r="S302">
        <f>IF(M302="Yes",COUNTIF($M$5:M302,"Yes"),"")</f>
        <v/>
      </c>
    </row>
    <row r="303">
      <c r="A303" s="5" t="n"/>
      <c r="B303" s="51" t="n"/>
      <c r="C303" s="5" t="n"/>
      <c r="D303" s="52" t="n"/>
      <c r="E303" s="52" t="n"/>
      <c r="F303" s="52" t="n"/>
      <c r="G303" s="52" t="n"/>
      <c r="H303" s="52" t="n"/>
      <c r="I303" s="52" t="n"/>
      <c r="J303" s="52" t="n"/>
      <c r="K303" s="52" t="n"/>
      <c r="L303" s="51" t="n"/>
      <c r="M303" s="53">
        <f>IF(A303="","",IF(COUNTIF('AFA Rates'!$A$5:$A$504,A303)&gt;0,"Yes","No"))</f>
        <v/>
      </c>
      <c r="N303" s="53">
        <f>IF(A303="","",COUNTIF('AFA Rates'!$A$5:$A$504,A303))</f>
        <v/>
      </c>
      <c r="O303" s="54" t="n"/>
      <c r="P303" s="5" t="n"/>
      <c r="Q303" s="5" t="n"/>
      <c r="R303">
        <f>IF(AND(A303&lt;&gt;"",B303="Paused"),COUNTIFS($A$5:A303,"&lt;&gt;",$B$5:B303,"Paused"),"")</f>
        <v/>
      </c>
      <c r="S303">
        <f>IF(M303="Yes",COUNTIF($M$5:M303,"Yes"),"")</f>
        <v/>
      </c>
    </row>
    <row r="304">
      <c r="A304" s="5" t="n"/>
      <c r="B304" s="51" t="n"/>
      <c r="C304" s="5" t="n"/>
      <c r="D304" s="52" t="n"/>
      <c r="E304" s="52" t="n"/>
      <c r="F304" s="52" t="n"/>
      <c r="G304" s="52" t="n"/>
      <c r="H304" s="52" t="n"/>
      <c r="I304" s="52" t="n"/>
      <c r="J304" s="52" t="n"/>
      <c r="K304" s="52" t="n"/>
      <c r="L304" s="51" t="n"/>
      <c r="M304" s="53">
        <f>IF(A304="","",IF(COUNTIF('AFA Rates'!$A$5:$A$504,A304)&gt;0,"Yes","No"))</f>
        <v/>
      </c>
      <c r="N304" s="53">
        <f>IF(A304="","",COUNTIF('AFA Rates'!$A$5:$A$504,A304))</f>
        <v/>
      </c>
      <c r="O304" s="54" t="n"/>
      <c r="P304" s="5" t="n"/>
      <c r="Q304" s="5" t="n"/>
      <c r="R304">
        <f>IF(AND(A304&lt;&gt;"",B304="Paused"),COUNTIFS($A$5:A304,"&lt;&gt;",$B$5:B304,"Paused"),"")</f>
        <v/>
      </c>
      <c r="S304">
        <f>IF(M304="Yes",COUNTIF($M$5:M304,"Yes"),"")</f>
        <v/>
      </c>
    </row>
    <row r="305">
      <c r="A305" s="5" t="n"/>
      <c r="B305" s="51" t="n"/>
      <c r="C305" s="5" t="n"/>
      <c r="D305" s="52" t="n"/>
      <c r="E305" s="52" t="n"/>
      <c r="F305" s="52" t="n"/>
      <c r="G305" s="52" t="n"/>
      <c r="H305" s="52" t="n"/>
      <c r="I305" s="52" t="n"/>
      <c r="J305" s="52" t="n"/>
      <c r="K305" s="52" t="n"/>
      <c r="L305" s="51" t="n"/>
      <c r="M305" s="53">
        <f>IF(A305="","",IF(COUNTIF('AFA Rates'!$A$5:$A$504,A305)&gt;0,"Yes","No"))</f>
        <v/>
      </c>
      <c r="N305" s="53">
        <f>IF(A305="","",COUNTIF('AFA Rates'!$A$5:$A$504,A305))</f>
        <v/>
      </c>
      <c r="O305" s="54" t="n"/>
      <c r="P305" s="5" t="n"/>
      <c r="Q305" s="5" t="n"/>
      <c r="R305">
        <f>IF(AND(A305&lt;&gt;"",B305="Paused"),COUNTIFS($A$5:A305,"&lt;&gt;",$B$5:B305,"Paused"),"")</f>
        <v/>
      </c>
      <c r="S305">
        <f>IF(M305="Yes",COUNTIF($M$5:M305,"Yes"),"")</f>
        <v/>
      </c>
    </row>
    <row r="306">
      <c r="A306" s="5" t="n"/>
      <c r="B306" s="51" t="n"/>
      <c r="C306" s="5" t="n"/>
      <c r="D306" s="52" t="n"/>
      <c r="E306" s="52" t="n"/>
      <c r="F306" s="52" t="n"/>
      <c r="G306" s="52" t="n"/>
      <c r="H306" s="52" t="n"/>
      <c r="I306" s="52" t="n"/>
      <c r="J306" s="52" t="n"/>
      <c r="K306" s="52" t="n"/>
      <c r="L306" s="51" t="n"/>
      <c r="M306" s="53">
        <f>IF(A306="","",IF(COUNTIF('AFA Rates'!$A$5:$A$504,A306)&gt;0,"Yes","No"))</f>
        <v/>
      </c>
      <c r="N306" s="53">
        <f>IF(A306="","",COUNTIF('AFA Rates'!$A$5:$A$504,A306))</f>
        <v/>
      </c>
      <c r="O306" s="54" t="n"/>
      <c r="P306" s="5" t="n"/>
      <c r="Q306" s="5" t="n"/>
      <c r="R306">
        <f>IF(AND(A306&lt;&gt;"",B306="Paused"),COUNTIFS($A$5:A306,"&lt;&gt;",$B$5:B306,"Paused"),"")</f>
        <v/>
      </c>
      <c r="S306">
        <f>IF(M306="Yes",COUNTIF($M$5:M306,"Yes"),"")</f>
        <v/>
      </c>
    </row>
    <row r="307">
      <c r="A307" s="5" t="n"/>
      <c r="B307" s="51" t="n"/>
      <c r="C307" s="5" t="n"/>
      <c r="D307" s="52" t="n"/>
      <c r="E307" s="52" t="n"/>
      <c r="F307" s="52" t="n"/>
      <c r="G307" s="52" t="n"/>
      <c r="H307" s="52" t="n"/>
      <c r="I307" s="52" t="n"/>
      <c r="J307" s="52" t="n"/>
      <c r="K307" s="52" t="n"/>
      <c r="L307" s="51" t="n"/>
      <c r="M307" s="53">
        <f>IF(A307="","",IF(COUNTIF('AFA Rates'!$A$5:$A$504,A307)&gt;0,"Yes","No"))</f>
        <v/>
      </c>
      <c r="N307" s="53">
        <f>IF(A307="","",COUNTIF('AFA Rates'!$A$5:$A$504,A307))</f>
        <v/>
      </c>
      <c r="O307" s="54" t="n"/>
      <c r="P307" s="5" t="n"/>
      <c r="Q307" s="5" t="n"/>
      <c r="R307">
        <f>IF(AND(A307&lt;&gt;"",B307="Paused"),COUNTIFS($A$5:A307,"&lt;&gt;",$B$5:B307,"Paused"),"")</f>
        <v/>
      </c>
      <c r="S307">
        <f>IF(M307="Yes",COUNTIF($M$5:M307,"Yes"),"")</f>
        <v/>
      </c>
    </row>
    <row r="308">
      <c r="A308" s="5" t="n"/>
      <c r="B308" s="51" t="n"/>
      <c r="C308" s="5" t="n"/>
      <c r="D308" s="52" t="n"/>
      <c r="E308" s="52" t="n"/>
      <c r="F308" s="52" t="n"/>
      <c r="G308" s="52" t="n"/>
      <c r="H308" s="52" t="n"/>
      <c r="I308" s="52" t="n"/>
      <c r="J308" s="52" t="n"/>
      <c r="K308" s="52" t="n"/>
      <c r="L308" s="51" t="n"/>
      <c r="M308" s="53">
        <f>IF(A308="","",IF(COUNTIF('AFA Rates'!$A$5:$A$504,A308)&gt;0,"Yes","No"))</f>
        <v/>
      </c>
      <c r="N308" s="53">
        <f>IF(A308="","",COUNTIF('AFA Rates'!$A$5:$A$504,A308))</f>
        <v/>
      </c>
      <c r="O308" s="54" t="n"/>
      <c r="P308" s="5" t="n"/>
      <c r="Q308" s="5" t="n"/>
      <c r="R308">
        <f>IF(AND(A308&lt;&gt;"",B308="Paused"),COUNTIFS($A$5:A308,"&lt;&gt;",$B$5:B308,"Paused"),"")</f>
        <v/>
      </c>
      <c r="S308">
        <f>IF(M308="Yes",COUNTIF($M$5:M308,"Yes"),"")</f>
        <v/>
      </c>
    </row>
    <row r="309">
      <c r="A309" s="5" t="n"/>
      <c r="B309" s="51" t="n"/>
      <c r="C309" s="5" t="n"/>
      <c r="D309" s="52" t="n"/>
      <c r="E309" s="52" t="n"/>
      <c r="F309" s="52" t="n"/>
      <c r="G309" s="52" t="n"/>
      <c r="H309" s="52" t="n"/>
      <c r="I309" s="52" t="n"/>
      <c r="J309" s="52" t="n"/>
      <c r="K309" s="52" t="n"/>
      <c r="L309" s="51" t="n"/>
      <c r="M309" s="53">
        <f>IF(A309="","",IF(COUNTIF('AFA Rates'!$A$5:$A$504,A309)&gt;0,"Yes","No"))</f>
        <v/>
      </c>
      <c r="N309" s="53">
        <f>IF(A309="","",COUNTIF('AFA Rates'!$A$5:$A$504,A309))</f>
        <v/>
      </c>
      <c r="O309" s="54" t="n"/>
      <c r="P309" s="5" t="n"/>
      <c r="Q309" s="5" t="n"/>
      <c r="R309">
        <f>IF(AND(A309&lt;&gt;"",B309="Paused"),COUNTIFS($A$5:A309,"&lt;&gt;",$B$5:B309,"Paused"),"")</f>
        <v/>
      </c>
      <c r="S309">
        <f>IF(M309="Yes",COUNTIF($M$5:M309,"Yes"),"")</f>
        <v/>
      </c>
    </row>
    <row r="310">
      <c r="A310" s="5" t="n"/>
      <c r="B310" s="51" t="n"/>
      <c r="C310" s="5" t="n"/>
      <c r="D310" s="52" t="n"/>
      <c r="E310" s="52" t="n"/>
      <c r="F310" s="52" t="n"/>
      <c r="G310" s="52" t="n"/>
      <c r="H310" s="52" t="n"/>
      <c r="I310" s="52" t="n"/>
      <c r="J310" s="52" t="n"/>
      <c r="K310" s="52" t="n"/>
      <c r="L310" s="51" t="n"/>
      <c r="M310" s="53">
        <f>IF(A310="","",IF(COUNTIF('AFA Rates'!$A$5:$A$504,A310)&gt;0,"Yes","No"))</f>
        <v/>
      </c>
      <c r="N310" s="53">
        <f>IF(A310="","",COUNTIF('AFA Rates'!$A$5:$A$504,A310))</f>
        <v/>
      </c>
      <c r="O310" s="54" t="n"/>
      <c r="P310" s="5" t="n"/>
      <c r="Q310" s="5" t="n"/>
      <c r="R310">
        <f>IF(AND(A310&lt;&gt;"",B310="Paused"),COUNTIFS($A$5:A310,"&lt;&gt;",$B$5:B310,"Paused"),"")</f>
        <v/>
      </c>
      <c r="S310">
        <f>IF(M310="Yes",COUNTIF($M$5:M310,"Yes"),"")</f>
        <v/>
      </c>
    </row>
    <row r="311">
      <c r="A311" s="5" t="n"/>
      <c r="B311" s="51" t="n"/>
      <c r="C311" s="5" t="n"/>
      <c r="D311" s="52" t="n"/>
      <c r="E311" s="52" t="n"/>
      <c r="F311" s="52" t="n"/>
      <c r="G311" s="52" t="n"/>
      <c r="H311" s="52" t="n"/>
      <c r="I311" s="52" t="n"/>
      <c r="J311" s="52" t="n"/>
      <c r="K311" s="52" t="n"/>
      <c r="L311" s="51" t="n"/>
      <c r="M311" s="53">
        <f>IF(A311="","",IF(COUNTIF('AFA Rates'!$A$5:$A$504,A311)&gt;0,"Yes","No"))</f>
        <v/>
      </c>
      <c r="N311" s="53">
        <f>IF(A311="","",COUNTIF('AFA Rates'!$A$5:$A$504,A311))</f>
        <v/>
      </c>
      <c r="O311" s="54" t="n"/>
      <c r="P311" s="5" t="n"/>
      <c r="Q311" s="5" t="n"/>
      <c r="R311">
        <f>IF(AND(A311&lt;&gt;"",B311="Paused"),COUNTIFS($A$5:A311,"&lt;&gt;",$B$5:B311,"Paused"),"")</f>
        <v/>
      </c>
      <c r="S311">
        <f>IF(M311="Yes",COUNTIF($M$5:M311,"Yes"),"")</f>
        <v/>
      </c>
    </row>
    <row r="312">
      <c r="A312" s="5" t="n"/>
      <c r="B312" s="51" t="n"/>
      <c r="C312" s="5" t="n"/>
      <c r="D312" s="52" t="n"/>
      <c r="E312" s="52" t="n"/>
      <c r="F312" s="52" t="n"/>
      <c r="G312" s="52" t="n"/>
      <c r="H312" s="52" t="n"/>
      <c r="I312" s="52" t="n"/>
      <c r="J312" s="52" t="n"/>
      <c r="K312" s="52" t="n"/>
      <c r="L312" s="51" t="n"/>
      <c r="M312" s="53">
        <f>IF(A312="","",IF(COUNTIF('AFA Rates'!$A$5:$A$504,A312)&gt;0,"Yes","No"))</f>
        <v/>
      </c>
      <c r="N312" s="53">
        <f>IF(A312="","",COUNTIF('AFA Rates'!$A$5:$A$504,A312))</f>
        <v/>
      </c>
      <c r="O312" s="54" t="n"/>
      <c r="P312" s="5" t="n"/>
      <c r="Q312" s="5" t="n"/>
      <c r="R312">
        <f>IF(AND(A312&lt;&gt;"",B312="Paused"),COUNTIFS($A$5:A312,"&lt;&gt;",$B$5:B312,"Paused"),"")</f>
        <v/>
      </c>
      <c r="S312">
        <f>IF(M312="Yes",COUNTIF($M$5:M312,"Yes"),"")</f>
        <v/>
      </c>
    </row>
    <row r="313">
      <c r="A313" s="5" t="n"/>
      <c r="B313" s="51" t="n"/>
      <c r="C313" s="5" t="n"/>
      <c r="D313" s="52" t="n"/>
      <c r="E313" s="52" t="n"/>
      <c r="F313" s="52" t="n"/>
      <c r="G313" s="52" t="n"/>
      <c r="H313" s="52" t="n"/>
      <c r="I313" s="52" t="n"/>
      <c r="J313" s="52" t="n"/>
      <c r="K313" s="52" t="n"/>
      <c r="L313" s="51" t="n"/>
      <c r="M313" s="53">
        <f>IF(A313="","",IF(COUNTIF('AFA Rates'!$A$5:$A$504,A313)&gt;0,"Yes","No"))</f>
        <v/>
      </c>
      <c r="N313" s="53">
        <f>IF(A313="","",COUNTIF('AFA Rates'!$A$5:$A$504,A313))</f>
        <v/>
      </c>
      <c r="O313" s="54" t="n"/>
      <c r="P313" s="5" t="n"/>
      <c r="Q313" s="5" t="n"/>
      <c r="R313">
        <f>IF(AND(A313&lt;&gt;"",B313="Paused"),COUNTIFS($A$5:A313,"&lt;&gt;",$B$5:B313,"Paused"),"")</f>
        <v/>
      </c>
      <c r="S313">
        <f>IF(M313="Yes",COUNTIF($M$5:M313,"Yes"),"")</f>
        <v/>
      </c>
    </row>
    <row r="314">
      <c r="A314" s="5" t="n"/>
      <c r="B314" s="51" t="n"/>
      <c r="C314" s="5" t="n"/>
      <c r="D314" s="52" t="n"/>
      <c r="E314" s="52" t="n"/>
      <c r="F314" s="52" t="n"/>
      <c r="G314" s="52" t="n"/>
      <c r="H314" s="52" t="n"/>
      <c r="I314" s="52" t="n"/>
      <c r="J314" s="52" t="n"/>
      <c r="K314" s="52" t="n"/>
      <c r="L314" s="51" t="n"/>
      <c r="M314" s="53">
        <f>IF(A314="","",IF(COUNTIF('AFA Rates'!$A$5:$A$504,A314)&gt;0,"Yes","No"))</f>
        <v/>
      </c>
      <c r="N314" s="53">
        <f>IF(A314="","",COUNTIF('AFA Rates'!$A$5:$A$504,A314))</f>
        <v/>
      </c>
      <c r="O314" s="54" t="n"/>
      <c r="P314" s="5" t="n"/>
      <c r="Q314" s="5" t="n"/>
      <c r="R314">
        <f>IF(AND(A314&lt;&gt;"",B314="Paused"),COUNTIFS($A$5:A314,"&lt;&gt;",$B$5:B314,"Paused"),"")</f>
        <v/>
      </c>
      <c r="S314">
        <f>IF(M314="Yes",COUNTIF($M$5:M314,"Yes"),"")</f>
        <v/>
      </c>
    </row>
    <row r="315">
      <c r="A315" s="5" t="n"/>
      <c r="B315" s="51" t="n"/>
      <c r="C315" s="5" t="n"/>
      <c r="D315" s="52" t="n"/>
      <c r="E315" s="52" t="n"/>
      <c r="F315" s="52" t="n"/>
      <c r="G315" s="52" t="n"/>
      <c r="H315" s="52" t="n"/>
      <c r="I315" s="52" t="n"/>
      <c r="J315" s="52" t="n"/>
      <c r="K315" s="52" t="n"/>
      <c r="L315" s="51" t="n"/>
      <c r="M315" s="53">
        <f>IF(A315="","",IF(COUNTIF('AFA Rates'!$A$5:$A$504,A315)&gt;0,"Yes","No"))</f>
        <v/>
      </c>
      <c r="N315" s="53">
        <f>IF(A315="","",COUNTIF('AFA Rates'!$A$5:$A$504,A315))</f>
        <v/>
      </c>
      <c r="O315" s="54" t="n"/>
      <c r="P315" s="5" t="n"/>
      <c r="Q315" s="5" t="n"/>
      <c r="R315">
        <f>IF(AND(A315&lt;&gt;"",B315="Paused"),COUNTIFS($A$5:A315,"&lt;&gt;",$B$5:B315,"Paused"),"")</f>
        <v/>
      </c>
      <c r="S315">
        <f>IF(M315="Yes",COUNTIF($M$5:M315,"Yes"),"")</f>
        <v/>
      </c>
    </row>
    <row r="316">
      <c r="A316" s="5" t="n"/>
      <c r="B316" s="51" t="n"/>
      <c r="C316" s="5" t="n"/>
      <c r="D316" s="52" t="n"/>
      <c r="E316" s="52" t="n"/>
      <c r="F316" s="52" t="n"/>
      <c r="G316" s="52" t="n"/>
      <c r="H316" s="52" t="n"/>
      <c r="I316" s="52" t="n"/>
      <c r="J316" s="52" t="n"/>
      <c r="K316" s="52" t="n"/>
      <c r="L316" s="51" t="n"/>
      <c r="M316" s="53">
        <f>IF(A316="","",IF(COUNTIF('AFA Rates'!$A$5:$A$504,A316)&gt;0,"Yes","No"))</f>
        <v/>
      </c>
      <c r="N316" s="53">
        <f>IF(A316="","",COUNTIF('AFA Rates'!$A$5:$A$504,A316))</f>
        <v/>
      </c>
      <c r="O316" s="54" t="n"/>
      <c r="P316" s="5" t="n"/>
      <c r="Q316" s="5" t="n"/>
      <c r="R316">
        <f>IF(AND(A316&lt;&gt;"",B316="Paused"),COUNTIFS($A$5:A316,"&lt;&gt;",$B$5:B316,"Paused"),"")</f>
        <v/>
      </c>
      <c r="S316">
        <f>IF(M316="Yes",COUNTIF($M$5:M316,"Yes"),"")</f>
        <v/>
      </c>
    </row>
    <row r="317">
      <c r="A317" s="5" t="n"/>
      <c r="B317" s="51" t="n"/>
      <c r="C317" s="5" t="n"/>
      <c r="D317" s="52" t="n"/>
      <c r="E317" s="52" t="n"/>
      <c r="F317" s="52" t="n"/>
      <c r="G317" s="52" t="n"/>
      <c r="H317" s="52" t="n"/>
      <c r="I317" s="52" t="n"/>
      <c r="J317" s="52" t="n"/>
      <c r="K317" s="52" t="n"/>
      <c r="L317" s="51" t="n"/>
      <c r="M317" s="53">
        <f>IF(A317="","",IF(COUNTIF('AFA Rates'!$A$5:$A$504,A317)&gt;0,"Yes","No"))</f>
        <v/>
      </c>
      <c r="N317" s="53">
        <f>IF(A317="","",COUNTIF('AFA Rates'!$A$5:$A$504,A317))</f>
        <v/>
      </c>
      <c r="O317" s="54" t="n"/>
      <c r="P317" s="5" t="n"/>
      <c r="Q317" s="5" t="n"/>
      <c r="R317">
        <f>IF(AND(A317&lt;&gt;"",B317="Paused"),COUNTIFS($A$5:A317,"&lt;&gt;",$B$5:B317,"Paused"),"")</f>
        <v/>
      </c>
      <c r="S317">
        <f>IF(M317="Yes",COUNTIF($M$5:M317,"Yes"),"")</f>
        <v/>
      </c>
    </row>
    <row r="318">
      <c r="A318" s="5" t="n"/>
      <c r="B318" s="51" t="n"/>
      <c r="C318" s="5" t="n"/>
      <c r="D318" s="52" t="n"/>
      <c r="E318" s="52" t="n"/>
      <c r="F318" s="52" t="n"/>
      <c r="G318" s="52" t="n"/>
      <c r="H318" s="52" t="n"/>
      <c r="I318" s="52" t="n"/>
      <c r="J318" s="52" t="n"/>
      <c r="K318" s="52" t="n"/>
      <c r="L318" s="51" t="n"/>
      <c r="M318" s="53">
        <f>IF(A318="","",IF(COUNTIF('AFA Rates'!$A$5:$A$504,A318)&gt;0,"Yes","No"))</f>
        <v/>
      </c>
      <c r="N318" s="53">
        <f>IF(A318="","",COUNTIF('AFA Rates'!$A$5:$A$504,A318))</f>
        <v/>
      </c>
      <c r="O318" s="54" t="n"/>
      <c r="P318" s="5" t="n"/>
      <c r="Q318" s="5" t="n"/>
      <c r="R318">
        <f>IF(AND(A318&lt;&gt;"",B318="Paused"),COUNTIFS($A$5:A318,"&lt;&gt;",$B$5:B318,"Paused"),"")</f>
        <v/>
      </c>
      <c r="S318">
        <f>IF(M318="Yes",COUNTIF($M$5:M318,"Yes"),"")</f>
        <v/>
      </c>
    </row>
    <row r="319">
      <c r="A319" s="5" t="n"/>
      <c r="B319" s="51" t="n"/>
      <c r="C319" s="5" t="n"/>
      <c r="D319" s="52" t="n"/>
      <c r="E319" s="52" t="n"/>
      <c r="F319" s="52" t="n"/>
      <c r="G319" s="52" t="n"/>
      <c r="H319" s="52" t="n"/>
      <c r="I319" s="52" t="n"/>
      <c r="J319" s="52" t="n"/>
      <c r="K319" s="52" t="n"/>
      <c r="L319" s="51" t="n"/>
      <c r="M319" s="53">
        <f>IF(A319="","",IF(COUNTIF('AFA Rates'!$A$5:$A$504,A319)&gt;0,"Yes","No"))</f>
        <v/>
      </c>
      <c r="N319" s="53">
        <f>IF(A319="","",COUNTIF('AFA Rates'!$A$5:$A$504,A319))</f>
        <v/>
      </c>
      <c r="O319" s="54" t="n"/>
      <c r="P319" s="5" t="n"/>
      <c r="Q319" s="5" t="n"/>
      <c r="R319">
        <f>IF(AND(A319&lt;&gt;"",B319="Paused"),COUNTIFS($A$5:A319,"&lt;&gt;",$B$5:B319,"Paused"),"")</f>
        <v/>
      </c>
      <c r="S319">
        <f>IF(M319="Yes",COUNTIF($M$5:M319,"Yes"),"")</f>
        <v/>
      </c>
    </row>
    <row r="320">
      <c r="A320" s="5" t="n"/>
      <c r="B320" s="51" t="n"/>
      <c r="C320" s="5" t="n"/>
      <c r="D320" s="52" t="n"/>
      <c r="E320" s="52" t="n"/>
      <c r="F320" s="52" t="n"/>
      <c r="G320" s="52" t="n"/>
      <c r="H320" s="52" t="n"/>
      <c r="I320" s="52" t="n"/>
      <c r="J320" s="52" t="n"/>
      <c r="K320" s="52" t="n"/>
      <c r="L320" s="51" t="n"/>
      <c r="M320" s="53">
        <f>IF(A320="","",IF(COUNTIF('AFA Rates'!$A$5:$A$504,A320)&gt;0,"Yes","No"))</f>
        <v/>
      </c>
      <c r="N320" s="53">
        <f>IF(A320="","",COUNTIF('AFA Rates'!$A$5:$A$504,A320))</f>
        <v/>
      </c>
      <c r="O320" s="54" t="n"/>
      <c r="P320" s="5" t="n"/>
      <c r="Q320" s="5" t="n"/>
      <c r="R320">
        <f>IF(AND(A320&lt;&gt;"",B320="Paused"),COUNTIFS($A$5:A320,"&lt;&gt;",$B$5:B320,"Paused"),"")</f>
        <v/>
      </c>
      <c r="S320">
        <f>IF(M320="Yes",COUNTIF($M$5:M320,"Yes"),"")</f>
        <v/>
      </c>
    </row>
    <row r="321">
      <c r="A321" s="5" t="n"/>
      <c r="B321" s="51" t="n"/>
      <c r="C321" s="5" t="n"/>
      <c r="D321" s="52" t="n"/>
      <c r="E321" s="52" t="n"/>
      <c r="F321" s="52" t="n"/>
      <c r="G321" s="52" t="n"/>
      <c r="H321" s="52" t="n"/>
      <c r="I321" s="52" t="n"/>
      <c r="J321" s="52" t="n"/>
      <c r="K321" s="52" t="n"/>
      <c r="L321" s="51" t="n"/>
      <c r="M321" s="53">
        <f>IF(A321="","",IF(COUNTIF('AFA Rates'!$A$5:$A$504,A321)&gt;0,"Yes","No"))</f>
        <v/>
      </c>
      <c r="N321" s="53">
        <f>IF(A321="","",COUNTIF('AFA Rates'!$A$5:$A$504,A321))</f>
        <v/>
      </c>
      <c r="O321" s="54" t="n"/>
      <c r="P321" s="5" t="n"/>
      <c r="Q321" s="5" t="n"/>
      <c r="R321">
        <f>IF(AND(A321&lt;&gt;"",B321="Paused"),COUNTIFS($A$5:A321,"&lt;&gt;",$B$5:B321,"Paused"),"")</f>
        <v/>
      </c>
      <c r="S321">
        <f>IF(M321="Yes",COUNTIF($M$5:M321,"Yes"),"")</f>
        <v/>
      </c>
    </row>
    <row r="322">
      <c r="A322" s="5" t="n"/>
      <c r="B322" s="51" t="n"/>
      <c r="C322" s="5" t="n"/>
      <c r="D322" s="52" t="n"/>
      <c r="E322" s="52" t="n"/>
      <c r="F322" s="52" t="n"/>
      <c r="G322" s="52" t="n"/>
      <c r="H322" s="52" t="n"/>
      <c r="I322" s="52" t="n"/>
      <c r="J322" s="52" t="n"/>
      <c r="K322" s="52" t="n"/>
      <c r="L322" s="51" t="n"/>
      <c r="M322" s="53">
        <f>IF(A322="","",IF(COUNTIF('AFA Rates'!$A$5:$A$504,A322)&gt;0,"Yes","No"))</f>
        <v/>
      </c>
      <c r="N322" s="53">
        <f>IF(A322="","",COUNTIF('AFA Rates'!$A$5:$A$504,A322))</f>
        <v/>
      </c>
      <c r="O322" s="54" t="n"/>
      <c r="P322" s="5" t="n"/>
      <c r="Q322" s="5" t="n"/>
      <c r="R322">
        <f>IF(AND(A322&lt;&gt;"",B322="Paused"),COUNTIFS($A$5:A322,"&lt;&gt;",$B$5:B322,"Paused"),"")</f>
        <v/>
      </c>
      <c r="S322">
        <f>IF(M322="Yes",COUNTIF($M$5:M322,"Yes"),"")</f>
        <v/>
      </c>
    </row>
    <row r="323">
      <c r="A323" s="5" t="n"/>
      <c r="B323" s="51" t="n"/>
      <c r="C323" s="5" t="n"/>
      <c r="D323" s="52" t="n"/>
      <c r="E323" s="52" t="n"/>
      <c r="F323" s="52" t="n"/>
      <c r="G323" s="52" t="n"/>
      <c r="H323" s="52" t="n"/>
      <c r="I323" s="52" t="n"/>
      <c r="J323" s="52" t="n"/>
      <c r="K323" s="52" t="n"/>
      <c r="L323" s="51" t="n"/>
      <c r="M323" s="53">
        <f>IF(A323="","",IF(COUNTIF('AFA Rates'!$A$5:$A$504,A323)&gt;0,"Yes","No"))</f>
        <v/>
      </c>
      <c r="N323" s="53">
        <f>IF(A323="","",COUNTIF('AFA Rates'!$A$5:$A$504,A323))</f>
        <v/>
      </c>
      <c r="O323" s="54" t="n"/>
      <c r="P323" s="5" t="n"/>
      <c r="Q323" s="5" t="n"/>
      <c r="R323">
        <f>IF(AND(A323&lt;&gt;"",B323="Paused"),COUNTIFS($A$5:A323,"&lt;&gt;",$B$5:B323,"Paused"),"")</f>
        <v/>
      </c>
      <c r="S323">
        <f>IF(M323="Yes",COUNTIF($M$5:M323,"Yes"),"")</f>
        <v/>
      </c>
    </row>
    <row r="324">
      <c r="A324" s="5" t="n"/>
      <c r="B324" s="51" t="n"/>
      <c r="C324" s="5" t="n"/>
      <c r="D324" s="52" t="n"/>
      <c r="E324" s="52" t="n"/>
      <c r="F324" s="52" t="n"/>
      <c r="G324" s="52" t="n"/>
      <c r="H324" s="52" t="n"/>
      <c r="I324" s="52" t="n"/>
      <c r="J324" s="52" t="n"/>
      <c r="K324" s="52" t="n"/>
      <c r="L324" s="51" t="n"/>
      <c r="M324" s="53">
        <f>IF(A324="","",IF(COUNTIF('AFA Rates'!$A$5:$A$504,A324)&gt;0,"Yes","No"))</f>
        <v/>
      </c>
      <c r="N324" s="53">
        <f>IF(A324="","",COUNTIF('AFA Rates'!$A$5:$A$504,A324))</f>
        <v/>
      </c>
      <c r="O324" s="54" t="n"/>
      <c r="P324" s="5" t="n"/>
      <c r="Q324" s="5" t="n"/>
      <c r="R324">
        <f>IF(AND(A324&lt;&gt;"",B324="Paused"),COUNTIFS($A$5:A324,"&lt;&gt;",$B$5:B324,"Paused"),"")</f>
        <v/>
      </c>
      <c r="S324">
        <f>IF(M324="Yes",COUNTIF($M$5:M324,"Yes"),"")</f>
        <v/>
      </c>
    </row>
    <row r="325">
      <c r="A325" s="5" t="n"/>
      <c r="B325" s="51" t="n"/>
      <c r="C325" s="5" t="n"/>
      <c r="D325" s="52" t="n"/>
      <c r="E325" s="52" t="n"/>
      <c r="F325" s="52" t="n"/>
      <c r="G325" s="52" t="n"/>
      <c r="H325" s="52" t="n"/>
      <c r="I325" s="52" t="n"/>
      <c r="J325" s="52" t="n"/>
      <c r="K325" s="52" t="n"/>
      <c r="L325" s="51" t="n"/>
      <c r="M325" s="53">
        <f>IF(A325="","",IF(COUNTIF('AFA Rates'!$A$5:$A$504,A325)&gt;0,"Yes","No"))</f>
        <v/>
      </c>
      <c r="N325" s="53">
        <f>IF(A325="","",COUNTIF('AFA Rates'!$A$5:$A$504,A325))</f>
        <v/>
      </c>
      <c r="O325" s="54" t="n"/>
      <c r="P325" s="5" t="n"/>
      <c r="Q325" s="5" t="n"/>
      <c r="R325">
        <f>IF(AND(A325&lt;&gt;"",B325="Paused"),COUNTIFS($A$5:A325,"&lt;&gt;",$B$5:B325,"Paused"),"")</f>
        <v/>
      </c>
      <c r="S325">
        <f>IF(M325="Yes",COUNTIF($M$5:M325,"Yes"),"")</f>
        <v/>
      </c>
    </row>
    <row r="326">
      <c r="A326" s="5" t="n"/>
      <c r="B326" s="51" t="n"/>
      <c r="C326" s="5" t="n"/>
      <c r="D326" s="52" t="n"/>
      <c r="E326" s="52" t="n"/>
      <c r="F326" s="52" t="n"/>
      <c r="G326" s="52" t="n"/>
      <c r="H326" s="52" t="n"/>
      <c r="I326" s="52" t="n"/>
      <c r="J326" s="52" t="n"/>
      <c r="K326" s="52" t="n"/>
      <c r="L326" s="51" t="n"/>
      <c r="M326" s="53">
        <f>IF(A326="","",IF(COUNTIF('AFA Rates'!$A$5:$A$504,A326)&gt;0,"Yes","No"))</f>
        <v/>
      </c>
      <c r="N326" s="53">
        <f>IF(A326="","",COUNTIF('AFA Rates'!$A$5:$A$504,A326))</f>
        <v/>
      </c>
      <c r="O326" s="54" t="n"/>
      <c r="P326" s="5" t="n"/>
      <c r="Q326" s="5" t="n"/>
      <c r="R326">
        <f>IF(AND(A326&lt;&gt;"",B326="Paused"),COUNTIFS($A$5:A326,"&lt;&gt;",$B$5:B326,"Paused"),"")</f>
        <v/>
      </c>
      <c r="S326">
        <f>IF(M326="Yes",COUNTIF($M$5:M326,"Yes"),"")</f>
        <v/>
      </c>
    </row>
    <row r="327">
      <c r="A327" s="5" t="n"/>
      <c r="B327" s="51" t="n"/>
      <c r="C327" s="5" t="n"/>
      <c r="D327" s="52" t="n"/>
      <c r="E327" s="52" t="n"/>
      <c r="F327" s="52" t="n"/>
      <c r="G327" s="52" t="n"/>
      <c r="H327" s="52" t="n"/>
      <c r="I327" s="52" t="n"/>
      <c r="J327" s="52" t="n"/>
      <c r="K327" s="52" t="n"/>
      <c r="L327" s="51" t="n"/>
      <c r="M327" s="53">
        <f>IF(A327="","",IF(COUNTIF('AFA Rates'!$A$5:$A$504,A327)&gt;0,"Yes","No"))</f>
        <v/>
      </c>
      <c r="N327" s="53">
        <f>IF(A327="","",COUNTIF('AFA Rates'!$A$5:$A$504,A327))</f>
        <v/>
      </c>
      <c r="O327" s="54" t="n"/>
      <c r="P327" s="5" t="n"/>
      <c r="Q327" s="5" t="n"/>
      <c r="R327">
        <f>IF(AND(A327&lt;&gt;"",B327="Paused"),COUNTIFS($A$5:A327,"&lt;&gt;",$B$5:B327,"Paused"),"")</f>
        <v/>
      </c>
      <c r="S327">
        <f>IF(M327="Yes",COUNTIF($M$5:M327,"Yes"),"")</f>
        <v/>
      </c>
    </row>
    <row r="328">
      <c r="A328" s="5" t="n"/>
      <c r="B328" s="51" t="n"/>
      <c r="C328" s="5" t="n"/>
      <c r="D328" s="52" t="n"/>
      <c r="E328" s="52" t="n"/>
      <c r="F328" s="52" t="n"/>
      <c r="G328" s="52" t="n"/>
      <c r="H328" s="52" t="n"/>
      <c r="I328" s="52" t="n"/>
      <c r="J328" s="52" t="n"/>
      <c r="K328" s="52" t="n"/>
      <c r="L328" s="51" t="n"/>
      <c r="M328" s="53">
        <f>IF(A328="","",IF(COUNTIF('AFA Rates'!$A$5:$A$504,A328)&gt;0,"Yes","No"))</f>
        <v/>
      </c>
      <c r="N328" s="53">
        <f>IF(A328="","",COUNTIF('AFA Rates'!$A$5:$A$504,A328))</f>
        <v/>
      </c>
      <c r="O328" s="54" t="n"/>
      <c r="P328" s="5" t="n"/>
      <c r="Q328" s="5" t="n"/>
      <c r="R328">
        <f>IF(AND(A328&lt;&gt;"",B328="Paused"),COUNTIFS($A$5:A328,"&lt;&gt;",$B$5:B328,"Paused"),"")</f>
        <v/>
      </c>
      <c r="S328">
        <f>IF(M328="Yes",COUNTIF($M$5:M328,"Yes"),"")</f>
        <v/>
      </c>
    </row>
    <row r="329">
      <c r="A329" s="5" t="n"/>
      <c r="B329" s="51" t="n"/>
      <c r="C329" s="5" t="n"/>
      <c r="D329" s="52" t="n"/>
      <c r="E329" s="52" t="n"/>
      <c r="F329" s="52" t="n"/>
      <c r="G329" s="52" t="n"/>
      <c r="H329" s="52" t="n"/>
      <c r="I329" s="52" t="n"/>
      <c r="J329" s="52" t="n"/>
      <c r="K329" s="52" t="n"/>
      <c r="L329" s="51" t="n"/>
      <c r="M329" s="53">
        <f>IF(A329="","",IF(COUNTIF('AFA Rates'!$A$5:$A$504,A329)&gt;0,"Yes","No"))</f>
        <v/>
      </c>
      <c r="N329" s="53">
        <f>IF(A329="","",COUNTIF('AFA Rates'!$A$5:$A$504,A329))</f>
        <v/>
      </c>
      <c r="O329" s="54" t="n"/>
      <c r="P329" s="5" t="n"/>
      <c r="Q329" s="5" t="n"/>
      <c r="R329">
        <f>IF(AND(A329&lt;&gt;"",B329="Paused"),COUNTIFS($A$5:A329,"&lt;&gt;",$B$5:B329,"Paused"),"")</f>
        <v/>
      </c>
      <c r="S329">
        <f>IF(M329="Yes",COUNTIF($M$5:M329,"Yes"),"")</f>
        <v/>
      </c>
    </row>
    <row r="330">
      <c r="A330" s="5" t="n"/>
      <c r="B330" s="51" t="n"/>
      <c r="C330" s="5" t="n"/>
      <c r="D330" s="52" t="n"/>
      <c r="E330" s="52" t="n"/>
      <c r="F330" s="52" t="n"/>
      <c r="G330" s="52" t="n"/>
      <c r="H330" s="52" t="n"/>
      <c r="I330" s="52" t="n"/>
      <c r="J330" s="52" t="n"/>
      <c r="K330" s="52" t="n"/>
      <c r="L330" s="51" t="n"/>
      <c r="M330" s="53">
        <f>IF(A330="","",IF(COUNTIF('AFA Rates'!$A$5:$A$504,A330)&gt;0,"Yes","No"))</f>
        <v/>
      </c>
      <c r="N330" s="53">
        <f>IF(A330="","",COUNTIF('AFA Rates'!$A$5:$A$504,A330))</f>
        <v/>
      </c>
      <c r="O330" s="54" t="n"/>
      <c r="P330" s="5" t="n"/>
      <c r="Q330" s="5" t="n"/>
      <c r="R330">
        <f>IF(AND(A330&lt;&gt;"",B330="Paused"),COUNTIFS($A$5:A330,"&lt;&gt;",$B$5:B330,"Paused"),"")</f>
        <v/>
      </c>
      <c r="S330">
        <f>IF(M330="Yes",COUNTIF($M$5:M330,"Yes"),"")</f>
        <v/>
      </c>
    </row>
    <row r="331">
      <c r="A331" s="5" t="n"/>
      <c r="B331" s="51" t="n"/>
      <c r="C331" s="5" t="n"/>
      <c r="D331" s="52" t="n"/>
      <c r="E331" s="52" t="n"/>
      <c r="F331" s="52" t="n"/>
      <c r="G331" s="52" t="n"/>
      <c r="H331" s="52" t="n"/>
      <c r="I331" s="52" t="n"/>
      <c r="J331" s="52" t="n"/>
      <c r="K331" s="52" t="n"/>
      <c r="L331" s="51" t="n"/>
      <c r="M331" s="53">
        <f>IF(A331="","",IF(COUNTIF('AFA Rates'!$A$5:$A$504,A331)&gt;0,"Yes","No"))</f>
        <v/>
      </c>
      <c r="N331" s="53">
        <f>IF(A331="","",COUNTIF('AFA Rates'!$A$5:$A$504,A331))</f>
        <v/>
      </c>
      <c r="O331" s="54" t="n"/>
      <c r="P331" s="5" t="n"/>
      <c r="Q331" s="5" t="n"/>
      <c r="R331">
        <f>IF(AND(A331&lt;&gt;"",B331="Paused"),COUNTIFS($A$5:A331,"&lt;&gt;",$B$5:B331,"Paused"),"")</f>
        <v/>
      </c>
      <c r="S331">
        <f>IF(M331="Yes",COUNTIF($M$5:M331,"Yes"),"")</f>
        <v/>
      </c>
    </row>
    <row r="332">
      <c r="A332" s="5" t="n"/>
      <c r="B332" s="51" t="n"/>
      <c r="C332" s="5" t="n"/>
      <c r="D332" s="52" t="n"/>
      <c r="E332" s="52" t="n"/>
      <c r="F332" s="52" t="n"/>
      <c r="G332" s="52" t="n"/>
      <c r="H332" s="52" t="n"/>
      <c r="I332" s="52" t="n"/>
      <c r="J332" s="52" t="n"/>
      <c r="K332" s="52" t="n"/>
      <c r="L332" s="51" t="n"/>
      <c r="M332" s="53">
        <f>IF(A332="","",IF(COUNTIF('AFA Rates'!$A$5:$A$504,A332)&gt;0,"Yes","No"))</f>
        <v/>
      </c>
      <c r="N332" s="53">
        <f>IF(A332="","",COUNTIF('AFA Rates'!$A$5:$A$504,A332))</f>
        <v/>
      </c>
      <c r="O332" s="54" t="n"/>
      <c r="P332" s="5" t="n"/>
      <c r="Q332" s="5" t="n"/>
      <c r="R332">
        <f>IF(AND(A332&lt;&gt;"",B332="Paused"),COUNTIFS($A$5:A332,"&lt;&gt;",$B$5:B332,"Paused"),"")</f>
        <v/>
      </c>
      <c r="S332">
        <f>IF(M332="Yes",COUNTIF($M$5:M332,"Yes"),"")</f>
        <v/>
      </c>
    </row>
    <row r="333">
      <c r="A333" s="5" t="n"/>
      <c r="B333" s="51" t="n"/>
      <c r="C333" s="5" t="n"/>
      <c r="D333" s="52" t="n"/>
      <c r="E333" s="52" t="n"/>
      <c r="F333" s="52" t="n"/>
      <c r="G333" s="52" t="n"/>
      <c r="H333" s="52" t="n"/>
      <c r="I333" s="52" t="n"/>
      <c r="J333" s="52" t="n"/>
      <c r="K333" s="52" t="n"/>
      <c r="L333" s="51" t="n"/>
      <c r="M333" s="53">
        <f>IF(A333="","",IF(COUNTIF('AFA Rates'!$A$5:$A$504,A333)&gt;0,"Yes","No"))</f>
        <v/>
      </c>
      <c r="N333" s="53">
        <f>IF(A333="","",COUNTIF('AFA Rates'!$A$5:$A$504,A333))</f>
        <v/>
      </c>
      <c r="O333" s="54" t="n"/>
      <c r="P333" s="5" t="n"/>
      <c r="Q333" s="5" t="n"/>
      <c r="R333">
        <f>IF(AND(A333&lt;&gt;"",B333="Paused"),COUNTIFS($A$5:A333,"&lt;&gt;",$B$5:B333,"Paused"),"")</f>
        <v/>
      </c>
      <c r="S333">
        <f>IF(M333="Yes",COUNTIF($M$5:M333,"Yes"),"")</f>
        <v/>
      </c>
    </row>
    <row r="334">
      <c r="A334" s="5" t="n"/>
      <c r="B334" s="51" t="n"/>
      <c r="C334" s="5" t="n"/>
      <c r="D334" s="52" t="n"/>
      <c r="E334" s="52" t="n"/>
      <c r="F334" s="52" t="n"/>
      <c r="G334" s="52" t="n"/>
      <c r="H334" s="52" t="n"/>
      <c r="I334" s="52" t="n"/>
      <c r="J334" s="52" t="n"/>
      <c r="K334" s="52" t="n"/>
      <c r="L334" s="51" t="n"/>
      <c r="M334" s="53">
        <f>IF(A334="","",IF(COUNTIF('AFA Rates'!$A$5:$A$504,A334)&gt;0,"Yes","No"))</f>
        <v/>
      </c>
      <c r="N334" s="53">
        <f>IF(A334="","",COUNTIF('AFA Rates'!$A$5:$A$504,A334))</f>
        <v/>
      </c>
      <c r="O334" s="54" t="n"/>
      <c r="P334" s="5" t="n"/>
      <c r="Q334" s="5" t="n"/>
      <c r="R334">
        <f>IF(AND(A334&lt;&gt;"",B334="Paused"),COUNTIFS($A$5:A334,"&lt;&gt;",$B$5:B334,"Paused"),"")</f>
        <v/>
      </c>
      <c r="S334">
        <f>IF(M334="Yes",COUNTIF($M$5:M334,"Yes"),"")</f>
        <v/>
      </c>
    </row>
    <row r="335">
      <c r="A335" s="5" t="n"/>
      <c r="B335" s="51" t="n"/>
      <c r="C335" s="5" t="n"/>
      <c r="D335" s="52" t="n"/>
      <c r="E335" s="52" t="n"/>
      <c r="F335" s="52" t="n"/>
      <c r="G335" s="52" t="n"/>
      <c r="H335" s="52" t="n"/>
      <c r="I335" s="52" t="n"/>
      <c r="J335" s="52" t="n"/>
      <c r="K335" s="52" t="n"/>
      <c r="L335" s="51" t="n"/>
      <c r="M335" s="53">
        <f>IF(A335="","",IF(COUNTIF('AFA Rates'!$A$5:$A$504,A335)&gt;0,"Yes","No"))</f>
        <v/>
      </c>
      <c r="N335" s="53">
        <f>IF(A335="","",COUNTIF('AFA Rates'!$A$5:$A$504,A335))</f>
        <v/>
      </c>
      <c r="O335" s="54" t="n"/>
      <c r="P335" s="5" t="n"/>
      <c r="Q335" s="5" t="n"/>
      <c r="R335">
        <f>IF(AND(A335&lt;&gt;"",B335="Paused"),COUNTIFS($A$5:A335,"&lt;&gt;",$B$5:B335,"Paused"),"")</f>
        <v/>
      </c>
      <c r="S335">
        <f>IF(M335="Yes",COUNTIF($M$5:M335,"Yes"),"")</f>
        <v/>
      </c>
    </row>
    <row r="336">
      <c r="A336" s="5" t="n"/>
      <c r="B336" s="51" t="n"/>
      <c r="C336" s="5" t="n"/>
      <c r="D336" s="52" t="n"/>
      <c r="E336" s="52" t="n"/>
      <c r="F336" s="52" t="n"/>
      <c r="G336" s="52" t="n"/>
      <c r="H336" s="52" t="n"/>
      <c r="I336" s="52" t="n"/>
      <c r="J336" s="52" t="n"/>
      <c r="K336" s="52" t="n"/>
      <c r="L336" s="51" t="n"/>
      <c r="M336" s="53">
        <f>IF(A336="","",IF(COUNTIF('AFA Rates'!$A$5:$A$504,A336)&gt;0,"Yes","No"))</f>
        <v/>
      </c>
      <c r="N336" s="53">
        <f>IF(A336="","",COUNTIF('AFA Rates'!$A$5:$A$504,A336))</f>
        <v/>
      </c>
      <c r="O336" s="54" t="n"/>
      <c r="P336" s="5" t="n"/>
      <c r="Q336" s="5" t="n"/>
      <c r="R336">
        <f>IF(AND(A336&lt;&gt;"",B336="Paused"),COUNTIFS($A$5:A336,"&lt;&gt;",$B$5:B336,"Paused"),"")</f>
        <v/>
      </c>
      <c r="S336">
        <f>IF(M336="Yes",COUNTIF($M$5:M336,"Yes"),"")</f>
        <v/>
      </c>
    </row>
    <row r="337">
      <c r="A337" s="5" t="n"/>
      <c r="B337" s="51" t="n"/>
      <c r="C337" s="5" t="n"/>
      <c r="D337" s="52" t="n"/>
      <c r="E337" s="52" t="n"/>
      <c r="F337" s="52" t="n"/>
      <c r="G337" s="52" t="n"/>
      <c r="H337" s="52" t="n"/>
      <c r="I337" s="52" t="n"/>
      <c r="J337" s="52" t="n"/>
      <c r="K337" s="52" t="n"/>
      <c r="L337" s="51" t="n"/>
      <c r="M337" s="53">
        <f>IF(A337="","",IF(COUNTIF('AFA Rates'!$A$5:$A$504,A337)&gt;0,"Yes","No"))</f>
        <v/>
      </c>
      <c r="N337" s="53">
        <f>IF(A337="","",COUNTIF('AFA Rates'!$A$5:$A$504,A337))</f>
        <v/>
      </c>
      <c r="O337" s="54" t="n"/>
      <c r="P337" s="5" t="n"/>
      <c r="Q337" s="5" t="n"/>
      <c r="R337">
        <f>IF(AND(A337&lt;&gt;"",B337="Paused"),COUNTIFS($A$5:A337,"&lt;&gt;",$B$5:B337,"Paused"),"")</f>
        <v/>
      </c>
      <c r="S337">
        <f>IF(M337="Yes",COUNTIF($M$5:M337,"Yes"),"")</f>
        <v/>
      </c>
    </row>
    <row r="338">
      <c r="A338" s="5" t="n"/>
      <c r="B338" s="51" t="n"/>
      <c r="C338" s="5" t="n"/>
      <c r="D338" s="52" t="n"/>
      <c r="E338" s="52" t="n"/>
      <c r="F338" s="52" t="n"/>
      <c r="G338" s="52" t="n"/>
      <c r="H338" s="52" t="n"/>
      <c r="I338" s="52" t="n"/>
      <c r="J338" s="52" t="n"/>
      <c r="K338" s="52" t="n"/>
      <c r="L338" s="51" t="n"/>
      <c r="M338" s="53">
        <f>IF(A338="","",IF(COUNTIF('AFA Rates'!$A$5:$A$504,A338)&gt;0,"Yes","No"))</f>
        <v/>
      </c>
      <c r="N338" s="53">
        <f>IF(A338="","",COUNTIF('AFA Rates'!$A$5:$A$504,A338))</f>
        <v/>
      </c>
      <c r="O338" s="54" t="n"/>
      <c r="P338" s="5" t="n"/>
      <c r="Q338" s="5" t="n"/>
      <c r="R338">
        <f>IF(AND(A338&lt;&gt;"",B338="Paused"),COUNTIFS($A$5:A338,"&lt;&gt;",$B$5:B338,"Paused"),"")</f>
        <v/>
      </c>
      <c r="S338">
        <f>IF(M338="Yes",COUNTIF($M$5:M338,"Yes"),"")</f>
        <v/>
      </c>
    </row>
    <row r="339">
      <c r="A339" s="5" t="n"/>
      <c r="B339" s="51" t="n"/>
      <c r="C339" s="5" t="n"/>
      <c r="D339" s="52" t="n"/>
      <c r="E339" s="52" t="n"/>
      <c r="F339" s="52" t="n"/>
      <c r="G339" s="52" t="n"/>
      <c r="H339" s="52" t="n"/>
      <c r="I339" s="52" t="n"/>
      <c r="J339" s="52" t="n"/>
      <c r="K339" s="52" t="n"/>
      <c r="L339" s="51" t="n"/>
      <c r="M339" s="53">
        <f>IF(A339="","",IF(COUNTIF('AFA Rates'!$A$5:$A$504,A339)&gt;0,"Yes","No"))</f>
        <v/>
      </c>
      <c r="N339" s="53">
        <f>IF(A339="","",COUNTIF('AFA Rates'!$A$5:$A$504,A339))</f>
        <v/>
      </c>
      <c r="O339" s="54" t="n"/>
      <c r="P339" s="5" t="n"/>
      <c r="Q339" s="5" t="n"/>
      <c r="R339">
        <f>IF(AND(A339&lt;&gt;"",B339="Paused"),COUNTIFS($A$5:A339,"&lt;&gt;",$B$5:B339,"Paused"),"")</f>
        <v/>
      </c>
      <c r="S339">
        <f>IF(M339="Yes",COUNTIF($M$5:M339,"Yes"),"")</f>
        <v/>
      </c>
    </row>
    <row r="340">
      <c r="A340" s="5" t="n"/>
      <c r="B340" s="51" t="n"/>
      <c r="C340" s="5" t="n"/>
      <c r="D340" s="52" t="n"/>
      <c r="E340" s="52" t="n"/>
      <c r="F340" s="52" t="n"/>
      <c r="G340" s="52" t="n"/>
      <c r="H340" s="52" t="n"/>
      <c r="I340" s="52" t="n"/>
      <c r="J340" s="52" t="n"/>
      <c r="K340" s="52" t="n"/>
      <c r="L340" s="51" t="n"/>
      <c r="M340" s="53">
        <f>IF(A340="","",IF(COUNTIF('AFA Rates'!$A$5:$A$504,A340)&gt;0,"Yes","No"))</f>
        <v/>
      </c>
      <c r="N340" s="53">
        <f>IF(A340="","",COUNTIF('AFA Rates'!$A$5:$A$504,A340))</f>
        <v/>
      </c>
      <c r="O340" s="54" t="n"/>
      <c r="P340" s="5" t="n"/>
      <c r="Q340" s="5" t="n"/>
      <c r="R340">
        <f>IF(AND(A340&lt;&gt;"",B340="Paused"),COUNTIFS($A$5:A340,"&lt;&gt;",$B$5:B340,"Paused"),"")</f>
        <v/>
      </c>
      <c r="S340">
        <f>IF(M340="Yes",COUNTIF($M$5:M340,"Yes"),"")</f>
        <v/>
      </c>
    </row>
    <row r="341">
      <c r="A341" s="5" t="n"/>
      <c r="B341" s="51" t="n"/>
      <c r="C341" s="5" t="n"/>
      <c r="D341" s="52" t="n"/>
      <c r="E341" s="52" t="n"/>
      <c r="F341" s="52" t="n"/>
      <c r="G341" s="52" t="n"/>
      <c r="H341" s="52" t="n"/>
      <c r="I341" s="52" t="n"/>
      <c r="J341" s="52" t="n"/>
      <c r="K341" s="52" t="n"/>
      <c r="L341" s="51" t="n"/>
      <c r="M341" s="53">
        <f>IF(A341="","",IF(COUNTIF('AFA Rates'!$A$5:$A$504,A341)&gt;0,"Yes","No"))</f>
        <v/>
      </c>
      <c r="N341" s="53">
        <f>IF(A341="","",COUNTIF('AFA Rates'!$A$5:$A$504,A341))</f>
        <v/>
      </c>
      <c r="O341" s="54" t="n"/>
      <c r="P341" s="5" t="n"/>
      <c r="Q341" s="5" t="n"/>
      <c r="R341">
        <f>IF(AND(A341&lt;&gt;"",B341="Paused"),COUNTIFS($A$5:A341,"&lt;&gt;",$B$5:B341,"Paused"),"")</f>
        <v/>
      </c>
      <c r="S341">
        <f>IF(M341="Yes",COUNTIF($M$5:M341,"Yes"),"")</f>
        <v/>
      </c>
    </row>
    <row r="342">
      <c r="A342" s="5" t="n"/>
      <c r="B342" s="51" t="n"/>
      <c r="C342" s="5" t="n"/>
      <c r="D342" s="52" t="n"/>
      <c r="E342" s="52" t="n"/>
      <c r="F342" s="52" t="n"/>
      <c r="G342" s="52" t="n"/>
      <c r="H342" s="52" t="n"/>
      <c r="I342" s="52" t="n"/>
      <c r="J342" s="52" t="n"/>
      <c r="K342" s="52" t="n"/>
      <c r="L342" s="51" t="n"/>
      <c r="M342" s="53">
        <f>IF(A342="","",IF(COUNTIF('AFA Rates'!$A$5:$A$504,A342)&gt;0,"Yes","No"))</f>
        <v/>
      </c>
      <c r="N342" s="53">
        <f>IF(A342="","",COUNTIF('AFA Rates'!$A$5:$A$504,A342))</f>
        <v/>
      </c>
      <c r="O342" s="54" t="n"/>
      <c r="P342" s="5" t="n"/>
      <c r="Q342" s="5" t="n"/>
      <c r="R342">
        <f>IF(AND(A342&lt;&gt;"",B342="Paused"),COUNTIFS($A$5:A342,"&lt;&gt;",$B$5:B342,"Paused"),"")</f>
        <v/>
      </c>
      <c r="S342">
        <f>IF(M342="Yes",COUNTIF($M$5:M342,"Yes"),"")</f>
        <v/>
      </c>
    </row>
    <row r="343">
      <c r="A343" s="5" t="n"/>
      <c r="B343" s="51" t="n"/>
      <c r="C343" s="5" t="n"/>
      <c r="D343" s="52" t="n"/>
      <c r="E343" s="52" t="n"/>
      <c r="F343" s="52" t="n"/>
      <c r="G343" s="52" t="n"/>
      <c r="H343" s="52" t="n"/>
      <c r="I343" s="52" t="n"/>
      <c r="J343" s="52" t="n"/>
      <c r="K343" s="52" t="n"/>
      <c r="L343" s="51" t="n"/>
      <c r="M343" s="53">
        <f>IF(A343="","",IF(COUNTIF('AFA Rates'!$A$5:$A$504,A343)&gt;0,"Yes","No"))</f>
        <v/>
      </c>
      <c r="N343" s="53">
        <f>IF(A343="","",COUNTIF('AFA Rates'!$A$5:$A$504,A343))</f>
        <v/>
      </c>
      <c r="O343" s="54" t="n"/>
      <c r="P343" s="5" t="n"/>
      <c r="Q343" s="5" t="n"/>
      <c r="R343">
        <f>IF(AND(A343&lt;&gt;"",B343="Paused"),COUNTIFS($A$5:A343,"&lt;&gt;",$B$5:B343,"Paused"),"")</f>
        <v/>
      </c>
      <c r="S343">
        <f>IF(M343="Yes",COUNTIF($M$5:M343,"Yes"),"")</f>
        <v/>
      </c>
    </row>
    <row r="344">
      <c r="A344" s="5" t="n"/>
      <c r="B344" s="51" t="n"/>
      <c r="C344" s="5" t="n"/>
      <c r="D344" s="52" t="n"/>
      <c r="E344" s="52" t="n"/>
      <c r="F344" s="52" t="n"/>
      <c r="G344" s="52" t="n"/>
      <c r="H344" s="52" t="n"/>
      <c r="I344" s="52" t="n"/>
      <c r="J344" s="52" t="n"/>
      <c r="K344" s="52" t="n"/>
      <c r="L344" s="51" t="n"/>
      <c r="M344" s="53">
        <f>IF(A344="","",IF(COUNTIF('AFA Rates'!$A$5:$A$504,A344)&gt;0,"Yes","No"))</f>
        <v/>
      </c>
      <c r="N344" s="53">
        <f>IF(A344="","",COUNTIF('AFA Rates'!$A$5:$A$504,A344))</f>
        <v/>
      </c>
      <c r="O344" s="54" t="n"/>
      <c r="P344" s="5" t="n"/>
      <c r="Q344" s="5" t="n"/>
      <c r="R344">
        <f>IF(AND(A344&lt;&gt;"",B344="Paused"),COUNTIFS($A$5:A344,"&lt;&gt;",$B$5:B344,"Paused"),"")</f>
        <v/>
      </c>
      <c r="S344">
        <f>IF(M344="Yes",COUNTIF($M$5:M344,"Yes"),"")</f>
        <v/>
      </c>
    </row>
    <row r="345">
      <c r="A345" s="5" t="n"/>
      <c r="B345" s="51" t="n"/>
      <c r="C345" s="5" t="n"/>
      <c r="D345" s="52" t="n"/>
      <c r="E345" s="52" t="n"/>
      <c r="F345" s="52" t="n"/>
      <c r="G345" s="52" t="n"/>
      <c r="H345" s="52" t="n"/>
      <c r="I345" s="52" t="n"/>
      <c r="J345" s="52" t="n"/>
      <c r="K345" s="52" t="n"/>
      <c r="L345" s="51" t="n"/>
      <c r="M345" s="53">
        <f>IF(A345="","",IF(COUNTIF('AFA Rates'!$A$5:$A$504,A345)&gt;0,"Yes","No"))</f>
        <v/>
      </c>
      <c r="N345" s="53">
        <f>IF(A345="","",COUNTIF('AFA Rates'!$A$5:$A$504,A345))</f>
        <v/>
      </c>
      <c r="O345" s="54" t="n"/>
      <c r="P345" s="5" t="n"/>
      <c r="Q345" s="5" t="n"/>
      <c r="R345">
        <f>IF(AND(A345&lt;&gt;"",B345="Paused"),COUNTIFS($A$5:A345,"&lt;&gt;",$B$5:B345,"Paused"),"")</f>
        <v/>
      </c>
      <c r="S345">
        <f>IF(M345="Yes",COUNTIF($M$5:M345,"Yes"),"")</f>
        <v/>
      </c>
    </row>
    <row r="346">
      <c r="A346" s="5" t="n"/>
      <c r="B346" s="51" t="n"/>
      <c r="C346" s="5" t="n"/>
      <c r="D346" s="52" t="n"/>
      <c r="E346" s="52" t="n"/>
      <c r="F346" s="52" t="n"/>
      <c r="G346" s="52" t="n"/>
      <c r="H346" s="52" t="n"/>
      <c r="I346" s="52" t="n"/>
      <c r="J346" s="52" t="n"/>
      <c r="K346" s="52" t="n"/>
      <c r="L346" s="51" t="n"/>
      <c r="M346" s="53">
        <f>IF(A346="","",IF(COUNTIF('AFA Rates'!$A$5:$A$504,A346)&gt;0,"Yes","No"))</f>
        <v/>
      </c>
      <c r="N346" s="53">
        <f>IF(A346="","",COUNTIF('AFA Rates'!$A$5:$A$504,A346))</f>
        <v/>
      </c>
      <c r="O346" s="54" t="n"/>
      <c r="P346" s="5" t="n"/>
      <c r="Q346" s="5" t="n"/>
      <c r="R346">
        <f>IF(AND(A346&lt;&gt;"",B346="Paused"),COUNTIFS($A$5:A346,"&lt;&gt;",$B$5:B346,"Paused"),"")</f>
        <v/>
      </c>
      <c r="S346">
        <f>IF(M346="Yes",COUNTIF($M$5:M346,"Yes"),"")</f>
        <v/>
      </c>
    </row>
    <row r="347">
      <c r="A347" s="5" t="n"/>
      <c r="B347" s="51" t="n"/>
      <c r="C347" s="5" t="n"/>
      <c r="D347" s="52" t="n"/>
      <c r="E347" s="52" t="n"/>
      <c r="F347" s="52" t="n"/>
      <c r="G347" s="52" t="n"/>
      <c r="H347" s="52" t="n"/>
      <c r="I347" s="52" t="n"/>
      <c r="J347" s="52" t="n"/>
      <c r="K347" s="52" t="n"/>
      <c r="L347" s="51" t="n"/>
      <c r="M347" s="53">
        <f>IF(A347="","",IF(COUNTIF('AFA Rates'!$A$5:$A$504,A347)&gt;0,"Yes","No"))</f>
        <v/>
      </c>
      <c r="N347" s="53">
        <f>IF(A347="","",COUNTIF('AFA Rates'!$A$5:$A$504,A347))</f>
        <v/>
      </c>
      <c r="O347" s="54" t="n"/>
      <c r="P347" s="5" t="n"/>
      <c r="Q347" s="5" t="n"/>
      <c r="R347">
        <f>IF(AND(A347&lt;&gt;"",B347="Paused"),COUNTIFS($A$5:A347,"&lt;&gt;",$B$5:B347,"Paused"),"")</f>
        <v/>
      </c>
      <c r="S347">
        <f>IF(M347="Yes",COUNTIF($M$5:M347,"Yes"),"")</f>
        <v/>
      </c>
    </row>
    <row r="348">
      <c r="A348" s="5" t="n"/>
      <c r="B348" s="51" t="n"/>
      <c r="C348" s="5" t="n"/>
      <c r="D348" s="52" t="n"/>
      <c r="E348" s="52" t="n"/>
      <c r="F348" s="52" t="n"/>
      <c r="G348" s="52" t="n"/>
      <c r="H348" s="52" t="n"/>
      <c r="I348" s="52" t="n"/>
      <c r="J348" s="52" t="n"/>
      <c r="K348" s="52" t="n"/>
      <c r="L348" s="51" t="n"/>
      <c r="M348" s="53">
        <f>IF(A348="","",IF(COUNTIF('AFA Rates'!$A$5:$A$504,A348)&gt;0,"Yes","No"))</f>
        <v/>
      </c>
      <c r="N348" s="53">
        <f>IF(A348="","",COUNTIF('AFA Rates'!$A$5:$A$504,A348))</f>
        <v/>
      </c>
      <c r="O348" s="54" t="n"/>
      <c r="P348" s="5" t="n"/>
      <c r="Q348" s="5" t="n"/>
      <c r="R348">
        <f>IF(AND(A348&lt;&gt;"",B348="Paused"),COUNTIFS($A$5:A348,"&lt;&gt;",$B$5:B348,"Paused"),"")</f>
        <v/>
      </c>
      <c r="S348">
        <f>IF(M348="Yes",COUNTIF($M$5:M348,"Yes"),"")</f>
        <v/>
      </c>
    </row>
    <row r="349">
      <c r="A349" s="5" t="n"/>
      <c r="B349" s="51" t="n"/>
      <c r="C349" s="5" t="n"/>
      <c r="D349" s="52" t="n"/>
      <c r="E349" s="52" t="n"/>
      <c r="F349" s="52" t="n"/>
      <c r="G349" s="52" t="n"/>
      <c r="H349" s="52" t="n"/>
      <c r="I349" s="52" t="n"/>
      <c r="J349" s="52" t="n"/>
      <c r="K349" s="52" t="n"/>
      <c r="L349" s="51" t="n"/>
      <c r="M349" s="53">
        <f>IF(A349="","",IF(COUNTIF('AFA Rates'!$A$5:$A$504,A349)&gt;0,"Yes","No"))</f>
        <v/>
      </c>
      <c r="N349" s="53">
        <f>IF(A349="","",COUNTIF('AFA Rates'!$A$5:$A$504,A349))</f>
        <v/>
      </c>
      <c r="O349" s="54" t="n"/>
      <c r="P349" s="5" t="n"/>
      <c r="Q349" s="5" t="n"/>
      <c r="R349">
        <f>IF(AND(A349&lt;&gt;"",B349="Paused"),COUNTIFS($A$5:A349,"&lt;&gt;",$B$5:B349,"Paused"),"")</f>
        <v/>
      </c>
      <c r="S349">
        <f>IF(M349="Yes",COUNTIF($M$5:M349,"Yes"),"")</f>
        <v/>
      </c>
    </row>
    <row r="350">
      <c r="A350" s="5" t="n"/>
      <c r="B350" s="51" t="n"/>
      <c r="C350" s="5" t="n"/>
      <c r="D350" s="52" t="n"/>
      <c r="E350" s="52" t="n"/>
      <c r="F350" s="52" t="n"/>
      <c r="G350" s="52" t="n"/>
      <c r="H350" s="52" t="n"/>
      <c r="I350" s="52" t="n"/>
      <c r="J350" s="52" t="n"/>
      <c r="K350" s="52" t="n"/>
      <c r="L350" s="51" t="n"/>
      <c r="M350" s="53">
        <f>IF(A350="","",IF(COUNTIF('AFA Rates'!$A$5:$A$504,A350)&gt;0,"Yes","No"))</f>
        <v/>
      </c>
      <c r="N350" s="53">
        <f>IF(A350="","",COUNTIF('AFA Rates'!$A$5:$A$504,A350))</f>
        <v/>
      </c>
      <c r="O350" s="54" t="n"/>
      <c r="P350" s="5" t="n"/>
      <c r="Q350" s="5" t="n"/>
      <c r="R350">
        <f>IF(AND(A350&lt;&gt;"",B350="Paused"),COUNTIFS($A$5:A350,"&lt;&gt;",$B$5:B350,"Paused"),"")</f>
        <v/>
      </c>
      <c r="S350">
        <f>IF(M350="Yes",COUNTIF($M$5:M350,"Yes"),"")</f>
        <v/>
      </c>
    </row>
    <row r="351">
      <c r="A351" s="5" t="n"/>
      <c r="B351" s="51" t="n"/>
      <c r="C351" s="5" t="n"/>
      <c r="D351" s="52" t="n"/>
      <c r="E351" s="52" t="n"/>
      <c r="F351" s="52" t="n"/>
      <c r="G351" s="52" t="n"/>
      <c r="H351" s="52" t="n"/>
      <c r="I351" s="52" t="n"/>
      <c r="J351" s="52" t="n"/>
      <c r="K351" s="52" t="n"/>
      <c r="L351" s="51" t="n"/>
      <c r="M351" s="53">
        <f>IF(A351="","",IF(COUNTIF('AFA Rates'!$A$5:$A$504,A351)&gt;0,"Yes","No"))</f>
        <v/>
      </c>
      <c r="N351" s="53">
        <f>IF(A351="","",COUNTIF('AFA Rates'!$A$5:$A$504,A351))</f>
        <v/>
      </c>
      <c r="O351" s="54" t="n"/>
      <c r="P351" s="5" t="n"/>
      <c r="Q351" s="5" t="n"/>
      <c r="R351">
        <f>IF(AND(A351&lt;&gt;"",B351="Paused"),COUNTIFS($A$5:A351,"&lt;&gt;",$B$5:B351,"Paused"),"")</f>
        <v/>
      </c>
      <c r="S351">
        <f>IF(M351="Yes",COUNTIF($M$5:M351,"Yes"),"")</f>
        <v/>
      </c>
    </row>
    <row r="352">
      <c r="A352" s="5" t="n"/>
      <c r="B352" s="51" t="n"/>
      <c r="C352" s="5" t="n"/>
      <c r="D352" s="52" t="n"/>
      <c r="E352" s="52" t="n"/>
      <c r="F352" s="52" t="n"/>
      <c r="G352" s="52" t="n"/>
      <c r="H352" s="52" t="n"/>
      <c r="I352" s="52" t="n"/>
      <c r="J352" s="52" t="n"/>
      <c r="K352" s="52" t="n"/>
      <c r="L352" s="51" t="n"/>
      <c r="M352" s="53">
        <f>IF(A352="","",IF(COUNTIF('AFA Rates'!$A$5:$A$504,A352)&gt;0,"Yes","No"))</f>
        <v/>
      </c>
      <c r="N352" s="53">
        <f>IF(A352="","",COUNTIF('AFA Rates'!$A$5:$A$504,A352))</f>
        <v/>
      </c>
      <c r="O352" s="54" t="n"/>
      <c r="P352" s="5" t="n"/>
      <c r="Q352" s="5" t="n"/>
      <c r="R352">
        <f>IF(AND(A352&lt;&gt;"",B352="Paused"),COUNTIFS($A$5:A352,"&lt;&gt;",$B$5:B352,"Paused"),"")</f>
        <v/>
      </c>
      <c r="S352">
        <f>IF(M352="Yes",COUNTIF($M$5:M352,"Yes"),"")</f>
        <v/>
      </c>
    </row>
    <row r="353">
      <c r="A353" s="5" t="n"/>
      <c r="B353" s="51" t="n"/>
      <c r="C353" s="5" t="n"/>
      <c r="D353" s="52" t="n"/>
      <c r="E353" s="52" t="n"/>
      <c r="F353" s="52" t="n"/>
      <c r="G353" s="52" t="n"/>
      <c r="H353" s="52" t="n"/>
      <c r="I353" s="52" t="n"/>
      <c r="J353" s="52" t="n"/>
      <c r="K353" s="52" t="n"/>
      <c r="L353" s="51" t="n"/>
      <c r="M353" s="53">
        <f>IF(A353="","",IF(COUNTIF('AFA Rates'!$A$5:$A$504,A353)&gt;0,"Yes","No"))</f>
        <v/>
      </c>
      <c r="N353" s="53">
        <f>IF(A353="","",COUNTIF('AFA Rates'!$A$5:$A$504,A353))</f>
        <v/>
      </c>
      <c r="O353" s="54" t="n"/>
      <c r="P353" s="5" t="n"/>
      <c r="Q353" s="5" t="n"/>
      <c r="R353">
        <f>IF(AND(A353&lt;&gt;"",B353="Paused"),COUNTIFS($A$5:A353,"&lt;&gt;",$B$5:B353,"Paused"),"")</f>
        <v/>
      </c>
      <c r="S353">
        <f>IF(M353="Yes",COUNTIF($M$5:M353,"Yes"),"")</f>
        <v/>
      </c>
    </row>
    <row r="354">
      <c r="A354" s="5" t="n"/>
      <c r="B354" s="51" t="n"/>
      <c r="C354" s="5" t="n"/>
      <c r="D354" s="52" t="n"/>
      <c r="E354" s="52" t="n"/>
      <c r="F354" s="52" t="n"/>
      <c r="G354" s="52" t="n"/>
      <c r="H354" s="52" t="n"/>
      <c r="I354" s="52" t="n"/>
      <c r="J354" s="52" t="n"/>
      <c r="K354" s="52" t="n"/>
      <c r="L354" s="51" t="n"/>
      <c r="M354" s="53">
        <f>IF(A354="","",IF(COUNTIF('AFA Rates'!$A$5:$A$504,A354)&gt;0,"Yes","No"))</f>
        <v/>
      </c>
      <c r="N354" s="53">
        <f>IF(A354="","",COUNTIF('AFA Rates'!$A$5:$A$504,A354))</f>
        <v/>
      </c>
      <c r="O354" s="54" t="n"/>
      <c r="P354" s="5" t="n"/>
      <c r="Q354" s="5" t="n"/>
      <c r="R354">
        <f>IF(AND(A354&lt;&gt;"",B354="Paused"),COUNTIFS($A$5:A354,"&lt;&gt;",$B$5:B354,"Paused"),"")</f>
        <v/>
      </c>
      <c r="S354">
        <f>IF(M354="Yes",COUNTIF($M$5:M354,"Yes"),"")</f>
        <v/>
      </c>
    </row>
    <row r="355">
      <c r="A355" s="5" t="n"/>
      <c r="B355" s="51" t="n"/>
      <c r="C355" s="5" t="n"/>
      <c r="D355" s="52" t="n"/>
      <c r="E355" s="52" t="n"/>
      <c r="F355" s="52" t="n"/>
      <c r="G355" s="52" t="n"/>
      <c r="H355" s="52" t="n"/>
      <c r="I355" s="52" t="n"/>
      <c r="J355" s="52" t="n"/>
      <c r="K355" s="52" t="n"/>
      <c r="L355" s="51" t="n"/>
      <c r="M355" s="53">
        <f>IF(A355="","",IF(COUNTIF('AFA Rates'!$A$5:$A$504,A355)&gt;0,"Yes","No"))</f>
        <v/>
      </c>
      <c r="N355" s="53">
        <f>IF(A355="","",COUNTIF('AFA Rates'!$A$5:$A$504,A355))</f>
        <v/>
      </c>
      <c r="O355" s="54" t="n"/>
      <c r="P355" s="5" t="n"/>
      <c r="Q355" s="5" t="n"/>
      <c r="R355">
        <f>IF(AND(A355&lt;&gt;"",B355="Paused"),COUNTIFS($A$5:A355,"&lt;&gt;",$B$5:B355,"Paused"),"")</f>
        <v/>
      </c>
      <c r="S355">
        <f>IF(M355="Yes",COUNTIF($M$5:M355,"Yes"),"")</f>
        <v/>
      </c>
    </row>
    <row r="356">
      <c r="A356" s="5" t="n"/>
      <c r="B356" s="51" t="n"/>
      <c r="C356" s="5" t="n"/>
      <c r="D356" s="52" t="n"/>
      <c r="E356" s="52" t="n"/>
      <c r="F356" s="52" t="n"/>
      <c r="G356" s="52" t="n"/>
      <c r="H356" s="52" t="n"/>
      <c r="I356" s="52" t="n"/>
      <c r="J356" s="52" t="n"/>
      <c r="K356" s="52" t="n"/>
      <c r="L356" s="51" t="n"/>
      <c r="M356" s="53">
        <f>IF(A356="","",IF(COUNTIF('AFA Rates'!$A$5:$A$504,A356)&gt;0,"Yes","No"))</f>
        <v/>
      </c>
      <c r="N356" s="53">
        <f>IF(A356="","",COUNTIF('AFA Rates'!$A$5:$A$504,A356))</f>
        <v/>
      </c>
      <c r="O356" s="54" t="n"/>
      <c r="P356" s="5" t="n"/>
      <c r="Q356" s="5" t="n"/>
      <c r="R356">
        <f>IF(AND(A356&lt;&gt;"",B356="Paused"),COUNTIFS($A$5:A356,"&lt;&gt;",$B$5:B356,"Paused"),"")</f>
        <v/>
      </c>
      <c r="S356">
        <f>IF(M356="Yes",COUNTIF($M$5:M356,"Yes"),"")</f>
        <v/>
      </c>
    </row>
    <row r="357">
      <c r="A357" s="5" t="n"/>
      <c r="B357" s="51" t="n"/>
      <c r="C357" s="5" t="n"/>
      <c r="D357" s="52" t="n"/>
      <c r="E357" s="52" t="n"/>
      <c r="F357" s="52" t="n"/>
      <c r="G357" s="52" t="n"/>
      <c r="H357" s="52" t="n"/>
      <c r="I357" s="52" t="n"/>
      <c r="J357" s="52" t="n"/>
      <c r="K357" s="52" t="n"/>
      <c r="L357" s="51" t="n"/>
      <c r="M357" s="53">
        <f>IF(A357="","",IF(COUNTIF('AFA Rates'!$A$5:$A$504,A357)&gt;0,"Yes","No"))</f>
        <v/>
      </c>
      <c r="N357" s="53">
        <f>IF(A357="","",COUNTIF('AFA Rates'!$A$5:$A$504,A357))</f>
        <v/>
      </c>
      <c r="O357" s="54" t="n"/>
      <c r="P357" s="5" t="n"/>
      <c r="Q357" s="5" t="n"/>
      <c r="R357">
        <f>IF(AND(A357&lt;&gt;"",B357="Paused"),COUNTIFS($A$5:A357,"&lt;&gt;",$B$5:B357,"Paused"),"")</f>
        <v/>
      </c>
      <c r="S357">
        <f>IF(M357="Yes",COUNTIF($M$5:M357,"Yes"),"")</f>
        <v/>
      </c>
    </row>
    <row r="358">
      <c r="A358" s="5" t="n"/>
      <c r="B358" s="51" t="n"/>
      <c r="C358" s="5" t="n"/>
      <c r="D358" s="52" t="n"/>
      <c r="E358" s="52" t="n"/>
      <c r="F358" s="52" t="n"/>
      <c r="G358" s="52" t="n"/>
      <c r="H358" s="52" t="n"/>
      <c r="I358" s="52" t="n"/>
      <c r="J358" s="52" t="n"/>
      <c r="K358" s="52" t="n"/>
      <c r="L358" s="51" t="n"/>
      <c r="M358" s="53">
        <f>IF(A358="","",IF(COUNTIF('AFA Rates'!$A$5:$A$504,A358)&gt;0,"Yes","No"))</f>
        <v/>
      </c>
      <c r="N358" s="53">
        <f>IF(A358="","",COUNTIF('AFA Rates'!$A$5:$A$504,A358))</f>
        <v/>
      </c>
      <c r="O358" s="54" t="n"/>
      <c r="P358" s="5" t="n"/>
      <c r="Q358" s="5" t="n"/>
      <c r="R358">
        <f>IF(AND(A358&lt;&gt;"",B358="Paused"),COUNTIFS($A$5:A358,"&lt;&gt;",$B$5:B358,"Paused"),"")</f>
        <v/>
      </c>
      <c r="S358">
        <f>IF(M358="Yes",COUNTIF($M$5:M358,"Yes"),"")</f>
        <v/>
      </c>
    </row>
    <row r="359">
      <c r="A359" s="5" t="n"/>
      <c r="B359" s="51" t="n"/>
      <c r="C359" s="5" t="n"/>
      <c r="D359" s="52" t="n"/>
      <c r="E359" s="52" t="n"/>
      <c r="F359" s="52" t="n"/>
      <c r="G359" s="52" t="n"/>
      <c r="H359" s="52" t="n"/>
      <c r="I359" s="52" t="n"/>
      <c r="J359" s="52" t="n"/>
      <c r="K359" s="52" t="n"/>
      <c r="L359" s="51" t="n"/>
      <c r="M359" s="53">
        <f>IF(A359="","",IF(COUNTIF('AFA Rates'!$A$5:$A$504,A359)&gt;0,"Yes","No"))</f>
        <v/>
      </c>
      <c r="N359" s="53">
        <f>IF(A359="","",COUNTIF('AFA Rates'!$A$5:$A$504,A359))</f>
        <v/>
      </c>
      <c r="O359" s="54" t="n"/>
      <c r="P359" s="5" t="n"/>
      <c r="Q359" s="5" t="n"/>
      <c r="R359">
        <f>IF(AND(A359&lt;&gt;"",B359="Paused"),COUNTIFS($A$5:A359,"&lt;&gt;",$B$5:B359,"Paused"),"")</f>
        <v/>
      </c>
      <c r="S359">
        <f>IF(M359="Yes",COUNTIF($M$5:M359,"Yes"),"")</f>
        <v/>
      </c>
    </row>
    <row r="360">
      <c r="A360" s="5" t="n"/>
      <c r="B360" s="51" t="n"/>
      <c r="C360" s="5" t="n"/>
      <c r="D360" s="52" t="n"/>
      <c r="E360" s="52" t="n"/>
      <c r="F360" s="52" t="n"/>
      <c r="G360" s="52" t="n"/>
      <c r="H360" s="52" t="n"/>
      <c r="I360" s="52" t="n"/>
      <c r="J360" s="52" t="n"/>
      <c r="K360" s="52" t="n"/>
      <c r="L360" s="51" t="n"/>
      <c r="M360" s="53">
        <f>IF(A360="","",IF(COUNTIF('AFA Rates'!$A$5:$A$504,A360)&gt;0,"Yes","No"))</f>
        <v/>
      </c>
      <c r="N360" s="53">
        <f>IF(A360="","",COUNTIF('AFA Rates'!$A$5:$A$504,A360))</f>
        <v/>
      </c>
      <c r="O360" s="54" t="n"/>
      <c r="P360" s="5" t="n"/>
      <c r="Q360" s="5" t="n"/>
      <c r="R360">
        <f>IF(AND(A360&lt;&gt;"",B360="Paused"),COUNTIFS($A$5:A360,"&lt;&gt;",$B$5:B360,"Paused"),"")</f>
        <v/>
      </c>
      <c r="S360">
        <f>IF(M360="Yes",COUNTIF($M$5:M360,"Yes"),"")</f>
        <v/>
      </c>
    </row>
    <row r="361">
      <c r="A361" s="5" t="n"/>
      <c r="B361" s="51" t="n"/>
      <c r="C361" s="5" t="n"/>
      <c r="D361" s="52" t="n"/>
      <c r="E361" s="52" t="n"/>
      <c r="F361" s="52" t="n"/>
      <c r="G361" s="52" t="n"/>
      <c r="H361" s="52" t="n"/>
      <c r="I361" s="52" t="n"/>
      <c r="J361" s="52" t="n"/>
      <c r="K361" s="52" t="n"/>
      <c r="L361" s="51" t="n"/>
      <c r="M361" s="53">
        <f>IF(A361="","",IF(COUNTIF('AFA Rates'!$A$5:$A$504,A361)&gt;0,"Yes","No"))</f>
        <v/>
      </c>
      <c r="N361" s="53">
        <f>IF(A361="","",COUNTIF('AFA Rates'!$A$5:$A$504,A361))</f>
        <v/>
      </c>
      <c r="O361" s="54" t="n"/>
      <c r="P361" s="5" t="n"/>
      <c r="Q361" s="5" t="n"/>
      <c r="R361">
        <f>IF(AND(A361&lt;&gt;"",B361="Paused"),COUNTIFS($A$5:A361,"&lt;&gt;",$B$5:B361,"Paused"),"")</f>
        <v/>
      </c>
      <c r="S361">
        <f>IF(M361="Yes",COUNTIF($M$5:M361,"Yes"),"")</f>
        <v/>
      </c>
    </row>
    <row r="362">
      <c r="A362" s="5" t="n"/>
      <c r="B362" s="51" t="n"/>
      <c r="C362" s="5" t="n"/>
      <c r="D362" s="52" t="n"/>
      <c r="E362" s="52" t="n"/>
      <c r="F362" s="52" t="n"/>
      <c r="G362" s="52" t="n"/>
      <c r="H362" s="52" t="n"/>
      <c r="I362" s="52" t="n"/>
      <c r="J362" s="52" t="n"/>
      <c r="K362" s="52" t="n"/>
      <c r="L362" s="51" t="n"/>
      <c r="M362" s="53">
        <f>IF(A362="","",IF(COUNTIF('AFA Rates'!$A$5:$A$504,A362)&gt;0,"Yes","No"))</f>
        <v/>
      </c>
      <c r="N362" s="53">
        <f>IF(A362="","",COUNTIF('AFA Rates'!$A$5:$A$504,A362))</f>
        <v/>
      </c>
      <c r="O362" s="54" t="n"/>
      <c r="P362" s="5" t="n"/>
      <c r="Q362" s="5" t="n"/>
      <c r="R362">
        <f>IF(AND(A362&lt;&gt;"",B362="Paused"),COUNTIFS($A$5:A362,"&lt;&gt;",$B$5:B362,"Paused"),"")</f>
        <v/>
      </c>
      <c r="S362">
        <f>IF(M362="Yes",COUNTIF($M$5:M362,"Yes"),"")</f>
        <v/>
      </c>
    </row>
    <row r="363">
      <c r="A363" s="5" t="n"/>
      <c r="B363" s="51" t="n"/>
      <c r="C363" s="5" t="n"/>
      <c r="D363" s="52" t="n"/>
      <c r="E363" s="52" t="n"/>
      <c r="F363" s="52" t="n"/>
      <c r="G363" s="52" t="n"/>
      <c r="H363" s="52" t="n"/>
      <c r="I363" s="52" t="n"/>
      <c r="J363" s="52" t="n"/>
      <c r="K363" s="52" t="n"/>
      <c r="L363" s="51" t="n"/>
      <c r="M363" s="53">
        <f>IF(A363="","",IF(COUNTIF('AFA Rates'!$A$5:$A$504,A363)&gt;0,"Yes","No"))</f>
        <v/>
      </c>
      <c r="N363" s="53">
        <f>IF(A363="","",COUNTIF('AFA Rates'!$A$5:$A$504,A363))</f>
        <v/>
      </c>
      <c r="O363" s="54" t="n"/>
      <c r="P363" s="5" t="n"/>
      <c r="Q363" s="5" t="n"/>
      <c r="R363">
        <f>IF(AND(A363&lt;&gt;"",B363="Paused"),COUNTIFS($A$5:A363,"&lt;&gt;",$B$5:B363,"Paused"),"")</f>
        <v/>
      </c>
      <c r="S363">
        <f>IF(M363="Yes",COUNTIF($M$5:M363,"Yes"),"")</f>
        <v/>
      </c>
    </row>
    <row r="364">
      <c r="A364" s="5" t="n"/>
      <c r="B364" s="51" t="n"/>
      <c r="C364" s="5" t="n"/>
      <c r="D364" s="52" t="n"/>
      <c r="E364" s="52" t="n"/>
      <c r="F364" s="52" t="n"/>
      <c r="G364" s="52" t="n"/>
      <c r="H364" s="52" t="n"/>
      <c r="I364" s="52" t="n"/>
      <c r="J364" s="52" t="n"/>
      <c r="K364" s="52" t="n"/>
      <c r="L364" s="51" t="n"/>
      <c r="M364" s="53">
        <f>IF(A364="","",IF(COUNTIF('AFA Rates'!$A$5:$A$504,A364)&gt;0,"Yes","No"))</f>
        <v/>
      </c>
      <c r="N364" s="53">
        <f>IF(A364="","",COUNTIF('AFA Rates'!$A$5:$A$504,A364))</f>
        <v/>
      </c>
      <c r="O364" s="54" t="n"/>
      <c r="P364" s="5" t="n"/>
      <c r="Q364" s="5" t="n"/>
      <c r="R364">
        <f>IF(AND(A364&lt;&gt;"",B364="Paused"),COUNTIFS($A$5:A364,"&lt;&gt;",$B$5:B364,"Paused"),"")</f>
        <v/>
      </c>
      <c r="S364">
        <f>IF(M364="Yes",COUNTIF($M$5:M364,"Yes"),"")</f>
        <v/>
      </c>
    </row>
    <row r="365">
      <c r="A365" s="5" t="n"/>
      <c r="B365" s="51" t="n"/>
      <c r="C365" s="5" t="n"/>
      <c r="D365" s="52" t="n"/>
      <c r="E365" s="52" t="n"/>
      <c r="F365" s="52" t="n"/>
      <c r="G365" s="52" t="n"/>
      <c r="H365" s="52" t="n"/>
      <c r="I365" s="52" t="n"/>
      <c r="J365" s="52" t="n"/>
      <c r="K365" s="52" t="n"/>
      <c r="L365" s="51" t="n"/>
      <c r="M365" s="53">
        <f>IF(A365="","",IF(COUNTIF('AFA Rates'!$A$5:$A$504,A365)&gt;0,"Yes","No"))</f>
        <v/>
      </c>
      <c r="N365" s="53">
        <f>IF(A365="","",COUNTIF('AFA Rates'!$A$5:$A$504,A365))</f>
        <v/>
      </c>
      <c r="O365" s="54" t="n"/>
      <c r="P365" s="5" t="n"/>
      <c r="Q365" s="5" t="n"/>
      <c r="R365">
        <f>IF(AND(A365&lt;&gt;"",B365="Paused"),COUNTIFS($A$5:A365,"&lt;&gt;",$B$5:B365,"Paused"),"")</f>
        <v/>
      </c>
      <c r="S365">
        <f>IF(M365="Yes",COUNTIF($M$5:M365,"Yes"),"")</f>
        <v/>
      </c>
    </row>
    <row r="366">
      <c r="A366" s="5" t="n"/>
      <c r="B366" s="51" t="n"/>
      <c r="C366" s="5" t="n"/>
      <c r="D366" s="52" t="n"/>
      <c r="E366" s="52" t="n"/>
      <c r="F366" s="52" t="n"/>
      <c r="G366" s="52" t="n"/>
      <c r="H366" s="52" t="n"/>
      <c r="I366" s="52" t="n"/>
      <c r="J366" s="52" t="n"/>
      <c r="K366" s="52" t="n"/>
      <c r="L366" s="51" t="n"/>
      <c r="M366" s="53">
        <f>IF(A366="","",IF(COUNTIF('AFA Rates'!$A$5:$A$504,A366)&gt;0,"Yes","No"))</f>
        <v/>
      </c>
      <c r="N366" s="53">
        <f>IF(A366="","",COUNTIF('AFA Rates'!$A$5:$A$504,A366))</f>
        <v/>
      </c>
      <c r="O366" s="54" t="n"/>
      <c r="P366" s="5" t="n"/>
      <c r="Q366" s="5" t="n"/>
      <c r="R366">
        <f>IF(AND(A366&lt;&gt;"",B366="Paused"),COUNTIFS($A$5:A366,"&lt;&gt;",$B$5:B366,"Paused"),"")</f>
        <v/>
      </c>
      <c r="S366">
        <f>IF(M366="Yes",COUNTIF($M$5:M366,"Yes"),"")</f>
        <v/>
      </c>
    </row>
    <row r="367">
      <c r="A367" s="5" t="n"/>
      <c r="B367" s="51" t="n"/>
      <c r="C367" s="5" t="n"/>
      <c r="D367" s="52" t="n"/>
      <c r="E367" s="52" t="n"/>
      <c r="F367" s="52" t="n"/>
      <c r="G367" s="52" t="n"/>
      <c r="H367" s="52" t="n"/>
      <c r="I367" s="52" t="n"/>
      <c r="J367" s="52" t="n"/>
      <c r="K367" s="52" t="n"/>
      <c r="L367" s="51" t="n"/>
      <c r="M367" s="53">
        <f>IF(A367="","",IF(COUNTIF('AFA Rates'!$A$5:$A$504,A367)&gt;0,"Yes","No"))</f>
        <v/>
      </c>
      <c r="N367" s="53">
        <f>IF(A367="","",COUNTIF('AFA Rates'!$A$5:$A$504,A367))</f>
        <v/>
      </c>
      <c r="O367" s="54" t="n"/>
      <c r="P367" s="5" t="n"/>
      <c r="Q367" s="5" t="n"/>
      <c r="R367">
        <f>IF(AND(A367&lt;&gt;"",B367="Paused"),COUNTIFS($A$5:A367,"&lt;&gt;",$B$5:B367,"Paused"),"")</f>
        <v/>
      </c>
      <c r="S367">
        <f>IF(M367="Yes",COUNTIF($M$5:M367,"Yes"),"")</f>
        <v/>
      </c>
    </row>
    <row r="368">
      <c r="A368" s="5" t="n"/>
      <c r="B368" s="51" t="n"/>
      <c r="C368" s="5" t="n"/>
      <c r="D368" s="52" t="n"/>
      <c r="E368" s="52" t="n"/>
      <c r="F368" s="52" t="n"/>
      <c r="G368" s="52" t="n"/>
      <c r="H368" s="52" t="n"/>
      <c r="I368" s="52" t="n"/>
      <c r="J368" s="52" t="n"/>
      <c r="K368" s="52" t="n"/>
      <c r="L368" s="51" t="n"/>
      <c r="M368" s="53">
        <f>IF(A368="","",IF(COUNTIF('AFA Rates'!$A$5:$A$504,A368)&gt;0,"Yes","No"))</f>
        <v/>
      </c>
      <c r="N368" s="53">
        <f>IF(A368="","",COUNTIF('AFA Rates'!$A$5:$A$504,A368))</f>
        <v/>
      </c>
      <c r="O368" s="54" t="n"/>
      <c r="P368" s="5" t="n"/>
      <c r="Q368" s="5" t="n"/>
      <c r="R368">
        <f>IF(AND(A368&lt;&gt;"",B368="Paused"),COUNTIFS($A$5:A368,"&lt;&gt;",$B$5:B368,"Paused"),"")</f>
        <v/>
      </c>
      <c r="S368">
        <f>IF(M368="Yes",COUNTIF($M$5:M368,"Yes"),"")</f>
        <v/>
      </c>
    </row>
    <row r="369">
      <c r="A369" s="5" t="n"/>
      <c r="B369" s="51" t="n"/>
      <c r="C369" s="5" t="n"/>
      <c r="D369" s="52" t="n"/>
      <c r="E369" s="52" t="n"/>
      <c r="F369" s="52" t="n"/>
      <c r="G369" s="52" t="n"/>
      <c r="H369" s="52" t="n"/>
      <c r="I369" s="52" t="n"/>
      <c r="J369" s="52" t="n"/>
      <c r="K369" s="52" t="n"/>
      <c r="L369" s="51" t="n"/>
      <c r="M369" s="53">
        <f>IF(A369="","",IF(COUNTIF('AFA Rates'!$A$5:$A$504,A369)&gt;0,"Yes","No"))</f>
        <v/>
      </c>
      <c r="N369" s="53">
        <f>IF(A369="","",COUNTIF('AFA Rates'!$A$5:$A$504,A369))</f>
        <v/>
      </c>
      <c r="O369" s="54" t="n"/>
      <c r="P369" s="5" t="n"/>
      <c r="Q369" s="5" t="n"/>
      <c r="R369">
        <f>IF(AND(A369&lt;&gt;"",B369="Paused"),COUNTIFS($A$5:A369,"&lt;&gt;",$B$5:B369,"Paused"),"")</f>
        <v/>
      </c>
      <c r="S369">
        <f>IF(M369="Yes",COUNTIF($M$5:M369,"Yes"),"")</f>
        <v/>
      </c>
    </row>
    <row r="370">
      <c r="A370" s="5" t="n"/>
      <c r="B370" s="51" t="n"/>
      <c r="C370" s="5" t="n"/>
      <c r="D370" s="52" t="n"/>
      <c r="E370" s="52" t="n"/>
      <c r="F370" s="52" t="n"/>
      <c r="G370" s="52" t="n"/>
      <c r="H370" s="52" t="n"/>
      <c r="I370" s="52" t="n"/>
      <c r="J370" s="52" t="n"/>
      <c r="K370" s="52" t="n"/>
      <c r="L370" s="51" t="n"/>
      <c r="M370" s="53">
        <f>IF(A370="","",IF(COUNTIF('AFA Rates'!$A$5:$A$504,A370)&gt;0,"Yes","No"))</f>
        <v/>
      </c>
      <c r="N370" s="53">
        <f>IF(A370="","",COUNTIF('AFA Rates'!$A$5:$A$504,A370))</f>
        <v/>
      </c>
      <c r="O370" s="54" t="n"/>
      <c r="P370" s="5" t="n"/>
      <c r="Q370" s="5" t="n"/>
      <c r="R370">
        <f>IF(AND(A370&lt;&gt;"",B370="Paused"),COUNTIFS($A$5:A370,"&lt;&gt;",$B$5:B370,"Paused"),"")</f>
        <v/>
      </c>
      <c r="S370">
        <f>IF(M370="Yes",COUNTIF($M$5:M370,"Yes"),"")</f>
        <v/>
      </c>
    </row>
    <row r="371">
      <c r="A371" s="5" t="n"/>
      <c r="B371" s="51" t="n"/>
      <c r="C371" s="5" t="n"/>
      <c r="D371" s="52" t="n"/>
      <c r="E371" s="52" t="n"/>
      <c r="F371" s="52" t="n"/>
      <c r="G371" s="52" t="n"/>
      <c r="H371" s="52" t="n"/>
      <c r="I371" s="52" t="n"/>
      <c r="J371" s="52" t="n"/>
      <c r="K371" s="52" t="n"/>
      <c r="L371" s="51" t="n"/>
      <c r="M371" s="53">
        <f>IF(A371="","",IF(COUNTIF('AFA Rates'!$A$5:$A$504,A371)&gt;0,"Yes","No"))</f>
        <v/>
      </c>
      <c r="N371" s="53">
        <f>IF(A371="","",COUNTIF('AFA Rates'!$A$5:$A$504,A371))</f>
        <v/>
      </c>
      <c r="O371" s="54" t="n"/>
      <c r="P371" s="5" t="n"/>
      <c r="Q371" s="5" t="n"/>
      <c r="R371">
        <f>IF(AND(A371&lt;&gt;"",B371="Paused"),COUNTIFS($A$5:A371,"&lt;&gt;",$B$5:B371,"Paused"),"")</f>
        <v/>
      </c>
      <c r="S371">
        <f>IF(M371="Yes",COUNTIF($M$5:M371,"Yes"),"")</f>
        <v/>
      </c>
    </row>
    <row r="372">
      <c r="A372" s="5" t="n"/>
      <c r="B372" s="51" t="n"/>
      <c r="C372" s="5" t="n"/>
      <c r="D372" s="52" t="n"/>
      <c r="E372" s="52" t="n"/>
      <c r="F372" s="52" t="n"/>
      <c r="G372" s="52" t="n"/>
      <c r="H372" s="52" t="n"/>
      <c r="I372" s="52" t="n"/>
      <c r="J372" s="52" t="n"/>
      <c r="K372" s="52" t="n"/>
      <c r="L372" s="51" t="n"/>
      <c r="M372" s="53">
        <f>IF(A372="","",IF(COUNTIF('AFA Rates'!$A$5:$A$504,A372)&gt;0,"Yes","No"))</f>
        <v/>
      </c>
      <c r="N372" s="53">
        <f>IF(A372="","",COUNTIF('AFA Rates'!$A$5:$A$504,A372))</f>
        <v/>
      </c>
      <c r="O372" s="54" t="n"/>
      <c r="P372" s="5" t="n"/>
      <c r="Q372" s="5" t="n"/>
      <c r="R372">
        <f>IF(AND(A372&lt;&gt;"",B372="Paused"),COUNTIFS($A$5:A372,"&lt;&gt;",$B$5:B372,"Paused"),"")</f>
        <v/>
      </c>
      <c r="S372">
        <f>IF(M372="Yes",COUNTIF($M$5:M372,"Yes"),"")</f>
        <v/>
      </c>
    </row>
    <row r="373">
      <c r="A373" s="5" t="n"/>
      <c r="B373" s="51" t="n"/>
      <c r="C373" s="5" t="n"/>
      <c r="D373" s="52" t="n"/>
      <c r="E373" s="52" t="n"/>
      <c r="F373" s="52" t="n"/>
      <c r="G373" s="52" t="n"/>
      <c r="H373" s="52" t="n"/>
      <c r="I373" s="52" t="n"/>
      <c r="J373" s="52" t="n"/>
      <c r="K373" s="52" t="n"/>
      <c r="L373" s="51" t="n"/>
      <c r="M373" s="53">
        <f>IF(A373="","",IF(COUNTIF('AFA Rates'!$A$5:$A$504,A373)&gt;0,"Yes","No"))</f>
        <v/>
      </c>
      <c r="N373" s="53">
        <f>IF(A373="","",COUNTIF('AFA Rates'!$A$5:$A$504,A373))</f>
        <v/>
      </c>
      <c r="O373" s="54" t="n"/>
      <c r="P373" s="5" t="n"/>
      <c r="Q373" s="5" t="n"/>
      <c r="R373">
        <f>IF(AND(A373&lt;&gt;"",B373="Paused"),COUNTIFS($A$5:A373,"&lt;&gt;",$B$5:B373,"Paused"),"")</f>
        <v/>
      </c>
      <c r="S373">
        <f>IF(M373="Yes",COUNTIF($M$5:M373,"Yes"),"")</f>
        <v/>
      </c>
    </row>
    <row r="374">
      <c r="A374" s="5" t="n"/>
      <c r="B374" s="51" t="n"/>
      <c r="C374" s="5" t="n"/>
      <c r="D374" s="52" t="n"/>
      <c r="E374" s="52" t="n"/>
      <c r="F374" s="52" t="n"/>
      <c r="G374" s="52" t="n"/>
      <c r="H374" s="52" t="n"/>
      <c r="I374" s="52" t="n"/>
      <c r="J374" s="52" t="n"/>
      <c r="K374" s="52" t="n"/>
      <c r="L374" s="51" t="n"/>
      <c r="M374" s="53">
        <f>IF(A374="","",IF(COUNTIF('AFA Rates'!$A$5:$A$504,A374)&gt;0,"Yes","No"))</f>
        <v/>
      </c>
      <c r="N374" s="53">
        <f>IF(A374="","",COUNTIF('AFA Rates'!$A$5:$A$504,A374))</f>
        <v/>
      </c>
      <c r="O374" s="54" t="n"/>
      <c r="P374" s="5" t="n"/>
      <c r="Q374" s="5" t="n"/>
      <c r="R374">
        <f>IF(AND(A374&lt;&gt;"",B374="Paused"),COUNTIFS($A$5:A374,"&lt;&gt;",$B$5:B374,"Paused"),"")</f>
        <v/>
      </c>
      <c r="S374">
        <f>IF(M374="Yes",COUNTIF($M$5:M374,"Yes"),"")</f>
        <v/>
      </c>
    </row>
    <row r="375">
      <c r="A375" s="5" t="n"/>
      <c r="B375" s="51" t="n"/>
      <c r="C375" s="5" t="n"/>
      <c r="D375" s="52" t="n"/>
      <c r="E375" s="52" t="n"/>
      <c r="F375" s="52" t="n"/>
      <c r="G375" s="52" t="n"/>
      <c r="H375" s="52" t="n"/>
      <c r="I375" s="52" t="n"/>
      <c r="J375" s="52" t="n"/>
      <c r="K375" s="52" t="n"/>
      <c r="L375" s="51" t="n"/>
      <c r="M375" s="53">
        <f>IF(A375="","",IF(COUNTIF('AFA Rates'!$A$5:$A$504,A375)&gt;0,"Yes","No"))</f>
        <v/>
      </c>
      <c r="N375" s="53">
        <f>IF(A375="","",COUNTIF('AFA Rates'!$A$5:$A$504,A375))</f>
        <v/>
      </c>
      <c r="O375" s="54" t="n"/>
      <c r="P375" s="5" t="n"/>
      <c r="Q375" s="5" t="n"/>
      <c r="R375">
        <f>IF(AND(A375&lt;&gt;"",B375="Paused"),COUNTIFS($A$5:A375,"&lt;&gt;",$B$5:B375,"Paused"),"")</f>
        <v/>
      </c>
      <c r="S375">
        <f>IF(M375="Yes",COUNTIF($M$5:M375,"Yes"),"")</f>
        <v/>
      </c>
    </row>
    <row r="376">
      <c r="A376" s="5" t="n"/>
      <c r="B376" s="51" t="n"/>
      <c r="C376" s="5" t="n"/>
      <c r="D376" s="52" t="n"/>
      <c r="E376" s="52" t="n"/>
      <c r="F376" s="52" t="n"/>
      <c r="G376" s="52" t="n"/>
      <c r="H376" s="52" t="n"/>
      <c r="I376" s="52" t="n"/>
      <c r="J376" s="52" t="n"/>
      <c r="K376" s="52" t="n"/>
      <c r="L376" s="51" t="n"/>
      <c r="M376" s="53">
        <f>IF(A376="","",IF(COUNTIF('AFA Rates'!$A$5:$A$504,A376)&gt;0,"Yes","No"))</f>
        <v/>
      </c>
      <c r="N376" s="53">
        <f>IF(A376="","",COUNTIF('AFA Rates'!$A$5:$A$504,A376))</f>
        <v/>
      </c>
      <c r="O376" s="54" t="n"/>
      <c r="P376" s="5" t="n"/>
      <c r="Q376" s="5" t="n"/>
      <c r="R376">
        <f>IF(AND(A376&lt;&gt;"",B376="Paused"),COUNTIFS($A$5:A376,"&lt;&gt;",$B$5:B376,"Paused"),"")</f>
        <v/>
      </c>
      <c r="S376">
        <f>IF(M376="Yes",COUNTIF($M$5:M376,"Yes"),"")</f>
        <v/>
      </c>
    </row>
    <row r="377">
      <c r="A377" s="5" t="n"/>
      <c r="B377" s="51" t="n"/>
      <c r="C377" s="5" t="n"/>
      <c r="D377" s="52" t="n"/>
      <c r="E377" s="52" t="n"/>
      <c r="F377" s="52" t="n"/>
      <c r="G377" s="52" t="n"/>
      <c r="H377" s="52" t="n"/>
      <c r="I377" s="52" t="n"/>
      <c r="J377" s="52" t="n"/>
      <c r="K377" s="52" t="n"/>
      <c r="L377" s="51" t="n"/>
      <c r="M377" s="53">
        <f>IF(A377="","",IF(COUNTIF('AFA Rates'!$A$5:$A$504,A377)&gt;0,"Yes","No"))</f>
        <v/>
      </c>
      <c r="N377" s="53">
        <f>IF(A377="","",COUNTIF('AFA Rates'!$A$5:$A$504,A377))</f>
        <v/>
      </c>
      <c r="O377" s="54" t="n"/>
      <c r="P377" s="5" t="n"/>
      <c r="Q377" s="5" t="n"/>
      <c r="R377">
        <f>IF(AND(A377&lt;&gt;"",B377="Paused"),COUNTIFS($A$5:A377,"&lt;&gt;",$B$5:B377,"Paused"),"")</f>
        <v/>
      </c>
      <c r="S377">
        <f>IF(M377="Yes",COUNTIF($M$5:M377,"Yes"),"")</f>
        <v/>
      </c>
    </row>
    <row r="378">
      <c r="A378" s="5" t="n"/>
      <c r="B378" s="51" t="n"/>
      <c r="C378" s="5" t="n"/>
      <c r="D378" s="52" t="n"/>
      <c r="E378" s="52" t="n"/>
      <c r="F378" s="52" t="n"/>
      <c r="G378" s="52" t="n"/>
      <c r="H378" s="52" t="n"/>
      <c r="I378" s="52" t="n"/>
      <c r="J378" s="52" t="n"/>
      <c r="K378" s="52" t="n"/>
      <c r="L378" s="51" t="n"/>
      <c r="M378" s="53">
        <f>IF(A378="","",IF(COUNTIF('AFA Rates'!$A$5:$A$504,A378)&gt;0,"Yes","No"))</f>
        <v/>
      </c>
      <c r="N378" s="53">
        <f>IF(A378="","",COUNTIF('AFA Rates'!$A$5:$A$504,A378))</f>
        <v/>
      </c>
      <c r="O378" s="54" t="n"/>
      <c r="P378" s="5" t="n"/>
      <c r="Q378" s="5" t="n"/>
      <c r="R378">
        <f>IF(AND(A378&lt;&gt;"",B378="Paused"),COUNTIFS($A$5:A378,"&lt;&gt;",$B$5:B378,"Paused"),"")</f>
        <v/>
      </c>
      <c r="S378">
        <f>IF(M378="Yes",COUNTIF($M$5:M378,"Yes"),"")</f>
        <v/>
      </c>
    </row>
    <row r="379">
      <c r="A379" s="5" t="n"/>
      <c r="B379" s="51" t="n"/>
      <c r="C379" s="5" t="n"/>
      <c r="D379" s="52" t="n"/>
      <c r="E379" s="52" t="n"/>
      <c r="F379" s="52" t="n"/>
      <c r="G379" s="52" t="n"/>
      <c r="H379" s="52" t="n"/>
      <c r="I379" s="52" t="n"/>
      <c r="J379" s="52" t="n"/>
      <c r="K379" s="52" t="n"/>
      <c r="L379" s="51" t="n"/>
      <c r="M379" s="53">
        <f>IF(A379="","",IF(COUNTIF('AFA Rates'!$A$5:$A$504,A379)&gt;0,"Yes","No"))</f>
        <v/>
      </c>
      <c r="N379" s="53">
        <f>IF(A379="","",COUNTIF('AFA Rates'!$A$5:$A$504,A379))</f>
        <v/>
      </c>
      <c r="O379" s="54" t="n"/>
      <c r="P379" s="5" t="n"/>
      <c r="Q379" s="5" t="n"/>
      <c r="R379">
        <f>IF(AND(A379&lt;&gt;"",B379="Paused"),COUNTIFS($A$5:A379,"&lt;&gt;",$B$5:B379,"Paused"),"")</f>
        <v/>
      </c>
      <c r="S379">
        <f>IF(M379="Yes",COUNTIF($M$5:M379,"Yes"),"")</f>
        <v/>
      </c>
    </row>
    <row r="380">
      <c r="A380" s="5" t="n"/>
      <c r="B380" s="51" t="n"/>
      <c r="C380" s="5" t="n"/>
      <c r="D380" s="52" t="n"/>
      <c r="E380" s="52" t="n"/>
      <c r="F380" s="52" t="n"/>
      <c r="G380" s="52" t="n"/>
      <c r="H380" s="52" t="n"/>
      <c r="I380" s="52" t="n"/>
      <c r="J380" s="52" t="n"/>
      <c r="K380" s="52" t="n"/>
      <c r="L380" s="51" t="n"/>
      <c r="M380" s="53">
        <f>IF(A380="","",IF(COUNTIF('AFA Rates'!$A$5:$A$504,A380)&gt;0,"Yes","No"))</f>
        <v/>
      </c>
      <c r="N380" s="53">
        <f>IF(A380="","",COUNTIF('AFA Rates'!$A$5:$A$504,A380))</f>
        <v/>
      </c>
      <c r="O380" s="54" t="n"/>
      <c r="P380" s="5" t="n"/>
      <c r="Q380" s="5" t="n"/>
      <c r="R380">
        <f>IF(AND(A380&lt;&gt;"",B380="Paused"),COUNTIFS($A$5:A380,"&lt;&gt;",$B$5:B380,"Paused"),"")</f>
        <v/>
      </c>
      <c r="S380">
        <f>IF(M380="Yes",COUNTIF($M$5:M380,"Yes"),"")</f>
        <v/>
      </c>
    </row>
    <row r="381">
      <c r="A381" s="5" t="n"/>
      <c r="B381" s="51" t="n"/>
      <c r="C381" s="5" t="n"/>
      <c r="D381" s="52" t="n"/>
      <c r="E381" s="52" t="n"/>
      <c r="F381" s="52" t="n"/>
      <c r="G381" s="52" t="n"/>
      <c r="H381" s="52" t="n"/>
      <c r="I381" s="52" t="n"/>
      <c r="J381" s="52" t="n"/>
      <c r="K381" s="52" t="n"/>
      <c r="L381" s="51" t="n"/>
      <c r="M381" s="53">
        <f>IF(A381="","",IF(COUNTIF('AFA Rates'!$A$5:$A$504,A381)&gt;0,"Yes","No"))</f>
        <v/>
      </c>
      <c r="N381" s="53">
        <f>IF(A381="","",COUNTIF('AFA Rates'!$A$5:$A$504,A381))</f>
        <v/>
      </c>
      <c r="O381" s="54" t="n"/>
      <c r="P381" s="5" t="n"/>
      <c r="Q381" s="5" t="n"/>
      <c r="R381">
        <f>IF(AND(A381&lt;&gt;"",B381="Paused"),COUNTIFS($A$5:A381,"&lt;&gt;",$B$5:B381,"Paused"),"")</f>
        <v/>
      </c>
      <c r="S381">
        <f>IF(M381="Yes",COUNTIF($M$5:M381,"Yes"),"")</f>
        <v/>
      </c>
    </row>
    <row r="382">
      <c r="A382" s="5" t="n"/>
      <c r="B382" s="51" t="n"/>
      <c r="C382" s="5" t="n"/>
      <c r="D382" s="52" t="n"/>
      <c r="E382" s="52" t="n"/>
      <c r="F382" s="52" t="n"/>
      <c r="G382" s="52" t="n"/>
      <c r="H382" s="52" t="n"/>
      <c r="I382" s="52" t="n"/>
      <c r="J382" s="52" t="n"/>
      <c r="K382" s="52" t="n"/>
      <c r="L382" s="51" t="n"/>
      <c r="M382" s="53">
        <f>IF(A382="","",IF(COUNTIF('AFA Rates'!$A$5:$A$504,A382)&gt;0,"Yes","No"))</f>
        <v/>
      </c>
      <c r="N382" s="53">
        <f>IF(A382="","",COUNTIF('AFA Rates'!$A$5:$A$504,A382))</f>
        <v/>
      </c>
      <c r="O382" s="54" t="n"/>
      <c r="P382" s="5" t="n"/>
      <c r="Q382" s="5" t="n"/>
      <c r="R382">
        <f>IF(AND(A382&lt;&gt;"",B382="Paused"),COUNTIFS($A$5:A382,"&lt;&gt;",$B$5:B382,"Paused"),"")</f>
        <v/>
      </c>
      <c r="S382">
        <f>IF(M382="Yes",COUNTIF($M$5:M382,"Yes"),"")</f>
        <v/>
      </c>
    </row>
    <row r="383">
      <c r="A383" s="5" t="n"/>
      <c r="B383" s="51" t="n"/>
      <c r="C383" s="5" t="n"/>
      <c r="D383" s="52" t="n"/>
      <c r="E383" s="52" t="n"/>
      <c r="F383" s="52" t="n"/>
      <c r="G383" s="52" t="n"/>
      <c r="H383" s="52" t="n"/>
      <c r="I383" s="52" t="n"/>
      <c r="J383" s="52" t="n"/>
      <c r="K383" s="52" t="n"/>
      <c r="L383" s="51" t="n"/>
      <c r="M383" s="53">
        <f>IF(A383="","",IF(COUNTIF('AFA Rates'!$A$5:$A$504,A383)&gt;0,"Yes","No"))</f>
        <v/>
      </c>
      <c r="N383" s="53">
        <f>IF(A383="","",COUNTIF('AFA Rates'!$A$5:$A$504,A383))</f>
        <v/>
      </c>
      <c r="O383" s="54" t="n"/>
      <c r="P383" s="5" t="n"/>
      <c r="Q383" s="5" t="n"/>
      <c r="R383">
        <f>IF(AND(A383&lt;&gt;"",B383="Paused"),COUNTIFS($A$5:A383,"&lt;&gt;",$B$5:B383,"Paused"),"")</f>
        <v/>
      </c>
      <c r="S383">
        <f>IF(M383="Yes",COUNTIF($M$5:M383,"Yes"),"")</f>
        <v/>
      </c>
    </row>
    <row r="384">
      <c r="A384" s="5" t="n"/>
      <c r="B384" s="51" t="n"/>
      <c r="C384" s="5" t="n"/>
      <c r="D384" s="52" t="n"/>
      <c r="E384" s="52" t="n"/>
      <c r="F384" s="52" t="n"/>
      <c r="G384" s="52" t="n"/>
      <c r="H384" s="52" t="n"/>
      <c r="I384" s="52" t="n"/>
      <c r="J384" s="52" t="n"/>
      <c r="K384" s="52" t="n"/>
      <c r="L384" s="51" t="n"/>
      <c r="M384" s="53">
        <f>IF(A384="","",IF(COUNTIF('AFA Rates'!$A$5:$A$504,A384)&gt;0,"Yes","No"))</f>
        <v/>
      </c>
      <c r="N384" s="53">
        <f>IF(A384="","",COUNTIF('AFA Rates'!$A$5:$A$504,A384))</f>
        <v/>
      </c>
      <c r="O384" s="54" t="n"/>
      <c r="P384" s="5" t="n"/>
      <c r="Q384" s="5" t="n"/>
      <c r="R384">
        <f>IF(AND(A384&lt;&gt;"",B384="Paused"),COUNTIFS($A$5:A384,"&lt;&gt;",$B$5:B384,"Paused"),"")</f>
        <v/>
      </c>
      <c r="S384">
        <f>IF(M384="Yes",COUNTIF($M$5:M384,"Yes"),"")</f>
        <v/>
      </c>
    </row>
    <row r="385">
      <c r="A385" s="5" t="n"/>
      <c r="B385" s="51" t="n"/>
      <c r="C385" s="5" t="n"/>
      <c r="D385" s="52" t="n"/>
      <c r="E385" s="52" t="n"/>
      <c r="F385" s="52" t="n"/>
      <c r="G385" s="52" t="n"/>
      <c r="H385" s="52" t="n"/>
      <c r="I385" s="52" t="n"/>
      <c r="J385" s="52" t="n"/>
      <c r="K385" s="52" t="n"/>
      <c r="L385" s="51" t="n"/>
      <c r="M385" s="53">
        <f>IF(A385="","",IF(COUNTIF('AFA Rates'!$A$5:$A$504,A385)&gt;0,"Yes","No"))</f>
        <v/>
      </c>
      <c r="N385" s="53">
        <f>IF(A385="","",COUNTIF('AFA Rates'!$A$5:$A$504,A385))</f>
        <v/>
      </c>
      <c r="O385" s="54" t="n"/>
      <c r="P385" s="5" t="n"/>
      <c r="Q385" s="5" t="n"/>
      <c r="R385">
        <f>IF(AND(A385&lt;&gt;"",B385="Paused"),COUNTIFS($A$5:A385,"&lt;&gt;",$B$5:B385,"Paused"),"")</f>
        <v/>
      </c>
      <c r="S385">
        <f>IF(M385="Yes",COUNTIF($M$5:M385,"Yes"),"")</f>
        <v/>
      </c>
    </row>
    <row r="386">
      <c r="A386" s="5" t="n"/>
      <c r="B386" s="51" t="n"/>
      <c r="C386" s="5" t="n"/>
      <c r="D386" s="52" t="n"/>
      <c r="E386" s="52" t="n"/>
      <c r="F386" s="52" t="n"/>
      <c r="G386" s="52" t="n"/>
      <c r="H386" s="52" t="n"/>
      <c r="I386" s="52" t="n"/>
      <c r="J386" s="52" t="n"/>
      <c r="K386" s="52" t="n"/>
      <c r="L386" s="51" t="n"/>
      <c r="M386" s="53">
        <f>IF(A386="","",IF(COUNTIF('AFA Rates'!$A$5:$A$504,A386)&gt;0,"Yes","No"))</f>
        <v/>
      </c>
      <c r="N386" s="53">
        <f>IF(A386="","",COUNTIF('AFA Rates'!$A$5:$A$504,A386))</f>
        <v/>
      </c>
      <c r="O386" s="54" t="n"/>
      <c r="P386" s="5" t="n"/>
      <c r="Q386" s="5" t="n"/>
      <c r="R386">
        <f>IF(AND(A386&lt;&gt;"",B386="Paused"),COUNTIFS($A$5:A386,"&lt;&gt;",$B$5:B386,"Paused"),"")</f>
        <v/>
      </c>
      <c r="S386">
        <f>IF(M386="Yes",COUNTIF($M$5:M386,"Yes"),"")</f>
        <v/>
      </c>
    </row>
    <row r="387">
      <c r="A387" s="5" t="n"/>
      <c r="B387" s="51" t="n"/>
      <c r="C387" s="5" t="n"/>
      <c r="D387" s="52" t="n"/>
      <c r="E387" s="52" t="n"/>
      <c r="F387" s="52" t="n"/>
      <c r="G387" s="52" t="n"/>
      <c r="H387" s="52" t="n"/>
      <c r="I387" s="52" t="n"/>
      <c r="J387" s="52" t="n"/>
      <c r="K387" s="52" t="n"/>
      <c r="L387" s="51" t="n"/>
      <c r="M387" s="53">
        <f>IF(A387="","",IF(COUNTIF('AFA Rates'!$A$5:$A$504,A387)&gt;0,"Yes","No"))</f>
        <v/>
      </c>
      <c r="N387" s="53">
        <f>IF(A387="","",COUNTIF('AFA Rates'!$A$5:$A$504,A387))</f>
        <v/>
      </c>
      <c r="O387" s="54" t="n"/>
      <c r="P387" s="5" t="n"/>
      <c r="Q387" s="5" t="n"/>
      <c r="R387">
        <f>IF(AND(A387&lt;&gt;"",B387="Paused"),COUNTIFS($A$5:A387,"&lt;&gt;",$B$5:B387,"Paused"),"")</f>
        <v/>
      </c>
      <c r="S387">
        <f>IF(M387="Yes",COUNTIF($M$5:M387,"Yes"),"")</f>
        <v/>
      </c>
    </row>
    <row r="388">
      <c r="A388" s="5" t="n"/>
      <c r="B388" s="51" t="n"/>
      <c r="C388" s="5" t="n"/>
      <c r="D388" s="52" t="n"/>
      <c r="E388" s="52" t="n"/>
      <c r="F388" s="52" t="n"/>
      <c r="G388" s="52" t="n"/>
      <c r="H388" s="52" t="n"/>
      <c r="I388" s="52" t="n"/>
      <c r="J388" s="52" t="n"/>
      <c r="K388" s="52" t="n"/>
      <c r="L388" s="51" t="n"/>
      <c r="M388" s="53">
        <f>IF(A388="","",IF(COUNTIF('AFA Rates'!$A$5:$A$504,A388)&gt;0,"Yes","No"))</f>
        <v/>
      </c>
      <c r="N388" s="53">
        <f>IF(A388="","",COUNTIF('AFA Rates'!$A$5:$A$504,A388))</f>
        <v/>
      </c>
      <c r="O388" s="54" t="n"/>
      <c r="P388" s="5" t="n"/>
      <c r="Q388" s="5" t="n"/>
      <c r="R388">
        <f>IF(AND(A388&lt;&gt;"",B388="Paused"),COUNTIFS($A$5:A388,"&lt;&gt;",$B$5:B388,"Paused"),"")</f>
        <v/>
      </c>
      <c r="S388">
        <f>IF(M388="Yes",COUNTIF($M$5:M388,"Yes"),"")</f>
        <v/>
      </c>
    </row>
    <row r="389">
      <c r="A389" s="5" t="n"/>
      <c r="B389" s="51" t="n"/>
      <c r="C389" s="5" t="n"/>
      <c r="D389" s="52" t="n"/>
      <c r="E389" s="52" t="n"/>
      <c r="F389" s="52" t="n"/>
      <c r="G389" s="52" t="n"/>
      <c r="H389" s="52" t="n"/>
      <c r="I389" s="52" t="n"/>
      <c r="J389" s="52" t="n"/>
      <c r="K389" s="52" t="n"/>
      <c r="L389" s="51" t="n"/>
      <c r="M389" s="53">
        <f>IF(A389="","",IF(COUNTIF('AFA Rates'!$A$5:$A$504,A389)&gt;0,"Yes","No"))</f>
        <v/>
      </c>
      <c r="N389" s="53">
        <f>IF(A389="","",COUNTIF('AFA Rates'!$A$5:$A$504,A389))</f>
        <v/>
      </c>
      <c r="O389" s="54" t="n"/>
      <c r="P389" s="5" t="n"/>
      <c r="Q389" s="5" t="n"/>
      <c r="R389">
        <f>IF(AND(A389&lt;&gt;"",B389="Paused"),COUNTIFS($A$5:A389,"&lt;&gt;",$B$5:B389,"Paused"),"")</f>
        <v/>
      </c>
      <c r="S389">
        <f>IF(M389="Yes",COUNTIF($M$5:M389,"Yes"),"")</f>
        <v/>
      </c>
    </row>
    <row r="390">
      <c r="A390" s="5" t="n"/>
      <c r="B390" s="51" t="n"/>
      <c r="C390" s="5" t="n"/>
      <c r="D390" s="52" t="n"/>
      <c r="E390" s="52" t="n"/>
      <c r="F390" s="52" t="n"/>
      <c r="G390" s="52" t="n"/>
      <c r="H390" s="52" t="n"/>
      <c r="I390" s="52" t="n"/>
      <c r="J390" s="52" t="n"/>
      <c r="K390" s="52" t="n"/>
      <c r="L390" s="51" t="n"/>
      <c r="M390" s="53">
        <f>IF(A390="","",IF(COUNTIF('AFA Rates'!$A$5:$A$504,A390)&gt;0,"Yes","No"))</f>
        <v/>
      </c>
      <c r="N390" s="53">
        <f>IF(A390="","",COUNTIF('AFA Rates'!$A$5:$A$504,A390))</f>
        <v/>
      </c>
      <c r="O390" s="54" t="n"/>
      <c r="P390" s="5" t="n"/>
      <c r="Q390" s="5" t="n"/>
      <c r="R390">
        <f>IF(AND(A390&lt;&gt;"",B390="Paused"),COUNTIFS($A$5:A390,"&lt;&gt;",$B$5:B390,"Paused"),"")</f>
        <v/>
      </c>
      <c r="S390">
        <f>IF(M390="Yes",COUNTIF($M$5:M390,"Yes"),"")</f>
        <v/>
      </c>
    </row>
    <row r="391">
      <c r="A391" s="5" t="n"/>
      <c r="B391" s="51" t="n"/>
      <c r="C391" s="5" t="n"/>
      <c r="D391" s="52" t="n"/>
      <c r="E391" s="52" t="n"/>
      <c r="F391" s="52" t="n"/>
      <c r="G391" s="52" t="n"/>
      <c r="H391" s="52" t="n"/>
      <c r="I391" s="52" t="n"/>
      <c r="J391" s="52" t="n"/>
      <c r="K391" s="52" t="n"/>
      <c r="L391" s="51" t="n"/>
      <c r="M391" s="53">
        <f>IF(A391="","",IF(COUNTIF('AFA Rates'!$A$5:$A$504,A391)&gt;0,"Yes","No"))</f>
        <v/>
      </c>
      <c r="N391" s="53">
        <f>IF(A391="","",COUNTIF('AFA Rates'!$A$5:$A$504,A391))</f>
        <v/>
      </c>
      <c r="O391" s="54" t="n"/>
      <c r="P391" s="5" t="n"/>
      <c r="Q391" s="5" t="n"/>
      <c r="R391">
        <f>IF(AND(A391&lt;&gt;"",B391="Paused"),COUNTIFS($A$5:A391,"&lt;&gt;",$B$5:B391,"Paused"),"")</f>
        <v/>
      </c>
      <c r="S391">
        <f>IF(M391="Yes",COUNTIF($M$5:M391,"Yes"),"")</f>
        <v/>
      </c>
    </row>
    <row r="392">
      <c r="A392" s="5" t="n"/>
      <c r="B392" s="51" t="n"/>
      <c r="C392" s="5" t="n"/>
      <c r="D392" s="52" t="n"/>
      <c r="E392" s="52" t="n"/>
      <c r="F392" s="52" t="n"/>
      <c r="G392" s="52" t="n"/>
      <c r="H392" s="52" t="n"/>
      <c r="I392" s="52" t="n"/>
      <c r="J392" s="52" t="n"/>
      <c r="K392" s="52" t="n"/>
      <c r="L392" s="51" t="n"/>
      <c r="M392" s="53">
        <f>IF(A392="","",IF(COUNTIF('AFA Rates'!$A$5:$A$504,A392)&gt;0,"Yes","No"))</f>
        <v/>
      </c>
      <c r="N392" s="53">
        <f>IF(A392="","",COUNTIF('AFA Rates'!$A$5:$A$504,A392))</f>
        <v/>
      </c>
      <c r="O392" s="54" t="n"/>
      <c r="P392" s="5" t="n"/>
      <c r="Q392" s="5" t="n"/>
      <c r="R392">
        <f>IF(AND(A392&lt;&gt;"",B392="Paused"),COUNTIFS($A$5:A392,"&lt;&gt;",$B$5:B392,"Paused"),"")</f>
        <v/>
      </c>
      <c r="S392">
        <f>IF(M392="Yes",COUNTIF($M$5:M392,"Yes"),"")</f>
        <v/>
      </c>
    </row>
    <row r="393">
      <c r="A393" s="5" t="n"/>
      <c r="B393" s="51" t="n"/>
      <c r="C393" s="5" t="n"/>
      <c r="D393" s="52" t="n"/>
      <c r="E393" s="52" t="n"/>
      <c r="F393" s="52" t="n"/>
      <c r="G393" s="52" t="n"/>
      <c r="H393" s="52" t="n"/>
      <c r="I393" s="52" t="n"/>
      <c r="J393" s="52" t="n"/>
      <c r="K393" s="52" t="n"/>
      <c r="L393" s="51" t="n"/>
      <c r="M393" s="53">
        <f>IF(A393="","",IF(COUNTIF('AFA Rates'!$A$5:$A$504,A393)&gt;0,"Yes","No"))</f>
        <v/>
      </c>
      <c r="N393" s="53">
        <f>IF(A393="","",COUNTIF('AFA Rates'!$A$5:$A$504,A393))</f>
        <v/>
      </c>
      <c r="O393" s="54" t="n"/>
      <c r="P393" s="5" t="n"/>
      <c r="Q393" s="5" t="n"/>
      <c r="R393">
        <f>IF(AND(A393&lt;&gt;"",B393="Paused"),COUNTIFS($A$5:A393,"&lt;&gt;",$B$5:B393,"Paused"),"")</f>
        <v/>
      </c>
      <c r="S393">
        <f>IF(M393="Yes",COUNTIF($M$5:M393,"Yes"),"")</f>
        <v/>
      </c>
    </row>
    <row r="394">
      <c r="A394" s="5" t="n"/>
      <c r="B394" s="51" t="n"/>
      <c r="C394" s="5" t="n"/>
      <c r="D394" s="52" t="n"/>
      <c r="E394" s="52" t="n"/>
      <c r="F394" s="52" t="n"/>
      <c r="G394" s="52" t="n"/>
      <c r="H394" s="52" t="n"/>
      <c r="I394" s="52" t="n"/>
      <c r="J394" s="52" t="n"/>
      <c r="K394" s="52" t="n"/>
      <c r="L394" s="51" t="n"/>
      <c r="M394" s="53">
        <f>IF(A394="","",IF(COUNTIF('AFA Rates'!$A$5:$A$504,A394)&gt;0,"Yes","No"))</f>
        <v/>
      </c>
      <c r="N394" s="53">
        <f>IF(A394="","",COUNTIF('AFA Rates'!$A$5:$A$504,A394))</f>
        <v/>
      </c>
      <c r="O394" s="54" t="n"/>
      <c r="P394" s="5" t="n"/>
      <c r="Q394" s="5" t="n"/>
      <c r="R394">
        <f>IF(AND(A394&lt;&gt;"",B394="Paused"),COUNTIFS($A$5:A394,"&lt;&gt;",$B$5:B394,"Paused"),"")</f>
        <v/>
      </c>
      <c r="S394">
        <f>IF(M394="Yes",COUNTIF($M$5:M394,"Yes"),"")</f>
        <v/>
      </c>
    </row>
    <row r="395">
      <c r="A395" s="5" t="n"/>
      <c r="B395" s="51" t="n"/>
      <c r="C395" s="5" t="n"/>
      <c r="D395" s="52" t="n"/>
      <c r="E395" s="52" t="n"/>
      <c r="F395" s="52" t="n"/>
      <c r="G395" s="52" t="n"/>
      <c r="H395" s="52" t="n"/>
      <c r="I395" s="52" t="n"/>
      <c r="J395" s="52" t="n"/>
      <c r="K395" s="52" t="n"/>
      <c r="L395" s="51" t="n"/>
      <c r="M395" s="53">
        <f>IF(A395="","",IF(COUNTIF('AFA Rates'!$A$5:$A$504,A395)&gt;0,"Yes","No"))</f>
        <v/>
      </c>
      <c r="N395" s="53">
        <f>IF(A395="","",COUNTIF('AFA Rates'!$A$5:$A$504,A395))</f>
        <v/>
      </c>
      <c r="O395" s="54" t="n"/>
      <c r="P395" s="5" t="n"/>
      <c r="Q395" s="5" t="n"/>
      <c r="R395">
        <f>IF(AND(A395&lt;&gt;"",B395="Paused"),COUNTIFS($A$5:A395,"&lt;&gt;",$B$5:B395,"Paused"),"")</f>
        <v/>
      </c>
      <c r="S395">
        <f>IF(M395="Yes",COUNTIF($M$5:M395,"Yes"),"")</f>
        <v/>
      </c>
    </row>
    <row r="396">
      <c r="A396" s="5" t="n"/>
      <c r="B396" s="51" t="n"/>
      <c r="C396" s="5" t="n"/>
      <c r="D396" s="52" t="n"/>
      <c r="E396" s="52" t="n"/>
      <c r="F396" s="52" t="n"/>
      <c r="G396" s="52" t="n"/>
      <c r="H396" s="52" t="n"/>
      <c r="I396" s="52" t="n"/>
      <c r="J396" s="52" t="n"/>
      <c r="K396" s="52" t="n"/>
      <c r="L396" s="51" t="n"/>
      <c r="M396" s="53">
        <f>IF(A396="","",IF(COUNTIF('AFA Rates'!$A$5:$A$504,A396)&gt;0,"Yes","No"))</f>
        <v/>
      </c>
      <c r="N396" s="53">
        <f>IF(A396="","",COUNTIF('AFA Rates'!$A$5:$A$504,A396))</f>
        <v/>
      </c>
      <c r="O396" s="54" t="n"/>
      <c r="P396" s="5" t="n"/>
      <c r="Q396" s="5" t="n"/>
      <c r="R396">
        <f>IF(AND(A396&lt;&gt;"",B396="Paused"),COUNTIFS($A$5:A396,"&lt;&gt;",$B$5:B396,"Paused"),"")</f>
        <v/>
      </c>
      <c r="S396">
        <f>IF(M396="Yes",COUNTIF($M$5:M396,"Yes"),"")</f>
        <v/>
      </c>
    </row>
    <row r="397">
      <c r="A397" s="5" t="n"/>
      <c r="B397" s="51" t="n"/>
      <c r="C397" s="5" t="n"/>
      <c r="D397" s="52" t="n"/>
      <c r="E397" s="52" t="n"/>
      <c r="F397" s="52" t="n"/>
      <c r="G397" s="52" t="n"/>
      <c r="H397" s="52" t="n"/>
      <c r="I397" s="52" t="n"/>
      <c r="J397" s="52" t="n"/>
      <c r="K397" s="52" t="n"/>
      <c r="L397" s="51" t="n"/>
      <c r="M397" s="53">
        <f>IF(A397="","",IF(COUNTIF('AFA Rates'!$A$5:$A$504,A397)&gt;0,"Yes","No"))</f>
        <v/>
      </c>
      <c r="N397" s="53">
        <f>IF(A397="","",COUNTIF('AFA Rates'!$A$5:$A$504,A397))</f>
        <v/>
      </c>
      <c r="O397" s="54" t="n"/>
      <c r="P397" s="5" t="n"/>
      <c r="Q397" s="5" t="n"/>
      <c r="R397">
        <f>IF(AND(A397&lt;&gt;"",B397="Paused"),COUNTIFS($A$5:A397,"&lt;&gt;",$B$5:B397,"Paused"),"")</f>
        <v/>
      </c>
      <c r="S397">
        <f>IF(M397="Yes",COUNTIF($M$5:M397,"Yes"),"")</f>
        <v/>
      </c>
    </row>
    <row r="398">
      <c r="A398" s="5" t="n"/>
      <c r="B398" s="51" t="n"/>
      <c r="C398" s="5" t="n"/>
      <c r="D398" s="52" t="n"/>
      <c r="E398" s="52" t="n"/>
      <c r="F398" s="52" t="n"/>
      <c r="G398" s="52" t="n"/>
      <c r="H398" s="52" t="n"/>
      <c r="I398" s="52" t="n"/>
      <c r="J398" s="52" t="n"/>
      <c r="K398" s="52" t="n"/>
      <c r="L398" s="51" t="n"/>
      <c r="M398" s="53">
        <f>IF(A398="","",IF(COUNTIF('AFA Rates'!$A$5:$A$504,A398)&gt;0,"Yes","No"))</f>
        <v/>
      </c>
      <c r="N398" s="53">
        <f>IF(A398="","",COUNTIF('AFA Rates'!$A$5:$A$504,A398))</f>
        <v/>
      </c>
      <c r="O398" s="54" t="n"/>
      <c r="P398" s="5" t="n"/>
      <c r="Q398" s="5" t="n"/>
      <c r="R398">
        <f>IF(AND(A398&lt;&gt;"",B398="Paused"),COUNTIFS($A$5:A398,"&lt;&gt;",$B$5:B398,"Paused"),"")</f>
        <v/>
      </c>
      <c r="S398">
        <f>IF(M398="Yes",COUNTIF($M$5:M398,"Yes"),"")</f>
        <v/>
      </c>
    </row>
    <row r="399">
      <c r="A399" s="5" t="n"/>
      <c r="B399" s="51" t="n"/>
      <c r="C399" s="5" t="n"/>
      <c r="D399" s="52" t="n"/>
      <c r="E399" s="52" t="n"/>
      <c r="F399" s="52" t="n"/>
      <c r="G399" s="52" t="n"/>
      <c r="H399" s="52" t="n"/>
      <c r="I399" s="52" t="n"/>
      <c r="J399" s="52" t="n"/>
      <c r="K399" s="52" t="n"/>
      <c r="L399" s="51" t="n"/>
      <c r="M399" s="53">
        <f>IF(A399="","",IF(COUNTIF('AFA Rates'!$A$5:$A$504,A399)&gt;0,"Yes","No"))</f>
        <v/>
      </c>
      <c r="N399" s="53">
        <f>IF(A399="","",COUNTIF('AFA Rates'!$A$5:$A$504,A399))</f>
        <v/>
      </c>
      <c r="O399" s="54" t="n"/>
      <c r="P399" s="5" t="n"/>
      <c r="Q399" s="5" t="n"/>
      <c r="R399">
        <f>IF(AND(A399&lt;&gt;"",B399="Paused"),COUNTIFS($A$5:A399,"&lt;&gt;",$B$5:B399,"Paused"),"")</f>
        <v/>
      </c>
      <c r="S399">
        <f>IF(M399="Yes",COUNTIF($M$5:M399,"Yes"),"")</f>
        <v/>
      </c>
    </row>
    <row r="400">
      <c r="A400" s="5" t="n"/>
      <c r="B400" s="51" t="n"/>
      <c r="C400" s="5" t="n"/>
      <c r="D400" s="52" t="n"/>
      <c r="E400" s="52" t="n"/>
      <c r="F400" s="52" t="n"/>
      <c r="G400" s="52" t="n"/>
      <c r="H400" s="52" t="n"/>
      <c r="I400" s="52" t="n"/>
      <c r="J400" s="52" t="n"/>
      <c r="K400" s="52" t="n"/>
      <c r="L400" s="51" t="n"/>
      <c r="M400" s="53">
        <f>IF(A400="","",IF(COUNTIF('AFA Rates'!$A$5:$A$504,A400)&gt;0,"Yes","No"))</f>
        <v/>
      </c>
      <c r="N400" s="53">
        <f>IF(A400="","",COUNTIF('AFA Rates'!$A$5:$A$504,A400))</f>
        <v/>
      </c>
      <c r="O400" s="54" t="n"/>
      <c r="P400" s="5" t="n"/>
      <c r="Q400" s="5" t="n"/>
      <c r="R400">
        <f>IF(AND(A400&lt;&gt;"",B400="Paused"),COUNTIFS($A$5:A400,"&lt;&gt;",$B$5:B400,"Paused"),"")</f>
        <v/>
      </c>
      <c r="S400">
        <f>IF(M400="Yes",COUNTIF($M$5:M400,"Yes"),"")</f>
        <v/>
      </c>
    </row>
    <row r="401">
      <c r="A401" s="5" t="n"/>
      <c r="B401" s="51" t="n"/>
      <c r="C401" s="5" t="n"/>
      <c r="D401" s="52" t="n"/>
      <c r="E401" s="52" t="n"/>
      <c r="F401" s="52" t="n"/>
      <c r="G401" s="52" t="n"/>
      <c r="H401" s="52" t="n"/>
      <c r="I401" s="52" t="n"/>
      <c r="J401" s="52" t="n"/>
      <c r="K401" s="52" t="n"/>
      <c r="L401" s="51" t="n"/>
      <c r="M401" s="53">
        <f>IF(A401="","",IF(COUNTIF('AFA Rates'!$A$5:$A$504,A401)&gt;0,"Yes","No"))</f>
        <v/>
      </c>
      <c r="N401" s="53">
        <f>IF(A401="","",COUNTIF('AFA Rates'!$A$5:$A$504,A401))</f>
        <v/>
      </c>
      <c r="O401" s="54" t="n"/>
      <c r="P401" s="5" t="n"/>
      <c r="Q401" s="5" t="n"/>
      <c r="R401">
        <f>IF(AND(A401&lt;&gt;"",B401="Paused"),COUNTIFS($A$5:A401,"&lt;&gt;",$B$5:B401,"Paused"),"")</f>
        <v/>
      </c>
      <c r="S401">
        <f>IF(M401="Yes",COUNTIF($M$5:M401,"Yes"),"")</f>
        <v/>
      </c>
    </row>
    <row r="402">
      <c r="A402" s="5" t="n"/>
      <c r="B402" s="51" t="n"/>
      <c r="C402" s="5" t="n"/>
      <c r="D402" s="52" t="n"/>
      <c r="E402" s="52" t="n"/>
      <c r="F402" s="52" t="n"/>
      <c r="G402" s="52" t="n"/>
      <c r="H402" s="52" t="n"/>
      <c r="I402" s="52" t="n"/>
      <c r="J402" s="52" t="n"/>
      <c r="K402" s="52" t="n"/>
      <c r="L402" s="51" t="n"/>
      <c r="M402" s="53">
        <f>IF(A402="","",IF(COUNTIF('AFA Rates'!$A$5:$A$504,A402)&gt;0,"Yes","No"))</f>
        <v/>
      </c>
      <c r="N402" s="53">
        <f>IF(A402="","",COUNTIF('AFA Rates'!$A$5:$A$504,A402))</f>
        <v/>
      </c>
      <c r="O402" s="54" t="n"/>
      <c r="P402" s="5" t="n"/>
      <c r="Q402" s="5" t="n"/>
      <c r="R402">
        <f>IF(AND(A402&lt;&gt;"",B402="Paused"),COUNTIFS($A$5:A402,"&lt;&gt;",$B$5:B402,"Paused"),"")</f>
        <v/>
      </c>
      <c r="S402">
        <f>IF(M402="Yes",COUNTIF($M$5:M402,"Yes"),"")</f>
        <v/>
      </c>
    </row>
    <row r="403">
      <c r="A403" s="5" t="n"/>
      <c r="B403" s="51" t="n"/>
      <c r="C403" s="5" t="n"/>
      <c r="D403" s="52" t="n"/>
      <c r="E403" s="52" t="n"/>
      <c r="F403" s="52" t="n"/>
      <c r="G403" s="52" t="n"/>
      <c r="H403" s="52" t="n"/>
      <c r="I403" s="52" t="n"/>
      <c r="J403" s="52" t="n"/>
      <c r="K403" s="52" t="n"/>
      <c r="L403" s="51" t="n"/>
      <c r="M403" s="53">
        <f>IF(A403="","",IF(COUNTIF('AFA Rates'!$A$5:$A$504,A403)&gt;0,"Yes","No"))</f>
        <v/>
      </c>
      <c r="N403" s="53">
        <f>IF(A403="","",COUNTIF('AFA Rates'!$A$5:$A$504,A403))</f>
        <v/>
      </c>
      <c r="O403" s="54" t="n"/>
      <c r="P403" s="5" t="n"/>
      <c r="Q403" s="5" t="n"/>
      <c r="R403">
        <f>IF(AND(A403&lt;&gt;"",B403="Paused"),COUNTIFS($A$5:A403,"&lt;&gt;",$B$5:B403,"Paused"),"")</f>
        <v/>
      </c>
      <c r="S403">
        <f>IF(M403="Yes",COUNTIF($M$5:M403,"Yes"),"")</f>
        <v/>
      </c>
    </row>
    <row r="404">
      <c r="A404" s="5" t="n"/>
      <c r="B404" s="51" t="n"/>
      <c r="C404" s="5" t="n"/>
      <c r="D404" s="52" t="n"/>
      <c r="E404" s="52" t="n"/>
      <c r="F404" s="52" t="n"/>
      <c r="G404" s="52" t="n"/>
      <c r="H404" s="52" t="n"/>
      <c r="I404" s="52" t="n"/>
      <c r="J404" s="52" t="n"/>
      <c r="K404" s="52" t="n"/>
      <c r="L404" s="51" t="n"/>
      <c r="M404" s="53">
        <f>IF(A404="","",IF(COUNTIF('AFA Rates'!$A$5:$A$504,A404)&gt;0,"Yes","No"))</f>
        <v/>
      </c>
      <c r="N404" s="53">
        <f>IF(A404="","",COUNTIF('AFA Rates'!$A$5:$A$504,A404))</f>
        <v/>
      </c>
      <c r="O404" s="54" t="n"/>
      <c r="P404" s="5" t="n"/>
      <c r="Q404" s="5" t="n"/>
      <c r="R404">
        <f>IF(AND(A404&lt;&gt;"",B404="Paused"),COUNTIFS($A$5:A404,"&lt;&gt;",$B$5:B404,"Paused"),"")</f>
        <v/>
      </c>
      <c r="S404">
        <f>IF(M404="Yes",COUNTIF($M$5:M404,"Yes"),"")</f>
        <v/>
      </c>
    </row>
    <row r="405">
      <c r="A405" s="5" t="n"/>
      <c r="B405" s="51" t="n"/>
      <c r="C405" s="5" t="n"/>
      <c r="D405" s="52" t="n"/>
      <c r="E405" s="52" t="n"/>
      <c r="F405" s="52" t="n"/>
      <c r="G405" s="52" t="n"/>
      <c r="H405" s="52" t="n"/>
      <c r="I405" s="52" t="n"/>
      <c r="J405" s="52" t="n"/>
      <c r="K405" s="52" t="n"/>
      <c r="L405" s="51" t="n"/>
      <c r="M405" s="53">
        <f>IF(A405="","",IF(COUNTIF('AFA Rates'!$A$5:$A$504,A405)&gt;0,"Yes","No"))</f>
        <v/>
      </c>
      <c r="N405" s="53">
        <f>IF(A405="","",COUNTIF('AFA Rates'!$A$5:$A$504,A405))</f>
        <v/>
      </c>
      <c r="O405" s="54" t="n"/>
      <c r="P405" s="5" t="n"/>
      <c r="Q405" s="5" t="n"/>
      <c r="R405">
        <f>IF(AND(A405&lt;&gt;"",B405="Paused"),COUNTIFS($A$5:A405,"&lt;&gt;",$B$5:B405,"Paused"),"")</f>
        <v/>
      </c>
      <c r="S405">
        <f>IF(M405="Yes",COUNTIF($M$5:M405,"Yes"),"")</f>
        <v/>
      </c>
    </row>
    <row r="406">
      <c r="A406" s="5" t="n"/>
      <c r="B406" s="51" t="n"/>
      <c r="C406" s="5" t="n"/>
      <c r="D406" s="52" t="n"/>
      <c r="E406" s="52" t="n"/>
      <c r="F406" s="52" t="n"/>
      <c r="G406" s="52" t="n"/>
      <c r="H406" s="52" t="n"/>
      <c r="I406" s="52" t="n"/>
      <c r="J406" s="52" t="n"/>
      <c r="K406" s="52" t="n"/>
      <c r="L406" s="51" t="n"/>
      <c r="M406" s="53">
        <f>IF(A406="","",IF(COUNTIF('AFA Rates'!$A$5:$A$504,A406)&gt;0,"Yes","No"))</f>
        <v/>
      </c>
      <c r="N406" s="53">
        <f>IF(A406="","",COUNTIF('AFA Rates'!$A$5:$A$504,A406))</f>
        <v/>
      </c>
      <c r="O406" s="54" t="n"/>
      <c r="P406" s="5" t="n"/>
      <c r="Q406" s="5" t="n"/>
      <c r="R406">
        <f>IF(AND(A406&lt;&gt;"",B406="Paused"),COUNTIFS($A$5:A406,"&lt;&gt;",$B$5:B406,"Paused"),"")</f>
        <v/>
      </c>
      <c r="S406">
        <f>IF(M406="Yes",COUNTIF($M$5:M406,"Yes"),"")</f>
        <v/>
      </c>
    </row>
    <row r="407">
      <c r="A407" s="5" t="n"/>
      <c r="B407" s="51" t="n"/>
      <c r="C407" s="5" t="n"/>
      <c r="D407" s="52" t="n"/>
      <c r="E407" s="52" t="n"/>
      <c r="F407" s="52" t="n"/>
      <c r="G407" s="52" t="n"/>
      <c r="H407" s="52" t="n"/>
      <c r="I407" s="52" t="n"/>
      <c r="J407" s="52" t="n"/>
      <c r="K407" s="52" t="n"/>
      <c r="L407" s="51" t="n"/>
      <c r="M407" s="53">
        <f>IF(A407="","",IF(COUNTIF('AFA Rates'!$A$5:$A$504,A407)&gt;0,"Yes","No"))</f>
        <v/>
      </c>
      <c r="N407" s="53">
        <f>IF(A407="","",COUNTIF('AFA Rates'!$A$5:$A$504,A407))</f>
        <v/>
      </c>
      <c r="O407" s="54" t="n"/>
      <c r="P407" s="5" t="n"/>
      <c r="Q407" s="5" t="n"/>
      <c r="R407">
        <f>IF(AND(A407&lt;&gt;"",B407="Paused"),COUNTIFS($A$5:A407,"&lt;&gt;",$B$5:B407,"Paused"),"")</f>
        <v/>
      </c>
      <c r="S407">
        <f>IF(M407="Yes",COUNTIF($M$5:M407,"Yes"),"")</f>
        <v/>
      </c>
    </row>
    <row r="408">
      <c r="A408" s="5" t="n"/>
      <c r="B408" s="51" t="n"/>
      <c r="C408" s="5" t="n"/>
      <c r="D408" s="52" t="n"/>
      <c r="E408" s="52" t="n"/>
      <c r="F408" s="52" t="n"/>
      <c r="G408" s="52" t="n"/>
      <c r="H408" s="52" t="n"/>
      <c r="I408" s="52" t="n"/>
      <c r="J408" s="52" t="n"/>
      <c r="K408" s="52" t="n"/>
      <c r="L408" s="51" t="n"/>
      <c r="M408" s="53">
        <f>IF(A408="","",IF(COUNTIF('AFA Rates'!$A$5:$A$504,A408)&gt;0,"Yes","No"))</f>
        <v/>
      </c>
      <c r="N408" s="53">
        <f>IF(A408="","",COUNTIF('AFA Rates'!$A$5:$A$504,A408))</f>
        <v/>
      </c>
      <c r="O408" s="54" t="n"/>
      <c r="P408" s="5" t="n"/>
      <c r="Q408" s="5" t="n"/>
      <c r="R408">
        <f>IF(AND(A408&lt;&gt;"",B408="Paused"),COUNTIFS($A$5:A408,"&lt;&gt;",$B$5:B408,"Paused"),"")</f>
        <v/>
      </c>
      <c r="S408">
        <f>IF(M408="Yes",COUNTIF($M$5:M408,"Yes"),"")</f>
        <v/>
      </c>
    </row>
    <row r="409">
      <c r="A409" s="5" t="n"/>
      <c r="B409" s="51" t="n"/>
      <c r="C409" s="5" t="n"/>
      <c r="D409" s="52" t="n"/>
      <c r="E409" s="52" t="n"/>
      <c r="F409" s="52" t="n"/>
      <c r="G409" s="52" t="n"/>
      <c r="H409" s="52" t="n"/>
      <c r="I409" s="52" t="n"/>
      <c r="J409" s="52" t="n"/>
      <c r="K409" s="52" t="n"/>
      <c r="L409" s="51" t="n"/>
      <c r="M409" s="53">
        <f>IF(A409="","",IF(COUNTIF('AFA Rates'!$A$5:$A$504,A409)&gt;0,"Yes","No"))</f>
        <v/>
      </c>
      <c r="N409" s="53">
        <f>IF(A409="","",COUNTIF('AFA Rates'!$A$5:$A$504,A409))</f>
        <v/>
      </c>
      <c r="O409" s="54" t="n"/>
      <c r="P409" s="5" t="n"/>
      <c r="Q409" s="5" t="n"/>
      <c r="R409">
        <f>IF(AND(A409&lt;&gt;"",B409="Paused"),COUNTIFS($A$5:A409,"&lt;&gt;",$B$5:B409,"Paused"),"")</f>
        <v/>
      </c>
      <c r="S409">
        <f>IF(M409="Yes",COUNTIF($M$5:M409,"Yes"),"")</f>
        <v/>
      </c>
    </row>
    <row r="410">
      <c r="A410" s="5" t="n"/>
      <c r="B410" s="51" t="n"/>
      <c r="C410" s="5" t="n"/>
      <c r="D410" s="52" t="n"/>
      <c r="E410" s="52" t="n"/>
      <c r="F410" s="52" t="n"/>
      <c r="G410" s="52" t="n"/>
      <c r="H410" s="52" t="n"/>
      <c r="I410" s="52" t="n"/>
      <c r="J410" s="52" t="n"/>
      <c r="K410" s="52" t="n"/>
      <c r="L410" s="51" t="n"/>
      <c r="M410" s="53">
        <f>IF(A410="","",IF(COUNTIF('AFA Rates'!$A$5:$A$504,A410)&gt;0,"Yes","No"))</f>
        <v/>
      </c>
      <c r="N410" s="53">
        <f>IF(A410="","",COUNTIF('AFA Rates'!$A$5:$A$504,A410))</f>
        <v/>
      </c>
      <c r="O410" s="54" t="n"/>
      <c r="P410" s="5" t="n"/>
      <c r="Q410" s="5" t="n"/>
      <c r="R410">
        <f>IF(AND(A410&lt;&gt;"",B410="Paused"),COUNTIFS($A$5:A410,"&lt;&gt;",$B$5:B410,"Paused"),"")</f>
        <v/>
      </c>
      <c r="S410">
        <f>IF(M410="Yes",COUNTIF($M$5:M410,"Yes"),"")</f>
        <v/>
      </c>
    </row>
    <row r="411">
      <c r="A411" s="5" t="n"/>
      <c r="B411" s="51" t="n"/>
      <c r="C411" s="5" t="n"/>
      <c r="D411" s="52" t="n"/>
      <c r="E411" s="52" t="n"/>
      <c r="F411" s="52" t="n"/>
      <c r="G411" s="52" t="n"/>
      <c r="H411" s="52" t="n"/>
      <c r="I411" s="52" t="n"/>
      <c r="J411" s="52" t="n"/>
      <c r="K411" s="52" t="n"/>
      <c r="L411" s="51" t="n"/>
      <c r="M411" s="53">
        <f>IF(A411="","",IF(COUNTIF('AFA Rates'!$A$5:$A$504,A411)&gt;0,"Yes","No"))</f>
        <v/>
      </c>
      <c r="N411" s="53">
        <f>IF(A411="","",COUNTIF('AFA Rates'!$A$5:$A$504,A411))</f>
        <v/>
      </c>
      <c r="O411" s="54" t="n"/>
      <c r="P411" s="5" t="n"/>
      <c r="Q411" s="5" t="n"/>
      <c r="R411">
        <f>IF(AND(A411&lt;&gt;"",B411="Paused"),COUNTIFS($A$5:A411,"&lt;&gt;",$B$5:B411,"Paused"),"")</f>
        <v/>
      </c>
      <c r="S411">
        <f>IF(M411="Yes",COUNTIF($M$5:M411,"Yes"),"")</f>
        <v/>
      </c>
    </row>
    <row r="412">
      <c r="A412" s="5" t="n"/>
      <c r="B412" s="51" t="n"/>
      <c r="C412" s="5" t="n"/>
      <c r="D412" s="52" t="n"/>
      <c r="E412" s="52" t="n"/>
      <c r="F412" s="52" t="n"/>
      <c r="G412" s="52" t="n"/>
      <c r="H412" s="52" t="n"/>
      <c r="I412" s="52" t="n"/>
      <c r="J412" s="52" t="n"/>
      <c r="K412" s="52" t="n"/>
      <c r="L412" s="51" t="n"/>
      <c r="M412" s="53">
        <f>IF(A412="","",IF(COUNTIF('AFA Rates'!$A$5:$A$504,A412)&gt;0,"Yes","No"))</f>
        <v/>
      </c>
      <c r="N412" s="53">
        <f>IF(A412="","",COUNTIF('AFA Rates'!$A$5:$A$504,A412))</f>
        <v/>
      </c>
      <c r="O412" s="54" t="n"/>
      <c r="P412" s="5" t="n"/>
      <c r="Q412" s="5" t="n"/>
      <c r="R412">
        <f>IF(AND(A412&lt;&gt;"",B412="Paused"),COUNTIFS($A$5:A412,"&lt;&gt;",$B$5:B412,"Paused"),"")</f>
        <v/>
      </c>
      <c r="S412">
        <f>IF(M412="Yes",COUNTIF($M$5:M412,"Yes"),"")</f>
        <v/>
      </c>
    </row>
    <row r="413">
      <c r="A413" s="5" t="n"/>
      <c r="B413" s="51" t="n"/>
      <c r="C413" s="5" t="n"/>
      <c r="D413" s="52" t="n"/>
      <c r="E413" s="52" t="n"/>
      <c r="F413" s="52" t="n"/>
      <c r="G413" s="52" t="n"/>
      <c r="H413" s="52" t="n"/>
      <c r="I413" s="52" t="n"/>
      <c r="J413" s="52" t="n"/>
      <c r="K413" s="52" t="n"/>
      <c r="L413" s="51" t="n"/>
      <c r="M413" s="53">
        <f>IF(A413="","",IF(COUNTIF('AFA Rates'!$A$5:$A$504,A413)&gt;0,"Yes","No"))</f>
        <v/>
      </c>
      <c r="N413" s="53">
        <f>IF(A413="","",COUNTIF('AFA Rates'!$A$5:$A$504,A413))</f>
        <v/>
      </c>
      <c r="O413" s="54" t="n"/>
      <c r="P413" s="5" t="n"/>
      <c r="Q413" s="5" t="n"/>
      <c r="R413">
        <f>IF(AND(A413&lt;&gt;"",B413="Paused"),COUNTIFS($A$5:A413,"&lt;&gt;",$B$5:B413,"Paused"),"")</f>
        <v/>
      </c>
      <c r="S413">
        <f>IF(M413="Yes",COUNTIF($M$5:M413,"Yes"),"")</f>
        <v/>
      </c>
    </row>
    <row r="414">
      <c r="A414" s="5" t="n"/>
      <c r="B414" s="51" t="n"/>
      <c r="C414" s="5" t="n"/>
      <c r="D414" s="52" t="n"/>
      <c r="E414" s="52" t="n"/>
      <c r="F414" s="52" t="n"/>
      <c r="G414" s="52" t="n"/>
      <c r="H414" s="52" t="n"/>
      <c r="I414" s="52" t="n"/>
      <c r="J414" s="52" t="n"/>
      <c r="K414" s="52" t="n"/>
      <c r="L414" s="51" t="n"/>
      <c r="M414" s="53">
        <f>IF(A414="","",IF(COUNTIF('AFA Rates'!$A$5:$A$504,A414)&gt;0,"Yes","No"))</f>
        <v/>
      </c>
      <c r="N414" s="53">
        <f>IF(A414="","",COUNTIF('AFA Rates'!$A$5:$A$504,A414))</f>
        <v/>
      </c>
      <c r="O414" s="54" t="n"/>
      <c r="P414" s="5" t="n"/>
      <c r="Q414" s="5" t="n"/>
      <c r="R414">
        <f>IF(AND(A414&lt;&gt;"",B414="Paused"),COUNTIFS($A$5:A414,"&lt;&gt;",$B$5:B414,"Paused"),"")</f>
        <v/>
      </c>
      <c r="S414">
        <f>IF(M414="Yes",COUNTIF($M$5:M414,"Yes"),"")</f>
        <v/>
      </c>
    </row>
    <row r="415">
      <c r="A415" s="5" t="n"/>
      <c r="B415" s="51" t="n"/>
      <c r="C415" s="5" t="n"/>
      <c r="D415" s="52" t="n"/>
      <c r="E415" s="52" t="n"/>
      <c r="F415" s="52" t="n"/>
      <c r="G415" s="52" t="n"/>
      <c r="H415" s="52" t="n"/>
      <c r="I415" s="52" t="n"/>
      <c r="J415" s="52" t="n"/>
      <c r="K415" s="52" t="n"/>
      <c r="L415" s="51" t="n"/>
      <c r="M415" s="53">
        <f>IF(A415="","",IF(COUNTIF('AFA Rates'!$A$5:$A$504,A415)&gt;0,"Yes","No"))</f>
        <v/>
      </c>
      <c r="N415" s="53">
        <f>IF(A415="","",COUNTIF('AFA Rates'!$A$5:$A$504,A415))</f>
        <v/>
      </c>
      <c r="O415" s="54" t="n"/>
      <c r="P415" s="5" t="n"/>
      <c r="Q415" s="5" t="n"/>
      <c r="R415">
        <f>IF(AND(A415&lt;&gt;"",B415="Paused"),COUNTIFS($A$5:A415,"&lt;&gt;",$B$5:B415,"Paused"),"")</f>
        <v/>
      </c>
      <c r="S415">
        <f>IF(M415="Yes",COUNTIF($M$5:M415,"Yes"),"")</f>
        <v/>
      </c>
    </row>
    <row r="416">
      <c r="A416" s="5" t="n"/>
      <c r="B416" s="51" t="n"/>
      <c r="C416" s="5" t="n"/>
      <c r="D416" s="52" t="n"/>
      <c r="E416" s="52" t="n"/>
      <c r="F416" s="52" t="n"/>
      <c r="G416" s="52" t="n"/>
      <c r="H416" s="52" t="n"/>
      <c r="I416" s="52" t="n"/>
      <c r="J416" s="52" t="n"/>
      <c r="K416" s="52" t="n"/>
      <c r="L416" s="51" t="n"/>
      <c r="M416" s="53">
        <f>IF(A416="","",IF(COUNTIF('AFA Rates'!$A$5:$A$504,A416)&gt;0,"Yes","No"))</f>
        <v/>
      </c>
      <c r="N416" s="53">
        <f>IF(A416="","",COUNTIF('AFA Rates'!$A$5:$A$504,A416))</f>
        <v/>
      </c>
      <c r="O416" s="54" t="n"/>
      <c r="P416" s="5" t="n"/>
      <c r="Q416" s="5" t="n"/>
      <c r="R416">
        <f>IF(AND(A416&lt;&gt;"",B416="Paused"),COUNTIFS($A$5:A416,"&lt;&gt;",$B$5:B416,"Paused"),"")</f>
        <v/>
      </c>
      <c r="S416">
        <f>IF(M416="Yes",COUNTIF($M$5:M416,"Yes"),"")</f>
        <v/>
      </c>
    </row>
    <row r="417">
      <c r="A417" s="5" t="n"/>
      <c r="B417" s="51" t="n"/>
      <c r="C417" s="5" t="n"/>
      <c r="D417" s="52" t="n"/>
      <c r="E417" s="52" t="n"/>
      <c r="F417" s="52" t="n"/>
      <c r="G417" s="52" t="n"/>
      <c r="H417" s="52" t="n"/>
      <c r="I417" s="52" t="n"/>
      <c r="J417" s="52" t="n"/>
      <c r="K417" s="52" t="n"/>
      <c r="L417" s="51" t="n"/>
      <c r="M417" s="53">
        <f>IF(A417="","",IF(COUNTIF('AFA Rates'!$A$5:$A$504,A417)&gt;0,"Yes","No"))</f>
        <v/>
      </c>
      <c r="N417" s="53">
        <f>IF(A417="","",COUNTIF('AFA Rates'!$A$5:$A$504,A417))</f>
        <v/>
      </c>
      <c r="O417" s="54" t="n"/>
      <c r="P417" s="5" t="n"/>
      <c r="Q417" s="5" t="n"/>
      <c r="R417">
        <f>IF(AND(A417&lt;&gt;"",B417="Paused"),COUNTIFS($A$5:A417,"&lt;&gt;",$B$5:B417,"Paused"),"")</f>
        <v/>
      </c>
      <c r="S417">
        <f>IF(M417="Yes",COUNTIF($M$5:M417,"Yes"),"")</f>
        <v/>
      </c>
    </row>
    <row r="418">
      <c r="A418" s="5" t="n"/>
      <c r="B418" s="51" t="n"/>
      <c r="C418" s="5" t="n"/>
      <c r="D418" s="52" t="n"/>
      <c r="E418" s="52" t="n"/>
      <c r="F418" s="52" t="n"/>
      <c r="G418" s="52" t="n"/>
      <c r="H418" s="52" t="n"/>
      <c r="I418" s="52" t="n"/>
      <c r="J418" s="52" t="n"/>
      <c r="K418" s="52" t="n"/>
      <c r="L418" s="51" t="n"/>
      <c r="M418" s="53">
        <f>IF(A418="","",IF(COUNTIF('AFA Rates'!$A$5:$A$504,A418)&gt;0,"Yes","No"))</f>
        <v/>
      </c>
      <c r="N418" s="53">
        <f>IF(A418="","",COUNTIF('AFA Rates'!$A$5:$A$504,A418))</f>
        <v/>
      </c>
      <c r="O418" s="54" t="n"/>
      <c r="P418" s="5" t="n"/>
      <c r="Q418" s="5" t="n"/>
      <c r="R418">
        <f>IF(AND(A418&lt;&gt;"",B418="Paused"),COUNTIFS($A$5:A418,"&lt;&gt;",$B$5:B418,"Paused"),"")</f>
        <v/>
      </c>
      <c r="S418">
        <f>IF(M418="Yes",COUNTIF($M$5:M418,"Yes"),"")</f>
        <v/>
      </c>
    </row>
    <row r="419">
      <c r="A419" s="5" t="n"/>
      <c r="B419" s="51" t="n"/>
      <c r="C419" s="5" t="n"/>
      <c r="D419" s="52" t="n"/>
      <c r="E419" s="52" t="n"/>
      <c r="F419" s="52" t="n"/>
      <c r="G419" s="52" t="n"/>
      <c r="H419" s="52" t="n"/>
      <c r="I419" s="52" t="n"/>
      <c r="J419" s="52" t="n"/>
      <c r="K419" s="52" t="n"/>
      <c r="L419" s="51" t="n"/>
      <c r="M419" s="53">
        <f>IF(A419="","",IF(COUNTIF('AFA Rates'!$A$5:$A$504,A419)&gt;0,"Yes","No"))</f>
        <v/>
      </c>
      <c r="N419" s="53">
        <f>IF(A419="","",COUNTIF('AFA Rates'!$A$5:$A$504,A419))</f>
        <v/>
      </c>
      <c r="O419" s="54" t="n"/>
      <c r="P419" s="5" t="n"/>
      <c r="Q419" s="5" t="n"/>
      <c r="R419">
        <f>IF(AND(A419&lt;&gt;"",B419="Paused"),COUNTIFS($A$5:A419,"&lt;&gt;",$B$5:B419,"Paused"),"")</f>
        <v/>
      </c>
      <c r="S419">
        <f>IF(M419="Yes",COUNTIF($M$5:M419,"Yes"),"")</f>
        <v/>
      </c>
    </row>
    <row r="420">
      <c r="A420" s="5" t="n"/>
      <c r="B420" s="51" t="n"/>
      <c r="C420" s="5" t="n"/>
      <c r="D420" s="52" t="n"/>
      <c r="E420" s="52" t="n"/>
      <c r="F420" s="52" t="n"/>
      <c r="G420" s="52" t="n"/>
      <c r="H420" s="52" t="n"/>
      <c r="I420" s="52" t="n"/>
      <c r="J420" s="52" t="n"/>
      <c r="K420" s="52" t="n"/>
      <c r="L420" s="51" t="n"/>
      <c r="M420" s="53">
        <f>IF(A420="","",IF(COUNTIF('AFA Rates'!$A$5:$A$504,A420)&gt;0,"Yes","No"))</f>
        <v/>
      </c>
      <c r="N420" s="53">
        <f>IF(A420="","",COUNTIF('AFA Rates'!$A$5:$A$504,A420))</f>
        <v/>
      </c>
      <c r="O420" s="54" t="n"/>
      <c r="P420" s="5" t="n"/>
      <c r="Q420" s="5" t="n"/>
      <c r="R420">
        <f>IF(AND(A420&lt;&gt;"",B420="Paused"),COUNTIFS($A$5:A420,"&lt;&gt;",$B$5:B420,"Paused"),"")</f>
        <v/>
      </c>
      <c r="S420">
        <f>IF(M420="Yes",COUNTIF($M$5:M420,"Yes"),"")</f>
        <v/>
      </c>
    </row>
    <row r="421">
      <c r="A421" s="5" t="n"/>
      <c r="B421" s="51" t="n"/>
      <c r="C421" s="5" t="n"/>
      <c r="D421" s="52" t="n"/>
      <c r="E421" s="52" t="n"/>
      <c r="F421" s="52" t="n"/>
      <c r="G421" s="52" t="n"/>
      <c r="H421" s="52" t="n"/>
      <c r="I421" s="52" t="n"/>
      <c r="J421" s="52" t="n"/>
      <c r="K421" s="52" t="n"/>
      <c r="L421" s="51" t="n"/>
      <c r="M421" s="53">
        <f>IF(A421="","",IF(COUNTIF('AFA Rates'!$A$5:$A$504,A421)&gt;0,"Yes","No"))</f>
        <v/>
      </c>
      <c r="N421" s="53">
        <f>IF(A421="","",COUNTIF('AFA Rates'!$A$5:$A$504,A421))</f>
        <v/>
      </c>
      <c r="O421" s="54" t="n"/>
      <c r="P421" s="5" t="n"/>
      <c r="Q421" s="5" t="n"/>
      <c r="R421">
        <f>IF(AND(A421&lt;&gt;"",B421="Paused"),COUNTIFS($A$5:A421,"&lt;&gt;",$B$5:B421,"Paused"),"")</f>
        <v/>
      </c>
      <c r="S421">
        <f>IF(M421="Yes",COUNTIF($M$5:M421,"Yes"),"")</f>
        <v/>
      </c>
    </row>
    <row r="422">
      <c r="A422" s="5" t="n"/>
      <c r="B422" s="51" t="n"/>
      <c r="C422" s="5" t="n"/>
      <c r="D422" s="52" t="n"/>
      <c r="E422" s="52" t="n"/>
      <c r="F422" s="52" t="n"/>
      <c r="G422" s="52" t="n"/>
      <c r="H422" s="52" t="n"/>
      <c r="I422" s="52" t="n"/>
      <c r="J422" s="52" t="n"/>
      <c r="K422" s="52" t="n"/>
      <c r="L422" s="51" t="n"/>
      <c r="M422" s="53">
        <f>IF(A422="","",IF(COUNTIF('AFA Rates'!$A$5:$A$504,A422)&gt;0,"Yes","No"))</f>
        <v/>
      </c>
      <c r="N422" s="53">
        <f>IF(A422="","",COUNTIF('AFA Rates'!$A$5:$A$504,A422))</f>
        <v/>
      </c>
      <c r="O422" s="54" t="n"/>
      <c r="P422" s="5" t="n"/>
      <c r="Q422" s="5" t="n"/>
      <c r="R422">
        <f>IF(AND(A422&lt;&gt;"",B422="Paused"),COUNTIFS($A$5:A422,"&lt;&gt;",$B$5:B422,"Paused"),"")</f>
        <v/>
      </c>
      <c r="S422">
        <f>IF(M422="Yes",COUNTIF($M$5:M422,"Yes"),"")</f>
        <v/>
      </c>
    </row>
    <row r="423">
      <c r="A423" s="5" t="n"/>
      <c r="B423" s="51" t="n"/>
      <c r="C423" s="5" t="n"/>
      <c r="D423" s="52" t="n"/>
      <c r="E423" s="52" t="n"/>
      <c r="F423" s="52" t="n"/>
      <c r="G423" s="52" t="n"/>
      <c r="H423" s="52" t="n"/>
      <c r="I423" s="52" t="n"/>
      <c r="J423" s="52" t="n"/>
      <c r="K423" s="52" t="n"/>
      <c r="L423" s="51" t="n"/>
      <c r="M423" s="53">
        <f>IF(A423="","",IF(COUNTIF('AFA Rates'!$A$5:$A$504,A423)&gt;0,"Yes","No"))</f>
        <v/>
      </c>
      <c r="N423" s="53">
        <f>IF(A423="","",COUNTIF('AFA Rates'!$A$5:$A$504,A423))</f>
        <v/>
      </c>
      <c r="O423" s="54" t="n"/>
      <c r="P423" s="5" t="n"/>
      <c r="Q423" s="5" t="n"/>
      <c r="R423">
        <f>IF(AND(A423&lt;&gt;"",B423="Paused"),COUNTIFS($A$5:A423,"&lt;&gt;",$B$5:B423,"Paused"),"")</f>
        <v/>
      </c>
      <c r="S423">
        <f>IF(M423="Yes",COUNTIF($M$5:M423,"Yes"),"")</f>
        <v/>
      </c>
    </row>
    <row r="424">
      <c r="A424" s="5" t="n"/>
      <c r="B424" s="51" t="n"/>
      <c r="C424" s="5" t="n"/>
      <c r="D424" s="52" t="n"/>
      <c r="E424" s="52" t="n"/>
      <c r="F424" s="52" t="n"/>
      <c r="G424" s="52" t="n"/>
      <c r="H424" s="52" t="n"/>
      <c r="I424" s="52" t="n"/>
      <c r="J424" s="52" t="n"/>
      <c r="K424" s="52" t="n"/>
      <c r="L424" s="51" t="n"/>
      <c r="M424" s="53">
        <f>IF(A424="","",IF(COUNTIF('AFA Rates'!$A$5:$A$504,A424)&gt;0,"Yes","No"))</f>
        <v/>
      </c>
      <c r="N424" s="53">
        <f>IF(A424="","",COUNTIF('AFA Rates'!$A$5:$A$504,A424))</f>
        <v/>
      </c>
      <c r="O424" s="54" t="n"/>
      <c r="P424" s="5" t="n"/>
      <c r="Q424" s="5" t="n"/>
      <c r="R424">
        <f>IF(AND(A424&lt;&gt;"",B424="Paused"),COUNTIFS($A$5:A424,"&lt;&gt;",$B$5:B424,"Paused"),"")</f>
        <v/>
      </c>
      <c r="S424">
        <f>IF(M424="Yes",COUNTIF($M$5:M424,"Yes"),"")</f>
        <v/>
      </c>
    </row>
    <row r="425">
      <c r="A425" s="5" t="n"/>
      <c r="B425" s="51" t="n"/>
      <c r="C425" s="5" t="n"/>
      <c r="D425" s="52" t="n"/>
      <c r="E425" s="52" t="n"/>
      <c r="F425" s="52" t="n"/>
      <c r="G425" s="52" t="n"/>
      <c r="H425" s="52" t="n"/>
      <c r="I425" s="52" t="n"/>
      <c r="J425" s="52" t="n"/>
      <c r="K425" s="52" t="n"/>
      <c r="L425" s="51" t="n"/>
      <c r="M425" s="53">
        <f>IF(A425="","",IF(COUNTIF('AFA Rates'!$A$5:$A$504,A425)&gt;0,"Yes","No"))</f>
        <v/>
      </c>
      <c r="N425" s="53">
        <f>IF(A425="","",COUNTIF('AFA Rates'!$A$5:$A$504,A425))</f>
        <v/>
      </c>
      <c r="O425" s="54" t="n"/>
      <c r="P425" s="5" t="n"/>
      <c r="Q425" s="5" t="n"/>
      <c r="R425">
        <f>IF(AND(A425&lt;&gt;"",B425="Paused"),COUNTIFS($A$5:A425,"&lt;&gt;",$B$5:B425,"Paused"),"")</f>
        <v/>
      </c>
      <c r="S425">
        <f>IF(M425="Yes",COUNTIF($M$5:M425,"Yes"),"")</f>
        <v/>
      </c>
    </row>
    <row r="426">
      <c r="A426" s="5" t="n"/>
      <c r="B426" s="51" t="n"/>
      <c r="C426" s="5" t="n"/>
      <c r="D426" s="52" t="n"/>
      <c r="E426" s="52" t="n"/>
      <c r="F426" s="52" t="n"/>
      <c r="G426" s="52" t="n"/>
      <c r="H426" s="52" t="n"/>
      <c r="I426" s="52" t="n"/>
      <c r="J426" s="52" t="n"/>
      <c r="K426" s="52" t="n"/>
      <c r="L426" s="51" t="n"/>
      <c r="M426" s="53">
        <f>IF(A426="","",IF(COUNTIF('AFA Rates'!$A$5:$A$504,A426)&gt;0,"Yes","No"))</f>
        <v/>
      </c>
      <c r="N426" s="53">
        <f>IF(A426="","",COUNTIF('AFA Rates'!$A$5:$A$504,A426))</f>
        <v/>
      </c>
      <c r="O426" s="54" t="n"/>
      <c r="P426" s="5" t="n"/>
      <c r="Q426" s="5" t="n"/>
      <c r="R426">
        <f>IF(AND(A426&lt;&gt;"",B426="Paused"),COUNTIFS($A$5:A426,"&lt;&gt;",$B$5:B426,"Paused"),"")</f>
        <v/>
      </c>
      <c r="S426">
        <f>IF(M426="Yes",COUNTIF($M$5:M426,"Yes"),"")</f>
        <v/>
      </c>
    </row>
    <row r="427">
      <c r="A427" s="5" t="n"/>
      <c r="B427" s="51" t="n"/>
      <c r="C427" s="5" t="n"/>
      <c r="D427" s="52" t="n"/>
      <c r="E427" s="52" t="n"/>
      <c r="F427" s="52" t="n"/>
      <c r="G427" s="52" t="n"/>
      <c r="H427" s="52" t="n"/>
      <c r="I427" s="52" t="n"/>
      <c r="J427" s="52" t="n"/>
      <c r="K427" s="52" t="n"/>
      <c r="L427" s="51" t="n"/>
      <c r="M427" s="53">
        <f>IF(A427="","",IF(COUNTIF('AFA Rates'!$A$5:$A$504,A427)&gt;0,"Yes","No"))</f>
        <v/>
      </c>
      <c r="N427" s="53">
        <f>IF(A427="","",COUNTIF('AFA Rates'!$A$5:$A$504,A427))</f>
        <v/>
      </c>
      <c r="O427" s="54" t="n"/>
      <c r="P427" s="5" t="n"/>
      <c r="Q427" s="5" t="n"/>
      <c r="R427">
        <f>IF(AND(A427&lt;&gt;"",B427="Paused"),COUNTIFS($A$5:A427,"&lt;&gt;",$B$5:B427,"Paused"),"")</f>
        <v/>
      </c>
      <c r="S427">
        <f>IF(M427="Yes",COUNTIF($M$5:M427,"Yes"),"")</f>
        <v/>
      </c>
    </row>
    <row r="428">
      <c r="A428" s="5" t="n"/>
      <c r="B428" s="51" t="n"/>
      <c r="C428" s="5" t="n"/>
      <c r="D428" s="52" t="n"/>
      <c r="E428" s="52" t="n"/>
      <c r="F428" s="52" t="n"/>
      <c r="G428" s="52" t="n"/>
      <c r="H428" s="52" t="n"/>
      <c r="I428" s="52" t="n"/>
      <c r="J428" s="52" t="n"/>
      <c r="K428" s="52" t="n"/>
      <c r="L428" s="51" t="n"/>
      <c r="M428" s="53">
        <f>IF(A428="","",IF(COUNTIF('AFA Rates'!$A$5:$A$504,A428)&gt;0,"Yes","No"))</f>
        <v/>
      </c>
      <c r="N428" s="53">
        <f>IF(A428="","",COUNTIF('AFA Rates'!$A$5:$A$504,A428))</f>
        <v/>
      </c>
      <c r="O428" s="54" t="n"/>
      <c r="P428" s="5" t="n"/>
      <c r="Q428" s="5" t="n"/>
      <c r="R428">
        <f>IF(AND(A428&lt;&gt;"",B428="Paused"),COUNTIFS($A$5:A428,"&lt;&gt;",$B$5:B428,"Paused"),"")</f>
        <v/>
      </c>
      <c r="S428">
        <f>IF(M428="Yes",COUNTIF($M$5:M428,"Yes"),"")</f>
        <v/>
      </c>
    </row>
    <row r="429">
      <c r="A429" s="5" t="n"/>
      <c r="B429" s="51" t="n"/>
      <c r="C429" s="5" t="n"/>
      <c r="D429" s="52" t="n"/>
      <c r="E429" s="52" t="n"/>
      <c r="F429" s="52" t="n"/>
      <c r="G429" s="52" t="n"/>
      <c r="H429" s="52" t="n"/>
      <c r="I429" s="52" t="n"/>
      <c r="J429" s="52" t="n"/>
      <c r="K429" s="52" t="n"/>
      <c r="L429" s="51" t="n"/>
      <c r="M429" s="53">
        <f>IF(A429="","",IF(COUNTIF('AFA Rates'!$A$5:$A$504,A429)&gt;0,"Yes","No"))</f>
        <v/>
      </c>
      <c r="N429" s="53">
        <f>IF(A429="","",COUNTIF('AFA Rates'!$A$5:$A$504,A429))</f>
        <v/>
      </c>
      <c r="O429" s="54" t="n"/>
      <c r="P429" s="5" t="n"/>
      <c r="Q429" s="5" t="n"/>
      <c r="R429">
        <f>IF(AND(A429&lt;&gt;"",B429="Paused"),COUNTIFS($A$5:A429,"&lt;&gt;",$B$5:B429,"Paused"),"")</f>
        <v/>
      </c>
      <c r="S429">
        <f>IF(M429="Yes",COUNTIF($M$5:M429,"Yes"),"")</f>
        <v/>
      </c>
    </row>
    <row r="430">
      <c r="A430" s="5" t="n"/>
      <c r="B430" s="51" t="n"/>
      <c r="C430" s="5" t="n"/>
      <c r="D430" s="52" t="n"/>
      <c r="E430" s="52" t="n"/>
      <c r="F430" s="52" t="n"/>
      <c r="G430" s="52" t="n"/>
      <c r="H430" s="52" t="n"/>
      <c r="I430" s="52" t="n"/>
      <c r="J430" s="52" t="n"/>
      <c r="K430" s="52" t="n"/>
      <c r="L430" s="51" t="n"/>
      <c r="M430" s="53">
        <f>IF(A430="","",IF(COUNTIF('AFA Rates'!$A$5:$A$504,A430)&gt;0,"Yes","No"))</f>
        <v/>
      </c>
      <c r="N430" s="53">
        <f>IF(A430="","",COUNTIF('AFA Rates'!$A$5:$A$504,A430))</f>
        <v/>
      </c>
      <c r="O430" s="54" t="n"/>
      <c r="P430" s="5" t="n"/>
      <c r="Q430" s="5" t="n"/>
      <c r="R430">
        <f>IF(AND(A430&lt;&gt;"",B430="Paused"),COUNTIFS($A$5:A430,"&lt;&gt;",$B$5:B430,"Paused"),"")</f>
        <v/>
      </c>
      <c r="S430">
        <f>IF(M430="Yes",COUNTIF($M$5:M430,"Yes"),"")</f>
        <v/>
      </c>
    </row>
    <row r="431">
      <c r="A431" s="5" t="n"/>
      <c r="B431" s="51" t="n"/>
      <c r="C431" s="5" t="n"/>
      <c r="D431" s="52" t="n"/>
      <c r="E431" s="52" t="n"/>
      <c r="F431" s="52" t="n"/>
      <c r="G431" s="52" t="n"/>
      <c r="H431" s="52" t="n"/>
      <c r="I431" s="52" t="n"/>
      <c r="J431" s="52" t="n"/>
      <c r="K431" s="52" t="n"/>
      <c r="L431" s="51" t="n"/>
      <c r="M431" s="53">
        <f>IF(A431="","",IF(COUNTIF('AFA Rates'!$A$5:$A$504,A431)&gt;0,"Yes","No"))</f>
        <v/>
      </c>
      <c r="N431" s="53">
        <f>IF(A431="","",COUNTIF('AFA Rates'!$A$5:$A$504,A431))</f>
        <v/>
      </c>
      <c r="O431" s="54" t="n"/>
      <c r="P431" s="5" t="n"/>
      <c r="Q431" s="5" t="n"/>
      <c r="R431">
        <f>IF(AND(A431&lt;&gt;"",B431="Paused"),COUNTIFS($A$5:A431,"&lt;&gt;",$B$5:B431,"Paused"),"")</f>
        <v/>
      </c>
      <c r="S431">
        <f>IF(M431="Yes",COUNTIF($M$5:M431,"Yes"),"")</f>
        <v/>
      </c>
    </row>
    <row r="432">
      <c r="A432" s="5" t="n"/>
      <c r="B432" s="51" t="n"/>
      <c r="C432" s="5" t="n"/>
      <c r="D432" s="52" t="n"/>
      <c r="E432" s="52" t="n"/>
      <c r="F432" s="52" t="n"/>
      <c r="G432" s="52" t="n"/>
      <c r="H432" s="52" t="n"/>
      <c r="I432" s="52" t="n"/>
      <c r="J432" s="52" t="n"/>
      <c r="K432" s="52" t="n"/>
      <c r="L432" s="51" t="n"/>
      <c r="M432" s="53">
        <f>IF(A432="","",IF(COUNTIF('AFA Rates'!$A$5:$A$504,A432)&gt;0,"Yes","No"))</f>
        <v/>
      </c>
      <c r="N432" s="53">
        <f>IF(A432="","",COUNTIF('AFA Rates'!$A$5:$A$504,A432))</f>
        <v/>
      </c>
      <c r="O432" s="54" t="n"/>
      <c r="P432" s="5" t="n"/>
      <c r="Q432" s="5" t="n"/>
      <c r="R432">
        <f>IF(AND(A432&lt;&gt;"",B432="Paused"),COUNTIFS($A$5:A432,"&lt;&gt;",$B$5:B432,"Paused"),"")</f>
        <v/>
      </c>
      <c r="S432">
        <f>IF(M432="Yes",COUNTIF($M$5:M432,"Yes"),"")</f>
        <v/>
      </c>
    </row>
    <row r="433">
      <c r="A433" s="5" t="n"/>
      <c r="B433" s="51" t="n"/>
      <c r="C433" s="5" t="n"/>
      <c r="D433" s="52" t="n"/>
      <c r="E433" s="52" t="n"/>
      <c r="F433" s="52" t="n"/>
      <c r="G433" s="52" t="n"/>
      <c r="H433" s="52" t="n"/>
      <c r="I433" s="52" t="n"/>
      <c r="J433" s="52" t="n"/>
      <c r="K433" s="52" t="n"/>
      <c r="L433" s="51" t="n"/>
      <c r="M433" s="53">
        <f>IF(A433="","",IF(COUNTIF('AFA Rates'!$A$5:$A$504,A433)&gt;0,"Yes","No"))</f>
        <v/>
      </c>
      <c r="N433" s="53">
        <f>IF(A433="","",COUNTIF('AFA Rates'!$A$5:$A$504,A433))</f>
        <v/>
      </c>
      <c r="O433" s="54" t="n"/>
      <c r="P433" s="5" t="n"/>
      <c r="Q433" s="5" t="n"/>
      <c r="R433">
        <f>IF(AND(A433&lt;&gt;"",B433="Paused"),COUNTIFS($A$5:A433,"&lt;&gt;",$B$5:B433,"Paused"),"")</f>
        <v/>
      </c>
      <c r="S433">
        <f>IF(M433="Yes",COUNTIF($M$5:M433,"Yes"),"")</f>
        <v/>
      </c>
    </row>
    <row r="434">
      <c r="A434" s="5" t="n"/>
      <c r="B434" s="51" t="n"/>
      <c r="C434" s="5" t="n"/>
      <c r="D434" s="52" t="n"/>
      <c r="E434" s="52" t="n"/>
      <c r="F434" s="52" t="n"/>
      <c r="G434" s="52" t="n"/>
      <c r="H434" s="52" t="n"/>
      <c r="I434" s="52" t="n"/>
      <c r="J434" s="52" t="n"/>
      <c r="K434" s="52" t="n"/>
      <c r="L434" s="51" t="n"/>
      <c r="M434" s="53">
        <f>IF(A434="","",IF(COUNTIF('AFA Rates'!$A$5:$A$504,A434)&gt;0,"Yes","No"))</f>
        <v/>
      </c>
      <c r="N434" s="53">
        <f>IF(A434="","",COUNTIF('AFA Rates'!$A$5:$A$504,A434))</f>
        <v/>
      </c>
      <c r="O434" s="54" t="n"/>
      <c r="P434" s="5" t="n"/>
      <c r="Q434" s="5" t="n"/>
      <c r="R434">
        <f>IF(AND(A434&lt;&gt;"",B434="Paused"),COUNTIFS($A$5:A434,"&lt;&gt;",$B$5:B434,"Paused"),"")</f>
        <v/>
      </c>
      <c r="S434">
        <f>IF(M434="Yes",COUNTIF($M$5:M434,"Yes"),"")</f>
        <v/>
      </c>
    </row>
    <row r="435">
      <c r="A435" s="5" t="n"/>
      <c r="B435" s="51" t="n"/>
      <c r="C435" s="5" t="n"/>
      <c r="D435" s="52" t="n"/>
      <c r="E435" s="52" t="n"/>
      <c r="F435" s="52" t="n"/>
      <c r="G435" s="52" t="n"/>
      <c r="H435" s="52" t="n"/>
      <c r="I435" s="52" t="n"/>
      <c r="J435" s="52" t="n"/>
      <c r="K435" s="52" t="n"/>
      <c r="L435" s="51" t="n"/>
      <c r="M435" s="53">
        <f>IF(A435="","",IF(COUNTIF('AFA Rates'!$A$5:$A$504,A435)&gt;0,"Yes","No"))</f>
        <v/>
      </c>
      <c r="N435" s="53">
        <f>IF(A435="","",COUNTIF('AFA Rates'!$A$5:$A$504,A435))</f>
        <v/>
      </c>
      <c r="O435" s="54" t="n"/>
      <c r="P435" s="5" t="n"/>
      <c r="Q435" s="5" t="n"/>
      <c r="R435">
        <f>IF(AND(A435&lt;&gt;"",B435="Paused"),COUNTIFS($A$5:A435,"&lt;&gt;",$B$5:B435,"Paused"),"")</f>
        <v/>
      </c>
      <c r="S435">
        <f>IF(M435="Yes",COUNTIF($M$5:M435,"Yes"),"")</f>
        <v/>
      </c>
    </row>
    <row r="436">
      <c r="A436" s="5" t="n"/>
      <c r="B436" s="51" t="n"/>
      <c r="C436" s="5" t="n"/>
      <c r="D436" s="52" t="n"/>
      <c r="E436" s="52" t="n"/>
      <c r="F436" s="52" t="n"/>
      <c r="G436" s="52" t="n"/>
      <c r="H436" s="52" t="n"/>
      <c r="I436" s="52" t="n"/>
      <c r="J436" s="52" t="n"/>
      <c r="K436" s="52" t="n"/>
      <c r="L436" s="51" t="n"/>
      <c r="M436" s="53">
        <f>IF(A436="","",IF(COUNTIF('AFA Rates'!$A$5:$A$504,A436)&gt;0,"Yes","No"))</f>
        <v/>
      </c>
      <c r="N436" s="53">
        <f>IF(A436="","",COUNTIF('AFA Rates'!$A$5:$A$504,A436))</f>
        <v/>
      </c>
      <c r="O436" s="54" t="n"/>
      <c r="P436" s="5" t="n"/>
      <c r="Q436" s="5" t="n"/>
      <c r="R436">
        <f>IF(AND(A436&lt;&gt;"",B436="Paused"),COUNTIFS($A$5:A436,"&lt;&gt;",$B$5:B436,"Paused"),"")</f>
        <v/>
      </c>
      <c r="S436">
        <f>IF(M436="Yes",COUNTIF($M$5:M436,"Yes"),"")</f>
        <v/>
      </c>
    </row>
    <row r="437">
      <c r="A437" s="5" t="n"/>
      <c r="B437" s="51" t="n"/>
      <c r="C437" s="5" t="n"/>
      <c r="D437" s="52" t="n"/>
      <c r="E437" s="52" t="n"/>
      <c r="F437" s="52" t="n"/>
      <c r="G437" s="52" t="n"/>
      <c r="H437" s="52" t="n"/>
      <c r="I437" s="52" t="n"/>
      <c r="J437" s="52" t="n"/>
      <c r="K437" s="52" t="n"/>
      <c r="L437" s="51" t="n"/>
      <c r="M437" s="53">
        <f>IF(A437="","",IF(COUNTIF('AFA Rates'!$A$5:$A$504,A437)&gt;0,"Yes","No"))</f>
        <v/>
      </c>
      <c r="N437" s="53">
        <f>IF(A437="","",COUNTIF('AFA Rates'!$A$5:$A$504,A437))</f>
        <v/>
      </c>
      <c r="O437" s="54" t="n"/>
      <c r="P437" s="5" t="n"/>
      <c r="Q437" s="5" t="n"/>
      <c r="R437">
        <f>IF(AND(A437&lt;&gt;"",B437="Paused"),COUNTIFS($A$5:A437,"&lt;&gt;",$B$5:B437,"Paused"),"")</f>
        <v/>
      </c>
      <c r="S437">
        <f>IF(M437="Yes",COUNTIF($M$5:M437,"Yes"),"")</f>
        <v/>
      </c>
    </row>
    <row r="438">
      <c r="A438" s="5" t="n"/>
      <c r="B438" s="51" t="n"/>
      <c r="C438" s="5" t="n"/>
      <c r="D438" s="52" t="n"/>
      <c r="E438" s="52" t="n"/>
      <c r="F438" s="52" t="n"/>
      <c r="G438" s="52" t="n"/>
      <c r="H438" s="52" t="n"/>
      <c r="I438" s="52" t="n"/>
      <c r="J438" s="52" t="n"/>
      <c r="K438" s="52" t="n"/>
      <c r="L438" s="51" t="n"/>
      <c r="M438" s="53">
        <f>IF(A438="","",IF(COUNTIF('AFA Rates'!$A$5:$A$504,A438)&gt;0,"Yes","No"))</f>
        <v/>
      </c>
      <c r="N438" s="53">
        <f>IF(A438="","",COUNTIF('AFA Rates'!$A$5:$A$504,A438))</f>
        <v/>
      </c>
      <c r="O438" s="54" t="n"/>
      <c r="P438" s="5" t="n"/>
      <c r="Q438" s="5" t="n"/>
      <c r="R438">
        <f>IF(AND(A438&lt;&gt;"",B438="Paused"),COUNTIFS($A$5:A438,"&lt;&gt;",$B$5:B438,"Paused"),"")</f>
        <v/>
      </c>
      <c r="S438">
        <f>IF(M438="Yes",COUNTIF($M$5:M438,"Yes"),"")</f>
        <v/>
      </c>
    </row>
    <row r="439">
      <c r="A439" s="5" t="n"/>
      <c r="B439" s="51" t="n"/>
      <c r="C439" s="5" t="n"/>
      <c r="D439" s="52" t="n"/>
      <c r="E439" s="52" t="n"/>
      <c r="F439" s="52" t="n"/>
      <c r="G439" s="52" t="n"/>
      <c r="H439" s="52" t="n"/>
      <c r="I439" s="52" t="n"/>
      <c r="J439" s="52" t="n"/>
      <c r="K439" s="52" t="n"/>
      <c r="L439" s="51" t="n"/>
      <c r="M439" s="53">
        <f>IF(A439="","",IF(COUNTIF('AFA Rates'!$A$5:$A$504,A439)&gt;0,"Yes","No"))</f>
        <v/>
      </c>
      <c r="N439" s="53">
        <f>IF(A439="","",COUNTIF('AFA Rates'!$A$5:$A$504,A439))</f>
        <v/>
      </c>
      <c r="O439" s="54" t="n"/>
      <c r="P439" s="5" t="n"/>
      <c r="Q439" s="5" t="n"/>
      <c r="R439">
        <f>IF(AND(A439&lt;&gt;"",B439="Paused"),COUNTIFS($A$5:A439,"&lt;&gt;",$B$5:B439,"Paused"),"")</f>
        <v/>
      </c>
      <c r="S439">
        <f>IF(M439="Yes",COUNTIF($M$5:M439,"Yes"),"")</f>
        <v/>
      </c>
    </row>
    <row r="440">
      <c r="A440" s="5" t="n"/>
      <c r="B440" s="51" t="n"/>
      <c r="C440" s="5" t="n"/>
      <c r="D440" s="52" t="n"/>
      <c r="E440" s="52" t="n"/>
      <c r="F440" s="52" t="n"/>
      <c r="G440" s="52" t="n"/>
      <c r="H440" s="52" t="n"/>
      <c r="I440" s="52" t="n"/>
      <c r="J440" s="52" t="n"/>
      <c r="K440" s="52" t="n"/>
      <c r="L440" s="51" t="n"/>
      <c r="M440" s="53">
        <f>IF(A440="","",IF(COUNTIF('AFA Rates'!$A$5:$A$504,A440)&gt;0,"Yes","No"))</f>
        <v/>
      </c>
      <c r="N440" s="53">
        <f>IF(A440="","",COUNTIF('AFA Rates'!$A$5:$A$504,A440))</f>
        <v/>
      </c>
      <c r="O440" s="54" t="n"/>
      <c r="P440" s="5" t="n"/>
      <c r="Q440" s="5" t="n"/>
      <c r="R440">
        <f>IF(AND(A440&lt;&gt;"",B440="Paused"),COUNTIFS($A$5:A440,"&lt;&gt;",$B$5:B440,"Paused"),"")</f>
        <v/>
      </c>
      <c r="S440">
        <f>IF(M440="Yes",COUNTIF($M$5:M440,"Yes"),"")</f>
        <v/>
      </c>
    </row>
    <row r="441">
      <c r="A441" s="5" t="n"/>
      <c r="B441" s="51" t="n"/>
      <c r="C441" s="5" t="n"/>
      <c r="D441" s="52" t="n"/>
      <c r="E441" s="52" t="n"/>
      <c r="F441" s="52" t="n"/>
      <c r="G441" s="52" t="n"/>
      <c r="H441" s="52" t="n"/>
      <c r="I441" s="52" t="n"/>
      <c r="J441" s="52" t="n"/>
      <c r="K441" s="52" t="n"/>
      <c r="L441" s="51" t="n"/>
      <c r="M441" s="53">
        <f>IF(A441="","",IF(COUNTIF('AFA Rates'!$A$5:$A$504,A441)&gt;0,"Yes","No"))</f>
        <v/>
      </c>
      <c r="N441" s="53">
        <f>IF(A441="","",COUNTIF('AFA Rates'!$A$5:$A$504,A441))</f>
        <v/>
      </c>
      <c r="O441" s="54" t="n"/>
      <c r="P441" s="5" t="n"/>
      <c r="Q441" s="5" t="n"/>
      <c r="R441">
        <f>IF(AND(A441&lt;&gt;"",B441="Paused"),COUNTIFS($A$5:A441,"&lt;&gt;",$B$5:B441,"Paused"),"")</f>
        <v/>
      </c>
      <c r="S441">
        <f>IF(M441="Yes",COUNTIF($M$5:M441,"Yes"),"")</f>
        <v/>
      </c>
    </row>
    <row r="442">
      <c r="A442" s="5" t="n"/>
      <c r="B442" s="51" t="n"/>
      <c r="C442" s="5" t="n"/>
      <c r="D442" s="52" t="n"/>
      <c r="E442" s="52" t="n"/>
      <c r="F442" s="52" t="n"/>
      <c r="G442" s="52" t="n"/>
      <c r="H442" s="52" t="n"/>
      <c r="I442" s="52" t="n"/>
      <c r="J442" s="52" t="n"/>
      <c r="K442" s="52" t="n"/>
      <c r="L442" s="51" t="n"/>
      <c r="M442" s="53">
        <f>IF(A442="","",IF(COUNTIF('AFA Rates'!$A$5:$A$504,A442)&gt;0,"Yes","No"))</f>
        <v/>
      </c>
      <c r="N442" s="53">
        <f>IF(A442="","",COUNTIF('AFA Rates'!$A$5:$A$504,A442))</f>
        <v/>
      </c>
      <c r="O442" s="54" t="n"/>
      <c r="P442" s="5" t="n"/>
      <c r="Q442" s="5" t="n"/>
      <c r="R442">
        <f>IF(AND(A442&lt;&gt;"",B442="Paused"),COUNTIFS($A$5:A442,"&lt;&gt;",$B$5:B442,"Paused"),"")</f>
        <v/>
      </c>
      <c r="S442">
        <f>IF(M442="Yes",COUNTIF($M$5:M442,"Yes"),"")</f>
        <v/>
      </c>
    </row>
    <row r="443">
      <c r="A443" s="5" t="n"/>
      <c r="B443" s="51" t="n"/>
      <c r="C443" s="5" t="n"/>
      <c r="D443" s="52" t="n"/>
      <c r="E443" s="52" t="n"/>
      <c r="F443" s="52" t="n"/>
      <c r="G443" s="52" t="n"/>
      <c r="H443" s="52" t="n"/>
      <c r="I443" s="52" t="n"/>
      <c r="J443" s="52" t="n"/>
      <c r="K443" s="52" t="n"/>
      <c r="L443" s="51" t="n"/>
      <c r="M443" s="53">
        <f>IF(A443="","",IF(COUNTIF('AFA Rates'!$A$5:$A$504,A443)&gt;0,"Yes","No"))</f>
        <v/>
      </c>
      <c r="N443" s="53">
        <f>IF(A443="","",COUNTIF('AFA Rates'!$A$5:$A$504,A443))</f>
        <v/>
      </c>
      <c r="O443" s="54" t="n"/>
      <c r="P443" s="5" t="n"/>
      <c r="Q443" s="5" t="n"/>
      <c r="R443">
        <f>IF(AND(A443&lt;&gt;"",B443="Paused"),COUNTIFS($A$5:A443,"&lt;&gt;",$B$5:B443,"Paused"),"")</f>
        <v/>
      </c>
      <c r="S443">
        <f>IF(M443="Yes",COUNTIF($M$5:M443,"Yes"),"")</f>
        <v/>
      </c>
    </row>
    <row r="444">
      <c r="A444" s="5" t="n"/>
      <c r="B444" s="51" t="n"/>
      <c r="C444" s="5" t="n"/>
      <c r="D444" s="52" t="n"/>
      <c r="E444" s="52" t="n"/>
      <c r="F444" s="52" t="n"/>
      <c r="G444" s="52" t="n"/>
      <c r="H444" s="52" t="n"/>
      <c r="I444" s="52" t="n"/>
      <c r="J444" s="52" t="n"/>
      <c r="K444" s="52" t="n"/>
      <c r="L444" s="51" t="n"/>
      <c r="M444" s="53">
        <f>IF(A444="","",IF(COUNTIF('AFA Rates'!$A$5:$A$504,A444)&gt;0,"Yes","No"))</f>
        <v/>
      </c>
      <c r="N444" s="53">
        <f>IF(A444="","",COUNTIF('AFA Rates'!$A$5:$A$504,A444))</f>
        <v/>
      </c>
      <c r="O444" s="54" t="n"/>
      <c r="P444" s="5" t="n"/>
      <c r="Q444" s="5" t="n"/>
      <c r="R444">
        <f>IF(AND(A444&lt;&gt;"",B444="Paused"),COUNTIFS($A$5:A444,"&lt;&gt;",$B$5:B444,"Paused"),"")</f>
        <v/>
      </c>
      <c r="S444">
        <f>IF(M444="Yes",COUNTIF($M$5:M444,"Yes"),"")</f>
        <v/>
      </c>
    </row>
    <row r="445">
      <c r="A445" s="5" t="n"/>
      <c r="B445" s="51" t="n"/>
      <c r="C445" s="5" t="n"/>
      <c r="D445" s="52" t="n"/>
      <c r="E445" s="52" t="n"/>
      <c r="F445" s="52" t="n"/>
      <c r="G445" s="52" t="n"/>
      <c r="H445" s="52" t="n"/>
      <c r="I445" s="52" t="n"/>
      <c r="J445" s="52" t="n"/>
      <c r="K445" s="52" t="n"/>
      <c r="L445" s="51" t="n"/>
      <c r="M445" s="53">
        <f>IF(A445="","",IF(COUNTIF('AFA Rates'!$A$5:$A$504,A445)&gt;0,"Yes","No"))</f>
        <v/>
      </c>
      <c r="N445" s="53">
        <f>IF(A445="","",COUNTIF('AFA Rates'!$A$5:$A$504,A445))</f>
        <v/>
      </c>
      <c r="O445" s="54" t="n"/>
      <c r="P445" s="5" t="n"/>
      <c r="Q445" s="5" t="n"/>
      <c r="R445">
        <f>IF(AND(A445&lt;&gt;"",B445="Paused"),COUNTIFS($A$5:A445,"&lt;&gt;",$B$5:B445,"Paused"),"")</f>
        <v/>
      </c>
      <c r="S445">
        <f>IF(M445="Yes",COUNTIF($M$5:M445,"Yes"),"")</f>
        <v/>
      </c>
    </row>
    <row r="446">
      <c r="A446" s="5" t="n"/>
      <c r="B446" s="51" t="n"/>
      <c r="C446" s="5" t="n"/>
      <c r="D446" s="52" t="n"/>
      <c r="E446" s="52" t="n"/>
      <c r="F446" s="52" t="n"/>
      <c r="G446" s="52" t="n"/>
      <c r="H446" s="52" t="n"/>
      <c r="I446" s="52" t="n"/>
      <c r="J446" s="52" t="n"/>
      <c r="K446" s="52" t="n"/>
      <c r="L446" s="51" t="n"/>
      <c r="M446" s="53">
        <f>IF(A446="","",IF(COUNTIF('AFA Rates'!$A$5:$A$504,A446)&gt;0,"Yes","No"))</f>
        <v/>
      </c>
      <c r="N446" s="53">
        <f>IF(A446="","",COUNTIF('AFA Rates'!$A$5:$A$504,A446))</f>
        <v/>
      </c>
      <c r="O446" s="54" t="n"/>
      <c r="P446" s="5" t="n"/>
      <c r="Q446" s="5" t="n"/>
      <c r="R446">
        <f>IF(AND(A446&lt;&gt;"",B446="Paused"),COUNTIFS($A$5:A446,"&lt;&gt;",$B$5:B446,"Paused"),"")</f>
        <v/>
      </c>
      <c r="S446">
        <f>IF(M446="Yes",COUNTIF($M$5:M446,"Yes"),"")</f>
        <v/>
      </c>
    </row>
    <row r="447">
      <c r="A447" s="5" t="n"/>
      <c r="B447" s="51" t="n"/>
      <c r="C447" s="5" t="n"/>
      <c r="D447" s="52" t="n"/>
      <c r="E447" s="52" t="n"/>
      <c r="F447" s="52" t="n"/>
      <c r="G447" s="52" t="n"/>
      <c r="H447" s="52" t="n"/>
      <c r="I447" s="52" t="n"/>
      <c r="J447" s="52" t="n"/>
      <c r="K447" s="52" t="n"/>
      <c r="L447" s="51" t="n"/>
      <c r="M447" s="53">
        <f>IF(A447="","",IF(COUNTIF('AFA Rates'!$A$5:$A$504,A447)&gt;0,"Yes","No"))</f>
        <v/>
      </c>
      <c r="N447" s="53">
        <f>IF(A447="","",COUNTIF('AFA Rates'!$A$5:$A$504,A447))</f>
        <v/>
      </c>
      <c r="O447" s="54" t="n"/>
      <c r="P447" s="5" t="n"/>
      <c r="Q447" s="5" t="n"/>
      <c r="R447">
        <f>IF(AND(A447&lt;&gt;"",B447="Paused"),COUNTIFS($A$5:A447,"&lt;&gt;",$B$5:B447,"Paused"),"")</f>
        <v/>
      </c>
      <c r="S447">
        <f>IF(M447="Yes",COUNTIF($M$5:M447,"Yes"),"")</f>
        <v/>
      </c>
    </row>
    <row r="448">
      <c r="A448" s="5" t="n"/>
      <c r="B448" s="51" t="n"/>
      <c r="C448" s="5" t="n"/>
      <c r="D448" s="52" t="n"/>
      <c r="E448" s="52" t="n"/>
      <c r="F448" s="52" t="n"/>
      <c r="G448" s="52" t="n"/>
      <c r="H448" s="52" t="n"/>
      <c r="I448" s="52" t="n"/>
      <c r="J448" s="52" t="n"/>
      <c r="K448" s="52" t="n"/>
      <c r="L448" s="51" t="n"/>
      <c r="M448" s="53">
        <f>IF(A448="","",IF(COUNTIF('AFA Rates'!$A$5:$A$504,A448)&gt;0,"Yes","No"))</f>
        <v/>
      </c>
      <c r="N448" s="53">
        <f>IF(A448="","",COUNTIF('AFA Rates'!$A$5:$A$504,A448))</f>
        <v/>
      </c>
      <c r="O448" s="54" t="n"/>
      <c r="P448" s="5" t="n"/>
      <c r="Q448" s="5" t="n"/>
      <c r="R448">
        <f>IF(AND(A448&lt;&gt;"",B448="Paused"),COUNTIFS($A$5:A448,"&lt;&gt;",$B$5:B448,"Paused"),"")</f>
        <v/>
      </c>
      <c r="S448">
        <f>IF(M448="Yes",COUNTIF($M$5:M448,"Yes"),"")</f>
        <v/>
      </c>
    </row>
    <row r="449">
      <c r="A449" s="5" t="n"/>
      <c r="B449" s="51" t="n"/>
      <c r="C449" s="5" t="n"/>
      <c r="D449" s="52" t="n"/>
      <c r="E449" s="52" t="n"/>
      <c r="F449" s="52" t="n"/>
      <c r="G449" s="52" t="n"/>
      <c r="H449" s="52" t="n"/>
      <c r="I449" s="52" t="n"/>
      <c r="J449" s="52" t="n"/>
      <c r="K449" s="52" t="n"/>
      <c r="L449" s="51" t="n"/>
      <c r="M449" s="53">
        <f>IF(A449="","",IF(COUNTIF('AFA Rates'!$A$5:$A$504,A449)&gt;0,"Yes","No"))</f>
        <v/>
      </c>
      <c r="N449" s="53">
        <f>IF(A449="","",COUNTIF('AFA Rates'!$A$5:$A$504,A449))</f>
        <v/>
      </c>
      <c r="O449" s="54" t="n"/>
      <c r="P449" s="5" t="n"/>
      <c r="Q449" s="5" t="n"/>
      <c r="R449">
        <f>IF(AND(A449&lt;&gt;"",B449="Paused"),COUNTIFS($A$5:A449,"&lt;&gt;",$B$5:B449,"Paused"),"")</f>
        <v/>
      </c>
      <c r="S449">
        <f>IF(M449="Yes",COUNTIF($M$5:M449,"Yes"),"")</f>
        <v/>
      </c>
    </row>
    <row r="450">
      <c r="A450" s="5" t="n"/>
      <c r="B450" s="51" t="n"/>
      <c r="C450" s="5" t="n"/>
      <c r="D450" s="52" t="n"/>
      <c r="E450" s="52" t="n"/>
      <c r="F450" s="52" t="n"/>
      <c r="G450" s="52" t="n"/>
      <c r="H450" s="52" t="n"/>
      <c r="I450" s="52" t="n"/>
      <c r="J450" s="52" t="n"/>
      <c r="K450" s="52" t="n"/>
      <c r="L450" s="51" t="n"/>
      <c r="M450" s="53">
        <f>IF(A450="","",IF(COUNTIF('AFA Rates'!$A$5:$A$504,A450)&gt;0,"Yes","No"))</f>
        <v/>
      </c>
      <c r="N450" s="53">
        <f>IF(A450="","",COUNTIF('AFA Rates'!$A$5:$A$504,A450))</f>
        <v/>
      </c>
      <c r="O450" s="54" t="n"/>
      <c r="P450" s="5" t="n"/>
      <c r="Q450" s="5" t="n"/>
      <c r="R450">
        <f>IF(AND(A450&lt;&gt;"",B450="Paused"),COUNTIFS($A$5:A450,"&lt;&gt;",$B$5:B450,"Paused"),"")</f>
        <v/>
      </c>
      <c r="S450">
        <f>IF(M450="Yes",COUNTIF($M$5:M450,"Yes"),"")</f>
        <v/>
      </c>
    </row>
    <row r="451">
      <c r="A451" s="5" t="n"/>
      <c r="B451" s="51" t="n"/>
      <c r="C451" s="5" t="n"/>
      <c r="D451" s="52" t="n"/>
      <c r="E451" s="52" t="n"/>
      <c r="F451" s="52" t="n"/>
      <c r="G451" s="52" t="n"/>
      <c r="H451" s="52" t="n"/>
      <c r="I451" s="52" t="n"/>
      <c r="J451" s="52" t="n"/>
      <c r="K451" s="52" t="n"/>
      <c r="L451" s="51" t="n"/>
      <c r="M451" s="53">
        <f>IF(A451="","",IF(COUNTIF('AFA Rates'!$A$5:$A$504,A451)&gt;0,"Yes","No"))</f>
        <v/>
      </c>
      <c r="N451" s="53">
        <f>IF(A451="","",COUNTIF('AFA Rates'!$A$5:$A$504,A451))</f>
        <v/>
      </c>
      <c r="O451" s="54" t="n"/>
      <c r="P451" s="5" t="n"/>
      <c r="Q451" s="5" t="n"/>
      <c r="R451">
        <f>IF(AND(A451&lt;&gt;"",B451="Paused"),COUNTIFS($A$5:A451,"&lt;&gt;",$B$5:B451,"Paused"),"")</f>
        <v/>
      </c>
      <c r="S451">
        <f>IF(M451="Yes",COUNTIF($M$5:M451,"Yes"),"")</f>
        <v/>
      </c>
    </row>
    <row r="452">
      <c r="A452" s="5" t="n"/>
      <c r="B452" s="51" t="n"/>
      <c r="C452" s="5" t="n"/>
      <c r="D452" s="52" t="n"/>
      <c r="E452" s="52" t="n"/>
      <c r="F452" s="52" t="n"/>
      <c r="G452" s="52" t="n"/>
      <c r="H452" s="52" t="n"/>
      <c r="I452" s="52" t="n"/>
      <c r="J452" s="52" t="n"/>
      <c r="K452" s="52" t="n"/>
      <c r="L452" s="51" t="n"/>
      <c r="M452" s="53">
        <f>IF(A452="","",IF(COUNTIF('AFA Rates'!$A$5:$A$504,A452)&gt;0,"Yes","No"))</f>
        <v/>
      </c>
      <c r="N452" s="53">
        <f>IF(A452="","",COUNTIF('AFA Rates'!$A$5:$A$504,A452))</f>
        <v/>
      </c>
      <c r="O452" s="54" t="n"/>
      <c r="P452" s="5" t="n"/>
      <c r="Q452" s="5" t="n"/>
      <c r="R452">
        <f>IF(AND(A452&lt;&gt;"",B452="Paused"),COUNTIFS($A$5:A452,"&lt;&gt;",$B$5:B452,"Paused"),"")</f>
        <v/>
      </c>
      <c r="S452">
        <f>IF(M452="Yes",COUNTIF($M$5:M452,"Yes"),"")</f>
        <v/>
      </c>
    </row>
    <row r="453">
      <c r="A453" s="5" t="n"/>
      <c r="B453" s="51" t="n"/>
      <c r="C453" s="5" t="n"/>
      <c r="D453" s="52" t="n"/>
      <c r="E453" s="52" t="n"/>
      <c r="F453" s="52" t="n"/>
      <c r="G453" s="52" t="n"/>
      <c r="H453" s="52" t="n"/>
      <c r="I453" s="52" t="n"/>
      <c r="J453" s="52" t="n"/>
      <c r="K453" s="52" t="n"/>
      <c r="L453" s="51" t="n"/>
      <c r="M453" s="53">
        <f>IF(A453="","",IF(COUNTIF('AFA Rates'!$A$5:$A$504,A453)&gt;0,"Yes","No"))</f>
        <v/>
      </c>
      <c r="N453" s="53">
        <f>IF(A453="","",COUNTIF('AFA Rates'!$A$5:$A$504,A453))</f>
        <v/>
      </c>
      <c r="O453" s="54" t="n"/>
      <c r="P453" s="5" t="n"/>
      <c r="Q453" s="5" t="n"/>
      <c r="R453">
        <f>IF(AND(A453&lt;&gt;"",B453="Paused"),COUNTIFS($A$5:A453,"&lt;&gt;",$B$5:B453,"Paused"),"")</f>
        <v/>
      </c>
      <c r="S453">
        <f>IF(M453="Yes",COUNTIF($M$5:M453,"Yes"),"")</f>
        <v/>
      </c>
    </row>
    <row r="454">
      <c r="A454" s="5" t="n"/>
      <c r="B454" s="51" t="n"/>
      <c r="C454" s="5" t="n"/>
      <c r="D454" s="52" t="n"/>
      <c r="E454" s="52" t="n"/>
      <c r="F454" s="52" t="n"/>
      <c r="G454" s="52" t="n"/>
      <c r="H454" s="52" t="n"/>
      <c r="I454" s="52" t="n"/>
      <c r="J454" s="52" t="n"/>
      <c r="K454" s="52" t="n"/>
      <c r="L454" s="51" t="n"/>
      <c r="M454" s="53">
        <f>IF(A454="","",IF(COUNTIF('AFA Rates'!$A$5:$A$504,A454)&gt;0,"Yes","No"))</f>
        <v/>
      </c>
      <c r="N454" s="53">
        <f>IF(A454="","",COUNTIF('AFA Rates'!$A$5:$A$504,A454))</f>
        <v/>
      </c>
      <c r="O454" s="54" t="n"/>
      <c r="P454" s="5" t="n"/>
      <c r="Q454" s="5" t="n"/>
      <c r="R454">
        <f>IF(AND(A454&lt;&gt;"",B454="Paused"),COUNTIFS($A$5:A454,"&lt;&gt;",$B$5:B454,"Paused"),"")</f>
        <v/>
      </c>
      <c r="S454">
        <f>IF(M454="Yes",COUNTIF($M$5:M454,"Yes"),"")</f>
        <v/>
      </c>
    </row>
    <row r="455">
      <c r="A455" s="5" t="n"/>
      <c r="B455" s="51" t="n"/>
      <c r="C455" s="5" t="n"/>
      <c r="D455" s="52" t="n"/>
      <c r="E455" s="52" t="n"/>
      <c r="F455" s="52" t="n"/>
      <c r="G455" s="52" t="n"/>
      <c r="H455" s="52" t="n"/>
      <c r="I455" s="52" t="n"/>
      <c r="J455" s="52" t="n"/>
      <c r="K455" s="52" t="n"/>
      <c r="L455" s="51" t="n"/>
      <c r="M455" s="53">
        <f>IF(A455="","",IF(COUNTIF('AFA Rates'!$A$5:$A$504,A455)&gt;0,"Yes","No"))</f>
        <v/>
      </c>
      <c r="N455" s="53">
        <f>IF(A455="","",COUNTIF('AFA Rates'!$A$5:$A$504,A455))</f>
        <v/>
      </c>
      <c r="O455" s="54" t="n"/>
      <c r="P455" s="5" t="n"/>
      <c r="Q455" s="5" t="n"/>
      <c r="R455">
        <f>IF(AND(A455&lt;&gt;"",B455="Paused"),COUNTIFS($A$5:A455,"&lt;&gt;",$B$5:B455,"Paused"),"")</f>
        <v/>
      </c>
      <c r="S455">
        <f>IF(M455="Yes",COUNTIF($M$5:M455,"Yes"),"")</f>
        <v/>
      </c>
    </row>
    <row r="456">
      <c r="A456" s="5" t="n"/>
      <c r="B456" s="51" t="n"/>
      <c r="C456" s="5" t="n"/>
      <c r="D456" s="52" t="n"/>
      <c r="E456" s="52" t="n"/>
      <c r="F456" s="52" t="n"/>
      <c r="G456" s="52" t="n"/>
      <c r="H456" s="52" t="n"/>
      <c r="I456" s="52" t="n"/>
      <c r="J456" s="52" t="n"/>
      <c r="K456" s="52" t="n"/>
      <c r="L456" s="51" t="n"/>
      <c r="M456" s="53">
        <f>IF(A456="","",IF(COUNTIF('AFA Rates'!$A$5:$A$504,A456)&gt;0,"Yes","No"))</f>
        <v/>
      </c>
      <c r="N456" s="53">
        <f>IF(A456="","",COUNTIF('AFA Rates'!$A$5:$A$504,A456))</f>
        <v/>
      </c>
      <c r="O456" s="54" t="n"/>
      <c r="P456" s="5" t="n"/>
      <c r="Q456" s="5" t="n"/>
      <c r="R456">
        <f>IF(AND(A456&lt;&gt;"",B456="Paused"),COUNTIFS($A$5:A456,"&lt;&gt;",$B$5:B456,"Paused"),"")</f>
        <v/>
      </c>
      <c r="S456">
        <f>IF(M456="Yes",COUNTIF($M$5:M456,"Yes"),"")</f>
        <v/>
      </c>
    </row>
    <row r="457">
      <c r="A457" s="5" t="n"/>
      <c r="B457" s="51" t="n"/>
      <c r="C457" s="5" t="n"/>
      <c r="D457" s="52" t="n"/>
      <c r="E457" s="52" t="n"/>
      <c r="F457" s="52" t="n"/>
      <c r="G457" s="52" t="n"/>
      <c r="H457" s="52" t="n"/>
      <c r="I457" s="52" t="n"/>
      <c r="J457" s="52" t="n"/>
      <c r="K457" s="52" t="n"/>
      <c r="L457" s="51" t="n"/>
      <c r="M457" s="53">
        <f>IF(A457="","",IF(COUNTIF('AFA Rates'!$A$5:$A$504,A457)&gt;0,"Yes","No"))</f>
        <v/>
      </c>
      <c r="N457" s="53">
        <f>IF(A457="","",COUNTIF('AFA Rates'!$A$5:$A$504,A457))</f>
        <v/>
      </c>
      <c r="O457" s="54" t="n"/>
      <c r="P457" s="5" t="n"/>
      <c r="Q457" s="5" t="n"/>
      <c r="R457">
        <f>IF(AND(A457&lt;&gt;"",B457="Paused"),COUNTIFS($A$5:A457,"&lt;&gt;",$B$5:B457,"Paused"),"")</f>
        <v/>
      </c>
      <c r="S457">
        <f>IF(M457="Yes",COUNTIF($M$5:M457,"Yes"),"")</f>
        <v/>
      </c>
    </row>
    <row r="458">
      <c r="A458" s="5" t="n"/>
      <c r="B458" s="51" t="n"/>
      <c r="C458" s="5" t="n"/>
      <c r="D458" s="52" t="n"/>
      <c r="E458" s="52" t="n"/>
      <c r="F458" s="52" t="n"/>
      <c r="G458" s="52" t="n"/>
      <c r="H458" s="52" t="n"/>
      <c r="I458" s="52" t="n"/>
      <c r="J458" s="52" t="n"/>
      <c r="K458" s="52" t="n"/>
      <c r="L458" s="51" t="n"/>
      <c r="M458" s="53">
        <f>IF(A458="","",IF(COUNTIF('AFA Rates'!$A$5:$A$504,A458)&gt;0,"Yes","No"))</f>
        <v/>
      </c>
      <c r="N458" s="53">
        <f>IF(A458="","",COUNTIF('AFA Rates'!$A$5:$A$504,A458))</f>
        <v/>
      </c>
      <c r="O458" s="54" t="n"/>
      <c r="P458" s="5" t="n"/>
      <c r="Q458" s="5" t="n"/>
      <c r="R458">
        <f>IF(AND(A458&lt;&gt;"",B458="Paused"),COUNTIFS($A$5:A458,"&lt;&gt;",$B$5:B458,"Paused"),"")</f>
        <v/>
      </c>
      <c r="S458">
        <f>IF(M458="Yes",COUNTIF($M$5:M458,"Yes"),"")</f>
        <v/>
      </c>
    </row>
    <row r="459">
      <c r="A459" s="5" t="n"/>
      <c r="B459" s="51" t="n"/>
      <c r="C459" s="5" t="n"/>
      <c r="D459" s="52" t="n"/>
      <c r="E459" s="52" t="n"/>
      <c r="F459" s="52" t="n"/>
      <c r="G459" s="52" t="n"/>
      <c r="H459" s="52" t="n"/>
      <c r="I459" s="52" t="n"/>
      <c r="J459" s="52" t="n"/>
      <c r="K459" s="52" t="n"/>
      <c r="L459" s="51" t="n"/>
      <c r="M459" s="53">
        <f>IF(A459="","",IF(COUNTIF('AFA Rates'!$A$5:$A$504,A459)&gt;0,"Yes","No"))</f>
        <v/>
      </c>
      <c r="N459" s="53">
        <f>IF(A459="","",COUNTIF('AFA Rates'!$A$5:$A$504,A459))</f>
        <v/>
      </c>
      <c r="O459" s="54" t="n"/>
      <c r="P459" s="5" t="n"/>
      <c r="Q459" s="5" t="n"/>
      <c r="R459">
        <f>IF(AND(A459&lt;&gt;"",B459="Paused"),COUNTIFS($A$5:A459,"&lt;&gt;",$B$5:B459,"Paused"),"")</f>
        <v/>
      </c>
      <c r="S459">
        <f>IF(M459="Yes",COUNTIF($M$5:M459,"Yes"),"")</f>
        <v/>
      </c>
    </row>
    <row r="460">
      <c r="A460" s="5" t="n"/>
      <c r="B460" s="51" t="n"/>
      <c r="C460" s="5" t="n"/>
      <c r="D460" s="52" t="n"/>
      <c r="E460" s="52" t="n"/>
      <c r="F460" s="52" t="n"/>
      <c r="G460" s="52" t="n"/>
      <c r="H460" s="52" t="n"/>
      <c r="I460" s="52" t="n"/>
      <c r="J460" s="52" t="n"/>
      <c r="K460" s="52" t="n"/>
      <c r="L460" s="51" t="n"/>
      <c r="M460" s="53">
        <f>IF(A460="","",IF(COUNTIF('AFA Rates'!$A$5:$A$504,A460)&gt;0,"Yes","No"))</f>
        <v/>
      </c>
      <c r="N460" s="53">
        <f>IF(A460="","",COUNTIF('AFA Rates'!$A$5:$A$504,A460))</f>
        <v/>
      </c>
      <c r="O460" s="54" t="n"/>
      <c r="P460" s="5" t="n"/>
      <c r="Q460" s="5" t="n"/>
      <c r="R460">
        <f>IF(AND(A460&lt;&gt;"",B460="Paused"),COUNTIFS($A$5:A460,"&lt;&gt;",$B$5:B460,"Paused"),"")</f>
        <v/>
      </c>
      <c r="S460">
        <f>IF(M460="Yes",COUNTIF($M$5:M460,"Yes"),"")</f>
        <v/>
      </c>
    </row>
    <row r="461">
      <c r="A461" s="5" t="n"/>
      <c r="B461" s="51" t="n"/>
      <c r="C461" s="5" t="n"/>
      <c r="D461" s="52" t="n"/>
      <c r="E461" s="52" t="n"/>
      <c r="F461" s="52" t="n"/>
      <c r="G461" s="52" t="n"/>
      <c r="H461" s="52" t="n"/>
      <c r="I461" s="52" t="n"/>
      <c r="J461" s="52" t="n"/>
      <c r="K461" s="52" t="n"/>
      <c r="L461" s="51" t="n"/>
      <c r="M461" s="53">
        <f>IF(A461="","",IF(COUNTIF('AFA Rates'!$A$5:$A$504,A461)&gt;0,"Yes","No"))</f>
        <v/>
      </c>
      <c r="N461" s="53">
        <f>IF(A461="","",COUNTIF('AFA Rates'!$A$5:$A$504,A461))</f>
        <v/>
      </c>
      <c r="O461" s="54" t="n"/>
      <c r="P461" s="5" t="n"/>
      <c r="Q461" s="5" t="n"/>
      <c r="R461">
        <f>IF(AND(A461&lt;&gt;"",B461="Paused"),COUNTIFS($A$5:A461,"&lt;&gt;",$B$5:B461,"Paused"),"")</f>
        <v/>
      </c>
      <c r="S461">
        <f>IF(M461="Yes",COUNTIF($M$5:M461,"Yes"),"")</f>
        <v/>
      </c>
    </row>
    <row r="462">
      <c r="A462" s="5" t="n"/>
      <c r="B462" s="51" t="n"/>
      <c r="C462" s="5" t="n"/>
      <c r="D462" s="52" t="n"/>
      <c r="E462" s="52" t="n"/>
      <c r="F462" s="52" t="n"/>
      <c r="G462" s="52" t="n"/>
      <c r="H462" s="52" t="n"/>
      <c r="I462" s="52" t="n"/>
      <c r="J462" s="52" t="n"/>
      <c r="K462" s="52" t="n"/>
      <c r="L462" s="51" t="n"/>
      <c r="M462" s="53">
        <f>IF(A462="","",IF(COUNTIF('AFA Rates'!$A$5:$A$504,A462)&gt;0,"Yes","No"))</f>
        <v/>
      </c>
      <c r="N462" s="53">
        <f>IF(A462="","",COUNTIF('AFA Rates'!$A$5:$A$504,A462))</f>
        <v/>
      </c>
      <c r="O462" s="54" t="n"/>
      <c r="P462" s="5" t="n"/>
      <c r="Q462" s="5" t="n"/>
      <c r="R462">
        <f>IF(AND(A462&lt;&gt;"",B462="Paused"),COUNTIFS($A$5:A462,"&lt;&gt;",$B$5:B462,"Paused"),"")</f>
        <v/>
      </c>
      <c r="S462">
        <f>IF(M462="Yes",COUNTIF($M$5:M462,"Yes"),"")</f>
        <v/>
      </c>
    </row>
    <row r="463">
      <c r="A463" s="5" t="n"/>
      <c r="B463" s="51" t="n"/>
      <c r="C463" s="5" t="n"/>
      <c r="D463" s="52" t="n"/>
      <c r="E463" s="52" t="n"/>
      <c r="F463" s="52" t="n"/>
      <c r="G463" s="52" t="n"/>
      <c r="H463" s="52" t="n"/>
      <c r="I463" s="52" t="n"/>
      <c r="J463" s="52" t="n"/>
      <c r="K463" s="52" t="n"/>
      <c r="L463" s="51" t="n"/>
      <c r="M463" s="53">
        <f>IF(A463="","",IF(COUNTIF('AFA Rates'!$A$5:$A$504,A463)&gt;0,"Yes","No"))</f>
        <v/>
      </c>
      <c r="N463" s="53">
        <f>IF(A463="","",COUNTIF('AFA Rates'!$A$5:$A$504,A463))</f>
        <v/>
      </c>
      <c r="O463" s="54" t="n"/>
      <c r="P463" s="5" t="n"/>
      <c r="Q463" s="5" t="n"/>
      <c r="R463">
        <f>IF(AND(A463&lt;&gt;"",B463="Paused"),COUNTIFS($A$5:A463,"&lt;&gt;",$B$5:B463,"Paused"),"")</f>
        <v/>
      </c>
      <c r="S463">
        <f>IF(M463="Yes",COUNTIF($M$5:M463,"Yes"),"")</f>
        <v/>
      </c>
    </row>
    <row r="464">
      <c r="A464" s="5" t="n"/>
      <c r="B464" s="51" t="n"/>
      <c r="C464" s="5" t="n"/>
      <c r="D464" s="52" t="n"/>
      <c r="E464" s="52" t="n"/>
      <c r="F464" s="52" t="n"/>
      <c r="G464" s="52" t="n"/>
      <c r="H464" s="52" t="n"/>
      <c r="I464" s="52" t="n"/>
      <c r="J464" s="52" t="n"/>
      <c r="K464" s="52" t="n"/>
      <c r="L464" s="51" t="n"/>
      <c r="M464" s="53">
        <f>IF(A464="","",IF(COUNTIF('AFA Rates'!$A$5:$A$504,A464)&gt;0,"Yes","No"))</f>
        <v/>
      </c>
      <c r="N464" s="53">
        <f>IF(A464="","",COUNTIF('AFA Rates'!$A$5:$A$504,A464))</f>
        <v/>
      </c>
      <c r="O464" s="54" t="n"/>
      <c r="P464" s="5" t="n"/>
      <c r="Q464" s="5" t="n"/>
      <c r="R464">
        <f>IF(AND(A464&lt;&gt;"",B464="Paused"),COUNTIFS($A$5:A464,"&lt;&gt;",$B$5:B464,"Paused"),"")</f>
        <v/>
      </c>
      <c r="S464">
        <f>IF(M464="Yes",COUNTIF($M$5:M464,"Yes"),"")</f>
        <v/>
      </c>
    </row>
    <row r="465">
      <c r="A465" s="5" t="n"/>
      <c r="B465" s="51" t="n"/>
      <c r="C465" s="5" t="n"/>
      <c r="D465" s="52" t="n"/>
      <c r="E465" s="52" t="n"/>
      <c r="F465" s="52" t="n"/>
      <c r="G465" s="52" t="n"/>
      <c r="H465" s="52" t="n"/>
      <c r="I465" s="52" t="n"/>
      <c r="J465" s="52" t="n"/>
      <c r="K465" s="52" t="n"/>
      <c r="L465" s="51" t="n"/>
      <c r="M465" s="53">
        <f>IF(A465="","",IF(COUNTIF('AFA Rates'!$A$5:$A$504,A465)&gt;0,"Yes","No"))</f>
        <v/>
      </c>
      <c r="N465" s="53">
        <f>IF(A465="","",COUNTIF('AFA Rates'!$A$5:$A$504,A465))</f>
        <v/>
      </c>
      <c r="O465" s="54" t="n"/>
      <c r="P465" s="5" t="n"/>
      <c r="Q465" s="5" t="n"/>
      <c r="R465">
        <f>IF(AND(A465&lt;&gt;"",B465="Paused"),COUNTIFS($A$5:A465,"&lt;&gt;",$B$5:B465,"Paused"),"")</f>
        <v/>
      </c>
      <c r="S465">
        <f>IF(M465="Yes",COUNTIF($M$5:M465,"Yes"),"")</f>
        <v/>
      </c>
    </row>
    <row r="466">
      <c r="A466" s="5" t="n"/>
      <c r="B466" s="51" t="n"/>
      <c r="C466" s="5" t="n"/>
      <c r="D466" s="52" t="n"/>
      <c r="E466" s="52" t="n"/>
      <c r="F466" s="52" t="n"/>
      <c r="G466" s="52" t="n"/>
      <c r="H466" s="52" t="n"/>
      <c r="I466" s="52" t="n"/>
      <c r="J466" s="52" t="n"/>
      <c r="K466" s="52" t="n"/>
      <c r="L466" s="51" t="n"/>
      <c r="M466" s="53">
        <f>IF(A466="","",IF(COUNTIF('AFA Rates'!$A$5:$A$504,A466)&gt;0,"Yes","No"))</f>
        <v/>
      </c>
      <c r="N466" s="53">
        <f>IF(A466="","",COUNTIF('AFA Rates'!$A$5:$A$504,A466))</f>
        <v/>
      </c>
      <c r="O466" s="54" t="n"/>
      <c r="P466" s="5" t="n"/>
      <c r="Q466" s="5" t="n"/>
      <c r="R466">
        <f>IF(AND(A466&lt;&gt;"",B466="Paused"),COUNTIFS($A$5:A466,"&lt;&gt;",$B$5:B466,"Paused"),"")</f>
        <v/>
      </c>
      <c r="S466">
        <f>IF(M466="Yes",COUNTIF($M$5:M466,"Yes"),"")</f>
        <v/>
      </c>
    </row>
    <row r="467">
      <c r="A467" s="5" t="n"/>
      <c r="B467" s="51" t="n"/>
      <c r="C467" s="5" t="n"/>
      <c r="D467" s="52" t="n"/>
      <c r="E467" s="52" t="n"/>
      <c r="F467" s="52" t="n"/>
      <c r="G467" s="52" t="n"/>
      <c r="H467" s="52" t="n"/>
      <c r="I467" s="52" t="n"/>
      <c r="J467" s="52" t="n"/>
      <c r="K467" s="52" t="n"/>
      <c r="L467" s="51" t="n"/>
      <c r="M467" s="53">
        <f>IF(A467="","",IF(COUNTIF('AFA Rates'!$A$5:$A$504,A467)&gt;0,"Yes","No"))</f>
        <v/>
      </c>
      <c r="N467" s="53">
        <f>IF(A467="","",COUNTIF('AFA Rates'!$A$5:$A$504,A467))</f>
        <v/>
      </c>
      <c r="O467" s="54" t="n"/>
      <c r="P467" s="5" t="n"/>
      <c r="Q467" s="5" t="n"/>
      <c r="R467">
        <f>IF(AND(A467&lt;&gt;"",B467="Paused"),COUNTIFS($A$5:A467,"&lt;&gt;",$B$5:B467,"Paused"),"")</f>
        <v/>
      </c>
      <c r="S467">
        <f>IF(M467="Yes",COUNTIF($M$5:M467,"Yes"),"")</f>
        <v/>
      </c>
    </row>
    <row r="468">
      <c r="A468" s="5" t="n"/>
      <c r="B468" s="51" t="n"/>
      <c r="C468" s="5" t="n"/>
      <c r="D468" s="52" t="n"/>
      <c r="E468" s="52" t="n"/>
      <c r="F468" s="52" t="n"/>
      <c r="G468" s="52" t="n"/>
      <c r="H468" s="52" t="n"/>
      <c r="I468" s="52" t="n"/>
      <c r="J468" s="52" t="n"/>
      <c r="K468" s="52" t="n"/>
      <c r="L468" s="51" t="n"/>
      <c r="M468" s="53">
        <f>IF(A468="","",IF(COUNTIF('AFA Rates'!$A$5:$A$504,A468)&gt;0,"Yes","No"))</f>
        <v/>
      </c>
      <c r="N468" s="53">
        <f>IF(A468="","",COUNTIF('AFA Rates'!$A$5:$A$504,A468))</f>
        <v/>
      </c>
      <c r="O468" s="54" t="n"/>
      <c r="P468" s="5" t="n"/>
      <c r="Q468" s="5" t="n"/>
      <c r="R468">
        <f>IF(AND(A468&lt;&gt;"",B468="Paused"),COUNTIFS($A$5:A468,"&lt;&gt;",$B$5:B468,"Paused"),"")</f>
        <v/>
      </c>
      <c r="S468">
        <f>IF(M468="Yes",COUNTIF($M$5:M468,"Yes"),"")</f>
        <v/>
      </c>
    </row>
    <row r="469">
      <c r="A469" s="5" t="n"/>
      <c r="B469" s="51" t="n"/>
      <c r="C469" s="5" t="n"/>
      <c r="D469" s="52" t="n"/>
      <c r="E469" s="52" t="n"/>
      <c r="F469" s="52" t="n"/>
      <c r="G469" s="52" t="n"/>
      <c r="H469" s="52" t="n"/>
      <c r="I469" s="52" t="n"/>
      <c r="J469" s="52" t="n"/>
      <c r="K469" s="52" t="n"/>
      <c r="L469" s="51" t="n"/>
      <c r="M469" s="53">
        <f>IF(A469="","",IF(COUNTIF('AFA Rates'!$A$5:$A$504,A469)&gt;0,"Yes","No"))</f>
        <v/>
      </c>
      <c r="N469" s="53">
        <f>IF(A469="","",COUNTIF('AFA Rates'!$A$5:$A$504,A469))</f>
        <v/>
      </c>
      <c r="O469" s="54" t="n"/>
      <c r="P469" s="5" t="n"/>
      <c r="Q469" s="5" t="n"/>
      <c r="R469">
        <f>IF(AND(A469&lt;&gt;"",B469="Paused"),COUNTIFS($A$5:A469,"&lt;&gt;",$B$5:B469,"Paused"),"")</f>
        <v/>
      </c>
      <c r="S469">
        <f>IF(M469="Yes",COUNTIF($M$5:M469,"Yes"),"")</f>
        <v/>
      </c>
    </row>
    <row r="470">
      <c r="A470" s="5" t="n"/>
      <c r="B470" s="51" t="n"/>
      <c r="C470" s="5" t="n"/>
      <c r="D470" s="52" t="n"/>
      <c r="E470" s="52" t="n"/>
      <c r="F470" s="52" t="n"/>
      <c r="G470" s="52" t="n"/>
      <c r="H470" s="52" t="n"/>
      <c r="I470" s="52" t="n"/>
      <c r="J470" s="52" t="n"/>
      <c r="K470" s="52" t="n"/>
      <c r="L470" s="51" t="n"/>
      <c r="M470" s="53">
        <f>IF(A470="","",IF(COUNTIF('AFA Rates'!$A$5:$A$504,A470)&gt;0,"Yes","No"))</f>
        <v/>
      </c>
      <c r="N470" s="53">
        <f>IF(A470="","",COUNTIF('AFA Rates'!$A$5:$A$504,A470))</f>
        <v/>
      </c>
      <c r="O470" s="54" t="n"/>
      <c r="P470" s="5" t="n"/>
      <c r="Q470" s="5" t="n"/>
      <c r="R470">
        <f>IF(AND(A470&lt;&gt;"",B470="Paused"),COUNTIFS($A$5:A470,"&lt;&gt;",$B$5:B470,"Paused"),"")</f>
        <v/>
      </c>
      <c r="S470">
        <f>IF(M470="Yes",COUNTIF($M$5:M470,"Yes"),"")</f>
        <v/>
      </c>
    </row>
    <row r="471">
      <c r="A471" s="5" t="n"/>
      <c r="B471" s="51" t="n"/>
      <c r="C471" s="5" t="n"/>
      <c r="D471" s="52" t="n"/>
      <c r="E471" s="52" t="n"/>
      <c r="F471" s="52" t="n"/>
      <c r="G471" s="52" t="n"/>
      <c r="H471" s="52" t="n"/>
      <c r="I471" s="52" t="n"/>
      <c r="J471" s="52" t="n"/>
      <c r="K471" s="52" t="n"/>
      <c r="L471" s="51" t="n"/>
      <c r="M471" s="53">
        <f>IF(A471="","",IF(COUNTIF('AFA Rates'!$A$5:$A$504,A471)&gt;0,"Yes","No"))</f>
        <v/>
      </c>
      <c r="N471" s="53">
        <f>IF(A471="","",COUNTIF('AFA Rates'!$A$5:$A$504,A471))</f>
        <v/>
      </c>
      <c r="O471" s="54" t="n"/>
      <c r="P471" s="5" t="n"/>
      <c r="Q471" s="5" t="n"/>
      <c r="R471">
        <f>IF(AND(A471&lt;&gt;"",B471="Paused"),COUNTIFS($A$5:A471,"&lt;&gt;",$B$5:B471,"Paused"),"")</f>
        <v/>
      </c>
      <c r="S471">
        <f>IF(M471="Yes",COUNTIF($M$5:M471,"Yes"),"")</f>
        <v/>
      </c>
    </row>
    <row r="472">
      <c r="A472" s="5" t="n"/>
      <c r="B472" s="51" t="n"/>
      <c r="C472" s="5" t="n"/>
      <c r="D472" s="52" t="n"/>
      <c r="E472" s="52" t="n"/>
      <c r="F472" s="52" t="n"/>
      <c r="G472" s="52" t="n"/>
      <c r="H472" s="52" t="n"/>
      <c r="I472" s="52" t="n"/>
      <c r="J472" s="52" t="n"/>
      <c r="K472" s="52" t="n"/>
      <c r="L472" s="51" t="n"/>
      <c r="M472" s="53">
        <f>IF(A472="","",IF(COUNTIF('AFA Rates'!$A$5:$A$504,A472)&gt;0,"Yes","No"))</f>
        <v/>
      </c>
      <c r="N472" s="53">
        <f>IF(A472="","",COUNTIF('AFA Rates'!$A$5:$A$504,A472))</f>
        <v/>
      </c>
      <c r="O472" s="54" t="n"/>
      <c r="P472" s="5" t="n"/>
      <c r="Q472" s="5" t="n"/>
      <c r="R472">
        <f>IF(AND(A472&lt;&gt;"",B472="Paused"),COUNTIFS($A$5:A472,"&lt;&gt;",$B$5:B472,"Paused"),"")</f>
        <v/>
      </c>
      <c r="S472">
        <f>IF(M472="Yes",COUNTIF($M$5:M472,"Yes"),"")</f>
        <v/>
      </c>
    </row>
    <row r="473">
      <c r="A473" s="5" t="n"/>
      <c r="B473" s="51" t="n"/>
      <c r="C473" s="5" t="n"/>
      <c r="D473" s="52" t="n"/>
      <c r="E473" s="52" t="n"/>
      <c r="F473" s="52" t="n"/>
      <c r="G473" s="52" t="n"/>
      <c r="H473" s="52" t="n"/>
      <c r="I473" s="52" t="n"/>
      <c r="J473" s="52" t="n"/>
      <c r="K473" s="52" t="n"/>
      <c r="L473" s="51" t="n"/>
      <c r="M473" s="53">
        <f>IF(A473="","",IF(COUNTIF('AFA Rates'!$A$5:$A$504,A473)&gt;0,"Yes","No"))</f>
        <v/>
      </c>
      <c r="N473" s="53">
        <f>IF(A473="","",COUNTIF('AFA Rates'!$A$5:$A$504,A473))</f>
        <v/>
      </c>
      <c r="O473" s="54" t="n"/>
      <c r="P473" s="5" t="n"/>
      <c r="Q473" s="5" t="n"/>
      <c r="R473">
        <f>IF(AND(A473&lt;&gt;"",B473="Paused"),COUNTIFS($A$5:A473,"&lt;&gt;",$B$5:B473,"Paused"),"")</f>
        <v/>
      </c>
      <c r="S473">
        <f>IF(M473="Yes",COUNTIF($M$5:M473,"Yes"),"")</f>
        <v/>
      </c>
    </row>
    <row r="474">
      <c r="A474" s="5" t="n"/>
      <c r="B474" s="51" t="n"/>
      <c r="C474" s="5" t="n"/>
      <c r="D474" s="52" t="n"/>
      <c r="E474" s="52" t="n"/>
      <c r="F474" s="52" t="n"/>
      <c r="G474" s="52" t="n"/>
      <c r="H474" s="52" t="n"/>
      <c r="I474" s="52" t="n"/>
      <c r="J474" s="52" t="n"/>
      <c r="K474" s="52" t="n"/>
      <c r="L474" s="51" t="n"/>
      <c r="M474" s="53">
        <f>IF(A474="","",IF(COUNTIF('AFA Rates'!$A$5:$A$504,A474)&gt;0,"Yes","No"))</f>
        <v/>
      </c>
      <c r="N474" s="53">
        <f>IF(A474="","",COUNTIF('AFA Rates'!$A$5:$A$504,A474))</f>
        <v/>
      </c>
      <c r="O474" s="54" t="n"/>
      <c r="P474" s="5" t="n"/>
      <c r="Q474" s="5" t="n"/>
      <c r="R474">
        <f>IF(AND(A474&lt;&gt;"",B474="Paused"),COUNTIFS($A$5:A474,"&lt;&gt;",$B$5:B474,"Paused"),"")</f>
        <v/>
      </c>
      <c r="S474">
        <f>IF(M474="Yes",COUNTIF($M$5:M474,"Yes"),"")</f>
        <v/>
      </c>
    </row>
    <row r="475">
      <c r="A475" s="5" t="n"/>
      <c r="B475" s="51" t="n"/>
      <c r="C475" s="5" t="n"/>
      <c r="D475" s="52" t="n"/>
      <c r="E475" s="52" t="n"/>
      <c r="F475" s="52" t="n"/>
      <c r="G475" s="52" t="n"/>
      <c r="H475" s="52" t="n"/>
      <c r="I475" s="52" t="n"/>
      <c r="J475" s="52" t="n"/>
      <c r="K475" s="52" t="n"/>
      <c r="L475" s="51" t="n"/>
      <c r="M475" s="53">
        <f>IF(A475="","",IF(COUNTIF('AFA Rates'!$A$5:$A$504,A475)&gt;0,"Yes","No"))</f>
        <v/>
      </c>
      <c r="N475" s="53">
        <f>IF(A475="","",COUNTIF('AFA Rates'!$A$5:$A$504,A475))</f>
        <v/>
      </c>
      <c r="O475" s="54" t="n"/>
      <c r="P475" s="5" t="n"/>
      <c r="Q475" s="5" t="n"/>
      <c r="R475">
        <f>IF(AND(A475&lt;&gt;"",B475="Paused"),COUNTIFS($A$5:A475,"&lt;&gt;",$B$5:B475,"Paused"),"")</f>
        <v/>
      </c>
      <c r="S475">
        <f>IF(M475="Yes",COUNTIF($M$5:M475,"Yes"),"")</f>
        <v/>
      </c>
    </row>
    <row r="476">
      <c r="A476" s="5" t="n"/>
      <c r="B476" s="51" t="n"/>
      <c r="C476" s="5" t="n"/>
      <c r="D476" s="52" t="n"/>
      <c r="E476" s="52" t="n"/>
      <c r="F476" s="52" t="n"/>
      <c r="G476" s="52" t="n"/>
      <c r="H476" s="52" t="n"/>
      <c r="I476" s="52" t="n"/>
      <c r="J476" s="52" t="n"/>
      <c r="K476" s="52" t="n"/>
      <c r="L476" s="51" t="n"/>
      <c r="M476" s="53">
        <f>IF(A476="","",IF(COUNTIF('AFA Rates'!$A$5:$A$504,A476)&gt;0,"Yes","No"))</f>
        <v/>
      </c>
      <c r="N476" s="53">
        <f>IF(A476="","",COUNTIF('AFA Rates'!$A$5:$A$504,A476))</f>
        <v/>
      </c>
      <c r="O476" s="54" t="n"/>
      <c r="P476" s="5" t="n"/>
      <c r="Q476" s="5" t="n"/>
      <c r="R476">
        <f>IF(AND(A476&lt;&gt;"",B476="Paused"),COUNTIFS($A$5:A476,"&lt;&gt;",$B$5:B476,"Paused"),"")</f>
        <v/>
      </c>
      <c r="S476">
        <f>IF(M476="Yes",COUNTIF($M$5:M476,"Yes"),"")</f>
        <v/>
      </c>
    </row>
    <row r="477">
      <c r="A477" s="5" t="n"/>
      <c r="B477" s="51" t="n"/>
      <c r="C477" s="5" t="n"/>
      <c r="D477" s="52" t="n"/>
      <c r="E477" s="52" t="n"/>
      <c r="F477" s="52" t="n"/>
      <c r="G477" s="52" t="n"/>
      <c r="H477" s="52" t="n"/>
      <c r="I477" s="52" t="n"/>
      <c r="J477" s="52" t="n"/>
      <c r="K477" s="52" t="n"/>
      <c r="L477" s="51" t="n"/>
      <c r="M477" s="53">
        <f>IF(A477="","",IF(COUNTIF('AFA Rates'!$A$5:$A$504,A477)&gt;0,"Yes","No"))</f>
        <v/>
      </c>
      <c r="N477" s="53">
        <f>IF(A477="","",COUNTIF('AFA Rates'!$A$5:$A$504,A477))</f>
        <v/>
      </c>
      <c r="O477" s="54" t="n"/>
      <c r="P477" s="5" t="n"/>
      <c r="Q477" s="5" t="n"/>
      <c r="R477">
        <f>IF(AND(A477&lt;&gt;"",B477="Paused"),COUNTIFS($A$5:A477,"&lt;&gt;",$B$5:B477,"Paused"),"")</f>
        <v/>
      </c>
      <c r="S477">
        <f>IF(M477="Yes",COUNTIF($M$5:M477,"Yes"),"")</f>
        <v/>
      </c>
    </row>
    <row r="478">
      <c r="A478" s="5" t="n"/>
      <c r="B478" s="51" t="n"/>
      <c r="C478" s="5" t="n"/>
      <c r="D478" s="52" t="n"/>
      <c r="E478" s="52" t="n"/>
      <c r="F478" s="52" t="n"/>
      <c r="G478" s="52" t="n"/>
      <c r="H478" s="52" t="n"/>
      <c r="I478" s="52" t="n"/>
      <c r="J478" s="52" t="n"/>
      <c r="K478" s="52" t="n"/>
      <c r="L478" s="51" t="n"/>
      <c r="M478" s="53">
        <f>IF(A478="","",IF(COUNTIF('AFA Rates'!$A$5:$A$504,A478)&gt;0,"Yes","No"))</f>
        <v/>
      </c>
      <c r="N478" s="53">
        <f>IF(A478="","",COUNTIF('AFA Rates'!$A$5:$A$504,A478))</f>
        <v/>
      </c>
      <c r="O478" s="54" t="n"/>
      <c r="P478" s="5" t="n"/>
      <c r="Q478" s="5" t="n"/>
      <c r="R478">
        <f>IF(AND(A478&lt;&gt;"",B478="Paused"),COUNTIFS($A$5:A478,"&lt;&gt;",$B$5:B478,"Paused"),"")</f>
        <v/>
      </c>
      <c r="S478">
        <f>IF(M478="Yes",COUNTIF($M$5:M478,"Yes"),"")</f>
        <v/>
      </c>
    </row>
    <row r="479">
      <c r="A479" s="5" t="n"/>
      <c r="B479" s="51" t="n"/>
      <c r="C479" s="5" t="n"/>
      <c r="D479" s="52" t="n"/>
      <c r="E479" s="52" t="n"/>
      <c r="F479" s="52" t="n"/>
      <c r="G479" s="52" t="n"/>
      <c r="H479" s="52" t="n"/>
      <c r="I479" s="52" t="n"/>
      <c r="J479" s="52" t="n"/>
      <c r="K479" s="52" t="n"/>
      <c r="L479" s="51" t="n"/>
      <c r="M479" s="53">
        <f>IF(A479="","",IF(COUNTIF('AFA Rates'!$A$5:$A$504,A479)&gt;0,"Yes","No"))</f>
        <v/>
      </c>
      <c r="N479" s="53">
        <f>IF(A479="","",COUNTIF('AFA Rates'!$A$5:$A$504,A479))</f>
        <v/>
      </c>
      <c r="O479" s="54" t="n"/>
      <c r="P479" s="5" t="n"/>
      <c r="Q479" s="5" t="n"/>
      <c r="R479">
        <f>IF(AND(A479&lt;&gt;"",B479="Paused"),COUNTIFS($A$5:A479,"&lt;&gt;",$B$5:B479,"Paused"),"")</f>
        <v/>
      </c>
      <c r="S479">
        <f>IF(M479="Yes",COUNTIF($M$5:M479,"Yes"),"")</f>
        <v/>
      </c>
    </row>
    <row r="480">
      <c r="A480" s="5" t="n"/>
      <c r="B480" s="51" t="n"/>
      <c r="C480" s="5" t="n"/>
      <c r="D480" s="52" t="n"/>
      <c r="E480" s="52" t="n"/>
      <c r="F480" s="52" t="n"/>
      <c r="G480" s="52" t="n"/>
      <c r="H480" s="52" t="n"/>
      <c r="I480" s="52" t="n"/>
      <c r="J480" s="52" t="n"/>
      <c r="K480" s="52" t="n"/>
      <c r="L480" s="51" t="n"/>
      <c r="M480" s="53">
        <f>IF(A480="","",IF(COUNTIF('AFA Rates'!$A$5:$A$504,A480)&gt;0,"Yes","No"))</f>
        <v/>
      </c>
      <c r="N480" s="53">
        <f>IF(A480="","",COUNTIF('AFA Rates'!$A$5:$A$504,A480))</f>
        <v/>
      </c>
      <c r="O480" s="54" t="n"/>
      <c r="P480" s="5" t="n"/>
      <c r="Q480" s="5" t="n"/>
      <c r="R480">
        <f>IF(AND(A480&lt;&gt;"",B480="Paused"),COUNTIFS($A$5:A480,"&lt;&gt;",$B$5:B480,"Paused"),"")</f>
        <v/>
      </c>
      <c r="S480">
        <f>IF(M480="Yes",COUNTIF($M$5:M480,"Yes"),"")</f>
        <v/>
      </c>
    </row>
    <row r="481">
      <c r="A481" s="5" t="n"/>
      <c r="B481" s="51" t="n"/>
      <c r="C481" s="5" t="n"/>
      <c r="D481" s="52" t="n"/>
      <c r="E481" s="52" t="n"/>
      <c r="F481" s="52" t="n"/>
      <c r="G481" s="52" t="n"/>
      <c r="H481" s="52" t="n"/>
      <c r="I481" s="52" t="n"/>
      <c r="J481" s="52" t="n"/>
      <c r="K481" s="52" t="n"/>
      <c r="L481" s="51" t="n"/>
      <c r="M481" s="53">
        <f>IF(A481="","",IF(COUNTIF('AFA Rates'!$A$5:$A$504,A481)&gt;0,"Yes","No"))</f>
        <v/>
      </c>
      <c r="N481" s="53">
        <f>IF(A481="","",COUNTIF('AFA Rates'!$A$5:$A$504,A481))</f>
        <v/>
      </c>
      <c r="O481" s="54" t="n"/>
      <c r="P481" s="5" t="n"/>
      <c r="Q481" s="5" t="n"/>
      <c r="R481">
        <f>IF(AND(A481&lt;&gt;"",B481="Paused"),COUNTIFS($A$5:A481,"&lt;&gt;",$B$5:B481,"Paused"),"")</f>
        <v/>
      </c>
      <c r="S481">
        <f>IF(M481="Yes",COUNTIF($M$5:M481,"Yes"),"")</f>
        <v/>
      </c>
    </row>
    <row r="482">
      <c r="A482" s="5" t="n"/>
      <c r="B482" s="51" t="n"/>
      <c r="C482" s="5" t="n"/>
      <c r="D482" s="52" t="n"/>
      <c r="E482" s="52" t="n"/>
      <c r="F482" s="52" t="n"/>
      <c r="G482" s="52" t="n"/>
      <c r="H482" s="52" t="n"/>
      <c r="I482" s="52" t="n"/>
      <c r="J482" s="52" t="n"/>
      <c r="K482" s="52" t="n"/>
      <c r="L482" s="51" t="n"/>
      <c r="M482" s="53">
        <f>IF(A482="","",IF(COUNTIF('AFA Rates'!$A$5:$A$504,A482)&gt;0,"Yes","No"))</f>
        <v/>
      </c>
      <c r="N482" s="53">
        <f>IF(A482="","",COUNTIF('AFA Rates'!$A$5:$A$504,A482))</f>
        <v/>
      </c>
      <c r="O482" s="54" t="n"/>
      <c r="P482" s="5" t="n"/>
      <c r="Q482" s="5" t="n"/>
      <c r="R482">
        <f>IF(AND(A482&lt;&gt;"",B482="Paused"),COUNTIFS($A$5:A482,"&lt;&gt;",$B$5:B482,"Paused"),"")</f>
        <v/>
      </c>
      <c r="S482">
        <f>IF(M482="Yes",COUNTIF($M$5:M482,"Yes"),"")</f>
        <v/>
      </c>
    </row>
    <row r="483">
      <c r="A483" s="5" t="n"/>
      <c r="B483" s="51" t="n"/>
      <c r="C483" s="5" t="n"/>
      <c r="D483" s="52" t="n"/>
      <c r="E483" s="52" t="n"/>
      <c r="F483" s="52" t="n"/>
      <c r="G483" s="52" t="n"/>
      <c r="H483" s="52" t="n"/>
      <c r="I483" s="52" t="n"/>
      <c r="J483" s="52" t="n"/>
      <c r="K483" s="52" t="n"/>
      <c r="L483" s="51" t="n"/>
      <c r="M483" s="53">
        <f>IF(A483="","",IF(COUNTIF('AFA Rates'!$A$5:$A$504,A483)&gt;0,"Yes","No"))</f>
        <v/>
      </c>
      <c r="N483" s="53">
        <f>IF(A483="","",COUNTIF('AFA Rates'!$A$5:$A$504,A483))</f>
        <v/>
      </c>
      <c r="O483" s="54" t="n"/>
      <c r="P483" s="5" t="n"/>
      <c r="Q483" s="5" t="n"/>
      <c r="R483">
        <f>IF(AND(A483&lt;&gt;"",B483="Paused"),COUNTIFS($A$5:A483,"&lt;&gt;",$B$5:B483,"Paused"),"")</f>
        <v/>
      </c>
      <c r="S483">
        <f>IF(M483="Yes",COUNTIF($M$5:M483,"Yes"),"")</f>
        <v/>
      </c>
    </row>
    <row r="484">
      <c r="A484" s="5" t="n"/>
      <c r="B484" s="51" t="n"/>
      <c r="C484" s="5" t="n"/>
      <c r="D484" s="52" t="n"/>
      <c r="E484" s="52" t="n"/>
      <c r="F484" s="52" t="n"/>
      <c r="G484" s="52" t="n"/>
      <c r="H484" s="52" t="n"/>
      <c r="I484" s="52" t="n"/>
      <c r="J484" s="52" t="n"/>
      <c r="K484" s="52" t="n"/>
      <c r="L484" s="51" t="n"/>
      <c r="M484" s="53">
        <f>IF(A484="","",IF(COUNTIF('AFA Rates'!$A$5:$A$504,A484)&gt;0,"Yes","No"))</f>
        <v/>
      </c>
      <c r="N484" s="53">
        <f>IF(A484="","",COUNTIF('AFA Rates'!$A$5:$A$504,A484))</f>
        <v/>
      </c>
      <c r="O484" s="54" t="n"/>
      <c r="P484" s="5" t="n"/>
      <c r="Q484" s="5" t="n"/>
      <c r="R484">
        <f>IF(AND(A484&lt;&gt;"",B484="Paused"),COUNTIFS($A$5:A484,"&lt;&gt;",$B$5:B484,"Paused"),"")</f>
        <v/>
      </c>
      <c r="S484">
        <f>IF(M484="Yes",COUNTIF($M$5:M484,"Yes"),"")</f>
        <v/>
      </c>
    </row>
    <row r="485">
      <c r="A485" s="5" t="n"/>
      <c r="B485" s="51" t="n"/>
      <c r="C485" s="5" t="n"/>
      <c r="D485" s="52" t="n"/>
      <c r="E485" s="52" t="n"/>
      <c r="F485" s="52" t="n"/>
      <c r="G485" s="52" t="n"/>
      <c r="H485" s="52" t="n"/>
      <c r="I485" s="52" t="n"/>
      <c r="J485" s="52" t="n"/>
      <c r="K485" s="52" t="n"/>
      <c r="L485" s="51" t="n"/>
      <c r="M485" s="53">
        <f>IF(A485="","",IF(COUNTIF('AFA Rates'!$A$5:$A$504,A485)&gt;0,"Yes","No"))</f>
        <v/>
      </c>
      <c r="N485" s="53">
        <f>IF(A485="","",COUNTIF('AFA Rates'!$A$5:$A$504,A485))</f>
        <v/>
      </c>
      <c r="O485" s="54" t="n"/>
      <c r="P485" s="5" t="n"/>
      <c r="Q485" s="5" t="n"/>
      <c r="R485">
        <f>IF(AND(A485&lt;&gt;"",B485="Paused"),COUNTIFS($A$5:A485,"&lt;&gt;",$B$5:B485,"Paused"),"")</f>
        <v/>
      </c>
      <c r="S485">
        <f>IF(M485="Yes",COUNTIF($M$5:M485,"Yes"),"")</f>
        <v/>
      </c>
    </row>
    <row r="486">
      <c r="A486" s="5" t="n"/>
      <c r="B486" s="51" t="n"/>
      <c r="C486" s="5" t="n"/>
      <c r="D486" s="52" t="n"/>
      <c r="E486" s="52" t="n"/>
      <c r="F486" s="52" t="n"/>
      <c r="G486" s="52" t="n"/>
      <c r="H486" s="52" t="n"/>
      <c r="I486" s="52" t="n"/>
      <c r="J486" s="52" t="n"/>
      <c r="K486" s="52" t="n"/>
      <c r="L486" s="51" t="n"/>
      <c r="M486" s="53">
        <f>IF(A486="","",IF(COUNTIF('AFA Rates'!$A$5:$A$504,A486)&gt;0,"Yes","No"))</f>
        <v/>
      </c>
      <c r="N486" s="53">
        <f>IF(A486="","",COUNTIF('AFA Rates'!$A$5:$A$504,A486))</f>
        <v/>
      </c>
      <c r="O486" s="54" t="n"/>
      <c r="P486" s="5" t="n"/>
      <c r="Q486" s="5" t="n"/>
      <c r="R486">
        <f>IF(AND(A486&lt;&gt;"",B486="Paused"),COUNTIFS($A$5:A486,"&lt;&gt;",$B$5:B486,"Paused"),"")</f>
        <v/>
      </c>
      <c r="S486">
        <f>IF(M486="Yes",COUNTIF($M$5:M486,"Yes"),"")</f>
        <v/>
      </c>
    </row>
    <row r="487">
      <c r="A487" s="5" t="n"/>
      <c r="B487" s="51" t="n"/>
      <c r="C487" s="5" t="n"/>
      <c r="D487" s="52" t="n"/>
      <c r="E487" s="52" t="n"/>
      <c r="F487" s="52" t="n"/>
      <c r="G487" s="52" t="n"/>
      <c r="H487" s="52" t="n"/>
      <c r="I487" s="52" t="n"/>
      <c r="J487" s="52" t="n"/>
      <c r="K487" s="52" t="n"/>
      <c r="L487" s="51" t="n"/>
      <c r="M487" s="53">
        <f>IF(A487="","",IF(COUNTIF('AFA Rates'!$A$5:$A$504,A487)&gt;0,"Yes","No"))</f>
        <v/>
      </c>
      <c r="N487" s="53">
        <f>IF(A487="","",COUNTIF('AFA Rates'!$A$5:$A$504,A487))</f>
        <v/>
      </c>
      <c r="O487" s="54" t="n"/>
      <c r="P487" s="5" t="n"/>
      <c r="Q487" s="5" t="n"/>
      <c r="R487">
        <f>IF(AND(A487&lt;&gt;"",B487="Paused"),COUNTIFS($A$5:A487,"&lt;&gt;",$B$5:B487,"Paused"),"")</f>
        <v/>
      </c>
      <c r="S487">
        <f>IF(M487="Yes",COUNTIF($M$5:M487,"Yes"),"")</f>
        <v/>
      </c>
    </row>
    <row r="488">
      <c r="A488" s="5" t="n"/>
      <c r="B488" s="51" t="n"/>
      <c r="C488" s="5" t="n"/>
      <c r="D488" s="52" t="n"/>
      <c r="E488" s="52" t="n"/>
      <c r="F488" s="52" t="n"/>
      <c r="G488" s="52" t="n"/>
      <c r="H488" s="52" t="n"/>
      <c r="I488" s="52" t="n"/>
      <c r="J488" s="52" t="n"/>
      <c r="K488" s="52" t="n"/>
      <c r="L488" s="51" t="n"/>
      <c r="M488" s="53">
        <f>IF(A488="","",IF(COUNTIF('AFA Rates'!$A$5:$A$504,A488)&gt;0,"Yes","No"))</f>
        <v/>
      </c>
      <c r="N488" s="53">
        <f>IF(A488="","",COUNTIF('AFA Rates'!$A$5:$A$504,A488))</f>
        <v/>
      </c>
      <c r="O488" s="54" t="n"/>
      <c r="P488" s="5" t="n"/>
      <c r="Q488" s="5" t="n"/>
      <c r="R488">
        <f>IF(AND(A488&lt;&gt;"",B488="Paused"),COUNTIFS($A$5:A488,"&lt;&gt;",$B$5:B488,"Paused"),"")</f>
        <v/>
      </c>
      <c r="S488">
        <f>IF(M488="Yes",COUNTIF($M$5:M488,"Yes"),"")</f>
        <v/>
      </c>
    </row>
    <row r="489">
      <c r="A489" s="5" t="n"/>
      <c r="B489" s="51" t="n"/>
      <c r="C489" s="5" t="n"/>
      <c r="D489" s="52" t="n"/>
      <c r="E489" s="52" t="n"/>
      <c r="F489" s="52" t="n"/>
      <c r="G489" s="52" t="n"/>
      <c r="H489" s="52" t="n"/>
      <c r="I489" s="52" t="n"/>
      <c r="J489" s="52" t="n"/>
      <c r="K489" s="52" t="n"/>
      <c r="L489" s="51" t="n"/>
      <c r="M489" s="53">
        <f>IF(A489="","",IF(COUNTIF('AFA Rates'!$A$5:$A$504,A489)&gt;0,"Yes","No"))</f>
        <v/>
      </c>
      <c r="N489" s="53">
        <f>IF(A489="","",COUNTIF('AFA Rates'!$A$5:$A$504,A489))</f>
        <v/>
      </c>
      <c r="O489" s="54" t="n"/>
      <c r="P489" s="5" t="n"/>
      <c r="Q489" s="5" t="n"/>
      <c r="R489">
        <f>IF(AND(A489&lt;&gt;"",B489="Paused"),COUNTIFS($A$5:A489,"&lt;&gt;",$B$5:B489,"Paused"),"")</f>
        <v/>
      </c>
      <c r="S489">
        <f>IF(M489="Yes",COUNTIF($M$5:M489,"Yes"),"")</f>
        <v/>
      </c>
    </row>
    <row r="490">
      <c r="A490" s="5" t="n"/>
      <c r="B490" s="51" t="n"/>
      <c r="C490" s="5" t="n"/>
      <c r="D490" s="52" t="n"/>
      <c r="E490" s="52" t="n"/>
      <c r="F490" s="52" t="n"/>
      <c r="G490" s="52" t="n"/>
      <c r="H490" s="52" t="n"/>
      <c r="I490" s="52" t="n"/>
      <c r="J490" s="52" t="n"/>
      <c r="K490" s="52" t="n"/>
      <c r="L490" s="51" t="n"/>
      <c r="M490" s="53">
        <f>IF(A490="","",IF(COUNTIF('AFA Rates'!$A$5:$A$504,A490)&gt;0,"Yes","No"))</f>
        <v/>
      </c>
      <c r="N490" s="53">
        <f>IF(A490="","",COUNTIF('AFA Rates'!$A$5:$A$504,A490))</f>
        <v/>
      </c>
      <c r="O490" s="54" t="n"/>
      <c r="P490" s="5" t="n"/>
      <c r="Q490" s="5" t="n"/>
      <c r="R490">
        <f>IF(AND(A490&lt;&gt;"",B490="Paused"),COUNTIFS($A$5:A490,"&lt;&gt;",$B$5:B490,"Paused"),"")</f>
        <v/>
      </c>
      <c r="S490">
        <f>IF(M490="Yes",COUNTIF($M$5:M490,"Yes"),"")</f>
        <v/>
      </c>
    </row>
    <row r="491">
      <c r="A491" s="5" t="n"/>
      <c r="B491" s="51" t="n"/>
      <c r="C491" s="5" t="n"/>
      <c r="D491" s="52" t="n"/>
      <c r="E491" s="52" t="n"/>
      <c r="F491" s="52" t="n"/>
      <c r="G491" s="52" t="n"/>
      <c r="H491" s="52" t="n"/>
      <c r="I491" s="52" t="n"/>
      <c r="J491" s="52" t="n"/>
      <c r="K491" s="52" t="n"/>
      <c r="L491" s="51" t="n"/>
      <c r="M491" s="53">
        <f>IF(A491="","",IF(COUNTIF('AFA Rates'!$A$5:$A$504,A491)&gt;0,"Yes","No"))</f>
        <v/>
      </c>
      <c r="N491" s="53">
        <f>IF(A491="","",COUNTIF('AFA Rates'!$A$5:$A$504,A491))</f>
        <v/>
      </c>
      <c r="O491" s="54" t="n"/>
      <c r="P491" s="5" t="n"/>
      <c r="Q491" s="5" t="n"/>
      <c r="R491">
        <f>IF(AND(A491&lt;&gt;"",B491="Paused"),COUNTIFS($A$5:A491,"&lt;&gt;",$B$5:B491,"Paused"),"")</f>
        <v/>
      </c>
      <c r="S491">
        <f>IF(M491="Yes",COUNTIF($M$5:M491,"Yes"),"")</f>
        <v/>
      </c>
    </row>
    <row r="492">
      <c r="A492" s="5" t="n"/>
      <c r="B492" s="51" t="n"/>
      <c r="C492" s="5" t="n"/>
      <c r="D492" s="52" t="n"/>
      <c r="E492" s="52" t="n"/>
      <c r="F492" s="52" t="n"/>
      <c r="G492" s="52" t="n"/>
      <c r="H492" s="52" t="n"/>
      <c r="I492" s="52" t="n"/>
      <c r="J492" s="52" t="n"/>
      <c r="K492" s="52" t="n"/>
      <c r="L492" s="51" t="n"/>
      <c r="M492" s="53">
        <f>IF(A492="","",IF(COUNTIF('AFA Rates'!$A$5:$A$504,A492)&gt;0,"Yes","No"))</f>
        <v/>
      </c>
      <c r="N492" s="53">
        <f>IF(A492="","",COUNTIF('AFA Rates'!$A$5:$A$504,A492))</f>
        <v/>
      </c>
      <c r="O492" s="54" t="n"/>
      <c r="P492" s="5" t="n"/>
      <c r="Q492" s="5" t="n"/>
      <c r="R492">
        <f>IF(AND(A492&lt;&gt;"",B492="Paused"),COUNTIFS($A$5:A492,"&lt;&gt;",$B$5:B492,"Paused"),"")</f>
        <v/>
      </c>
      <c r="S492">
        <f>IF(M492="Yes",COUNTIF($M$5:M492,"Yes"),"")</f>
        <v/>
      </c>
    </row>
    <row r="493">
      <c r="A493" s="5" t="n"/>
      <c r="B493" s="51" t="n"/>
      <c r="C493" s="5" t="n"/>
      <c r="D493" s="52" t="n"/>
      <c r="E493" s="52" t="n"/>
      <c r="F493" s="52" t="n"/>
      <c r="G493" s="52" t="n"/>
      <c r="H493" s="52" t="n"/>
      <c r="I493" s="52" t="n"/>
      <c r="J493" s="52" t="n"/>
      <c r="K493" s="52" t="n"/>
      <c r="L493" s="51" t="n"/>
      <c r="M493" s="53">
        <f>IF(A493="","",IF(COUNTIF('AFA Rates'!$A$5:$A$504,A493)&gt;0,"Yes","No"))</f>
        <v/>
      </c>
      <c r="N493" s="53">
        <f>IF(A493="","",COUNTIF('AFA Rates'!$A$5:$A$504,A493))</f>
        <v/>
      </c>
      <c r="O493" s="54" t="n"/>
      <c r="P493" s="5" t="n"/>
      <c r="Q493" s="5" t="n"/>
      <c r="R493">
        <f>IF(AND(A493&lt;&gt;"",B493="Paused"),COUNTIFS($A$5:A493,"&lt;&gt;",$B$5:B493,"Paused"),"")</f>
        <v/>
      </c>
      <c r="S493">
        <f>IF(M493="Yes",COUNTIF($M$5:M493,"Yes"),"")</f>
        <v/>
      </c>
    </row>
    <row r="494">
      <c r="A494" s="5" t="n"/>
      <c r="B494" s="51" t="n"/>
      <c r="C494" s="5" t="n"/>
      <c r="D494" s="52" t="n"/>
      <c r="E494" s="52" t="n"/>
      <c r="F494" s="52" t="n"/>
      <c r="G494" s="52" t="n"/>
      <c r="H494" s="52" t="n"/>
      <c r="I494" s="52" t="n"/>
      <c r="J494" s="52" t="n"/>
      <c r="K494" s="52" t="n"/>
      <c r="L494" s="51" t="n"/>
      <c r="M494" s="53">
        <f>IF(A494="","",IF(COUNTIF('AFA Rates'!$A$5:$A$504,A494)&gt;0,"Yes","No"))</f>
        <v/>
      </c>
      <c r="N494" s="53">
        <f>IF(A494="","",COUNTIF('AFA Rates'!$A$5:$A$504,A494))</f>
        <v/>
      </c>
      <c r="O494" s="54" t="n"/>
      <c r="P494" s="5" t="n"/>
      <c r="Q494" s="5" t="n"/>
      <c r="R494">
        <f>IF(AND(A494&lt;&gt;"",B494="Paused"),COUNTIFS($A$5:A494,"&lt;&gt;",$B$5:B494,"Paused"),"")</f>
        <v/>
      </c>
      <c r="S494">
        <f>IF(M494="Yes",COUNTIF($M$5:M494,"Yes"),"")</f>
        <v/>
      </c>
    </row>
    <row r="495">
      <c r="A495" s="5" t="n"/>
      <c r="B495" s="51" t="n"/>
      <c r="C495" s="5" t="n"/>
      <c r="D495" s="52" t="n"/>
      <c r="E495" s="52" t="n"/>
      <c r="F495" s="52" t="n"/>
      <c r="G495" s="52" t="n"/>
      <c r="H495" s="52" t="n"/>
      <c r="I495" s="52" t="n"/>
      <c r="J495" s="52" t="n"/>
      <c r="K495" s="52" t="n"/>
      <c r="L495" s="51" t="n"/>
      <c r="M495" s="53">
        <f>IF(A495="","",IF(COUNTIF('AFA Rates'!$A$5:$A$504,A495)&gt;0,"Yes","No"))</f>
        <v/>
      </c>
      <c r="N495" s="53">
        <f>IF(A495="","",COUNTIF('AFA Rates'!$A$5:$A$504,A495))</f>
        <v/>
      </c>
      <c r="O495" s="54" t="n"/>
      <c r="P495" s="5" t="n"/>
      <c r="Q495" s="5" t="n"/>
      <c r="R495">
        <f>IF(AND(A495&lt;&gt;"",B495="Paused"),COUNTIFS($A$5:A495,"&lt;&gt;",$B$5:B495,"Paused"),"")</f>
        <v/>
      </c>
      <c r="S495">
        <f>IF(M495="Yes",COUNTIF($M$5:M495,"Yes"),"")</f>
        <v/>
      </c>
    </row>
    <row r="496">
      <c r="A496" s="5" t="n"/>
      <c r="B496" s="51" t="n"/>
      <c r="C496" s="5" t="n"/>
      <c r="D496" s="52" t="n"/>
      <c r="E496" s="52" t="n"/>
      <c r="F496" s="52" t="n"/>
      <c r="G496" s="52" t="n"/>
      <c r="H496" s="52" t="n"/>
      <c r="I496" s="52" t="n"/>
      <c r="J496" s="52" t="n"/>
      <c r="K496" s="52" t="n"/>
      <c r="L496" s="51" t="n"/>
      <c r="M496" s="53">
        <f>IF(A496="","",IF(COUNTIF('AFA Rates'!$A$5:$A$504,A496)&gt;0,"Yes","No"))</f>
        <v/>
      </c>
      <c r="N496" s="53">
        <f>IF(A496="","",COUNTIF('AFA Rates'!$A$5:$A$504,A496))</f>
        <v/>
      </c>
      <c r="O496" s="54" t="n"/>
      <c r="P496" s="5" t="n"/>
      <c r="Q496" s="5" t="n"/>
      <c r="R496">
        <f>IF(AND(A496&lt;&gt;"",B496="Paused"),COUNTIFS($A$5:A496,"&lt;&gt;",$B$5:B496,"Paused"),"")</f>
        <v/>
      </c>
      <c r="S496">
        <f>IF(M496="Yes",COUNTIF($M$5:M496,"Yes"),"")</f>
        <v/>
      </c>
    </row>
    <row r="497">
      <c r="A497" s="5" t="n"/>
      <c r="B497" s="51" t="n"/>
      <c r="C497" s="5" t="n"/>
      <c r="D497" s="52" t="n"/>
      <c r="E497" s="52" t="n"/>
      <c r="F497" s="52" t="n"/>
      <c r="G497" s="52" t="n"/>
      <c r="H497" s="52" t="n"/>
      <c r="I497" s="52" t="n"/>
      <c r="J497" s="52" t="n"/>
      <c r="K497" s="52" t="n"/>
      <c r="L497" s="51" t="n"/>
      <c r="M497" s="53">
        <f>IF(A497="","",IF(COUNTIF('AFA Rates'!$A$5:$A$504,A497)&gt;0,"Yes","No"))</f>
        <v/>
      </c>
      <c r="N497" s="53">
        <f>IF(A497="","",COUNTIF('AFA Rates'!$A$5:$A$504,A497))</f>
        <v/>
      </c>
      <c r="O497" s="54" t="n"/>
      <c r="P497" s="5" t="n"/>
      <c r="Q497" s="5" t="n"/>
      <c r="R497">
        <f>IF(AND(A497&lt;&gt;"",B497="Paused"),COUNTIFS($A$5:A497,"&lt;&gt;",$B$5:B497,"Paused"),"")</f>
        <v/>
      </c>
      <c r="S497">
        <f>IF(M497="Yes",COUNTIF($M$5:M497,"Yes"),"")</f>
        <v/>
      </c>
    </row>
    <row r="498">
      <c r="A498" s="5" t="n"/>
      <c r="B498" s="51" t="n"/>
      <c r="C498" s="5" t="n"/>
      <c r="D498" s="52" t="n"/>
      <c r="E498" s="52" t="n"/>
      <c r="F498" s="52" t="n"/>
      <c r="G498" s="52" t="n"/>
      <c r="H498" s="52" t="n"/>
      <c r="I498" s="52" t="n"/>
      <c r="J498" s="52" t="n"/>
      <c r="K498" s="52" t="n"/>
      <c r="L498" s="51" t="n"/>
      <c r="M498" s="53">
        <f>IF(A498="","",IF(COUNTIF('AFA Rates'!$A$5:$A$504,A498)&gt;0,"Yes","No"))</f>
        <v/>
      </c>
      <c r="N498" s="53">
        <f>IF(A498="","",COUNTIF('AFA Rates'!$A$5:$A$504,A498))</f>
        <v/>
      </c>
      <c r="O498" s="54" t="n"/>
      <c r="P498" s="5" t="n"/>
      <c r="Q498" s="5" t="n"/>
      <c r="R498">
        <f>IF(AND(A498&lt;&gt;"",B498="Paused"),COUNTIFS($A$5:A498,"&lt;&gt;",$B$5:B498,"Paused"),"")</f>
        <v/>
      </c>
      <c r="S498">
        <f>IF(M498="Yes",COUNTIF($M$5:M498,"Yes"),"")</f>
        <v/>
      </c>
    </row>
    <row r="499">
      <c r="A499" s="5" t="n"/>
      <c r="B499" s="51" t="n"/>
      <c r="C499" s="5" t="n"/>
      <c r="D499" s="52" t="n"/>
      <c r="E499" s="52" t="n"/>
      <c r="F499" s="52" t="n"/>
      <c r="G499" s="52" t="n"/>
      <c r="H499" s="52" t="n"/>
      <c r="I499" s="52" t="n"/>
      <c r="J499" s="52" t="n"/>
      <c r="K499" s="52" t="n"/>
      <c r="L499" s="51" t="n"/>
      <c r="M499" s="53">
        <f>IF(A499="","",IF(COUNTIF('AFA Rates'!$A$5:$A$504,A499)&gt;0,"Yes","No"))</f>
        <v/>
      </c>
      <c r="N499" s="53">
        <f>IF(A499="","",COUNTIF('AFA Rates'!$A$5:$A$504,A499))</f>
        <v/>
      </c>
      <c r="O499" s="54" t="n"/>
      <c r="P499" s="5" t="n"/>
      <c r="Q499" s="5" t="n"/>
      <c r="R499">
        <f>IF(AND(A499&lt;&gt;"",B499="Paused"),COUNTIFS($A$5:A499,"&lt;&gt;",$B$5:B499,"Paused"),"")</f>
        <v/>
      </c>
      <c r="S499">
        <f>IF(M499="Yes",COUNTIF($M$5:M499,"Yes"),"")</f>
        <v/>
      </c>
    </row>
    <row r="500">
      <c r="A500" s="5" t="n"/>
      <c r="B500" s="51" t="n"/>
      <c r="C500" s="5" t="n"/>
      <c r="D500" s="52" t="n"/>
      <c r="E500" s="52" t="n"/>
      <c r="F500" s="52" t="n"/>
      <c r="G500" s="52" t="n"/>
      <c r="H500" s="52" t="n"/>
      <c r="I500" s="52" t="n"/>
      <c r="J500" s="52" t="n"/>
      <c r="K500" s="52" t="n"/>
      <c r="L500" s="51" t="n"/>
      <c r="M500" s="53">
        <f>IF(A500="","",IF(COUNTIF('AFA Rates'!$A$5:$A$504,A500)&gt;0,"Yes","No"))</f>
        <v/>
      </c>
      <c r="N500" s="53">
        <f>IF(A500="","",COUNTIF('AFA Rates'!$A$5:$A$504,A500))</f>
        <v/>
      </c>
      <c r="O500" s="54" t="n"/>
      <c r="P500" s="5" t="n"/>
      <c r="Q500" s="5" t="n"/>
      <c r="R500">
        <f>IF(AND(A500&lt;&gt;"",B500="Paused"),COUNTIFS($A$5:A500,"&lt;&gt;",$B$5:B500,"Paused"),"")</f>
        <v/>
      </c>
      <c r="S500">
        <f>IF(M500="Yes",COUNTIF($M$5:M500,"Yes"),"")</f>
        <v/>
      </c>
    </row>
    <row r="501">
      <c r="A501" s="5" t="n"/>
      <c r="B501" s="51" t="n"/>
      <c r="C501" s="5" t="n"/>
      <c r="D501" s="52" t="n"/>
      <c r="E501" s="52" t="n"/>
      <c r="F501" s="52" t="n"/>
      <c r="G501" s="52" t="n"/>
      <c r="H501" s="52" t="n"/>
      <c r="I501" s="52" t="n"/>
      <c r="J501" s="52" t="n"/>
      <c r="K501" s="52" t="n"/>
      <c r="L501" s="51" t="n"/>
      <c r="M501" s="53">
        <f>IF(A501="","",IF(COUNTIF('AFA Rates'!$A$5:$A$504,A501)&gt;0,"Yes","No"))</f>
        <v/>
      </c>
      <c r="N501" s="53">
        <f>IF(A501="","",COUNTIF('AFA Rates'!$A$5:$A$504,A501))</f>
        <v/>
      </c>
      <c r="O501" s="54" t="n"/>
      <c r="P501" s="5" t="n"/>
      <c r="Q501" s="5" t="n"/>
      <c r="R501">
        <f>IF(AND(A501&lt;&gt;"",B501="Paused"),COUNTIFS($A$5:A501,"&lt;&gt;",$B$5:B501,"Paused"),"")</f>
        <v/>
      </c>
      <c r="S501">
        <f>IF(M501="Yes",COUNTIF($M$5:M501,"Yes"),"")</f>
        <v/>
      </c>
    </row>
    <row r="502">
      <c r="A502" s="5" t="n"/>
      <c r="B502" s="51" t="n"/>
      <c r="C502" s="5" t="n"/>
      <c r="D502" s="52" t="n"/>
      <c r="E502" s="52" t="n"/>
      <c r="F502" s="52" t="n"/>
      <c r="G502" s="52" t="n"/>
      <c r="H502" s="52" t="n"/>
      <c r="I502" s="52" t="n"/>
      <c r="J502" s="52" t="n"/>
      <c r="K502" s="52" t="n"/>
      <c r="L502" s="51" t="n"/>
      <c r="M502" s="53">
        <f>IF(A502="","",IF(COUNTIF('AFA Rates'!$A$5:$A$504,A502)&gt;0,"Yes","No"))</f>
        <v/>
      </c>
      <c r="N502" s="53">
        <f>IF(A502="","",COUNTIF('AFA Rates'!$A$5:$A$504,A502))</f>
        <v/>
      </c>
      <c r="O502" s="54" t="n"/>
      <c r="P502" s="5" t="n"/>
      <c r="Q502" s="5" t="n"/>
      <c r="R502">
        <f>IF(AND(A502&lt;&gt;"",B502="Paused"),COUNTIFS($A$5:A502,"&lt;&gt;",$B$5:B502,"Paused"),"")</f>
        <v/>
      </c>
      <c r="S502">
        <f>IF(M502="Yes",COUNTIF($M$5:M502,"Yes"),"")</f>
        <v/>
      </c>
    </row>
    <row r="503">
      <c r="A503" s="5" t="n"/>
      <c r="B503" s="51" t="n"/>
      <c r="C503" s="5" t="n"/>
      <c r="D503" s="52" t="n"/>
      <c r="E503" s="52" t="n"/>
      <c r="F503" s="52" t="n"/>
      <c r="G503" s="52" t="n"/>
      <c r="H503" s="52" t="n"/>
      <c r="I503" s="52" t="n"/>
      <c r="J503" s="52" t="n"/>
      <c r="K503" s="52" t="n"/>
      <c r="L503" s="51" t="n"/>
      <c r="M503" s="53">
        <f>IF(A503="","",IF(COUNTIF('AFA Rates'!$A$5:$A$504,A503)&gt;0,"Yes","No"))</f>
        <v/>
      </c>
      <c r="N503" s="53">
        <f>IF(A503="","",COUNTIF('AFA Rates'!$A$5:$A$504,A503))</f>
        <v/>
      </c>
      <c r="O503" s="54" t="n"/>
      <c r="P503" s="5" t="n"/>
      <c r="Q503" s="5" t="n"/>
      <c r="R503">
        <f>IF(AND(A503&lt;&gt;"",B503="Paused"),COUNTIFS($A$5:A503,"&lt;&gt;",$B$5:B503,"Paused"),"")</f>
        <v/>
      </c>
      <c r="S503">
        <f>IF(M503="Yes",COUNTIF($M$5:M503,"Yes"),"")</f>
        <v/>
      </c>
    </row>
    <row r="504">
      <c r="A504" s="5" t="n"/>
      <c r="B504" s="51" t="n"/>
      <c r="C504" s="5" t="n"/>
      <c r="D504" s="52" t="n"/>
      <c r="E504" s="52" t="n"/>
      <c r="F504" s="52" t="n"/>
      <c r="G504" s="52" t="n"/>
      <c r="H504" s="52" t="n"/>
      <c r="I504" s="52" t="n"/>
      <c r="J504" s="52" t="n"/>
      <c r="K504" s="52" t="n"/>
      <c r="L504" s="51" t="n"/>
      <c r="M504" s="53">
        <f>IF(A504="","",IF(COUNTIF('AFA Rates'!$A$5:$A$504,A504)&gt;0,"Yes","No"))</f>
        <v/>
      </c>
      <c r="N504" s="53">
        <f>IF(A504="","",COUNTIF('AFA Rates'!$A$5:$A$504,A504))</f>
        <v/>
      </c>
      <c r="O504" s="54" t="n"/>
      <c r="P504" s="5" t="n"/>
      <c r="Q504" s="5" t="n"/>
      <c r="R504">
        <f>IF(AND(A504&lt;&gt;"",B504="Paused"),COUNTIFS($A$5:A504,"&lt;&gt;",$B$5:B504,"Paused"),"")</f>
        <v/>
      </c>
      <c r="S504">
        <f>IF(M504="Yes",COUNTIF($M$5:M504,"Yes"),"")</f>
        <v/>
      </c>
    </row>
  </sheetData>
  <autoFilter ref="A4:Q504"/>
  <conditionalFormatting sqref="A5:A504">
    <cfRule type="expression" priority="1" dxfId="3" stopIfTrue="0">
      <formula>$B5="Paused"</formula>
    </cfRule>
    <cfRule type="expression" priority="5" dxfId="4">
      <formula>AND(A5&lt;&gt;"",COUNTIF($A$5:$A$504,A5)&gt;1)</formula>
    </cfRule>
  </conditionalFormatting>
  <conditionalFormatting sqref="B5:Q504">
    <cfRule type="expression" priority="2" dxfId="5">
      <formula>$B5="Paused"</formula>
    </cfRule>
  </conditionalFormatting>
  <conditionalFormatting sqref="B5:B504">
    <cfRule type="cellIs" priority="3" operator="equal" dxfId="1">
      <formula>"Active"</formula>
    </cfRule>
  </conditionalFormatting>
  <conditionalFormatting sqref="M5:M504">
    <cfRule type="cellIs" priority="4" operator="equal" dxfId="6">
      <formula>"Yes"</formula>
    </cfRule>
  </conditionalFormatting>
  <conditionalFormatting sqref="A5:Q504">
    <cfRule type="expression" priority="6" dxfId="7">
      <formula>AND($A5&lt;&gt;"",MOD(ROW(),2)=0)</formula>
    </cfRule>
  </conditionalFormatting>
  <dataValidations count="4">
    <dataValidation sqref="B5:B504" showDropDown="0" showInputMessage="0" showErrorMessage="0" allowBlank="1" errorTitle="Status" error="Choose Active or Paused." type="list">
      <formula1>=Status_List</formula1>
    </dataValidation>
    <dataValidation sqref="L5:L504" showDropDown="0" showInputMessage="0" showErrorMessage="0" allowBlank="1" errorTitle="Cyber Status" error="Pick a value from the list (edit options on the Lists tab)." type="list">
      <formula1>=Cyber_List</formula1>
    </dataValidation>
    <dataValidation sqref="D5:K504" showDropDown="0" showInputMessage="0" showErrorMessage="0" allowBlank="1" errorTitle="Rate" error="Enter an hourly rate as a number, e.g. 350." type="decimal" operator="greaterThanOrEqual">
      <formula1>0</formula1>
    </dataValidation>
    <dataValidation sqref="O5:O504" showDropDown="0" showInputMessage="0" showErrorMessage="0" allowBlank="1" errorTitle="Date Paused" error="Enter a date, e.g. 3/15/2026." type="date" operator="greaterThan">
      <formula1>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A8DCC0"/>
    <outlinePr summaryBelow="1" summaryRight="1"/>
    <pageSetUpPr fitToPage="1"/>
  </sheetPr>
  <dimension ref="A1:N504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40" customWidth="1" min="12" max="12"/>
    <col width="18" customWidth="1" min="13" max="13"/>
    <col hidden="1" width="6" customWidth="1" min="14" max="14"/>
  </cols>
  <sheetData>
    <row r="1" ht="34" customHeight="1">
      <c r="A1" s="47" t="inlineStr">
        <is>
          <t>AFA Rates — Alternative Fee Arrangements</t>
        </is>
      </c>
    </row>
    <row r="2" ht="22" customHeight="1">
      <c r="A2" s="48" t="inlineStr">
        <is>
          <t>One row per firm per AFA type. Pick the firm and AFA type from the dropdowns, then enter the AFA rates. Add AFA types on the Lists tab.</t>
        </is>
      </c>
    </row>
    <row r="3">
      <c r="A3" s="17" t="inlineStr">
        <is>
          <t>A firm can have several rows (one per AFA type). Duplicate firm + type combinations turn red. “AFA on File?” on the Firms tab updates automatically.</t>
        </is>
      </c>
    </row>
    <row r="4" ht="36" customHeight="1">
      <c r="A4" s="49" t="inlineStr">
        <is>
          <t>Firm Name</t>
        </is>
      </c>
      <c r="B4" s="49" t="inlineStr">
        <is>
          <t>AFA Type</t>
        </is>
      </c>
      <c r="C4" s="49" t="inlineStr">
        <is>
          <t>Counsel
AFA Rate</t>
        </is>
      </c>
      <c r="D4" s="49" t="inlineStr">
        <is>
          <t>Senior Partner
AFA Rate</t>
        </is>
      </c>
      <c r="E4" s="49" t="inlineStr">
        <is>
          <t>Junior Partner
AFA Rate</t>
        </is>
      </c>
      <c r="F4" s="49" t="inlineStr">
        <is>
          <t>Partner
AFA Rate</t>
        </is>
      </c>
      <c r="G4" s="49" t="inlineStr">
        <is>
          <t>Senior Associate
AFA Rate</t>
        </is>
      </c>
      <c r="H4" s="49" t="inlineStr">
        <is>
          <t>Junior Associate
AFA Rate</t>
        </is>
      </c>
      <c r="I4" s="49" t="inlineStr">
        <is>
          <t>Associate
AFA Rate</t>
        </is>
      </c>
      <c r="J4" s="49" t="inlineStr">
        <is>
          <t>Paralegal
AFA Rate</t>
        </is>
      </c>
      <c r="K4" s="49" t="inlineStr">
        <is>
          <t>Effective Date</t>
        </is>
      </c>
      <c r="L4" s="49" t="inlineStr">
        <is>
          <t>Notes</t>
        </is>
      </c>
      <c r="M4" s="50" t="inlineStr">
        <is>
          <t>Firm Status
(auto)</t>
        </is>
      </c>
      <c r="N4" s="50" t="inlineStr">
        <is>
          <t>_srch</t>
        </is>
      </c>
    </row>
    <row r="5">
      <c r="A5" s="5" t="inlineStr">
        <is>
          <t>Sample: Alder &amp; Pine LLP</t>
        </is>
      </c>
      <c r="B5" s="5" t="inlineStr">
        <is>
          <t>Company Counsel</t>
        </is>
      </c>
      <c r="C5" s="52" t="n">
        <v>425</v>
      </c>
      <c r="D5" s="52" t="n">
        <v>575</v>
      </c>
      <c r="E5" s="52" t="n">
        <v>385</v>
      </c>
      <c r="F5" s="52" t="n">
        <v>475</v>
      </c>
      <c r="G5" s="52" t="n">
        <v>355</v>
      </c>
      <c r="H5" s="52" t="n">
        <v>265</v>
      </c>
      <c r="I5" s="52" t="n">
        <v>310</v>
      </c>
      <c r="J5" s="52" t="n">
        <v>150</v>
      </c>
      <c r="K5" s="54" t="n">
        <v>46023</v>
      </c>
      <c r="L5" s="5" t="inlineStr">
        <is>
          <t>Flat-rate review on monthly reporting.</t>
        </is>
      </c>
      <c r="M5" s="53">
        <f>IF(A5="","",IFERROR(INDEX(Firms!$B$5:$B$504,MATCH(A5,Firms!$A$5:$A$504,0)),"Not on Firms tab"))</f>
        <v/>
      </c>
      <c r="N5">
        <f>IF(AND(A5&lt;&gt;"",A5='Firm Search'!$C$7),COUNTIF($A$5:A5,'Firm Search'!$C$7),"")</f>
        <v/>
      </c>
    </row>
    <row r="6">
      <c r="A6" s="5" t="inlineStr">
        <is>
          <t>Sample: Brookstone Legal Group</t>
        </is>
      </c>
      <c r="B6" s="5" t="inlineStr">
        <is>
          <t>Commercial Trucking</t>
        </is>
      </c>
      <c r="C6" s="52" t="n">
        <v>375</v>
      </c>
      <c r="D6" s="52" t="n">
        <v>500</v>
      </c>
      <c r="E6" s="52" t="n">
        <v>350</v>
      </c>
      <c r="F6" s="52" t="n">
        <v>440</v>
      </c>
      <c r="G6" s="52" t="n">
        <v>310</v>
      </c>
      <c r="H6" s="52" t="n">
        <v>230</v>
      </c>
      <c r="I6" s="52" t="n">
        <v>275</v>
      </c>
      <c r="J6" s="52" t="n">
        <v>135</v>
      </c>
      <c r="K6" s="54" t="n">
        <v>46082</v>
      </c>
      <c r="L6" s="5" t="inlineStr">
        <is>
          <t>Includes 24/7 accident response.</t>
        </is>
      </c>
      <c r="M6" s="53">
        <f>IF(A6="","",IFERROR(INDEX(Firms!$B$5:$B$504,MATCH(A6,Firms!$A$5:$A$504,0)),"Not on Firms tab"))</f>
        <v/>
      </c>
      <c r="N6">
        <f>IF(AND(A6&lt;&gt;"",A6='Firm Search'!$C$7),COUNTIF($A$5:A6,'Firm Search'!$C$7),"")</f>
        <v/>
      </c>
    </row>
    <row r="7">
      <c r="A7" s="5" t="inlineStr">
        <is>
          <t>Sample: Brookstone Legal Group</t>
        </is>
      </c>
      <c r="B7" s="5" t="inlineStr">
        <is>
          <t>Bad Faith</t>
        </is>
      </c>
      <c r="C7" s="52" t="n">
        <v>400</v>
      </c>
      <c r="D7" s="52" t="n">
        <v>540</v>
      </c>
      <c r="E7" s="52" t="n">
        <v>370</v>
      </c>
      <c r="F7" s="52" t="n">
        <v>465</v>
      </c>
      <c r="G7" s="52" t="n">
        <v>330</v>
      </c>
      <c r="H7" s="52" t="n">
        <v>245</v>
      </c>
      <c r="I7" s="52" t="n">
        <v>290</v>
      </c>
      <c r="J7" s="52" t="n">
        <v>140</v>
      </c>
      <c r="K7" s="54" t="n">
        <v>46082</v>
      </c>
      <c r="L7" s="5" t="n"/>
      <c r="M7" s="53">
        <f>IF(A7="","",IFERROR(INDEX(Firms!$B$5:$B$504,MATCH(A7,Firms!$A$5:$A$504,0)),"Not on Firms tab"))</f>
        <v/>
      </c>
      <c r="N7">
        <f>IF(AND(A7&lt;&gt;"",A7='Firm Search'!$C$7),COUNTIF($A$5:A7,'Firm Search'!$C$7),"")</f>
        <v/>
      </c>
    </row>
    <row r="8">
      <c r="A8" s="5" t="inlineStr">
        <is>
          <t>Sample: Cedar Ridge Partners</t>
        </is>
      </c>
      <c r="B8" s="5" t="inlineStr">
        <is>
          <t>Commercial Auto</t>
        </is>
      </c>
      <c r="C8" s="52" t="n">
        <v>360</v>
      </c>
      <c r="D8" s="52" t="n">
        <v>490</v>
      </c>
      <c r="E8" s="52" t="n">
        <v>340</v>
      </c>
      <c r="F8" s="52" t="n">
        <v>410</v>
      </c>
      <c r="G8" s="52" t="n">
        <v>295</v>
      </c>
      <c r="H8" s="52" t="n">
        <v>220</v>
      </c>
      <c r="I8" s="52" t="n">
        <v>260</v>
      </c>
      <c r="J8" s="52" t="n">
        <v>125</v>
      </c>
      <c r="K8" s="54" t="n">
        <v>45839</v>
      </c>
      <c r="L8" s="5" t="n"/>
      <c r="M8" s="53">
        <f>IF(A8="","",IFERROR(INDEX(Firms!$B$5:$B$504,MATCH(A8,Firms!$A$5:$A$504,0)),"Not on Firms tab"))</f>
        <v/>
      </c>
      <c r="N8">
        <f>IF(AND(A8&lt;&gt;"",A8='Firm Search'!$C$7),COUNTIF($A$5:A8,'Firm Search'!$C$7),"")</f>
        <v/>
      </c>
    </row>
    <row r="9">
      <c r="A9" s="5" t="inlineStr">
        <is>
          <t>Sample: Dunmore Whitfield PC</t>
        </is>
      </c>
      <c r="B9" s="5" t="inlineStr">
        <is>
          <t>Appellate</t>
        </is>
      </c>
      <c r="C9" s="52" t="n">
        <v>495</v>
      </c>
      <c r="D9" s="52" t="n">
        <v>650</v>
      </c>
      <c r="E9" s="52" t="n">
        <v>450</v>
      </c>
      <c r="F9" s="52" t="n">
        <v>565</v>
      </c>
      <c r="G9" s="52" t="n">
        <v>405</v>
      </c>
      <c r="H9" s="52" t="n">
        <v>295</v>
      </c>
      <c r="I9" s="52" t="n">
        <v>355</v>
      </c>
      <c r="J9" s="52" t="n">
        <v>165</v>
      </c>
      <c r="K9" s="54" t="n">
        <v>46068</v>
      </c>
      <c r="L9" s="5" t="inlineStr">
        <is>
          <t>Blended cap per appeal.</t>
        </is>
      </c>
      <c r="M9" s="53">
        <f>IF(A9="","",IFERROR(INDEX(Firms!$B$5:$B$504,MATCH(A9,Firms!$A$5:$A$504,0)),"Not on Firms tab"))</f>
        <v/>
      </c>
      <c r="N9">
        <f>IF(AND(A9&lt;&gt;"",A9='Firm Search'!$C$7),COUNTIF($A$5:A9,'Firm Search'!$C$7),"")</f>
        <v/>
      </c>
    </row>
    <row r="10">
      <c r="A10" s="5" t="inlineStr">
        <is>
          <t>Sample: Dunmore Whitfield PC</t>
        </is>
      </c>
      <c r="B10" s="5" t="inlineStr">
        <is>
          <t>Commercial Auto</t>
        </is>
      </c>
      <c r="C10" s="52" t="n">
        <v>480</v>
      </c>
      <c r="D10" s="52" t="n">
        <v>640</v>
      </c>
      <c r="E10" s="52" t="n">
        <v>440</v>
      </c>
      <c r="F10" s="52" t="n">
        <v>550</v>
      </c>
      <c r="G10" s="52" t="n">
        <v>395</v>
      </c>
      <c r="H10" s="52" t="n">
        <v>285</v>
      </c>
      <c r="I10" s="52" t="n">
        <v>345</v>
      </c>
      <c r="J10" s="52" t="n">
        <v>160</v>
      </c>
      <c r="K10" s="54" t="n">
        <v>46068</v>
      </c>
      <c r="L10" s="5" t="n"/>
      <c r="M10" s="53">
        <f>IF(A10="","",IFERROR(INDEX(Firms!$B$5:$B$504,MATCH(A10,Firms!$A$5:$A$504,0)),"Not on Firms tab"))</f>
        <v/>
      </c>
      <c r="N10">
        <f>IF(AND(A10&lt;&gt;"",A10='Firm Search'!$C$7),COUNTIF($A$5:A10,'Firm Search'!$C$7),"")</f>
        <v/>
      </c>
    </row>
    <row r="11">
      <c r="A11" s="5" t="n"/>
      <c r="B11" s="5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4" t="n"/>
      <c r="L11" s="5" t="n"/>
      <c r="M11" s="53">
        <f>IF(A11="","",IFERROR(INDEX(Firms!$B$5:$B$504,MATCH(A11,Firms!$A$5:$A$504,0)),"Not on Firms tab"))</f>
        <v/>
      </c>
      <c r="N11">
        <f>IF(AND(A11&lt;&gt;"",A11='Firm Search'!$C$7),COUNTIF($A$5:A11,'Firm Search'!$C$7),"")</f>
        <v/>
      </c>
    </row>
    <row r="12">
      <c r="A12" s="5" t="n"/>
      <c r="B12" s="5" t="n"/>
      <c r="C12" s="52" t="n"/>
      <c r="D12" s="52" t="n"/>
      <c r="E12" s="52" t="n"/>
      <c r="F12" s="52" t="n"/>
      <c r="G12" s="52" t="n"/>
      <c r="H12" s="52" t="n"/>
      <c r="I12" s="52" t="n"/>
      <c r="J12" s="52" t="n"/>
      <c r="K12" s="54" t="n"/>
      <c r="L12" s="5" t="n"/>
      <c r="M12" s="53">
        <f>IF(A12="","",IFERROR(INDEX(Firms!$B$5:$B$504,MATCH(A12,Firms!$A$5:$A$504,0)),"Not on Firms tab"))</f>
        <v/>
      </c>
      <c r="N12">
        <f>IF(AND(A12&lt;&gt;"",A12='Firm Search'!$C$7),COUNTIF($A$5:A12,'Firm Search'!$C$7),"")</f>
        <v/>
      </c>
    </row>
    <row r="13">
      <c r="A13" s="5" t="n"/>
      <c r="B13" s="5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4" t="n"/>
      <c r="L13" s="5" t="n"/>
      <c r="M13" s="53">
        <f>IF(A13="","",IFERROR(INDEX(Firms!$B$5:$B$504,MATCH(A13,Firms!$A$5:$A$504,0)),"Not on Firms tab"))</f>
        <v/>
      </c>
      <c r="N13">
        <f>IF(AND(A13&lt;&gt;"",A13='Firm Search'!$C$7),COUNTIF($A$5:A13,'Firm Search'!$C$7),"")</f>
        <v/>
      </c>
    </row>
    <row r="14">
      <c r="A14" s="5" t="n"/>
      <c r="B14" s="5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4" t="n"/>
      <c r="L14" s="5" t="n"/>
      <c r="M14" s="53">
        <f>IF(A14="","",IFERROR(INDEX(Firms!$B$5:$B$504,MATCH(A14,Firms!$A$5:$A$504,0)),"Not on Firms tab"))</f>
        <v/>
      </c>
      <c r="N14">
        <f>IF(AND(A14&lt;&gt;"",A14='Firm Search'!$C$7),COUNTIF($A$5:A14,'Firm Search'!$C$7),"")</f>
        <v/>
      </c>
    </row>
    <row r="15">
      <c r="A15" s="5" t="n"/>
      <c r="B15" s="5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4" t="n"/>
      <c r="L15" s="5" t="n"/>
      <c r="M15" s="53">
        <f>IF(A15="","",IFERROR(INDEX(Firms!$B$5:$B$504,MATCH(A15,Firms!$A$5:$A$504,0)),"Not on Firms tab"))</f>
        <v/>
      </c>
      <c r="N15">
        <f>IF(AND(A15&lt;&gt;"",A15='Firm Search'!$C$7),COUNTIF($A$5:A15,'Firm Search'!$C$7),"")</f>
        <v/>
      </c>
    </row>
    <row r="16">
      <c r="A16" s="5" t="n"/>
      <c r="B16" s="5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4" t="n"/>
      <c r="L16" s="5" t="n"/>
      <c r="M16" s="53">
        <f>IF(A16="","",IFERROR(INDEX(Firms!$B$5:$B$504,MATCH(A16,Firms!$A$5:$A$504,0)),"Not on Firms tab"))</f>
        <v/>
      </c>
      <c r="N16">
        <f>IF(AND(A16&lt;&gt;"",A16='Firm Search'!$C$7),COUNTIF($A$5:A16,'Firm Search'!$C$7),"")</f>
        <v/>
      </c>
    </row>
    <row r="17">
      <c r="A17" s="5" t="n"/>
      <c r="B17" s="5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4" t="n"/>
      <c r="L17" s="5" t="n"/>
      <c r="M17" s="53">
        <f>IF(A17="","",IFERROR(INDEX(Firms!$B$5:$B$504,MATCH(A17,Firms!$A$5:$A$504,0)),"Not on Firms tab"))</f>
        <v/>
      </c>
      <c r="N17">
        <f>IF(AND(A17&lt;&gt;"",A17='Firm Search'!$C$7),COUNTIF($A$5:A17,'Firm Search'!$C$7),"")</f>
        <v/>
      </c>
    </row>
    <row r="18">
      <c r="A18" s="5" t="n"/>
      <c r="B18" s="5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4" t="n"/>
      <c r="L18" s="5" t="n"/>
      <c r="M18" s="53">
        <f>IF(A18="","",IFERROR(INDEX(Firms!$B$5:$B$504,MATCH(A18,Firms!$A$5:$A$504,0)),"Not on Firms tab"))</f>
        <v/>
      </c>
      <c r="N18">
        <f>IF(AND(A18&lt;&gt;"",A18='Firm Search'!$C$7),COUNTIF($A$5:A18,'Firm Search'!$C$7),"")</f>
        <v/>
      </c>
    </row>
    <row r="19">
      <c r="A19" s="5" t="n"/>
      <c r="B19" s="5" t="n"/>
      <c r="C19" s="52" t="n"/>
      <c r="D19" s="52" t="n"/>
      <c r="E19" s="52" t="n"/>
      <c r="F19" s="52" t="n"/>
      <c r="G19" s="52" t="n"/>
      <c r="H19" s="52" t="n"/>
      <c r="I19" s="52" t="n"/>
      <c r="J19" s="52" t="n"/>
      <c r="K19" s="54" t="n"/>
      <c r="L19" s="5" t="n"/>
      <c r="M19" s="53">
        <f>IF(A19="","",IFERROR(INDEX(Firms!$B$5:$B$504,MATCH(A19,Firms!$A$5:$A$504,0)),"Not on Firms tab"))</f>
        <v/>
      </c>
      <c r="N19">
        <f>IF(AND(A19&lt;&gt;"",A19='Firm Search'!$C$7),COUNTIF($A$5:A19,'Firm Search'!$C$7),"")</f>
        <v/>
      </c>
    </row>
    <row r="20">
      <c r="A20" s="5" t="n"/>
      <c r="B20" s="5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4" t="n"/>
      <c r="L20" s="5" t="n"/>
      <c r="M20" s="53">
        <f>IF(A20="","",IFERROR(INDEX(Firms!$B$5:$B$504,MATCH(A20,Firms!$A$5:$A$504,0)),"Not on Firms tab"))</f>
        <v/>
      </c>
      <c r="N20">
        <f>IF(AND(A20&lt;&gt;"",A20='Firm Search'!$C$7),COUNTIF($A$5:A20,'Firm Search'!$C$7),"")</f>
        <v/>
      </c>
    </row>
    <row r="21">
      <c r="A21" s="5" t="n"/>
      <c r="B21" s="5" t="n"/>
      <c r="C21" s="52" t="n"/>
      <c r="D21" s="52" t="n"/>
      <c r="E21" s="52" t="n"/>
      <c r="F21" s="52" t="n"/>
      <c r="G21" s="52" t="n"/>
      <c r="H21" s="52" t="n"/>
      <c r="I21" s="52" t="n"/>
      <c r="J21" s="52" t="n"/>
      <c r="K21" s="54" t="n"/>
      <c r="L21" s="5" t="n"/>
      <c r="M21" s="53">
        <f>IF(A21="","",IFERROR(INDEX(Firms!$B$5:$B$504,MATCH(A21,Firms!$A$5:$A$504,0)),"Not on Firms tab"))</f>
        <v/>
      </c>
      <c r="N21">
        <f>IF(AND(A21&lt;&gt;"",A21='Firm Search'!$C$7),COUNTIF($A$5:A21,'Firm Search'!$C$7),"")</f>
        <v/>
      </c>
    </row>
    <row r="22">
      <c r="A22" s="5" t="n"/>
      <c r="B22" s="5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4" t="n"/>
      <c r="L22" s="5" t="n"/>
      <c r="M22" s="53">
        <f>IF(A22="","",IFERROR(INDEX(Firms!$B$5:$B$504,MATCH(A22,Firms!$A$5:$A$504,0)),"Not on Firms tab"))</f>
        <v/>
      </c>
      <c r="N22">
        <f>IF(AND(A22&lt;&gt;"",A22='Firm Search'!$C$7),COUNTIF($A$5:A22,'Firm Search'!$C$7),"")</f>
        <v/>
      </c>
    </row>
    <row r="23">
      <c r="A23" s="5" t="n"/>
      <c r="B23" s="5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4" t="n"/>
      <c r="L23" s="5" t="n"/>
      <c r="M23" s="53">
        <f>IF(A23="","",IFERROR(INDEX(Firms!$B$5:$B$504,MATCH(A23,Firms!$A$5:$A$504,0)),"Not on Firms tab"))</f>
        <v/>
      </c>
      <c r="N23">
        <f>IF(AND(A23&lt;&gt;"",A23='Firm Search'!$C$7),COUNTIF($A$5:A23,'Firm Search'!$C$7),"")</f>
        <v/>
      </c>
    </row>
    <row r="24">
      <c r="A24" s="5" t="n"/>
      <c r="B24" s="5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4" t="n"/>
      <c r="L24" s="5" t="n"/>
      <c r="M24" s="53">
        <f>IF(A24="","",IFERROR(INDEX(Firms!$B$5:$B$504,MATCH(A24,Firms!$A$5:$A$504,0)),"Not on Firms tab"))</f>
        <v/>
      </c>
      <c r="N24">
        <f>IF(AND(A24&lt;&gt;"",A24='Firm Search'!$C$7),COUNTIF($A$5:A24,'Firm Search'!$C$7),"")</f>
        <v/>
      </c>
    </row>
    <row r="25">
      <c r="A25" s="5" t="n"/>
      <c r="B25" s="5" t="n"/>
      <c r="C25" s="52" t="n"/>
      <c r="D25" s="52" t="n"/>
      <c r="E25" s="52" t="n"/>
      <c r="F25" s="52" t="n"/>
      <c r="G25" s="52" t="n"/>
      <c r="H25" s="52" t="n"/>
      <c r="I25" s="52" t="n"/>
      <c r="J25" s="52" t="n"/>
      <c r="K25" s="54" t="n"/>
      <c r="L25" s="5" t="n"/>
      <c r="M25" s="53">
        <f>IF(A25="","",IFERROR(INDEX(Firms!$B$5:$B$504,MATCH(A25,Firms!$A$5:$A$504,0)),"Not on Firms tab"))</f>
        <v/>
      </c>
      <c r="N25">
        <f>IF(AND(A25&lt;&gt;"",A25='Firm Search'!$C$7),COUNTIF($A$5:A25,'Firm Search'!$C$7),"")</f>
        <v/>
      </c>
    </row>
    <row r="26">
      <c r="A26" s="5" t="n"/>
      <c r="B26" s="5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4" t="n"/>
      <c r="L26" s="5" t="n"/>
      <c r="M26" s="53">
        <f>IF(A26="","",IFERROR(INDEX(Firms!$B$5:$B$504,MATCH(A26,Firms!$A$5:$A$504,0)),"Not on Firms tab"))</f>
        <v/>
      </c>
      <c r="N26">
        <f>IF(AND(A26&lt;&gt;"",A26='Firm Search'!$C$7),COUNTIF($A$5:A26,'Firm Search'!$C$7),"")</f>
        <v/>
      </c>
    </row>
    <row r="27">
      <c r="A27" s="5" t="n"/>
      <c r="B27" s="5" t="n"/>
      <c r="C27" s="52" t="n"/>
      <c r="D27" s="52" t="n"/>
      <c r="E27" s="52" t="n"/>
      <c r="F27" s="52" t="n"/>
      <c r="G27" s="52" t="n"/>
      <c r="H27" s="52" t="n"/>
      <c r="I27" s="52" t="n"/>
      <c r="J27" s="52" t="n"/>
      <c r="K27" s="54" t="n"/>
      <c r="L27" s="5" t="n"/>
      <c r="M27" s="53">
        <f>IF(A27="","",IFERROR(INDEX(Firms!$B$5:$B$504,MATCH(A27,Firms!$A$5:$A$504,0)),"Not on Firms tab"))</f>
        <v/>
      </c>
      <c r="N27">
        <f>IF(AND(A27&lt;&gt;"",A27='Firm Search'!$C$7),COUNTIF($A$5:A27,'Firm Search'!$C$7),"")</f>
        <v/>
      </c>
    </row>
    <row r="28">
      <c r="A28" s="5" t="n"/>
      <c r="B28" s="5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4" t="n"/>
      <c r="L28" s="5" t="n"/>
      <c r="M28" s="53">
        <f>IF(A28="","",IFERROR(INDEX(Firms!$B$5:$B$504,MATCH(A28,Firms!$A$5:$A$504,0)),"Not on Firms tab"))</f>
        <v/>
      </c>
      <c r="N28">
        <f>IF(AND(A28&lt;&gt;"",A28='Firm Search'!$C$7),COUNTIF($A$5:A28,'Firm Search'!$C$7),"")</f>
        <v/>
      </c>
    </row>
    <row r="29">
      <c r="A29" s="5" t="n"/>
      <c r="B29" s="5" t="n"/>
      <c r="C29" s="52" t="n"/>
      <c r="D29" s="52" t="n"/>
      <c r="E29" s="52" t="n"/>
      <c r="F29" s="52" t="n"/>
      <c r="G29" s="52" t="n"/>
      <c r="H29" s="52" t="n"/>
      <c r="I29" s="52" t="n"/>
      <c r="J29" s="52" t="n"/>
      <c r="K29" s="54" t="n"/>
      <c r="L29" s="5" t="n"/>
      <c r="M29" s="53">
        <f>IF(A29="","",IFERROR(INDEX(Firms!$B$5:$B$504,MATCH(A29,Firms!$A$5:$A$504,0)),"Not on Firms tab"))</f>
        <v/>
      </c>
      <c r="N29">
        <f>IF(AND(A29&lt;&gt;"",A29='Firm Search'!$C$7),COUNTIF($A$5:A29,'Firm Search'!$C$7),"")</f>
        <v/>
      </c>
    </row>
    <row r="30">
      <c r="A30" s="5" t="n"/>
      <c r="B30" s="5" t="n"/>
      <c r="C30" s="52" t="n"/>
      <c r="D30" s="52" t="n"/>
      <c r="E30" s="52" t="n"/>
      <c r="F30" s="52" t="n"/>
      <c r="G30" s="52" t="n"/>
      <c r="H30" s="52" t="n"/>
      <c r="I30" s="52" t="n"/>
      <c r="J30" s="52" t="n"/>
      <c r="K30" s="54" t="n"/>
      <c r="L30" s="5" t="n"/>
      <c r="M30" s="53">
        <f>IF(A30="","",IFERROR(INDEX(Firms!$B$5:$B$504,MATCH(A30,Firms!$A$5:$A$504,0)),"Not on Firms tab"))</f>
        <v/>
      </c>
      <c r="N30">
        <f>IF(AND(A30&lt;&gt;"",A30='Firm Search'!$C$7),COUNTIF($A$5:A30,'Firm Search'!$C$7),"")</f>
        <v/>
      </c>
    </row>
    <row r="31">
      <c r="A31" s="5" t="n"/>
      <c r="B31" s="5" t="n"/>
      <c r="C31" s="52" t="n"/>
      <c r="D31" s="52" t="n"/>
      <c r="E31" s="52" t="n"/>
      <c r="F31" s="52" t="n"/>
      <c r="G31" s="52" t="n"/>
      <c r="H31" s="52" t="n"/>
      <c r="I31" s="52" t="n"/>
      <c r="J31" s="52" t="n"/>
      <c r="K31" s="54" t="n"/>
      <c r="L31" s="5" t="n"/>
      <c r="M31" s="53">
        <f>IF(A31="","",IFERROR(INDEX(Firms!$B$5:$B$504,MATCH(A31,Firms!$A$5:$A$504,0)),"Not on Firms tab"))</f>
        <v/>
      </c>
      <c r="N31">
        <f>IF(AND(A31&lt;&gt;"",A31='Firm Search'!$C$7),COUNTIF($A$5:A31,'Firm Search'!$C$7),"")</f>
        <v/>
      </c>
    </row>
    <row r="32">
      <c r="A32" s="5" t="n"/>
      <c r="B32" s="5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4" t="n"/>
      <c r="L32" s="5" t="n"/>
      <c r="M32" s="53">
        <f>IF(A32="","",IFERROR(INDEX(Firms!$B$5:$B$504,MATCH(A32,Firms!$A$5:$A$504,0)),"Not on Firms tab"))</f>
        <v/>
      </c>
      <c r="N32">
        <f>IF(AND(A32&lt;&gt;"",A32='Firm Search'!$C$7),COUNTIF($A$5:A32,'Firm Search'!$C$7),"")</f>
        <v/>
      </c>
    </row>
    <row r="33">
      <c r="A33" s="5" t="n"/>
      <c r="B33" s="5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4" t="n"/>
      <c r="L33" s="5" t="n"/>
      <c r="M33" s="53">
        <f>IF(A33="","",IFERROR(INDEX(Firms!$B$5:$B$504,MATCH(A33,Firms!$A$5:$A$504,0)),"Not on Firms tab"))</f>
        <v/>
      </c>
      <c r="N33">
        <f>IF(AND(A33&lt;&gt;"",A33='Firm Search'!$C$7),COUNTIF($A$5:A33,'Firm Search'!$C$7),"")</f>
        <v/>
      </c>
    </row>
    <row r="34">
      <c r="A34" s="5" t="n"/>
      <c r="B34" s="5" t="n"/>
      <c r="C34" s="52" t="n"/>
      <c r="D34" s="52" t="n"/>
      <c r="E34" s="52" t="n"/>
      <c r="F34" s="52" t="n"/>
      <c r="G34" s="52" t="n"/>
      <c r="H34" s="52" t="n"/>
      <c r="I34" s="52" t="n"/>
      <c r="J34" s="52" t="n"/>
      <c r="K34" s="54" t="n"/>
      <c r="L34" s="5" t="n"/>
      <c r="M34" s="53">
        <f>IF(A34="","",IFERROR(INDEX(Firms!$B$5:$B$504,MATCH(A34,Firms!$A$5:$A$504,0)),"Not on Firms tab"))</f>
        <v/>
      </c>
      <c r="N34">
        <f>IF(AND(A34&lt;&gt;"",A34='Firm Search'!$C$7),COUNTIF($A$5:A34,'Firm Search'!$C$7),"")</f>
        <v/>
      </c>
    </row>
    <row r="35">
      <c r="A35" s="5" t="n"/>
      <c r="B35" s="5" t="n"/>
      <c r="C35" s="52" t="n"/>
      <c r="D35" s="52" t="n"/>
      <c r="E35" s="52" t="n"/>
      <c r="F35" s="52" t="n"/>
      <c r="G35" s="52" t="n"/>
      <c r="H35" s="52" t="n"/>
      <c r="I35" s="52" t="n"/>
      <c r="J35" s="52" t="n"/>
      <c r="K35" s="54" t="n"/>
      <c r="L35" s="5" t="n"/>
      <c r="M35" s="53">
        <f>IF(A35="","",IFERROR(INDEX(Firms!$B$5:$B$504,MATCH(A35,Firms!$A$5:$A$504,0)),"Not on Firms tab"))</f>
        <v/>
      </c>
      <c r="N35">
        <f>IF(AND(A35&lt;&gt;"",A35='Firm Search'!$C$7),COUNTIF($A$5:A35,'Firm Search'!$C$7),"")</f>
        <v/>
      </c>
    </row>
    <row r="36">
      <c r="A36" s="5" t="n"/>
      <c r="B36" s="5" t="n"/>
      <c r="C36" s="52" t="n"/>
      <c r="D36" s="52" t="n"/>
      <c r="E36" s="52" t="n"/>
      <c r="F36" s="52" t="n"/>
      <c r="G36" s="52" t="n"/>
      <c r="H36" s="52" t="n"/>
      <c r="I36" s="52" t="n"/>
      <c r="J36" s="52" t="n"/>
      <c r="K36" s="54" t="n"/>
      <c r="L36" s="5" t="n"/>
      <c r="M36" s="53">
        <f>IF(A36="","",IFERROR(INDEX(Firms!$B$5:$B$504,MATCH(A36,Firms!$A$5:$A$504,0)),"Not on Firms tab"))</f>
        <v/>
      </c>
      <c r="N36">
        <f>IF(AND(A36&lt;&gt;"",A36='Firm Search'!$C$7),COUNTIF($A$5:A36,'Firm Search'!$C$7),"")</f>
        <v/>
      </c>
    </row>
    <row r="37">
      <c r="A37" s="5" t="n"/>
      <c r="B37" s="5" t="n"/>
      <c r="C37" s="52" t="n"/>
      <c r="D37" s="52" t="n"/>
      <c r="E37" s="52" t="n"/>
      <c r="F37" s="52" t="n"/>
      <c r="G37" s="52" t="n"/>
      <c r="H37" s="52" t="n"/>
      <c r="I37" s="52" t="n"/>
      <c r="J37" s="52" t="n"/>
      <c r="K37" s="54" t="n"/>
      <c r="L37" s="5" t="n"/>
      <c r="M37" s="53">
        <f>IF(A37="","",IFERROR(INDEX(Firms!$B$5:$B$504,MATCH(A37,Firms!$A$5:$A$504,0)),"Not on Firms tab"))</f>
        <v/>
      </c>
      <c r="N37">
        <f>IF(AND(A37&lt;&gt;"",A37='Firm Search'!$C$7),COUNTIF($A$5:A37,'Firm Search'!$C$7),"")</f>
        <v/>
      </c>
    </row>
    <row r="38">
      <c r="A38" s="5" t="n"/>
      <c r="B38" s="5" t="n"/>
      <c r="C38" s="52" t="n"/>
      <c r="D38" s="52" t="n"/>
      <c r="E38" s="52" t="n"/>
      <c r="F38" s="52" t="n"/>
      <c r="G38" s="52" t="n"/>
      <c r="H38" s="52" t="n"/>
      <c r="I38" s="52" t="n"/>
      <c r="J38" s="52" t="n"/>
      <c r="K38" s="54" t="n"/>
      <c r="L38" s="5" t="n"/>
      <c r="M38" s="53">
        <f>IF(A38="","",IFERROR(INDEX(Firms!$B$5:$B$504,MATCH(A38,Firms!$A$5:$A$504,0)),"Not on Firms tab"))</f>
        <v/>
      </c>
      <c r="N38">
        <f>IF(AND(A38&lt;&gt;"",A38='Firm Search'!$C$7),COUNTIF($A$5:A38,'Firm Search'!$C$7),"")</f>
        <v/>
      </c>
    </row>
    <row r="39">
      <c r="A39" s="5" t="n"/>
      <c r="B39" s="5" t="n"/>
      <c r="C39" s="52" t="n"/>
      <c r="D39" s="52" t="n"/>
      <c r="E39" s="52" t="n"/>
      <c r="F39" s="52" t="n"/>
      <c r="G39" s="52" t="n"/>
      <c r="H39" s="52" t="n"/>
      <c r="I39" s="52" t="n"/>
      <c r="J39" s="52" t="n"/>
      <c r="K39" s="54" t="n"/>
      <c r="L39" s="5" t="n"/>
      <c r="M39" s="53">
        <f>IF(A39="","",IFERROR(INDEX(Firms!$B$5:$B$504,MATCH(A39,Firms!$A$5:$A$504,0)),"Not on Firms tab"))</f>
        <v/>
      </c>
      <c r="N39">
        <f>IF(AND(A39&lt;&gt;"",A39='Firm Search'!$C$7),COUNTIF($A$5:A39,'Firm Search'!$C$7),"")</f>
        <v/>
      </c>
    </row>
    <row r="40">
      <c r="A40" s="5" t="n"/>
      <c r="B40" s="5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4" t="n"/>
      <c r="L40" s="5" t="n"/>
      <c r="M40" s="53">
        <f>IF(A40="","",IFERROR(INDEX(Firms!$B$5:$B$504,MATCH(A40,Firms!$A$5:$A$504,0)),"Not on Firms tab"))</f>
        <v/>
      </c>
      <c r="N40">
        <f>IF(AND(A40&lt;&gt;"",A40='Firm Search'!$C$7),COUNTIF($A$5:A40,'Firm Search'!$C$7),"")</f>
        <v/>
      </c>
    </row>
    <row r="41">
      <c r="A41" s="5" t="n"/>
      <c r="B41" s="5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4" t="n"/>
      <c r="L41" s="5" t="n"/>
      <c r="M41" s="53">
        <f>IF(A41="","",IFERROR(INDEX(Firms!$B$5:$B$504,MATCH(A41,Firms!$A$5:$A$504,0)),"Not on Firms tab"))</f>
        <v/>
      </c>
      <c r="N41">
        <f>IF(AND(A41&lt;&gt;"",A41='Firm Search'!$C$7),COUNTIF($A$5:A41,'Firm Search'!$C$7),"")</f>
        <v/>
      </c>
    </row>
    <row r="42">
      <c r="A42" s="5" t="n"/>
      <c r="B42" s="5" t="n"/>
      <c r="C42" s="52" t="n"/>
      <c r="D42" s="52" t="n"/>
      <c r="E42" s="52" t="n"/>
      <c r="F42" s="52" t="n"/>
      <c r="G42" s="52" t="n"/>
      <c r="H42" s="52" t="n"/>
      <c r="I42" s="52" t="n"/>
      <c r="J42" s="52" t="n"/>
      <c r="K42" s="54" t="n"/>
      <c r="L42" s="5" t="n"/>
      <c r="M42" s="53">
        <f>IF(A42="","",IFERROR(INDEX(Firms!$B$5:$B$504,MATCH(A42,Firms!$A$5:$A$504,0)),"Not on Firms tab"))</f>
        <v/>
      </c>
      <c r="N42">
        <f>IF(AND(A42&lt;&gt;"",A42='Firm Search'!$C$7),COUNTIF($A$5:A42,'Firm Search'!$C$7),"")</f>
        <v/>
      </c>
    </row>
    <row r="43">
      <c r="A43" s="5" t="n"/>
      <c r="B43" s="5" t="n"/>
      <c r="C43" s="52" t="n"/>
      <c r="D43" s="52" t="n"/>
      <c r="E43" s="52" t="n"/>
      <c r="F43" s="52" t="n"/>
      <c r="G43" s="52" t="n"/>
      <c r="H43" s="52" t="n"/>
      <c r="I43" s="52" t="n"/>
      <c r="J43" s="52" t="n"/>
      <c r="K43" s="54" t="n"/>
      <c r="L43" s="5" t="n"/>
      <c r="M43" s="53">
        <f>IF(A43="","",IFERROR(INDEX(Firms!$B$5:$B$504,MATCH(A43,Firms!$A$5:$A$504,0)),"Not on Firms tab"))</f>
        <v/>
      </c>
      <c r="N43">
        <f>IF(AND(A43&lt;&gt;"",A43='Firm Search'!$C$7),COUNTIF($A$5:A43,'Firm Search'!$C$7),"")</f>
        <v/>
      </c>
    </row>
    <row r="44">
      <c r="A44" s="5" t="n"/>
      <c r="B44" s="5" t="n"/>
      <c r="C44" s="52" t="n"/>
      <c r="D44" s="52" t="n"/>
      <c r="E44" s="52" t="n"/>
      <c r="F44" s="52" t="n"/>
      <c r="G44" s="52" t="n"/>
      <c r="H44" s="52" t="n"/>
      <c r="I44" s="52" t="n"/>
      <c r="J44" s="52" t="n"/>
      <c r="K44" s="54" t="n"/>
      <c r="L44" s="5" t="n"/>
      <c r="M44" s="53">
        <f>IF(A44="","",IFERROR(INDEX(Firms!$B$5:$B$504,MATCH(A44,Firms!$A$5:$A$504,0)),"Not on Firms tab"))</f>
        <v/>
      </c>
      <c r="N44">
        <f>IF(AND(A44&lt;&gt;"",A44='Firm Search'!$C$7),COUNTIF($A$5:A44,'Firm Search'!$C$7),"")</f>
        <v/>
      </c>
    </row>
    <row r="45">
      <c r="A45" s="5" t="n"/>
      <c r="B45" s="5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4" t="n"/>
      <c r="L45" s="5" t="n"/>
      <c r="M45" s="53">
        <f>IF(A45="","",IFERROR(INDEX(Firms!$B$5:$B$504,MATCH(A45,Firms!$A$5:$A$504,0)),"Not on Firms tab"))</f>
        <v/>
      </c>
      <c r="N45">
        <f>IF(AND(A45&lt;&gt;"",A45='Firm Search'!$C$7),COUNTIF($A$5:A45,'Firm Search'!$C$7),"")</f>
        <v/>
      </c>
    </row>
    <row r="46">
      <c r="A46" s="5" t="n"/>
      <c r="B46" s="5" t="n"/>
      <c r="C46" s="52" t="n"/>
      <c r="D46" s="52" t="n"/>
      <c r="E46" s="52" t="n"/>
      <c r="F46" s="52" t="n"/>
      <c r="G46" s="52" t="n"/>
      <c r="H46" s="52" t="n"/>
      <c r="I46" s="52" t="n"/>
      <c r="J46" s="52" t="n"/>
      <c r="K46" s="54" t="n"/>
      <c r="L46" s="5" t="n"/>
      <c r="M46" s="53">
        <f>IF(A46="","",IFERROR(INDEX(Firms!$B$5:$B$504,MATCH(A46,Firms!$A$5:$A$504,0)),"Not on Firms tab"))</f>
        <v/>
      </c>
      <c r="N46">
        <f>IF(AND(A46&lt;&gt;"",A46='Firm Search'!$C$7),COUNTIF($A$5:A46,'Firm Search'!$C$7),"")</f>
        <v/>
      </c>
    </row>
    <row r="47">
      <c r="A47" s="5" t="n"/>
      <c r="B47" s="5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4" t="n"/>
      <c r="L47" s="5" t="n"/>
      <c r="M47" s="53">
        <f>IF(A47="","",IFERROR(INDEX(Firms!$B$5:$B$504,MATCH(A47,Firms!$A$5:$A$504,0)),"Not on Firms tab"))</f>
        <v/>
      </c>
      <c r="N47">
        <f>IF(AND(A47&lt;&gt;"",A47='Firm Search'!$C$7),COUNTIF($A$5:A47,'Firm Search'!$C$7),"")</f>
        <v/>
      </c>
    </row>
    <row r="48">
      <c r="A48" s="5" t="n"/>
      <c r="B48" s="5" t="n"/>
      <c r="C48" s="52" t="n"/>
      <c r="D48" s="52" t="n"/>
      <c r="E48" s="52" t="n"/>
      <c r="F48" s="52" t="n"/>
      <c r="G48" s="52" t="n"/>
      <c r="H48" s="52" t="n"/>
      <c r="I48" s="52" t="n"/>
      <c r="J48" s="52" t="n"/>
      <c r="K48" s="54" t="n"/>
      <c r="L48" s="5" t="n"/>
      <c r="M48" s="53">
        <f>IF(A48="","",IFERROR(INDEX(Firms!$B$5:$B$504,MATCH(A48,Firms!$A$5:$A$504,0)),"Not on Firms tab"))</f>
        <v/>
      </c>
      <c r="N48">
        <f>IF(AND(A48&lt;&gt;"",A48='Firm Search'!$C$7),COUNTIF($A$5:A48,'Firm Search'!$C$7),"")</f>
        <v/>
      </c>
    </row>
    <row r="49">
      <c r="A49" s="5" t="n"/>
      <c r="B49" s="5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4" t="n"/>
      <c r="L49" s="5" t="n"/>
      <c r="M49" s="53">
        <f>IF(A49="","",IFERROR(INDEX(Firms!$B$5:$B$504,MATCH(A49,Firms!$A$5:$A$504,0)),"Not on Firms tab"))</f>
        <v/>
      </c>
      <c r="N49">
        <f>IF(AND(A49&lt;&gt;"",A49='Firm Search'!$C$7),COUNTIF($A$5:A49,'Firm Search'!$C$7),"")</f>
        <v/>
      </c>
    </row>
    <row r="50">
      <c r="A50" s="5" t="n"/>
      <c r="B50" s="5" t="n"/>
      <c r="C50" s="52" t="n"/>
      <c r="D50" s="52" t="n"/>
      <c r="E50" s="52" t="n"/>
      <c r="F50" s="52" t="n"/>
      <c r="G50" s="52" t="n"/>
      <c r="H50" s="52" t="n"/>
      <c r="I50" s="52" t="n"/>
      <c r="J50" s="52" t="n"/>
      <c r="K50" s="54" t="n"/>
      <c r="L50" s="5" t="n"/>
      <c r="M50" s="53">
        <f>IF(A50="","",IFERROR(INDEX(Firms!$B$5:$B$504,MATCH(A50,Firms!$A$5:$A$504,0)),"Not on Firms tab"))</f>
        <v/>
      </c>
      <c r="N50">
        <f>IF(AND(A50&lt;&gt;"",A50='Firm Search'!$C$7),COUNTIF($A$5:A50,'Firm Search'!$C$7),"")</f>
        <v/>
      </c>
    </row>
    <row r="51">
      <c r="A51" s="5" t="n"/>
      <c r="B51" s="5" t="n"/>
      <c r="C51" s="52" t="n"/>
      <c r="D51" s="52" t="n"/>
      <c r="E51" s="52" t="n"/>
      <c r="F51" s="52" t="n"/>
      <c r="G51" s="52" t="n"/>
      <c r="H51" s="52" t="n"/>
      <c r="I51" s="52" t="n"/>
      <c r="J51" s="52" t="n"/>
      <c r="K51" s="54" t="n"/>
      <c r="L51" s="5" t="n"/>
      <c r="M51" s="53">
        <f>IF(A51="","",IFERROR(INDEX(Firms!$B$5:$B$504,MATCH(A51,Firms!$A$5:$A$504,0)),"Not on Firms tab"))</f>
        <v/>
      </c>
      <c r="N51">
        <f>IF(AND(A51&lt;&gt;"",A51='Firm Search'!$C$7),COUNTIF($A$5:A51,'Firm Search'!$C$7),"")</f>
        <v/>
      </c>
    </row>
    <row r="52">
      <c r="A52" s="5" t="n"/>
      <c r="B52" s="5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4" t="n"/>
      <c r="L52" s="5" t="n"/>
      <c r="M52" s="53">
        <f>IF(A52="","",IFERROR(INDEX(Firms!$B$5:$B$504,MATCH(A52,Firms!$A$5:$A$504,0)),"Not on Firms tab"))</f>
        <v/>
      </c>
      <c r="N52">
        <f>IF(AND(A52&lt;&gt;"",A52='Firm Search'!$C$7),COUNTIF($A$5:A52,'Firm Search'!$C$7),"")</f>
        <v/>
      </c>
    </row>
    <row r="53">
      <c r="A53" s="5" t="n"/>
      <c r="B53" s="5" t="n"/>
      <c r="C53" s="52" t="n"/>
      <c r="D53" s="52" t="n"/>
      <c r="E53" s="52" t="n"/>
      <c r="F53" s="52" t="n"/>
      <c r="G53" s="52" t="n"/>
      <c r="H53" s="52" t="n"/>
      <c r="I53" s="52" t="n"/>
      <c r="J53" s="52" t="n"/>
      <c r="K53" s="54" t="n"/>
      <c r="L53" s="5" t="n"/>
      <c r="M53" s="53">
        <f>IF(A53="","",IFERROR(INDEX(Firms!$B$5:$B$504,MATCH(A53,Firms!$A$5:$A$504,0)),"Not on Firms tab"))</f>
        <v/>
      </c>
      <c r="N53">
        <f>IF(AND(A53&lt;&gt;"",A53='Firm Search'!$C$7),COUNTIF($A$5:A53,'Firm Search'!$C$7),"")</f>
        <v/>
      </c>
    </row>
    <row r="54">
      <c r="A54" s="5" t="n"/>
      <c r="B54" s="5" t="n"/>
      <c r="C54" s="52" t="n"/>
      <c r="D54" s="52" t="n"/>
      <c r="E54" s="52" t="n"/>
      <c r="F54" s="52" t="n"/>
      <c r="G54" s="52" t="n"/>
      <c r="H54" s="52" t="n"/>
      <c r="I54" s="52" t="n"/>
      <c r="J54" s="52" t="n"/>
      <c r="K54" s="54" t="n"/>
      <c r="L54" s="5" t="n"/>
      <c r="M54" s="53">
        <f>IF(A54="","",IFERROR(INDEX(Firms!$B$5:$B$504,MATCH(A54,Firms!$A$5:$A$504,0)),"Not on Firms tab"))</f>
        <v/>
      </c>
      <c r="N54">
        <f>IF(AND(A54&lt;&gt;"",A54='Firm Search'!$C$7),COUNTIF($A$5:A54,'Firm Search'!$C$7),"")</f>
        <v/>
      </c>
    </row>
    <row r="55">
      <c r="A55" s="5" t="n"/>
      <c r="B55" s="5" t="n"/>
      <c r="C55" s="52" t="n"/>
      <c r="D55" s="52" t="n"/>
      <c r="E55" s="52" t="n"/>
      <c r="F55" s="52" t="n"/>
      <c r="G55" s="52" t="n"/>
      <c r="H55" s="52" t="n"/>
      <c r="I55" s="52" t="n"/>
      <c r="J55" s="52" t="n"/>
      <c r="K55" s="54" t="n"/>
      <c r="L55" s="5" t="n"/>
      <c r="M55" s="53">
        <f>IF(A55="","",IFERROR(INDEX(Firms!$B$5:$B$504,MATCH(A55,Firms!$A$5:$A$504,0)),"Not on Firms tab"))</f>
        <v/>
      </c>
      <c r="N55">
        <f>IF(AND(A55&lt;&gt;"",A55='Firm Search'!$C$7),COUNTIF($A$5:A55,'Firm Search'!$C$7),"")</f>
        <v/>
      </c>
    </row>
    <row r="56">
      <c r="A56" s="5" t="n"/>
      <c r="B56" s="5" t="n"/>
      <c r="C56" s="52" t="n"/>
      <c r="D56" s="52" t="n"/>
      <c r="E56" s="52" t="n"/>
      <c r="F56" s="52" t="n"/>
      <c r="G56" s="52" t="n"/>
      <c r="H56" s="52" t="n"/>
      <c r="I56" s="52" t="n"/>
      <c r="J56" s="52" t="n"/>
      <c r="K56" s="54" t="n"/>
      <c r="L56" s="5" t="n"/>
      <c r="M56" s="53">
        <f>IF(A56="","",IFERROR(INDEX(Firms!$B$5:$B$504,MATCH(A56,Firms!$A$5:$A$504,0)),"Not on Firms tab"))</f>
        <v/>
      </c>
      <c r="N56">
        <f>IF(AND(A56&lt;&gt;"",A56='Firm Search'!$C$7),COUNTIF($A$5:A56,'Firm Search'!$C$7),"")</f>
        <v/>
      </c>
    </row>
    <row r="57">
      <c r="A57" s="5" t="n"/>
      <c r="B57" s="5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4" t="n"/>
      <c r="L57" s="5" t="n"/>
      <c r="M57" s="53">
        <f>IF(A57="","",IFERROR(INDEX(Firms!$B$5:$B$504,MATCH(A57,Firms!$A$5:$A$504,0)),"Not on Firms tab"))</f>
        <v/>
      </c>
      <c r="N57">
        <f>IF(AND(A57&lt;&gt;"",A57='Firm Search'!$C$7),COUNTIF($A$5:A57,'Firm Search'!$C$7),"")</f>
        <v/>
      </c>
    </row>
    <row r="58">
      <c r="A58" s="5" t="n"/>
      <c r="B58" s="5" t="n"/>
      <c r="C58" s="52" t="n"/>
      <c r="D58" s="52" t="n"/>
      <c r="E58" s="52" t="n"/>
      <c r="F58" s="52" t="n"/>
      <c r="G58" s="52" t="n"/>
      <c r="H58" s="52" t="n"/>
      <c r="I58" s="52" t="n"/>
      <c r="J58" s="52" t="n"/>
      <c r="K58" s="54" t="n"/>
      <c r="L58" s="5" t="n"/>
      <c r="M58" s="53">
        <f>IF(A58="","",IFERROR(INDEX(Firms!$B$5:$B$504,MATCH(A58,Firms!$A$5:$A$504,0)),"Not on Firms tab"))</f>
        <v/>
      </c>
      <c r="N58">
        <f>IF(AND(A58&lt;&gt;"",A58='Firm Search'!$C$7),COUNTIF($A$5:A58,'Firm Search'!$C$7),"")</f>
        <v/>
      </c>
    </row>
    <row r="59">
      <c r="A59" s="5" t="n"/>
      <c r="B59" s="5" t="n"/>
      <c r="C59" s="52" t="n"/>
      <c r="D59" s="52" t="n"/>
      <c r="E59" s="52" t="n"/>
      <c r="F59" s="52" t="n"/>
      <c r="G59" s="52" t="n"/>
      <c r="H59" s="52" t="n"/>
      <c r="I59" s="52" t="n"/>
      <c r="J59" s="52" t="n"/>
      <c r="K59" s="54" t="n"/>
      <c r="L59" s="5" t="n"/>
      <c r="M59" s="53">
        <f>IF(A59="","",IFERROR(INDEX(Firms!$B$5:$B$504,MATCH(A59,Firms!$A$5:$A$504,0)),"Not on Firms tab"))</f>
        <v/>
      </c>
      <c r="N59">
        <f>IF(AND(A59&lt;&gt;"",A59='Firm Search'!$C$7),COUNTIF($A$5:A59,'Firm Search'!$C$7),"")</f>
        <v/>
      </c>
    </row>
    <row r="60">
      <c r="A60" s="5" t="n"/>
      <c r="B60" s="5" t="n"/>
      <c r="C60" s="52" t="n"/>
      <c r="D60" s="52" t="n"/>
      <c r="E60" s="52" t="n"/>
      <c r="F60" s="52" t="n"/>
      <c r="G60" s="52" t="n"/>
      <c r="H60" s="52" t="n"/>
      <c r="I60" s="52" t="n"/>
      <c r="J60" s="52" t="n"/>
      <c r="K60" s="54" t="n"/>
      <c r="L60" s="5" t="n"/>
      <c r="M60" s="53">
        <f>IF(A60="","",IFERROR(INDEX(Firms!$B$5:$B$504,MATCH(A60,Firms!$A$5:$A$504,0)),"Not on Firms tab"))</f>
        <v/>
      </c>
      <c r="N60">
        <f>IF(AND(A60&lt;&gt;"",A60='Firm Search'!$C$7),COUNTIF($A$5:A60,'Firm Search'!$C$7),"")</f>
        <v/>
      </c>
    </row>
    <row r="61">
      <c r="A61" s="5" t="n"/>
      <c r="B61" s="5" t="n"/>
      <c r="C61" s="52" t="n"/>
      <c r="D61" s="52" t="n"/>
      <c r="E61" s="52" t="n"/>
      <c r="F61" s="52" t="n"/>
      <c r="G61" s="52" t="n"/>
      <c r="H61" s="52" t="n"/>
      <c r="I61" s="52" t="n"/>
      <c r="J61" s="52" t="n"/>
      <c r="K61" s="54" t="n"/>
      <c r="L61" s="5" t="n"/>
      <c r="M61" s="53">
        <f>IF(A61="","",IFERROR(INDEX(Firms!$B$5:$B$504,MATCH(A61,Firms!$A$5:$A$504,0)),"Not on Firms tab"))</f>
        <v/>
      </c>
      <c r="N61">
        <f>IF(AND(A61&lt;&gt;"",A61='Firm Search'!$C$7),COUNTIF($A$5:A61,'Firm Search'!$C$7),"")</f>
        <v/>
      </c>
    </row>
    <row r="62">
      <c r="A62" s="5" t="n"/>
      <c r="B62" s="5" t="n"/>
      <c r="C62" s="52" t="n"/>
      <c r="D62" s="52" t="n"/>
      <c r="E62" s="52" t="n"/>
      <c r="F62" s="52" t="n"/>
      <c r="G62" s="52" t="n"/>
      <c r="H62" s="52" t="n"/>
      <c r="I62" s="52" t="n"/>
      <c r="J62" s="52" t="n"/>
      <c r="K62" s="54" t="n"/>
      <c r="L62" s="5" t="n"/>
      <c r="M62" s="53">
        <f>IF(A62="","",IFERROR(INDEX(Firms!$B$5:$B$504,MATCH(A62,Firms!$A$5:$A$504,0)),"Not on Firms tab"))</f>
        <v/>
      </c>
      <c r="N62">
        <f>IF(AND(A62&lt;&gt;"",A62='Firm Search'!$C$7),COUNTIF($A$5:A62,'Firm Search'!$C$7),"")</f>
        <v/>
      </c>
    </row>
    <row r="63">
      <c r="A63" s="5" t="n"/>
      <c r="B63" s="5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4" t="n"/>
      <c r="L63" s="5" t="n"/>
      <c r="M63" s="53">
        <f>IF(A63="","",IFERROR(INDEX(Firms!$B$5:$B$504,MATCH(A63,Firms!$A$5:$A$504,0)),"Not on Firms tab"))</f>
        <v/>
      </c>
      <c r="N63">
        <f>IF(AND(A63&lt;&gt;"",A63='Firm Search'!$C$7),COUNTIF($A$5:A63,'Firm Search'!$C$7),"")</f>
        <v/>
      </c>
    </row>
    <row r="64">
      <c r="A64" s="5" t="n"/>
      <c r="B64" s="5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4" t="n"/>
      <c r="L64" s="5" t="n"/>
      <c r="M64" s="53">
        <f>IF(A64="","",IFERROR(INDEX(Firms!$B$5:$B$504,MATCH(A64,Firms!$A$5:$A$504,0)),"Not on Firms tab"))</f>
        <v/>
      </c>
      <c r="N64">
        <f>IF(AND(A64&lt;&gt;"",A64='Firm Search'!$C$7),COUNTIF($A$5:A64,'Firm Search'!$C$7),"")</f>
        <v/>
      </c>
    </row>
    <row r="65">
      <c r="A65" s="5" t="n"/>
      <c r="B65" s="5" t="n"/>
      <c r="C65" s="52" t="n"/>
      <c r="D65" s="52" t="n"/>
      <c r="E65" s="52" t="n"/>
      <c r="F65" s="52" t="n"/>
      <c r="G65" s="52" t="n"/>
      <c r="H65" s="52" t="n"/>
      <c r="I65" s="52" t="n"/>
      <c r="J65" s="52" t="n"/>
      <c r="K65" s="54" t="n"/>
      <c r="L65" s="5" t="n"/>
      <c r="M65" s="53">
        <f>IF(A65="","",IFERROR(INDEX(Firms!$B$5:$B$504,MATCH(A65,Firms!$A$5:$A$504,0)),"Not on Firms tab"))</f>
        <v/>
      </c>
      <c r="N65">
        <f>IF(AND(A65&lt;&gt;"",A65='Firm Search'!$C$7),COUNTIF($A$5:A65,'Firm Search'!$C$7),"")</f>
        <v/>
      </c>
    </row>
    <row r="66">
      <c r="A66" s="5" t="n"/>
      <c r="B66" s="5" t="n"/>
      <c r="C66" s="52" t="n"/>
      <c r="D66" s="52" t="n"/>
      <c r="E66" s="52" t="n"/>
      <c r="F66" s="52" t="n"/>
      <c r="G66" s="52" t="n"/>
      <c r="H66" s="52" t="n"/>
      <c r="I66" s="52" t="n"/>
      <c r="J66" s="52" t="n"/>
      <c r="K66" s="54" t="n"/>
      <c r="L66" s="5" t="n"/>
      <c r="M66" s="53">
        <f>IF(A66="","",IFERROR(INDEX(Firms!$B$5:$B$504,MATCH(A66,Firms!$A$5:$A$504,0)),"Not on Firms tab"))</f>
        <v/>
      </c>
      <c r="N66">
        <f>IF(AND(A66&lt;&gt;"",A66='Firm Search'!$C$7),COUNTIF($A$5:A66,'Firm Search'!$C$7),"")</f>
        <v/>
      </c>
    </row>
    <row r="67">
      <c r="A67" s="5" t="n"/>
      <c r="B67" s="5" t="n"/>
      <c r="C67" s="52" t="n"/>
      <c r="D67" s="52" t="n"/>
      <c r="E67" s="52" t="n"/>
      <c r="F67" s="52" t="n"/>
      <c r="G67" s="52" t="n"/>
      <c r="H67" s="52" t="n"/>
      <c r="I67" s="52" t="n"/>
      <c r="J67" s="52" t="n"/>
      <c r="K67" s="54" t="n"/>
      <c r="L67" s="5" t="n"/>
      <c r="M67" s="53">
        <f>IF(A67="","",IFERROR(INDEX(Firms!$B$5:$B$504,MATCH(A67,Firms!$A$5:$A$504,0)),"Not on Firms tab"))</f>
        <v/>
      </c>
      <c r="N67">
        <f>IF(AND(A67&lt;&gt;"",A67='Firm Search'!$C$7),COUNTIF($A$5:A67,'Firm Search'!$C$7),"")</f>
        <v/>
      </c>
    </row>
    <row r="68">
      <c r="A68" s="5" t="n"/>
      <c r="B68" s="5" t="n"/>
      <c r="C68" s="52" t="n"/>
      <c r="D68" s="52" t="n"/>
      <c r="E68" s="52" t="n"/>
      <c r="F68" s="52" t="n"/>
      <c r="G68" s="52" t="n"/>
      <c r="H68" s="52" t="n"/>
      <c r="I68" s="52" t="n"/>
      <c r="J68" s="52" t="n"/>
      <c r="K68" s="54" t="n"/>
      <c r="L68" s="5" t="n"/>
      <c r="M68" s="53">
        <f>IF(A68="","",IFERROR(INDEX(Firms!$B$5:$B$504,MATCH(A68,Firms!$A$5:$A$504,0)),"Not on Firms tab"))</f>
        <v/>
      </c>
      <c r="N68">
        <f>IF(AND(A68&lt;&gt;"",A68='Firm Search'!$C$7),COUNTIF($A$5:A68,'Firm Search'!$C$7),"")</f>
        <v/>
      </c>
    </row>
    <row r="69">
      <c r="A69" s="5" t="n"/>
      <c r="B69" s="5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4" t="n"/>
      <c r="L69" s="5" t="n"/>
      <c r="M69" s="53">
        <f>IF(A69="","",IFERROR(INDEX(Firms!$B$5:$B$504,MATCH(A69,Firms!$A$5:$A$504,0)),"Not on Firms tab"))</f>
        <v/>
      </c>
      <c r="N69">
        <f>IF(AND(A69&lt;&gt;"",A69='Firm Search'!$C$7),COUNTIF($A$5:A69,'Firm Search'!$C$7),"")</f>
        <v/>
      </c>
    </row>
    <row r="70">
      <c r="A70" s="5" t="n"/>
      <c r="B70" s="5" t="n"/>
      <c r="C70" s="52" t="n"/>
      <c r="D70" s="52" t="n"/>
      <c r="E70" s="52" t="n"/>
      <c r="F70" s="52" t="n"/>
      <c r="G70" s="52" t="n"/>
      <c r="H70" s="52" t="n"/>
      <c r="I70" s="52" t="n"/>
      <c r="J70" s="52" t="n"/>
      <c r="K70" s="54" t="n"/>
      <c r="L70" s="5" t="n"/>
      <c r="M70" s="53">
        <f>IF(A70="","",IFERROR(INDEX(Firms!$B$5:$B$504,MATCH(A70,Firms!$A$5:$A$504,0)),"Not on Firms tab"))</f>
        <v/>
      </c>
      <c r="N70">
        <f>IF(AND(A70&lt;&gt;"",A70='Firm Search'!$C$7),COUNTIF($A$5:A70,'Firm Search'!$C$7),"")</f>
        <v/>
      </c>
    </row>
    <row r="71">
      <c r="A71" s="5" t="n"/>
      <c r="B71" s="5" t="n"/>
      <c r="C71" s="52" t="n"/>
      <c r="D71" s="52" t="n"/>
      <c r="E71" s="52" t="n"/>
      <c r="F71" s="52" t="n"/>
      <c r="G71" s="52" t="n"/>
      <c r="H71" s="52" t="n"/>
      <c r="I71" s="52" t="n"/>
      <c r="J71" s="52" t="n"/>
      <c r="K71" s="54" t="n"/>
      <c r="L71" s="5" t="n"/>
      <c r="M71" s="53">
        <f>IF(A71="","",IFERROR(INDEX(Firms!$B$5:$B$504,MATCH(A71,Firms!$A$5:$A$504,0)),"Not on Firms tab"))</f>
        <v/>
      </c>
      <c r="N71">
        <f>IF(AND(A71&lt;&gt;"",A71='Firm Search'!$C$7),COUNTIF($A$5:A71,'Firm Search'!$C$7),"")</f>
        <v/>
      </c>
    </row>
    <row r="72">
      <c r="A72" s="5" t="n"/>
      <c r="B72" s="5" t="n"/>
      <c r="C72" s="52" t="n"/>
      <c r="D72" s="52" t="n"/>
      <c r="E72" s="52" t="n"/>
      <c r="F72" s="52" t="n"/>
      <c r="G72" s="52" t="n"/>
      <c r="H72" s="52" t="n"/>
      <c r="I72" s="52" t="n"/>
      <c r="J72" s="52" t="n"/>
      <c r="K72" s="54" t="n"/>
      <c r="L72" s="5" t="n"/>
      <c r="M72" s="53">
        <f>IF(A72="","",IFERROR(INDEX(Firms!$B$5:$B$504,MATCH(A72,Firms!$A$5:$A$504,0)),"Not on Firms tab"))</f>
        <v/>
      </c>
      <c r="N72">
        <f>IF(AND(A72&lt;&gt;"",A72='Firm Search'!$C$7),COUNTIF($A$5:A72,'Firm Search'!$C$7),"")</f>
        <v/>
      </c>
    </row>
    <row r="73">
      <c r="A73" s="5" t="n"/>
      <c r="B73" s="5" t="n"/>
      <c r="C73" s="52" t="n"/>
      <c r="D73" s="52" t="n"/>
      <c r="E73" s="52" t="n"/>
      <c r="F73" s="52" t="n"/>
      <c r="G73" s="52" t="n"/>
      <c r="H73" s="52" t="n"/>
      <c r="I73" s="52" t="n"/>
      <c r="J73" s="52" t="n"/>
      <c r="K73" s="54" t="n"/>
      <c r="L73" s="5" t="n"/>
      <c r="M73" s="53">
        <f>IF(A73="","",IFERROR(INDEX(Firms!$B$5:$B$504,MATCH(A73,Firms!$A$5:$A$504,0)),"Not on Firms tab"))</f>
        <v/>
      </c>
      <c r="N73">
        <f>IF(AND(A73&lt;&gt;"",A73='Firm Search'!$C$7),COUNTIF($A$5:A73,'Firm Search'!$C$7),"")</f>
        <v/>
      </c>
    </row>
    <row r="74">
      <c r="A74" s="5" t="n"/>
      <c r="B74" s="5" t="n"/>
      <c r="C74" s="52" t="n"/>
      <c r="D74" s="52" t="n"/>
      <c r="E74" s="52" t="n"/>
      <c r="F74" s="52" t="n"/>
      <c r="G74" s="52" t="n"/>
      <c r="H74" s="52" t="n"/>
      <c r="I74" s="52" t="n"/>
      <c r="J74" s="52" t="n"/>
      <c r="K74" s="54" t="n"/>
      <c r="L74" s="5" t="n"/>
      <c r="M74" s="53">
        <f>IF(A74="","",IFERROR(INDEX(Firms!$B$5:$B$504,MATCH(A74,Firms!$A$5:$A$504,0)),"Not on Firms tab"))</f>
        <v/>
      </c>
      <c r="N74">
        <f>IF(AND(A74&lt;&gt;"",A74='Firm Search'!$C$7),COUNTIF($A$5:A74,'Firm Search'!$C$7),"")</f>
        <v/>
      </c>
    </row>
    <row r="75">
      <c r="A75" s="5" t="n"/>
      <c r="B75" s="5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4" t="n"/>
      <c r="L75" s="5" t="n"/>
      <c r="M75" s="53">
        <f>IF(A75="","",IFERROR(INDEX(Firms!$B$5:$B$504,MATCH(A75,Firms!$A$5:$A$504,0)),"Not on Firms tab"))</f>
        <v/>
      </c>
      <c r="N75">
        <f>IF(AND(A75&lt;&gt;"",A75='Firm Search'!$C$7),COUNTIF($A$5:A75,'Firm Search'!$C$7),"")</f>
        <v/>
      </c>
    </row>
    <row r="76">
      <c r="A76" s="5" t="n"/>
      <c r="B76" s="5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4" t="n"/>
      <c r="L76" s="5" t="n"/>
      <c r="M76" s="53">
        <f>IF(A76="","",IFERROR(INDEX(Firms!$B$5:$B$504,MATCH(A76,Firms!$A$5:$A$504,0)),"Not on Firms tab"))</f>
        <v/>
      </c>
      <c r="N76">
        <f>IF(AND(A76&lt;&gt;"",A76='Firm Search'!$C$7),COUNTIF($A$5:A76,'Firm Search'!$C$7),"")</f>
        <v/>
      </c>
    </row>
    <row r="77">
      <c r="A77" s="5" t="n"/>
      <c r="B77" s="5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4" t="n"/>
      <c r="L77" s="5" t="n"/>
      <c r="M77" s="53">
        <f>IF(A77="","",IFERROR(INDEX(Firms!$B$5:$B$504,MATCH(A77,Firms!$A$5:$A$504,0)),"Not on Firms tab"))</f>
        <v/>
      </c>
      <c r="N77">
        <f>IF(AND(A77&lt;&gt;"",A77='Firm Search'!$C$7),COUNTIF($A$5:A77,'Firm Search'!$C$7),"")</f>
        <v/>
      </c>
    </row>
    <row r="78">
      <c r="A78" s="5" t="n"/>
      <c r="B78" s="5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4" t="n"/>
      <c r="L78" s="5" t="n"/>
      <c r="M78" s="53">
        <f>IF(A78="","",IFERROR(INDEX(Firms!$B$5:$B$504,MATCH(A78,Firms!$A$5:$A$504,0)),"Not on Firms tab"))</f>
        <v/>
      </c>
      <c r="N78">
        <f>IF(AND(A78&lt;&gt;"",A78='Firm Search'!$C$7),COUNTIF($A$5:A78,'Firm Search'!$C$7),"")</f>
        <v/>
      </c>
    </row>
    <row r="79">
      <c r="A79" s="5" t="n"/>
      <c r="B79" s="5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4" t="n"/>
      <c r="L79" s="5" t="n"/>
      <c r="M79" s="53">
        <f>IF(A79="","",IFERROR(INDEX(Firms!$B$5:$B$504,MATCH(A79,Firms!$A$5:$A$504,0)),"Not on Firms tab"))</f>
        <v/>
      </c>
      <c r="N79">
        <f>IF(AND(A79&lt;&gt;"",A79='Firm Search'!$C$7),COUNTIF($A$5:A79,'Firm Search'!$C$7),"")</f>
        <v/>
      </c>
    </row>
    <row r="80">
      <c r="A80" s="5" t="n"/>
      <c r="B80" s="5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4" t="n"/>
      <c r="L80" s="5" t="n"/>
      <c r="M80" s="53">
        <f>IF(A80="","",IFERROR(INDEX(Firms!$B$5:$B$504,MATCH(A80,Firms!$A$5:$A$504,0)),"Not on Firms tab"))</f>
        <v/>
      </c>
      <c r="N80">
        <f>IF(AND(A80&lt;&gt;"",A80='Firm Search'!$C$7),COUNTIF($A$5:A80,'Firm Search'!$C$7),"")</f>
        <v/>
      </c>
    </row>
    <row r="81">
      <c r="A81" s="5" t="n"/>
      <c r="B81" s="5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4" t="n"/>
      <c r="L81" s="5" t="n"/>
      <c r="M81" s="53">
        <f>IF(A81="","",IFERROR(INDEX(Firms!$B$5:$B$504,MATCH(A81,Firms!$A$5:$A$504,0)),"Not on Firms tab"))</f>
        <v/>
      </c>
      <c r="N81">
        <f>IF(AND(A81&lt;&gt;"",A81='Firm Search'!$C$7),COUNTIF($A$5:A81,'Firm Search'!$C$7),"")</f>
        <v/>
      </c>
    </row>
    <row r="82">
      <c r="A82" s="5" t="n"/>
      <c r="B82" s="5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4" t="n"/>
      <c r="L82" s="5" t="n"/>
      <c r="M82" s="53">
        <f>IF(A82="","",IFERROR(INDEX(Firms!$B$5:$B$504,MATCH(A82,Firms!$A$5:$A$504,0)),"Not on Firms tab"))</f>
        <v/>
      </c>
      <c r="N82">
        <f>IF(AND(A82&lt;&gt;"",A82='Firm Search'!$C$7),COUNTIF($A$5:A82,'Firm Search'!$C$7),"")</f>
        <v/>
      </c>
    </row>
    <row r="83">
      <c r="A83" s="5" t="n"/>
      <c r="B83" s="5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4" t="n"/>
      <c r="L83" s="5" t="n"/>
      <c r="M83" s="53">
        <f>IF(A83="","",IFERROR(INDEX(Firms!$B$5:$B$504,MATCH(A83,Firms!$A$5:$A$504,0)),"Not on Firms tab"))</f>
        <v/>
      </c>
      <c r="N83">
        <f>IF(AND(A83&lt;&gt;"",A83='Firm Search'!$C$7),COUNTIF($A$5:A83,'Firm Search'!$C$7),"")</f>
        <v/>
      </c>
    </row>
    <row r="84">
      <c r="A84" s="5" t="n"/>
      <c r="B84" s="5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4" t="n"/>
      <c r="L84" s="5" t="n"/>
      <c r="M84" s="53">
        <f>IF(A84="","",IFERROR(INDEX(Firms!$B$5:$B$504,MATCH(A84,Firms!$A$5:$A$504,0)),"Not on Firms tab"))</f>
        <v/>
      </c>
      <c r="N84">
        <f>IF(AND(A84&lt;&gt;"",A84='Firm Search'!$C$7),COUNTIF($A$5:A84,'Firm Search'!$C$7),"")</f>
        <v/>
      </c>
    </row>
    <row r="85">
      <c r="A85" s="5" t="n"/>
      <c r="B85" s="5" t="n"/>
      <c r="C85" s="52" t="n"/>
      <c r="D85" s="52" t="n"/>
      <c r="E85" s="52" t="n"/>
      <c r="F85" s="52" t="n"/>
      <c r="G85" s="52" t="n"/>
      <c r="H85" s="52" t="n"/>
      <c r="I85" s="52" t="n"/>
      <c r="J85" s="52" t="n"/>
      <c r="K85" s="54" t="n"/>
      <c r="L85" s="5" t="n"/>
      <c r="M85" s="53">
        <f>IF(A85="","",IFERROR(INDEX(Firms!$B$5:$B$504,MATCH(A85,Firms!$A$5:$A$504,0)),"Not on Firms tab"))</f>
        <v/>
      </c>
      <c r="N85">
        <f>IF(AND(A85&lt;&gt;"",A85='Firm Search'!$C$7),COUNTIF($A$5:A85,'Firm Search'!$C$7),"")</f>
        <v/>
      </c>
    </row>
    <row r="86">
      <c r="A86" s="5" t="n"/>
      <c r="B86" s="5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4" t="n"/>
      <c r="L86" s="5" t="n"/>
      <c r="M86" s="53">
        <f>IF(A86="","",IFERROR(INDEX(Firms!$B$5:$B$504,MATCH(A86,Firms!$A$5:$A$504,0)),"Not on Firms tab"))</f>
        <v/>
      </c>
      <c r="N86">
        <f>IF(AND(A86&lt;&gt;"",A86='Firm Search'!$C$7),COUNTIF($A$5:A86,'Firm Search'!$C$7),"")</f>
        <v/>
      </c>
    </row>
    <row r="87">
      <c r="A87" s="5" t="n"/>
      <c r="B87" s="5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4" t="n"/>
      <c r="L87" s="5" t="n"/>
      <c r="M87" s="53">
        <f>IF(A87="","",IFERROR(INDEX(Firms!$B$5:$B$504,MATCH(A87,Firms!$A$5:$A$504,0)),"Not on Firms tab"))</f>
        <v/>
      </c>
      <c r="N87">
        <f>IF(AND(A87&lt;&gt;"",A87='Firm Search'!$C$7),COUNTIF($A$5:A87,'Firm Search'!$C$7),"")</f>
        <v/>
      </c>
    </row>
    <row r="88">
      <c r="A88" s="5" t="n"/>
      <c r="B88" s="5" t="n"/>
      <c r="C88" s="52" t="n"/>
      <c r="D88" s="52" t="n"/>
      <c r="E88" s="52" t="n"/>
      <c r="F88" s="52" t="n"/>
      <c r="G88" s="52" t="n"/>
      <c r="H88" s="52" t="n"/>
      <c r="I88" s="52" t="n"/>
      <c r="J88" s="52" t="n"/>
      <c r="K88" s="54" t="n"/>
      <c r="L88" s="5" t="n"/>
      <c r="M88" s="53">
        <f>IF(A88="","",IFERROR(INDEX(Firms!$B$5:$B$504,MATCH(A88,Firms!$A$5:$A$504,0)),"Not on Firms tab"))</f>
        <v/>
      </c>
      <c r="N88">
        <f>IF(AND(A88&lt;&gt;"",A88='Firm Search'!$C$7),COUNTIF($A$5:A88,'Firm Search'!$C$7),"")</f>
        <v/>
      </c>
    </row>
    <row r="89">
      <c r="A89" s="5" t="n"/>
      <c r="B89" s="5" t="n"/>
      <c r="C89" s="52" t="n"/>
      <c r="D89" s="52" t="n"/>
      <c r="E89" s="52" t="n"/>
      <c r="F89" s="52" t="n"/>
      <c r="G89" s="52" t="n"/>
      <c r="H89" s="52" t="n"/>
      <c r="I89" s="52" t="n"/>
      <c r="J89" s="52" t="n"/>
      <c r="K89" s="54" t="n"/>
      <c r="L89" s="5" t="n"/>
      <c r="M89" s="53">
        <f>IF(A89="","",IFERROR(INDEX(Firms!$B$5:$B$504,MATCH(A89,Firms!$A$5:$A$504,0)),"Not on Firms tab"))</f>
        <v/>
      </c>
      <c r="N89">
        <f>IF(AND(A89&lt;&gt;"",A89='Firm Search'!$C$7),COUNTIF($A$5:A89,'Firm Search'!$C$7),"")</f>
        <v/>
      </c>
    </row>
    <row r="90">
      <c r="A90" s="5" t="n"/>
      <c r="B90" s="5" t="n"/>
      <c r="C90" s="52" t="n"/>
      <c r="D90" s="52" t="n"/>
      <c r="E90" s="52" t="n"/>
      <c r="F90" s="52" t="n"/>
      <c r="G90" s="52" t="n"/>
      <c r="H90" s="52" t="n"/>
      <c r="I90" s="52" t="n"/>
      <c r="J90" s="52" t="n"/>
      <c r="K90" s="54" t="n"/>
      <c r="L90" s="5" t="n"/>
      <c r="M90" s="53">
        <f>IF(A90="","",IFERROR(INDEX(Firms!$B$5:$B$504,MATCH(A90,Firms!$A$5:$A$504,0)),"Not on Firms tab"))</f>
        <v/>
      </c>
      <c r="N90">
        <f>IF(AND(A90&lt;&gt;"",A90='Firm Search'!$C$7),COUNTIF($A$5:A90,'Firm Search'!$C$7),"")</f>
        <v/>
      </c>
    </row>
    <row r="91">
      <c r="A91" s="5" t="n"/>
      <c r="B91" s="5" t="n"/>
      <c r="C91" s="52" t="n"/>
      <c r="D91" s="52" t="n"/>
      <c r="E91" s="52" t="n"/>
      <c r="F91" s="52" t="n"/>
      <c r="G91" s="52" t="n"/>
      <c r="H91" s="52" t="n"/>
      <c r="I91" s="52" t="n"/>
      <c r="J91" s="52" t="n"/>
      <c r="K91" s="54" t="n"/>
      <c r="L91" s="5" t="n"/>
      <c r="M91" s="53">
        <f>IF(A91="","",IFERROR(INDEX(Firms!$B$5:$B$504,MATCH(A91,Firms!$A$5:$A$504,0)),"Not on Firms tab"))</f>
        <v/>
      </c>
      <c r="N91">
        <f>IF(AND(A91&lt;&gt;"",A91='Firm Search'!$C$7),COUNTIF($A$5:A91,'Firm Search'!$C$7),"")</f>
        <v/>
      </c>
    </row>
    <row r="92">
      <c r="A92" s="5" t="n"/>
      <c r="B92" s="5" t="n"/>
      <c r="C92" s="52" t="n"/>
      <c r="D92" s="52" t="n"/>
      <c r="E92" s="52" t="n"/>
      <c r="F92" s="52" t="n"/>
      <c r="G92" s="52" t="n"/>
      <c r="H92" s="52" t="n"/>
      <c r="I92" s="52" t="n"/>
      <c r="J92" s="52" t="n"/>
      <c r="K92" s="54" t="n"/>
      <c r="L92" s="5" t="n"/>
      <c r="M92" s="53">
        <f>IF(A92="","",IFERROR(INDEX(Firms!$B$5:$B$504,MATCH(A92,Firms!$A$5:$A$504,0)),"Not on Firms tab"))</f>
        <v/>
      </c>
      <c r="N92">
        <f>IF(AND(A92&lt;&gt;"",A92='Firm Search'!$C$7),COUNTIF($A$5:A92,'Firm Search'!$C$7),"")</f>
        <v/>
      </c>
    </row>
    <row r="93">
      <c r="A93" s="5" t="n"/>
      <c r="B93" s="5" t="n"/>
      <c r="C93" s="52" t="n"/>
      <c r="D93" s="52" t="n"/>
      <c r="E93" s="52" t="n"/>
      <c r="F93" s="52" t="n"/>
      <c r="G93" s="52" t="n"/>
      <c r="H93" s="52" t="n"/>
      <c r="I93" s="52" t="n"/>
      <c r="J93" s="52" t="n"/>
      <c r="K93" s="54" t="n"/>
      <c r="L93" s="5" t="n"/>
      <c r="M93" s="53">
        <f>IF(A93="","",IFERROR(INDEX(Firms!$B$5:$B$504,MATCH(A93,Firms!$A$5:$A$504,0)),"Not on Firms tab"))</f>
        <v/>
      </c>
      <c r="N93">
        <f>IF(AND(A93&lt;&gt;"",A93='Firm Search'!$C$7),COUNTIF($A$5:A93,'Firm Search'!$C$7),"")</f>
        <v/>
      </c>
    </row>
    <row r="94">
      <c r="A94" s="5" t="n"/>
      <c r="B94" s="5" t="n"/>
      <c r="C94" s="52" t="n"/>
      <c r="D94" s="52" t="n"/>
      <c r="E94" s="52" t="n"/>
      <c r="F94" s="52" t="n"/>
      <c r="G94" s="52" t="n"/>
      <c r="H94" s="52" t="n"/>
      <c r="I94" s="52" t="n"/>
      <c r="J94" s="52" t="n"/>
      <c r="K94" s="54" t="n"/>
      <c r="L94" s="5" t="n"/>
      <c r="M94" s="53">
        <f>IF(A94="","",IFERROR(INDEX(Firms!$B$5:$B$504,MATCH(A94,Firms!$A$5:$A$504,0)),"Not on Firms tab"))</f>
        <v/>
      </c>
      <c r="N94">
        <f>IF(AND(A94&lt;&gt;"",A94='Firm Search'!$C$7),COUNTIF($A$5:A94,'Firm Search'!$C$7),"")</f>
        <v/>
      </c>
    </row>
    <row r="95">
      <c r="A95" s="5" t="n"/>
      <c r="B95" s="5" t="n"/>
      <c r="C95" s="52" t="n"/>
      <c r="D95" s="52" t="n"/>
      <c r="E95" s="52" t="n"/>
      <c r="F95" s="52" t="n"/>
      <c r="G95" s="52" t="n"/>
      <c r="H95" s="52" t="n"/>
      <c r="I95" s="52" t="n"/>
      <c r="J95" s="52" t="n"/>
      <c r="K95" s="54" t="n"/>
      <c r="L95" s="5" t="n"/>
      <c r="M95" s="53">
        <f>IF(A95="","",IFERROR(INDEX(Firms!$B$5:$B$504,MATCH(A95,Firms!$A$5:$A$504,0)),"Not on Firms tab"))</f>
        <v/>
      </c>
      <c r="N95">
        <f>IF(AND(A95&lt;&gt;"",A95='Firm Search'!$C$7),COUNTIF($A$5:A95,'Firm Search'!$C$7),"")</f>
        <v/>
      </c>
    </row>
    <row r="96">
      <c r="A96" s="5" t="n"/>
      <c r="B96" s="5" t="n"/>
      <c r="C96" s="52" t="n"/>
      <c r="D96" s="52" t="n"/>
      <c r="E96" s="52" t="n"/>
      <c r="F96" s="52" t="n"/>
      <c r="G96" s="52" t="n"/>
      <c r="H96" s="52" t="n"/>
      <c r="I96" s="52" t="n"/>
      <c r="J96" s="52" t="n"/>
      <c r="K96" s="54" t="n"/>
      <c r="L96" s="5" t="n"/>
      <c r="M96" s="53">
        <f>IF(A96="","",IFERROR(INDEX(Firms!$B$5:$B$504,MATCH(A96,Firms!$A$5:$A$504,0)),"Not on Firms tab"))</f>
        <v/>
      </c>
      <c r="N96">
        <f>IF(AND(A96&lt;&gt;"",A96='Firm Search'!$C$7),COUNTIF($A$5:A96,'Firm Search'!$C$7),"")</f>
        <v/>
      </c>
    </row>
    <row r="97">
      <c r="A97" s="5" t="n"/>
      <c r="B97" s="5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4" t="n"/>
      <c r="L97" s="5" t="n"/>
      <c r="M97" s="53">
        <f>IF(A97="","",IFERROR(INDEX(Firms!$B$5:$B$504,MATCH(A97,Firms!$A$5:$A$504,0)),"Not on Firms tab"))</f>
        <v/>
      </c>
      <c r="N97">
        <f>IF(AND(A97&lt;&gt;"",A97='Firm Search'!$C$7),COUNTIF($A$5:A97,'Firm Search'!$C$7),"")</f>
        <v/>
      </c>
    </row>
    <row r="98">
      <c r="A98" s="5" t="n"/>
      <c r="B98" s="5" t="n"/>
      <c r="C98" s="52" t="n"/>
      <c r="D98" s="52" t="n"/>
      <c r="E98" s="52" t="n"/>
      <c r="F98" s="52" t="n"/>
      <c r="G98" s="52" t="n"/>
      <c r="H98" s="52" t="n"/>
      <c r="I98" s="52" t="n"/>
      <c r="J98" s="52" t="n"/>
      <c r="K98" s="54" t="n"/>
      <c r="L98" s="5" t="n"/>
      <c r="M98" s="53">
        <f>IF(A98="","",IFERROR(INDEX(Firms!$B$5:$B$504,MATCH(A98,Firms!$A$5:$A$504,0)),"Not on Firms tab"))</f>
        <v/>
      </c>
      <c r="N98">
        <f>IF(AND(A98&lt;&gt;"",A98='Firm Search'!$C$7),COUNTIF($A$5:A98,'Firm Search'!$C$7),"")</f>
        <v/>
      </c>
    </row>
    <row r="99">
      <c r="A99" s="5" t="n"/>
      <c r="B99" s="5" t="n"/>
      <c r="C99" s="52" t="n"/>
      <c r="D99" s="52" t="n"/>
      <c r="E99" s="52" t="n"/>
      <c r="F99" s="52" t="n"/>
      <c r="G99" s="52" t="n"/>
      <c r="H99" s="52" t="n"/>
      <c r="I99" s="52" t="n"/>
      <c r="J99" s="52" t="n"/>
      <c r="K99" s="54" t="n"/>
      <c r="L99" s="5" t="n"/>
      <c r="M99" s="53">
        <f>IF(A99="","",IFERROR(INDEX(Firms!$B$5:$B$504,MATCH(A99,Firms!$A$5:$A$504,0)),"Not on Firms tab"))</f>
        <v/>
      </c>
      <c r="N99">
        <f>IF(AND(A99&lt;&gt;"",A99='Firm Search'!$C$7),COUNTIF($A$5:A99,'Firm Search'!$C$7),"")</f>
        <v/>
      </c>
    </row>
    <row r="100">
      <c r="A100" s="5" t="n"/>
      <c r="B100" s="5" t="n"/>
      <c r="C100" s="52" t="n"/>
      <c r="D100" s="52" t="n"/>
      <c r="E100" s="52" t="n"/>
      <c r="F100" s="52" t="n"/>
      <c r="G100" s="52" t="n"/>
      <c r="H100" s="52" t="n"/>
      <c r="I100" s="52" t="n"/>
      <c r="J100" s="52" t="n"/>
      <c r="K100" s="54" t="n"/>
      <c r="L100" s="5" t="n"/>
      <c r="M100" s="53">
        <f>IF(A100="","",IFERROR(INDEX(Firms!$B$5:$B$504,MATCH(A100,Firms!$A$5:$A$504,0)),"Not on Firms tab"))</f>
        <v/>
      </c>
      <c r="N100">
        <f>IF(AND(A100&lt;&gt;"",A100='Firm Search'!$C$7),COUNTIF($A$5:A100,'Firm Search'!$C$7),"")</f>
        <v/>
      </c>
    </row>
    <row r="101">
      <c r="A101" s="5" t="n"/>
      <c r="B101" s="5" t="n"/>
      <c r="C101" s="52" t="n"/>
      <c r="D101" s="52" t="n"/>
      <c r="E101" s="52" t="n"/>
      <c r="F101" s="52" t="n"/>
      <c r="G101" s="52" t="n"/>
      <c r="H101" s="52" t="n"/>
      <c r="I101" s="52" t="n"/>
      <c r="J101" s="52" t="n"/>
      <c r="K101" s="54" t="n"/>
      <c r="L101" s="5" t="n"/>
      <c r="M101" s="53">
        <f>IF(A101="","",IFERROR(INDEX(Firms!$B$5:$B$504,MATCH(A101,Firms!$A$5:$A$504,0)),"Not on Firms tab"))</f>
        <v/>
      </c>
      <c r="N101">
        <f>IF(AND(A101&lt;&gt;"",A101='Firm Search'!$C$7),COUNTIF($A$5:A101,'Firm Search'!$C$7),"")</f>
        <v/>
      </c>
    </row>
    <row r="102">
      <c r="A102" s="5" t="n"/>
      <c r="B102" s="5" t="n"/>
      <c r="C102" s="52" t="n"/>
      <c r="D102" s="52" t="n"/>
      <c r="E102" s="52" t="n"/>
      <c r="F102" s="52" t="n"/>
      <c r="G102" s="52" t="n"/>
      <c r="H102" s="52" t="n"/>
      <c r="I102" s="52" t="n"/>
      <c r="J102" s="52" t="n"/>
      <c r="K102" s="54" t="n"/>
      <c r="L102" s="5" t="n"/>
      <c r="M102" s="53">
        <f>IF(A102="","",IFERROR(INDEX(Firms!$B$5:$B$504,MATCH(A102,Firms!$A$5:$A$504,0)),"Not on Firms tab"))</f>
        <v/>
      </c>
      <c r="N102">
        <f>IF(AND(A102&lt;&gt;"",A102='Firm Search'!$C$7),COUNTIF($A$5:A102,'Firm Search'!$C$7),"")</f>
        <v/>
      </c>
    </row>
    <row r="103">
      <c r="A103" s="5" t="n"/>
      <c r="B103" s="5" t="n"/>
      <c r="C103" s="52" t="n"/>
      <c r="D103" s="52" t="n"/>
      <c r="E103" s="52" t="n"/>
      <c r="F103" s="52" t="n"/>
      <c r="G103" s="52" t="n"/>
      <c r="H103" s="52" t="n"/>
      <c r="I103" s="52" t="n"/>
      <c r="J103" s="52" t="n"/>
      <c r="K103" s="54" t="n"/>
      <c r="L103" s="5" t="n"/>
      <c r="M103" s="53">
        <f>IF(A103="","",IFERROR(INDEX(Firms!$B$5:$B$504,MATCH(A103,Firms!$A$5:$A$504,0)),"Not on Firms tab"))</f>
        <v/>
      </c>
      <c r="N103">
        <f>IF(AND(A103&lt;&gt;"",A103='Firm Search'!$C$7),COUNTIF($A$5:A103,'Firm Search'!$C$7),"")</f>
        <v/>
      </c>
    </row>
    <row r="104">
      <c r="A104" s="5" t="n"/>
      <c r="B104" s="5" t="n"/>
      <c r="C104" s="52" t="n"/>
      <c r="D104" s="52" t="n"/>
      <c r="E104" s="52" t="n"/>
      <c r="F104" s="52" t="n"/>
      <c r="G104" s="52" t="n"/>
      <c r="H104" s="52" t="n"/>
      <c r="I104" s="52" t="n"/>
      <c r="J104" s="52" t="n"/>
      <c r="K104" s="54" t="n"/>
      <c r="L104" s="5" t="n"/>
      <c r="M104" s="53">
        <f>IF(A104="","",IFERROR(INDEX(Firms!$B$5:$B$504,MATCH(A104,Firms!$A$5:$A$504,0)),"Not on Firms tab"))</f>
        <v/>
      </c>
      <c r="N104">
        <f>IF(AND(A104&lt;&gt;"",A104='Firm Search'!$C$7),COUNTIF($A$5:A104,'Firm Search'!$C$7),"")</f>
        <v/>
      </c>
    </row>
    <row r="105">
      <c r="A105" s="5" t="n"/>
      <c r="B105" s="5" t="n"/>
      <c r="C105" s="52" t="n"/>
      <c r="D105" s="52" t="n"/>
      <c r="E105" s="52" t="n"/>
      <c r="F105" s="52" t="n"/>
      <c r="G105" s="52" t="n"/>
      <c r="H105" s="52" t="n"/>
      <c r="I105" s="52" t="n"/>
      <c r="J105" s="52" t="n"/>
      <c r="K105" s="54" t="n"/>
      <c r="L105" s="5" t="n"/>
      <c r="M105" s="53">
        <f>IF(A105="","",IFERROR(INDEX(Firms!$B$5:$B$504,MATCH(A105,Firms!$A$5:$A$504,0)),"Not on Firms tab"))</f>
        <v/>
      </c>
      <c r="N105">
        <f>IF(AND(A105&lt;&gt;"",A105='Firm Search'!$C$7),COUNTIF($A$5:A105,'Firm Search'!$C$7),"")</f>
        <v/>
      </c>
    </row>
    <row r="106">
      <c r="A106" s="5" t="n"/>
      <c r="B106" s="5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4" t="n"/>
      <c r="L106" s="5" t="n"/>
      <c r="M106" s="53">
        <f>IF(A106="","",IFERROR(INDEX(Firms!$B$5:$B$504,MATCH(A106,Firms!$A$5:$A$504,0)),"Not on Firms tab"))</f>
        <v/>
      </c>
      <c r="N106">
        <f>IF(AND(A106&lt;&gt;"",A106='Firm Search'!$C$7),COUNTIF($A$5:A106,'Firm Search'!$C$7),"")</f>
        <v/>
      </c>
    </row>
    <row r="107">
      <c r="A107" s="5" t="n"/>
      <c r="B107" s="5" t="n"/>
      <c r="C107" s="52" t="n"/>
      <c r="D107" s="52" t="n"/>
      <c r="E107" s="52" t="n"/>
      <c r="F107" s="52" t="n"/>
      <c r="G107" s="52" t="n"/>
      <c r="H107" s="52" t="n"/>
      <c r="I107" s="52" t="n"/>
      <c r="J107" s="52" t="n"/>
      <c r="K107" s="54" t="n"/>
      <c r="L107" s="5" t="n"/>
      <c r="M107" s="53">
        <f>IF(A107="","",IFERROR(INDEX(Firms!$B$5:$B$504,MATCH(A107,Firms!$A$5:$A$504,0)),"Not on Firms tab"))</f>
        <v/>
      </c>
      <c r="N107">
        <f>IF(AND(A107&lt;&gt;"",A107='Firm Search'!$C$7),COUNTIF($A$5:A107,'Firm Search'!$C$7),"")</f>
        <v/>
      </c>
    </row>
    <row r="108">
      <c r="A108" s="5" t="n"/>
      <c r="B108" s="5" t="n"/>
      <c r="C108" s="52" t="n"/>
      <c r="D108" s="52" t="n"/>
      <c r="E108" s="52" t="n"/>
      <c r="F108" s="52" t="n"/>
      <c r="G108" s="52" t="n"/>
      <c r="H108" s="52" t="n"/>
      <c r="I108" s="52" t="n"/>
      <c r="J108" s="52" t="n"/>
      <c r="K108" s="54" t="n"/>
      <c r="L108" s="5" t="n"/>
      <c r="M108" s="53">
        <f>IF(A108="","",IFERROR(INDEX(Firms!$B$5:$B$504,MATCH(A108,Firms!$A$5:$A$504,0)),"Not on Firms tab"))</f>
        <v/>
      </c>
      <c r="N108">
        <f>IF(AND(A108&lt;&gt;"",A108='Firm Search'!$C$7),COUNTIF($A$5:A108,'Firm Search'!$C$7),"")</f>
        <v/>
      </c>
    </row>
    <row r="109">
      <c r="A109" s="5" t="n"/>
      <c r="B109" s="5" t="n"/>
      <c r="C109" s="52" t="n"/>
      <c r="D109" s="52" t="n"/>
      <c r="E109" s="52" t="n"/>
      <c r="F109" s="52" t="n"/>
      <c r="G109" s="52" t="n"/>
      <c r="H109" s="52" t="n"/>
      <c r="I109" s="52" t="n"/>
      <c r="J109" s="52" t="n"/>
      <c r="K109" s="54" t="n"/>
      <c r="L109" s="5" t="n"/>
      <c r="M109" s="53">
        <f>IF(A109="","",IFERROR(INDEX(Firms!$B$5:$B$504,MATCH(A109,Firms!$A$5:$A$504,0)),"Not on Firms tab"))</f>
        <v/>
      </c>
      <c r="N109">
        <f>IF(AND(A109&lt;&gt;"",A109='Firm Search'!$C$7),COUNTIF($A$5:A109,'Firm Search'!$C$7),"")</f>
        <v/>
      </c>
    </row>
    <row r="110">
      <c r="A110" s="5" t="n"/>
      <c r="B110" s="5" t="n"/>
      <c r="C110" s="52" t="n"/>
      <c r="D110" s="52" t="n"/>
      <c r="E110" s="52" t="n"/>
      <c r="F110" s="52" t="n"/>
      <c r="G110" s="52" t="n"/>
      <c r="H110" s="52" t="n"/>
      <c r="I110" s="52" t="n"/>
      <c r="J110" s="52" t="n"/>
      <c r="K110" s="54" t="n"/>
      <c r="L110" s="5" t="n"/>
      <c r="M110" s="53">
        <f>IF(A110="","",IFERROR(INDEX(Firms!$B$5:$B$504,MATCH(A110,Firms!$A$5:$A$504,0)),"Not on Firms tab"))</f>
        <v/>
      </c>
      <c r="N110">
        <f>IF(AND(A110&lt;&gt;"",A110='Firm Search'!$C$7),COUNTIF($A$5:A110,'Firm Search'!$C$7),"")</f>
        <v/>
      </c>
    </row>
    <row r="111">
      <c r="A111" s="5" t="n"/>
      <c r="B111" s="5" t="n"/>
      <c r="C111" s="52" t="n"/>
      <c r="D111" s="52" t="n"/>
      <c r="E111" s="52" t="n"/>
      <c r="F111" s="52" t="n"/>
      <c r="G111" s="52" t="n"/>
      <c r="H111" s="52" t="n"/>
      <c r="I111" s="52" t="n"/>
      <c r="J111" s="52" t="n"/>
      <c r="K111" s="54" t="n"/>
      <c r="L111" s="5" t="n"/>
      <c r="M111" s="53">
        <f>IF(A111="","",IFERROR(INDEX(Firms!$B$5:$B$504,MATCH(A111,Firms!$A$5:$A$504,0)),"Not on Firms tab"))</f>
        <v/>
      </c>
      <c r="N111">
        <f>IF(AND(A111&lt;&gt;"",A111='Firm Search'!$C$7),COUNTIF($A$5:A111,'Firm Search'!$C$7),"")</f>
        <v/>
      </c>
    </row>
    <row r="112">
      <c r="A112" s="5" t="n"/>
      <c r="B112" s="5" t="n"/>
      <c r="C112" s="52" t="n"/>
      <c r="D112" s="52" t="n"/>
      <c r="E112" s="52" t="n"/>
      <c r="F112" s="52" t="n"/>
      <c r="G112" s="52" t="n"/>
      <c r="H112" s="52" t="n"/>
      <c r="I112" s="52" t="n"/>
      <c r="J112" s="52" t="n"/>
      <c r="K112" s="54" t="n"/>
      <c r="L112" s="5" t="n"/>
      <c r="M112" s="53">
        <f>IF(A112="","",IFERROR(INDEX(Firms!$B$5:$B$504,MATCH(A112,Firms!$A$5:$A$504,0)),"Not on Firms tab"))</f>
        <v/>
      </c>
      <c r="N112">
        <f>IF(AND(A112&lt;&gt;"",A112='Firm Search'!$C$7),COUNTIF($A$5:A112,'Firm Search'!$C$7),"")</f>
        <v/>
      </c>
    </row>
    <row r="113">
      <c r="A113" s="5" t="n"/>
      <c r="B113" s="5" t="n"/>
      <c r="C113" s="52" t="n"/>
      <c r="D113" s="52" t="n"/>
      <c r="E113" s="52" t="n"/>
      <c r="F113" s="52" t="n"/>
      <c r="G113" s="52" t="n"/>
      <c r="H113" s="52" t="n"/>
      <c r="I113" s="52" t="n"/>
      <c r="J113" s="52" t="n"/>
      <c r="K113" s="54" t="n"/>
      <c r="L113" s="5" t="n"/>
      <c r="M113" s="53">
        <f>IF(A113="","",IFERROR(INDEX(Firms!$B$5:$B$504,MATCH(A113,Firms!$A$5:$A$504,0)),"Not on Firms tab"))</f>
        <v/>
      </c>
      <c r="N113">
        <f>IF(AND(A113&lt;&gt;"",A113='Firm Search'!$C$7),COUNTIF($A$5:A113,'Firm Search'!$C$7),"")</f>
        <v/>
      </c>
    </row>
    <row r="114">
      <c r="A114" s="5" t="n"/>
      <c r="B114" s="5" t="n"/>
      <c r="C114" s="52" t="n"/>
      <c r="D114" s="52" t="n"/>
      <c r="E114" s="52" t="n"/>
      <c r="F114" s="52" t="n"/>
      <c r="G114" s="52" t="n"/>
      <c r="H114" s="52" t="n"/>
      <c r="I114" s="52" t="n"/>
      <c r="J114" s="52" t="n"/>
      <c r="K114" s="54" t="n"/>
      <c r="L114" s="5" t="n"/>
      <c r="M114" s="53">
        <f>IF(A114="","",IFERROR(INDEX(Firms!$B$5:$B$504,MATCH(A114,Firms!$A$5:$A$504,0)),"Not on Firms tab"))</f>
        <v/>
      </c>
      <c r="N114">
        <f>IF(AND(A114&lt;&gt;"",A114='Firm Search'!$C$7),COUNTIF($A$5:A114,'Firm Search'!$C$7),"")</f>
        <v/>
      </c>
    </row>
    <row r="115">
      <c r="A115" s="5" t="n"/>
      <c r="B115" s="5" t="n"/>
      <c r="C115" s="52" t="n"/>
      <c r="D115" s="52" t="n"/>
      <c r="E115" s="52" t="n"/>
      <c r="F115" s="52" t="n"/>
      <c r="G115" s="52" t="n"/>
      <c r="H115" s="52" t="n"/>
      <c r="I115" s="52" t="n"/>
      <c r="J115" s="52" t="n"/>
      <c r="K115" s="54" t="n"/>
      <c r="L115" s="5" t="n"/>
      <c r="M115" s="53">
        <f>IF(A115="","",IFERROR(INDEX(Firms!$B$5:$B$504,MATCH(A115,Firms!$A$5:$A$504,0)),"Not on Firms tab"))</f>
        <v/>
      </c>
      <c r="N115">
        <f>IF(AND(A115&lt;&gt;"",A115='Firm Search'!$C$7),COUNTIF($A$5:A115,'Firm Search'!$C$7),"")</f>
        <v/>
      </c>
    </row>
    <row r="116">
      <c r="A116" s="5" t="n"/>
      <c r="B116" s="5" t="n"/>
      <c r="C116" s="52" t="n"/>
      <c r="D116" s="52" t="n"/>
      <c r="E116" s="52" t="n"/>
      <c r="F116" s="52" t="n"/>
      <c r="G116" s="52" t="n"/>
      <c r="H116" s="52" t="n"/>
      <c r="I116" s="52" t="n"/>
      <c r="J116" s="52" t="n"/>
      <c r="K116" s="54" t="n"/>
      <c r="L116" s="5" t="n"/>
      <c r="M116" s="53">
        <f>IF(A116="","",IFERROR(INDEX(Firms!$B$5:$B$504,MATCH(A116,Firms!$A$5:$A$504,0)),"Not on Firms tab"))</f>
        <v/>
      </c>
      <c r="N116">
        <f>IF(AND(A116&lt;&gt;"",A116='Firm Search'!$C$7),COUNTIF($A$5:A116,'Firm Search'!$C$7),"")</f>
        <v/>
      </c>
    </row>
    <row r="117">
      <c r="A117" s="5" t="n"/>
      <c r="B117" s="5" t="n"/>
      <c r="C117" s="52" t="n"/>
      <c r="D117" s="52" t="n"/>
      <c r="E117" s="52" t="n"/>
      <c r="F117" s="52" t="n"/>
      <c r="G117" s="52" t="n"/>
      <c r="H117" s="52" t="n"/>
      <c r="I117" s="52" t="n"/>
      <c r="J117" s="52" t="n"/>
      <c r="K117" s="54" t="n"/>
      <c r="L117" s="5" t="n"/>
      <c r="M117" s="53">
        <f>IF(A117="","",IFERROR(INDEX(Firms!$B$5:$B$504,MATCH(A117,Firms!$A$5:$A$504,0)),"Not on Firms tab"))</f>
        <v/>
      </c>
      <c r="N117">
        <f>IF(AND(A117&lt;&gt;"",A117='Firm Search'!$C$7),COUNTIF($A$5:A117,'Firm Search'!$C$7),"")</f>
        <v/>
      </c>
    </row>
    <row r="118">
      <c r="A118" s="5" t="n"/>
      <c r="B118" s="5" t="n"/>
      <c r="C118" s="52" t="n"/>
      <c r="D118" s="52" t="n"/>
      <c r="E118" s="52" t="n"/>
      <c r="F118" s="52" t="n"/>
      <c r="G118" s="52" t="n"/>
      <c r="H118" s="52" t="n"/>
      <c r="I118" s="52" t="n"/>
      <c r="J118" s="52" t="n"/>
      <c r="K118" s="54" t="n"/>
      <c r="L118" s="5" t="n"/>
      <c r="M118" s="53">
        <f>IF(A118="","",IFERROR(INDEX(Firms!$B$5:$B$504,MATCH(A118,Firms!$A$5:$A$504,0)),"Not on Firms tab"))</f>
        <v/>
      </c>
      <c r="N118">
        <f>IF(AND(A118&lt;&gt;"",A118='Firm Search'!$C$7),COUNTIF($A$5:A118,'Firm Search'!$C$7),"")</f>
        <v/>
      </c>
    </row>
    <row r="119">
      <c r="A119" s="5" t="n"/>
      <c r="B119" s="5" t="n"/>
      <c r="C119" s="52" t="n"/>
      <c r="D119" s="52" t="n"/>
      <c r="E119" s="52" t="n"/>
      <c r="F119" s="52" t="n"/>
      <c r="G119" s="52" t="n"/>
      <c r="H119" s="52" t="n"/>
      <c r="I119" s="52" t="n"/>
      <c r="J119" s="52" t="n"/>
      <c r="K119" s="54" t="n"/>
      <c r="L119" s="5" t="n"/>
      <c r="M119" s="53">
        <f>IF(A119="","",IFERROR(INDEX(Firms!$B$5:$B$504,MATCH(A119,Firms!$A$5:$A$504,0)),"Not on Firms tab"))</f>
        <v/>
      </c>
      <c r="N119">
        <f>IF(AND(A119&lt;&gt;"",A119='Firm Search'!$C$7),COUNTIF($A$5:A119,'Firm Search'!$C$7),"")</f>
        <v/>
      </c>
    </row>
    <row r="120">
      <c r="A120" s="5" t="n"/>
      <c r="B120" s="5" t="n"/>
      <c r="C120" s="52" t="n"/>
      <c r="D120" s="52" t="n"/>
      <c r="E120" s="52" t="n"/>
      <c r="F120" s="52" t="n"/>
      <c r="G120" s="52" t="n"/>
      <c r="H120" s="52" t="n"/>
      <c r="I120" s="52" t="n"/>
      <c r="J120" s="52" t="n"/>
      <c r="K120" s="54" t="n"/>
      <c r="L120" s="5" t="n"/>
      <c r="M120" s="53">
        <f>IF(A120="","",IFERROR(INDEX(Firms!$B$5:$B$504,MATCH(A120,Firms!$A$5:$A$504,0)),"Not on Firms tab"))</f>
        <v/>
      </c>
      <c r="N120">
        <f>IF(AND(A120&lt;&gt;"",A120='Firm Search'!$C$7),COUNTIF($A$5:A120,'Firm Search'!$C$7),"")</f>
        <v/>
      </c>
    </row>
    <row r="121">
      <c r="A121" s="5" t="n"/>
      <c r="B121" s="5" t="n"/>
      <c r="C121" s="52" t="n"/>
      <c r="D121" s="52" t="n"/>
      <c r="E121" s="52" t="n"/>
      <c r="F121" s="52" t="n"/>
      <c r="G121" s="52" t="n"/>
      <c r="H121" s="52" t="n"/>
      <c r="I121" s="52" t="n"/>
      <c r="J121" s="52" t="n"/>
      <c r="K121" s="54" t="n"/>
      <c r="L121" s="5" t="n"/>
      <c r="M121" s="53">
        <f>IF(A121="","",IFERROR(INDEX(Firms!$B$5:$B$504,MATCH(A121,Firms!$A$5:$A$504,0)),"Not on Firms tab"))</f>
        <v/>
      </c>
      <c r="N121">
        <f>IF(AND(A121&lt;&gt;"",A121='Firm Search'!$C$7),COUNTIF($A$5:A121,'Firm Search'!$C$7),"")</f>
        <v/>
      </c>
    </row>
    <row r="122">
      <c r="A122" s="5" t="n"/>
      <c r="B122" s="5" t="n"/>
      <c r="C122" s="52" t="n"/>
      <c r="D122" s="52" t="n"/>
      <c r="E122" s="52" t="n"/>
      <c r="F122" s="52" t="n"/>
      <c r="G122" s="52" t="n"/>
      <c r="H122" s="52" t="n"/>
      <c r="I122" s="52" t="n"/>
      <c r="J122" s="52" t="n"/>
      <c r="K122" s="54" t="n"/>
      <c r="L122" s="5" t="n"/>
      <c r="M122" s="53">
        <f>IF(A122="","",IFERROR(INDEX(Firms!$B$5:$B$504,MATCH(A122,Firms!$A$5:$A$504,0)),"Not on Firms tab"))</f>
        <v/>
      </c>
      <c r="N122">
        <f>IF(AND(A122&lt;&gt;"",A122='Firm Search'!$C$7),COUNTIF($A$5:A122,'Firm Search'!$C$7),"")</f>
        <v/>
      </c>
    </row>
    <row r="123">
      <c r="A123" s="5" t="n"/>
      <c r="B123" s="5" t="n"/>
      <c r="C123" s="52" t="n"/>
      <c r="D123" s="52" t="n"/>
      <c r="E123" s="52" t="n"/>
      <c r="F123" s="52" t="n"/>
      <c r="G123" s="52" t="n"/>
      <c r="H123" s="52" t="n"/>
      <c r="I123" s="52" t="n"/>
      <c r="J123" s="52" t="n"/>
      <c r="K123" s="54" t="n"/>
      <c r="L123" s="5" t="n"/>
      <c r="M123" s="53">
        <f>IF(A123="","",IFERROR(INDEX(Firms!$B$5:$B$504,MATCH(A123,Firms!$A$5:$A$504,0)),"Not on Firms tab"))</f>
        <v/>
      </c>
      <c r="N123">
        <f>IF(AND(A123&lt;&gt;"",A123='Firm Search'!$C$7),COUNTIF($A$5:A123,'Firm Search'!$C$7),"")</f>
        <v/>
      </c>
    </row>
    <row r="124">
      <c r="A124" s="5" t="n"/>
      <c r="B124" s="5" t="n"/>
      <c r="C124" s="52" t="n"/>
      <c r="D124" s="52" t="n"/>
      <c r="E124" s="52" t="n"/>
      <c r="F124" s="52" t="n"/>
      <c r="G124" s="52" t="n"/>
      <c r="H124" s="52" t="n"/>
      <c r="I124" s="52" t="n"/>
      <c r="J124" s="52" t="n"/>
      <c r="K124" s="54" t="n"/>
      <c r="L124" s="5" t="n"/>
      <c r="M124" s="53">
        <f>IF(A124="","",IFERROR(INDEX(Firms!$B$5:$B$504,MATCH(A124,Firms!$A$5:$A$504,0)),"Not on Firms tab"))</f>
        <v/>
      </c>
      <c r="N124">
        <f>IF(AND(A124&lt;&gt;"",A124='Firm Search'!$C$7),COUNTIF($A$5:A124,'Firm Search'!$C$7),"")</f>
        <v/>
      </c>
    </row>
    <row r="125">
      <c r="A125" s="5" t="n"/>
      <c r="B125" s="5" t="n"/>
      <c r="C125" s="52" t="n"/>
      <c r="D125" s="52" t="n"/>
      <c r="E125" s="52" t="n"/>
      <c r="F125" s="52" t="n"/>
      <c r="G125" s="52" t="n"/>
      <c r="H125" s="52" t="n"/>
      <c r="I125" s="52" t="n"/>
      <c r="J125" s="52" t="n"/>
      <c r="K125" s="54" t="n"/>
      <c r="L125" s="5" t="n"/>
      <c r="M125" s="53">
        <f>IF(A125="","",IFERROR(INDEX(Firms!$B$5:$B$504,MATCH(A125,Firms!$A$5:$A$504,0)),"Not on Firms tab"))</f>
        <v/>
      </c>
      <c r="N125">
        <f>IF(AND(A125&lt;&gt;"",A125='Firm Search'!$C$7),COUNTIF($A$5:A125,'Firm Search'!$C$7),"")</f>
        <v/>
      </c>
    </row>
    <row r="126">
      <c r="A126" s="5" t="n"/>
      <c r="B126" s="5" t="n"/>
      <c r="C126" s="52" t="n"/>
      <c r="D126" s="52" t="n"/>
      <c r="E126" s="52" t="n"/>
      <c r="F126" s="52" t="n"/>
      <c r="G126" s="52" t="n"/>
      <c r="H126" s="52" t="n"/>
      <c r="I126" s="52" t="n"/>
      <c r="J126" s="52" t="n"/>
      <c r="K126" s="54" t="n"/>
      <c r="L126" s="5" t="n"/>
      <c r="M126" s="53">
        <f>IF(A126="","",IFERROR(INDEX(Firms!$B$5:$B$504,MATCH(A126,Firms!$A$5:$A$504,0)),"Not on Firms tab"))</f>
        <v/>
      </c>
      <c r="N126">
        <f>IF(AND(A126&lt;&gt;"",A126='Firm Search'!$C$7),COUNTIF($A$5:A126,'Firm Search'!$C$7),"")</f>
        <v/>
      </c>
    </row>
    <row r="127">
      <c r="A127" s="5" t="n"/>
      <c r="B127" s="5" t="n"/>
      <c r="C127" s="52" t="n"/>
      <c r="D127" s="52" t="n"/>
      <c r="E127" s="52" t="n"/>
      <c r="F127" s="52" t="n"/>
      <c r="G127" s="52" t="n"/>
      <c r="H127" s="52" t="n"/>
      <c r="I127" s="52" t="n"/>
      <c r="J127" s="52" t="n"/>
      <c r="K127" s="54" t="n"/>
      <c r="L127" s="5" t="n"/>
      <c r="M127" s="53">
        <f>IF(A127="","",IFERROR(INDEX(Firms!$B$5:$B$504,MATCH(A127,Firms!$A$5:$A$504,0)),"Not on Firms tab"))</f>
        <v/>
      </c>
      <c r="N127">
        <f>IF(AND(A127&lt;&gt;"",A127='Firm Search'!$C$7),COUNTIF($A$5:A127,'Firm Search'!$C$7),"")</f>
        <v/>
      </c>
    </row>
    <row r="128">
      <c r="A128" s="5" t="n"/>
      <c r="B128" s="5" t="n"/>
      <c r="C128" s="52" t="n"/>
      <c r="D128" s="52" t="n"/>
      <c r="E128" s="52" t="n"/>
      <c r="F128" s="52" t="n"/>
      <c r="G128" s="52" t="n"/>
      <c r="H128" s="52" t="n"/>
      <c r="I128" s="52" t="n"/>
      <c r="J128" s="52" t="n"/>
      <c r="K128" s="54" t="n"/>
      <c r="L128" s="5" t="n"/>
      <c r="M128" s="53">
        <f>IF(A128="","",IFERROR(INDEX(Firms!$B$5:$B$504,MATCH(A128,Firms!$A$5:$A$504,0)),"Not on Firms tab"))</f>
        <v/>
      </c>
      <c r="N128">
        <f>IF(AND(A128&lt;&gt;"",A128='Firm Search'!$C$7),COUNTIF($A$5:A128,'Firm Search'!$C$7),"")</f>
        <v/>
      </c>
    </row>
    <row r="129">
      <c r="A129" s="5" t="n"/>
      <c r="B129" s="5" t="n"/>
      <c r="C129" s="52" t="n"/>
      <c r="D129" s="52" t="n"/>
      <c r="E129" s="52" t="n"/>
      <c r="F129" s="52" t="n"/>
      <c r="G129" s="52" t="n"/>
      <c r="H129" s="52" t="n"/>
      <c r="I129" s="52" t="n"/>
      <c r="J129" s="52" t="n"/>
      <c r="K129" s="54" t="n"/>
      <c r="L129" s="5" t="n"/>
      <c r="M129" s="53">
        <f>IF(A129="","",IFERROR(INDEX(Firms!$B$5:$B$504,MATCH(A129,Firms!$A$5:$A$504,0)),"Not on Firms tab"))</f>
        <v/>
      </c>
      <c r="N129">
        <f>IF(AND(A129&lt;&gt;"",A129='Firm Search'!$C$7),COUNTIF($A$5:A129,'Firm Search'!$C$7),"")</f>
        <v/>
      </c>
    </row>
    <row r="130">
      <c r="A130" s="5" t="n"/>
      <c r="B130" s="5" t="n"/>
      <c r="C130" s="52" t="n"/>
      <c r="D130" s="52" t="n"/>
      <c r="E130" s="52" t="n"/>
      <c r="F130" s="52" t="n"/>
      <c r="G130" s="52" t="n"/>
      <c r="H130" s="52" t="n"/>
      <c r="I130" s="52" t="n"/>
      <c r="J130" s="52" t="n"/>
      <c r="K130" s="54" t="n"/>
      <c r="L130" s="5" t="n"/>
      <c r="M130" s="53">
        <f>IF(A130="","",IFERROR(INDEX(Firms!$B$5:$B$504,MATCH(A130,Firms!$A$5:$A$504,0)),"Not on Firms tab"))</f>
        <v/>
      </c>
      <c r="N130">
        <f>IF(AND(A130&lt;&gt;"",A130='Firm Search'!$C$7),COUNTIF($A$5:A130,'Firm Search'!$C$7),"")</f>
        <v/>
      </c>
    </row>
    <row r="131">
      <c r="A131" s="5" t="n"/>
      <c r="B131" s="5" t="n"/>
      <c r="C131" s="52" t="n"/>
      <c r="D131" s="52" t="n"/>
      <c r="E131" s="52" t="n"/>
      <c r="F131" s="52" t="n"/>
      <c r="G131" s="52" t="n"/>
      <c r="H131" s="52" t="n"/>
      <c r="I131" s="52" t="n"/>
      <c r="J131" s="52" t="n"/>
      <c r="K131" s="54" t="n"/>
      <c r="L131" s="5" t="n"/>
      <c r="M131" s="53">
        <f>IF(A131="","",IFERROR(INDEX(Firms!$B$5:$B$504,MATCH(A131,Firms!$A$5:$A$504,0)),"Not on Firms tab"))</f>
        <v/>
      </c>
      <c r="N131">
        <f>IF(AND(A131&lt;&gt;"",A131='Firm Search'!$C$7),COUNTIF($A$5:A131,'Firm Search'!$C$7),"")</f>
        <v/>
      </c>
    </row>
    <row r="132">
      <c r="A132" s="5" t="n"/>
      <c r="B132" s="5" t="n"/>
      <c r="C132" s="52" t="n"/>
      <c r="D132" s="52" t="n"/>
      <c r="E132" s="52" t="n"/>
      <c r="F132" s="52" t="n"/>
      <c r="G132" s="52" t="n"/>
      <c r="H132" s="52" t="n"/>
      <c r="I132" s="52" t="n"/>
      <c r="J132" s="52" t="n"/>
      <c r="K132" s="54" t="n"/>
      <c r="L132" s="5" t="n"/>
      <c r="M132" s="53">
        <f>IF(A132="","",IFERROR(INDEX(Firms!$B$5:$B$504,MATCH(A132,Firms!$A$5:$A$504,0)),"Not on Firms tab"))</f>
        <v/>
      </c>
      <c r="N132">
        <f>IF(AND(A132&lt;&gt;"",A132='Firm Search'!$C$7),COUNTIF($A$5:A132,'Firm Search'!$C$7),"")</f>
        <v/>
      </c>
    </row>
    <row r="133">
      <c r="A133" s="5" t="n"/>
      <c r="B133" s="5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4" t="n"/>
      <c r="L133" s="5" t="n"/>
      <c r="M133" s="53">
        <f>IF(A133="","",IFERROR(INDEX(Firms!$B$5:$B$504,MATCH(A133,Firms!$A$5:$A$504,0)),"Not on Firms tab"))</f>
        <v/>
      </c>
      <c r="N133">
        <f>IF(AND(A133&lt;&gt;"",A133='Firm Search'!$C$7),COUNTIF($A$5:A133,'Firm Search'!$C$7),"")</f>
        <v/>
      </c>
    </row>
    <row r="134">
      <c r="A134" s="5" t="n"/>
      <c r="B134" s="5" t="n"/>
      <c r="C134" s="52" t="n"/>
      <c r="D134" s="52" t="n"/>
      <c r="E134" s="52" t="n"/>
      <c r="F134" s="52" t="n"/>
      <c r="G134" s="52" t="n"/>
      <c r="H134" s="52" t="n"/>
      <c r="I134" s="52" t="n"/>
      <c r="J134" s="52" t="n"/>
      <c r="K134" s="54" t="n"/>
      <c r="L134" s="5" t="n"/>
      <c r="M134" s="53">
        <f>IF(A134="","",IFERROR(INDEX(Firms!$B$5:$B$504,MATCH(A134,Firms!$A$5:$A$504,0)),"Not on Firms tab"))</f>
        <v/>
      </c>
      <c r="N134">
        <f>IF(AND(A134&lt;&gt;"",A134='Firm Search'!$C$7),COUNTIF($A$5:A134,'Firm Search'!$C$7),"")</f>
        <v/>
      </c>
    </row>
    <row r="135">
      <c r="A135" s="5" t="n"/>
      <c r="B135" s="5" t="n"/>
      <c r="C135" s="52" t="n"/>
      <c r="D135" s="52" t="n"/>
      <c r="E135" s="52" t="n"/>
      <c r="F135" s="52" t="n"/>
      <c r="G135" s="52" t="n"/>
      <c r="H135" s="52" t="n"/>
      <c r="I135" s="52" t="n"/>
      <c r="J135" s="52" t="n"/>
      <c r="K135" s="54" t="n"/>
      <c r="L135" s="5" t="n"/>
      <c r="M135" s="53">
        <f>IF(A135="","",IFERROR(INDEX(Firms!$B$5:$B$504,MATCH(A135,Firms!$A$5:$A$504,0)),"Not on Firms tab"))</f>
        <v/>
      </c>
      <c r="N135">
        <f>IF(AND(A135&lt;&gt;"",A135='Firm Search'!$C$7),COUNTIF($A$5:A135,'Firm Search'!$C$7),"")</f>
        <v/>
      </c>
    </row>
    <row r="136">
      <c r="A136" s="5" t="n"/>
      <c r="B136" s="5" t="n"/>
      <c r="C136" s="52" t="n"/>
      <c r="D136" s="52" t="n"/>
      <c r="E136" s="52" t="n"/>
      <c r="F136" s="52" t="n"/>
      <c r="G136" s="52" t="n"/>
      <c r="H136" s="52" t="n"/>
      <c r="I136" s="52" t="n"/>
      <c r="J136" s="52" t="n"/>
      <c r="K136" s="54" t="n"/>
      <c r="L136" s="5" t="n"/>
      <c r="M136" s="53">
        <f>IF(A136="","",IFERROR(INDEX(Firms!$B$5:$B$504,MATCH(A136,Firms!$A$5:$A$504,0)),"Not on Firms tab"))</f>
        <v/>
      </c>
      <c r="N136">
        <f>IF(AND(A136&lt;&gt;"",A136='Firm Search'!$C$7),COUNTIF($A$5:A136,'Firm Search'!$C$7),"")</f>
        <v/>
      </c>
    </row>
    <row r="137">
      <c r="A137" s="5" t="n"/>
      <c r="B137" s="5" t="n"/>
      <c r="C137" s="52" t="n"/>
      <c r="D137" s="52" t="n"/>
      <c r="E137" s="52" t="n"/>
      <c r="F137" s="52" t="n"/>
      <c r="G137" s="52" t="n"/>
      <c r="H137" s="52" t="n"/>
      <c r="I137" s="52" t="n"/>
      <c r="J137" s="52" t="n"/>
      <c r="K137" s="54" t="n"/>
      <c r="L137" s="5" t="n"/>
      <c r="M137" s="53">
        <f>IF(A137="","",IFERROR(INDEX(Firms!$B$5:$B$504,MATCH(A137,Firms!$A$5:$A$504,0)),"Not on Firms tab"))</f>
        <v/>
      </c>
      <c r="N137">
        <f>IF(AND(A137&lt;&gt;"",A137='Firm Search'!$C$7),COUNTIF($A$5:A137,'Firm Search'!$C$7),"")</f>
        <v/>
      </c>
    </row>
    <row r="138">
      <c r="A138" s="5" t="n"/>
      <c r="B138" s="5" t="n"/>
      <c r="C138" s="52" t="n"/>
      <c r="D138" s="52" t="n"/>
      <c r="E138" s="52" t="n"/>
      <c r="F138" s="52" t="n"/>
      <c r="G138" s="52" t="n"/>
      <c r="H138" s="52" t="n"/>
      <c r="I138" s="52" t="n"/>
      <c r="J138" s="52" t="n"/>
      <c r="K138" s="54" t="n"/>
      <c r="L138" s="5" t="n"/>
      <c r="M138" s="53">
        <f>IF(A138="","",IFERROR(INDEX(Firms!$B$5:$B$504,MATCH(A138,Firms!$A$5:$A$504,0)),"Not on Firms tab"))</f>
        <v/>
      </c>
      <c r="N138">
        <f>IF(AND(A138&lt;&gt;"",A138='Firm Search'!$C$7),COUNTIF($A$5:A138,'Firm Search'!$C$7),"")</f>
        <v/>
      </c>
    </row>
    <row r="139">
      <c r="A139" s="5" t="n"/>
      <c r="B139" s="5" t="n"/>
      <c r="C139" s="52" t="n"/>
      <c r="D139" s="52" t="n"/>
      <c r="E139" s="52" t="n"/>
      <c r="F139" s="52" t="n"/>
      <c r="G139" s="52" t="n"/>
      <c r="H139" s="52" t="n"/>
      <c r="I139" s="52" t="n"/>
      <c r="J139" s="52" t="n"/>
      <c r="K139" s="54" t="n"/>
      <c r="L139" s="5" t="n"/>
      <c r="M139" s="53">
        <f>IF(A139="","",IFERROR(INDEX(Firms!$B$5:$B$504,MATCH(A139,Firms!$A$5:$A$504,0)),"Not on Firms tab"))</f>
        <v/>
      </c>
      <c r="N139">
        <f>IF(AND(A139&lt;&gt;"",A139='Firm Search'!$C$7),COUNTIF($A$5:A139,'Firm Search'!$C$7),"")</f>
        <v/>
      </c>
    </row>
    <row r="140">
      <c r="A140" s="5" t="n"/>
      <c r="B140" s="5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4" t="n"/>
      <c r="L140" s="5" t="n"/>
      <c r="M140" s="53">
        <f>IF(A140="","",IFERROR(INDEX(Firms!$B$5:$B$504,MATCH(A140,Firms!$A$5:$A$504,0)),"Not on Firms tab"))</f>
        <v/>
      </c>
      <c r="N140">
        <f>IF(AND(A140&lt;&gt;"",A140='Firm Search'!$C$7),COUNTIF($A$5:A140,'Firm Search'!$C$7),"")</f>
        <v/>
      </c>
    </row>
    <row r="141">
      <c r="A141" s="5" t="n"/>
      <c r="B141" s="5" t="n"/>
      <c r="C141" s="52" t="n"/>
      <c r="D141" s="52" t="n"/>
      <c r="E141" s="52" t="n"/>
      <c r="F141" s="52" t="n"/>
      <c r="G141" s="52" t="n"/>
      <c r="H141" s="52" t="n"/>
      <c r="I141" s="52" t="n"/>
      <c r="J141" s="52" t="n"/>
      <c r="K141" s="54" t="n"/>
      <c r="L141" s="5" t="n"/>
      <c r="M141" s="53">
        <f>IF(A141="","",IFERROR(INDEX(Firms!$B$5:$B$504,MATCH(A141,Firms!$A$5:$A$504,0)),"Not on Firms tab"))</f>
        <v/>
      </c>
      <c r="N141">
        <f>IF(AND(A141&lt;&gt;"",A141='Firm Search'!$C$7),COUNTIF($A$5:A141,'Firm Search'!$C$7),"")</f>
        <v/>
      </c>
    </row>
    <row r="142">
      <c r="A142" s="5" t="n"/>
      <c r="B142" s="5" t="n"/>
      <c r="C142" s="52" t="n"/>
      <c r="D142" s="52" t="n"/>
      <c r="E142" s="52" t="n"/>
      <c r="F142" s="52" t="n"/>
      <c r="G142" s="52" t="n"/>
      <c r="H142" s="52" t="n"/>
      <c r="I142" s="52" t="n"/>
      <c r="J142" s="52" t="n"/>
      <c r="K142" s="54" t="n"/>
      <c r="L142" s="5" t="n"/>
      <c r="M142" s="53">
        <f>IF(A142="","",IFERROR(INDEX(Firms!$B$5:$B$504,MATCH(A142,Firms!$A$5:$A$504,0)),"Not on Firms tab"))</f>
        <v/>
      </c>
      <c r="N142">
        <f>IF(AND(A142&lt;&gt;"",A142='Firm Search'!$C$7),COUNTIF($A$5:A142,'Firm Search'!$C$7),"")</f>
        <v/>
      </c>
    </row>
    <row r="143">
      <c r="A143" s="5" t="n"/>
      <c r="B143" s="5" t="n"/>
      <c r="C143" s="52" t="n"/>
      <c r="D143" s="52" t="n"/>
      <c r="E143" s="52" t="n"/>
      <c r="F143" s="52" t="n"/>
      <c r="G143" s="52" t="n"/>
      <c r="H143" s="52" t="n"/>
      <c r="I143" s="52" t="n"/>
      <c r="J143" s="52" t="n"/>
      <c r="K143" s="54" t="n"/>
      <c r="L143" s="5" t="n"/>
      <c r="M143" s="53">
        <f>IF(A143="","",IFERROR(INDEX(Firms!$B$5:$B$504,MATCH(A143,Firms!$A$5:$A$504,0)),"Not on Firms tab"))</f>
        <v/>
      </c>
      <c r="N143">
        <f>IF(AND(A143&lt;&gt;"",A143='Firm Search'!$C$7),COUNTIF($A$5:A143,'Firm Search'!$C$7),"")</f>
        <v/>
      </c>
    </row>
    <row r="144">
      <c r="A144" s="5" t="n"/>
      <c r="B144" s="5" t="n"/>
      <c r="C144" s="52" t="n"/>
      <c r="D144" s="52" t="n"/>
      <c r="E144" s="52" t="n"/>
      <c r="F144" s="52" t="n"/>
      <c r="G144" s="52" t="n"/>
      <c r="H144" s="52" t="n"/>
      <c r="I144" s="52" t="n"/>
      <c r="J144" s="52" t="n"/>
      <c r="K144" s="54" t="n"/>
      <c r="L144" s="5" t="n"/>
      <c r="M144" s="53">
        <f>IF(A144="","",IFERROR(INDEX(Firms!$B$5:$B$504,MATCH(A144,Firms!$A$5:$A$504,0)),"Not on Firms tab"))</f>
        <v/>
      </c>
      <c r="N144">
        <f>IF(AND(A144&lt;&gt;"",A144='Firm Search'!$C$7),COUNTIF($A$5:A144,'Firm Search'!$C$7),"")</f>
        <v/>
      </c>
    </row>
    <row r="145">
      <c r="A145" s="5" t="n"/>
      <c r="B145" s="5" t="n"/>
      <c r="C145" s="52" t="n"/>
      <c r="D145" s="52" t="n"/>
      <c r="E145" s="52" t="n"/>
      <c r="F145" s="52" t="n"/>
      <c r="G145" s="52" t="n"/>
      <c r="H145" s="52" t="n"/>
      <c r="I145" s="52" t="n"/>
      <c r="J145" s="52" t="n"/>
      <c r="K145" s="54" t="n"/>
      <c r="L145" s="5" t="n"/>
      <c r="M145" s="53">
        <f>IF(A145="","",IFERROR(INDEX(Firms!$B$5:$B$504,MATCH(A145,Firms!$A$5:$A$504,0)),"Not on Firms tab"))</f>
        <v/>
      </c>
      <c r="N145">
        <f>IF(AND(A145&lt;&gt;"",A145='Firm Search'!$C$7),COUNTIF($A$5:A145,'Firm Search'!$C$7),"")</f>
        <v/>
      </c>
    </row>
    <row r="146">
      <c r="A146" s="5" t="n"/>
      <c r="B146" s="5" t="n"/>
      <c r="C146" s="52" t="n"/>
      <c r="D146" s="52" t="n"/>
      <c r="E146" s="52" t="n"/>
      <c r="F146" s="52" t="n"/>
      <c r="G146" s="52" t="n"/>
      <c r="H146" s="52" t="n"/>
      <c r="I146" s="52" t="n"/>
      <c r="J146" s="52" t="n"/>
      <c r="K146" s="54" t="n"/>
      <c r="L146" s="5" t="n"/>
      <c r="M146" s="53">
        <f>IF(A146="","",IFERROR(INDEX(Firms!$B$5:$B$504,MATCH(A146,Firms!$A$5:$A$504,0)),"Not on Firms tab"))</f>
        <v/>
      </c>
      <c r="N146">
        <f>IF(AND(A146&lt;&gt;"",A146='Firm Search'!$C$7),COUNTIF($A$5:A146,'Firm Search'!$C$7),"")</f>
        <v/>
      </c>
    </row>
    <row r="147">
      <c r="A147" s="5" t="n"/>
      <c r="B147" s="5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4" t="n"/>
      <c r="L147" s="5" t="n"/>
      <c r="M147" s="53">
        <f>IF(A147="","",IFERROR(INDEX(Firms!$B$5:$B$504,MATCH(A147,Firms!$A$5:$A$504,0)),"Not on Firms tab"))</f>
        <v/>
      </c>
      <c r="N147">
        <f>IF(AND(A147&lt;&gt;"",A147='Firm Search'!$C$7),COUNTIF($A$5:A147,'Firm Search'!$C$7),"")</f>
        <v/>
      </c>
    </row>
    <row r="148">
      <c r="A148" s="5" t="n"/>
      <c r="B148" s="5" t="n"/>
      <c r="C148" s="52" t="n"/>
      <c r="D148" s="52" t="n"/>
      <c r="E148" s="52" t="n"/>
      <c r="F148" s="52" t="n"/>
      <c r="G148" s="52" t="n"/>
      <c r="H148" s="52" t="n"/>
      <c r="I148" s="52" t="n"/>
      <c r="J148" s="52" t="n"/>
      <c r="K148" s="54" t="n"/>
      <c r="L148" s="5" t="n"/>
      <c r="M148" s="53">
        <f>IF(A148="","",IFERROR(INDEX(Firms!$B$5:$B$504,MATCH(A148,Firms!$A$5:$A$504,0)),"Not on Firms tab"))</f>
        <v/>
      </c>
      <c r="N148">
        <f>IF(AND(A148&lt;&gt;"",A148='Firm Search'!$C$7),COUNTIF($A$5:A148,'Firm Search'!$C$7),"")</f>
        <v/>
      </c>
    </row>
    <row r="149">
      <c r="A149" s="5" t="n"/>
      <c r="B149" s="5" t="n"/>
      <c r="C149" s="52" t="n"/>
      <c r="D149" s="52" t="n"/>
      <c r="E149" s="52" t="n"/>
      <c r="F149" s="52" t="n"/>
      <c r="G149" s="52" t="n"/>
      <c r="H149" s="52" t="n"/>
      <c r="I149" s="52" t="n"/>
      <c r="J149" s="52" t="n"/>
      <c r="K149" s="54" t="n"/>
      <c r="L149" s="5" t="n"/>
      <c r="M149" s="53">
        <f>IF(A149="","",IFERROR(INDEX(Firms!$B$5:$B$504,MATCH(A149,Firms!$A$5:$A$504,0)),"Not on Firms tab"))</f>
        <v/>
      </c>
      <c r="N149">
        <f>IF(AND(A149&lt;&gt;"",A149='Firm Search'!$C$7),COUNTIF($A$5:A149,'Firm Search'!$C$7),"")</f>
        <v/>
      </c>
    </row>
    <row r="150">
      <c r="A150" s="5" t="n"/>
      <c r="B150" s="5" t="n"/>
      <c r="C150" s="52" t="n"/>
      <c r="D150" s="52" t="n"/>
      <c r="E150" s="52" t="n"/>
      <c r="F150" s="52" t="n"/>
      <c r="G150" s="52" t="n"/>
      <c r="H150" s="52" t="n"/>
      <c r="I150" s="52" t="n"/>
      <c r="J150" s="52" t="n"/>
      <c r="K150" s="54" t="n"/>
      <c r="L150" s="5" t="n"/>
      <c r="M150" s="53">
        <f>IF(A150="","",IFERROR(INDEX(Firms!$B$5:$B$504,MATCH(A150,Firms!$A$5:$A$504,0)),"Not on Firms tab"))</f>
        <v/>
      </c>
      <c r="N150">
        <f>IF(AND(A150&lt;&gt;"",A150='Firm Search'!$C$7),COUNTIF($A$5:A150,'Firm Search'!$C$7),"")</f>
        <v/>
      </c>
    </row>
    <row r="151">
      <c r="A151" s="5" t="n"/>
      <c r="B151" s="5" t="n"/>
      <c r="C151" s="52" t="n"/>
      <c r="D151" s="52" t="n"/>
      <c r="E151" s="52" t="n"/>
      <c r="F151" s="52" t="n"/>
      <c r="G151" s="52" t="n"/>
      <c r="H151" s="52" t="n"/>
      <c r="I151" s="52" t="n"/>
      <c r="J151" s="52" t="n"/>
      <c r="K151" s="54" t="n"/>
      <c r="L151" s="5" t="n"/>
      <c r="M151" s="53">
        <f>IF(A151="","",IFERROR(INDEX(Firms!$B$5:$B$504,MATCH(A151,Firms!$A$5:$A$504,0)),"Not on Firms tab"))</f>
        <v/>
      </c>
      <c r="N151">
        <f>IF(AND(A151&lt;&gt;"",A151='Firm Search'!$C$7),COUNTIF($A$5:A151,'Firm Search'!$C$7),"")</f>
        <v/>
      </c>
    </row>
    <row r="152">
      <c r="A152" s="5" t="n"/>
      <c r="B152" s="5" t="n"/>
      <c r="C152" s="52" t="n"/>
      <c r="D152" s="52" t="n"/>
      <c r="E152" s="52" t="n"/>
      <c r="F152" s="52" t="n"/>
      <c r="G152" s="52" t="n"/>
      <c r="H152" s="52" t="n"/>
      <c r="I152" s="52" t="n"/>
      <c r="J152" s="52" t="n"/>
      <c r="K152" s="54" t="n"/>
      <c r="L152" s="5" t="n"/>
      <c r="M152" s="53">
        <f>IF(A152="","",IFERROR(INDEX(Firms!$B$5:$B$504,MATCH(A152,Firms!$A$5:$A$504,0)),"Not on Firms tab"))</f>
        <v/>
      </c>
      <c r="N152">
        <f>IF(AND(A152&lt;&gt;"",A152='Firm Search'!$C$7),COUNTIF($A$5:A152,'Firm Search'!$C$7),"")</f>
        <v/>
      </c>
    </row>
    <row r="153">
      <c r="A153" s="5" t="n"/>
      <c r="B153" s="5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4" t="n"/>
      <c r="L153" s="5" t="n"/>
      <c r="M153" s="53">
        <f>IF(A153="","",IFERROR(INDEX(Firms!$B$5:$B$504,MATCH(A153,Firms!$A$5:$A$504,0)),"Not on Firms tab"))</f>
        <v/>
      </c>
      <c r="N153">
        <f>IF(AND(A153&lt;&gt;"",A153='Firm Search'!$C$7),COUNTIF($A$5:A153,'Firm Search'!$C$7),"")</f>
        <v/>
      </c>
    </row>
    <row r="154">
      <c r="A154" s="5" t="n"/>
      <c r="B154" s="5" t="n"/>
      <c r="C154" s="52" t="n"/>
      <c r="D154" s="52" t="n"/>
      <c r="E154" s="52" t="n"/>
      <c r="F154" s="52" t="n"/>
      <c r="G154" s="52" t="n"/>
      <c r="H154" s="52" t="n"/>
      <c r="I154" s="52" t="n"/>
      <c r="J154" s="52" t="n"/>
      <c r="K154" s="54" t="n"/>
      <c r="L154" s="5" t="n"/>
      <c r="M154" s="53">
        <f>IF(A154="","",IFERROR(INDEX(Firms!$B$5:$B$504,MATCH(A154,Firms!$A$5:$A$504,0)),"Not on Firms tab"))</f>
        <v/>
      </c>
      <c r="N154">
        <f>IF(AND(A154&lt;&gt;"",A154='Firm Search'!$C$7),COUNTIF($A$5:A154,'Firm Search'!$C$7),"")</f>
        <v/>
      </c>
    </row>
    <row r="155">
      <c r="A155" s="5" t="n"/>
      <c r="B155" s="5" t="n"/>
      <c r="C155" s="52" t="n"/>
      <c r="D155" s="52" t="n"/>
      <c r="E155" s="52" t="n"/>
      <c r="F155" s="52" t="n"/>
      <c r="G155" s="52" t="n"/>
      <c r="H155" s="52" t="n"/>
      <c r="I155" s="52" t="n"/>
      <c r="J155" s="52" t="n"/>
      <c r="K155" s="54" t="n"/>
      <c r="L155" s="5" t="n"/>
      <c r="M155" s="53">
        <f>IF(A155="","",IFERROR(INDEX(Firms!$B$5:$B$504,MATCH(A155,Firms!$A$5:$A$504,0)),"Not on Firms tab"))</f>
        <v/>
      </c>
      <c r="N155">
        <f>IF(AND(A155&lt;&gt;"",A155='Firm Search'!$C$7),COUNTIF($A$5:A155,'Firm Search'!$C$7),"")</f>
        <v/>
      </c>
    </row>
    <row r="156">
      <c r="A156" s="5" t="n"/>
      <c r="B156" s="5" t="n"/>
      <c r="C156" s="52" t="n"/>
      <c r="D156" s="52" t="n"/>
      <c r="E156" s="52" t="n"/>
      <c r="F156" s="52" t="n"/>
      <c r="G156" s="52" t="n"/>
      <c r="H156" s="52" t="n"/>
      <c r="I156" s="52" t="n"/>
      <c r="J156" s="52" t="n"/>
      <c r="K156" s="54" t="n"/>
      <c r="L156" s="5" t="n"/>
      <c r="M156" s="53">
        <f>IF(A156="","",IFERROR(INDEX(Firms!$B$5:$B$504,MATCH(A156,Firms!$A$5:$A$504,0)),"Not on Firms tab"))</f>
        <v/>
      </c>
      <c r="N156">
        <f>IF(AND(A156&lt;&gt;"",A156='Firm Search'!$C$7),COUNTIF($A$5:A156,'Firm Search'!$C$7),"")</f>
        <v/>
      </c>
    </row>
    <row r="157">
      <c r="A157" s="5" t="n"/>
      <c r="B157" s="5" t="n"/>
      <c r="C157" s="52" t="n"/>
      <c r="D157" s="52" t="n"/>
      <c r="E157" s="52" t="n"/>
      <c r="F157" s="52" t="n"/>
      <c r="G157" s="52" t="n"/>
      <c r="H157" s="52" t="n"/>
      <c r="I157" s="52" t="n"/>
      <c r="J157" s="52" t="n"/>
      <c r="K157" s="54" t="n"/>
      <c r="L157" s="5" t="n"/>
      <c r="M157" s="53">
        <f>IF(A157="","",IFERROR(INDEX(Firms!$B$5:$B$504,MATCH(A157,Firms!$A$5:$A$504,0)),"Not on Firms tab"))</f>
        <v/>
      </c>
      <c r="N157">
        <f>IF(AND(A157&lt;&gt;"",A157='Firm Search'!$C$7),COUNTIF($A$5:A157,'Firm Search'!$C$7),"")</f>
        <v/>
      </c>
    </row>
    <row r="158">
      <c r="A158" s="5" t="n"/>
      <c r="B158" s="5" t="n"/>
      <c r="C158" s="52" t="n"/>
      <c r="D158" s="52" t="n"/>
      <c r="E158" s="52" t="n"/>
      <c r="F158" s="52" t="n"/>
      <c r="G158" s="52" t="n"/>
      <c r="H158" s="52" t="n"/>
      <c r="I158" s="52" t="n"/>
      <c r="J158" s="52" t="n"/>
      <c r="K158" s="54" t="n"/>
      <c r="L158" s="5" t="n"/>
      <c r="M158" s="53">
        <f>IF(A158="","",IFERROR(INDEX(Firms!$B$5:$B$504,MATCH(A158,Firms!$A$5:$A$504,0)),"Not on Firms tab"))</f>
        <v/>
      </c>
      <c r="N158">
        <f>IF(AND(A158&lt;&gt;"",A158='Firm Search'!$C$7),COUNTIF($A$5:A158,'Firm Search'!$C$7),"")</f>
        <v/>
      </c>
    </row>
    <row r="159">
      <c r="A159" s="5" t="n"/>
      <c r="B159" s="5" t="n"/>
      <c r="C159" s="52" t="n"/>
      <c r="D159" s="52" t="n"/>
      <c r="E159" s="52" t="n"/>
      <c r="F159" s="52" t="n"/>
      <c r="G159" s="52" t="n"/>
      <c r="H159" s="52" t="n"/>
      <c r="I159" s="52" t="n"/>
      <c r="J159" s="52" t="n"/>
      <c r="K159" s="54" t="n"/>
      <c r="L159" s="5" t="n"/>
      <c r="M159" s="53">
        <f>IF(A159="","",IFERROR(INDEX(Firms!$B$5:$B$504,MATCH(A159,Firms!$A$5:$A$504,0)),"Not on Firms tab"))</f>
        <v/>
      </c>
      <c r="N159">
        <f>IF(AND(A159&lt;&gt;"",A159='Firm Search'!$C$7),COUNTIF($A$5:A159,'Firm Search'!$C$7),"")</f>
        <v/>
      </c>
    </row>
    <row r="160">
      <c r="A160" s="5" t="n"/>
      <c r="B160" s="5" t="n"/>
      <c r="C160" s="52" t="n"/>
      <c r="D160" s="52" t="n"/>
      <c r="E160" s="52" t="n"/>
      <c r="F160" s="52" t="n"/>
      <c r="G160" s="52" t="n"/>
      <c r="H160" s="52" t="n"/>
      <c r="I160" s="52" t="n"/>
      <c r="J160" s="52" t="n"/>
      <c r="K160" s="54" t="n"/>
      <c r="L160" s="5" t="n"/>
      <c r="M160" s="53">
        <f>IF(A160="","",IFERROR(INDEX(Firms!$B$5:$B$504,MATCH(A160,Firms!$A$5:$A$504,0)),"Not on Firms tab"))</f>
        <v/>
      </c>
      <c r="N160">
        <f>IF(AND(A160&lt;&gt;"",A160='Firm Search'!$C$7),COUNTIF($A$5:A160,'Firm Search'!$C$7),"")</f>
        <v/>
      </c>
    </row>
    <row r="161">
      <c r="A161" s="5" t="n"/>
      <c r="B161" s="5" t="n"/>
      <c r="C161" s="52" t="n"/>
      <c r="D161" s="52" t="n"/>
      <c r="E161" s="52" t="n"/>
      <c r="F161" s="52" t="n"/>
      <c r="G161" s="52" t="n"/>
      <c r="H161" s="52" t="n"/>
      <c r="I161" s="52" t="n"/>
      <c r="J161" s="52" t="n"/>
      <c r="K161" s="54" t="n"/>
      <c r="L161" s="5" t="n"/>
      <c r="M161" s="53">
        <f>IF(A161="","",IFERROR(INDEX(Firms!$B$5:$B$504,MATCH(A161,Firms!$A$5:$A$504,0)),"Not on Firms tab"))</f>
        <v/>
      </c>
      <c r="N161">
        <f>IF(AND(A161&lt;&gt;"",A161='Firm Search'!$C$7),COUNTIF($A$5:A161,'Firm Search'!$C$7),"")</f>
        <v/>
      </c>
    </row>
    <row r="162">
      <c r="A162" s="5" t="n"/>
      <c r="B162" s="5" t="n"/>
      <c r="C162" s="52" t="n"/>
      <c r="D162" s="52" t="n"/>
      <c r="E162" s="52" t="n"/>
      <c r="F162" s="52" t="n"/>
      <c r="G162" s="52" t="n"/>
      <c r="H162" s="52" t="n"/>
      <c r="I162" s="52" t="n"/>
      <c r="J162" s="52" t="n"/>
      <c r="K162" s="54" t="n"/>
      <c r="L162" s="5" t="n"/>
      <c r="M162" s="53">
        <f>IF(A162="","",IFERROR(INDEX(Firms!$B$5:$B$504,MATCH(A162,Firms!$A$5:$A$504,0)),"Not on Firms tab"))</f>
        <v/>
      </c>
      <c r="N162">
        <f>IF(AND(A162&lt;&gt;"",A162='Firm Search'!$C$7),COUNTIF($A$5:A162,'Firm Search'!$C$7),"")</f>
        <v/>
      </c>
    </row>
    <row r="163">
      <c r="A163" s="5" t="n"/>
      <c r="B163" s="5" t="n"/>
      <c r="C163" s="52" t="n"/>
      <c r="D163" s="52" t="n"/>
      <c r="E163" s="52" t="n"/>
      <c r="F163" s="52" t="n"/>
      <c r="G163" s="52" t="n"/>
      <c r="H163" s="52" t="n"/>
      <c r="I163" s="52" t="n"/>
      <c r="J163" s="52" t="n"/>
      <c r="K163" s="54" t="n"/>
      <c r="L163" s="5" t="n"/>
      <c r="M163" s="53">
        <f>IF(A163="","",IFERROR(INDEX(Firms!$B$5:$B$504,MATCH(A163,Firms!$A$5:$A$504,0)),"Not on Firms tab"))</f>
        <v/>
      </c>
      <c r="N163">
        <f>IF(AND(A163&lt;&gt;"",A163='Firm Search'!$C$7),COUNTIF($A$5:A163,'Firm Search'!$C$7),"")</f>
        <v/>
      </c>
    </row>
    <row r="164">
      <c r="A164" s="5" t="n"/>
      <c r="B164" s="5" t="n"/>
      <c r="C164" s="52" t="n"/>
      <c r="D164" s="52" t="n"/>
      <c r="E164" s="52" t="n"/>
      <c r="F164" s="52" t="n"/>
      <c r="G164" s="52" t="n"/>
      <c r="H164" s="52" t="n"/>
      <c r="I164" s="52" t="n"/>
      <c r="J164" s="52" t="n"/>
      <c r="K164" s="54" t="n"/>
      <c r="L164" s="5" t="n"/>
      <c r="M164" s="53">
        <f>IF(A164="","",IFERROR(INDEX(Firms!$B$5:$B$504,MATCH(A164,Firms!$A$5:$A$504,0)),"Not on Firms tab"))</f>
        <v/>
      </c>
      <c r="N164">
        <f>IF(AND(A164&lt;&gt;"",A164='Firm Search'!$C$7),COUNTIF($A$5:A164,'Firm Search'!$C$7),"")</f>
        <v/>
      </c>
    </row>
    <row r="165">
      <c r="A165" s="5" t="n"/>
      <c r="B165" s="5" t="n"/>
      <c r="C165" s="52" t="n"/>
      <c r="D165" s="52" t="n"/>
      <c r="E165" s="52" t="n"/>
      <c r="F165" s="52" t="n"/>
      <c r="G165" s="52" t="n"/>
      <c r="H165" s="52" t="n"/>
      <c r="I165" s="52" t="n"/>
      <c r="J165" s="52" t="n"/>
      <c r="K165" s="54" t="n"/>
      <c r="L165" s="5" t="n"/>
      <c r="M165" s="53">
        <f>IF(A165="","",IFERROR(INDEX(Firms!$B$5:$B$504,MATCH(A165,Firms!$A$5:$A$504,0)),"Not on Firms tab"))</f>
        <v/>
      </c>
      <c r="N165">
        <f>IF(AND(A165&lt;&gt;"",A165='Firm Search'!$C$7),COUNTIF($A$5:A165,'Firm Search'!$C$7),"")</f>
        <v/>
      </c>
    </row>
    <row r="166">
      <c r="A166" s="5" t="n"/>
      <c r="B166" s="5" t="n"/>
      <c r="C166" s="52" t="n"/>
      <c r="D166" s="52" t="n"/>
      <c r="E166" s="52" t="n"/>
      <c r="F166" s="52" t="n"/>
      <c r="G166" s="52" t="n"/>
      <c r="H166" s="52" t="n"/>
      <c r="I166" s="52" t="n"/>
      <c r="J166" s="52" t="n"/>
      <c r="K166" s="54" t="n"/>
      <c r="L166" s="5" t="n"/>
      <c r="M166" s="53">
        <f>IF(A166="","",IFERROR(INDEX(Firms!$B$5:$B$504,MATCH(A166,Firms!$A$5:$A$504,0)),"Not on Firms tab"))</f>
        <v/>
      </c>
      <c r="N166">
        <f>IF(AND(A166&lt;&gt;"",A166='Firm Search'!$C$7),COUNTIF($A$5:A166,'Firm Search'!$C$7),"")</f>
        <v/>
      </c>
    </row>
    <row r="167">
      <c r="A167" s="5" t="n"/>
      <c r="B167" s="5" t="n"/>
      <c r="C167" s="52" t="n"/>
      <c r="D167" s="52" t="n"/>
      <c r="E167" s="52" t="n"/>
      <c r="F167" s="52" t="n"/>
      <c r="G167" s="52" t="n"/>
      <c r="H167" s="52" t="n"/>
      <c r="I167" s="52" t="n"/>
      <c r="J167" s="52" t="n"/>
      <c r="K167" s="54" t="n"/>
      <c r="L167" s="5" t="n"/>
      <c r="M167" s="53">
        <f>IF(A167="","",IFERROR(INDEX(Firms!$B$5:$B$504,MATCH(A167,Firms!$A$5:$A$504,0)),"Not on Firms tab"))</f>
        <v/>
      </c>
      <c r="N167">
        <f>IF(AND(A167&lt;&gt;"",A167='Firm Search'!$C$7),COUNTIF($A$5:A167,'Firm Search'!$C$7),"")</f>
        <v/>
      </c>
    </row>
    <row r="168">
      <c r="A168" s="5" t="n"/>
      <c r="B168" s="5" t="n"/>
      <c r="C168" s="52" t="n"/>
      <c r="D168" s="52" t="n"/>
      <c r="E168" s="52" t="n"/>
      <c r="F168" s="52" t="n"/>
      <c r="G168" s="52" t="n"/>
      <c r="H168" s="52" t="n"/>
      <c r="I168" s="52" t="n"/>
      <c r="J168" s="52" t="n"/>
      <c r="K168" s="54" t="n"/>
      <c r="L168" s="5" t="n"/>
      <c r="M168" s="53">
        <f>IF(A168="","",IFERROR(INDEX(Firms!$B$5:$B$504,MATCH(A168,Firms!$A$5:$A$504,0)),"Not on Firms tab"))</f>
        <v/>
      </c>
      <c r="N168">
        <f>IF(AND(A168&lt;&gt;"",A168='Firm Search'!$C$7),COUNTIF($A$5:A168,'Firm Search'!$C$7),"")</f>
        <v/>
      </c>
    </row>
    <row r="169">
      <c r="A169" s="5" t="n"/>
      <c r="B169" s="5" t="n"/>
      <c r="C169" s="52" t="n"/>
      <c r="D169" s="52" t="n"/>
      <c r="E169" s="52" t="n"/>
      <c r="F169" s="52" t="n"/>
      <c r="G169" s="52" t="n"/>
      <c r="H169" s="52" t="n"/>
      <c r="I169" s="52" t="n"/>
      <c r="J169" s="52" t="n"/>
      <c r="K169" s="54" t="n"/>
      <c r="L169" s="5" t="n"/>
      <c r="M169" s="53">
        <f>IF(A169="","",IFERROR(INDEX(Firms!$B$5:$B$504,MATCH(A169,Firms!$A$5:$A$504,0)),"Not on Firms tab"))</f>
        <v/>
      </c>
      <c r="N169">
        <f>IF(AND(A169&lt;&gt;"",A169='Firm Search'!$C$7),COUNTIF($A$5:A169,'Firm Search'!$C$7),"")</f>
        <v/>
      </c>
    </row>
    <row r="170">
      <c r="A170" s="5" t="n"/>
      <c r="B170" s="5" t="n"/>
      <c r="C170" s="52" t="n"/>
      <c r="D170" s="52" t="n"/>
      <c r="E170" s="52" t="n"/>
      <c r="F170" s="52" t="n"/>
      <c r="G170" s="52" t="n"/>
      <c r="H170" s="52" t="n"/>
      <c r="I170" s="52" t="n"/>
      <c r="J170" s="52" t="n"/>
      <c r="K170" s="54" t="n"/>
      <c r="L170" s="5" t="n"/>
      <c r="M170" s="53">
        <f>IF(A170="","",IFERROR(INDEX(Firms!$B$5:$B$504,MATCH(A170,Firms!$A$5:$A$504,0)),"Not on Firms tab"))</f>
        <v/>
      </c>
      <c r="N170">
        <f>IF(AND(A170&lt;&gt;"",A170='Firm Search'!$C$7),COUNTIF($A$5:A170,'Firm Search'!$C$7),"")</f>
        <v/>
      </c>
    </row>
    <row r="171">
      <c r="A171" s="5" t="n"/>
      <c r="B171" s="5" t="n"/>
      <c r="C171" s="52" t="n"/>
      <c r="D171" s="52" t="n"/>
      <c r="E171" s="52" t="n"/>
      <c r="F171" s="52" t="n"/>
      <c r="G171" s="52" t="n"/>
      <c r="H171" s="52" t="n"/>
      <c r="I171" s="52" t="n"/>
      <c r="J171" s="52" t="n"/>
      <c r="K171" s="54" t="n"/>
      <c r="L171" s="5" t="n"/>
      <c r="M171" s="53">
        <f>IF(A171="","",IFERROR(INDEX(Firms!$B$5:$B$504,MATCH(A171,Firms!$A$5:$A$504,0)),"Not on Firms tab"))</f>
        <v/>
      </c>
      <c r="N171">
        <f>IF(AND(A171&lt;&gt;"",A171='Firm Search'!$C$7),COUNTIF($A$5:A171,'Firm Search'!$C$7),"")</f>
        <v/>
      </c>
    </row>
    <row r="172">
      <c r="A172" s="5" t="n"/>
      <c r="B172" s="5" t="n"/>
      <c r="C172" s="52" t="n"/>
      <c r="D172" s="52" t="n"/>
      <c r="E172" s="52" t="n"/>
      <c r="F172" s="52" t="n"/>
      <c r="G172" s="52" t="n"/>
      <c r="H172" s="52" t="n"/>
      <c r="I172" s="52" t="n"/>
      <c r="J172" s="52" t="n"/>
      <c r="K172" s="54" t="n"/>
      <c r="L172" s="5" t="n"/>
      <c r="M172" s="53">
        <f>IF(A172="","",IFERROR(INDEX(Firms!$B$5:$B$504,MATCH(A172,Firms!$A$5:$A$504,0)),"Not on Firms tab"))</f>
        <v/>
      </c>
      <c r="N172">
        <f>IF(AND(A172&lt;&gt;"",A172='Firm Search'!$C$7),COUNTIF($A$5:A172,'Firm Search'!$C$7),"")</f>
        <v/>
      </c>
    </row>
    <row r="173">
      <c r="A173" s="5" t="n"/>
      <c r="B173" s="5" t="n"/>
      <c r="C173" s="52" t="n"/>
      <c r="D173" s="52" t="n"/>
      <c r="E173" s="52" t="n"/>
      <c r="F173" s="52" t="n"/>
      <c r="G173" s="52" t="n"/>
      <c r="H173" s="52" t="n"/>
      <c r="I173" s="52" t="n"/>
      <c r="J173" s="52" t="n"/>
      <c r="K173" s="54" t="n"/>
      <c r="L173" s="5" t="n"/>
      <c r="M173" s="53">
        <f>IF(A173="","",IFERROR(INDEX(Firms!$B$5:$B$504,MATCH(A173,Firms!$A$5:$A$504,0)),"Not on Firms tab"))</f>
        <v/>
      </c>
      <c r="N173">
        <f>IF(AND(A173&lt;&gt;"",A173='Firm Search'!$C$7),COUNTIF($A$5:A173,'Firm Search'!$C$7),"")</f>
        <v/>
      </c>
    </row>
    <row r="174">
      <c r="A174" s="5" t="n"/>
      <c r="B174" s="5" t="n"/>
      <c r="C174" s="52" t="n"/>
      <c r="D174" s="52" t="n"/>
      <c r="E174" s="52" t="n"/>
      <c r="F174" s="52" t="n"/>
      <c r="G174" s="52" t="n"/>
      <c r="H174" s="52" t="n"/>
      <c r="I174" s="52" t="n"/>
      <c r="J174" s="52" t="n"/>
      <c r="K174" s="54" t="n"/>
      <c r="L174" s="5" t="n"/>
      <c r="M174" s="53">
        <f>IF(A174="","",IFERROR(INDEX(Firms!$B$5:$B$504,MATCH(A174,Firms!$A$5:$A$504,0)),"Not on Firms tab"))</f>
        <v/>
      </c>
      <c r="N174">
        <f>IF(AND(A174&lt;&gt;"",A174='Firm Search'!$C$7),COUNTIF($A$5:A174,'Firm Search'!$C$7),"")</f>
        <v/>
      </c>
    </row>
    <row r="175">
      <c r="A175" s="5" t="n"/>
      <c r="B175" s="5" t="n"/>
      <c r="C175" s="52" t="n"/>
      <c r="D175" s="52" t="n"/>
      <c r="E175" s="52" t="n"/>
      <c r="F175" s="52" t="n"/>
      <c r="G175" s="52" t="n"/>
      <c r="H175" s="52" t="n"/>
      <c r="I175" s="52" t="n"/>
      <c r="J175" s="52" t="n"/>
      <c r="K175" s="54" t="n"/>
      <c r="L175" s="5" t="n"/>
      <c r="M175" s="53">
        <f>IF(A175="","",IFERROR(INDEX(Firms!$B$5:$B$504,MATCH(A175,Firms!$A$5:$A$504,0)),"Not on Firms tab"))</f>
        <v/>
      </c>
      <c r="N175">
        <f>IF(AND(A175&lt;&gt;"",A175='Firm Search'!$C$7),COUNTIF($A$5:A175,'Firm Search'!$C$7),"")</f>
        <v/>
      </c>
    </row>
    <row r="176">
      <c r="A176" s="5" t="n"/>
      <c r="B176" s="5" t="n"/>
      <c r="C176" s="52" t="n"/>
      <c r="D176" s="52" t="n"/>
      <c r="E176" s="52" t="n"/>
      <c r="F176" s="52" t="n"/>
      <c r="G176" s="52" t="n"/>
      <c r="H176" s="52" t="n"/>
      <c r="I176" s="52" t="n"/>
      <c r="J176" s="52" t="n"/>
      <c r="K176" s="54" t="n"/>
      <c r="L176" s="5" t="n"/>
      <c r="M176" s="53">
        <f>IF(A176="","",IFERROR(INDEX(Firms!$B$5:$B$504,MATCH(A176,Firms!$A$5:$A$504,0)),"Not on Firms tab"))</f>
        <v/>
      </c>
      <c r="N176">
        <f>IF(AND(A176&lt;&gt;"",A176='Firm Search'!$C$7),COUNTIF($A$5:A176,'Firm Search'!$C$7),"")</f>
        <v/>
      </c>
    </row>
    <row r="177">
      <c r="A177" s="5" t="n"/>
      <c r="B177" s="5" t="n"/>
      <c r="C177" s="52" t="n"/>
      <c r="D177" s="52" t="n"/>
      <c r="E177" s="52" t="n"/>
      <c r="F177" s="52" t="n"/>
      <c r="G177" s="52" t="n"/>
      <c r="H177" s="52" t="n"/>
      <c r="I177" s="52" t="n"/>
      <c r="J177" s="52" t="n"/>
      <c r="K177" s="54" t="n"/>
      <c r="L177" s="5" t="n"/>
      <c r="M177" s="53">
        <f>IF(A177="","",IFERROR(INDEX(Firms!$B$5:$B$504,MATCH(A177,Firms!$A$5:$A$504,0)),"Not on Firms tab"))</f>
        <v/>
      </c>
      <c r="N177">
        <f>IF(AND(A177&lt;&gt;"",A177='Firm Search'!$C$7),COUNTIF($A$5:A177,'Firm Search'!$C$7),"")</f>
        <v/>
      </c>
    </row>
    <row r="178">
      <c r="A178" s="5" t="n"/>
      <c r="B178" s="5" t="n"/>
      <c r="C178" s="52" t="n"/>
      <c r="D178" s="52" t="n"/>
      <c r="E178" s="52" t="n"/>
      <c r="F178" s="52" t="n"/>
      <c r="G178" s="52" t="n"/>
      <c r="H178" s="52" t="n"/>
      <c r="I178" s="52" t="n"/>
      <c r="J178" s="52" t="n"/>
      <c r="K178" s="54" t="n"/>
      <c r="L178" s="5" t="n"/>
      <c r="M178" s="53">
        <f>IF(A178="","",IFERROR(INDEX(Firms!$B$5:$B$504,MATCH(A178,Firms!$A$5:$A$504,0)),"Not on Firms tab"))</f>
        <v/>
      </c>
      <c r="N178">
        <f>IF(AND(A178&lt;&gt;"",A178='Firm Search'!$C$7),COUNTIF($A$5:A178,'Firm Search'!$C$7),"")</f>
        <v/>
      </c>
    </row>
    <row r="179">
      <c r="A179" s="5" t="n"/>
      <c r="B179" s="5" t="n"/>
      <c r="C179" s="52" t="n"/>
      <c r="D179" s="52" t="n"/>
      <c r="E179" s="52" t="n"/>
      <c r="F179" s="52" t="n"/>
      <c r="G179" s="52" t="n"/>
      <c r="H179" s="52" t="n"/>
      <c r="I179" s="52" t="n"/>
      <c r="J179" s="52" t="n"/>
      <c r="K179" s="54" t="n"/>
      <c r="L179" s="5" t="n"/>
      <c r="M179" s="53">
        <f>IF(A179="","",IFERROR(INDEX(Firms!$B$5:$B$504,MATCH(A179,Firms!$A$5:$A$504,0)),"Not on Firms tab"))</f>
        <v/>
      </c>
      <c r="N179">
        <f>IF(AND(A179&lt;&gt;"",A179='Firm Search'!$C$7),COUNTIF($A$5:A179,'Firm Search'!$C$7),"")</f>
        <v/>
      </c>
    </row>
    <row r="180">
      <c r="A180" s="5" t="n"/>
      <c r="B180" s="5" t="n"/>
      <c r="C180" s="52" t="n"/>
      <c r="D180" s="52" t="n"/>
      <c r="E180" s="52" t="n"/>
      <c r="F180" s="52" t="n"/>
      <c r="G180" s="52" t="n"/>
      <c r="H180" s="52" t="n"/>
      <c r="I180" s="52" t="n"/>
      <c r="J180" s="52" t="n"/>
      <c r="K180" s="54" t="n"/>
      <c r="L180" s="5" t="n"/>
      <c r="M180" s="53">
        <f>IF(A180="","",IFERROR(INDEX(Firms!$B$5:$B$504,MATCH(A180,Firms!$A$5:$A$504,0)),"Not on Firms tab"))</f>
        <v/>
      </c>
      <c r="N180">
        <f>IF(AND(A180&lt;&gt;"",A180='Firm Search'!$C$7),COUNTIF($A$5:A180,'Firm Search'!$C$7),"")</f>
        <v/>
      </c>
    </row>
    <row r="181">
      <c r="A181" s="5" t="n"/>
      <c r="B181" s="5" t="n"/>
      <c r="C181" s="52" t="n"/>
      <c r="D181" s="52" t="n"/>
      <c r="E181" s="52" t="n"/>
      <c r="F181" s="52" t="n"/>
      <c r="G181" s="52" t="n"/>
      <c r="H181" s="52" t="n"/>
      <c r="I181" s="52" t="n"/>
      <c r="J181" s="52" t="n"/>
      <c r="K181" s="54" t="n"/>
      <c r="L181" s="5" t="n"/>
      <c r="M181" s="53">
        <f>IF(A181="","",IFERROR(INDEX(Firms!$B$5:$B$504,MATCH(A181,Firms!$A$5:$A$504,0)),"Not on Firms tab"))</f>
        <v/>
      </c>
      <c r="N181">
        <f>IF(AND(A181&lt;&gt;"",A181='Firm Search'!$C$7),COUNTIF($A$5:A181,'Firm Search'!$C$7),"")</f>
        <v/>
      </c>
    </row>
    <row r="182">
      <c r="A182" s="5" t="n"/>
      <c r="B182" s="5" t="n"/>
      <c r="C182" s="52" t="n"/>
      <c r="D182" s="52" t="n"/>
      <c r="E182" s="52" t="n"/>
      <c r="F182" s="52" t="n"/>
      <c r="G182" s="52" t="n"/>
      <c r="H182" s="52" t="n"/>
      <c r="I182" s="52" t="n"/>
      <c r="J182" s="52" t="n"/>
      <c r="K182" s="54" t="n"/>
      <c r="L182" s="5" t="n"/>
      <c r="M182" s="53">
        <f>IF(A182="","",IFERROR(INDEX(Firms!$B$5:$B$504,MATCH(A182,Firms!$A$5:$A$504,0)),"Not on Firms tab"))</f>
        <v/>
      </c>
      <c r="N182">
        <f>IF(AND(A182&lt;&gt;"",A182='Firm Search'!$C$7),COUNTIF($A$5:A182,'Firm Search'!$C$7),"")</f>
        <v/>
      </c>
    </row>
    <row r="183">
      <c r="A183" s="5" t="n"/>
      <c r="B183" s="5" t="n"/>
      <c r="C183" s="52" t="n"/>
      <c r="D183" s="52" t="n"/>
      <c r="E183" s="52" t="n"/>
      <c r="F183" s="52" t="n"/>
      <c r="G183" s="52" t="n"/>
      <c r="H183" s="52" t="n"/>
      <c r="I183" s="52" t="n"/>
      <c r="J183" s="52" t="n"/>
      <c r="K183" s="54" t="n"/>
      <c r="L183" s="5" t="n"/>
      <c r="M183" s="53">
        <f>IF(A183="","",IFERROR(INDEX(Firms!$B$5:$B$504,MATCH(A183,Firms!$A$5:$A$504,0)),"Not on Firms tab"))</f>
        <v/>
      </c>
      <c r="N183">
        <f>IF(AND(A183&lt;&gt;"",A183='Firm Search'!$C$7),COUNTIF($A$5:A183,'Firm Search'!$C$7),"")</f>
        <v/>
      </c>
    </row>
    <row r="184">
      <c r="A184" s="5" t="n"/>
      <c r="B184" s="5" t="n"/>
      <c r="C184" s="52" t="n"/>
      <c r="D184" s="52" t="n"/>
      <c r="E184" s="52" t="n"/>
      <c r="F184" s="52" t="n"/>
      <c r="G184" s="52" t="n"/>
      <c r="H184" s="52" t="n"/>
      <c r="I184" s="52" t="n"/>
      <c r="J184" s="52" t="n"/>
      <c r="K184" s="54" t="n"/>
      <c r="L184" s="5" t="n"/>
      <c r="M184" s="53">
        <f>IF(A184="","",IFERROR(INDEX(Firms!$B$5:$B$504,MATCH(A184,Firms!$A$5:$A$504,0)),"Not on Firms tab"))</f>
        <v/>
      </c>
      <c r="N184">
        <f>IF(AND(A184&lt;&gt;"",A184='Firm Search'!$C$7),COUNTIF($A$5:A184,'Firm Search'!$C$7),"")</f>
        <v/>
      </c>
    </row>
    <row r="185">
      <c r="A185" s="5" t="n"/>
      <c r="B185" s="5" t="n"/>
      <c r="C185" s="52" t="n"/>
      <c r="D185" s="52" t="n"/>
      <c r="E185" s="52" t="n"/>
      <c r="F185" s="52" t="n"/>
      <c r="G185" s="52" t="n"/>
      <c r="H185" s="52" t="n"/>
      <c r="I185" s="52" t="n"/>
      <c r="J185" s="52" t="n"/>
      <c r="K185" s="54" t="n"/>
      <c r="L185" s="5" t="n"/>
      <c r="M185" s="53">
        <f>IF(A185="","",IFERROR(INDEX(Firms!$B$5:$B$504,MATCH(A185,Firms!$A$5:$A$504,0)),"Not on Firms tab"))</f>
        <v/>
      </c>
      <c r="N185">
        <f>IF(AND(A185&lt;&gt;"",A185='Firm Search'!$C$7),COUNTIF($A$5:A185,'Firm Search'!$C$7),"")</f>
        <v/>
      </c>
    </row>
    <row r="186">
      <c r="A186" s="5" t="n"/>
      <c r="B186" s="5" t="n"/>
      <c r="C186" s="52" t="n"/>
      <c r="D186" s="52" t="n"/>
      <c r="E186" s="52" t="n"/>
      <c r="F186" s="52" t="n"/>
      <c r="G186" s="52" t="n"/>
      <c r="H186" s="52" t="n"/>
      <c r="I186" s="52" t="n"/>
      <c r="J186" s="52" t="n"/>
      <c r="K186" s="54" t="n"/>
      <c r="L186" s="5" t="n"/>
      <c r="M186" s="53">
        <f>IF(A186="","",IFERROR(INDEX(Firms!$B$5:$B$504,MATCH(A186,Firms!$A$5:$A$504,0)),"Not on Firms tab"))</f>
        <v/>
      </c>
      <c r="N186">
        <f>IF(AND(A186&lt;&gt;"",A186='Firm Search'!$C$7),COUNTIF($A$5:A186,'Firm Search'!$C$7),"")</f>
        <v/>
      </c>
    </row>
    <row r="187">
      <c r="A187" s="5" t="n"/>
      <c r="B187" s="5" t="n"/>
      <c r="C187" s="52" t="n"/>
      <c r="D187" s="52" t="n"/>
      <c r="E187" s="52" t="n"/>
      <c r="F187" s="52" t="n"/>
      <c r="G187" s="52" t="n"/>
      <c r="H187" s="52" t="n"/>
      <c r="I187" s="52" t="n"/>
      <c r="J187" s="52" t="n"/>
      <c r="K187" s="54" t="n"/>
      <c r="L187" s="5" t="n"/>
      <c r="M187" s="53">
        <f>IF(A187="","",IFERROR(INDEX(Firms!$B$5:$B$504,MATCH(A187,Firms!$A$5:$A$504,0)),"Not on Firms tab"))</f>
        <v/>
      </c>
      <c r="N187">
        <f>IF(AND(A187&lt;&gt;"",A187='Firm Search'!$C$7),COUNTIF($A$5:A187,'Firm Search'!$C$7),"")</f>
        <v/>
      </c>
    </row>
    <row r="188">
      <c r="A188" s="5" t="n"/>
      <c r="B188" s="5" t="n"/>
      <c r="C188" s="52" t="n"/>
      <c r="D188" s="52" t="n"/>
      <c r="E188" s="52" t="n"/>
      <c r="F188" s="52" t="n"/>
      <c r="G188" s="52" t="n"/>
      <c r="H188" s="52" t="n"/>
      <c r="I188" s="52" t="n"/>
      <c r="J188" s="52" t="n"/>
      <c r="K188" s="54" t="n"/>
      <c r="L188" s="5" t="n"/>
      <c r="M188" s="53">
        <f>IF(A188="","",IFERROR(INDEX(Firms!$B$5:$B$504,MATCH(A188,Firms!$A$5:$A$504,0)),"Not on Firms tab"))</f>
        <v/>
      </c>
      <c r="N188">
        <f>IF(AND(A188&lt;&gt;"",A188='Firm Search'!$C$7),COUNTIF($A$5:A188,'Firm Search'!$C$7),"")</f>
        <v/>
      </c>
    </row>
    <row r="189">
      <c r="A189" s="5" t="n"/>
      <c r="B189" s="5" t="n"/>
      <c r="C189" s="52" t="n"/>
      <c r="D189" s="52" t="n"/>
      <c r="E189" s="52" t="n"/>
      <c r="F189" s="52" t="n"/>
      <c r="G189" s="52" t="n"/>
      <c r="H189" s="52" t="n"/>
      <c r="I189" s="52" t="n"/>
      <c r="J189" s="52" t="n"/>
      <c r="K189" s="54" t="n"/>
      <c r="L189" s="5" t="n"/>
      <c r="M189" s="53">
        <f>IF(A189="","",IFERROR(INDEX(Firms!$B$5:$B$504,MATCH(A189,Firms!$A$5:$A$504,0)),"Not on Firms tab"))</f>
        <v/>
      </c>
      <c r="N189">
        <f>IF(AND(A189&lt;&gt;"",A189='Firm Search'!$C$7),COUNTIF($A$5:A189,'Firm Search'!$C$7),"")</f>
        <v/>
      </c>
    </row>
    <row r="190">
      <c r="A190" s="5" t="n"/>
      <c r="B190" s="5" t="n"/>
      <c r="C190" s="52" t="n"/>
      <c r="D190" s="52" t="n"/>
      <c r="E190" s="52" t="n"/>
      <c r="F190" s="52" t="n"/>
      <c r="G190" s="52" t="n"/>
      <c r="H190" s="52" t="n"/>
      <c r="I190" s="52" t="n"/>
      <c r="J190" s="52" t="n"/>
      <c r="K190" s="54" t="n"/>
      <c r="L190" s="5" t="n"/>
      <c r="M190" s="53">
        <f>IF(A190="","",IFERROR(INDEX(Firms!$B$5:$B$504,MATCH(A190,Firms!$A$5:$A$504,0)),"Not on Firms tab"))</f>
        <v/>
      </c>
      <c r="N190">
        <f>IF(AND(A190&lt;&gt;"",A190='Firm Search'!$C$7),COUNTIF($A$5:A190,'Firm Search'!$C$7),"")</f>
        <v/>
      </c>
    </row>
    <row r="191">
      <c r="A191" s="5" t="n"/>
      <c r="B191" s="5" t="n"/>
      <c r="C191" s="52" t="n"/>
      <c r="D191" s="52" t="n"/>
      <c r="E191" s="52" t="n"/>
      <c r="F191" s="52" t="n"/>
      <c r="G191" s="52" t="n"/>
      <c r="H191" s="52" t="n"/>
      <c r="I191" s="52" t="n"/>
      <c r="J191" s="52" t="n"/>
      <c r="K191" s="54" t="n"/>
      <c r="L191" s="5" t="n"/>
      <c r="M191" s="53">
        <f>IF(A191="","",IFERROR(INDEX(Firms!$B$5:$B$504,MATCH(A191,Firms!$A$5:$A$504,0)),"Not on Firms tab"))</f>
        <v/>
      </c>
      <c r="N191">
        <f>IF(AND(A191&lt;&gt;"",A191='Firm Search'!$C$7),COUNTIF($A$5:A191,'Firm Search'!$C$7),"")</f>
        <v/>
      </c>
    </row>
    <row r="192">
      <c r="A192" s="5" t="n"/>
      <c r="B192" s="5" t="n"/>
      <c r="C192" s="52" t="n"/>
      <c r="D192" s="52" t="n"/>
      <c r="E192" s="52" t="n"/>
      <c r="F192" s="52" t="n"/>
      <c r="G192" s="52" t="n"/>
      <c r="H192" s="52" t="n"/>
      <c r="I192" s="52" t="n"/>
      <c r="J192" s="52" t="n"/>
      <c r="K192" s="54" t="n"/>
      <c r="L192" s="5" t="n"/>
      <c r="M192" s="53">
        <f>IF(A192="","",IFERROR(INDEX(Firms!$B$5:$B$504,MATCH(A192,Firms!$A$5:$A$504,0)),"Not on Firms tab"))</f>
        <v/>
      </c>
      <c r="N192">
        <f>IF(AND(A192&lt;&gt;"",A192='Firm Search'!$C$7),COUNTIF($A$5:A192,'Firm Search'!$C$7),"")</f>
        <v/>
      </c>
    </row>
    <row r="193">
      <c r="A193" s="5" t="n"/>
      <c r="B193" s="5" t="n"/>
      <c r="C193" s="52" t="n"/>
      <c r="D193" s="52" t="n"/>
      <c r="E193" s="52" t="n"/>
      <c r="F193" s="52" t="n"/>
      <c r="G193" s="52" t="n"/>
      <c r="H193" s="52" t="n"/>
      <c r="I193" s="52" t="n"/>
      <c r="J193" s="52" t="n"/>
      <c r="K193" s="54" t="n"/>
      <c r="L193" s="5" t="n"/>
      <c r="M193" s="53">
        <f>IF(A193="","",IFERROR(INDEX(Firms!$B$5:$B$504,MATCH(A193,Firms!$A$5:$A$504,0)),"Not on Firms tab"))</f>
        <v/>
      </c>
      <c r="N193">
        <f>IF(AND(A193&lt;&gt;"",A193='Firm Search'!$C$7),COUNTIF($A$5:A193,'Firm Search'!$C$7),"")</f>
        <v/>
      </c>
    </row>
    <row r="194">
      <c r="A194" s="5" t="n"/>
      <c r="B194" s="5" t="n"/>
      <c r="C194" s="52" t="n"/>
      <c r="D194" s="52" t="n"/>
      <c r="E194" s="52" t="n"/>
      <c r="F194" s="52" t="n"/>
      <c r="G194" s="52" t="n"/>
      <c r="H194" s="52" t="n"/>
      <c r="I194" s="52" t="n"/>
      <c r="J194" s="52" t="n"/>
      <c r="K194" s="54" t="n"/>
      <c r="L194" s="5" t="n"/>
      <c r="M194" s="53">
        <f>IF(A194="","",IFERROR(INDEX(Firms!$B$5:$B$504,MATCH(A194,Firms!$A$5:$A$504,0)),"Not on Firms tab"))</f>
        <v/>
      </c>
      <c r="N194">
        <f>IF(AND(A194&lt;&gt;"",A194='Firm Search'!$C$7),COUNTIF($A$5:A194,'Firm Search'!$C$7),"")</f>
        <v/>
      </c>
    </row>
    <row r="195">
      <c r="A195" s="5" t="n"/>
      <c r="B195" s="5" t="n"/>
      <c r="C195" s="52" t="n"/>
      <c r="D195" s="52" t="n"/>
      <c r="E195" s="52" t="n"/>
      <c r="F195" s="52" t="n"/>
      <c r="G195" s="52" t="n"/>
      <c r="H195" s="52" t="n"/>
      <c r="I195" s="52" t="n"/>
      <c r="J195" s="52" t="n"/>
      <c r="K195" s="54" t="n"/>
      <c r="L195" s="5" t="n"/>
      <c r="M195" s="53">
        <f>IF(A195="","",IFERROR(INDEX(Firms!$B$5:$B$504,MATCH(A195,Firms!$A$5:$A$504,0)),"Not on Firms tab"))</f>
        <v/>
      </c>
      <c r="N195">
        <f>IF(AND(A195&lt;&gt;"",A195='Firm Search'!$C$7),COUNTIF($A$5:A195,'Firm Search'!$C$7),"")</f>
        <v/>
      </c>
    </row>
    <row r="196">
      <c r="A196" s="5" t="n"/>
      <c r="B196" s="5" t="n"/>
      <c r="C196" s="52" t="n"/>
      <c r="D196" s="52" t="n"/>
      <c r="E196" s="52" t="n"/>
      <c r="F196" s="52" t="n"/>
      <c r="G196" s="52" t="n"/>
      <c r="H196" s="52" t="n"/>
      <c r="I196" s="52" t="n"/>
      <c r="J196" s="52" t="n"/>
      <c r="K196" s="54" t="n"/>
      <c r="L196" s="5" t="n"/>
      <c r="M196" s="53">
        <f>IF(A196="","",IFERROR(INDEX(Firms!$B$5:$B$504,MATCH(A196,Firms!$A$5:$A$504,0)),"Not on Firms tab"))</f>
        <v/>
      </c>
      <c r="N196">
        <f>IF(AND(A196&lt;&gt;"",A196='Firm Search'!$C$7),COUNTIF($A$5:A196,'Firm Search'!$C$7),"")</f>
        <v/>
      </c>
    </row>
    <row r="197">
      <c r="A197" s="5" t="n"/>
      <c r="B197" s="5" t="n"/>
      <c r="C197" s="52" t="n"/>
      <c r="D197" s="52" t="n"/>
      <c r="E197" s="52" t="n"/>
      <c r="F197" s="52" t="n"/>
      <c r="G197" s="52" t="n"/>
      <c r="H197" s="52" t="n"/>
      <c r="I197" s="52" t="n"/>
      <c r="J197" s="52" t="n"/>
      <c r="K197" s="54" t="n"/>
      <c r="L197" s="5" t="n"/>
      <c r="M197" s="53">
        <f>IF(A197="","",IFERROR(INDEX(Firms!$B$5:$B$504,MATCH(A197,Firms!$A$5:$A$504,0)),"Not on Firms tab"))</f>
        <v/>
      </c>
      <c r="N197">
        <f>IF(AND(A197&lt;&gt;"",A197='Firm Search'!$C$7),COUNTIF($A$5:A197,'Firm Search'!$C$7),"")</f>
        <v/>
      </c>
    </row>
    <row r="198">
      <c r="A198" s="5" t="n"/>
      <c r="B198" s="5" t="n"/>
      <c r="C198" s="52" t="n"/>
      <c r="D198" s="52" t="n"/>
      <c r="E198" s="52" t="n"/>
      <c r="F198" s="52" t="n"/>
      <c r="G198" s="52" t="n"/>
      <c r="H198" s="52" t="n"/>
      <c r="I198" s="52" t="n"/>
      <c r="J198" s="52" t="n"/>
      <c r="K198" s="54" t="n"/>
      <c r="L198" s="5" t="n"/>
      <c r="M198" s="53">
        <f>IF(A198="","",IFERROR(INDEX(Firms!$B$5:$B$504,MATCH(A198,Firms!$A$5:$A$504,0)),"Not on Firms tab"))</f>
        <v/>
      </c>
      <c r="N198">
        <f>IF(AND(A198&lt;&gt;"",A198='Firm Search'!$C$7),COUNTIF($A$5:A198,'Firm Search'!$C$7),"")</f>
        <v/>
      </c>
    </row>
    <row r="199">
      <c r="A199" s="5" t="n"/>
      <c r="B199" s="5" t="n"/>
      <c r="C199" s="52" t="n"/>
      <c r="D199" s="52" t="n"/>
      <c r="E199" s="52" t="n"/>
      <c r="F199" s="52" t="n"/>
      <c r="G199" s="52" t="n"/>
      <c r="H199" s="52" t="n"/>
      <c r="I199" s="52" t="n"/>
      <c r="J199" s="52" t="n"/>
      <c r="K199" s="54" t="n"/>
      <c r="L199" s="5" t="n"/>
      <c r="M199" s="53">
        <f>IF(A199="","",IFERROR(INDEX(Firms!$B$5:$B$504,MATCH(A199,Firms!$A$5:$A$504,0)),"Not on Firms tab"))</f>
        <v/>
      </c>
      <c r="N199">
        <f>IF(AND(A199&lt;&gt;"",A199='Firm Search'!$C$7),COUNTIF($A$5:A199,'Firm Search'!$C$7),"")</f>
        <v/>
      </c>
    </row>
    <row r="200">
      <c r="A200" s="5" t="n"/>
      <c r="B200" s="5" t="n"/>
      <c r="C200" s="52" t="n"/>
      <c r="D200" s="52" t="n"/>
      <c r="E200" s="52" t="n"/>
      <c r="F200" s="52" t="n"/>
      <c r="G200" s="52" t="n"/>
      <c r="H200" s="52" t="n"/>
      <c r="I200" s="52" t="n"/>
      <c r="J200" s="52" t="n"/>
      <c r="K200" s="54" t="n"/>
      <c r="L200" s="5" t="n"/>
      <c r="M200" s="53">
        <f>IF(A200="","",IFERROR(INDEX(Firms!$B$5:$B$504,MATCH(A200,Firms!$A$5:$A$504,0)),"Not on Firms tab"))</f>
        <v/>
      </c>
      <c r="N200">
        <f>IF(AND(A200&lt;&gt;"",A200='Firm Search'!$C$7),COUNTIF($A$5:A200,'Firm Search'!$C$7),"")</f>
        <v/>
      </c>
    </row>
    <row r="201">
      <c r="A201" s="5" t="n"/>
      <c r="B201" s="5" t="n"/>
      <c r="C201" s="52" t="n"/>
      <c r="D201" s="52" t="n"/>
      <c r="E201" s="52" t="n"/>
      <c r="F201" s="52" t="n"/>
      <c r="G201" s="52" t="n"/>
      <c r="H201" s="52" t="n"/>
      <c r="I201" s="52" t="n"/>
      <c r="J201" s="52" t="n"/>
      <c r="K201" s="54" t="n"/>
      <c r="L201" s="5" t="n"/>
      <c r="M201" s="53">
        <f>IF(A201="","",IFERROR(INDEX(Firms!$B$5:$B$504,MATCH(A201,Firms!$A$5:$A$504,0)),"Not on Firms tab"))</f>
        <v/>
      </c>
      <c r="N201">
        <f>IF(AND(A201&lt;&gt;"",A201='Firm Search'!$C$7),COUNTIF($A$5:A201,'Firm Search'!$C$7),"")</f>
        <v/>
      </c>
    </row>
    <row r="202">
      <c r="A202" s="5" t="n"/>
      <c r="B202" s="5" t="n"/>
      <c r="C202" s="52" t="n"/>
      <c r="D202" s="52" t="n"/>
      <c r="E202" s="52" t="n"/>
      <c r="F202" s="52" t="n"/>
      <c r="G202" s="52" t="n"/>
      <c r="H202" s="52" t="n"/>
      <c r="I202" s="52" t="n"/>
      <c r="J202" s="52" t="n"/>
      <c r="K202" s="54" t="n"/>
      <c r="L202" s="5" t="n"/>
      <c r="M202" s="53">
        <f>IF(A202="","",IFERROR(INDEX(Firms!$B$5:$B$504,MATCH(A202,Firms!$A$5:$A$504,0)),"Not on Firms tab"))</f>
        <v/>
      </c>
      <c r="N202">
        <f>IF(AND(A202&lt;&gt;"",A202='Firm Search'!$C$7),COUNTIF($A$5:A202,'Firm Search'!$C$7),"")</f>
        <v/>
      </c>
    </row>
    <row r="203">
      <c r="A203" s="5" t="n"/>
      <c r="B203" s="5" t="n"/>
      <c r="C203" s="52" t="n"/>
      <c r="D203" s="52" t="n"/>
      <c r="E203" s="52" t="n"/>
      <c r="F203" s="52" t="n"/>
      <c r="G203" s="52" t="n"/>
      <c r="H203" s="52" t="n"/>
      <c r="I203" s="52" t="n"/>
      <c r="J203" s="52" t="n"/>
      <c r="K203" s="54" t="n"/>
      <c r="L203" s="5" t="n"/>
      <c r="M203" s="53">
        <f>IF(A203="","",IFERROR(INDEX(Firms!$B$5:$B$504,MATCH(A203,Firms!$A$5:$A$504,0)),"Not on Firms tab"))</f>
        <v/>
      </c>
      <c r="N203">
        <f>IF(AND(A203&lt;&gt;"",A203='Firm Search'!$C$7),COUNTIF($A$5:A203,'Firm Search'!$C$7),"")</f>
        <v/>
      </c>
    </row>
    <row r="204">
      <c r="A204" s="5" t="n"/>
      <c r="B204" s="5" t="n"/>
      <c r="C204" s="52" t="n"/>
      <c r="D204" s="52" t="n"/>
      <c r="E204" s="52" t="n"/>
      <c r="F204" s="52" t="n"/>
      <c r="G204" s="52" t="n"/>
      <c r="H204" s="52" t="n"/>
      <c r="I204" s="52" t="n"/>
      <c r="J204" s="52" t="n"/>
      <c r="K204" s="54" t="n"/>
      <c r="L204" s="5" t="n"/>
      <c r="M204" s="53">
        <f>IF(A204="","",IFERROR(INDEX(Firms!$B$5:$B$504,MATCH(A204,Firms!$A$5:$A$504,0)),"Not on Firms tab"))</f>
        <v/>
      </c>
      <c r="N204">
        <f>IF(AND(A204&lt;&gt;"",A204='Firm Search'!$C$7),COUNTIF($A$5:A204,'Firm Search'!$C$7),"")</f>
        <v/>
      </c>
    </row>
    <row r="205">
      <c r="A205" s="5" t="n"/>
      <c r="B205" s="5" t="n"/>
      <c r="C205" s="52" t="n"/>
      <c r="D205" s="52" t="n"/>
      <c r="E205" s="52" t="n"/>
      <c r="F205" s="52" t="n"/>
      <c r="G205" s="52" t="n"/>
      <c r="H205" s="52" t="n"/>
      <c r="I205" s="52" t="n"/>
      <c r="J205" s="52" t="n"/>
      <c r="K205" s="54" t="n"/>
      <c r="L205" s="5" t="n"/>
      <c r="M205" s="53">
        <f>IF(A205="","",IFERROR(INDEX(Firms!$B$5:$B$504,MATCH(A205,Firms!$A$5:$A$504,0)),"Not on Firms tab"))</f>
        <v/>
      </c>
      <c r="N205">
        <f>IF(AND(A205&lt;&gt;"",A205='Firm Search'!$C$7),COUNTIF($A$5:A205,'Firm Search'!$C$7),"")</f>
        <v/>
      </c>
    </row>
    <row r="206">
      <c r="A206" s="5" t="n"/>
      <c r="B206" s="5" t="n"/>
      <c r="C206" s="52" t="n"/>
      <c r="D206" s="52" t="n"/>
      <c r="E206" s="52" t="n"/>
      <c r="F206" s="52" t="n"/>
      <c r="G206" s="52" t="n"/>
      <c r="H206" s="52" t="n"/>
      <c r="I206" s="52" t="n"/>
      <c r="J206" s="52" t="n"/>
      <c r="K206" s="54" t="n"/>
      <c r="L206" s="5" t="n"/>
      <c r="M206" s="53">
        <f>IF(A206="","",IFERROR(INDEX(Firms!$B$5:$B$504,MATCH(A206,Firms!$A$5:$A$504,0)),"Not on Firms tab"))</f>
        <v/>
      </c>
      <c r="N206">
        <f>IF(AND(A206&lt;&gt;"",A206='Firm Search'!$C$7),COUNTIF($A$5:A206,'Firm Search'!$C$7),"")</f>
        <v/>
      </c>
    </row>
    <row r="207">
      <c r="A207" s="5" t="n"/>
      <c r="B207" s="5" t="n"/>
      <c r="C207" s="52" t="n"/>
      <c r="D207" s="52" t="n"/>
      <c r="E207" s="52" t="n"/>
      <c r="F207" s="52" t="n"/>
      <c r="G207" s="52" t="n"/>
      <c r="H207" s="52" t="n"/>
      <c r="I207" s="52" t="n"/>
      <c r="J207" s="52" t="n"/>
      <c r="K207" s="54" t="n"/>
      <c r="L207" s="5" t="n"/>
      <c r="M207" s="53">
        <f>IF(A207="","",IFERROR(INDEX(Firms!$B$5:$B$504,MATCH(A207,Firms!$A$5:$A$504,0)),"Not on Firms tab"))</f>
        <v/>
      </c>
      <c r="N207">
        <f>IF(AND(A207&lt;&gt;"",A207='Firm Search'!$C$7),COUNTIF($A$5:A207,'Firm Search'!$C$7),"")</f>
        <v/>
      </c>
    </row>
    <row r="208">
      <c r="A208" s="5" t="n"/>
      <c r="B208" s="5" t="n"/>
      <c r="C208" s="52" t="n"/>
      <c r="D208" s="52" t="n"/>
      <c r="E208" s="52" t="n"/>
      <c r="F208" s="52" t="n"/>
      <c r="G208" s="52" t="n"/>
      <c r="H208" s="52" t="n"/>
      <c r="I208" s="52" t="n"/>
      <c r="J208" s="52" t="n"/>
      <c r="K208" s="54" t="n"/>
      <c r="L208" s="5" t="n"/>
      <c r="M208" s="53">
        <f>IF(A208="","",IFERROR(INDEX(Firms!$B$5:$B$504,MATCH(A208,Firms!$A$5:$A$504,0)),"Not on Firms tab"))</f>
        <v/>
      </c>
      <c r="N208">
        <f>IF(AND(A208&lt;&gt;"",A208='Firm Search'!$C$7),COUNTIF($A$5:A208,'Firm Search'!$C$7),"")</f>
        <v/>
      </c>
    </row>
    <row r="209">
      <c r="A209" s="5" t="n"/>
      <c r="B209" s="5" t="n"/>
      <c r="C209" s="52" t="n"/>
      <c r="D209" s="52" t="n"/>
      <c r="E209" s="52" t="n"/>
      <c r="F209" s="52" t="n"/>
      <c r="G209" s="52" t="n"/>
      <c r="H209" s="52" t="n"/>
      <c r="I209" s="52" t="n"/>
      <c r="J209" s="52" t="n"/>
      <c r="K209" s="54" t="n"/>
      <c r="L209" s="5" t="n"/>
      <c r="M209" s="53">
        <f>IF(A209="","",IFERROR(INDEX(Firms!$B$5:$B$504,MATCH(A209,Firms!$A$5:$A$504,0)),"Not on Firms tab"))</f>
        <v/>
      </c>
      <c r="N209">
        <f>IF(AND(A209&lt;&gt;"",A209='Firm Search'!$C$7),COUNTIF($A$5:A209,'Firm Search'!$C$7),"")</f>
        <v/>
      </c>
    </row>
    <row r="210">
      <c r="A210" s="5" t="n"/>
      <c r="B210" s="5" t="n"/>
      <c r="C210" s="52" t="n"/>
      <c r="D210" s="52" t="n"/>
      <c r="E210" s="52" t="n"/>
      <c r="F210" s="52" t="n"/>
      <c r="G210" s="52" t="n"/>
      <c r="H210" s="52" t="n"/>
      <c r="I210" s="52" t="n"/>
      <c r="J210" s="52" t="n"/>
      <c r="K210" s="54" t="n"/>
      <c r="L210" s="5" t="n"/>
      <c r="M210" s="53">
        <f>IF(A210="","",IFERROR(INDEX(Firms!$B$5:$B$504,MATCH(A210,Firms!$A$5:$A$504,0)),"Not on Firms tab"))</f>
        <v/>
      </c>
      <c r="N210">
        <f>IF(AND(A210&lt;&gt;"",A210='Firm Search'!$C$7),COUNTIF($A$5:A210,'Firm Search'!$C$7),"")</f>
        <v/>
      </c>
    </row>
    <row r="211">
      <c r="A211" s="5" t="n"/>
      <c r="B211" s="5" t="n"/>
      <c r="C211" s="52" t="n"/>
      <c r="D211" s="52" t="n"/>
      <c r="E211" s="52" t="n"/>
      <c r="F211" s="52" t="n"/>
      <c r="G211" s="52" t="n"/>
      <c r="H211" s="52" t="n"/>
      <c r="I211" s="52" t="n"/>
      <c r="J211" s="52" t="n"/>
      <c r="K211" s="54" t="n"/>
      <c r="L211" s="5" t="n"/>
      <c r="M211" s="53">
        <f>IF(A211="","",IFERROR(INDEX(Firms!$B$5:$B$504,MATCH(A211,Firms!$A$5:$A$504,0)),"Not on Firms tab"))</f>
        <v/>
      </c>
      <c r="N211">
        <f>IF(AND(A211&lt;&gt;"",A211='Firm Search'!$C$7),COUNTIF($A$5:A211,'Firm Search'!$C$7),"")</f>
        <v/>
      </c>
    </row>
    <row r="212">
      <c r="A212" s="5" t="n"/>
      <c r="B212" s="5" t="n"/>
      <c r="C212" s="52" t="n"/>
      <c r="D212" s="52" t="n"/>
      <c r="E212" s="52" t="n"/>
      <c r="F212" s="52" t="n"/>
      <c r="G212" s="52" t="n"/>
      <c r="H212" s="52" t="n"/>
      <c r="I212" s="52" t="n"/>
      <c r="J212" s="52" t="n"/>
      <c r="K212" s="54" t="n"/>
      <c r="L212" s="5" t="n"/>
      <c r="M212" s="53">
        <f>IF(A212="","",IFERROR(INDEX(Firms!$B$5:$B$504,MATCH(A212,Firms!$A$5:$A$504,0)),"Not on Firms tab"))</f>
        <v/>
      </c>
      <c r="N212">
        <f>IF(AND(A212&lt;&gt;"",A212='Firm Search'!$C$7),COUNTIF($A$5:A212,'Firm Search'!$C$7),"")</f>
        <v/>
      </c>
    </row>
    <row r="213">
      <c r="A213" s="5" t="n"/>
      <c r="B213" s="5" t="n"/>
      <c r="C213" s="52" t="n"/>
      <c r="D213" s="52" t="n"/>
      <c r="E213" s="52" t="n"/>
      <c r="F213" s="52" t="n"/>
      <c r="G213" s="52" t="n"/>
      <c r="H213" s="52" t="n"/>
      <c r="I213" s="52" t="n"/>
      <c r="J213" s="52" t="n"/>
      <c r="K213" s="54" t="n"/>
      <c r="L213" s="5" t="n"/>
      <c r="M213" s="53">
        <f>IF(A213="","",IFERROR(INDEX(Firms!$B$5:$B$504,MATCH(A213,Firms!$A$5:$A$504,0)),"Not on Firms tab"))</f>
        <v/>
      </c>
      <c r="N213">
        <f>IF(AND(A213&lt;&gt;"",A213='Firm Search'!$C$7),COUNTIF($A$5:A213,'Firm Search'!$C$7),"")</f>
        <v/>
      </c>
    </row>
    <row r="214">
      <c r="A214" s="5" t="n"/>
      <c r="B214" s="5" t="n"/>
      <c r="C214" s="52" t="n"/>
      <c r="D214" s="52" t="n"/>
      <c r="E214" s="52" t="n"/>
      <c r="F214" s="52" t="n"/>
      <c r="G214" s="52" t="n"/>
      <c r="H214" s="52" t="n"/>
      <c r="I214" s="52" t="n"/>
      <c r="J214" s="52" t="n"/>
      <c r="K214" s="54" t="n"/>
      <c r="L214" s="5" t="n"/>
      <c r="M214" s="53">
        <f>IF(A214="","",IFERROR(INDEX(Firms!$B$5:$B$504,MATCH(A214,Firms!$A$5:$A$504,0)),"Not on Firms tab"))</f>
        <v/>
      </c>
      <c r="N214">
        <f>IF(AND(A214&lt;&gt;"",A214='Firm Search'!$C$7),COUNTIF($A$5:A214,'Firm Search'!$C$7),"")</f>
        <v/>
      </c>
    </row>
    <row r="215">
      <c r="A215" s="5" t="n"/>
      <c r="B215" s="5" t="n"/>
      <c r="C215" s="52" t="n"/>
      <c r="D215" s="52" t="n"/>
      <c r="E215" s="52" t="n"/>
      <c r="F215" s="52" t="n"/>
      <c r="G215" s="52" t="n"/>
      <c r="H215" s="52" t="n"/>
      <c r="I215" s="52" t="n"/>
      <c r="J215" s="52" t="n"/>
      <c r="K215" s="54" t="n"/>
      <c r="L215" s="5" t="n"/>
      <c r="M215" s="53">
        <f>IF(A215="","",IFERROR(INDEX(Firms!$B$5:$B$504,MATCH(A215,Firms!$A$5:$A$504,0)),"Not on Firms tab"))</f>
        <v/>
      </c>
      <c r="N215">
        <f>IF(AND(A215&lt;&gt;"",A215='Firm Search'!$C$7),COUNTIF($A$5:A215,'Firm Search'!$C$7),"")</f>
        <v/>
      </c>
    </row>
    <row r="216">
      <c r="A216" s="5" t="n"/>
      <c r="B216" s="5" t="n"/>
      <c r="C216" s="52" t="n"/>
      <c r="D216" s="52" t="n"/>
      <c r="E216" s="52" t="n"/>
      <c r="F216" s="52" t="n"/>
      <c r="G216" s="52" t="n"/>
      <c r="H216" s="52" t="n"/>
      <c r="I216" s="52" t="n"/>
      <c r="J216" s="52" t="n"/>
      <c r="K216" s="54" t="n"/>
      <c r="L216" s="5" t="n"/>
      <c r="M216" s="53">
        <f>IF(A216="","",IFERROR(INDEX(Firms!$B$5:$B$504,MATCH(A216,Firms!$A$5:$A$504,0)),"Not on Firms tab"))</f>
        <v/>
      </c>
      <c r="N216">
        <f>IF(AND(A216&lt;&gt;"",A216='Firm Search'!$C$7),COUNTIF($A$5:A216,'Firm Search'!$C$7),"")</f>
        <v/>
      </c>
    </row>
    <row r="217">
      <c r="A217" s="5" t="n"/>
      <c r="B217" s="5" t="n"/>
      <c r="C217" s="52" t="n"/>
      <c r="D217" s="52" t="n"/>
      <c r="E217" s="52" t="n"/>
      <c r="F217" s="52" t="n"/>
      <c r="G217" s="52" t="n"/>
      <c r="H217" s="52" t="n"/>
      <c r="I217" s="52" t="n"/>
      <c r="J217" s="52" t="n"/>
      <c r="K217" s="54" t="n"/>
      <c r="L217" s="5" t="n"/>
      <c r="M217" s="53">
        <f>IF(A217="","",IFERROR(INDEX(Firms!$B$5:$B$504,MATCH(A217,Firms!$A$5:$A$504,0)),"Not on Firms tab"))</f>
        <v/>
      </c>
      <c r="N217">
        <f>IF(AND(A217&lt;&gt;"",A217='Firm Search'!$C$7),COUNTIF($A$5:A217,'Firm Search'!$C$7),"")</f>
        <v/>
      </c>
    </row>
    <row r="218">
      <c r="A218" s="5" t="n"/>
      <c r="B218" s="5" t="n"/>
      <c r="C218" s="52" t="n"/>
      <c r="D218" s="52" t="n"/>
      <c r="E218" s="52" t="n"/>
      <c r="F218" s="52" t="n"/>
      <c r="G218" s="52" t="n"/>
      <c r="H218" s="52" t="n"/>
      <c r="I218" s="52" t="n"/>
      <c r="J218" s="52" t="n"/>
      <c r="K218" s="54" t="n"/>
      <c r="L218" s="5" t="n"/>
      <c r="M218" s="53">
        <f>IF(A218="","",IFERROR(INDEX(Firms!$B$5:$B$504,MATCH(A218,Firms!$A$5:$A$504,0)),"Not on Firms tab"))</f>
        <v/>
      </c>
      <c r="N218">
        <f>IF(AND(A218&lt;&gt;"",A218='Firm Search'!$C$7),COUNTIF($A$5:A218,'Firm Search'!$C$7),"")</f>
        <v/>
      </c>
    </row>
    <row r="219">
      <c r="A219" s="5" t="n"/>
      <c r="B219" s="5" t="n"/>
      <c r="C219" s="52" t="n"/>
      <c r="D219" s="52" t="n"/>
      <c r="E219" s="52" t="n"/>
      <c r="F219" s="52" t="n"/>
      <c r="G219" s="52" t="n"/>
      <c r="H219" s="52" t="n"/>
      <c r="I219" s="52" t="n"/>
      <c r="J219" s="52" t="n"/>
      <c r="K219" s="54" t="n"/>
      <c r="L219" s="5" t="n"/>
      <c r="M219" s="53">
        <f>IF(A219="","",IFERROR(INDEX(Firms!$B$5:$B$504,MATCH(A219,Firms!$A$5:$A$504,0)),"Not on Firms tab"))</f>
        <v/>
      </c>
      <c r="N219">
        <f>IF(AND(A219&lt;&gt;"",A219='Firm Search'!$C$7),COUNTIF($A$5:A219,'Firm Search'!$C$7),"")</f>
        <v/>
      </c>
    </row>
    <row r="220">
      <c r="A220" s="5" t="n"/>
      <c r="B220" s="5" t="n"/>
      <c r="C220" s="52" t="n"/>
      <c r="D220" s="52" t="n"/>
      <c r="E220" s="52" t="n"/>
      <c r="F220" s="52" t="n"/>
      <c r="G220" s="52" t="n"/>
      <c r="H220" s="52" t="n"/>
      <c r="I220" s="52" t="n"/>
      <c r="J220" s="52" t="n"/>
      <c r="K220" s="54" t="n"/>
      <c r="L220" s="5" t="n"/>
      <c r="M220" s="53">
        <f>IF(A220="","",IFERROR(INDEX(Firms!$B$5:$B$504,MATCH(A220,Firms!$A$5:$A$504,0)),"Not on Firms tab"))</f>
        <v/>
      </c>
      <c r="N220">
        <f>IF(AND(A220&lt;&gt;"",A220='Firm Search'!$C$7),COUNTIF($A$5:A220,'Firm Search'!$C$7),"")</f>
        <v/>
      </c>
    </row>
    <row r="221">
      <c r="A221" s="5" t="n"/>
      <c r="B221" s="5" t="n"/>
      <c r="C221" s="52" t="n"/>
      <c r="D221" s="52" t="n"/>
      <c r="E221" s="52" t="n"/>
      <c r="F221" s="52" t="n"/>
      <c r="G221" s="52" t="n"/>
      <c r="H221" s="52" t="n"/>
      <c r="I221" s="52" t="n"/>
      <c r="J221" s="52" t="n"/>
      <c r="K221" s="54" t="n"/>
      <c r="L221" s="5" t="n"/>
      <c r="M221" s="53">
        <f>IF(A221="","",IFERROR(INDEX(Firms!$B$5:$B$504,MATCH(A221,Firms!$A$5:$A$504,0)),"Not on Firms tab"))</f>
        <v/>
      </c>
      <c r="N221">
        <f>IF(AND(A221&lt;&gt;"",A221='Firm Search'!$C$7),COUNTIF($A$5:A221,'Firm Search'!$C$7),"")</f>
        <v/>
      </c>
    </row>
    <row r="222">
      <c r="A222" s="5" t="n"/>
      <c r="B222" s="5" t="n"/>
      <c r="C222" s="52" t="n"/>
      <c r="D222" s="52" t="n"/>
      <c r="E222" s="52" t="n"/>
      <c r="F222" s="52" t="n"/>
      <c r="G222" s="52" t="n"/>
      <c r="H222" s="52" t="n"/>
      <c r="I222" s="52" t="n"/>
      <c r="J222" s="52" t="n"/>
      <c r="K222" s="54" t="n"/>
      <c r="L222" s="5" t="n"/>
      <c r="M222" s="53">
        <f>IF(A222="","",IFERROR(INDEX(Firms!$B$5:$B$504,MATCH(A222,Firms!$A$5:$A$504,0)),"Not on Firms tab"))</f>
        <v/>
      </c>
      <c r="N222">
        <f>IF(AND(A222&lt;&gt;"",A222='Firm Search'!$C$7),COUNTIF($A$5:A222,'Firm Search'!$C$7),"")</f>
        <v/>
      </c>
    </row>
    <row r="223">
      <c r="A223" s="5" t="n"/>
      <c r="B223" s="5" t="n"/>
      <c r="C223" s="52" t="n"/>
      <c r="D223" s="52" t="n"/>
      <c r="E223" s="52" t="n"/>
      <c r="F223" s="52" t="n"/>
      <c r="G223" s="52" t="n"/>
      <c r="H223" s="52" t="n"/>
      <c r="I223" s="52" t="n"/>
      <c r="J223" s="52" t="n"/>
      <c r="K223" s="54" t="n"/>
      <c r="L223" s="5" t="n"/>
      <c r="M223" s="53">
        <f>IF(A223="","",IFERROR(INDEX(Firms!$B$5:$B$504,MATCH(A223,Firms!$A$5:$A$504,0)),"Not on Firms tab"))</f>
        <v/>
      </c>
      <c r="N223">
        <f>IF(AND(A223&lt;&gt;"",A223='Firm Search'!$C$7),COUNTIF($A$5:A223,'Firm Search'!$C$7),"")</f>
        <v/>
      </c>
    </row>
    <row r="224">
      <c r="A224" s="5" t="n"/>
      <c r="B224" s="5" t="n"/>
      <c r="C224" s="52" t="n"/>
      <c r="D224" s="52" t="n"/>
      <c r="E224" s="52" t="n"/>
      <c r="F224" s="52" t="n"/>
      <c r="G224" s="52" t="n"/>
      <c r="H224" s="52" t="n"/>
      <c r="I224" s="52" t="n"/>
      <c r="J224" s="52" t="n"/>
      <c r="K224" s="54" t="n"/>
      <c r="L224" s="5" t="n"/>
      <c r="M224" s="53">
        <f>IF(A224="","",IFERROR(INDEX(Firms!$B$5:$B$504,MATCH(A224,Firms!$A$5:$A$504,0)),"Not on Firms tab"))</f>
        <v/>
      </c>
      <c r="N224">
        <f>IF(AND(A224&lt;&gt;"",A224='Firm Search'!$C$7),COUNTIF($A$5:A224,'Firm Search'!$C$7),"")</f>
        <v/>
      </c>
    </row>
    <row r="225">
      <c r="A225" s="5" t="n"/>
      <c r="B225" s="5" t="n"/>
      <c r="C225" s="52" t="n"/>
      <c r="D225" s="52" t="n"/>
      <c r="E225" s="52" t="n"/>
      <c r="F225" s="52" t="n"/>
      <c r="G225" s="52" t="n"/>
      <c r="H225" s="52" t="n"/>
      <c r="I225" s="52" t="n"/>
      <c r="J225" s="52" t="n"/>
      <c r="K225" s="54" t="n"/>
      <c r="L225" s="5" t="n"/>
      <c r="M225" s="53">
        <f>IF(A225="","",IFERROR(INDEX(Firms!$B$5:$B$504,MATCH(A225,Firms!$A$5:$A$504,0)),"Not on Firms tab"))</f>
        <v/>
      </c>
      <c r="N225">
        <f>IF(AND(A225&lt;&gt;"",A225='Firm Search'!$C$7),COUNTIF($A$5:A225,'Firm Search'!$C$7),"")</f>
        <v/>
      </c>
    </row>
    <row r="226">
      <c r="A226" s="5" t="n"/>
      <c r="B226" s="5" t="n"/>
      <c r="C226" s="52" t="n"/>
      <c r="D226" s="52" t="n"/>
      <c r="E226" s="52" t="n"/>
      <c r="F226" s="52" t="n"/>
      <c r="G226" s="52" t="n"/>
      <c r="H226" s="52" t="n"/>
      <c r="I226" s="52" t="n"/>
      <c r="J226" s="52" t="n"/>
      <c r="K226" s="54" t="n"/>
      <c r="L226" s="5" t="n"/>
      <c r="M226" s="53">
        <f>IF(A226="","",IFERROR(INDEX(Firms!$B$5:$B$504,MATCH(A226,Firms!$A$5:$A$504,0)),"Not on Firms tab"))</f>
        <v/>
      </c>
      <c r="N226">
        <f>IF(AND(A226&lt;&gt;"",A226='Firm Search'!$C$7),COUNTIF($A$5:A226,'Firm Search'!$C$7),"")</f>
        <v/>
      </c>
    </row>
    <row r="227">
      <c r="A227" s="5" t="n"/>
      <c r="B227" s="5" t="n"/>
      <c r="C227" s="52" t="n"/>
      <c r="D227" s="52" t="n"/>
      <c r="E227" s="52" t="n"/>
      <c r="F227" s="52" t="n"/>
      <c r="G227" s="52" t="n"/>
      <c r="H227" s="52" t="n"/>
      <c r="I227" s="52" t="n"/>
      <c r="J227" s="52" t="n"/>
      <c r="K227" s="54" t="n"/>
      <c r="L227" s="5" t="n"/>
      <c r="M227" s="53">
        <f>IF(A227="","",IFERROR(INDEX(Firms!$B$5:$B$504,MATCH(A227,Firms!$A$5:$A$504,0)),"Not on Firms tab"))</f>
        <v/>
      </c>
      <c r="N227">
        <f>IF(AND(A227&lt;&gt;"",A227='Firm Search'!$C$7),COUNTIF($A$5:A227,'Firm Search'!$C$7),"")</f>
        <v/>
      </c>
    </row>
    <row r="228">
      <c r="A228" s="5" t="n"/>
      <c r="B228" s="5" t="n"/>
      <c r="C228" s="52" t="n"/>
      <c r="D228" s="52" t="n"/>
      <c r="E228" s="52" t="n"/>
      <c r="F228" s="52" t="n"/>
      <c r="G228" s="52" t="n"/>
      <c r="H228" s="52" t="n"/>
      <c r="I228" s="52" t="n"/>
      <c r="J228" s="52" t="n"/>
      <c r="K228" s="54" t="n"/>
      <c r="L228" s="5" t="n"/>
      <c r="M228" s="53">
        <f>IF(A228="","",IFERROR(INDEX(Firms!$B$5:$B$504,MATCH(A228,Firms!$A$5:$A$504,0)),"Not on Firms tab"))</f>
        <v/>
      </c>
      <c r="N228">
        <f>IF(AND(A228&lt;&gt;"",A228='Firm Search'!$C$7),COUNTIF($A$5:A228,'Firm Search'!$C$7),"")</f>
        <v/>
      </c>
    </row>
    <row r="229">
      <c r="A229" s="5" t="n"/>
      <c r="B229" s="5" t="n"/>
      <c r="C229" s="52" t="n"/>
      <c r="D229" s="52" t="n"/>
      <c r="E229" s="52" t="n"/>
      <c r="F229" s="52" t="n"/>
      <c r="G229" s="52" t="n"/>
      <c r="H229" s="52" t="n"/>
      <c r="I229" s="52" t="n"/>
      <c r="J229" s="52" t="n"/>
      <c r="K229" s="54" t="n"/>
      <c r="L229" s="5" t="n"/>
      <c r="M229" s="53">
        <f>IF(A229="","",IFERROR(INDEX(Firms!$B$5:$B$504,MATCH(A229,Firms!$A$5:$A$504,0)),"Not on Firms tab"))</f>
        <v/>
      </c>
      <c r="N229">
        <f>IF(AND(A229&lt;&gt;"",A229='Firm Search'!$C$7),COUNTIF($A$5:A229,'Firm Search'!$C$7),"")</f>
        <v/>
      </c>
    </row>
    <row r="230">
      <c r="A230" s="5" t="n"/>
      <c r="B230" s="5" t="n"/>
      <c r="C230" s="52" t="n"/>
      <c r="D230" s="52" t="n"/>
      <c r="E230" s="52" t="n"/>
      <c r="F230" s="52" t="n"/>
      <c r="G230" s="52" t="n"/>
      <c r="H230" s="52" t="n"/>
      <c r="I230" s="52" t="n"/>
      <c r="J230" s="52" t="n"/>
      <c r="K230" s="54" t="n"/>
      <c r="L230" s="5" t="n"/>
      <c r="M230" s="53">
        <f>IF(A230="","",IFERROR(INDEX(Firms!$B$5:$B$504,MATCH(A230,Firms!$A$5:$A$504,0)),"Not on Firms tab"))</f>
        <v/>
      </c>
      <c r="N230">
        <f>IF(AND(A230&lt;&gt;"",A230='Firm Search'!$C$7),COUNTIF($A$5:A230,'Firm Search'!$C$7),"")</f>
        <v/>
      </c>
    </row>
    <row r="231">
      <c r="A231" s="5" t="n"/>
      <c r="B231" s="5" t="n"/>
      <c r="C231" s="52" t="n"/>
      <c r="D231" s="52" t="n"/>
      <c r="E231" s="52" t="n"/>
      <c r="F231" s="52" t="n"/>
      <c r="G231" s="52" t="n"/>
      <c r="H231" s="52" t="n"/>
      <c r="I231" s="52" t="n"/>
      <c r="J231" s="52" t="n"/>
      <c r="K231" s="54" t="n"/>
      <c r="L231" s="5" t="n"/>
      <c r="M231" s="53">
        <f>IF(A231="","",IFERROR(INDEX(Firms!$B$5:$B$504,MATCH(A231,Firms!$A$5:$A$504,0)),"Not on Firms tab"))</f>
        <v/>
      </c>
      <c r="N231">
        <f>IF(AND(A231&lt;&gt;"",A231='Firm Search'!$C$7),COUNTIF($A$5:A231,'Firm Search'!$C$7),"")</f>
        <v/>
      </c>
    </row>
    <row r="232">
      <c r="A232" s="5" t="n"/>
      <c r="B232" s="5" t="n"/>
      <c r="C232" s="52" t="n"/>
      <c r="D232" s="52" t="n"/>
      <c r="E232" s="52" t="n"/>
      <c r="F232" s="52" t="n"/>
      <c r="G232" s="52" t="n"/>
      <c r="H232" s="52" t="n"/>
      <c r="I232" s="52" t="n"/>
      <c r="J232" s="52" t="n"/>
      <c r="K232" s="54" t="n"/>
      <c r="L232" s="5" t="n"/>
      <c r="M232" s="53">
        <f>IF(A232="","",IFERROR(INDEX(Firms!$B$5:$B$504,MATCH(A232,Firms!$A$5:$A$504,0)),"Not on Firms tab"))</f>
        <v/>
      </c>
      <c r="N232">
        <f>IF(AND(A232&lt;&gt;"",A232='Firm Search'!$C$7),COUNTIF($A$5:A232,'Firm Search'!$C$7),"")</f>
        <v/>
      </c>
    </row>
    <row r="233">
      <c r="A233" s="5" t="n"/>
      <c r="B233" s="5" t="n"/>
      <c r="C233" s="52" t="n"/>
      <c r="D233" s="52" t="n"/>
      <c r="E233" s="52" t="n"/>
      <c r="F233" s="52" t="n"/>
      <c r="G233" s="52" t="n"/>
      <c r="H233" s="52" t="n"/>
      <c r="I233" s="52" t="n"/>
      <c r="J233" s="52" t="n"/>
      <c r="K233" s="54" t="n"/>
      <c r="L233" s="5" t="n"/>
      <c r="M233" s="53">
        <f>IF(A233="","",IFERROR(INDEX(Firms!$B$5:$B$504,MATCH(A233,Firms!$A$5:$A$504,0)),"Not on Firms tab"))</f>
        <v/>
      </c>
      <c r="N233">
        <f>IF(AND(A233&lt;&gt;"",A233='Firm Search'!$C$7),COUNTIF($A$5:A233,'Firm Search'!$C$7),"")</f>
        <v/>
      </c>
    </row>
    <row r="234">
      <c r="A234" s="5" t="n"/>
      <c r="B234" s="5" t="n"/>
      <c r="C234" s="52" t="n"/>
      <c r="D234" s="52" t="n"/>
      <c r="E234" s="52" t="n"/>
      <c r="F234" s="52" t="n"/>
      <c r="G234" s="52" t="n"/>
      <c r="H234" s="52" t="n"/>
      <c r="I234" s="52" t="n"/>
      <c r="J234" s="52" t="n"/>
      <c r="K234" s="54" t="n"/>
      <c r="L234" s="5" t="n"/>
      <c r="M234" s="53">
        <f>IF(A234="","",IFERROR(INDEX(Firms!$B$5:$B$504,MATCH(A234,Firms!$A$5:$A$504,0)),"Not on Firms tab"))</f>
        <v/>
      </c>
      <c r="N234">
        <f>IF(AND(A234&lt;&gt;"",A234='Firm Search'!$C$7),COUNTIF($A$5:A234,'Firm Search'!$C$7),"")</f>
        <v/>
      </c>
    </row>
    <row r="235">
      <c r="A235" s="5" t="n"/>
      <c r="B235" s="5" t="n"/>
      <c r="C235" s="52" t="n"/>
      <c r="D235" s="52" t="n"/>
      <c r="E235" s="52" t="n"/>
      <c r="F235" s="52" t="n"/>
      <c r="G235" s="52" t="n"/>
      <c r="H235" s="52" t="n"/>
      <c r="I235" s="52" t="n"/>
      <c r="J235" s="52" t="n"/>
      <c r="K235" s="54" t="n"/>
      <c r="L235" s="5" t="n"/>
      <c r="M235" s="53">
        <f>IF(A235="","",IFERROR(INDEX(Firms!$B$5:$B$504,MATCH(A235,Firms!$A$5:$A$504,0)),"Not on Firms tab"))</f>
        <v/>
      </c>
      <c r="N235">
        <f>IF(AND(A235&lt;&gt;"",A235='Firm Search'!$C$7),COUNTIF($A$5:A235,'Firm Search'!$C$7),"")</f>
        <v/>
      </c>
    </row>
    <row r="236">
      <c r="A236" s="5" t="n"/>
      <c r="B236" s="5" t="n"/>
      <c r="C236" s="52" t="n"/>
      <c r="D236" s="52" t="n"/>
      <c r="E236" s="52" t="n"/>
      <c r="F236" s="52" t="n"/>
      <c r="G236" s="52" t="n"/>
      <c r="H236" s="52" t="n"/>
      <c r="I236" s="52" t="n"/>
      <c r="J236" s="52" t="n"/>
      <c r="K236" s="54" t="n"/>
      <c r="L236" s="5" t="n"/>
      <c r="M236" s="53">
        <f>IF(A236="","",IFERROR(INDEX(Firms!$B$5:$B$504,MATCH(A236,Firms!$A$5:$A$504,0)),"Not on Firms tab"))</f>
        <v/>
      </c>
      <c r="N236">
        <f>IF(AND(A236&lt;&gt;"",A236='Firm Search'!$C$7),COUNTIF($A$5:A236,'Firm Search'!$C$7),"")</f>
        <v/>
      </c>
    </row>
    <row r="237">
      <c r="A237" s="5" t="n"/>
      <c r="B237" s="5" t="n"/>
      <c r="C237" s="52" t="n"/>
      <c r="D237" s="52" t="n"/>
      <c r="E237" s="52" t="n"/>
      <c r="F237" s="52" t="n"/>
      <c r="G237" s="52" t="n"/>
      <c r="H237" s="52" t="n"/>
      <c r="I237" s="52" t="n"/>
      <c r="J237" s="52" t="n"/>
      <c r="K237" s="54" t="n"/>
      <c r="L237" s="5" t="n"/>
      <c r="M237" s="53">
        <f>IF(A237="","",IFERROR(INDEX(Firms!$B$5:$B$504,MATCH(A237,Firms!$A$5:$A$504,0)),"Not on Firms tab"))</f>
        <v/>
      </c>
      <c r="N237">
        <f>IF(AND(A237&lt;&gt;"",A237='Firm Search'!$C$7),COUNTIF($A$5:A237,'Firm Search'!$C$7),"")</f>
        <v/>
      </c>
    </row>
    <row r="238">
      <c r="A238" s="5" t="n"/>
      <c r="B238" s="5" t="n"/>
      <c r="C238" s="52" t="n"/>
      <c r="D238" s="52" t="n"/>
      <c r="E238" s="52" t="n"/>
      <c r="F238" s="52" t="n"/>
      <c r="G238" s="52" t="n"/>
      <c r="H238" s="52" t="n"/>
      <c r="I238" s="52" t="n"/>
      <c r="J238" s="52" t="n"/>
      <c r="K238" s="54" t="n"/>
      <c r="L238" s="5" t="n"/>
      <c r="M238" s="53">
        <f>IF(A238="","",IFERROR(INDEX(Firms!$B$5:$B$504,MATCH(A238,Firms!$A$5:$A$504,0)),"Not on Firms tab"))</f>
        <v/>
      </c>
      <c r="N238">
        <f>IF(AND(A238&lt;&gt;"",A238='Firm Search'!$C$7),COUNTIF($A$5:A238,'Firm Search'!$C$7),"")</f>
        <v/>
      </c>
    </row>
    <row r="239">
      <c r="A239" s="5" t="n"/>
      <c r="B239" s="5" t="n"/>
      <c r="C239" s="52" t="n"/>
      <c r="D239" s="52" t="n"/>
      <c r="E239" s="52" t="n"/>
      <c r="F239" s="52" t="n"/>
      <c r="G239" s="52" t="n"/>
      <c r="H239" s="52" t="n"/>
      <c r="I239" s="52" t="n"/>
      <c r="J239" s="52" t="n"/>
      <c r="K239" s="54" t="n"/>
      <c r="L239" s="5" t="n"/>
      <c r="M239" s="53">
        <f>IF(A239="","",IFERROR(INDEX(Firms!$B$5:$B$504,MATCH(A239,Firms!$A$5:$A$504,0)),"Not on Firms tab"))</f>
        <v/>
      </c>
      <c r="N239">
        <f>IF(AND(A239&lt;&gt;"",A239='Firm Search'!$C$7),COUNTIF($A$5:A239,'Firm Search'!$C$7),"")</f>
        <v/>
      </c>
    </row>
    <row r="240">
      <c r="A240" s="5" t="n"/>
      <c r="B240" s="5" t="n"/>
      <c r="C240" s="52" t="n"/>
      <c r="D240" s="52" t="n"/>
      <c r="E240" s="52" t="n"/>
      <c r="F240" s="52" t="n"/>
      <c r="G240" s="52" t="n"/>
      <c r="H240" s="52" t="n"/>
      <c r="I240" s="52" t="n"/>
      <c r="J240" s="52" t="n"/>
      <c r="K240" s="54" t="n"/>
      <c r="L240" s="5" t="n"/>
      <c r="M240" s="53">
        <f>IF(A240="","",IFERROR(INDEX(Firms!$B$5:$B$504,MATCH(A240,Firms!$A$5:$A$504,0)),"Not on Firms tab"))</f>
        <v/>
      </c>
      <c r="N240">
        <f>IF(AND(A240&lt;&gt;"",A240='Firm Search'!$C$7),COUNTIF($A$5:A240,'Firm Search'!$C$7),"")</f>
        <v/>
      </c>
    </row>
    <row r="241">
      <c r="A241" s="5" t="n"/>
      <c r="B241" s="5" t="n"/>
      <c r="C241" s="52" t="n"/>
      <c r="D241" s="52" t="n"/>
      <c r="E241" s="52" t="n"/>
      <c r="F241" s="52" t="n"/>
      <c r="G241" s="52" t="n"/>
      <c r="H241" s="52" t="n"/>
      <c r="I241" s="52" t="n"/>
      <c r="J241" s="52" t="n"/>
      <c r="K241" s="54" t="n"/>
      <c r="L241" s="5" t="n"/>
      <c r="M241" s="53">
        <f>IF(A241="","",IFERROR(INDEX(Firms!$B$5:$B$504,MATCH(A241,Firms!$A$5:$A$504,0)),"Not on Firms tab"))</f>
        <v/>
      </c>
      <c r="N241">
        <f>IF(AND(A241&lt;&gt;"",A241='Firm Search'!$C$7),COUNTIF($A$5:A241,'Firm Search'!$C$7),"")</f>
        <v/>
      </c>
    </row>
    <row r="242">
      <c r="A242" s="5" t="n"/>
      <c r="B242" s="5" t="n"/>
      <c r="C242" s="52" t="n"/>
      <c r="D242" s="52" t="n"/>
      <c r="E242" s="52" t="n"/>
      <c r="F242" s="52" t="n"/>
      <c r="G242" s="52" t="n"/>
      <c r="H242" s="52" t="n"/>
      <c r="I242" s="52" t="n"/>
      <c r="J242" s="52" t="n"/>
      <c r="K242" s="54" t="n"/>
      <c r="L242" s="5" t="n"/>
      <c r="M242" s="53">
        <f>IF(A242="","",IFERROR(INDEX(Firms!$B$5:$B$504,MATCH(A242,Firms!$A$5:$A$504,0)),"Not on Firms tab"))</f>
        <v/>
      </c>
      <c r="N242">
        <f>IF(AND(A242&lt;&gt;"",A242='Firm Search'!$C$7),COUNTIF($A$5:A242,'Firm Search'!$C$7),"")</f>
        <v/>
      </c>
    </row>
    <row r="243">
      <c r="A243" s="5" t="n"/>
      <c r="B243" s="5" t="n"/>
      <c r="C243" s="52" t="n"/>
      <c r="D243" s="52" t="n"/>
      <c r="E243" s="52" t="n"/>
      <c r="F243" s="52" t="n"/>
      <c r="G243" s="52" t="n"/>
      <c r="H243" s="52" t="n"/>
      <c r="I243" s="52" t="n"/>
      <c r="J243" s="52" t="n"/>
      <c r="K243" s="54" t="n"/>
      <c r="L243" s="5" t="n"/>
      <c r="M243" s="53">
        <f>IF(A243="","",IFERROR(INDEX(Firms!$B$5:$B$504,MATCH(A243,Firms!$A$5:$A$504,0)),"Not on Firms tab"))</f>
        <v/>
      </c>
      <c r="N243">
        <f>IF(AND(A243&lt;&gt;"",A243='Firm Search'!$C$7),COUNTIF($A$5:A243,'Firm Search'!$C$7),"")</f>
        <v/>
      </c>
    </row>
    <row r="244">
      <c r="A244" s="5" t="n"/>
      <c r="B244" s="5" t="n"/>
      <c r="C244" s="52" t="n"/>
      <c r="D244" s="52" t="n"/>
      <c r="E244" s="52" t="n"/>
      <c r="F244" s="52" t="n"/>
      <c r="G244" s="52" t="n"/>
      <c r="H244" s="52" t="n"/>
      <c r="I244" s="52" t="n"/>
      <c r="J244" s="52" t="n"/>
      <c r="K244" s="54" t="n"/>
      <c r="L244" s="5" t="n"/>
      <c r="M244" s="53">
        <f>IF(A244="","",IFERROR(INDEX(Firms!$B$5:$B$504,MATCH(A244,Firms!$A$5:$A$504,0)),"Not on Firms tab"))</f>
        <v/>
      </c>
      <c r="N244">
        <f>IF(AND(A244&lt;&gt;"",A244='Firm Search'!$C$7),COUNTIF($A$5:A244,'Firm Search'!$C$7),"")</f>
        <v/>
      </c>
    </row>
    <row r="245">
      <c r="A245" s="5" t="n"/>
      <c r="B245" s="5" t="n"/>
      <c r="C245" s="52" t="n"/>
      <c r="D245" s="52" t="n"/>
      <c r="E245" s="52" t="n"/>
      <c r="F245" s="52" t="n"/>
      <c r="G245" s="52" t="n"/>
      <c r="H245" s="52" t="n"/>
      <c r="I245" s="52" t="n"/>
      <c r="J245" s="52" t="n"/>
      <c r="K245" s="54" t="n"/>
      <c r="L245" s="5" t="n"/>
      <c r="M245" s="53">
        <f>IF(A245="","",IFERROR(INDEX(Firms!$B$5:$B$504,MATCH(A245,Firms!$A$5:$A$504,0)),"Not on Firms tab"))</f>
        <v/>
      </c>
      <c r="N245">
        <f>IF(AND(A245&lt;&gt;"",A245='Firm Search'!$C$7),COUNTIF($A$5:A245,'Firm Search'!$C$7),"")</f>
        <v/>
      </c>
    </row>
    <row r="246">
      <c r="A246" s="5" t="n"/>
      <c r="B246" s="5" t="n"/>
      <c r="C246" s="52" t="n"/>
      <c r="D246" s="52" t="n"/>
      <c r="E246" s="52" t="n"/>
      <c r="F246" s="52" t="n"/>
      <c r="G246" s="52" t="n"/>
      <c r="H246" s="52" t="n"/>
      <c r="I246" s="52" t="n"/>
      <c r="J246" s="52" t="n"/>
      <c r="K246" s="54" t="n"/>
      <c r="L246" s="5" t="n"/>
      <c r="M246" s="53">
        <f>IF(A246="","",IFERROR(INDEX(Firms!$B$5:$B$504,MATCH(A246,Firms!$A$5:$A$504,0)),"Not on Firms tab"))</f>
        <v/>
      </c>
      <c r="N246">
        <f>IF(AND(A246&lt;&gt;"",A246='Firm Search'!$C$7),COUNTIF($A$5:A246,'Firm Search'!$C$7),"")</f>
        <v/>
      </c>
    </row>
    <row r="247">
      <c r="A247" s="5" t="n"/>
      <c r="B247" s="5" t="n"/>
      <c r="C247" s="52" t="n"/>
      <c r="D247" s="52" t="n"/>
      <c r="E247" s="52" t="n"/>
      <c r="F247" s="52" t="n"/>
      <c r="G247" s="52" t="n"/>
      <c r="H247" s="52" t="n"/>
      <c r="I247" s="52" t="n"/>
      <c r="J247" s="52" t="n"/>
      <c r="K247" s="54" t="n"/>
      <c r="L247" s="5" t="n"/>
      <c r="M247" s="53">
        <f>IF(A247="","",IFERROR(INDEX(Firms!$B$5:$B$504,MATCH(A247,Firms!$A$5:$A$504,0)),"Not on Firms tab"))</f>
        <v/>
      </c>
      <c r="N247">
        <f>IF(AND(A247&lt;&gt;"",A247='Firm Search'!$C$7),COUNTIF($A$5:A247,'Firm Search'!$C$7),"")</f>
        <v/>
      </c>
    </row>
    <row r="248">
      <c r="A248" s="5" t="n"/>
      <c r="B248" s="5" t="n"/>
      <c r="C248" s="52" t="n"/>
      <c r="D248" s="52" t="n"/>
      <c r="E248" s="52" t="n"/>
      <c r="F248" s="52" t="n"/>
      <c r="G248" s="52" t="n"/>
      <c r="H248" s="52" t="n"/>
      <c r="I248" s="52" t="n"/>
      <c r="J248" s="52" t="n"/>
      <c r="K248" s="54" t="n"/>
      <c r="L248" s="5" t="n"/>
      <c r="M248" s="53">
        <f>IF(A248="","",IFERROR(INDEX(Firms!$B$5:$B$504,MATCH(A248,Firms!$A$5:$A$504,0)),"Not on Firms tab"))</f>
        <v/>
      </c>
      <c r="N248">
        <f>IF(AND(A248&lt;&gt;"",A248='Firm Search'!$C$7),COUNTIF($A$5:A248,'Firm Search'!$C$7),"")</f>
        <v/>
      </c>
    </row>
    <row r="249">
      <c r="A249" s="5" t="n"/>
      <c r="B249" s="5" t="n"/>
      <c r="C249" s="52" t="n"/>
      <c r="D249" s="52" t="n"/>
      <c r="E249" s="52" t="n"/>
      <c r="F249" s="52" t="n"/>
      <c r="G249" s="52" t="n"/>
      <c r="H249" s="52" t="n"/>
      <c r="I249" s="52" t="n"/>
      <c r="J249" s="52" t="n"/>
      <c r="K249" s="54" t="n"/>
      <c r="L249" s="5" t="n"/>
      <c r="M249" s="53">
        <f>IF(A249="","",IFERROR(INDEX(Firms!$B$5:$B$504,MATCH(A249,Firms!$A$5:$A$504,0)),"Not on Firms tab"))</f>
        <v/>
      </c>
      <c r="N249">
        <f>IF(AND(A249&lt;&gt;"",A249='Firm Search'!$C$7),COUNTIF($A$5:A249,'Firm Search'!$C$7),"")</f>
        <v/>
      </c>
    </row>
    <row r="250">
      <c r="A250" s="5" t="n"/>
      <c r="B250" s="5" t="n"/>
      <c r="C250" s="52" t="n"/>
      <c r="D250" s="52" t="n"/>
      <c r="E250" s="52" t="n"/>
      <c r="F250" s="52" t="n"/>
      <c r="G250" s="52" t="n"/>
      <c r="H250" s="52" t="n"/>
      <c r="I250" s="52" t="n"/>
      <c r="J250" s="52" t="n"/>
      <c r="K250" s="54" t="n"/>
      <c r="L250" s="5" t="n"/>
      <c r="M250" s="53">
        <f>IF(A250="","",IFERROR(INDEX(Firms!$B$5:$B$504,MATCH(A250,Firms!$A$5:$A$504,0)),"Not on Firms tab"))</f>
        <v/>
      </c>
      <c r="N250">
        <f>IF(AND(A250&lt;&gt;"",A250='Firm Search'!$C$7),COUNTIF($A$5:A250,'Firm Search'!$C$7),"")</f>
        <v/>
      </c>
    </row>
    <row r="251">
      <c r="A251" s="5" t="n"/>
      <c r="B251" s="5" t="n"/>
      <c r="C251" s="52" t="n"/>
      <c r="D251" s="52" t="n"/>
      <c r="E251" s="52" t="n"/>
      <c r="F251" s="52" t="n"/>
      <c r="G251" s="52" t="n"/>
      <c r="H251" s="52" t="n"/>
      <c r="I251" s="52" t="n"/>
      <c r="J251" s="52" t="n"/>
      <c r="K251" s="54" t="n"/>
      <c r="L251" s="5" t="n"/>
      <c r="M251" s="53">
        <f>IF(A251="","",IFERROR(INDEX(Firms!$B$5:$B$504,MATCH(A251,Firms!$A$5:$A$504,0)),"Not on Firms tab"))</f>
        <v/>
      </c>
      <c r="N251">
        <f>IF(AND(A251&lt;&gt;"",A251='Firm Search'!$C$7),COUNTIF($A$5:A251,'Firm Search'!$C$7),"")</f>
        <v/>
      </c>
    </row>
    <row r="252">
      <c r="A252" s="5" t="n"/>
      <c r="B252" s="5" t="n"/>
      <c r="C252" s="52" t="n"/>
      <c r="D252" s="52" t="n"/>
      <c r="E252" s="52" t="n"/>
      <c r="F252" s="52" t="n"/>
      <c r="G252" s="52" t="n"/>
      <c r="H252" s="52" t="n"/>
      <c r="I252" s="52" t="n"/>
      <c r="J252" s="52" t="n"/>
      <c r="K252" s="54" t="n"/>
      <c r="L252" s="5" t="n"/>
      <c r="M252" s="53">
        <f>IF(A252="","",IFERROR(INDEX(Firms!$B$5:$B$504,MATCH(A252,Firms!$A$5:$A$504,0)),"Not on Firms tab"))</f>
        <v/>
      </c>
      <c r="N252">
        <f>IF(AND(A252&lt;&gt;"",A252='Firm Search'!$C$7),COUNTIF($A$5:A252,'Firm Search'!$C$7),"")</f>
        <v/>
      </c>
    </row>
    <row r="253">
      <c r="A253" s="5" t="n"/>
      <c r="B253" s="5" t="n"/>
      <c r="C253" s="52" t="n"/>
      <c r="D253" s="52" t="n"/>
      <c r="E253" s="52" t="n"/>
      <c r="F253" s="52" t="n"/>
      <c r="G253" s="52" t="n"/>
      <c r="H253" s="52" t="n"/>
      <c r="I253" s="52" t="n"/>
      <c r="J253" s="52" t="n"/>
      <c r="K253" s="54" t="n"/>
      <c r="L253" s="5" t="n"/>
      <c r="M253" s="53">
        <f>IF(A253="","",IFERROR(INDEX(Firms!$B$5:$B$504,MATCH(A253,Firms!$A$5:$A$504,0)),"Not on Firms tab"))</f>
        <v/>
      </c>
      <c r="N253">
        <f>IF(AND(A253&lt;&gt;"",A253='Firm Search'!$C$7),COUNTIF($A$5:A253,'Firm Search'!$C$7),"")</f>
        <v/>
      </c>
    </row>
    <row r="254">
      <c r="A254" s="5" t="n"/>
      <c r="B254" s="5" t="n"/>
      <c r="C254" s="52" t="n"/>
      <c r="D254" s="52" t="n"/>
      <c r="E254" s="52" t="n"/>
      <c r="F254" s="52" t="n"/>
      <c r="G254" s="52" t="n"/>
      <c r="H254" s="52" t="n"/>
      <c r="I254" s="52" t="n"/>
      <c r="J254" s="52" t="n"/>
      <c r="K254" s="54" t="n"/>
      <c r="L254" s="5" t="n"/>
      <c r="M254" s="53">
        <f>IF(A254="","",IFERROR(INDEX(Firms!$B$5:$B$504,MATCH(A254,Firms!$A$5:$A$504,0)),"Not on Firms tab"))</f>
        <v/>
      </c>
      <c r="N254">
        <f>IF(AND(A254&lt;&gt;"",A254='Firm Search'!$C$7),COUNTIF($A$5:A254,'Firm Search'!$C$7),"")</f>
        <v/>
      </c>
    </row>
    <row r="255">
      <c r="A255" s="5" t="n"/>
      <c r="B255" s="5" t="n"/>
      <c r="C255" s="52" t="n"/>
      <c r="D255" s="52" t="n"/>
      <c r="E255" s="52" t="n"/>
      <c r="F255" s="52" t="n"/>
      <c r="G255" s="52" t="n"/>
      <c r="H255" s="52" t="n"/>
      <c r="I255" s="52" t="n"/>
      <c r="J255" s="52" t="n"/>
      <c r="K255" s="54" t="n"/>
      <c r="L255" s="5" t="n"/>
      <c r="M255" s="53">
        <f>IF(A255="","",IFERROR(INDEX(Firms!$B$5:$B$504,MATCH(A255,Firms!$A$5:$A$504,0)),"Not on Firms tab"))</f>
        <v/>
      </c>
      <c r="N255">
        <f>IF(AND(A255&lt;&gt;"",A255='Firm Search'!$C$7),COUNTIF($A$5:A255,'Firm Search'!$C$7),"")</f>
        <v/>
      </c>
    </row>
    <row r="256">
      <c r="A256" s="5" t="n"/>
      <c r="B256" s="5" t="n"/>
      <c r="C256" s="52" t="n"/>
      <c r="D256" s="52" t="n"/>
      <c r="E256" s="52" t="n"/>
      <c r="F256" s="52" t="n"/>
      <c r="G256" s="52" t="n"/>
      <c r="H256" s="52" t="n"/>
      <c r="I256" s="52" t="n"/>
      <c r="J256" s="52" t="n"/>
      <c r="K256" s="54" t="n"/>
      <c r="L256" s="5" t="n"/>
      <c r="M256" s="53">
        <f>IF(A256="","",IFERROR(INDEX(Firms!$B$5:$B$504,MATCH(A256,Firms!$A$5:$A$504,0)),"Not on Firms tab"))</f>
        <v/>
      </c>
      <c r="N256">
        <f>IF(AND(A256&lt;&gt;"",A256='Firm Search'!$C$7),COUNTIF($A$5:A256,'Firm Search'!$C$7),"")</f>
        <v/>
      </c>
    </row>
    <row r="257">
      <c r="A257" s="5" t="n"/>
      <c r="B257" s="5" t="n"/>
      <c r="C257" s="52" t="n"/>
      <c r="D257" s="52" t="n"/>
      <c r="E257" s="52" t="n"/>
      <c r="F257" s="52" t="n"/>
      <c r="G257" s="52" t="n"/>
      <c r="H257" s="52" t="n"/>
      <c r="I257" s="52" t="n"/>
      <c r="J257" s="52" t="n"/>
      <c r="K257" s="54" t="n"/>
      <c r="L257" s="5" t="n"/>
      <c r="M257" s="53">
        <f>IF(A257="","",IFERROR(INDEX(Firms!$B$5:$B$504,MATCH(A257,Firms!$A$5:$A$504,0)),"Not on Firms tab"))</f>
        <v/>
      </c>
      <c r="N257">
        <f>IF(AND(A257&lt;&gt;"",A257='Firm Search'!$C$7),COUNTIF($A$5:A257,'Firm Search'!$C$7),"")</f>
        <v/>
      </c>
    </row>
    <row r="258">
      <c r="A258" s="5" t="n"/>
      <c r="B258" s="5" t="n"/>
      <c r="C258" s="52" t="n"/>
      <c r="D258" s="52" t="n"/>
      <c r="E258" s="52" t="n"/>
      <c r="F258" s="52" t="n"/>
      <c r="G258" s="52" t="n"/>
      <c r="H258" s="52" t="n"/>
      <c r="I258" s="52" t="n"/>
      <c r="J258" s="52" t="n"/>
      <c r="K258" s="54" t="n"/>
      <c r="L258" s="5" t="n"/>
      <c r="M258" s="53">
        <f>IF(A258="","",IFERROR(INDEX(Firms!$B$5:$B$504,MATCH(A258,Firms!$A$5:$A$504,0)),"Not on Firms tab"))</f>
        <v/>
      </c>
      <c r="N258">
        <f>IF(AND(A258&lt;&gt;"",A258='Firm Search'!$C$7),COUNTIF($A$5:A258,'Firm Search'!$C$7),"")</f>
        <v/>
      </c>
    </row>
    <row r="259">
      <c r="A259" s="5" t="n"/>
      <c r="B259" s="5" t="n"/>
      <c r="C259" s="52" t="n"/>
      <c r="D259" s="52" t="n"/>
      <c r="E259" s="52" t="n"/>
      <c r="F259" s="52" t="n"/>
      <c r="G259" s="52" t="n"/>
      <c r="H259" s="52" t="n"/>
      <c r="I259" s="52" t="n"/>
      <c r="J259" s="52" t="n"/>
      <c r="K259" s="54" t="n"/>
      <c r="L259" s="5" t="n"/>
      <c r="M259" s="53">
        <f>IF(A259="","",IFERROR(INDEX(Firms!$B$5:$B$504,MATCH(A259,Firms!$A$5:$A$504,0)),"Not on Firms tab"))</f>
        <v/>
      </c>
      <c r="N259">
        <f>IF(AND(A259&lt;&gt;"",A259='Firm Search'!$C$7),COUNTIF($A$5:A259,'Firm Search'!$C$7),"")</f>
        <v/>
      </c>
    </row>
    <row r="260">
      <c r="A260" s="5" t="n"/>
      <c r="B260" s="5" t="n"/>
      <c r="C260" s="52" t="n"/>
      <c r="D260" s="52" t="n"/>
      <c r="E260" s="52" t="n"/>
      <c r="F260" s="52" t="n"/>
      <c r="G260" s="52" t="n"/>
      <c r="H260" s="52" t="n"/>
      <c r="I260" s="52" t="n"/>
      <c r="J260" s="52" t="n"/>
      <c r="K260" s="54" t="n"/>
      <c r="L260" s="5" t="n"/>
      <c r="M260" s="53">
        <f>IF(A260="","",IFERROR(INDEX(Firms!$B$5:$B$504,MATCH(A260,Firms!$A$5:$A$504,0)),"Not on Firms tab"))</f>
        <v/>
      </c>
      <c r="N260">
        <f>IF(AND(A260&lt;&gt;"",A260='Firm Search'!$C$7),COUNTIF($A$5:A260,'Firm Search'!$C$7),"")</f>
        <v/>
      </c>
    </row>
    <row r="261">
      <c r="A261" s="5" t="n"/>
      <c r="B261" s="5" t="n"/>
      <c r="C261" s="52" t="n"/>
      <c r="D261" s="52" t="n"/>
      <c r="E261" s="52" t="n"/>
      <c r="F261" s="52" t="n"/>
      <c r="G261" s="52" t="n"/>
      <c r="H261" s="52" t="n"/>
      <c r="I261" s="52" t="n"/>
      <c r="J261" s="52" t="n"/>
      <c r="K261" s="54" t="n"/>
      <c r="L261" s="5" t="n"/>
      <c r="M261" s="53">
        <f>IF(A261="","",IFERROR(INDEX(Firms!$B$5:$B$504,MATCH(A261,Firms!$A$5:$A$504,0)),"Not on Firms tab"))</f>
        <v/>
      </c>
      <c r="N261">
        <f>IF(AND(A261&lt;&gt;"",A261='Firm Search'!$C$7),COUNTIF($A$5:A261,'Firm Search'!$C$7),"")</f>
        <v/>
      </c>
    </row>
    <row r="262">
      <c r="A262" s="5" t="n"/>
      <c r="B262" s="5" t="n"/>
      <c r="C262" s="52" t="n"/>
      <c r="D262" s="52" t="n"/>
      <c r="E262" s="52" t="n"/>
      <c r="F262" s="52" t="n"/>
      <c r="G262" s="52" t="n"/>
      <c r="H262" s="52" t="n"/>
      <c r="I262" s="52" t="n"/>
      <c r="J262" s="52" t="n"/>
      <c r="K262" s="54" t="n"/>
      <c r="L262" s="5" t="n"/>
      <c r="M262" s="53">
        <f>IF(A262="","",IFERROR(INDEX(Firms!$B$5:$B$504,MATCH(A262,Firms!$A$5:$A$504,0)),"Not on Firms tab"))</f>
        <v/>
      </c>
      <c r="N262">
        <f>IF(AND(A262&lt;&gt;"",A262='Firm Search'!$C$7),COUNTIF($A$5:A262,'Firm Search'!$C$7),"")</f>
        <v/>
      </c>
    </row>
    <row r="263">
      <c r="A263" s="5" t="n"/>
      <c r="B263" s="5" t="n"/>
      <c r="C263" s="52" t="n"/>
      <c r="D263" s="52" t="n"/>
      <c r="E263" s="52" t="n"/>
      <c r="F263" s="52" t="n"/>
      <c r="G263" s="52" t="n"/>
      <c r="H263" s="52" t="n"/>
      <c r="I263" s="52" t="n"/>
      <c r="J263" s="52" t="n"/>
      <c r="K263" s="54" t="n"/>
      <c r="L263" s="5" t="n"/>
      <c r="M263" s="53">
        <f>IF(A263="","",IFERROR(INDEX(Firms!$B$5:$B$504,MATCH(A263,Firms!$A$5:$A$504,0)),"Not on Firms tab"))</f>
        <v/>
      </c>
      <c r="N263">
        <f>IF(AND(A263&lt;&gt;"",A263='Firm Search'!$C$7),COUNTIF($A$5:A263,'Firm Search'!$C$7),"")</f>
        <v/>
      </c>
    </row>
    <row r="264">
      <c r="A264" s="5" t="n"/>
      <c r="B264" s="5" t="n"/>
      <c r="C264" s="52" t="n"/>
      <c r="D264" s="52" t="n"/>
      <c r="E264" s="52" t="n"/>
      <c r="F264" s="52" t="n"/>
      <c r="G264" s="52" t="n"/>
      <c r="H264" s="52" t="n"/>
      <c r="I264" s="52" t="n"/>
      <c r="J264" s="52" t="n"/>
      <c r="K264" s="54" t="n"/>
      <c r="L264" s="5" t="n"/>
      <c r="M264" s="53">
        <f>IF(A264="","",IFERROR(INDEX(Firms!$B$5:$B$504,MATCH(A264,Firms!$A$5:$A$504,0)),"Not on Firms tab"))</f>
        <v/>
      </c>
      <c r="N264">
        <f>IF(AND(A264&lt;&gt;"",A264='Firm Search'!$C$7),COUNTIF($A$5:A264,'Firm Search'!$C$7),"")</f>
        <v/>
      </c>
    </row>
    <row r="265">
      <c r="A265" s="5" t="n"/>
      <c r="B265" s="5" t="n"/>
      <c r="C265" s="52" t="n"/>
      <c r="D265" s="52" t="n"/>
      <c r="E265" s="52" t="n"/>
      <c r="F265" s="52" t="n"/>
      <c r="G265" s="52" t="n"/>
      <c r="H265" s="52" t="n"/>
      <c r="I265" s="52" t="n"/>
      <c r="J265" s="52" t="n"/>
      <c r="K265" s="54" t="n"/>
      <c r="L265" s="5" t="n"/>
      <c r="M265" s="53">
        <f>IF(A265="","",IFERROR(INDEX(Firms!$B$5:$B$504,MATCH(A265,Firms!$A$5:$A$504,0)),"Not on Firms tab"))</f>
        <v/>
      </c>
      <c r="N265">
        <f>IF(AND(A265&lt;&gt;"",A265='Firm Search'!$C$7),COUNTIF($A$5:A265,'Firm Search'!$C$7),"")</f>
        <v/>
      </c>
    </row>
    <row r="266">
      <c r="A266" s="5" t="n"/>
      <c r="B266" s="5" t="n"/>
      <c r="C266" s="52" t="n"/>
      <c r="D266" s="52" t="n"/>
      <c r="E266" s="52" t="n"/>
      <c r="F266" s="52" t="n"/>
      <c r="G266" s="52" t="n"/>
      <c r="H266" s="52" t="n"/>
      <c r="I266" s="52" t="n"/>
      <c r="J266" s="52" t="n"/>
      <c r="K266" s="54" t="n"/>
      <c r="L266" s="5" t="n"/>
      <c r="M266" s="53">
        <f>IF(A266="","",IFERROR(INDEX(Firms!$B$5:$B$504,MATCH(A266,Firms!$A$5:$A$504,0)),"Not on Firms tab"))</f>
        <v/>
      </c>
      <c r="N266">
        <f>IF(AND(A266&lt;&gt;"",A266='Firm Search'!$C$7),COUNTIF($A$5:A266,'Firm Search'!$C$7),"")</f>
        <v/>
      </c>
    </row>
    <row r="267">
      <c r="A267" s="5" t="n"/>
      <c r="B267" s="5" t="n"/>
      <c r="C267" s="52" t="n"/>
      <c r="D267" s="52" t="n"/>
      <c r="E267" s="52" t="n"/>
      <c r="F267" s="52" t="n"/>
      <c r="G267" s="52" t="n"/>
      <c r="H267" s="52" t="n"/>
      <c r="I267" s="52" t="n"/>
      <c r="J267" s="52" t="n"/>
      <c r="K267" s="54" t="n"/>
      <c r="L267" s="5" t="n"/>
      <c r="M267" s="53">
        <f>IF(A267="","",IFERROR(INDEX(Firms!$B$5:$B$504,MATCH(A267,Firms!$A$5:$A$504,0)),"Not on Firms tab"))</f>
        <v/>
      </c>
      <c r="N267">
        <f>IF(AND(A267&lt;&gt;"",A267='Firm Search'!$C$7),COUNTIF($A$5:A267,'Firm Search'!$C$7),"")</f>
        <v/>
      </c>
    </row>
    <row r="268">
      <c r="A268" s="5" t="n"/>
      <c r="B268" s="5" t="n"/>
      <c r="C268" s="52" t="n"/>
      <c r="D268" s="52" t="n"/>
      <c r="E268" s="52" t="n"/>
      <c r="F268" s="52" t="n"/>
      <c r="G268" s="52" t="n"/>
      <c r="H268" s="52" t="n"/>
      <c r="I268" s="52" t="n"/>
      <c r="J268" s="52" t="n"/>
      <c r="K268" s="54" t="n"/>
      <c r="L268" s="5" t="n"/>
      <c r="M268" s="53">
        <f>IF(A268="","",IFERROR(INDEX(Firms!$B$5:$B$504,MATCH(A268,Firms!$A$5:$A$504,0)),"Not on Firms tab"))</f>
        <v/>
      </c>
      <c r="N268">
        <f>IF(AND(A268&lt;&gt;"",A268='Firm Search'!$C$7),COUNTIF($A$5:A268,'Firm Search'!$C$7),"")</f>
        <v/>
      </c>
    </row>
    <row r="269">
      <c r="A269" s="5" t="n"/>
      <c r="B269" s="5" t="n"/>
      <c r="C269" s="52" t="n"/>
      <c r="D269" s="52" t="n"/>
      <c r="E269" s="52" t="n"/>
      <c r="F269" s="52" t="n"/>
      <c r="G269" s="52" t="n"/>
      <c r="H269" s="52" t="n"/>
      <c r="I269" s="52" t="n"/>
      <c r="J269" s="52" t="n"/>
      <c r="K269" s="54" t="n"/>
      <c r="L269" s="5" t="n"/>
      <c r="M269" s="53">
        <f>IF(A269="","",IFERROR(INDEX(Firms!$B$5:$B$504,MATCH(A269,Firms!$A$5:$A$504,0)),"Not on Firms tab"))</f>
        <v/>
      </c>
      <c r="N269">
        <f>IF(AND(A269&lt;&gt;"",A269='Firm Search'!$C$7),COUNTIF($A$5:A269,'Firm Search'!$C$7),"")</f>
        <v/>
      </c>
    </row>
    <row r="270">
      <c r="A270" s="5" t="n"/>
      <c r="B270" s="5" t="n"/>
      <c r="C270" s="52" t="n"/>
      <c r="D270" s="52" t="n"/>
      <c r="E270" s="52" t="n"/>
      <c r="F270" s="52" t="n"/>
      <c r="G270" s="52" t="n"/>
      <c r="H270" s="52" t="n"/>
      <c r="I270" s="52" t="n"/>
      <c r="J270" s="52" t="n"/>
      <c r="K270" s="54" t="n"/>
      <c r="L270" s="5" t="n"/>
      <c r="M270" s="53">
        <f>IF(A270="","",IFERROR(INDEX(Firms!$B$5:$B$504,MATCH(A270,Firms!$A$5:$A$504,0)),"Not on Firms tab"))</f>
        <v/>
      </c>
      <c r="N270">
        <f>IF(AND(A270&lt;&gt;"",A270='Firm Search'!$C$7),COUNTIF($A$5:A270,'Firm Search'!$C$7),"")</f>
        <v/>
      </c>
    </row>
    <row r="271">
      <c r="A271" s="5" t="n"/>
      <c r="B271" s="5" t="n"/>
      <c r="C271" s="52" t="n"/>
      <c r="D271" s="52" t="n"/>
      <c r="E271" s="52" t="n"/>
      <c r="F271" s="52" t="n"/>
      <c r="G271" s="52" t="n"/>
      <c r="H271" s="52" t="n"/>
      <c r="I271" s="52" t="n"/>
      <c r="J271" s="52" t="n"/>
      <c r="K271" s="54" t="n"/>
      <c r="L271" s="5" t="n"/>
      <c r="M271" s="53">
        <f>IF(A271="","",IFERROR(INDEX(Firms!$B$5:$B$504,MATCH(A271,Firms!$A$5:$A$504,0)),"Not on Firms tab"))</f>
        <v/>
      </c>
      <c r="N271">
        <f>IF(AND(A271&lt;&gt;"",A271='Firm Search'!$C$7),COUNTIF($A$5:A271,'Firm Search'!$C$7),"")</f>
        <v/>
      </c>
    </row>
    <row r="272">
      <c r="A272" s="5" t="n"/>
      <c r="B272" s="5" t="n"/>
      <c r="C272" s="52" t="n"/>
      <c r="D272" s="52" t="n"/>
      <c r="E272" s="52" t="n"/>
      <c r="F272" s="52" t="n"/>
      <c r="G272" s="52" t="n"/>
      <c r="H272" s="52" t="n"/>
      <c r="I272" s="52" t="n"/>
      <c r="J272" s="52" t="n"/>
      <c r="K272" s="54" t="n"/>
      <c r="L272" s="5" t="n"/>
      <c r="M272" s="53">
        <f>IF(A272="","",IFERROR(INDEX(Firms!$B$5:$B$504,MATCH(A272,Firms!$A$5:$A$504,0)),"Not on Firms tab"))</f>
        <v/>
      </c>
      <c r="N272">
        <f>IF(AND(A272&lt;&gt;"",A272='Firm Search'!$C$7),COUNTIF($A$5:A272,'Firm Search'!$C$7),"")</f>
        <v/>
      </c>
    </row>
    <row r="273">
      <c r="A273" s="5" t="n"/>
      <c r="B273" s="5" t="n"/>
      <c r="C273" s="52" t="n"/>
      <c r="D273" s="52" t="n"/>
      <c r="E273" s="52" t="n"/>
      <c r="F273" s="52" t="n"/>
      <c r="G273" s="52" t="n"/>
      <c r="H273" s="52" t="n"/>
      <c r="I273" s="52" t="n"/>
      <c r="J273" s="52" t="n"/>
      <c r="K273" s="54" t="n"/>
      <c r="L273" s="5" t="n"/>
      <c r="M273" s="53">
        <f>IF(A273="","",IFERROR(INDEX(Firms!$B$5:$B$504,MATCH(A273,Firms!$A$5:$A$504,0)),"Not on Firms tab"))</f>
        <v/>
      </c>
      <c r="N273">
        <f>IF(AND(A273&lt;&gt;"",A273='Firm Search'!$C$7),COUNTIF($A$5:A273,'Firm Search'!$C$7),"")</f>
        <v/>
      </c>
    </row>
    <row r="274">
      <c r="A274" s="5" t="n"/>
      <c r="B274" s="5" t="n"/>
      <c r="C274" s="52" t="n"/>
      <c r="D274" s="52" t="n"/>
      <c r="E274" s="52" t="n"/>
      <c r="F274" s="52" t="n"/>
      <c r="G274" s="52" t="n"/>
      <c r="H274" s="52" t="n"/>
      <c r="I274" s="52" t="n"/>
      <c r="J274" s="52" t="n"/>
      <c r="K274" s="54" t="n"/>
      <c r="L274" s="5" t="n"/>
      <c r="M274" s="53">
        <f>IF(A274="","",IFERROR(INDEX(Firms!$B$5:$B$504,MATCH(A274,Firms!$A$5:$A$504,0)),"Not on Firms tab"))</f>
        <v/>
      </c>
      <c r="N274">
        <f>IF(AND(A274&lt;&gt;"",A274='Firm Search'!$C$7),COUNTIF($A$5:A274,'Firm Search'!$C$7),"")</f>
        <v/>
      </c>
    </row>
    <row r="275">
      <c r="A275" s="5" t="n"/>
      <c r="B275" s="5" t="n"/>
      <c r="C275" s="52" t="n"/>
      <c r="D275" s="52" t="n"/>
      <c r="E275" s="52" t="n"/>
      <c r="F275" s="52" t="n"/>
      <c r="G275" s="52" t="n"/>
      <c r="H275" s="52" t="n"/>
      <c r="I275" s="52" t="n"/>
      <c r="J275" s="52" t="n"/>
      <c r="K275" s="54" t="n"/>
      <c r="L275" s="5" t="n"/>
      <c r="M275" s="53">
        <f>IF(A275="","",IFERROR(INDEX(Firms!$B$5:$B$504,MATCH(A275,Firms!$A$5:$A$504,0)),"Not on Firms tab"))</f>
        <v/>
      </c>
      <c r="N275">
        <f>IF(AND(A275&lt;&gt;"",A275='Firm Search'!$C$7),COUNTIF($A$5:A275,'Firm Search'!$C$7),"")</f>
        <v/>
      </c>
    </row>
    <row r="276">
      <c r="A276" s="5" t="n"/>
      <c r="B276" s="5" t="n"/>
      <c r="C276" s="52" t="n"/>
      <c r="D276" s="52" t="n"/>
      <c r="E276" s="52" t="n"/>
      <c r="F276" s="52" t="n"/>
      <c r="G276" s="52" t="n"/>
      <c r="H276" s="52" t="n"/>
      <c r="I276" s="52" t="n"/>
      <c r="J276" s="52" t="n"/>
      <c r="K276" s="54" t="n"/>
      <c r="L276" s="5" t="n"/>
      <c r="M276" s="53">
        <f>IF(A276="","",IFERROR(INDEX(Firms!$B$5:$B$504,MATCH(A276,Firms!$A$5:$A$504,0)),"Not on Firms tab"))</f>
        <v/>
      </c>
      <c r="N276">
        <f>IF(AND(A276&lt;&gt;"",A276='Firm Search'!$C$7),COUNTIF($A$5:A276,'Firm Search'!$C$7),"")</f>
        <v/>
      </c>
    </row>
    <row r="277">
      <c r="A277" s="5" t="n"/>
      <c r="B277" s="5" t="n"/>
      <c r="C277" s="52" t="n"/>
      <c r="D277" s="52" t="n"/>
      <c r="E277" s="52" t="n"/>
      <c r="F277" s="52" t="n"/>
      <c r="G277" s="52" t="n"/>
      <c r="H277" s="52" t="n"/>
      <c r="I277" s="52" t="n"/>
      <c r="J277" s="52" t="n"/>
      <c r="K277" s="54" t="n"/>
      <c r="L277" s="5" t="n"/>
      <c r="M277" s="53">
        <f>IF(A277="","",IFERROR(INDEX(Firms!$B$5:$B$504,MATCH(A277,Firms!$A$5:$A$504,0)),"Not on Firms tab"))</f>
        <v/>
      </c>
      <c r="N277">
        <f>IF(AND(A277&lt;&gt;"",A277='Firm Search'!$C$7),COUNTIF($A$5:A277,'Firm Search'!$C$7),"")</f>
        <v/>
      </c>
    </row>
    <row r="278">
      <c r="A278" s="5" t="n"/>
      <c r="B278" s="5" t="n"/>
      <c r="C278" s="52" t="n"/>
      <c r="D278" s="52" t="n"/>
      <c r="E278" s="52" t="n"/>
      <c r="F278" s="52" t="n"/>
      <c r="G278" s="52" t="n"/>
      <c r="H278" s="52" t="n"/>
      <c r="I278" s="52" t="n"/>
      <c r="J278" s="52" t="n"/>
      <c r="K278" s="54" t="n"/>
      <c r="L278" s="5" t="n"/>
      <c r="M278" s="53">
        <f>IF(A278="","",IFERROR(INDEX(Firms!$B$5:$B$504,MATCH(A278,Firms!$A$5:$A$504,0)),"Not on Firms tab"))</f>
        <v/>
      </c>
      <c r="N278">
        <f>IF(AND(A278&lt;&gt;"",A278='Firm Search'!$C$7),COUNTIF($A$5:A278,'Firm Search'!$C$7),"")</f>
        <v/>
      </c>
    </row>
    <row r="279">
      <c r="A279" s="5" t="n"/>
      <c r="B279" s="5" t="n"/>
      <c r="C279" s="52" t="n"/>
      <c r="D279" s="52" t="n"/>
      <c r="E279" s="52" t="n"/>
      <c r="F279" s="52" t="n"/>
      <c r="G279" s="52" t="n"/>
      <c r="H279" s="52" t="n"/>
      <c r="I279" s="52" t="n"/>
      <c r="J279" s="52" t="n"/>
      <c r="K279" s="54" t="n"/>
      <c r="L279" s="5" t="n"/>
      <c r="M279" s="53">
        <f>IF(A279="","",IFERROR(INDEX(Firms!$B$5:$B$504,MATCH(A279,Firms!$A$5:$A$504,0)),"Not on Firms tab"))</f>
        <v/>
      </c>
      <c r="N279">
        <f>IF(AND(A279&lt;&gt;"",A279='Firm Search'!$C$7),COUNTIF($A$5:A279,'Firm Search'!$C$7),"")</f>
        <v/>
      </c>
    </row>
    <row r="280">
      <c r="A280" s="5" t="n"/>
      <c r="B280" s="5" t="n"/>
      <c r="C280" s="52" t="n"/>
      <c r="D280" s="52" t="n"/>
      <c r="E280" s="52" t="n"/>
      <c r="F280" s="52" t="n"/>
      <c r="G280" s="52" t="n"/>
      <c r="H280" s="52" t="n"/>
      <c r="I280" s="52" t="n"/>
      <c r="J280" s="52" t="n"/>
      <c r="K280" s="54" t="n"/>
      <c r="L280" s="5" t="n"/>
      <c r="M280" s="53">
        <f>IF(A280="","",IFERROR(INDEX(Firms!$B$5:$B$504,MATCH(A280,Firms!$A$5:$A$504,0)),"Not on Firms tab"))</f>
        <v/>
      </c>
      <c r="N280">
        <f>IF(AND(A280&lt;&gt;"",A280='Firm Search'!$C$7),COUNTIF($A$5:A280,'Firm Search'!$C$7),"")</f>
        <v/>
      </c>
    </row>
    <row r="281">
      <c r="A281" s="5" t="n"/>
      <c r="B281" s="5" t="n"/>
      <c r="C281" s="52" t="n"/>
      <c r="D281" s="52" t="n"/>
      <c r="E281" s="52" t="n"/>
      <c r="F281" s="52" t="n"/>
      <c r="G281" s="52" t="n"/>
      <c r="H281" s="52" t="n"/>
      <c r="I281" s="52" t="n"/>
      <c r="J281" s="52" t="n"/>
      <c r="K281" s="54" t="n"/>
      <c r="L281" s="5" t="n"/>
      <c r="M281" s="53">
        <f>IF(A281="","",IFERROR(INDEX(Firms!$B$5:$B$504,MATCH(A281,Firms!$A$5:$A$504,0)),"Not on Firms tab"))</f>
        <v/>
      </c>
      <c r="N281">
        <f>IF(AND(A281&lt;&gt;"",A281='Firm Search'!$C$7),COUNTIF($A$5:A281,'Firm Search'!$C$7),"")</f>
        <v/>
      </c>
    </row>
    <row r="282">
      <c r="A282" s="5" t="n"/>
      <c r="B282" s="5" t="n"/>
      <c r="C282" s="52" t="n"/>
      <c r="D282" s="52" t="n"/>
      <c r="E282" s="52" t="n"/>
      <c r="F282" s="52" t="n"/>
      <c r="G282" s="52" t="n"/>
      <c r="H282" s="52" t="n"/>
      <c r="I282" s="52" t="n"/>
      <c r="J282" s="52" t="n"/>
      <c r="K282" s="54" t="n"/>
      <c r="L282" s="5" t="n"/>
      <c r="M282" s="53">
        <f>IF(A282="","",IFERROR(INDEX(Firms!$B$5:$B$504,MATCH(A282,Firms!$A$5:$A$504,0)),"Not on Firms tab"))</f>
        <v/>
      </c>
      <c r="N282">
        <f>IF(AND(A282&lt;&gt;"",A282='Firm Search'!$C$7),COUNTIF($A$5:A282,'Firm Search'!$C$7),"")</f>
        <v/>
      </c>
    </row>
    <row r="283">
      <c r="A283" s="5" t="n"/>
      <c r="B283" s="5" t="n"/>
      <c r="C283" s="52" t="n"/>
      <c r="D283" s="52" t="n"/>
      <c r="E283" s="52" t="n"/>
      <c r="F283" s="52" t="n"/>
      <c r="G283" s="52" t="n"/>
      <c r="H283" s="52" t="n"/>
      <c r="I283" s="52" t="n"/>
      <c r="J283" s="52" t="n"/>
      <c r="K283" s="54" t="n"/>
      <c r="L283" s="5" t="n"/>
      <c r="M283" s="53">
        <f>IF(A283="","",IFERROR(INDEX(Firms!$B$5:$B$504,MATCH(A283,Firms!$A$5:$A$504,0)),"Not on Firms tab"))</f>
        <v/>
      </c>
      <c r="N283">
        <f>IF(AND(A283&lt;&gt;"",A283='Firm Search'!$C$7),COUNTIF($A$5:A283,'Firm Search'!$C$7),"")</f>
        <v/>
      </c>
    </row>
    <row r="284">
      <c r="A284" s="5" t="n"/>
      <c r="B284" s="5" t="n"/>
      <c r="C284" s="52" t="n"/>
      <c r="D284" s="52" t="n"/>
      <c r="E284" s="52" t="n"/>
      <c r="F284" s="52" t="n"/>
      <c r="G284" s="52" t="n"/>
      <c r="H284" s="52" t="n"/>
      <c r="I284" s="52" t="n"/>
      <c r="J284" s="52" t="n"/>
      <c r="K284" s="54" t="n"/>
      <c r="L284" s="5" t="n"/>
      <c r="M284" s="53">
        <f>IF(A284="","",IFERROR(INDEX(Firms!$B$5:$B$504,MATCH(A284,Firms!$A$5:$A$504,0)),"Not on Firms tab"))</f>
        <v/>
      </c>
      <c r="N284">
        <f>IF(AND(A284&lt;&gt;"",A284='Firm Search'!$C$7),COUNTIF($A$5:A284,'Firm Search'!$C$7),"")</f>
        <v/>
      </c>
    </row>
    <row r="285">
      <c r="A285" s="5" t="n"/>
      <c r="B285" s="5" t="n"/>
      <c r="C285" s="52" t="n"/>
      <c r="D285" s="52" t="n"/>
      <c r="E285" s="52" t="n"/>
      <c r="F285" s="52" t="n"/>
      <c r="G285" s="52" t="n"/>
      <c r="H285" s="52" t="n"/>
      <c r="I285" s="52" t="n"/>
      <c r="J285" s="52" t="n"/>
      <c r="K285" s="54" t="n"/>
      <c r="L285" s="5" t="n"/>
      <c r="M285" s="53">
        <f>IF(A285="","",IFERROR(INDEX(Firms!$B$5:$B$504,MATCH(A285,Firms!$A$5:$A$504,0)),"Not on Firms tab"))</f>
        <v/>
      </c>
      <c r="N285">
        <f>IF(AND(A285&lt;&gt;"",A285='Firm Search'!$C$7),COUNTIF($A$5:A285,'Firm Search'!$C$7),"")</f>
        <v/>
      </c>
    </row>
    <row r="286">
      <c r="A286" s="5" t="n"/>
      <c r="B286" s="5" t="n"/>
      <c r="C286" s="52" t="n"/>
      <c r="D286" s="52" t="n"/>
      <c r="E286" s="52" t="n"/>
      <c r="F286" s="52" t="n"/>
      <c r="G286" s="52" t="n"/>
      <c r="H286" s="52" t="n"/>
      <c r="I286" s="52" t="n"/>
      <c r="J286" s="52" t="n"/>
      <c r="K286" s="54" t="n"/>
      <c r="L286" s="5" t="n"/>
      <c r="M286" s="53">
        <f>IF(A286="","",IFERROR(INDEX(Firms!$B$5:$B$504,MATCH(A286,Firms!$A$5:$A$504,0)),"Not on Firms tab"))</f>
        <v/>
      </c>
      <c r="N286">
        <f>IF(AND(A286&lt;&gt;"",A286='Firm Search'!$C$7),COUNTIF($A$5:A286,'Firm Search'!$C$7),"")</f>
        <v/>
      </c>
    </row>
    <row r="287">
      <c r="A287" s="5" t="n"/>
      <c r="B287" s="5" t="n"/>
      <c r="C287" s="52" t="n"/>
      <c r="D287" s="52" t="n"/>
      <c r="E287" s="52" t="n"/>
      <c r="F287" s="52" t="n"/>
      <c r="G287" s="52" t="n"/>
      <c r="H287" s="52" t="n"/>
      <c r="I287" s="52" t="n"/>
      <c r="J287" s="52" t="n"/>
      <c r="K287" s="54" t="n"/>
      <c r="L287" s="5" t="n"/>
      <c r="M287" s="53">
        <f>IF(A287="","",IFERROR(INDEX(Firms!$B$5:$B$504,MATCH(A287,Firms!$A$5:$A$504,0)),"Not on Firms tab"))</f>
        <v/>
      </c>
      <c r="N287">
        <f>IF(AND(A287&lt;&gt;"",A287='Firm Search'!$C$7),COUNTIF($A$5:A287,'Firm Search'!$C$7),"")</f>
        <v/>
      </c>
    </row>
    <row r="288">
      <c r="A288" s="5" t="n"/>
      <c r="B288" s="5" t="n"/>
      <c r="C288" s="52" t="n"/>
      <c r="D288" s="52" t="n"/>
      <c r="E288" s="52" t="n"/>
      <c r="F288" s="52" t="n"/>
      <c r="G288" s="52" t="n"/>
      <c r="H288" s="52" t="n"/>
      <c r="I288" s="52" t="n"/>
      <c r="J288" s="52" t="n"/>
      <c r="K288" s="54" t="n"/>
      <c r="L288" s="5" t="n"/>
      <c r="M288" s="53">
        <f>IF(A288="","",IFERROR(INDEX(Firms!$B$5:$B$504,MATCH(A288,Firms!$A$5:$A$504,0)),"Not on Firms tab"))</f>
        <v/>
      </c>
      <c r="N288">
        <f>IF(AND(A288&lt;&gt;"",A288='Firm Search'!$C$7),COUNTIF($A$5:A288,'Firm Search'!$C$7),"")</f>
        <v/>
      </c>
    </row>
    <row r="289">
      <c r="A289" s="5" t="n"/>
      <c r="B289" s="5" t="n"/>
      <c r="C289" s="52" t="n"/>
      <c r="D289" s="52" t="n"/>
      <c r="E289" s="52" t="n"/>
      <c r="F289" s="52" t="n"/>
      <c r="G289" s="52" t="n"/>
      <c r="H289" s="52" t="n"/>
      <c r="I289" s="52" t="n"/>
      <c r="J289" s="52" t="n"/>
      <c r="K289" s="54" t="n"/>
      <c r="L289" s="5" t="n"/>
      <c r="M289" s="53">
        <f>IF(A289="","",IFERROR(INDEX(Firms!$B$5:$B$504,MATCH(A289,Firms!$A$5:$A$504,0)),"Not on Firms tab"))</f>
        <v/>
      </c>
      <c r="N289">
        <f>IF(AND(A289&lt;&gt;"",A289='Firm Search'!$C$7),COUNTIF($A$5:A289,'Firm Search'!$C$7),"")</f>
        <v/>
      </c>
    </row>
    <row r="290">
      <c r="A290" s="5" t="n"/>
      <c r="B290" s="5" t="n"/>
      <c r="C290" s="52" t="n"/>
      <c r="D290" s="52" t="n"/>
      <c r="E290" s="52" t="n"/>
      <c r="F290" s="52" t="n"/>
      <c r="G290" s="52" t="n"/>
      <c r="H290" s="52" t="n"/>
      <c r="I290" s="52" t="n"/>
      <c r="J290" s="52" t="n"/>
      <c r="K290" s="54" t="n"/>
      <c r="L290" s="5" t="n"/>
      <c r="M290" s="53">
        <f>IF(A290="","",IFERROR(INDEX(Firms!$B$5:$B$504,MATCH(A290,Firms!$A$5:$A$504,0)),"Not on Firms tab"))</f>
        <v/>
      </c>
      <c r="N290">
        <f>IF(AND(A290&lt;&gt;"",A290='Firm Search'!$C$7),COUNTIF($A$5:A290,'Firm Search'!$C$7),"")</f>
        <v/>
      </c>
    </row>
    <row r="291">
      <c r="A291" s="5" t="n"/>
      <c r="B291" s="5" t="n"/>
      <c r="C291" s="52" t="n"/>
      <c r="D291" s="52" t="n"/>
      <c r="E291" s="52" t="n"/>
      <c r="F291" s="52" t="n"/>
      <c r="G291" s="52" t="n"/>
      <c r="H291" s="52" t="n"/>
      <c r="I291" s="52" t="n"/>
      <c r="J291" s="52" t="n"/>
      <c r="K291" s="54" t="n"/>
      <c r="L291" s="5" t="n"/>
      <c r="M291" s="53">
        <f>IF(A291="","",IFERROR(INDEX(Firms!$B$5:$B$504,MATCH(A291,Firms!$A$5:$A$504,0)),"Not on Firms tab"))</f>
        <v/>
      </c>
      <c r="N291">
        <f>IF(AND(A291&lt;&gt;"",A291='Firm Search'!$C$7),COUNTIF($A$5:A291,'Firm Search'!$C$7),"")</f>
        <v/>
      </c>
    </row>
    <row r="292">
      <c r="A292" s="5" t="n"/>
      <c r="B292" s="5" t="n"/>
      <c r="C292" s="52" t="n"/>
      <c r="D292" s="52" t="n"/>
      <c r="E292" s="52" t="n"/>
      <c r="F292" s="52" t="n"/>
      <c r="G292" s="52" t="n"/>
      <c r="H292" s="52" t="n"/>
      <c r="I292" s="52" t="n"/>
      <c r="J292" s="52" t="n"/>
      <c r="K292" s="54" t="n"/>
      <c r="L292" s="5" t="n"/>
      <c r="M292" s="53">
        <f>IF(A292="","",IFERROR(INDEX(Firms!$B$5:$B$504,MATCH(A292,Firms!$A$5:$A$504,0)),"Not on Firms tab"))</f>
        <v/>
      </c>
      <c r="N292">
        <f>IF(AND(A292&lt;&gt;"",A292='Firm Search'!$C$7),COUNTIF($A$5:A292,'Firm Search'!$C$7),"")</f>
        <v/>
      </c>
    </row>
    <row r="293">
      <c r="A293" s="5" t="n"/>
      <c r="B293" s="5" t="n"/>
      <c r="C293" s="52" t="n"/>
      <c r="D293" s="52" t="n"/>
      <c r="E293" s="52" t="n"/>
      <c r="F293" s="52" t="n"/>
      <c r="G293" s="52" t="n"/>
      <c r="H293" s="52" t="n"/>
      <c r="I293" s="52" t="n"/>
      <c r="J293" s="52" t="n"/>
      <c r="K293" s="54" t="n"/>
      <c r="L293" s="5" t="n"/>
      <c r="M293" s="53">
        <f>IF(A293="","",IFERROR(INDEX(Firms!$B$5:$B$504,MATCH(A293,Firms!$A$5:$A$504,0)),"Not on Firms tab"))</f>
        <v/>
      </c>
      <c r="N293">
        <f>IF(AND(A293&lt;&gt;"",A293='Firm Search'!$C$7),COUNTIF($A$5:A293,'Firm Search'!$C$7),"")</f>
        <v/>
      </c>
    </row>
    <row r="294">
      <c r="A294" s="5" t="n"/>
      <c r="B294" s="5" t="n"/>
      <c r="C294" s="52" t="n"/>
      <c r="D294" s="52" t="n"/>
      <c r="E294" s="52" t="n"/>
      <c r="F294" s="52" t="n"/>
      <c r="G294" s="52" t="n"/>
      <c r="H294" s="52" t="n"/>
      <c r="I294" s="52" t="n"/>
      <c r="J294" s="52" t="n"/>
      <c r="K294" s="54" t="n"/>
      <c r="L294" s="5" t="n"/>
      <c r="M294" s="53">
        <f>IF(A294="","",IFERROR(INDEX(Firms!$B$5:$B$504,MATCH(A294,Firms!$A$5:$A$504,0)),"Not on Firms tab"))</f>
        <v/>
      </c>
      <c r="N294">
        <f>IF(AND(A294&lt;&gt;"",A294='Firm Search'!$C$7),COUNTIF($A$5:A294,'Firm Search'!$C$7),"")</f>
        <v/>
      </c>
    </row>
    <row r="295">
      <c r="A295" s="5" t="n"/>
      <c r="B295" s="5" t="n"/>
      <c r="C295" s="52" t="n"/>
      <c r="D295" s="52" t="n"/>
      <c r="E295" s="52" t="n"/>
      <c r="F295" s="52" t="n"/>
      <c r="G295" s="52" t="n"/>
      <c r="H295" s="52" t="n"/>
      <c r="I295" s="52" t="n"/>
      <c r="J295" s="52" t="n"/>
      <c r="K295" s="54" t="n"/>
      <c r="L295" s="5" t="n"/>
      <c r="M295" s="53">
        <f>IF(A295="","",IFERROR(INDEX(Firms!$B$5:$B$504,MATCH(A295,Firms!$A$5:$A$504,0)),"Not on Firms tab"))</f>
        <v/>
      </c>
      <c r="N295">
        <f>IF(AND(A295&lt;&gt;"",A295='Firm Search'!$C$7),COUNTIF($A$5:A295,'Firm Search'!$C$7),"")</f>
        <v/>
      </c>
    </row>
    <row r="296">
      <c r="A296" s="5" t="n"/>
      <c r="B296" s="5" t="n"/>
      <c r="C296" s="52" t="n"/>
      <c r="D296" s="52" t="n"/>
      <c r="E296" s="52" t="n"/>
      <c r="F296" s="52" t="n"/>
      <c r="G296" s="52" t="n"/>
      <c r="H296" s="52" t="n"/>
      <c r="I296" s="52" t="n"/>
      <c r="J296" s="52" t="n"/>
      <c r="K296" s="54" t="n"/>
      <c r="L296" s="5" t="n"/>
      <c r="M296" s="53">
        <f>IF(A296="","",IFERROR(INDEX(Firms!$B$5:$B$504,MATCH(A296,Firms!$A$5:$A$504,0)),"Not on Firms tab"))</f>
        <v/>
      </c>
      <c r="N296">
        <f>IF(AND(A296&lt;&gt;"",A296='Firm Search'!$C$7),COUNTIF($A$5:A296,'Firm Search'!$C$7),"")</f>
        <v/>
      </c>
    </row>
    <row r="297">
      <c r="A297" s="5" t="n"/>
      <c r="B297" s="5" t="n"/>
      <c r="C297" s="52" t="n"/>
      <c r="D297" s="52" t="n"/>
      <c r="E297" s="52" t="n"/>
      <c r="F297" s="52" t="n"/>
      <c r="G297" s="52" t="n"/>
      <c r="H297" s="52" t="n"/>
      <c r="I297" s="52" t="n"/>
      <c r="J297" s="52" t="n"/>
      <c r="K297" s="54" t="n"/>
      <c r="L297" s="5" t="n"/>
      <c r="M297" s="53">
        <f>IF(A297="","",IFERROR(INDEX(Firms!$B$5:$B$504,MATCH(A297,Firms!$A$5:$A$504,0)),"Not on Firms tab"))</f>
        <v/>
      </c>
      <c r="N297">
        <f>IF(AND(A297&lt;&gt;"",A297='Firm Search'!$C$7),COUNTIF($A$5:A297,'Firm Search'!$C$7),"")</f>
        <v/>
      </c>
    </row>
    <row r="298">
      <c r="A298" s="5" t="n"/>
      <c r="B298" s="5" t="n"/>
      <c r="C298" s="52" t="n"/>
      <c r="D298" s="52" t="n"/>
      <c r="E298" s="52" t="n"/>
      <c r="F298" s="52" t="n"/>
      <c r="G298" s="52" t="n"/>
      <c r="H298" s="52" t="n"/>
      <c r="I298" s="52" t="n"/>
      <c r="J298" s="52" t="n"/>
      <c r="K298" s="54" t="n"/>
      <c r="L298" s="5" t="n"/>
      <c r="M298" s="53">
        <f>IF(A298="","",IFERROR(INDEX(Firms!$B$5:$B$504,MATCH(A298,Firms!$A$5:$A$504,0)),"Not on Firms tab"))</f>
        <v/>
      </c>
      <c r="N298">
        <f>IF(AND(A298&lt;&gt;"",A298='Firm Search'!$C$7),COUNTIF($A$5:A298,'Firm Search'!$C$7),"")</f>
        <v/>
      </c>
    </row>
    <row r="299">
      <c r="A299" s="5" t="n"/>
      <c r="B299" s="5" t="n"/>
      <c r="C299" s="52" t="n"/>
      <c r="D299" s="52" t="n"/>
      <c r="E299" s="52" t="n"/>
      <c r="F299" s="52" t="n"/>
      <c r="G299" s="52" t="n"/>
      <c r="H299" s="52" t="n"/>
      <c r="I299" s="52" t="n"/>
      <c r="J299" s="52" t="n"/>
      <c r="K299" s="54" t="n"/>
      <c r="L299" s="5" t="n"/>
      <c r="M299" s="53">
        <f>IF(A299="","",IFERROR(INDEX(Firms!$B$5:$B$504,MATCH(A299,Firms!$A$5:$A$504,0)),"Not on Firms tab"))</f>
        <v/>
      </c>
      <c r="N299">
        <f>IF(AND(A299&lt;&gt;"",A299='Firm Search'!$C$7),COUNTIF($A$5:A299,'Firm Search'!$C$7),"")</f>
        <v/>
      </c>
    </row>
    <row r="300">
      <c r="A300" s="5" t="n"/>
      <c r="B300" s="5" t="n"/>
      <c r="C300" s="52" t="n"/>
      <c r="D300" s="52" t="n"/>
      <c r="E300" s="52" t="n"/>
      <c r="F300" s="52" t="n"/>
      <c r="G300" s="52" t="n"/>
      <c r="H300" s="52" t="n"/>
      <c r="I300" s="52" t="n"/>
      <c r="J300" s="52" t="n"/>
      <c r="K300" s="54" t="n"/>
      <c r="L300" s="5" t="n"/>
      <c r="M300" s="53">
        <f>IF(A300="","",IFERROR(INDEX(Firms!$B$5:$B$504,MATCH(A300,Firms!$A$5:$A$504,0)),"Not on Firms tab"))</f>
        <v/>
      </c>
      <c r="N300">
        <f>IF(AND(A300&lt;&gt;"",A300='Firm Search'!$C$7),COUNTIF($A$5:A300,'Firm Search'!$C$7),"")</f>
        <v/>
      </c>
    </row>
    <row r="301">
      <c r="A301" s="5" t="n"/>
      <c r="B301" s="5" t="n"/>
      <c r="C301" s="52" t="n"/>
      <c r="D301" s="52" t="n"/>
      <c r="E301" s="52" t="n"/>
      <c r="F301" s="52" t="n"/>
      <c r="G301" s="52" t="n"/>
      <c r="H301" s="52" t="n"/>
      <c r="I301" s="52" t="n"/>
      <c r="J301" s="52" t="n"/>
      <c r="K301" s="54" t="n"/>
      <c r="L301" s="5" t="n"/>
      <c r="M301" s="53">
        <f>IF(A301="","",IFERROR(INDEX(Firms!$B$5:$B$504,MATCH(A301,Firms!$A$5:$A$504,0)),"Not on Firms tab"))</f>
        <v/>
      </c>
      <c r="N301">
        <f>IF(AND(A301&lt;&gt;"",A301='Firm Search'!$C$7),COUNTIF($A$5:A301,'Firm Search'!$C$7),"")</f>
        <v/>
      </c>
    </row>
    <row r="302">
      <c r="A302" s="5" t="n"/>
      <c r="B302" s="5" t="n"/>
      <c r="C302" s="52" t="n"/>
      <c r="D302" s="52" t="n"/>
      <c r="E302" s="52" t="n"/>
      <c r="F302" s="52" t="n"/>
      <c r="G302" s="52" t="n"/>
      <c r="H302" s="52" t="n"/>
      <c r="I302" s="52" t="n"/>
      <c r="J302" s="52" t="n"/>
      <c r="K302" s="54" t="n"/>
      <c r="L302" s="5" t="n"/>
      <c r="M302" s="53">
        <f>IF(A302="","",IFERROR(INDEX(Firms!$B$5:$B$504,MATCH(A302,Firms!$A$5:$A$504,0)),"Not on Firms tab"))</f>
        <v/>
      </c>
      <c r="N302">
        <f>IF(AND(A302&lt;&gt;"",A302='Firm Search'!$C$7),COUNTIF($A$5:A302,'Firm Search'!$C$7),"")</f>
        <v/>
      </c>
    </row>
    <row r="303">
      <c r="A303" s="5" t="n"/>
      <c r="B303" s="5" t="n"/>
      <c r="C303" s="52" t="n"/>
      <c r="D303" s="52" t="n"/>
      <c r="E303" s="52" t="n"/>
      <c r="F303" s="52" t="n"/>
      <c r="G303" s="52" t="n"/>
      <c r="H303" s="52" t="n"/>
      <c r="I303" s="52" t="n"/>
      <c r="J303" s="52" t="n"/>
      <c r="K303" s="54" t="n"/>
      <c r="L303" s="5" t="n"/>
      <c r="M303" s="53">
        <f>IF(A303="","",IFERROR(INDEX(Firms!$B$5:$B$504,MATCH(A303,Firms!$A$5:$A$504,0)),"Not on Firms tab"))</f>
        <v/>
      </c>
      <c r="N303">
        <f>IF(AND(A303&lt;&gt;"",A303='Firm Search'!$C$7),COUNTIF($A$5:A303,'Firm Search'!$C$7),"")</f>
        <v/>
      </c>
    </row>
    <row r="304">
      <c r="A304" s="5" t="n"/>
      <c r="B304" s="5" t="n"/>
      <c r="C304" s="52" t="n"/>
      <c r="D304" s="52" t="n"/>
      <c r="E304" s="52" t="n"/>
      <c r="F304" s="52" t="n"/>
      <c r="G304" s="52" t="n"/>
      <c r="H304" s="52" t="n"/>
      <c r="I304" s="52" t="n"/>
      <c r="J304" s="52" t="n"/>
      <c r="K304" s="54" t="n"/>
      <c r="L304" s="5" t="n"/>
      <c r="M304" s="53">
        <f>IF(A304="","",IFERROR(INDEX(Firms!$B$5:$B$504,MATCH(A304,Firms!$A$5:$A$504,0)),"Not on Firms tab"))</f>
        <v/>
      </c>
      <c r="N304">
        <f>IF(AND(A304&lt;&gt;"",A304='Firm Search'!$C$7),COUNTIF($A$5:A304,'Firm Search'!$C$7),"")</f>
        <v/>
      </c>
    </row>
    <row r="305">
      <c r="A305" s="5" t="n"/>
      <c r="B305" s="5" t="n"/>
      <c r="C305" s="52" t="n"/>
      <c r="D305" s="52" t="n"/>
      <c r="E305" s="52" t="n"/>
      <c r="F305" s="52" t="n"/>
      <c r="G305" s="52" t="n"/>
      <c r="H305" s="52" t="n"/>
      <c r="I305" s="52" t="n"/>
      <c r="J305" s="52" t="n"/>
      <c r="K305" s="54" t="n"/>
      <c r="L305" s="5" t="n"/>
      <c r="M305" s="53">
        <f>IF(A305="","",IFERROR(INDEX(Firms!$B$5:$B$504,MATCH(A305,Firms!$A$5:$A$504,0)),"Not on Firms tab"))</f>
        <v/>
      </c>
      <c r="N305">
        <f>IF(AND(A305&lt;&gt;"",A305='Firm Search'!$C$7),COUNTIF($A$5:A305,'Firm Search'!$C$7),"")</f>
        <v/>
      </c>
    </row>
    <row r="306">
      <c r="A306" s="5" t="n"/>
      <c r="B306" s="5" t="n"/>
      <c r="C306" s="52" t="n"/>
      <c r="D306" s="52" t="n"/>
      <c r="E306" s="52" t="n"/>
      <c r="F306" s="52" t="n"/>
      <c r="G306" s="52" t="n"/>
      <c r="H306" s="52" t="n"/>
      <c r="I306" s="52" t="n"/>
      <c r="J306" s="52" t="n"/>
      <c r="K306" s="54" t="n"/>
      <c r="L306" s="5" t="n"/>
      <c r="M306" s="53">
        <f>IF(A306="","",IFERROR(INDEX(Firms!$B$5:$B$504,MATCH(A306,Firms!$A$5:$A$504,0)),"Not on Firms tab"))</f>
        <v/>
      </c>
      <c r="N306">
        <f>IF(AND(A306&lt;&gt;"",A306='Firm Search'!$C$7),COUNTIF($A$5:A306,'Firm Search'!$C$7),"")</f>
        <v/>
      </c>
    </row>
    <row r="307">
      <c r="A307" s="5" t="n"/>
      <c r="B307" s="5" t="n"/>
      <c r="C307" s="52" t="n"/>
      <c r="D307" s="52" t="n"/>
      <c r="E307" s="52" t="n"/>
      <c r="F307" s="52" t="n"/>
      <c r="G307" s="52" t="n"/>
      <c r="H307" s="52" t="n"/>
      <c r="I307" s="52" t="n"/>
      <c r="J307" s="52" t="n"/>
      <c r="K307" s="54" t="n"/>
      <c r="L307" s="5" t="n"/>
      <c r="M307" s="53">
        <f>IF(A307="","",IFERROR(INDEX(Firms!$B$5:$B$504,MATCH(A307,Firms!$A$5:$A$504,0)),"Not on Firms tab"))</f>
        <v/>
      </c>
      <c r="N307">
        <f>IF(AND(A307&lt;&gt;"",A307='Firm Search'!$C$7),COUNTIF($A$5:A307,'Firm Search'!$C$7),"")</f>
        <v/>
      </c>
    </row>
    <row r="308">
      <c r="A308" s="5" t="n"/>
      <c r="B308" s="5" t="n"/>
      <c r="C308" s="52" t="n"/>
      <c r="D308" s="52" t="n"/>
      <c r="E308" s="52" t="n"/>
      <c r="F308" s="52" t="n"/>
      <c r="G308" s="52" t="n"/>
      <c r="H308" s="52" t="n"/>
      <c r="I308" s="52" t="n"/>
      <c r="J308" s="52" t="n"/>
      <c r="K308" s="54" t="n"/>
      <c r="L308" s="5" t="n"/>
      <c r="M308" s="53">
        <f>IF(A308="","",IFERROR(INDEX(Firms!$B$5:$B$504,MATCH(A308,Firms!$A$5:$A$504,0)),"Not on Firms tab"))</f>
        <v/>
      </c>
      <c r="N308">
        <f>IF(AND(A308&lt;&gt;"",A308='Firm Search'!$C$7),COUNTIF($A$5:A308,'Firm Search'!$C$7),"")</f>
        <v/>
      </c>
    </row>
    <row r="309">
      <c r="A309" s="5" t="n"/>
      <c r="B309" s="5" t="n"/>
      <c r="C309" s="52" t="n"/>
      <c r="D309" s="52" t="n"/>
      <c r="E309" s="52" t="n"/>
      <c r="F309" s="52" t="n"/>
      <c r="G309" s="52" t="n"/>
      <c r="H309" s="52" t="n"/>
      <c r="I309" s="52" t="n"/>
      <c r="J309" s="52" t="n"/>
      <c r="K309" s="54" t="n"/>
      <c r="L309" s="5" t="n"/>
      <c r="M309" s="53">
        <f>IF(A309="","",IFERROR(INDEX(Firms!$B$5:$B$504,MATCH(A309,Firms!$A$5:$A$504,0)),"Not on Firms tab"))</f>
        <v/>
      </c>
      <c r="N309">
        <f>IF(AND(A309&lt;&gt;"",A309='Firm Search'!$C$7),COUNTIF($A$5:A309,'Firm Search'!$C$7),"")</f>
        <v/>
      </c>
    </row>
    <row r="310">
      <c r="A310" s="5" t="n"/>
      <c r="B310" s="5" t="n"/>
      <c r="C310" s="52" t="n"/>
      <c r="D310" s="52" t="n"/>
      <c r="E310" s="52" t="n"/>
      <c r="F310" s="52" t="n"/>
      <c r="G310" s="52" t="n"/>
      <c r="H310" s="52" t="n"/>
      <c r="I310" s="52" t="n"/>
      <c r="J310" s="52" t="n"/>
      <c r="K310" s="54" t="n"/>
      <c r="L310" s="5" t="n"/>
      <c r="M310" s="53">
        <f>IF(A310="","",IFERROR(INDEX(Firms!$B$5:$B$504,MATCH(A310,Firms!$A$5:$A$504,0)),"Not on Firms tab"))</f>
        <v/>
      </c>
      <c r="N310">
        <f>IF(AND(A310&lt;&gt;"",A310='Firm Search'!$C$7),COUNTIF($A$5:A310,'Firm Search'!$C$7),"")</f>
        <v/>
      </c>
    </row>
    <row r="311">
      <c r="A311" s="5" t="n"/>
      <c r="B311" s="5" t="n"/>
      <c r="C311" s="52" t="n"/>
      <c r="D311" s="52" t="n"/>
      <c r="E311" s="52" t="n"/>
      <c r="F311" s="52" t="n"/>
      <c r="G311" s="52" t="n"/>
      <c r="H311" s="52" t="n"/>
      <c r="I311" s="52" t="n"/>
      <c r="J311" s="52" t="n"/>
      <c r="K311" s="54" t="n"/>
      <c r="L311" s="5" t="n"/>
      <c r="M311" s="53">
        <f>IF(A311="","",IFERROR(INDEX(Firms!$B$5:$B$504,MATCH(A311,Firms!$A$5:$A$504,0)),"Not on Firms tab"))</f>
        <v/>
      </c>
      <c r="N311">
        <f>IF(AND(A311&lt;&gt;"",A311='Firm Search'!$C$7),COUNTIF($A$5:A311,'Firm Search'!$C$7),"")</f>
        <v/>
      </c>
    </row>
    <row r="312">
      <c r="A312" s="5" t="n"/>
      <c r="B312" s="5" t="n"/>
      <c r="C312" s="52" t="n"/>
      <c r="D312" s="52" t="n"/>
      <c r="E312" s="52" t="n"/>
      <c r="F312" s="52" t="n"/>
      <c r="G312" s="52" t="n"/>
      <c r="H312" s="52" t="n"/>
      <c r="I312" s="52" t="n"/>
      <c r="J312" s="52" t="n"/>
      <c r="K312" s="54" t="n"/>
      <c r="L312" s="5" t="n"/>
      <c r="M312" s="53">
        <f>IF(A312="","",IFERROR(INDEX(Firms!$B$5:$B$504,MATCH(A312,Firms!$A$5:$A$504,0)),"Not on Firms tab"))</f>
        <v/>
      </c>
      <c r="N312">
        <f>IF(AND(A312&lt;&gt;"",A312='Firm Search'!$C$7),COUNTIF($A$5:A312,'Firm Search'!$C$7),"")</f>
        <v/>
      </c>
    </row>
    <row r="313">
      <c r="A313" s="5" t="n"/>
      <c r="B313" s="5" t="n"/>
      <c r="C313" s="52" t="n"/>
      <c r="D313" s="52" t="n"/>
      <c r="E313" s="52" t="n"/>
      <c r="F313" s="52" t="n"/>
      <c r="G313" s="52" t="n"/>
      <c r="H313" s="52" t="n"/>
      <c r="I313" s="52" t="n"/>
      <c r="J313" s="52" t="n"/>
      <c r="K313" s="54" t="n"/>
      <c r="L313" s="5" t="n"/>
      <c r="M313" s="53">
        <f>IF(A313="","",IFERROR(INDEX(Firms!$B$5:$B$504,MATCH(A313,Firms!$A$5:$A$504,0)),"Not on Firms tab"))</f>
        <v/>
      </c>
      <c r="N313">
        <f>IF(AND(A313&lt;&gt;"",A313='Firm Search'!$C$7),COUNTIF($A$5:A313,'Firm Search'!$C$7),"")</f>
        <v/>
      </c>
    </row>
    <row r="314">
      <c r="A314" s="5" t="n"/>
      <c r="B314" s="5" t="n"/>
      <c r="C314" s="52" t="n"/>
      <c r="D314" s="52" t="n"/>
      <c r="E314" s="52" t="n"/>
      <c r="F314" s="52" t="n"/>
      <c r="G314" s="52" t="n"/>
      <c r="H314" s="52" t="n"/>
      <c r="I314" s="52" t="n"/>
      <c r="J314" s="52" t="n"/>
      <c r="K314" s="54" t="n"/>
      <c r="L314" s="5" t="n"/>
      <c r="M314" s="53">
        <f>IF(A314="","",IFERROR(INDEX(Firms!$B$5:$B$504,MATCH(A314,Firms!$A$5:$A$504,0)),"Not on Firms tab"))</f>
        <v/>
      </c>
      <c r="N314">
        <f>IF(AND(A314&lt;&gt;"",A314='Firm Search'!$C$7),COUNTIF($A$5:A314,'Firm Search'!$C$7),"")</f>
        <v/>
      </c>
    </row>
    <row r="315">
      <c r="A315" s="5" t="n"/>
      <c r="B315" s="5" t="n"/>
      <c r="C315" s="52" t="n"/>
      <c r="D315" s="52" t="n"/>
      <c r="E315" s="52" t="n"/>
      <c r="F315" s="52" t="n"/>
      <c r="G315" s="52" t="n"/>
      <c r="H315" s="52" t="n"/>
      <c r="I315" s="52" t="n"/>
      <c r="J315" s="52" t="n"/>
      <c r="K315" s="54" t="n"/>
      <c r="L315" s="5" t="n"/>
      <c r="M315" s="53">
        <f>IF(A315="","",IFERROR(INDEX(Firms!$B$5:$B$504,MATCH(A315,Firms!$A$5:$A$504,0)),"Not on Firms tab"))</f>
        <v/>
      </c>
      <c r="N315">
        <f>IF(AND(A315&lt;&gt;"",A315='Firm Search'!$C$7),COUNTIF($A$5:A315,'Firm Search'!$C$7),"")</f>
        <v/>
      </c>
    </row>
    <row r="316">
      <c r="A316" s="5" t="n"/>
      <c r="B316" s="5" t="n"/>
      <c r="C316" s="52" t="n"/>
      <c r="D316" s="52" t="n"/>
      <c r="E316" s="52" t="n"/>
      <c r="F316" s="52" t="n"/>
      <c r="G316" s="52" t="n"/>
      <c r="H316" s="52" t="n"/>
      <c r="I316" s="52" t="n"/>
      <c r="J316" s="52" t="n"/>
      <c r="K316" s="54" t="n"/>
      <c r="L316" s="5" t="n"/>
      <c r="M316" s="53">
        <f>IF(A316="","",IFERROR(INDEX(Firms!$B$5:$B$504,MATCH(A316,Firms!$A$5:$A$504,0)),"Not on Firms tab"))</f>
        <v/>
      </c>
      <c r="N316">
        <f>IF(AND(A316&lt;&gt;"",A316='Firm Search'!$C$7),COUNTIF($A$5:A316,'Firm Search'!$C$7),"")</f>
        <v/>
      </c>
    </row>
    <row r="317">
      <c r="A317" s="5" t="n"/>
      <c r="B317" s="5" t="n"/>
      <c r="C317" s="52" t="n"/>
      <c r="D317" s="52" t="n"/>
      <c r="E317" s="52" t="n"/>
      <c r="F317" s="52" t="n"/>
      <c r="G317" s="52" t="n"/>
      <c r="H317" s="52" t="n"/>
      <c r="I317" s="52" t="n"/>
      <c r="J317" s="52" t="n"/>
      <c r="K317" s="54" t="n"/>
      <c r="L317" s="5" t="n"/>
      <c r="M317" s="53">
        <f>IF(A317="","",IFERROR(INDEX(Firms!$B$5:$B$504,MATCH(A317,Firms!$A$5:$A$504,0)),"Not on Firms tab"))</f>
        <v/>
      </c>
      <c r="N317">
        <f>IF(AND(A317&lt;&gt;"",A317='Firm Search'!$C$7),COUNTIF($A$5:A317,'Firm Search'!$C$7),"")</f>
        <v/>
      </c>
    </row>
    <row r="318">
      <c r="A318" s="5" t="n"/>
      <c r="B318" s="5" t="n"/>
      <c r="C318" s="52" t="n"/>
      <c r="D318" s="52" t="n"/>
      <c r="E318" s="52" t="n"/>
      <c r="F318" s="52" t="n"/>
      <c r="G318" s="52" t="n"/>
      <c r="H318" s="52" t="n"/>
      <c r="I318" s="52" t="n"/>
      <c r="J318" s="52" t="n"/>
      <c r="K318" s="54" t="n"/>
      <c r="L318" s="5" t="n"/>
      <c r="M318" s="53">
        <f>IF(A318="","",IFERROR(INDEX(Firms!$B$5:$B$504,MATCH(A318,Firms!$A$5:$A$504,0)),"Not on Firms tab"))</f>
        <v/>
      </c>
      <c r="N318">
        <f>IF(AND(A318&lt;&gt;"",A318='Firm Search'!$C$7),COUNTIF($A$5:A318,'Firm Search'!$C$7),"")</f>
        <v/>
      </c>
    </row>
    <row r="319">
      <c r="A319" s="5" t="n"/>
      <c r="B319" s="5" t="n"/>
      <c r="C319" s="52" t="n"/>
      <c r="D319" s="52" t="n"/>
      <c r="E319" s="52" t="n"/>
      <c r="F319" s="52" t="n"/>
      <c r="G319" s="52" t="n"/>
      <c r="H319" s="52" t="n"/>
      <c r="I319" s="52" t="n"/>
      <c r="J319" s="52" t="n"/>
      <c r="K319" s="54" t="n"/>
      <c r="L319" s="5" t="n"/>
      <c r="M319" s="53">
        <f>IF(A319="","",IFERROR(INDEX(Firms!$B$5:$B$504,MATCH(A319,Firms!$A$5:$A$504,0)),"Not on Firms tab"))</f>
        <v/>
      </c>
      <c r="N319">
        <f>IF(AND(A319&lt;&gt;"",A319='Firm Search'!$C$7),COUNTIF($A$5:A319,'Firm Search'!$C$7),"")</f>
        <v/>
      </c>
    </row>
    <row r="320">
      <c r="A320" s="5" t="n"/>
      <c r="B320" s="5" t="n"/>
      <c r="C320" s="52" t="n"/>
      <c r="D320" s="52" t="n"/>
      <c r="E320" s="52" t="n"/>
      <c r="F320" s="52" t="n"/>
      <c r="G320" s="52" t="n"/>
      <c r="H320" s="52" t="n"/>
      <c r="I320" s="52" t="n"/>
      <c r="J320" s="52" t="n"/>
      <c r="K320" s="54" t="n"/>
      <c r="L320" s="5" t="n"/>
      <c r="M320" s="53">
        <f>IF(A320="","",IFERROR(INDEX(Firms!$B$5:$B$504,MATCH(A320,Firms!$A$5:$A$504,0)),"Not on Firms tab"))</f>
        <v/>
      </c>
      <c r="N320">
        <f>IF(AND(A320&lt;&gt;"",A320='Firm Search'!$C$7),COUNTIF($A$5:A320,'Firm Search'!$C$7),"")</f>
        <v/>
      </c>
    </row>
    <row r="321">
      <c r="A321" s="5" t="n"/>
      <c r="B321" s="5" t="n"/>
      <c r="C321" s="52" t="n"/>
      <c r="D321" s="52" t="n"/>
      <c r="E321" s="52" t="n"/>
      <c r="F321" s="52" t="n"/>
      <c r="G321" s="52" t="n"/>
      <c r="H321" s="52" t="n"/>
      <c r="I321" s="52" t="n"/>
      <c r="J321" s="52" t="n"/>
      <c r="K321" s="54" t="n"/>
      <c r="L321" s="5" t="n"/>
      <c r="M321" s="53">
        <f>IF(A321="","",IFERROR(INDEX(Firms!$B$5:$B$504,MATCH(A321,Firms!$A$5:$A$504,0)),"Not on Firms tab"))</f>
        <v/>
      </c>
      <c r="N321">
        <f>IF(AND(A321&lt;&gt;"",A321='Firm Search'!$C$7),COUNTIF($A$5:A321,'Firm Search'!$C$7),"")</f>
        <v/>
      </c>
    </row>
    <row r="322">
      <c r="A322" s="5" t="n"/>
      <c r="B322" s="5" t="n"/>
      <c r="C322" s="52" t="n"/>
      <c r="D322" s="52" t="n"/>
      <c r="E322" s="52" t="n"/>
      <c r="F322" s="52" t="n"/>
      <c r="G322" s="52" t="n"/>
      <c r="H322" s="52" t="n"/>
      <c r="I322" s="52" t="n"/>
      <c r="J322" s="52" t="n"/>
      <c r="K322" s="54" t="n"/>
      <c r="L322" s="5" t="n"/>
      <c r="M322" s="53">
        <f>IF(A322="","",IFERROR(INDEX(Firms!$B$5:$B$504,MATCH(A322,Firms!$A$5:$A$504,0)),"Not on Firms tab"))</f>
        <v/>
      </c>
      <c r="N322">
        <f>IF(AND(A322&lt;&gt;"",A322='Firm Search'!$C$7),COUNTIF($A$5:A322,'Firm Search'!$C$7),"")</f>
        <v/>
      </c>
    </row>
    <row r="323">
      <c r="A323" s="5" t="n"/>
      <c r="B323" s="5" t="n"/>
      <c r="C323" s="52" t="n"/>
      <c r="D323" s="52" t="n"/>
      <c r="E323" s="52" t="n"/>
      <c r="F323" s="52" t="n"/>
      <c r="G323" s="52" t="n"/>
      <c r="H323" s="52" t="n"/>
      <c r="I323" s="52" t="n"/>
      <c r="J323" s="52" t="n"/>
      <c r="K323" s="54" t="n"/>
      <c r="L323" s="5" t="n"/>
      <c r="M323" s="53">
        <f>IF(A323="","",IFERROR(INDEX(Firms!$B$5:$B$504,MATCH(A323,Firms!$A$5:$A$504,0)),"Not on Firms tab"))</f>
        <v/>
      </c>
      <c r="N323">
        <f>IF(AND(A323&lt;&gt;"",A323='Firm Search'!$C$7),COUNTIF($A$5:A323,'Firm Search'!$C$7),"")</f>
        <v/>
      </c>
    </row>
    <row r="324">
      <c r="A324" s="5" t="n"/>
      <c r="B324" s="5" t="n"/>
      <c r="C324" s="52" t="n"/>
      <c r="D324" s="52" t="n"/>
      <c r="E324" s="52" t="n"/>
      <c r="F324" s="52" t="n"/>
      <c r="G324" s="52" t="n"/>
      <c r="H324" s="52" t="n"/>
      <c r="I324" s="52" t="n"/>
      <c r="J324" s="52" t="n"/>
      <c r="K324" s="54" t="n"/>
      <c r="L324" s="5" t="n"/>
      <c r="M324" s="53">
        <f>IF(A324="","",IFERROR(INDEX(Firms!$B$5:$B$504,MATCH(A324,Firms!$A$5:$A$504,0)),"Not on Firms tab"))</f>
        <v/>
      </c>
      <c r="N324">
        <f>IF(AND(A324&lt;&gt;"",A324='Firm Search'!$C$7),COUNTIF($A$5:A324,'Firm Search'!$C$7),"")</f>
        <v/>
      </c>
    </row>
    <row r="325">
      <c r="A325" s="5" t="n"/>
      <c r="B325" s="5" t="n"/>
      <c r="C325" s="52" t="n"/>
      <c r="D325" s="52" t="n"/>
      <c r="E325" s="52" t="n"/>
      <c r="F325" s="52" t="n"/>
      <c r="G325" s="52" t="n"/>
      <c r="H325" s="52" t="n"/>
      <c r="I325" s="52" t="n"/>
      <c r="J325" s="52" t="n"/>
      <c r="K325" s="54" t="n"/>
      <c r="L325" s="5" t="n"/>
      <c r="M325" s="53">
        <f>IF(A325="","",IFERROR(INDEX(Firms!$B$5:$B$504,MATCH(A325,Firms!$A$5:$A$504,0)),"Not on Firms tab"))</f>
        <v/>
      </c>
      <c r="N325">
        <f>IF(AND(A325&lt;&gt;"",A325='Firm Search'!$C$7),COUNTIF($A$5:A325,'Firm Search'!$C$7),"")</f>
        <v/>
      </c>
    </row>
    <row r="326">
      <c r="A326" s="5" t="n"/>
      <c r="B326" s="5" t="n"/>
      <c r="C326" s="52" t="n"/>
      <c r="D326" s="52" t="n"/>
      <c r="E326" s="52" t="n"/>
      <c r="F326" s="52" t="n"/>
      <c r="G326" s="52" t="n"/>
      <c r="H326" s="52" t="n"/>
      <c r="I326" s="52" t="n"/>
      <c r="J326" s="52" t="n"/>
      <c r="K326" s="54" t="n"/>
      <c r="L326" s="5" t="n"/>
      <c r="M326" s="53">
        <f>IF(A326="","",IFERROR(INDEX(Firms!$B$5:$B$504,MATCH(A326,Firms!$A$5:$A$504,0)),"Not on Firms tab"))</f>
        <v/>
      </c>
      <c r="N326">
        <f>IF(AND(A326&lt;&gt;"",A326='Firm Search'!$C$7),COUNTIF($A$5:A326,'Firm Search'!$C$7),"")</f>
        <v/>
      </c>
    </row>
    <row r="327">
      <c r="A327" s="5" t="n"/>
      <c r="B327" s="5" t="n"/>
      <c r="C327" s="52" t="n"/>
      <c r="D327" s="52" t="n"/>
      <c r="E327" s="52" t="n"/>
      <c r="F327" s="52" t="n"/>
      <c r="G327" s="52" t="n"/>
      <c r="H327" s="52" t="n"/>
      <c r="I327" s="52" t="n"/>
      <c r="J327" s="52" t="n"/>
      <c r="K327" s="54" t="n"/>
      <c r="L327" s="5" t="n"/>
      <c r="M327" s="53">
        <f>IF(A327="","",IFERROR(INDEX(Firms!$B$5:$B$504,MATCH(A327,Firms!$A$5:$A$504,0)),"Not on Firms tab"))</f>
        <v/>
      </c>
      <c r="N327">
        <f>IF(AND(A327&lt;&gt;"",A327='Firm Search'!$C$7),COUNTIF($A$5:A327,'Firm Search'!$C$7),"")</f>
        <v/>
      </c>
    </row>
    <row r="328">
      <c r="A328" s="5" t="n"/>
      <c r="B328" s="5" t="n"/>
      <c r="C328" s="52" t="n"/>
      <c r="D328" s="52" t="n"/>
      <c r="E328" s="52" t="n"/>
      <c r="F328" s="52" t="n"/>
      <c r="G328" s="52" t="n"/>
      <c r="H328" s="52" t="n"/>
      <c r="I328" s="52" t="n"/>
      <c r="J328" s="52" t="n"/>
      <c r="K328" s="54" t="n"/>
      <c r="L328" s="5" t="n"/>
      <c r="M328" s="53">
        <f>IF(A328="","",IFERROR(INDEX(Firms!$B$5:$B$504,MATCH(A328,Firms!$A$5:$A$504,0)),"Not on Firms tab"))</f>
        <v/>
      </c>
      <c r="N328">
        <f>IF(AND(A328&lt;&gt;"",A328='Firm Search'!$C$7),COUNTIF($A$5:A328,'Firm Search'!$C$7),"")</f>
        <v/>
      </c>
    </row>
    <row r="329">
      <c r="A329" s="5" t="n"/>
      <c r="B329" s="5" t="n"/>
      <c r="C329" s="52" t="n"/>
      <c r="D329" s="52" t="n"/>
      <c r="E329" s="52" t="n"/>
      <c r="F329" s="52" t="n"/>
      <c r="G329" s="52" t="n"/>
      <c r="H329" s="52" t="n"/>
      <c r="I329" s="52" t="n"/>
      <c r="J329" s="52" t="n"/>
      <c r="K329" s="54" t="n"/>
      <c r="L329" s="5" t="n"/>
      <c r="M329" s="53">
        <f>IF(A329="","",IFERROR(INDEX(Firms!$B$5:$B$504,MATCH(A329,Firms!$A$5:$A$504,0)),"Not on Firms tab"))</f>
        <v/>
      </c>
      <c r="N329">
        <f>IF(AND(A329&lt;&gt;"",A329='Firm Search'!$C$7),COUNTIF($A$5:A329,'Firm Search'!$C$7),"")</f>
        <v/>
      </c>
    </row>
    <row r="330">
      <c r="A330" s="5" t="n"/>
      <c r="B330" s="5" t="n"/>
      <c r="C330" s="52" t="n"/>
      <c r="D330" s="52" t="n"/>
      <c r="E330" s="52" t="n"/>
      <c r="F330" s="52" t="n"/>
      <c r="G330" s="52" t="n"/>
      <c r="H330" s="52" t="n"/>
      <c r="I330" s="52" t="n"/>
      <c r="J330" s="52" t="n"/>
      <c r="K330" s="54" t="n"/>
      <c r="L330" s="5" t="n"/>
      <c r="M330" s="53">
        <f>IF(A330="","",IFERROR(INDEX(Firms!$B$5:$B$504,MATCH(A330,Firms!$A$5:$A$504,0)),"Not on Firms tab"))</f>
        <v/>
      </c>
      <c r="N330">
        <f>IF(AND(A330&lt;&gt;"",A330='Firm Search'!$C$7),COUNTIF($A$5:A330,'Firm Search'!$C$7),"")</f>
        <v/>
      </c>
    </row>
    <row r="331">
      <c r="A331" s="5" t="n"/>
      <c r="B331" s="5" t="n"/>
      <c r="C331" s="52" t="n"/>
      <c r="D331" s="52" t="n"/>
      <c r="E331" s="52" t="n"/>
      <c r="F331" s="52" t="n"/>
      <c r="G331" s="52" t="n"/>
      <c r="H331" s="52" t="n"/>
      <c r="I331" s="52" t="n"/>
      <c r="J331" s="52" t="n"/>
      <c r="K331" s="54" t="n"/>
      <c r="L331" s="5" t="n"/>
      <c r="M331" s="53">
        <f>IF(A331="","",IFERROR(INDEX(Firms!$B$5:$B$504,MATCH(A331,Firms!$A$5:$A$504,0)),"Not on Firms tab"))</f>
        <v/>
      </c>
      <c r="N331">
        <f>IF(AND(A331&lt;&gt;"",A331='Firm Search'!$C$7),COUNTIF($A$5:A331,'Firm Search'!$C$7),"")</f>
        <v/>
      </c>
    </row>
    <row r="332">
      <c r="A332" s="5" t="n"/>
      <c r="B332" s="5" t="n"/>
      <c r="C332" s="52" t="n"/>
      <c r="D332" s="52" t="n"/>
      <c r="E332" s="52" t="n"/>
      <c r="F332" s="52" t="n"/>
      <c r="G332" s="52" t="n"/>
      <c r="H332" s="52" t="n"/>
      <c r="I332" s="52" t="n"/>
      <c r="J332" s="52" t="n"/>
      <c r="K332" s="54" t="n"/>
      <c r="L332" s="5" t="n"/>
      <c r="M332" s="53">
        <f>IF(A332="","",IFERROR(INDEX(Firms!$B$5:$B$504,MATCH(A332,Firms!$A$5:$A$504,0)),"Not on Firms tab"))</f>
        <v/>
      </c>
      <c r="N332">
        <f>IF(AND(A332&lt;&gt;"",A332='Firm Search'!$C$7),COUNTIF($A$5:A332,'Firm Search'!$C$7),"")</f>
        <v/>
      </c>
    </row>
    <row r="333">
      <c r="A333" s="5" t="n"/>
      <c r="B333" s="5" t="n"/>
      <c r="C333" s="52" t="n"/>
      <c r="D333" s="52" t="n"/>
      <c r="E333" s="52" t="n"/>
      <c r="F333" s="52" t="n"/>
      <c r="G333" s="52" t="n"/>
      <c r="H333" s="52" t="n"/>
      <c r="I333" s="52" t="n"/>
      <c r="J333" s="52" t="n"/>
      <c r="K333" s="54" t="n"/>
      <c r="L333" s="5" t="n"/>
      <c r="M333" s="53">
        <f>IF(A333="","",IFERROR(INDEX(Firms!$B$5:$B$504,MATCH(A333,Firms!$A$5:$A$504,0)),"Not on Firms tab"))</f>
        <v/>
      </c>
      <c r="N333">
        <f>IF(AND(A333&lt;&gt;"",A333='Firm Search'!$C$7),COUNTIF($A$5:A333,'Firm Search'!$C$7),"")</f>
        <v/>
      </c>
    </row>
    <row r="334">
      <c r="A334" s="5" t="n"/>
      <c r="B334" s="5" t="n"/>
      <c r="C334" s="52" t="n"/>
      <c r="D334" s="52" t="n"/>
      <c r="E334" s="52" t="n"/>
      <c r="F334" s="52" t="n"/>
      <c r="G334" s="52" t="n"/>
      <c r="H334" s="52" t="n"/>
      <c r="I334" s="52" t="n"/>
      <c r="J334" s="52" t="n"/>
      <c r="K334" s="54" t="n"/>
      <c r="L334" s="5" t="n"/>
      <c r="M334" s="53">
        <f>IF(A334="","",IFERROR(INDEX(Firms!$B$5:$B$504,MATCH(A334,Firms!$A$5:$A$504,0)),"Not on Firms tab"))</f>
        <v/>
      </c>
      <c r="N334">
        <f>IF(AND(A334&lt;&gt;"",A334='Firm Search'!$C$7),COUNTIF($A$5:A334,'Firm Search'!$C$7),"")</f>
        <v/>
      </c>
    </row>
    <row r="335">
      <c r="A335" s="5" t="n"/>
      <c r="B335" s="5" t="n"/>
      <c r="C335" s="52" t="n"/>
      <c r="D335" s="52" t="n"/>
      <c r="E335" s="52" t="n"/>
      <c r="F335" s="52" t="n"/>
      <c r="G335" s="52" t="n"/>
      <c r="H335" s="52" t="n"/>
      <c r="I335" s="52" t="n"/>
      <c r="J335" s="52" t="n"/>
      <c r="K335" s="54" t="n"/>
      <c r="L335" s="5" t="n"/>
      <c r="M335" s="53">
        <f>IF(A335="","",IFERROR(INDEX(Firms!$B$5:$B$504,MATCH(A335,Firms!$A$5:$A$504,0)),"Not on Firms tab"))</f>
        <v/>
      </c>
      <c r="N335">
        <f>IF(AND(A335&lt;&gt;"",A335='Firm Search'!$C$7),COUNTIF($A$5:A335,'Firm Search'!$C$7),"")</f>
        <v/>
      </c>
    </row>
    <row r="336">
      <c r="A336" s="5" t="n"/>
      <c r="B336" s="5" t="n"/>
      <c r="C336" s="52" t="n"/>
      <c r="D336" s="52" t="n"/>
      <c r="E336" s="52" t="n"/>
      <c r="F336" s="52" t="n"/>
      <c r="G336" s="52" t="n"/>
      <c r="H336" s="52" t="n"/>
      <c r="I336" s="52" t="n"/>
      <c r="J336" s="52" t="n"/>
      <c r="K336" s="54" t="n"/>
      <c r="L336" s="5" t="n"/>
      <c r="M336" s="53">
        <f>IF(A336="","",IFERROR(INDEX(Firms!$B$5:$B$504,MATCH(A336,Firms!$A$5:$A$504,0)),"Not on Firms tab"))</f>
        <v/>
      </c>
      <c r="N336">
        <f>IF(AND(A336&lt;&gt;"",A336='Firm Search'!$C$7),COUNTIF($A$5:A336,'Firm Search'!$C$7),"")</f>
        <v/>
      </c>
    </row>
    <row r="337">
      <c r="A337" s="5" t="n"/>
      <c r="B337" s="5" t="n"/>
      <c r="C337" s="52" t="n"/>
      <c r="D337" s="52" t="n"/>
      <c r="E337" s="52" t="n"/>
      <c r="F337" s="52" t="n"/>
      <c r="G337" s="52" t="n"/>
      <c r="H337" s="52" t="n"/>
      <c r="I337" s="52" t="n"/>
      <c r="J337" s="52" t="n"/>
      <c r="K337" s="54" t="n"/>
      <c r="L337" s="5" t="n"/>
      <c r="M337" s="53">
        <f>IF(A337="","",IFERROR(INDEX(Firms!$B$5:$B$504,MATCH(A337,Firms!$A$5:$A$504,0)),"Not on Firms tab"))</f>
        <v/>
      </c>
      <c r="N337">
        <f>IF(AND(A337&lt;&gt;"",A337='Firm Search'!$C$7),COUNTIF($A$5:A337,'Firm Search'!$C$7),"")</f>
        <v/>
      </c>
    </row>
    <row r="338">
      <c r="A338" s="5" t="n"/>
      <c r="B338" s="5" t="n"/>
      <c r="C338" s="52" t="n"/>
      <c r="D338" s="52" t="n"/>
      <c r="E338" s="52" t="n"/>
      <c r="F338" s="52" t="n"/>
      <c r="G338" s="52" t="n"/>
      <c r="H338" s="52" t="n"/>
      <c r="I338" s="52" t="n"/>
      <c r="J338" s="52" t="n"/>
      <c r="K338" s="54" t="n"/>
      <c r="L338" s="5" t="n"/>
      <c r="M338" s="53">
        <f>IF(A338="","",IFERROR(INDEX(Firms!$B$5:$B$504,MATCH(A338,Firms!$A$5:$A$504,0)),"Not on Firms tab"))</f>
        <v/>
      </c>
      <c r="N338">
        <f>IF(AND(A338&lt;&gt;"",A338='Firm Search'!$C$7),COUNTIF($A$5:A338,'Firm Search'!$C$7),"")</f>
        <v/>
      </c>
    </row>
    <row r="339">
      <c r="A339" s="5" t="n"/>
      <c r="B339" s="5" t="n"/>
      <c r="C339" s="52" t="n"/>
      <c r="D339" s="52" t="n"/>
      <c r="E339" s="52" t="n"/>
      <c r="F339" s="52" t="n"/>
      <c r="G339" s="52" t="n"/>
      <c r="H339" s="52" t="n"/>
      <c r="I339" s="52" t="n"/>
      <c r="J339" s="52" t="n"/>
      <c r="K339" s="54" t="n"/>
      <c r="L339" s="5" t="n"/>
      <c r="M339" s="53">
        <f>IF(A339="","",IFERROR(INDEX(Firms!$B$5:$B$504,MATCH(A339,Firms!$A$5:$A$504,0)),"Not on Firms tab"))</f>
        <v/>
      </c>
      <c r="N339">
        <f>IF(AND(A339&lt;&gt;"",A339='Firm Search'!$C$7),COUNTIF($A$5:A339,'Firm Search'!$C$7),"")</f>
        <v/>
      </c>
    </row>
    <row r="340">
      <c r="A340" s="5" t="n"/>
      <c r="B340" s="5" t="n"/>
      <c r="C340" s="52" t="n"/>
      <c r="D340" s="52" t="n"/>
      <c r="E340" s="52" t="n"/>
      <c r="F340" s="52" t="n"/>
      <c r="G340" s="52" t="n"/>
      <c r="H340" s="52" t="n"/>
      <c r="I340" s="52" t="n"/>
      <c r="J340" s="52" t="n"/>
      <c r="K340" s="54" t="n"/>
      <c r="L340" s="5" t="n"/>
      <c r="M340" s="53">
        <f>IF(A340="","",IFERROR(INDEX(Firms!$B$5:$B$504,MATCH(A340,Firms!$A$5:$A$504,0)),"Not on Firms tab"))</f>
        <v/>
      </c>
      <c r="N340">
        <f>IF(AND(A340&lt;&gt;"",A340='Firm Search'!$C$7),COUNTIF($A$5:A340,'Firm Search'!$C$7),"")</f>
        <v/>
      </c>
    </row>
    <row r="341">
      <c r="A341" s="5" t="n"/>
      <c r="B341" s="5" t="n"/>
      <c r="C341" s="52" t="n"/>
      <c r="D341" s="52" t="n"/>
      <c r="E341" s="52" t="n"/>
      <c r="F341" s="52" t="n"/>
      <c r="G341" s="52" t="n"/>
      <c r="H341" s="52" t="n"/>
      <c r="I341" s="52" t="n"/>
      <c r="J341" s="52" t="n"/>
      <c r="K341" s="54" t="n"/>
      <c r="L341" s="5" t="n"/>
      <c r="M341" s="53">
        <f>IF(A341="","",IFERROR(INDEX(Firms!$B$5:$B$504,MATCH(A341,Firms!$A$5:$A$504,0)),"Not on Firms tab"))</f>
        <v/>
      </c>
      <c r="N341">
        <f>IF(AND(A341&lt;&gt;"",A341='Firm Search'!$C$7),COUNTIF($A$5:A341,'Firm Search'!$C$7),"")</f>
        <v/>
      </c>
    </row>
    <row r="342">
      <c r="A342" s="5" t="n"/>
      <c r="B342" s="5" t="n"/>
      <c r="C342" s="52" t="n"/>
      <c r="D342" s="52" t="n"/>
      <c r="E342" s="52" t="n"/>
      <c r="F342" s="52" t="n"/>
      <c r="G342" s="52" t="n"/>
      <c r="H342" s="52" t="n"/>
      <c r="I342" s="52" t="n"/>
      <c r="J342" s="52" t="n"/>
      <c r="K342" s="54" t="n"/>
      <c r="L342" s="5" t="n"/>
      <c r="M342" s="53">
        <f>IF(A342="","",IFERROR(INDEX(Firms!$B$5:$B$504,MATCH(A342,Firms!$A$5:$A$504,0)),"Not on Firms tab"))</f>
        <v/>
      </c>
      <c r="N342">
        <f>IF(AND(A342&lt;&gt;"",A342='Firm Search'!$C$7),COUNTIF($A$5:A342,'Firm Search'!$C$7),"")</f>
        <v/>
      </c>
    </row>
    <row r="343">
      <c r="A343" s="5" t="n"/>
      <c r="B343" s="5" t="n"/>
      <c r="C343" s="52" t="n"/>
      <c r="D343" s="52" t="n"/>
      <c r="E343" s="52" t="n"/>
      <c r="F343" s="52" t="n"/>
      <c r="G343" s="52" t="n"/>
      <c r="H343" s="52" t="n"/>
      <c r="I343" s="52" t="n"/>
      <c r="J343" s="52" t="n"/>
      <c r="K343" s="54" t="n"/>
      <c r="L343" s="5" t="n"/>
      <c r="M343" s="53">
        <f>IF(A343="","",IFERROR(INDEX(Firms!$B$5:$B$504,MATCH(A343,Firms!$A$5:$A$504,0)),"Not on Firms tab"))</f>
        <v/>
      </c>
      <c r="N343">
        <f>IF(AND(A343&lt;&gt;"",A343='Firm Search'!$C$7),COUNTIF($A$5:A343,'Firm Search'!$C$7),"")</f>
        <v/>
      </c>
    </row>
    <row r="344">
      <c r="A344" s="5" t="n"/>
      <c r="B344" s="5" t="n"/>
      <c r="C344" s="52" t="n"/>
      <c r="D344" s="52" t="n"/>
      <c r="E344" s="52" t="n"/>
      <c r="F344" s="52" t="n"/>
      <c r="G344" s="52" t="n"/>
      <c r="H344" s="52" t="n"/>
      <c r="I344" s="52" t="n"/>
      <c r="J344" s="52" t="n"/>
      <c r="K344" s="54" t="n"/>
      <c r="L344" s="5" t="n"/>
      <c r="M344" s="53">
        <f>IF(A344="","",IFERROR(INDEX(Firms!$B$5:$B$504,MATCH(A344,Firms!$A$5:$A$504,0)),"Not on Firms tab"))</f>
        <v/>
      </c>
      <c r="N344">
        <f>IF(AND(A344&lt;&gt;"",A344='Firm Search'!$C$7),COUNTIF($A$5:A344,'Firm Search'!$C$7),"")</f>
        <v/>
      </c>
    </row>
    <row r="345">
      <c r="A345" s="5" t="n"/>
      <c r="B345" s="5" t="n"/>
      <c r="C345" s="52" t="n"/>
      <c r="D345" s="52" t="n"/>
      <c r="E345" s="52" t="n"/>
      <c r="F345" s="52" t="n"/>
      <c r="G345" s="52" t="n"/>
      <c r="H345" s="52" t="n"/>
      <c r="I345" s="52" t="n"/>
      <c r="J345" s="52" t="n"/>
      <c r="K345" s="54" t="n"/>
      <c r="L345" s="5" t="n"/>
      <c r="M345" s="53">
        <f>IF(A345="","",IFERROR(INDEX(Firms!$B$5:$B$504,MATCH(A345,Firms!$A$5:$A$504,0)),"Not on Firms tab"))</f>
        <v/>
      </c>
      <c r="N345">
        <f>IF(AND(A345&lt;&gt;"",A345='Firm Search'!$C$7),COUNTIF($A$5:A345,'Firm Search'!$C$7),"")</f>
        <v/>
      </c>
    </row>
    <row r="346">
      <c r="A346" s="5" t="n"/>
      <c r="B346" s="5" t="n"/>
      <c r="C346" s="52" t="n"/>
      <c r="D346" s="52" t="n"/>
      <c r="E346" s="52" t="n"/>
      <c r="F346" s="52" t="n"/>
      <c r="G346" s="52" t="n"/>
      <c r="H346" s="52" t="n"/>
      <c r="I346" s="52" t="n"/>
      <c r="J346" s="52" t="n"/>
      <c r="K346" s="54" t="n"/>
      <c r="L346" s="5" t="n"/>
      <c r="M346" s="53">
        <f>IF(A346="","",IFERROR(INDEX(Firms!$B$5:$B$504,MATCH(A346,Firms!$A$5:$A$504,0)),"Not on Firms tab"))</f>
        <v/>
      </c>
      <c r="N346">
        <f>IF(AND(A346&lt;&gt;"",A346='Firm Search'!$C$7),COUNTIF($A$5:A346,'Firm Search'!$C$7),"")</f>
        <v/>
      </c>
    </row>
    <row r="347">
      <c r="A347" s="5" t="n"/>
      <c r="B347" s="5" t="n"/>
      <c r="C347" s="52" t="n"/>
      <c r="D347" s="52" t="n"/>
      <c r="E347" s="52" t="n"/>
      <c r="F347" s="52" t="n"/>
      <c r="G347" s="52" t="n"/>
      <c r="H347" s="52" t="n"/>
      <c r="I347" s="52" t="n"/>
      <c r="J347" s="52" t="n"/>
      <c r="K347" s="54" t="n"/>
      <c r="L347" s="5" t="n"/>
      <c r="M347" s="53">
        <f>IF(A347="","",IFERROR(INDEX(Firms!$B$5:$B$504,MATCH(A347,Firms!$A$5:$A$504,0)),"Not on Firms tab"))</f>
        <v/>
      </c>
      <c r="N347">
        <f>IF(AND(A347&lt;&gt;"",A347='Firm Search'!$C$7),COUNTIF($A$5:A347,'Firm Search'!$C$7),"")</f>
        <v/>
      </c>
    </row>
    <row r="348">
      <c r="A348" s="5" t="n"/>
      <c r="B348" s="5" t="n"/>
      <c r="C348" s="52" t="n"/>
      <c r="D348" s="52" t="n"/>
      <c r="E348" s="52" t="n"/>
      <c r="F348" s="52" t="n"/>
      <c r="G348" s="52" t="n"/>
      <c r="H348" s="52" t="n"/>
      <c r="I348" s="52" t="n"/>
      <c r="J348" s="52" t="n"/>
      <c r="K348" s="54" t="n"/>
      <c r="L348" s="5" t="n"/>
      <c r="M348" s="53">
        <f>IF(A348="","",IFERROR(INDEX(Firms!$B$5:$B$504,MATCH(A348,Firms!$A$5:$A$504,0)),"Not on Firms tab"))</f>
        <v/>
      </c>
      <c r="N348">
        <f>IF(AND(A348&lt;&gt;"",A348='Firm Search'!$C$7),COUNTIF($A$5:A348,'Firm Search'!$C$7),"")</f>
        <v/>
      </c>
    </row>
    <row r="349">
      <c r="A349" s="5" t="n"/>
      <c r="B349" s="5" t="n"/>
      <c r="C349" s="52" t="n"/>
      <c r="D349" s="52" t="n"/>
      <c r="E349" s="52" t="n"/>
      <c r="F349" s="52" t="n"/>
      <c r="G349" s="52" t="n"/>
      <c r="H349" s="52" t="n"/>
      <c r="I349" s="52" t="n"/>
      <c r="J349" s="52" t="n"/>
      <c r="K349" s="54" t="n"/>
      <c r="L349" s="5" t="n"/>
      <c r="M349" s="53">
        <f>IF(A349="","",IFERROR(INDEX(Firms!$B$5:$B$504,MATCH(A349,Firms!$A$5:$A$504,0)),"Not on Firms tab"))</f>
        <v/>
      </c>
      <c r="N349">
        <f>IF(AND(A349&lt;&gt;"",A349='Firm Search'!$C$7),COUNTIF($A$5:A349,'Firm Search'!$C$7),"")</f>
        <v/>
      </c>
    </row>
    <row r="350">
      <c r="A350" s="5" t="n"/>
      <c r="B350" s="5" t="n"/>
      <c r="C350" s="52" t="n"/>
      <c r="D350" s="52" t="n"/>
      <c r="E350" s="52" t="n"/>
      <c r="F350" s="52" t="n"/>
      <c r="G350" s="52" t="n"/>
      <c r="H350" s="52" t="n"/>
      <c r="I350" s="52" t="n"/>
      <c r="J350" s="52" t="n"/>
      <c r="K350" s="54" t="n"/>
      <c r="L350" s="5" t="n"/>
      <c r="M350" s="53">
        <f>IF(A350="","",IFERROR(INDEX(Firms!$B$5:$B$504,MATCH(A350,Firms!$A$5:$A$504,0)),"Not on Firms tab"))</f>
        <v/>
      </c>
      <c r="N350">
        <f>IF(AND(A350&lt;&gt;"",A350='Firm Search'!$C$7),COUNTIF($A$5:A350,'Firm Search'!$C$7),"")</f>
        <v/>
      </c>
    </row>
    <row r="351">
      <c r="A351" s="5" t="n"/>
      <c r="B351" s="5" t="n"/>
      <c r="C351" s="52" t="n"/>
      <c r="D351" s="52" t="n"/>
      <c r="E351" s="52" t="n"/>
      <c r="F351" s="52" t="n"/>
      <c r="G351" s="52" t="n"/>
      <c r="H351" s="52" t="n"/>
      <c r="I351" s="52" t="n"/>
      <c r="J351" s="52" t="n"/>
      <c r="K351" s="54" t="n"/>
      <c r="L351" s="5" t="n"/>
      <c r="M351" s="53">
        <f>IF(A351="","",IFERROR(INDEX(Firms!$B$5:$B$504,MATCH(A351,Firms!$A$5:$A$504,0)),"Not on Firms tab"))</f>
        <v/>
      </c>
      <c r="N351">
        <f>IF(AND(A351&lt;&gt;"",A351='Firm Search'!$C$7),COUNTIF($A$5:A351,'Firm Search'!$C$7),"")</f>
        <v/>
      </c>
    </row>
    <row r="352">
      <c r="A352" s="5" t="n"/>
      <c r="B352" s="5" t="n"/>
      <c r="C352" s="52" t="n"/>
      <c r="D352" s="52" t="n"/>
      <c r="E352" s="52" t="n"/>
      <c r="F352" s="52" t="n"/>
      <c r="G352" s="52" t="n"/>
      <c r="H352" s="52" t="n"/>
      <c r="I352" s="52" t="n"/>
      <c r="J352" s="52" t="n"/>
      <c r="K352" s="54" t="n"/>
      <c r="L352" s="5" t="n"/>
      <c r="M352" s="53">
        <f>IF(A352="","",IFERROR(INDEX(Firms!$B$5:$B$504,MATCH(A352,Firms!$A$5:$A$504,0)),"Not on Firms tab"))</f>
        <v/>
      </c>
      <c r="N352">
        <f>IF(AND(A352&lt;&gt;"",A352='Firm Search'!$C$7),COUNTIF($A$5:A352,'Firm Search'!$C$7),"")</f>
        <v/>
      </c>
    </row>
    <row r="353">
      <c r="A353" s="5" t="n"/>
      <c r="B353" s="5" t="n"/>
      <c r="C353" s="52" t="n"/>
      <c r="D353" s="52" t="n"/>
      <c r="E353" s="52" t="n"/>
      <c r="F353" s="52" t="n"/>
      <c r="G353" s="52" t="n"/>
      <c r="H353" s="52" t="n"/>
      <c r="I353" s="52" t="n"/>
      <c r="J353" s="52" t="n"/>
      <c r="K353" s="54" t="n"/>
      <c r="L353" s="5" t="n"/>
      <c r="M353" s="53">
        <f>IF(A353="","",IFERROR(INDEX(Firms!$B$5:$B$504,MATCH(A353,Firms!$A$5:$A$504,0)),"Not on Firms tab"))</f>
        <v/>
      </c>
      <c r="N353">
        <f>IF(AND(A353&lt;&gt;"",A353='Firm Search'!$C$7),COUNTIF($A$5:A353,'Firm Search'!$C$7),"")</f>
        <v/>
      </c>
    </row>
    <row r="354">
      <c r="A354" s="5" t="n"/>
      <c r="B354" s="5" t="n"/>
      <c r="C354" s="52" t="n"/>
      <c r="D354" s="52" t="n"/>
      <c r="E354" s="52" t="n"/>
      <c r="F354" s="52" t="n"/>
      <c r="G354" s="52" t="n"/>
      <c r="H354" s="52" t="n"/>
      <c r="I354" s="52" t="n"/>
      <c r="J354" s="52" t="n"/>
      <c r="K354" s="54" t="n"/>
      <c r="L354" s="5" t="n"/>
      <c r="M354" s="53">
        <f>IF(A354="","",IFERROR(INDEX(Firms!$B$5:$B$504,MATCH(A354,Firms!$A$5:$A$504,0)),"Not on Firms tab"))</f>
        <v/>
      </c>
      <c r="N354">
        <f>IF(AND(A354&lt;&gt;"",A354='Firm Search'!$C$7),COUNTIF($A$5:A354,'Firm Search'!$C$7),"")</f>
        <v/>
      </c>
    </row>
    <row r="355">
      <c r="A355" s="5" t="n"/>
      <c r="B355" s="5" t="n"/>
      <c r="C355" s="52" t="n"/>
      <c r="D355" s="52" t="n"/>
      <c r="E355" s="52" t="n"/>
      <c r="F355" s="52" t="n"/>
      <c r="G355" s="52" t="n"/>
      <c r="H355" s="52" t="n"/>
      <c r="I355" s="52" t="n"/>
      <c r="J355" s="52" t="n"/>
      <c r="K355" s="54" t="n"/>
      <c r="L355" s="5" t="n"/>
      <c r="M355" s="53">
        <f>IF(A355="","",IFERROR(INDEX(Firms!$B$5:$B$504,MATCH(A355,Firms!$A$5:$A$504,0)),"Not on Firms tab"))</f>
        <v/>
      </c>
      <c r="N355">
        <f>IF(AND(A355&lt;&gt;"",A355='Firm Search'!$C$7),COUNTIF($A$5:A355,'Firm Search'!$C$7),"")</f>
        <v/>
      </c>
    </row>
    <row r="356">
      <c r="A356" s="5" t="n"/>
      <c r="B356" s="5" t="n"/>
      <c r="C356" s="52" t="n"/>
      <c r="D356" s="52" t="n"/>
      <c r="E356" s="52" t="n"/>
      <c r="F356" s="52" t="n"/>
      <c r="G356" s="52" t="n"/>
      <c r="H356" s="52" t="n"/>
      <c r="I356" s="52" t="n"/>
      <c r="J356" s="52" t="n"/>
      <c r="K356" s="54" t="n"/>
      <c r="L356" s="5" t="n"/>
      <c r="M356" s="53">
        <f>IF(A356="","",IFERROR(INDEX(Firms!$B$5:$B$504,MATCH(A356,Firms!$A$5:$A$504,0)),"Not on Firms tab"))</f>
        <v/>
      </c>
      <c r="N356">
        <f>IF(AND(A356&lt;&gt;"",A356='Firm Search'!$C$7),COUNTIF($A$5:A356,'Firm Search'!$C$7),"")</f>
        <v/>
      </c>
    </row>
    <row r="357">
      <c r="A357" s="5" t="n"/>
      <c r="B357" s="5" t="n"/>
      <c r="C357" s="52" t="n"/>
      <c r="D357" s="52" t="n"/>
      <c r="E357" s="52" t="n"/>
      <c r="F357" s="52" t="n"/>
      <c r="G357" s="52" t="n"/>
      <c r="H357" s="52" t="n"/>
      <c r="I357" s="52" t="n"/>
      <c r="J357" s="52" t="n"/>
      <c r="K357" s="54" t="n"/>
      <c r="L357" s="5" t="n"/>
      <c r="M357" s="53">
        <f>IF(A357="","",IFERROR(INDEX(Firms!$B$5:$B$504,MATCH(A357,Firms!$A$5:$A$504,0)),"Not on Firms tab"))</f>
        <v/>
      </c>
      <c r="N357">
        <f>IF(AND(A357&lt;&gt;"",A357='Firm Search'!$C$7),COUNTIF($A$5:A357,'Firm Search'!$C$7),"")</f>
        <v/>
      </c>
    </row>
    <row r="358">
      <c r="A358" s="5" t="n"/>
      <c r="B358" s="5" t="n"/>
      <c r="C358" s="52" t="n"/>
      <c r="D358" s="52" t="n"/>
      <c r="E358" s="52" t="n"/>
      <c r="F358" s="52" t="n"/>
      <c r="G358" s="52" t="n"/>
      <c r="H358" s="52" t="n"/>
      <c r="I358" s="52" t="n"/>
      <c r="J358" s="52" t="n"/>
      <c r="K358" s="54" t="n"/>
      <c r="L358" s="5" t="n"/>
      <c r="M358" s="53">
        <f>IF(A358="","",IFERROR(INDEX(Firms!$B$5:$B$504,MATCH(A358,Firms!$A$5:$A$504,0)),"Not on Firms tab"))</f>
        <v/>
      </c>
      <c r="N358">
        <f>IF(AND(A358&lt;&gt;"",A358='Firm Search'!$C$7),COUNTIF($A$5:A358,'Firm Search'!$C$7),"")</f>
        <v/>
      </c>
    </row>
    <row r="359">
      <c r="A359" s="5" t="n"/>
      <c r="B359" s="5" t="n"/>
      <c r="C359" s="52" t="n"/>
      <c r="D359" s="52" t="n"/>
      <c r="E359" s="52" t="n"/>
      <c r="F359" s="52" t="n"/>
      <c r="G359" s="52" t="n"/>
      <c r="H359" s="52" t="n"/>
      <c r="I359" s="52" t="n"/>
      <c r="J359" s="52" t="n"/>
      <c r="K359" s="54" t="n"/>
      <c r="L359" s="5" t="n"/>
      <c r="M359" s="53">
        <f>IF(A359="","",IFERROR(INDEX(Firms!$B$5:$B$504,MATCH(A359,Firms!$A$5:$A$504,0)),"Not on Firms tab"))</f>
        <v/>
      </c>
      <c r="N359">
        <f>IF(AND(A359&lt;&gt;"",A359='Firm Search'!$C$7),COUNTIF($A$5:A359,'Firm Search'!$C$7),"")</f>
        <v/>
      </c>
    </row>
    <row r="360">
      <c r="A360" s="5" t="n"/>
      <c r="B360" s="5" t="n"/>
      <c r="C360" s="52" t="n"/>
      <c r="D360" s="52" t="n"/>
      <c r="E360" s="52" t="n"/>
      <c r="F360" s="52" t="n"/>
      <c r="G360" s="52" t="n"/>
      <c r="H360" s="52" t="n"/>
      <c r="I360" s="52" t="n"/>
      <c r="J360" s="52" t="n"/>
      <c r="K360" s="54" t="n"/>
      <c r="L360" s="5" t="n"/>
      <c r="M360" s="53">
        <f>IF(A360="","",IFERROR(INDEX(Firms!$B$5:$B$504,MATCH(A360,Firms!$A$5:$A$504,0)),"Not on Firms tab"))</f>
        <v/>
      </c>
      <c r="N360">
        <f>IF(AND(A360&lt;&gt;"",A360='Firm Search'!$C$7),COUNTIF($A$5:A360,'Firm Search'!$C$7),"")</f>
        <v/>
      </c>
    </row>
    <row r="361">
      <c r="A361" s="5" t="n"/>
      <c r="B361" s="5" t="n"/>
      <c r="C361" s="52" t="n"/>
      <c r="D361" s="52" t="n"/>
      <c r="E361" s="52" t="n"/>
      <c r="F361" s="52" t="n"/>
      <c r="G361" s="52" t="n"/>
      <c r="H361" s="52" t="n"/>
      <c r="I361" s="52" t="n"/>
      <c r="J361" s="52" t="n"/>
      <c r="K361" s="54" t="n"/>
      <c r="L361" s="5" t="n"/>
      <c r="M361" s="53">
        <f>IF(A361="","",IFERROR(INDEX(Firms!$B$5:$B$504,MATCH(A361,Firms!$A$5:$A$504,0)),"Not on Firms tab"))</f>
        <v/>
      </c>
      <c r="N361">
        <f>IF(AND(A361&lt;&gt;"",A361='Firm Search'!$C$7),COUNTIF($A$5:A361,'Firm Search'!$C$7),"")</f>
        <v/>
      </c>
    </row>
    <row r="362">
      <c r="A362" s="5" t="n"/>
      <c r="B362" s="5" t="n"/>
      <c r="C362" s="52" t="n"/>
      <c r="D362" s="52" t="n"/>
      <c r="E362" s="52" t="n"/>
      <c r="F362" s="52" t="n"/>
      <c r="G362" s="52" t="n"/>
      <c r="H362" s="52" t="n"/>
      <c r="I362" s="52" t="n"/>
      <c r="J362" s="52" t="n"/>
      <c r="K362" s="54" t="n"/>
      <c r="L362" s="5" t="n"/>
      <c r="M362" s="53">
        <f>IF(A362="","",IFERROR(INDEX(Firms!$B$5:$B$504,MATCH(A362,Firms!$A$5:$A$504,0)),"Not on Firms tab"))</f>
        <v/>
      </c>
      <c r="N362">
        <f>IF(AND(A362&lt;&gt;"",A362='Firm Search'!$C$7),COUNTIF($A$5:A362,'Firm Search'!$C$7),"")</f>
        <v/>
      </c>
    </row>
    <row r="363">
      <c r="A363" s="5" t="n"/>
      <c r="B363" s="5" t="n"/>
      <c r="C363" s="52" t="n"/>
      <c r="D363" s="52" t="n"/>
      <c r="E363" s="52" t="n"/>
      <c r="F363" s="52" t="n"/>
      <c r="G363" s="52" t="n"/>
      <c r="H363" s="52" t="n"/>
      <c r="I363" s="52" t="n"/>
      <c r="J363" s="52" t="n"/>
      <c r="K363" s="54" t="n"/>
      <c r="L363" s="5" t="n"/>
      <c r="M363" s="53">
        <f>IF(A363="","",IFERROR(INDEX(Firms!$B$5:$B$504,MATCH(A363,Firms!$A$5:$A$504,0)),"Not on Firms tab"))</f>
        <v/>
      </c>
      <c r="N363">
        <f>IF(AND(A363&lt;&gt;"",A363='Firm Search'!$C$7),COUNTIF($A$5:A363,'Firm Search'!$C$7),"")</f>
        <v/>
      </c>
    </row>
    <row r="364">
      <c r="A364" s="5" t="n"/>
      <c r="B364" s="5" t="n"/>
      <c r="C364" s="52" t="n"/>
      <c r="D364" s="52" t="n"/>
      <c r="E364" s="52" t="n"/>
      <c r="F364" s="52" t="n"/>
      <c r="G364" s="52" t="n"/>
      <c r="H364" s="52" t="n"/>
      <c r="I364" s="52" t="n"/>
      <c r="J364" s="52" t="n"/>
      <c r="K364" s="54" t="n"/>
      <c r="L364" s="5" t="n"/>
      <c r="M364" s="53">
        <f>IF(A364="","",IFERROR(INDEX(Firms!$B$5:$B$504,MATCH(A364,Firms!$A$5:$A$504,0)),"Not on Firms tab"))</f>
        <v/>
      </c>
      <c r="N364">
        <f>IF(AND(A364&lt;&gt;"",A364='Firm Search'!$C$7),COUNTIF($A$5:A364,'Firm Search'!$C$7),"")</f>
        <v/>
      </c>
    </row>
    <row r="365">
      <c r="A365" s="5" t="n"/>
      <c r="B365" s="5" t="n"/>
      <c r="C365" s="52" t="n"/>
      <c r="D365" s="52" t="n"/>
      <c r="E365" s="52" t="n"/>
      <c r="F365" s="52" t="n"/>
      <c r="G365" s="52" t="n"/>
      <c r="H365" s="52" t="n"/>
      <c r="I365" s="52" t="n"/>
      <c r="J365" s="52" t="n"/>
      <c r="K365" s="54" t="n"/>
      <c r="L365" s="5" t="n"/>
      <c r="M365" s="53">
        <f>IF(A365="","",IFERROR(INDEX(Firms!$B$5:$B$504,MATCH(A365,Firms!$A$5:$A$504,0)),"Not on Firms tab"))</f>
        <v/>
      </c>
      <c r="N365">
        <f>IF(AND(A365&lt;&gt;"",A365='Firm Search'!$C$7),COUNTIF($A$5:A365,'Firm Search'!$C$7),"")</f>
        <v/>
      </c>
    </row>
    <row r="366">
      <c r="A366" s="5" t="n"/>
      <c r="B366" s="5" t="n"/>
      <c r="C366" s="52" t="n"/>
      <c r="D366" s="52" t="n"/>
      <c r="E366" s="52" t="n"/>
      <c r="F366" s="52" t="n"/>
      <c r="G366" s="52" t="n"/>
      <c r="H366" s="52" t="n"/>
      <c r="I366" s="52" t="n"/>
      <c r="J366" s="52" t="n"/>
      <c r="K366" s="54" t="n"/>
      <c r="L366" s="5" t="n"/>
      <c r="M366" s="53">
        <f>IF(A366="","",IFERROR(INDEX(Firms!$B$5:$B$504,MATCH(A366,Firms!$A$5:$A$504,0)),"Not on Firms tab"))</f>
        <v/>
      </c>
      <c r="N366">
        <f>IF(AND(A366&lt;&gt;"",A366='Firm Search'!$C$7),COUNTIF($A$5:A366,'Firm Search'!$C$7),"")</f>
        <v/>
      </c>
    </row>
    <row r="367">
      <c r="A367" s="5" t="n"/>
      <c r="B367" s="5" t="n"/>
      <c r="C367" s="52" t="n"/>
      <c r="D367" s="52" t="n"/>
      <c r="E367" s="52" t="n"/>
      <c r="F367" s="52" t="n"/>
      <c r="G367" s="52" t="n"/>
      <c r="H367" s="52" t="n"/>
      <c r="I367" s="52" t="n"/>
      <c r="J367" s="52" t="n"/>
      <c r="K367" s="54" t="n"/>
      <c r="L367" s="5" t="n"/>
      <c r="M367" s="53">
        <f>IF(A367="","",IFERROR(INDEX(Firms!$B$5:$B$504,MATCH(A367,Firms!$A$5:$A$504,0)),"Not on Firms tab"))</f>
        <v/>
      </c>
      <c r="N367">
        <f>IF(AND(A367&lt;&gt;"",A367='Firm Search'!$C$7),COUNTIF($A$5:A367,'Firm Search'!$C$7),"")</f>
        <v/>
      </c>
    </row>
    <row r="368">
      <c r="A368" s="5" t="n"/>
      <c r="B368" s="5" t="n"/>
      <c r="C368" s="52" t="n"/>
      <c r="D368" s="52" t="n"/>
      <c r="E368" s="52" t="n"/>
      <c r="F368" s="52" t="n"/>
      <c r="G368" s="52" t="n"/>
      <c r="H368" s="52" t="n"/>
      <c r="I368" s="52" t="n"/>
      <c r="J368" s="52" t="n"/>
      <c r="K368" s="54" t="n"/>
      <c r="L368" s="5" t="n"/>
      <c r="M368" s="53">
        <f>IF(A368="","",IFERROR(INDEX(Firms!$B$5:$B$504,MATCH(A368,Firms!$A$5:$A$504,0)),"Not on Firms tab"))</f>
        <v/>
      </c>
      <c r="N368">
        <f>IF(AND(A368&lt;&gt;"",A368='Firm Search'!$C$7),COUNTIF($A$5:A368,'Firm Search'!$C$7),"")</f>
        <v/>
      </c>
    </row>
    <row r="369">
      <c r="A369" s="5" t="n"/>
      <c r="B369" s="5" t="n"/>
      <c r="C369" s="52" t="n"/>
      <c r="D369" s="52" t="n"/>
      <c r="E369" s="52" t="n"/>
      <c r="F369" s="52" t="n"/>
      <c r="G369" s="52" t="n"/>
      <c r="H369" s="52" t="n"/>
      <c r="I369" s="52" t="n"/>
      <c r="J369" s="52" t="n"/>
      <c r="K369" s="54" t="n"/>
      <c r="L369" s="5" t="n"/>
      <c r="M369" s="53">
        <f>IF(A369="","",IFERROR(INDEX(Firms!$B$5:$B$504,MATCH(A369,Firms!$A$5:$A$504,0)),"Not on Firms tab"))</f>
        <v/>
      </c>
      <c r="N369">
        <f>IF(AND(A369&lt;&gt;"",A369='Firm Search'!$C$7),COUNTIF($A$5:A369,'Firm Search'!$C$7),"")</f>
        <v/>
      </c>
    </row>
    <row r="370">
      <c r="A370" s="5" t="n"/>
      <c r="B370" s="5" t="n"/>
      <c r="C370" s="52" t="n"/>
      <c r="D370" s="52" t="n"/>
      <c r="E370" s="52" t="n"/>
      <c r="F370" s="52" t="n"/>
      <c r="G370" s="52" t="n"/>
      <c r="H370" s="52" t="n"/>
      <c r="I370" s="52" t="n"/>
      <c r="J370" s="52" t="n"/>
      <c r="K370" s="54" t="n"/>
      <c r="L370" s="5" t="n"/>
      <c r="M370" s="53">
        <f>IF(A370="","",IFERROR(INDEX(Firms!$B$5:$B$504,MATCH(A370,Firms!$A$5:$A$504,0)),"Not on Firms tab"))</f>
        <v/>
      </c>
      <c r="N370">
        <f>IF(AND(A370&lt;&gt;"",A370='Firm Search'!$C$7),COUNTIF($A$5:A370,'Firm Search'!$C$7),"")</f>
        <v/>
      </c>
    </row>
    <row r="371">
      <c r="A371" s="5" t="n"/>
      <c r="B371" s="5" t="n"/>
      <c r="C371" s="52" t="n"/>
      <c r="D371" s="52" t="n"/>
      <c r="E371" s="52" t="n"/>
      <c r="F371" s="52" t="n"/>
      <c r="G371" s="52" t="n"/>
      <c r="H371" s="52" t="n"/>
      <c r="I371" s="52" t="n"/>
      <c r="J371" s="52" t="n"/>
      <c r="K371" s="54" t="n"/>
      <c r="L371" s="5" t="n"/>
      <c r="M371" s="53">
        <f>IF(A371="","",IFERROR(INDEX(Firms!$B$5:$B$504,MATCH(A371,Firms!$A$5:$A$504,0)),"Not on Firms tab"))</f>
        <v/>
      </c>
      <c r="N371">
        <f>IF(AND(A371&lt;&gt;"",A371='Firm Search'!$C$7),COUNTIF($A$5:A371,'Firm Search'!$C$7),"")</f>
        <v/>
      </c>
    </row>
    <row r="372">
      <c r="A372" s="5" t="n"/>
      <c r="B372" s="5" t="n"/>
      <c r="C372" s="52" t="n"/>
      <c r="D372" s="52" t="n"/>
      <c r="E372" s="52" t="n"/>
      <c r="F372" s="52" t="n"/>
      <c r="G372" s="52" t="n"/>
      <c r="H372" s="52" t="n"/>
      <c r="I372" s="52" t="n"/>
      <c r="J372" s="52" t="n"/>
      <c r="K372" s="54" t="n"/>
      <c r="L372" s="5" t="n"/>
      <c r="M372" s="53">
        <f>IF(A372="","",IFERROR(INDEX(Firms!$B$5:$B$504,MATCH(A372,Firms!$A$5:$A$504,0)),"Not on Firms tab"))</f>
        <v/>
      </c>
      <c r="N372">
        <f>IF(AND(A372&lt;&gt;"",A372='Firm Search'!$C$7),COUNTIF($A$5:A372,'Firm Search'!$C$7),"")</f>
        <v/>
      </c>
    </row>
    <row r="373">
      <c r="A373" s="5" t="n"/>
      <c r="B373" s="5" t="n"/>
      <c r="C373" s="52" t="n"/>
      <c r="D373" s="52" t="n"/>
      <c r="E373" s="52" t="n"/>
      <c r="F373" s="52" t="n"/>
      <c r="G373" s="52" t="n"/>
      <c r="H373" s="52" t="n"/>
      <c r="I373" s="52" t="n"/>
      <c r="J373" s="52" t="n"/>
      <c r="K373" s="54" t="n"/>
      <c r="L373" s="5" t="n"/>
      <c r="M373" s="53">
        <f>IF(A373="","",IFERROR(INDEX(Firms!$B$5:$B$504,MATCH(A373,Firms!$A$5:$A$504,0)),"Not on Firms tab"))</f>
        <v/>
      </c>
      <c r="N373">
        <f>IF(AND(A373&lt;&gt;"",A373='Firm Search'!$C$7),COUNTIF($A$5:A373,'Firm Search'!$C$7),"")</f>
        <v/>
      </c>
    </row>
    <row r="374">
      <c r="A374" s="5" t="n"/>
      <c r="B374" s="5" t="n"/>
      <c r="C374" s="52" t="n"/>
      <c r="D374" s="52" t="n"/>
      <c r="E374" s="52" t="n"/>
      <c r="F374" s="52" t="n"/>
      <c r="G374" s="52" t="n"/>
      <c r="H374" s="52" t="n"/>
      <c r="I374" s="52" t="n"/>
      <c r="J374" s="52" t="n"/>
      <c r="K374" s="54" t="n"/>
      <c r="L374" s="5" t="n"/>
      <c r="M374" s="53">
        <f>IF(A374="","",IFERROR(INDEX(Firms!$B$5:$B$504,MATCH(A374,Firms!$A$5:$A$504,0)),"Not on Firms tab"))</f>
        <v/>
      </c>
      <c r="N374">
        <f>IF(AND(A374&lt;&gt;"",A374='Firm Search'!$C$7),COUNTIF($A$5:A374,'Firm Search'!$C$7),"")</f>
        <v/>
      </c>
    </row>
    <row r="375">
      <c r="A375" s="5" t="n"/>
      <c r="B375" s="5" t="n"/>
      <c r="C375" s="52" t="n"/>
      <c r="D375" s="52" t="n"/>
      <c r="E375" s="52" t="n"/>
      <c r="F375" s="52" t="n"/>
      <c r="G375" s="52" t="n"/>
      <c r="H375" s="52" t="n"/>
      <c r="I375" s="52" t="n"/>
      <c r="J375" s="52" t="n"/>
      <c r="K375" s="54" t="n"/>
      <c r="L375" s="5" t="n"/>
      <c r="M375" s="53">
        <f>IF(A375="","",IFERROR(INDEX(Firms!$B$5:$B$504,MATCH(A375,Firms!$A$5:$A$504,0)),"Not on Firms tab"))</f>
        <v/>
      </c>
      <c r="N375">
        <f>IF(AND(A375&lt;&gt;"",A375='Firm Search'!$C$7),COUNTIF($A$5:A375,'Firm Search'!$C$7),"")</f>
        <v/>
      </c>
    </row>
    <row r="376">
      <c r="A376" s="5" t="n"/>
      <c r="B376" s="5" t="n"/>
      <c r="C376" s="52" t="n"/>
      <c r="D376" s="52" t="n"/>
      <c r="E376" s="52" t="n"/>
      <c r="F376" s="52" t="n"/>
      <c r="G376" s="52" t="n"/>
      <c r="H376" s="52" t="n"/>
      <c r="I376" s="52" t="n"/>
      <c r="J376" s="52" t="n"/>
      <c r="K376" s="54" t="n"/>
      <c r="L376" s="5" t="n"/>
      <c r="M376" s="53">
        <f>IF(A376="","",IFERROR(INDEX(Firms!$B$5:$B$504,MATCH(A376,Firms!$A$5:$A$504,0)),"Not on Firms tab"))</f>
        <v/>
      </c>
      <c r="N376">
        <f>IF(AND(A376&lt;&gt;"",A376='Firm Search'!$C$7),COUNTIF($A$5:A376,'Firm Search'!$C$7),"")</f>
        <v/>
      </c>
    </row>
    <row r="377">
      <c r="A377" s="5" t="n"/>
      <c r="B377" s="5" t="n"/>
      <c r="C377" s="52" t="n"/>
      <c r="D377" s="52" t="n"/>
      <c r="E377" s="52" t="n"/>
      <c r="F377" s="52" t="n"/>
      <c r="G377" s="52" t="n"/>
      <c r="H377" s="52" t="n"/>
      <c r="I377" s="52" t="n"/>
      <c r="J377" s="52" t="n"/>
      <c r="K377" s="54" t="n"/>
      <c r="L377" s="5" t="n"/>
      <c r="M377" s="53">
        <f>IF(A377="","",IFERROR(INDEX(Firms!$B$5:$B$504,MATCH(A377,Firms!$A$5:$A$504,0)),"Not on Firms tab"))</f>
        <v/>
      </c>
      <c r="N377">
        <f>IF(AND(A377&lt;&gt;"",A377='Firm Search'!$C$7),COUNTIF($A$5:A377,'Firm Search'!$C$7),"")</f>
        <v/>
      </c>
    </row>
    <row r="378">
      <c r="A378" s="5" t="n"/>
      <c r="B378" s="5" t="n"/>
      <c r="C378" s="52" t="n"/>
      <c r="D378" s="52" t="n"/>
      <c r="E378" s="52" t="n"/>
      <c r="F378" s="52" t="n"/>
      <c r="G378" s="52" t="n"/>
      <c r="H378" s="52" t="n"/>
      <c r="I378" s="52" t="n"/>
      <c r="J378" s="52" t="n"/>
      <c r="K378" s="54" t="n"/>
      <c r="L378" s="5" t="n"/>
      <c r="M378" s="53">
        <f>IF(A378="","",IFERROR(INDEX(Firms!$B$5:$B$504,MATCH(A378,Firms!$A$5:$A$504,0)),"Not on Firms tab"))</f>
        <v/>
      </c>
      <c r="N378">
        <f>IF(AND(A378&lt;&gt;"",A378='Firm Search'!$C$7),COUNTIF($A$5:A378,'Firm Search'!$C$7),"")</f>
        <v/>
      </c>
    </row>
    <row r="379">
      <c r="A379" s="5" t="n"/>
      <c r="B379" s="5" t="n"/>
      <c r="C379" s="52" t="n"/>
      <c r="D379" s="52" t="n"/>
      <c r="E379" s="52" t="n"/>
      <c r="F379" s="52" t="n"/>
      <c r="G379" s="52" t="n"/>
      <c r="H379" s="52" t="n"/>
      <c r="I379" s="52" t="n"/>
      <c r="J379" s="52" t="n"/>
      <c r="K379" s="54" t="n"/>
      <c r="L379" s="5" t="n"/>
      <c r="M379" s="53">
        <f>IF(A379="","",IFERROR(INDEX(Firms!$B$5:$B$504,MATCH(A379,Firms!$A$5:$A$504,0)),"Not on Firms tab"))</f>
        <v/>
      </c>
      <c r="N379">
        <f>IF(AND(A379&lt;&gt;"",A379='Firm Search'!$C$7),COUNTIF($A$5:A379,'Firm Search'!$C$7),"")</f>
        <v/>
      </c>
    </row>
    <row r="380">
      <c r="A380" s="5" t="n"/>
      <c r="B380" s="5" t="n"/>
      <c r="C380" s="52" t="n"/>
      <c r="D380" s="52" t="n"/>
      <c r="E380" s="52" t="n"/>
      <c r="F380" s="52" t="n"/>
      <c r="G380" s="52" t="n"/>
      <c r="H380" s="52" t="n"/>
      <c r="I380" s="52" t="n"/>
      <c r="J380" s="52" t="n"/>
      <c r="K380" s="54" t="n"/>
      <c r="L380" s="5" t="n"/>
      <c r="M380" s="53">
        <f>IF(A380="","",IFERROR(INDEX(Firms!$B$5:$B$504,MATCH(A380,Firms!$A$5:$A$504,0)),"Not on Firms tab"))</f>
        <v/>
      </c>
      <c r="N380">
        <f>IF(AND(A380&lt;&gt;"",A380='Firm Search'!$C$7),COUNTIF($A$5:A380,'Firm Search'!$C$7),"")</f>
        <v/>
      </c>
    </row>
    <row r="381">
      <c r="A381" s="5" t="n"/>
      <c r="B381" s="5" t="n"/>
      <c r="C381" s="52" t="n"/>
      <c r="D381" s="52" t="n"/>
      <c r="E381" s="52" t="n"/>
      <c r="F381" s="52" t="n"/>
      <c r="G381" s="52" t="n"/>
      <c r="H381" s="52" t="n"/>
      <c r="I381" s="52" t="n"/>
      <c r="J381" s="52" t="n"/>
      <c r="K381" s="54" t="n"/>
      <c r="L381" s="5" t="n"/>
      <c r="M381" s="53">
        <f>IF(A381="","",IFERROR(INDEX(Firms!$B$5:$B$504,MATCH(A381,Firms!$A$5:$A$504,0)),"Not on Firms tab"))</f>
        <v/>
      </c>
      <c r="N381">
        <f>IF(AND(A381&lt;&gt;"",A381='Firm Search'!$C$7),COUNTIF($A$5:A381,'Firm Search'!$C$7),"")</f>
        <v/>
      </c>
    </row>
    <row r="382">
      <c r="A382" s="5" t="n"/>
      <c r="B382" s="5" t="n"/>
      <c r="C382" s="52" t="n"/>
      <c r="D382" s="52" t="n"/>
      <c r="E382" s="52" t="n"/>
      <c r="F382" s="52" t="n"/>
      <c r="G382" s="52" t="n"/>
      <c r="H382" s="52" t="n"/>
      <c r="I382" s="52" t="n"/>
      <c r="J382" s="52" t="n"/>
      <c r="K382" s="54" t="n"/>
      <c r="L382" s="5" t="n"/>
      <c r="M382" s="53">
        <f>IF(A382="","",IFERROR(INDEX(Firms!$B$5:$B$504,MATCH(A382,Firms!$A$5:$A$504,0)),"Not on Firms tab"))</f>
        <v/>
      </c>
      <c r="N382">
        <f>IF(AND(A382&lt;&gt;"",A382='Firm Search'!$C$7),COUNTIF($A$5:A382,'Firm Search'!$C$7),"")</f>
        <v/>
      </c>
    </row>
    <row r="383">
      <c r="A383" s="5" t="n"/>
      <c r="B383" s="5" t="n"/>
      <c r="C383" s="52" t="n"/>
      <c r="D383" s="52" t="n"/>
      <c r="E383" s="52" t="n"/>
      <c r="F383" s="52" t="n"/>
      <c r="G383" s="52" t="n"/>
      <c r="H383" s="52" t="n"/>
      <c r="I383" s="52" t="n"/>
      <c r="J383" s="52" t="n"/>
      <c r="K383" s="54" t="n"/>
      <c r="L383" s="5" t="n"/>
      <c r="M383" s="53">
        <f>IF(A383="","",IFERROR(INDEX(Firms!$B$5:$B$504,MATCH(A383,Firms!$A$5:$A$504,0)),"Not on Firms tab"))</f>
        <v/>
      </c>
      <c r="N383">
        <f>IF(AND(A383&lt;&gt;"",A383='Firm Search'!$C$7),COUNTIF($A$5:A383,'Firm Search'!$C$7),"")</f>
        <v/>
      </c>
    </row>
    <row r="384">
      <c r="A384" s="5" t="n"/>
      <c r="B384" s="5" t="n"/>
      <c r="C384" s="52" t="n"/>
      <c r="D384" s="52" t="n"/>
      <c r="E384" s="52" t="n"/>
      <c r="F384" s="52" t="n"/>
      <c r="G384" s="52" t="n"/>
      <c r="H384" s="52" t="n"/>
      <c r="I384" s="52" t="n"/>
      <c r="J384" s="52" t="n"/>
      <c r="K384" s="54" t="n"/>
      <c r="L384" s="5" t="n"/>
      <c r="M384" s="53">
        <f>IF(A384="","",IFERROR(INDEX(Firms!$B$5:$B$504,MATCH(A384,Firms!$A$5:$A$504,0)),"Not on Firms tab"))</f>
        <v/>
      </c>
      <c r="N384">
        <f>IF(AND(A384&lt;&gt;"",A384='Firm Search'!$C$7),COUNTIF($A$5:A384,'Firm Search'!$C$7),"")</f>
        <v/>
      </c>
    </row>
    <row r="385">
      <c r="A385" s="5" t="n"/>
      <c r="B385" s="5" t="n"/>
      <c r="C385" s="52" t="n"/>
      <c r="D385" s="52" t="n"/>
      <c r="E385" s="52" t="n"/>
      <c r="F385" s="52" t="n"/>
      <c r="G385" s="52" t="n"/>
      <c r="H385" s="52" t="n"/>
      <c r="I385" s="52" t="n"/>
      <c r="J385" s="52" t="n"/>
      <c r="K385" s="54" t="n"/>
      <c r="L385" s="5" t="n"/>
      <c r="M385" s="53">
        <f>IF(A385="","",IFERROR(INDEX(Firms!$B$5:$B$504,MATCH(A385,Firms!$A$5:$A$504,0)),"Not on Firms tab"))</f>
        <v/>
      </c>
      <c r="N385">
        <f>IF(AND(A385&lt;&gt;"",A385='Firm Search'!$C$7),COUNTIF($A$5:A385,'Firm Search'!$C$7),"")</f>
        <v/>
      </c>
    </row>
    <row r="386">
      <c r="A386" s="5" t="n"/>
      <c r="B386" s="5" t="n"/>
      <c r="C386" s="52" t="n"/>
      <c r="D386" s="52" t="n"/>
      <c r="E386" s="52" t="n"/>
      <c r="F386" s="52" t="n"/>
      <c r="G386" s="52" t="n"/>
      <c r="H386" s="52" t="n"/>
      <c r="I386" s="52" t="n"/>
      <c r="J386" s="52" t="n"/>
      <c r="K386" s="54" t="n"/>
      <c r="L386" s="5" t="n"/>
      <c r="M386" s="53">
        <f>IF(A386="","",IFERROR(INDEX(Firms!$B$5:$B$504,MATCH(A386,Firms!$A$5:$A$504,0)),"Not on Firms tab"))</f>
        <v/>
      </c>
      <c r="N386">
        <f>IF(AND(A386&lt;&gt;"",A386='Firm Search'!$C$7),COUNTIF($A$5:A386,'Firm Search'!$C$7),"")</f>
        <v/>
      </c>
    </row>
    <row r="387">
      <c r="A387" s="5" t="n"/>
      <c r="B387" s="5" t="n"/>
      <c r="C387" s="52" t="n"/>
      <c r="D387" s="52" t="n"/>
      <c r="E387" s="52" t="n"/>
      <c r="F387" s="52" t="n"/>
      <c r="G387" s="52" t="n"/>
      <c r="H387" s="52" t="n"/>
      <c r="I387" s="52" t="n"/>
      <c r="J387" s="52" t="n"/>
      <c r="K387" s="54" t="n"/>
      <c r="L387" s="5" t="n"/>
      <c r="M387" s="53">
        <f>IF(A387="","",IFERROR(INDEX(Firms!$B$5:$B$504,MATCH(A387,Firms!$A$5:$A$504,0)),"Not on Firms tab"))</f>
        <v/>
      </c>
      <c r="N387">
        <f>IF(AND(A387&lt;&gt;"",A387='Firm Search'!$C$7),COUNTIF($A$5:A387,'Firm Search'!$C$7),"")</f>
        <v/>
      </c>
    </row>
    <row r="388">
      <c r="A388" s="5" t="n"/>
      <c r="B388" s="5" t="n"/>
      <c r="C388" s="52" t="n"/>
      <c r="D388" s="52" t="n"/>
      <c r="E388" s="52" t="n"/>
      <c r="F388" s="52" t="n"/>
      <c r="G388" s="52" t="n"/>
      <c r="H388" s="52" t="n"/>
      <c r="I388" s="52" t="n"/>
      <c r="J388" s="52" t="n"/>
      <c r="K388" s="54" t="n"/>
      <c r="L388" s="5" t="n"/>
      <c r="M388" s="53">
        <f>IF(A388="","",IFERROR(INDEX(Firms!$B$5:$B$504,MATCH(A388,Firms!$A$5:$A$504,0)),"Not on Firms tab"))</f>
        <v/>
      </c>
      <c r="N388">
        <f>IF(AND(A388&lt;&gt;"",A388='Firm Search'!$C$7),COUNTIF($A$5:A388,'Firm Search'!$C$7),"")</f>
        <v/>
      </c>
    </row>
    <row r="389">
      <c r="A389" s="5" t="n"/>
      <c r="B389" s="5" t="n"/>
      <c r="C389" s="52" t="n"/>
      <c r="D389" s="52" t="n"/>
      <c r="E389" s="52" t="n"/>
      <c r="F389" s="52" t="n"/>
      <c r="G389" s="52" t="n"/>
      <c r="H389" s="52" t="n"/>
      <c r="I389" s="52" t="n"/>
      <c r="J389" s="52" t="n"/>
      <c r="K389" s="54" t="n"/>
      <c r="L389" s="5" t="n"/>
      <c r="M389" s="53">
        <f>IF(A389="","",IFERROR(INDEX(Firms!$B$5:$B$504,MATCH(A389,Firms!$A$5:$A$504,0)),"Not on Firms tab"))</f>
        <v/>
      </c>
      <c r="N389">
        <f>IF(AND(A389&lt;&gt;"",A389='Firm Search'!$C$7),COUNTIF($A$5:A389,'Firm Search'!$C$7),"")</f>
        <v/>
      </c>
    </row>
    <row r="390">
      <c r="A390" s="5" t="n"/>
      <c r="B390" s="5" t="n"/>
      <c r="C390" s="52" t="n"/>
      <c r="D390" s="52" t="n"/>
      <c r="E390" s="52" t="n"/>
      <c r="F390" s="52" t="n"/>
      <c r="G390" s="52" t="n"/>
      <c r="H390" s="52" t="n"/>
      <c r="I390" s="52" t="n"/>
      <c r="J390" s="52" t="n"/>
      <c r="K390" s="54" t="n"/>
      <c r="L390" s="5" t="n"/>
      <c r="M390" s="53">
        <f>IF(A390="","",IFERROR(INDEX(Firms!$B$5:$B$504,MATCH(A390,Firms!$A$5:$A$504,0)),"Not on Firms tab"))</f>
        <v/>
      </c>
      <c r="N390">
        <f>IF(AND(A390&lt;&gt;"",A390='Firm Search'!$C$7),COUNTIF($A$5:A390,'Firm Search'!$C$7),"")</f>
        <v/>
      </c>
    </row>
    <row r="391">
      <c r="A391" s="5" t="n"/>
      <c r="B391" s="5" t="n"/>
      <c r="C391" s="52" t="n"/>
      <c r="D391" s="52" t="n"/>
      <c r="E391" s="52" t="n"/>
      <c r="F391" s="52" t="n"/>
      <c r="G391" s="52" t="n"/>
      <c r="H391" s="52" t="n"/>
      <c r="I391" s="52" t="n"/>
      <c r="J391" s="52" t="n"/>
      <c r="K391" s="54" t="n"/>
      <c r="L391" s="5" t="n"/>
      <c r="M391" s="53">
        <f>IF(A391="","",IFERROR(INDEX(Firms!$B$5:$B$504,MATCH(A391,Firms!$A$5:$A$504,0)),"Not on Firms tab"))</f>
        <v/>
      </c>
      <c r="N391">
        <f>IF(AND(A391&lt;&gt;"",A391='Firm Search'!$C$7),COUNTIF($A$5:A391,'Firm Search'!$C$7),"")</f>
        <v/>
      </c>
    </row>
    <row r="392">
      <c r="A392" s="5" t="n"/>
      <c r="B392" s="5" t="n"/>
      <c r="C392" s="52" t="n"/>
      <c r="D392" s="52" t="n"/>
      <c r="E392" s="52" t="n"/>
      <c r="F392" s="52" t="n"/>
      <c r="G392" s="52" t="n"/>
      <c r="H392" s="52" t="n"/>
      <c r="I392" s="52" t="n"/>
      <c r="J392" s="52" t="n"/>
      <c r="K392" s="54" t="n"/>
      <c r="L392" s="5" t="n"/>
      <c r="M392" s="53">
        <f>IF(A392="","",IFERROR(INDEX(Firms!$B$5:$B$504,MATCH(A392,Firms!$A$5:$A$504,0)),"Not on Firms tab"))</f>
        <v/>
      </c>
      <c r="N392">
        <f>IF(AND(A392&lt;&gt;"",A392='Firm Search'!$C$7),COUNTIF($A$5:A392,'Firm Search'!$C$7),"")</f>
        <v/>
      </c>
    </row>
    <row r="393">
      <c r="A393" s="5" t="n"/>
      <c r="B393" s="5" t="n"/>
      <c r="C393" s="52" t="n"/>
      <c r="D393" s="52" t="n"/>
      <c r="E393" s="52" t="n"/>
      <c r="F393" s="52" t="n"/>
      <c r="G393" s="52" t="n"/>
      <c r="H393" s="52" t="n"/>
      <c r="I393" s="52" t="n"/>
      <c r="J393" s="52" t="n"/>
      <c r="K393" s="54" t="n"/>
      <c r="L393" s="5" t="n"/>
      <c r="M393" s="53">
        <f>IF(A393="","",IFERROR(INDEX(Firms!$B$5:$B$504,MATCH(A393,Firms!$A$5:$A$504,0)),"Not on Firms tab"))</f>
        <v/>
      </c>
      <c r="N393">
        <f>IF(AND(A393&lt;&gt;"",A393='Firm Search'!$C$7),COUNTIF($A$5:A393,'Firm Search'!$C$7),"")</f>
        <v/>
      </c>
    </row>
    <row r="394">
      <c r="A394" s="5" t="n"/>
      <c r="B394" s="5" t="n"/>
      <c r="C394" s="52" t="n"/>
      <c r="D394" s="52" t="n"/>
      <c r="E394" s="52" t="n"/>
      <c r="F394" s="52" t="n"/>
      <c r="G394" s="52" t="n"/>
      <c r="H394" s="52" t="n"/>
      <c r="I394" s="52" t="n"/>
      <c r="J394" s="52" t="n"/>
      <c r="K394" s="54" t="n"/>
      <c r="L394" s="5" t="n"/>
      <c r="M394" s="53">
        <f>IF(A394="","",IFERROR(INDEX(Firms!$B$5:$B$504,MATCH(A394,Firms!$A$5:$A$504,0)),"Not on Firms tab"))</f>
        <v/>
      </c>
      <c r="N394">
        <f>IF(AND(A394&lt;&gt;"",A394='Firm Search'!$C$7),COUNTIF($A$5:A394,'Firm Search'!$C$7),"")</f>
        <v/>
      </c>
    </row>
    <row r="395">
      <c r="A395" s="5" t="n"/>
      <c r="B395" s="5" t="n"/>
      <c r="C395" s="52" t="n"/>
      <c r="D395" s="52" t="n"/>
      <c r="E395" s="52" t="n"/>
      <c r="F395" s="52" t="n"/>
      <c r="G395" s="52" t="n"/>
      <c r="H395" s="52" t="n"/>
      <c r="I395" s="52" t="n"/>
      <c r="J395" s="52" t="n"/>
      <c r="K395" s="54" t="n"/>
      <c r="L395" s="5" t="n"/>
      <c r="M395" s="53">
        <f>IF(A395="","",IFERROR(INDEX(Firms!$B$5:$B$504,MATCH(A395,Firms!$A$5:$A$504,0)),"Not on Firms tab"))</f>
        <v/>
      </c>
      <c r="N395">
        <f>IF(AND(A395&lt;&gt;"",A395='Firm Search'!$C$7),COUNTIF($A$5:A395,'Firm Search'!$C$7),"")</f>
        <v/>
      </c>
    </row>
    <row r="396">
      <c r="A396" s="5" t="n"/>
      <c r="B396" s="5" t="n"/>
      <c r="C396" s="52" t="n"/>
      <c r="D396" s="52" t="n"/>
      <c r="E396" s="52" t="n"/>
      <c r="F396" s="52" t="n"/>
      <c r="G396" s="52" t="n"/>
      <c r="H396" s="52" t="n"/>
      <c r="I396" s="52" t="n"/>
      <c r="J396" s="52" t="n"/>
      <c r="K396" s="54" t="n"/>
      <c r="L396" s="5" t="n"/>
      <c r="M396" s="53">
        <f>IF(A396="","",IFERROR(INDEX(Firms!$B$5:$B$504,MATCH(A396,Firms!$A$5:$A$504,0)),"Not on Firms tab"))</f>
        <v/>
      </c>
      <c r="N396">
        <f>IF(AND(A396&lt;&gt;"",A396='Firm Search'!$C$7),COUNTIF($A$5:A396,'Firm Search'!$C$7),"")</f>
        <v/>
      </c>
    </row>
    <row r="397">
      <c r="A397" s="5" t="n"/>
      <c r="B397" s="5" t="n"/>
      <c r="C397" s="52" t="n"/>
      <c r="D397" s="52" t="n"/>
      <c r="E397" s="52" t="n"/>
      <c r="F397" s="52" t="n"/>
      <c r="G397" s="52" t="n"/>
      <c r="H397" s="52" t="n"/>
      <c r="I397" s="52" t="n"/>
      <c r="J397" s="52" t="n"/>
      <c r="K397" s="54" t="n"/>
      <c r="L397" s="5" t="n"/>
      <c r="M397" s="53">
        <f>IF(A397="","",IFERROR(INDEX(Firms!$B$5:$B$504,MATCH(A397,Firms!$A$5:$A$504,0)),"Not on Firms tab"))</f>
        <v/>
      </c>
      <c r="N397">
        <f>IF(AND(A397&lt;&gt;"",A397='Firm Search'!$C$7),COUNTIF($A$5:A397,'Firm Search'!$C$7),"")</f>
        <v/>
      </c>
    </row>
    <row r="398">
      <c r="A398" s="5" t="n"/>
      <c r="B398" s="5" t="n"/>
      <c r="C398" s="52" t="n"/>
      <c r="D398" s="52" t="n"/>
      <c r="E398" s="52" t="n"/>
      <c r="F398" s="52" t="n"/>
      <c r="G398" s="52" t="n"/>
      <c r="H398" s="52" t="n"/>
      <c r="I398" s="52" t="n"/>
      <c r="J398" s="52" t="n"/>
      <c r="K398" s="54" t="n"/>
      <c r="L398" s="5" t="n"/>
      <c r="M398" s="53">
        <f>IF(A398="","",IFERROR(INDEX(Firms!$B$5:$B$504,MATCH(A398,Firms!$A$5:$A$504,0)),"Not on Firms tab"))</f>
        <v/>
      </c>
      <c r="N398">
        <f>IF(AND(A398&lt;&gt;"",A398='Firm Search'!$C$7),COUNTIF($A$5:A398,'Firm Search'!$C$7),"")</f>
        <v/>
      </c>
    </row>
    <row r="399">
      <c r="A399" s="5" t="n"/>
      <c r="B399" s="5" t="n"/>
      <c r="C399" s="52" t="n"/>
      <c r="D399" s="52" t="n"/>
      <c r="E399" s="52" t="n"/>
      <c r="F399" s="52" t="n"/>
      <c r="G399" s="52" t="n"/>
      <c r="H399" s="52" t="n"/>
      <c r="I399" s="52" t="n"/>
      <c r="J399" s="52" t="n"/>
      <c r="K399" s="54" t="n"/>
      <c r="L399" s="5" t="n"/>
      <c r="M399" s="53">
        <f>IF(A399="","",IFERROR(INDEX(Firms!$B$5:$B$504,MATCH(A399,Firms!$A$5:$A$504,0)),"Not on Firms tab"))</f>
        <v/>
      </c>
      <c r="N399">
        <f>IF(AND(A399&lt;&gt;"",A399='Firm Search'!$C$7),COUNTIF($A$5:A399,'Firm Search'!$C$7),"")</f>
        <v/>
      </c>
    </row>
    <row r="400">
      <c r="A400" s="5" t="n"/>
      <c r="B400" s="5" t="n"/>
      <c r="C400" s="52" t="n"/>
      <c r="D400" s="52" t="n"/>
      <c r="E400" s="52" t="n"/>
      <c r="F400" s="52" t="n"/>
      <c r="G400" s="52" t="n"/>
      <c r="H400" s="52" t="n"/>
      <c r="I400" s="52" t="n"/>
      <c r="J400" s="52" t="n"/>
      <c r="K400" s="54" t="n"/>
      <c r="L400" s="5" t="n"/>
      <c r="M400" s="53">
        <f>IF(A400="","",IFERROR(INDEX(Firms!$B$5:$B$504,MATCH(A400,Firms!$A$5:$A$504,0)),"Not on Firms tab"))</f>
        <v/>
      </c>
      <c r="N400">
        <f>IF(AND(A400&lt;&gt;"",A400='Firm Search'!$C$7),COUNTIF($A$5:A400,'Firm Search'!$C$7),"")</f>
        <v/>
      </c>
    </row>
    <row r="401">
      <c r="A401" s="5" t="n"/>
      <c r="B401" s="5" t="n"/>
      <c r="C401" s="52" t="n"/>
      <c r="D401" s="52" t="n"/>
      <c r="E401" s="52" t="n"/>
      <c r="F401" s="52" t="n"/>
      <c r="G401" s="52" t="n"/>
      <c r="H401" s="52" t="n"/>
      <c r="I401" s="52" t="n"/>
      <c r="J401" s="52" t="n"/>
      <c r="K401" s="54" t="n"/>
      <c r="L401" s="5" t="n"/>
      <c r="M401" s="53">
        <f>IF(A401="","",IFERROR(INDEX(Firms!$B$5:$B$504,MATCH(A401,Firms!$A$5:$A$504,0)),"Not on Firms tab"))</f>
        <v/>
      </c>
      <c r="N401">
        <f>IF(AND(A401&lt;&gt;"",A401='Firm Search'!$C$7),COUNTIF($A$5:A401,'Firm Search'!$C$7),"")</f>
        <v/>
      </c>
    </row>
    <row r="402">
      <c r="A402" s="5" t="n"/>
      <c r="B402" s="5" t="n"/>
      <c r="C402" s="52" t="n"/>
      <c r="D402" s="52" t="n"/>
      <c r="E402" s="52" t="n"/>
      <c r="F402" s="52" t="n"/>
      <c r="G402" s="52" t="n"/>
      <c r="H402" s="52" t="n"/>
      <c r="I402" s="52" t="n"/>
      <c r="J402" s="52" t="n"/>
      <c r="K402" s="54" t="n"/>
      <c r="L402" s="5" t="n"/>
      <c r="M402" s="53">
        <f>IF(A402="","",IFERROR(INDEX(Firms!$B$5:$B$504,MATCH(A402,Firms!$A$5:$A$504,0)),"Not on Firms tab"))</f>
        <v/>
      </c>
      <c r="N402">
        <f>IF(AND(A402&lt;&gt;"",A402='Firm Search'!$C$7),COUNTIF($A$5:A402,'Firm Search'!$C$7),"")</f>
        <v/>
      </c>
    </row>
    <row r="403">
      <c r="A403" s="5" t="n"/>
      <c r="B403" s="5" t="n"/>
      <c r="C403" s="52" t="n"/>
      <c r="D403" s="52" t="n"/>
      <c r="E403" s="52" t="n"/>
      <c r="F403" s="52" t="n"/>
      <c r="G403" s="52" t="n"/>
      <c r="H403" s="52" t="n"/>
      <c r="I403" s="52" t="n"/>
      <c r="J403" s="52" t="n"/>
      <c r="K403" s="54" t="n"/>
      <c r="L403" s="5" t="n"/>
      <c r="M403" s="53">
        <f>IF(A403="","",IFERROR(INDEX(Firms!$B$5:$B$504,MATCH(A403,Firms!$A$5:$A$504,0)),"Not on Firms tab"))</f>
        <v/>
      </c>
      <c r="N403">
        <f>IF(AND(A403&lt;&gt;"",A403='Firm Search'!$C$7),COUNTIF($A$5:A403,'Firm Search'!$C$7),"")</f>
        <v/>
      </c>
    </row>
    <row r="404">
      <c r="A404" s="5" t="n"/>
      <c r="B404" s="5" t="n"/>
      <c r="C404" s="52" t="n"/>
      <c r="D404" s="52" t="n"/>
      <c r="E404" s="52" t="n"/>
      <c r="F404" s="52" t="n"/>
      <c r="G404" s="52" t="n"/>
      <c r="H404" s="52" t="n"/>
      <c r="I404" s="52" t="n"/>
      <c r="J404" s="52" t="n"/>
      <c r="K404" s="54" t="n"/>
      <c r="L404" s="5" t="n"/>
      <c r="M404" s="53">
        <f>IF(A404="","",IFERROR(INDEX(Firms!$B$5:$B$504,MATCH(A404,Firms!$A$5:$A$504,0)),"Not on Firms tab"))</f>
        <v/>
      </c>
      <c r="N404">
        <f>IF(AND(A404&lt;&gt;"",A404='Firm Search'!$C$7),COUNTIF($A$5:A404,'Firm Search'!$C$7),"")</f>
        <v/>
      </c>
    </row>
    <row r="405">
      <c r="A405" s="5" t="n"/>
      <c r="B405" s="5" t="n"/>
      <c r="C405" s="52" t="n"/>
      <c r="D405" s="52" t="n"/>
      <c r="E405" s="52" t="n"/>
      <c r="F405" s="52" t="n"/>
      <c r="G405" s="52" t="n"/>
      <c r="H405" s="52" t="n"/>
      <c r="I405" s="52" t="n"/>
      <c r="J405" s="52" t="n"/>
      <c r="K405" s="54" t="n"/>
      <c r="L405" s="5" t="n"/>
      <c r="M405" s="53">
        <f>IF(A405="","",IFERROR(INDEX(Firms!$B$5:$B$504,MATCH(A405,Firms!$A$5:$A$504,0)),"Not on Firms tab"))</f>
        <v/>
      </c>
      <c r="N405">
        <f>IF(AND(A405&lt;&gt;"",A405='Firm Search'!$C$7),COUNTIF($A$5:A405,'Firm Search'!$C$7),"")</f>
        <v/>
      </c>
    </row>
    <row r="406">
      <c r="A406" s="5" t="n"/>
      <c r="B406" s="5" t="n"/>
      <c r="C406" s="52" t="n"/>
      <c r="D406" s="52" t="n"/>
      <c r="E406" s="52" t="n"/>
      <c r="F406" s="52" t="n"/>
      <c r="G406" s="52" t="n"/>
      <c r="H406" s="52" t="n"/>
      <c r="I406" s="52" t="n"/>
      <c r="J406" s="52" t="n"/>
      <c r="K406" s="54" t="n"/>
      <c r="L406" s="5" t="n"/>
      <c r="M406" s="53">
        <f>IF(A406="","",IFERROR(INDEX(Firms!$B$5:$B$504,MATCH(A406,Firms!$A$5:$A$504,0)),"Not on Firms tab"))</f>
        <v/>
      </c>
      <c r="N406">
        <f>IF(AND(A406&lt;&gt;"",A406='Firm Search'!$C$7),COUNTIF($A$5:A406,'Firm Search'!$C$7),"")</f>
        <v/>
      </c>
    </row>
    <row r="407">
      <c r="A407" s="5" t="n"/>
      <c r="B407" s="5" t="n"/>
      <c r="C407" s="52" t="n"/>
      <c r="D407" s="52" t="n"/>
      <c r="E407" s="52" t="n"/>
      <c r="F407" s="52" t="n"/>
      <c r="G407" s="52" t="n"/>
      <c r="H407" s="52" t="n"/>
      <c r="I407" s="52" t="n"/>
      <c r="J407" s="52" t="n"/>
      <c r="K407" s="54" t="n"/>
      <c r="L407" s="5" t="n"/>
      <c r="M407" s="53">
        <f>IF(A407="","",IFERROR(INDEX(Firms!$B$5:$B$504,MATCH(A407,Firms!$A$5:$A$504,0)),"Not on Firms tab"))</f>
        <v/>
      </c>
      <c r="N407">
        <f>IF(AND(A407&lt;&gt;"",A407='Firm Search'!$C$7),COUNTIF($A$5:A407,'Firm Search'!$C$7),"")</f>
        <v/>
      </c>
    </row>
    <row r="408">
      <c r="A408" s="5" t="n"/>
      <c r="B408" s="5" t="n"/>
      <c r="C408" s="52" t="n"/>
      <c r="D408" s="52" t="n"/>
      <c r="E408" s="52" t="n"/>
      <c r="F408" s="52" t="n"/>
      <c r="G408" s="52" t="n"/>
      <c r="H408" s="52" t="n"/>
      <c r="I408" s="52" t="n"/>
      <c r="J408" s="52" t="n"/>
      <c r="K408" s="54" t="n"/>
      <c r="L408" s="5" t="n"/>
      <c r="M408" s="53">
        <f>IF(A408="","",IFERROR(INDEX(Firms!$B$5:$B$504,MATCH(A408,Firms!$A$5:$A$504,0)),"Not on Firms tab"))</f>
        <v/>
      </c>
      <c r="N408">
        <f>IF(AND(A408&lt;&gt;"",A408='Firm Search'!$C$7),COUNTIF($A$5:A408,'Firm Search'!$C$7),"")</f>
        <v/>
      </c>
    </row>
    <row r="409">
      <c r="A409" s="5" t="n"/>
      <c r="B409" s="5" t="n"/>
      <c r="C409" s="52" t="n"/>
      <c r="D409" s="52" t="n"/>
      <c r="E409" s="52" t="n"/>
      <c r="F409" s="52" t="n"/>
      <c r="G409" s="52" t="n"/>
      <c r="H409" s="52" t="n"/>
      <c r="I409" s="52" t="n"/>
      <c r="J409" s="52" t="n"/>
      <c r="K409" s="54" t="n"/>
      <c r="L409" s="5" t="n"/>
      <c r="M409" s="53">
        <f>IF(A409="","",IFERROR(INDEX(Firms!$B$5:$B$504,MATCH(A409,Firms!$A$5:$A$504,0)),"Not on Firms tab"))</f>
        <v/>
      </c>
      <c r="N409">
        <f>IF(AND(A409&lt;&gt;"",A409='Firm Search'!$C$7),COUNTIF($A$5:A409,'Firm Search'!$C$7),"")</f>
        <v/>
      </c>
    </row>
    <row r="410">
      <c r="A410" s="5" t="n"/>
      <c r="B410" s="5" t="n"/>
      <c r="C410" s="52" t="n"/>
      <c r="D410" s="52" t="n"/>
      <c r="E410" s="52" t="n"/>
      <c r="F410" s="52" t="n"/>
      <c r="G410" s="52" t="n"/>
      <c r="H410" s="52" t="n"/>
      <c r="I410" s="52" t="n"/>
      <c r="J410" s="52" t="n"/>
      <c r="K410" s="54" t="n"/>
      <c r="L410" s="5" t="n"/>
      <c r="M410" s="53">
        <f>IF(A410="","",IFERROR(INDEX(Firms!$B$5:$B$504,MATCH(A410,Firms!$A$5:$A$504,0)),"Not on Firms tab"))</f>
        <v/>
      </c>
      <c r="N410">
        <f>IF(AND(A410&lt;&gt;"",A410='Firm Search'!$C$7),COUNTIF($A$5:A410,'Firm Search'!$C$7),"")</f>
        <v/>
      </c>
    </row>
    <row r="411">
      <c r="A411" s="5" t="n"/>
      <c r="B411" s="5" t="n"/>
      <c r="C411" s="52" t="n"/>
      <c r="D411" s="52" t="n"/>
      <c r="E411" s="52" t="n"/>
      <c r="F411" s="52" t="n"/>
      <c r="G411" s="52" t="n"/>
      <c r="H411" s="52" t="n"/>
      <c r="I411" s="52" t="n"/>
      <c r="J411" s="52" t="n"/>
      <c r="K411" s="54" t="n"/>
      <c r="L411" s="5" t="n"/>
      <c r="M411" s="53">
        <f>IF(A411="","",IFERROR(INDEX(Firms!$B$5:$B$504,MATCH(A411,Firms!$A$5:$A$504,0)),"Not on Firms tab"))</f>
        <v/>
      </c>
      <c r="N411">
        <f>IF(AND(A411&lt;&gt;"",A411='Firm Search'!$C$7),COUNTIF($A$5:A411,'Firm Search'!$C$7),"")</f>
        <v/>
      </c>
    </row>
    <row r="412">
      <c r="A412" s="5" t="n"/>
      <c r="B412" s="5" t="n"/>
      <c r="C412" s="52" t="n"/>
      <c r="D412" s="52" t="n"/>
      <c r="E412" s="52" t="n"/>
      <c r="F412" s="52" t="n"/>
      <c r="G412" s="52" t="n"/>
      <c r="H412" s="52" t="n"/>
      <c r="I412" s="52" t="n"/>
      <c r="J412" s="52" t="n"/>
      <c r="K412" s="54" t="n"/>
      <c r="L412" s="5" t="n"/>
      <c r="M412" s="53">
        <f>IF(A412="","",IFERROR(INDEX(Firms!$B$5:$B$504,MATCH(A412,Firms!$A$5:$A$504,0)),"Not on Firms tab"))</f>
        <v/>
      </c>
      <c r="N412">
        <f>IF(AND(A412&lt;&gt;"",A412='Firm Search'!$C$7),COUNTIF($A$5:A412,'Firm Search'!$C$7),"")</f>
        <v/>
      </c>
    </row>
    <row r="413">
      <c r="A413" s="5" t="n"/>
      <c r="B413" s="5" t="n"/>
      <c r="C413" s="52" t="n"/>
      <c r="D413" s="52" t="n"/>
      <c r="E413" s="52" t="n"/>
      <c r="F413" s="52" t="n"/>
      <c r="G413" s="52" t="n"/>
      <c r="H413" s="52" t="n"/>
      <c r="I413" s="52" t="n"/>
      <c r="J413" s="52" t="n"/>
      <c r="K413" s="54" t="n"/>
      <c r="L413" s="5" t="n"/>
      <c r="M413" s="53">
        <f>IF(A413="","",IFERROR(INDEX(Firms!$B$5:$B$504,MATCH(A413,Firms!$A$5:$A$504,0)),"Not on Firms tab"))</f>
        <v/>
      </c>
      <c r="N413">
        <f>IF(AND(A413&lt;&gt;"",A413='Firm Search'!$C$7),COUNTIF($A$5:A413,'Firm Search'!$C$7),"")</f>
        <v/>
      </c>
    </row>
    <row r="414">
      <c r="A414" s="5" t="n"/>
      <c r="B414" s="5" t="n"/>
      <c r="C414" s="52" t="n"/>
      <c r="D414" s="52" t="n"/>
      <c r="E414" s="52" t="n"/>
      <c r="F414" s="52" t="n"/>
      <c r="G414" s="52" t="n"/>
      <c r="H414" s="52" t="n"/>
      <c r="I414" s="52" t="n"/>
      <c r="J414" s="52" t="n"/>
      <c r="K414" s="54" t="n"/>
      <c r="L414" s="5" t="n"/>
      <c r="M414" s="53">
        <f>IF(A414="","",IFERROR(INDEX(Firms!$B$5:$B$504,MATCH(A414,Firms!$A$5:$A$504,0)),"Not on Firms tab"))</f>
        <v/>
      </c>
      <c r="N414">
        <f>IF(AND(A414&lt;&gt;"",A414='Firm Search'!$C$7),COUNTIF($A$5:A414,'Firm Search'!$C$7),"")</f>
        <v/>
      </c>
    </row>
    <row r="415">
      <c r="A415" s="5" t="n"/>
      <c r="B415" s="5" t="n"/>
      <c r="C415" s="52" t="n"/>
      <c r="D415" s="52" t="n"/>
      <c r="E415" s="52" t="n"/>
      <c r="F415" s="52" t="n"/>
      <c r="G415" s="52" t="n"/>
      <c r="H415" s="52" t="n"/>
      <c r="I415" s="52" t="n"/>
      <c r="J415" s="52" t="n"/>
      <c r="K415" s="54" t="n"/>
      <c r="L415" s="5" t="n"/>
      <c r="M415" s="53">
        <f>IF(A415="","",IFERROR(INDEX(Firms!$B$5:$B$504,MATCH(A415,Firms!$A$5:$A$504,0)),"Not on Firms tab"))</f>
        <v/>
      </c>
      <c r="N415">
        <f>IF(AND(A415&lt;&gt;"",A415='Firm Search'!$C$7),COUNTIF($A$5:A415,'Firm Search'!$C$7),"")</f>
        <v/>
      </c>
    </row>
    <row r="416">
      <c r="A416" s="5" t="n"/>
      <c r="B416" s="5" t="n"/>
      <c r="C416" s="52" t="n"/>
      <c r="D416" s="52" t="n"/>
      <c r="E416" s="52" t="n"/>
      <c r="F416" s="52" t="n"/>
      <c r="G416" s="52" t="n"/>
      <c r="H416" s="52" t="n"/>
      <c r="I416" s="52" t="n"/>
      <c r="J416" s="52" t="n"/>
      <c r="K416" s="54" t="n"/>
      <c r="L416" s="5" t="n"/>
      <c r="M416" s="53">
        <f>IF(A416="","",IFERROR(INDEX(Firms!$B$5:$B$504,MATCH(A416,Firms!$A$5:$A$504,0)),"Not on Firms tab"))</f>
        <v/>
      </c>
      <c r="N416">
        <f>IF(AND(A416&lt;&gt;"",A416='Firm Search'!$C$7),COUNTIF($A$5:A416,'Firm Search'!$C$7),"")</f>
        <v/>
      </c>
    </row>
    <row r="417">
      <c r="A417" s="5" t="n"/>
      <c r="B417" s="5" t="n"/>
      <c r="C417" s="52" t="n"/>
      <c r="D417" s="52" t="n"/>
      <c r="E417" s="52" t="n"/>
      <c r="F417" s="52" t="n"/>
      <c r="G417" s="52" t="n"/>
      <c r="H417" s="52" t="n"/>
      <c r="I417" s="52" t="n"/>
      <c r="J417" s="52" t="n"/>
      <c r="K417" s="54" t="n"/>
      <c r="L417" s="5" t="n"/>
      <c r="M417" s="53">
        <f>IF(A417="","",IFERROR(INDEX(Firms!$B$5:$B$504,MATCH(A417,Firms!$A$5:$A$504,0)),"Not on Firms tab"))</f>
        <v/>
      </c>
      <c r="N417">
        <f>IF(AND(A417&lt;&gt;"",A417='Firm Search'!$C$7),COUNTIF($A$5:A417,'Firm Search'!$C$7),"")</f>
        <v/>
      </c>
    </row>
    <row r="418">
      <c r="A418" s="5" t="n"/>
      <c r="B418" s="5" t="n"/>
      <c r="C418" s="52" t="n"/>
      <c r="D418" s="52" t="n"/>
      <c r="E418" s="52" t="n"/>
      <c r="F418" s="52" t="n"/>
      <c r="G418" s="52" t="n"/>
      <c r="H418" s="52" t="n"/>
      <c r="I418" s="52" t="n"/>
      <c r="J418" s="52" t="n"/>
      <c r="K418" s="54" t="n"/>
      <c r="L418" s="5" t="n"/>
      <c r="M418" s="53">
        <f>IF(A418="","",IFERROR(INDEX(Firms!$B$5:$B$504,MATCH(A418,Firms!$A$5:$A$504,0)),"Not on Firms tab"))</f>
        <v/>
      </c>
      <c r="N418">
        <f>IF(AND(A418&lt;&gt;"",A418='Firm Search'!$C$7),COUNTIF($A$5:A418,'Firm Search'!$C$7),"")</f>
        <v/>
      </c>
    </row>
    <row r="419">
      <c r="A419" s="5" t="n"/>
      <c r="B419" s="5" t="n"/>
      <c r="C419" s="52" t="n"/>
      <c r="D419" s="52" t="n"/>
      <c r="E419" s="52" t="n"/>
      <c r="F419" s="52" t="n"/>
      <c r="G419" s="52" t="n"/>
      <c r="H419" s="52" t="n"/>
      <c r="I419" s="52" t="n"/>
      <c r="J419" s="52" t="n"/>
      <c r="K419" s="54" t="n"/>
      <c r="L419" s="5" t="n"/>
      <c r="M419" s="53">
        <f>IF(A419="","",IFERROR(INDEX(Firms!$B$5:$B$504,MATCH(A419,Firms!$A$5:$A$504,0)),"Not on Firms tab"))</f>
        <v/>
      </c>
      <c r="N419">
        <f>IF(AND(A419&lt;&gt;"",A419='Firm Search'!$C$7),COUNTIF($A$5:A419,'Firm Search'!$C$7),"")</f>
        <v/>
      </c>
    </row>
    <row r="420">
      <c r="A420" s="5" t="n"/>
      <c r="B420" s="5" t="n"/>
      <c r="C420" s="52" t="n"/>
      <c r="D420" s="52" t="n"/>
      <c r="E420" s="52" t="n"/>
      <c r="F420" s="52" t="n"/>
      <c r="G420" s="52" t="n"/>
      <c r="H420" s="52" t="n"/>
      <c r="I420" s="52" t="n"/>
      <c r="J420" s="52" t="n"/>
      <c r="K420" s="54" t="n"/>
      <c r="L420" s="5" t="n"/>
      <c r="M420" s="53">
        <f>IF(A420="","",IFERROR(INDEX(Firms!$B$5:$B$504,MATCH(A420,Firms!$A$5:$A$504,0)),"Not on Firms tab"))</f>
        <v/>
      </c>
      <c r="N420">
        <f>IF(AND(A420&lt;&gt;"",A420='Firm Search'!$C$7),COUNTIF($A$5:A420,'Firm Search'!$C$7),"")</f>
        <v/>
      </c>
    </row>
    <row r="421">
      <c r="A421" s="5" t="n"/>
      <c r="B421" s="5" t="n"/>
      <c r="C421" s="52" t="n"/>
      <c r="D421" s="52" t="n"/>
      <c r="E421" s="52" t="n"/>
      <c r="F421" s="52" t="n"/>
      <c r="G421" s="52" t="n"/>
      <c r="H421" s="52" t="n"/>
      <c r="I421" s="52" t="n"/>
      <c r="J421" s="52" t="n"/>
      <c r="K421" s="54" t="n"/>
      <c r="L421" s="5" t="n"/>
      <c r="M421" s="53">
        <f>IF(A421="","",IFERROR(INDEX(Firms!$B$5:$B$504,MATCH(A421,Firms!$A$5:$A$504,0)),"Not on Firms tab"))</f>
        <v/>
      </c>
      <c r="N421">
        <f>IF(AND(A421&lt;&gt;"",A421='Firm Search'!$C$7),COUNTIF($A$5:A421,'Firm Search'!$C$7),"")</f>
        <v/>
      </c>
    </row>
    <row r="422">
      <c r="A422" s="5" t="n"/>
      <c r="B422" s="5" t="n"/>
      <c r="C422" s="52" t="n"/>
      <c r="D422" s="52" t="n"/>
      <c r="E422" s="52" t="n"/>
      <c r="F422" s="52" t="n"/>
      <c r="G422" s="52" t="n"/>
      <c r="H422" s="52" t="n"/>
      <c r="I422" s="52" t="n"/>
      <c r="J422" s="52" t="n"/>
      <c r="K422" s="54" t="n"/>
      <c r="L422" s="5" t="n"/>
      <c r="M422" s="53">
        <f>IF(A422="","",IFERROR(INDEX(Firms!$B$5:$B$504,MATCH(A422,Firms!$A$5:$A$504,0)),"Not on Firms tab"))</f>
        <v/>
      </c>
      <c r="N422">
        <f>IF(AND(A422&lt;&gt;"",A422='Firm Search'!$C$7),COUNTIF($A$5:A422,'Firm Search'!$C$7),"")</f>
        <v/>
      </c>
    </row>
    <row r="423">
      <c r="A423" s="5" t="n"/>
      <c r="B423" s="5" t="n"/>
      <c r="C423" s="52" t="n"/>
      <c r="D423" s="52" t="n"/>
      <c r="E423" s="52" t="n"/>
      <c r="F423" s="52" t="n"/>
      <c r="G423" s="52" t="n"/>
      <c r="H423" s="52" t="n"/>
      <c r="I423" s="52" t="n"/>
      <c r="J423" s="52" t="n"/>
      <c r="K423" s="54" t="n"/>
      <c r="L423" s="5" t="n"/>
      <c r="M423" s="53">
        <f>IF(A423="","",IFERROR(INDEX(Firms!$B$5:$B$504,MATCH(A423,Firms!$A$5:$A$504,0)),"Not on Firms tab"))</f>
        <v/>
      </c>
      <c r="N423">
        <f>IF(AND(A423&lt;&gt;"",A423='Firm Search'!$C$7),COUNTIF($A$5:A423,'Firm Search'!$C$7),"")</f>
        <v/>
      </c>
    </row>
    <row r="424">
      <c r="A424" s="5" t="n"/>
      <c r="B424" s="5" t="n"/>
      <c r="C424" s="52" t="n"/>
      <c r="D424" s="52" t="n"/>
      <c r="E424" s="52" t="n"/>
      <c r="F424" s="52" t="n"/>
      <c r="G424" s="52" t="n"/>
      <c r="H424" s="52" t="n"/>
      <c r="I424" s="52" t="n"/>
      <c r="J424" s="52" t="n"/>
      <c r="K424" s="54" t="n"/>
      <c r="L424" s="5" t="n"/>
      <c r="M424" s="53">
        <f>IF(A424="","",IFERROR(INDEX(Firms!$B$5:$B$504,MATCH(A424,Firms!$A$5:$A$504,0)),"Not on Firms tab"))</f>
        <v/>
      </c>
      <c r="N424">
        <f>IF(AND(A424&lt;&gt;"",A424='Firm Search'!$C$7),COUNTIF($A$5:A424,'Firm Search'!$C$7),"")</f>
        <v/>
      </c>
    </row>
    <row r="425">
      <c r="A425" s="5" t="n"/>
      <c r="B425" s="5" t="n"/>
      <c r="C425" s="52" t="n"/>
      <c r="D425" s="52" t="n"/>
      <c r="E425" s="52" t="n"/>
      <c r="F425" s="52" t="n"/>
      <c r="G425" s="52" t="n"/>
      <c r="H425" s="52" t="n"/>
      <c r="I425" s="52" t="n"/>
      <c r="J425" s="52" t="n"/>
      <c r="K425" s="54" t="n"/>
      <c r="L425" s="5" t="n"/>
      <c r="M425" s="53">
        <f>IF(A425="","",IFERROR(INDEX(Firms!$B$5:$B$504,MATCH(A425,Firms!$A$5:$A$504,0)),"Not on Firms tab"))</f>
        <v/>
      </c>
      <c r="N425">
        <f>IF(AND(A425&lt;&gt;"",A425='Firm Search'!$C$7),COUNTIF($A$5:A425,'Firm Search'!$C$7),"")</f>
        <v/>
      </c>
    </row>
    <row r="426">
      <c r="A426" s="5" t="n"/>
      <c r="B426" s="5" t="n"/>
      <c r="C426" s="52" t="n"/>
      <c r="D426" s="52" t="n"/>
      <c r="E426" s="52" t="n"/>
      <c r="F426" s="52" t="n"/>
      <c r="G426" s="52" t="n"/>
      <c r="H426" s="52" t="n"/>
      <c r="I426" s="52" t="n"/>
      <c r="J426" s="52" t="n"/>
      <c r="K426" s="54" t="n"/>
      <c r="L426" s="5" t="n"/>
      <c r="M426" s="53">
        <f>IF(A426="","",IFERROR(INDEX(Firms!$B$5:$B$504,MATCH(A426,Firms!$A$5:$A$504,0)),"Not on Firms tab"))</f>
        <v/>
      </c>
      <c r="N426">
        <f>IF(AND(A426&lt;&gt;"",A426='Firm Search'!$C$7),COUNTIF($A$5:A426,'Firm Search'!$C$7),"")</f>
        <v/>
      </c>
    </row>
    <row r="427">
      <c r="A427" s="5" t="n"/>
      <c r="B427" s="5" t="n"/>
      <c r="C427" s="52" t="n"/>
      <c r="D427" s="52" t="n"/>
      <c r="E427" s="52" t="n"/>
      <c r="F427" s="52" t="n"/>
      <c r="G427" s="52" t="n"/>
      <c r="H427" s="52" t="n"/>
      <c r="I427" s="52" t="n"/>
      <c r="J427" s="52" t="n"/>
      <c r="K427" s="54" t="n"/>
      <c r="L427" s="5" t="n"/>
      <c r="M427" s="53">
        <f>IF(A427="","",IFERROR(INDEX(Firms!$B$5:$B$504,MATCH(A427,Firms!$A$5:$A$504,0)),"Not on Firms tab"))</f>
        <v/>
      </c>
      <c r="N427">
        <f>IF(AND(A427&lt;&gt;"",A427='Firm Search'!$C$7),COUNTIF($A$5:A427,'Firm Search'!$C$7),"")</f>
        <v/>
      </c>
    </row>
    <row r="428">
      <c r="A428" s="5" t="n"/>
      <c r="B428" s="5" t="n"/>
      <c r="C428" s="52" t="n"/>
      <c r="D428" s="52" t="n"/>
      <c r="E428" s="52" t="n"/>
      <c r="F428" s="52" t="n"/>
      <c r="G428" s="52" t="n"/>
      <c r="H428" s="52" t="n"/>
      <c r="I428" s="52" t="n"/>
      <c r="J428" s="52" t="n"/>
      <c r="K428" s="54" t="n"/>
      <c r="L428" s="5" t="n"/>
      <c r="M428" s="53">
        <f>IF(A428="","",IFERROR(INDEX(Firms!$B$5:$B$504,MATCH(A428,Firms!$A$5:$A$504,0)),"Not on Firms tab"))</f>
        <v/>
      </c>
      <c r="N428">
        <f>IF(AND(A428&lt;&gt;"",A428='Firm Search'!$C$7),COUNTIF($A$5:A428,'Firm Search'!$C$7),"")</f>
        <v/>
      </c>
    </row>
    <row r="429">
      <c r="A429" s="5" t="n"/>
      <c r="B429" s="5" t="n"/>
      <c r="C429" s="52" t="n"/>
      <c r="D429" s="52" t="n"/>
      <c r="E429" s="52" t="n"/>
      <c r="F429" s="52" t="n"/>
      <c r="G429" s="52" t="n"/>
      <c r="H429" s="52" t="n"/>
      <c r="I429" s="52" t="n"/>
      <c r="J429" s="52" t="n"/>
      <c r="K429" s="54" t="n"/>
      <c r="L429" s="5" t="n"/>
      <c r="M429" s="53">
        <f>IF(A429="","",IFERROR(INDEX(Firms!$B$5:$B$504,MATCH(A429,Firms!$A$5:$A$504,0)),"Not on Firms tab"))</f>
        <v/>
      </c>
      <c r="N429">
        <f>IF(AND(A429&lt;&gt;"",A429='Firm Search'!$C$7),COUNTIF($A$5:A429,'Firm Search'!$C$7),"")</f>
        <v/>
      </c>
    </row>
    <row r="430">
      <c r="A430" s="5" t="n"/>
      <c r="B430" s="5" t="n"/>
      <c r="C430" s="52" t="n"/>
      <c r="D430" s="52" t="n"/>
      <c r="E430" s="52" t="n"/>
      <c r="F430" s="52" t="n"/>
      <c r="G430" s="52" t="n"/>
      <c r="H430" s="52" t="n"/>
      <c r="I430" s="52" t="n"/>
      <c r="J430" s="52" t="n"/>
      <c r="K430" s="54" t="n"/>
      <c r="L430" s="5" t="n"/>
      <c r="M430" s="53">
        <f>IF(A430="","",IFERROR(INDEX(Firms!$B$5:$B$504,MATCH(A430,Firms!$A$5:$A$504,0)),"Not on Firms tab"))</f>
        <v/>
      </c>
      <c r="N430">
        <f>IF(AND(A430&lt;&gt;"",A430='Firm Search'!$C$7),COUNTIF($A$5:A430,'Firm Search'!$C$7),"")</f>
        <v/>
      </c>
    </row>
    <row r="431">
      <c r="A431" s="5" t="n"/>
      <c r="B431" s="5" t="n"/>
      <c r="C431" s="52" t="n"/>
      <c r="D431" s="52" t="n"/>
      <c r="E431" s="52" t="n"/>
      <c r="F431" s="52" t="n"/>
      <c r="G431" s="52" t="n"/>
      <c r="H431" s="52" t="n"/>
      <c r="I431" s="52" t="n"/>
      <c r="J431" s="52" t="n"/>
      <c r="K431" s="54" t="n"/>
      <c r="L431" s="5" t="n"/>
      <c r="M431" s="53">
        <f>IF(A431="","",IFERROR(INDEX(Firms!$B$5:$B$504,MATCH(A431,Firms!$A$5:$A$504,0)),"Not on Firms tab"))</f>
        <v/>
      </c>
      <c r="N431">
        <f>IF(AND(A431&lt;&gt;"",A431='Firm Search'!$C$7),COUNTIF($A$5:A431,'Firm Search'!$C$7),"")</f>
        <v/>
      </c>
    </row>
    <row r="432">
      <c r="A432" s="5" t="n"/>
      <c r="B432" s="5" t="n"/>
      <c r="C432" s="52" t="n"/>
      <c r="D432" s="52" t="n"/>
      <c r="E432" s="52" t="n"/>
      <c r="F432" s="52" t="n"/>
      <c r="G432" s="52" t="n"/>
      <c r="H432" s="52" t="n"/>
      <c r="I432" s="52" t="n"/>
      <c r="J432" s="52" t="n"/>
      <c r="K432" s="54" t="n"/>
      <c r="L432" s="5" t="n"/>
      <c r="M432" s="53">
        <f>IF(A432="","",IFERROR(INDEX(Firms!$B$5:$B$504,MATCH(A432,Firms!$A$5:$A$504,0)),"Not on Firms tab"))</f>
        <v/>
      </c>
      <c r="N432">
        <f>IF(AND(A432&lt;&gt;"",A432='Firm Search'!$C$7),COUNTIF($A$5:A432,'Firm Search'!$C$7),"")</f>
        <v/>
      </c>
    </row>
    <row r="433">
      <c r="A433" s="5" t="n"/>
      <c r="B433" s="5" t="n"/>
      <c r="C433" s="52" t="n"/>
      <c r="D433" s="52" t="n"/>
      <c r="E433" s="52" t="n"/>
      <c r="F433" s="52" t="n"/>
      <c r="G433" s="52" t="n"/>
      <c r="H433" s="52" t="n"/>
      <c r="I433" s="52" t="n"/>
      <c r="J433" s="52" t="n"/>
      <c r="K433" s="54" t="n"/>
      <c r="L433" s="5" t="n"/>
      <c r="M433" s="53">
        <f>IF(A433="","",IFERROR(INDEX(Firms!$B$5:$B$504,MATCH(A433,Firms!$A$5:$A$504,0)),"Not on Firms tab"))</f>
        <v/>
      </c>
      <c r="N433">
        <f>IF(AND(A433&lt;&gt;"",A433='Firm Search'!$C$7),COUNTIF($A$5:A433,'Firm Search'!$C$7),"")</f>
        <v/>
      </c>
    </row>
    <row r="434">
      <c r="A434" s="5" t="n"/>
      <c r="B434" s="5" t="n"/>
      <c r="C434" s="52" t="n"/>
      <c r="D434" s="52" t="n"/>
      <c r="E434" s="52" t="n"/>
      <c r="F434" s="52" t="n"/>
      <c r="G434" s="52" t="n"/>
      <c r="H434" s="52" t="n"/>
      <c r="I434" s="52" t="n"/>
      <c r="J434" s="52" t="n"/>
      <c r="K434" s="54" t="n"/>
      <c r="L434" s="5" t="n"/>
      <c r="M434" s="53">
        <f>IF(A434="","",IFERROR(INDEX(Firms!$B$5:$B$504,MATCH(A434,Firms!$A$5:$A$504,0)),"Not on Firms tab"))</f>
        <v/>
      </c>
      <c r="N434">
        <f>IF(AND(A434&lt;&gt;"",A434='Firm Search'!$C$7),COUNTIF($A$5:A434,'Firm Search'!$C$7),"")</f>
        <v/>
      </c>
    </row>
    <row r="435">
      <c r="A435" s="5" t="n"/>
      <c r="B435" s="5" t="n"/>
      <c r="C435" s="52" t="n"/>
      <c r="D435" s="52" t="n"/>
      <c r="E435" s="52" t="n"/>
      <c r="F435" s="52" t="n"/>
      <c r="G435" s="52" t="n"/>
      <c r="H435" s="52" t="n"/>
      <c r="I435" s="52" t="n"/>
      <c r="J435" s="52" t="n"/>
      <c r="K435" s="54" t="n"/>
      <c r="L435" s="5" t="n"/>
      <c r="M435" s="53">
        <f>IF(A435="","",IFERROR(INDEX(Firms!$B$5:$B$504,MATCH(A435,Firms!$A$5:$A$504,0)),"Not on Firms tab"))</f>
        <v/>
      </c>
      <c r="N435">
        <f>IF(AND(A435&lt;&gt;"",A435='Firm Search'!$C$7),COUNTIF($A$5:A435,'Firm Search'!$C$7),"")</f>
        <v/>
      </c>
    </row>
    <row r="436">
      <c r="A436" s="5" t="n"/>
      <c r="B436" s="5" t="n"/>
      <c r="C436" s="52" t="n"/>
      <c r="D436" s="52" t="n"/>
      <c r="E436" s="52" t="n"/>
      <c r="F436" s="52" t="n"/>
      <c r="G436" s="52" t="n"/>
      <c r="H436" s="52" t="n"/>
      <c r="I436" s="52" t="n"/>
      <c r="J436" s="52" t="n"/>
      <c r="K436" s="54" t="n"/>
      <c r="L436" s="5" t="n"/>
      <c r="M436" s="53">
        <f>IF(A436="","",IFERROR(INDEX(Firms!$B$5:$B$504,MATCH(A436,Firms!$A$5:$A$504,0)),"Not on Firms tab"))</f>
        <v/>
      </c>
      <c r="N436">
        <f>IF(AND(A436&lt;&gt;"",A436='Firm Search'!$C$7),COUNTIF($A$5:A436,'Firm Search'!$C$7),"")</f>
        <v/>
      </c>
    </row>
    <row r="437">
      <c r="A437" s="5" t="n"/>
      <c r="B437" s="5" t="n"/>
      <c r="C437" s="52" t="n"/>
      <c r="D437" s="52" t="n"/>
      <c r="E437" s="52" t="n"/>
      <c r="F437" s="52" t="n"/>
      <c r="G437" s="52" t="n"/>
      <c r="H437" s="52" t="n"/>
      <c r="I437" s="52" t="n"/>
      <c r="J437" s="52" t="n"/>
      <c r="K437" s="54" t="n"/>
      <c r="L437" s="5" t="n"/>
      <c r="M437" s="53">
        <f>IF(A437="","",IFERROR(INDEX(Firms!$B$5:$B$504,MATCH(A437,Firms!$A$5:$A$504,0)),"Not on Firms tab"))</f>
        <v/>
      </c>
      <c r="N437">
        <f>IF(AND(A437&lt;&gt;"",A437='Firm Search'!$C$7),COUNTIF($A$5:A437,'Firm Search'!$C$7),"")</f>
        <v/>
      </c>
    </row>
    <row r="438">
      <c r="A438" s="5" t="n"/>
      <c r="B438" s="5" t="n"/>
      <c r="C438" s="52" t="n"/>
      <c r="D438" s="52" t="n"/>
      <c r="E438" s="52" t="n"/>
      <c r="F438" s="52" t="n"/>
      <c r="G438" s="52" t="n"/>
      <c r="H438" s="52" t="n"/>
      <c r="I438" s="52" t="n"/>
      <c r="J438" s="52" t="n"/>
      <c r="K438" s="54" t="n"/>
      <c r="L438" s="5" t="n"/>
      <c r="M438" s="53">
        <f>IF(A438="","",IFERROR(INDEX(Firms!$B$5:$B$504,MATCH(A438,Firms!$A$5:$A$504,0)),"Not on Firms tab"))</f>
        <v/>
      </c>
      <c r="N438">
        <f>IF(AND(A438&lt;&gt;"",A438='Firm Search'!$C$7),COUNTIF($A$5:A438,'Firm Search'!$C$7),"")</f>
        <v/>
      </c>
    </row>
    <row r="439">
      <c r="A439" s="5" t="n"/>
      <c r="B439" s="5" t="n"/>
      <c r="C439" s="52" t="n"/>
      <c r="D439" s="52" t="n"/>
      <c r="E439" s="52" t="n"/>
      <c r="F439" s="52" t="n"/>
      <c r="G439" s="52" t="n"/>
      <c r="H439" s="52" t="n"/>
      <c r="I439" s="52" t="n"/>
      <c r="J439" s="52" t="n"/>
      <c r="K439" s="54" t="n"/>
      <c r="L439" s="5" t="n"/>
      <c r="M439" s="53">
        <f>IF(A439="","",IFERROR(INDEX(Firms!$B$5:$B$504,MATCH(A439,Firms!$A$5:$A$504,0)),"Not on Firms tab"))</f>
        <v/>
      </c>
      <c r="N439">
        <f>IF(AND(A439&lt;&gt;"",A439='Firm Search'!$C$7),COUNTIF($A$5:A439,'Firm Search'!$C$7),"")</f>
        <v/>
      </c>
    </row>
    <row r="440">
      <c r="A440" s="5" t="n"/>
      <c r="B440" s="5" t="n"/>
      <c r="C440" s="52" t="n"/>
      <c r="D440" s="52" t="n"/>
      <c r="E440" s="52" t="n"/>
      <c r="F440" s="52" t="n"/>
      <c r="G440" s="52" t="n"/>
      <c r="H440" s="52" t="n"/>
      <c r="I440" s="52" t="n"/>
      <c r="J440" s="52" t="n"/>
      <c r="K440" s="54" t="n"/>
      <c r="L440" s="5" t="n"/>
      <c r="M440" s="53">
        <f>IF(A440="","",IFERROR(INDEX(Firms!$B$5:$B$504,MATCH(A440,Firms!$A$5:$A$504,0)),"Not on Firms tab"))</f>
        <v/>
      </c>
      <c r="N440">
        <f>IF(AND(A440&lt;&gt;"",A440='Firm Search'!$C$7),COUNTIF($A$5:A440,'Firm Search'!$C$7),"")</f>
        <v/>
      </c>
    </row>
    <row r="441">
      <c r="A441" s="5" t="n"/>
      <c r="B441" s="5" t="n"/>
      <c r="C441" s="52" t="n"/>
      <c r="D441" s="52" t="n"/>
      <c r="E441" s="52" t="n"/>
      <c r="F441" s="52" t="n"/>
      <c r="G441" s="52" t="n"/>
      <c r="H441" s="52" t="n"/>
      <c r="I441" s="52" t="n"/>
      <c r="J441" s="52" t="n"/>
      <c r="K441" s="54" t="n"/>
      <c r="L441" s="5" t="n"/>
      <c r="M441" s="53">
        <f>IF(A441="","",IFERROR(INDEX(Firms!$B$5:$B$504,MATCH(A441,Firms!$A$5:$A$504,0)),"Not on Firms tab"))</f>
        <v/>
      </c>
      <c r="N441">
        <f>IF(AND(A441&lt;&gt;"",A441='Firm Search'!$C$7),COUNTIF($A$5:A441,'Firm Search'!$C$7),"")</f>
        <v/>
      </c>
    </row>
    <row r="442">
      <c r="A442" s="5" t="n"/>
      <c r="B442" s="5" t="n"/>
      <c r="C442" s="52" t="n"/>
      <c r="D442" s="52" t="n"/>
      <c r="E442" s="52" t="n"/>
      <c r="F442" s="52" t="n"/>
      <c r="G442" s="52" t="n"/>
      <c r="H442" s="52" t="n"/>
      <c r="I442" s="52" t="n"/>
      <c r="J442" s="52" t="n"/>
      <c r="K442" s="54" t="n"/>
      <c r="L442" s="5" t="n"/>
      <c r="M442" s="53">
        <f>IF(A442="","",IFERROR(INDEX(Firms!$B$5:$B$504,MATCH(A442,Firms!$A$5:$A$504,0)),"Not on Firms tab"))</f>
        <v/>
      </c>
      <c r="N442">
        <f>IF(AND(A442&lt;&gt;"",A442='Firm Search'!$C$7),COUNTIF($A$5:A442,'Firm Search'!$C$7),"")</f>
        <v/>
      </c>
    </row>
    <row r="443">
      <c r="A443" s="5" t="n"/>
      <c r="B443" s="5" t="n"/>
      <c r="C443" s="52" t="n"/>
      <c r="D443" s="52" t="n"/>
      <c r="E443" s="52" t="n"/>
      <c r="F443" s="52" t="n"/>
      <c r="G443" s="52" t="n"/>
      <c r="H443" s="52" t="n"/>
      <c r="I443" s="52" t="n"/>
      <c r="J443" s="52" t="n"/>
      <c r="K443" s="54" t="n"/>
      <c r="L443" s="5" t="n"/>
      <c r="M443" s="53">
        <f>IF(A443="","",IFERROR(INDEX(Firms!$B$5:$B$504,MATCH(A443,Firms!$A$5:$A$504,0)),"Not on Firms tab"))</f>
        <v/>
      </c>
      <c r="N443">
        <f>IF(AND(A443&lt;&gt;"",A443='Firm Search'!$C$7),COUNTIF($A$5:A443,'Firm Search'!$C$7),"")</f>
        <v/>
      </c>
    </row>
    <row r="444">
      <c r="A444" s="5" t="n"/>
      <c r="B444" s="5" t="n"/>
      <c r="C444" s="52" t="n"/>
      <c r="D444" s="52" t="n"/>
      <c r="E444" s="52" t="n"/>
      <c r="F444" s="52" t="n"/>
      <c r="G444" s="52" t="n"/>
      <c r="H444" s="52" t="n"/>
      <c r="I444" s="52" t="n"/>
      <c r="J444" s="52" t="n"/>
      <c r="K444" s="54" t="n"/>
      <c r="L444" s="5" t="n"/>
      <c r="M444" s="53">
        <f>IF(A444="","",IFERROR(INDEX(Firms!$B$5:$B$504,MATCH(A444,Firms!$A$5:$A$504,0)),"Not on Firms tab"))</f>
        <v/>
      </c>
      <c r="N444">
        <f>IF(AND(A444&lt;&gt;"",A444='Firm Search'!$C$7),COUNTIF($A$5:A444,'Firm Search'!$C$7),"")</f>
        <v/>
      </c>
    </row>
    <row r="445">
      <c r="A445" s="5" t="n"/>
      <c r="B445" s="5" t="n"/>
      <c r="C445" s="52" t="n"/>
      <c r="D445" s="52" t="n"/>
      <c r="E445" s="52" t="n"/>
      <c r="F445" s="52" t="n"/>
      <c r="G445" s="52" t="n"/>
      <c r="H445" s="52" t="n"/>
      <c r="I445" s="52" t="n"/>
      <c r="J445" s="52" t="n"/>
      <c r="K445" s="54" t="n"/>
      <c r="L445" s="5" t="n"/>
      <c r="M445" s="53">
        <f>IF(A445="","",IFERROR(INDEX(Firms!$B$5:$B$504,MATCH(A445,Firms!$A$5:$A$504,0)),"Not on Firms tab"))</f>
        <v/>
      </c>
      <c r="N445">
        <f>IF(AND(A445&lt;&gt;"",A445='Firm Search'!$C$7),COUNTIF($A$5:A445,'Firm Search'!$C$7),"")</f>
        <v/>
      </c>
    </row>
    <row r="446">
      <c r="A446" s="5" t="n"/>
      <c r="B446" s="5" t="n"/>
      <c r="C446" s="52" t="n"/>
      <c r="D446" s="52" t="n"/>
      <c r="E446" s="52" t="n"/>
      <c r="F446" s="52" t="n"/>
      <c r="G446" s="52" t="n"/>
      <c r="H446" s="52" t="n"/>
      <c r="I446" s="52" t="n"/>
      <c r="J446" s="52" t="n"/>
      <c r="K446" s="54" t="n"/>
      <c r="L446" s="5" t="n"/>
      <c r="M446" s="53">
        <f>IF(A446="","",IFERROR(INDEX(Firms!$B$5:$B$504,MATCH(A446,Firms!$A$5:$A$504,0)),"Not on Firms tab"))</f>
        <v/>
      </c>
      <c r="N446">
        <f>IF(AND(A446&lt;&gt;"",A446='Firm Search'!$C$7),COUNTIF($A$5:A446,'Firm Search'!$C$7),"")</f>
        <v/>
      </c>
    </row>
    <row r="447">
      <c r="A447" s="5" t="n"/>
      <c r="B447" s="5" t="n"/>
      <c r="C447" s="52" t="n"/>
      <c r="D447" s="52" t="n"/>
      <c r="E447" s="52" t="n"/>
      <c r="F447" s="52" t="n"/>
      <c r="G447" s="52" t="n"/>
      <c r="H447" s="52" t="n"/>
      <c r="I447" s="52" t="n"/>
      <c r="J447" s="52" t="n"/>
      <c r="K447" s="54" t="n"/>
      <c r="L447" s="5" t="n"/>
      <c r="M447" s="53">
        <f>IF(A447="","",IFERROR(INDEX(Firms!$B$5:$B$504,MATCH(A447,Firms!$A$5:$A$504,0)),"Not on Firms tab"))</f>
        <v/>
      </c>
      <c r="N447">
        <f>IF(AND(A447&lt;&gt;"",A447='Firm Search'!$C$7),COUNTIF($A$5:A447,'Firm Search'!$C$7),"")</f>
        <v/>
      </c>
    </row>
    <row r="448">
      <c r="A448" s="5" t="n"/>
      <c r="B448" s="5" t="n"/>
      <c r="C448" s="52" t="n"/>
      <c r="D448" s="52" t="n"/>
      <c r="E448" s="52" t="n"/>
      <c r="F448" s="52" t="n"/>
      <c r="G448" s="52" t="n"/>
      <c r="H448" s="52" t="n"/>
      <c r="I448" s="52" t="n"/>
      <c r="J448" s="52" t="n"/>
      <c r="K448" s="54" t="n"/>
      <c r="L448" s="5" t="n"/>
      <c r="M448" s="53">
        <f>IF(A448="","",IFERROR(INDEX(Firms!$B$5:$B$504,MATCH(A448,Firms!$A$5:$A$504,0)),"Not on Firms tab"))</f>
        <v/>
      </c>
      <c r="N448">
        <f>IF(AND(A448&lt;&gt;"",A448='Firm Search'!$C$7),COUNTIF($A$5:A448,'Firm Search'!$C$7),"")</f>
        <v/>
      </c>
    </row>
    <row r="449">
      <c r="A449" s="5" t="n"/>
      <c r="B449" s="5" t="n"/>
      <c r="C449" s="52" t="n"/>
      <c r="D449" s="52" t="n"/>
      <c r="E449" s="52" t="n"/>
      <c r="F449" s="52" t="n"/>
      <c r="G449" s="52" t="n"/>
      <c r="H449" s="52" t="n"/>
      <c r="I449" s="52" t="n"/>
      <c r="J449" s="52" t="n"/>
      <c r="K449" s="54" t="n"/>
      <c r="L449" s="5" t="n"/>
      <c r="M449" s="53">
        <f>IF(A449="","",IFERROR(INDEX(Firms!$B$5:$B$504,MATCH(A449,Firms!$A$5:$A$504,0)),"Not on Firms tab"))</f>
        <v/>
      </c>
      <c r="N449">
        <f>IF(AND(A449&lt;&gt;"",A449='Firm Search'!$C$7),COUNTIF($A$5:A449,'Firm Search'!$C$7),"")</f>
        <v/>
      </c>
    </row>
    <row r="450">
      <c r="A450" s="5" t="n"/>
      <c r="B450" s="5" t="n"/>
      <c r="C450" s="52" t="n"/>
      <c r="D450" s="52" t="n"/>
      <c r="E450" s="52" t="n"/>
      <c r="F450" s="52" t="n"/>
      <c r="G450" s="52" t="n"/>
      <c r="H450" s="52" t="n"/>
      <c r="I450" s="52" t="n"/>
      <c r="J450" s="52" t="n"/>
      <c r="K450" s="54" t="n"/>
      <c r="L450" s="5" t="n"/>
      <c r="M450" s="53">
        <f>IF(A450="","",IFERROR(INDEX(Firms!$B$5:$B$504,MATCH(A450,Firms!$A$5:$A$504,0)),"Not on Firms tab"))</f>
        <v/>
      </c>
      <c r="N450">
        <f>IF(AND(A450&lt;&gt;"",A450='Firm Search'!$C$7),COUNTIF($A$5:A450,'Firm Search'!$C$7),"")</f>
        <v/>
      </c>
    </row>
    <row r="451">
      <c r="A451" s="5" t="n"/>
      <c r="B451" s="5" t="n"/>
      <c r="C451" s="52" t="n"/>
      <c r="D451" s="52" t="n"/>
      <c r="E451" s="52" t="n"/>
      <c r="F451" s="52" t="n"/>
      <c r="G451" s="52" t="n"/>
      <c r="H451" s="52" t="n"/>
      <c r="I451" s="52" t="n"/>
      <c r="J451" s="52" t="n"/>
      <c r="K451" s="54" t="n"/>
      <c r="L451" s="5" t="n"/>
      <c r="M451" s="53">
        <f>IF(A451="","",IFERROR(INDEX(Firms!$B$5:$B$504,MATCH(A451,Firms!$A$5:$A$504,0)),"Not on Firms tab"))</f>
        <v/>
      </c>
      <c r="N451">
        <f>IF(AND(A451&lt;&gt;"",A451='Firm Search'!$C$7),COUNTIF($A$5:A451,'Firm Search'!$C$7),"")</f>
        <v/>
      </c>
    </row>
    <row r="452">
      <c r="A452" s="5" t="n"/>
      <c r="B452" s="5" t="n"/>
      <c r="C452" s="52" t="n"/>
      <c r="D452" s="52" t="n"/>
      <c r="E452" s="52" t="n"/>
      <c r="F452" s="52" t="n"/>
      <c r="G452" s="52" t="n"/>
      <c r="H452" s="52" t="n"/>
      <c r="I452" s="52" t="n"/>
      <c r="J452" s="52" t="n"/>
      <c r="K452" s="54" t="n"/>
      <c r="L452" s="5" t="n"/>
      <c r="M452" s="53">
        <f>IF(A452="","",IFERROR(INDEX(Firms!$B$5:$B$504,MATCH(A452,Firms!$A$5:$A$504,0)),"Not on Firms tab"))</f>
        <v/>
      </c>
      <c r="N452">
        <f>IF(AND(A452&lt;&gt;"",A452='Firm Search'!$C$7),COUNTIF($A$5:A452,'Firm Search'!$C$7),"")</f>
        <v/>
      </c>
    </row>
    <row r="453">
      <c r="A453" s="5" t="n"/>
      <c r="B453" s="5" t="n"/>
      <c r="C453" s="52" t="n"/>
      <c r="D453" s="52" t="n"/>
      <c r="E453" s="52" t="n"/>
      <c r="F453" s="52" t="n"/>
      <c r="G453" s="52" t="n"/>
      <c r="H453" s="52" t="n"/>
      <c r="I453" s="52" t="n"/>
      <c r="J453" s="52" t="n"/>
      <c r="K453" s="54" t="n"/>
      <c r="L453" s="5" t="n"/>
      <c r="M453" s="53">
        <f>IF(A453="","",IFERROR(INDEX(Firms!$B$5:$B$504,MATCH(A453,Firms!$A$5:$A$504,0)),"Not on Firms tab"))</f>
        <v/>
      </c>
      <c r="N453">
        <f>IF(AND(A453&lt;&gt;"",A453='Firm Search'!$C$7),COUNTIF($A$5:A453,'Firm Search'!$C$7),"")</f>
        <v/>
      </c>
    </row>
    <row r="454">
      <c r="A454" s="5" t="n"/>
      <c r="B454" s="5" t="n"/>
      <c r="C454" s="52" t="n"/>
      <c r="D454" s="52" t="n"/>
      <c r="E454" s="52" t="n"/>
      <c r="F454" s="52" t="n"/>
      <c r="G454" s="52" t="n"/>
      <c r="H454" s="52" t="n"/>
      <c r="I454" s="52" t="n"/>
      <c r="J454" s="52" t="n"/>
      <c r="K454" s="54" t="n"/>
      <c r="L454" s="5" t="n"/>
      <c r="M454" s="53">
        <f>IF(A454="","",IFERROR(INDEX(Firms!$B$5:$B$504,MATCH(A454,Firms!$A$5:$A$504,0)),"Not on Firms tab"))</f>
        <v/>
      </c>
      <c r="N454">
        <f>IF(AND(A454&lt;&gt;"",A454='Firm Search'!$C$7),COUNTIF($A$5:A454,'Firm Search'!$C$7),"")</f>
        <v/>
      </c>
    </row>
    <row r="455">
      <c r="A455" s="5" t="n"/>
      <c r="B455" s="5" t="n"/>
      <c r="C455" s="52" t="n"/>
      <c r="D455" s="52" t="n"/>
      <c r="E455" s="52" t="n"/>
      <c r="F455" s="52" t="n"/>
      <c r="G455" s="52" t="n"/>
      <c r="H455" s="52" t="n"/>
      <c r="I455" s="52" t="n"/>
      <c r="J455" s="52" t="n"/>
      <c r="K455" s="54" t="n"/>
      <c r="L455" s="5" t="n"/>
      <c r="M455" s="53">
        <f>IF(A455="","",IFERROR(INDEX(Firms!$B$5:$B$504,MATCH(A455,Firms!$A$5:$A$504,0)),"Not on Firms tab"))</f>
        <v/>
      </c>
      <c r="N455">
        <f>IF(AND(A455&lt;&gt;"",A455='Firm Search'!$C$7),COUNTIF($A$5:A455,'Firm Search'!$C$7),"")</f>
        <v/>
      </c>
    </row>
    <row r="456">
      <c r="A456" s="5" t="n"/>
      <c r="B456" s="5" t="n"/>
      <c r="C456" s="52" t="n"/>
      <c r="D456" s="52" t="n"/>
      <c r="E456" s="52" t="n"/>
      <c r="F456" s="52" t="n"/>
      <c r="G456" s="52" t="n"/>
      <c r="H456" s="52" t="n"/>
      <c r="I456" s="52" t="n"/>
      <c r="J456" s="52" t="n"/>
      <c r="K456" s="54" t="n"/>
      <c r="L456" s="5" t="n"/>
      <c r="M456" s="53">
        <f>IF(A456="","",IFERROR(INDEX(Firms!$B$5:$B$504,MATCH(A456,Firms!$A$5:$A$504,0)),"Not on Firms tab"))</f>
        <v/>
      </c>
      <c r="N456">
        <f>IF(AND(A456&lt;&gt;"",A456='Firm Search'!$C$7),COUNTIF($A$5:A456,'Firm Search'!$C$7),"")</f>
        <v/>
      </c>
    </row>
    <row r="457">
      <c r="A457" s="5" t="n"/>
      <c r="B457" s="5" t="n"/>
      <c r="C457" s="52" t="n"/>
      <c r="D457" s="52" t="n"/>
      <c r="E457" s="52" t="n"/>
      <c r="F457" s="52" t="n"/>
      <c r="G457" s="52" t="n"/>
      <c r="H457" s="52" t="n"/>
      <c r="I457" s="52" t="n"/>
      <c r="J457" s="52" t="n"/>
      <c r="K457" s="54" t="n"/>
      <c r="L457" s="5" t="n"/>
      <c r="M457" s="53">
        <f>IF(A457="","",IFERROR(INDEX(Firms!$B$5:$B$504,MATCH(A457,Firms!$A$5:$A$504,0)),"Not on Firms tab"))</f>
        <v/>
      </c>
      <c r="N457">
        <f>IF(AND(A457&lt;&gt;"",A457='Firm Search'!$C$7),COUNTIF($A$5:A457,'Firm Search'!$C$7),"")</f>
        <v/>
      </c>
    </row>
    <row r="458">
      <c r="A458" s="5" t="n"/>
      <c r="B458" s="5" t="n"/>
      <c r="C458" s="52" t="n"/>
      <c r="D458" s="52" t="n"/>
      <c r="E458" s="52" t="n"/>
      <c r="F458" s="52" t="n"/>
      <c r="G458" s="52" t="n"/>
      <c r="H458" s="52" t="n"/>
      <c r="I458" s="52" t="n"/>
      <c r="J458" s="52" t="n"/>
      <c r="K458" s="54" t="n"/>
      <c r="L458" s="5" t="n"/>
      <c r="M458" s="53">
        <f>IF(A458="","",IFERROR(INDEX(Firms!$B$5:$B$504,MATCH(A458,Firms!$A$5:$A$504,0)),"Not on Firms tab"))</f>
        <v/>
      </c>
      <c r="N458">
        <f>IF(AND(A458&lt;&gt;"",A458='Firm Search'!$C$7),COUNTIF($A$5:A458,'Firm Search'!$C$7),"")</f>
        <v/>
      </c>
    </row>
    <row r="459">
      <c r="A459" s="5" t="n"/>
      <c r="B459" s="5" t="n"/>
      <c r="C459" s="52" t="n"/>
      <c r="D459" s="52" t="n"/>
      <c r="E459" s="52" t="n"/>
      <c r="F459" s="52" t="n"/>
      <c r="G459" s="52" t="n"/>
      <c r="H459" s="52" t="n"/>
      <c r="I459" s="52" t="n"/>
      <c r="J459" s="52" t="n"/>
      <c r="K459" s="54" t="n"/>
      <c r="L459" s="5" t="n"/>
      <c r="M459" s="53">
        <f>IF(A459="","",IFERROR(INDEX(Firms!$B$5:$B$504,MATCH(A459,Firms!$A$5:$A$504,0)),"Not on Firms tab"))</f>
        <v/>
      </c>
      <c r="N459">
        <f>IF(AND(A459&lt;&gt;"",A459='Firm Search'!$C$7),COUNTIF($A$5:A459,'Firm Search'!$C$7),"")</f>
        <v/>
      </c>
    </row>
    <row r="460">
      <c r="A460" s="5" t="n"/>
      <c r="B460" s="5" t="n"/>
      <c r="C460" s="52" t="n"/>
      <c r="D460" s="52" t="n"/>
      <c r="E460" s="52" t="n"/>
      <c r="F460" s="52" t="n"/>
      <c r="G460" s="52" t="n"/>
      <c r="H460" s="52" t="n"/>
      <c r="I460" s="52" t="n"/>
      <c r="J460" s="52" t="n"/>
      <c r="K460" s="54" t="n"/>
      <c r="L460" s="5" t="n"/>
      <c r="M460" s="53">
        <f>IF(A460="","",IFERROR(INDEX(Firms!$B$5:$B$504,MATCH(A460,Firms!$A$5:$A$504,0)),"Not on Firms tab"))</f>
        <v/>
      </c>
      <c r="N460">
        <f>IF(AND(A460&lt;&gt;"",A460='Firm Search'!$C$7),COUNTIF($A$5:A460,'Firm Search'!$C$7),"")</f>
        <v/>
      </c>
    </row>
    <row r="461">
      <c r="A461" s="5" t="n"/>
      <c r="B461" s="5" t="n"/>
      <c r="C461" s="52" t="n"/>
      <c r="D461" s="52" t="n"/>
      <c r="E461" s="52" t="n"/>
      <c r="F461" s="52" t="n"/>
      <c r="G461" s="52" t="n"/>
      <c r="H461" s="52" t="n"/>
      <c r="I461" s="52" t="n"/>
      <c r="J461" s="52" t="n"/>
      <c r="K461" s="54" t="n"/>
      <c r="L461" s="5" t="n"/>
      <c r="M461" s="53">
        <f>IF(A461="","",IFERROR(INDEX(Firms!$B$5:$B$504,MATCH(A461,Firms!$A$5:$A$504,0)),"Not on Firms tab"))</f>
        <v/>
      </c>
      <c r="N461">
        <f>IF(AND(A461&lt;&gt;"",A461='Firm Search'!$C$7),COUNTIF($A$5:A461,'Firm Search'!$C$7),"")</f>
        <v/>
      </c>
    </row>
    <row r="462">
      <c r="A462" s="5" t="n"/>
      <c r="B462" s="5" t="n"/>
      <c r="C462" s="52" t="n"/>
      <c r="D462" s="52" t="n"/>
      <c r="E462" s="52" t="n"/>
      <c r="F462" s="52" t="n"/>
      <c r="G462" s="52" t="n"/>
      <c r="H462" s="52" t="n"/>
      <c r="I462" s="52" t="n"/>
      <c r="J462" s="52" t="n"/>
      <c r="K462" s="54" t="n"/>
      <c r="L462" s="5" t="n"/>
      <c r="M462" s="53">
        <f>IF(A462="","",IFERROR(INDEX(Firms!$B$5:$B$504,MATCH(A462,Firms!$A$5:$A$504,0)),"Not on Firms tab"))</f>
        <v/>
      </c>
      <c r="N462">
        <f>IF(AND(A462&lt;&gt;"",A462='Firm Search'!$C$7),COUNTIF($A$5:A462,'Firm Search'!$C$7),"")</f>
        <v/>
      </c>
    </row>
    <row r="463">
      <c r="A463" s="5" t="n"/>
      <c r="B463" s="5" t="n"/>
      <c r="C463" s="52" t="n"/>
      <c r="D463" s="52" t="n"/>
      <c r="E463" s="52" t="n"/>
      <c r="F463" s="52" t="n"/>
      <c r="G463" s="52" t="n"/>
      <c r="H463" s="52" t="n"/>
      <c r="I463" s="52" t="n"/>
      <c r="J463" s="52" t="n"/>
      <c r="K463" s="54" t="n"/>
      <c r="L463" s="5" t="n"/>
      <c r="M463" s="53">
        <f>IF(A463="","",IFERROR(INDEX(Firms!$B$5:$B$504,MATCH(A463,Firms!$A$5:$A$504,0)),"Not on Firms tab"))</f>
        <v/>
      </c>
      <c r="N463">
        <f>IF(AND(A463&lt;&gt;"",A463='Firm Search'!$C$7),COUNTIF($A$5:A463,'Firm Search'!$C$7),"")</f>
        <v/>
      </c>
    </row>
    <row r="464">
      <c r="A464" s="5" t="n"/>
      <c r="B464" s="5" t="n"/>
      <c r="C464" s="52" t="n"/>
      <c r="D464" s="52" t="n"/>
      <c r="E464" s="52" t="n"/>
      <c r="F464" s="52" t="n"/>
      <c r="G464" s="52" t="n"/>
      <c r="H464" s="52" t="n"/>
      <c r="I464" s="52" t="n"/>
      <c r="J464" s="52" t="n"/>
      <c r="K464" s="54" t="n"/>
      <c r="L464" s="5" t="n"/>
      <c r="M464" s="53">
        <f>IF(A464="","",IFERROR(INDEX(Firms!$B$5:$B$504,MATCH(A464,Firms!$A$5:$A$504,0)),"Not on Firms tab"))</f>
        <v/>
      </c>
      <c r="N464">
        <f>IF(AND(A464&lt;&gt;"",A464='Firm Search'!$C$7),COUNTIF($A$5:A464,'Firm Search'!$C$7),"")</f>
        <v/>
      </c>
    </row>
    <row r="465">
      <c r="A465" s="5" t="n"/>
      <c r="B465" s="5" t="n"/>
      <c r="C465" s="52" t="n"/>
      <c r="D465" s="52" t="n"/>
      <c r="E465" s="52" t="n"/>
      <c r="F465" s="52" t="n"/>
      <c r="G465" s="52" t="n"/>
      <c r="H465" s="52" t="n"/>
      <c r="I465" s="52" t="n"/>
      <c r="J465" s="52" t="n"/>
      <c r="K465" s="54" t="n"/>
      <c r="L465" s="5" t="n"/>
      <c r="M465" s="53">
        <f>IF(A465="","",IFERROR(INDEX(Firms!$B$5:$B$504,MATCH(A465,Firms!$A$5:$A$504,0)),"Not on Firms tab"))</f>
        <v/>
      </c>
      <c r="N465">
        <f>IF(AND(A465&lt;&gt;"",A465='Firm Search'!$C$7),COUNTIF($A$5:A465,'Firm Search'!$C$7),"")</f>
        <v/>
      </c>
    </row>
    <row r="466">
      <c r="A466" s="5" t="n"/>
      <c r="B466" s="5" t="n"/>
      <c r="C466" s="52" t="n"/>
      <c r="D466" s="52" t="n"/>
      <c r="E466" s="52" t="n"/>
      <c r="F466" s="52" t="n"/>
      <c r="G466" s="52" t="n"/>
      <c r="H466" s="52" t="n"/>
      <c r="I466" s="52" t="n"/>
      <c r="J466" s="52" t="n"/>
      <c r="K466" s="54" t="n"/>
      <c r="L466" s="5" t="n"/>
      <c r="M466" s="53">
        <f>IF(A466="","",IFERROR(INDEX(Firms!$B$5:$B$504,MATCH(A466,Firms!$A$5:$A$504,0)),"Not on Firms tab"))</f>
        <v/>
      </c>
      <c r="N466">
        <f>IF(AND(A466&lt;&gt;"",A466='Firm Search'!$C$7),COUNTIF($A$5:A466,'Firm Search'!$C$7),"")</f>
        <v/>
      </c>
    </row>
    <row r="467">
      <c r="A467" s="5" t="n"/>
      <c r="B467" s="5" t="n"/>
      <c r="C467" s="52" t="n"/>
      <c r="D467" s="52" t="n"/>
      <c r="E467" s="52" t="n"/>
      <c r="F467" s="52" t="n"/>
      <c r="G467" s="52" t="n"/>
      <c r="H467" s="52" t="n"/>
      <c r="I467" s="52" t="n"/>
      <c r="J467" s="52" t="n"/>
      <c r="K467" s="54" t="n"/>
      <c r="L467" s="5" t="n"/>
      <c r="M467" s="53">
        <f>IF(A467="","",IFERROR(INDEX(Firms!$B$5:$B$504,MATCH(A467,Firms!$A$5:$A$504,0)),"Not on Firms tab"))</f>
        <v/>
      </c>
      <c r="N467">
        <f>IF(AND(A467&lt;&gt;"",A467='Firm Search'!$C$7),COUNTIF($A$5:A467,'Firm Search'!$C$7),"")</f>
        <v/>
      </c>
    </row>
    <row r="468">
      <c r="A468" s="5" t="n"/>
      <c r="B468" s="5" t="n"/>
      <c r="C468" s="52" t="n"/>
      <c r="D468" s="52" t="n"/>
      <c r="E468" s="52" t="n"/>
      <c r="F468" s="52" t="n"/>
      <c r="G468" s="52" t="n"/>
      <c r="H468" s="52" t="n"/>
      <c r="I468" s="52" t="n"/>
      <c r="J468" s="52" t="n"/>
      <c r="K468" s="54" t="n"/>
      <c r="L468" s="5" t="n"/>
      <c r="M468" s="53">
        <f>IF(A468="","",IFERROR(INDEX(Firms!$B$5:$B$504,MATCH(A468,Firms!$A$5:$A$504,0)),"Not on Firms tab"))</f>
        <v/>
      </c>
      <c r="N468">
        <f>IF(AND(A468&lt;&gt;"",A468='Firm Search'!$C$7),COUNTIF($A$5:A468,'Firm Search'!$C$7),"")</f>
        <v/>
      </c>
    </row>
    <row r="469">
      <c r="A469" s="5" t="n"/>
      <c r="B469" s="5" t="n"/>
      <c r="C469" s="52" t="n"/>
      <c r="D469" s="52" t="n"/>
      <c r="E469" s="52" t="n"/>
      <c r="F469" s="52" t="n"/>
      <c r="G469" s="52" t="n"/>
      <c r="H469" s="52" t="n"/>
      <c r="I469" s="52" t="n"/>
      <c r="J469" s="52" t="n"/>
      <c r="K469" s="54" t="n"/>
      <c r="L469" s="5" t="n"/>
      <c r="M469" s="53">
        <f>IF(A469="","",IFERROR(INDEX(Firms!$B$5:$B$504,MATCH(A469,Firms!$A$5:$A$504,0)),"Not on Firms tab"))</f>
        <v/>
      </c>
      <c r="N469">
        <f>IF(AND(A469&lt;&gt;"",A469='Firm Search'!$C$7),COUNTIF($A$5:A469,'Firm Search'!$C$7),"")</f>
        <v/>
      </c>
    </row>
    <row r="470">
      <c r="A470" s="5" t="n"/>
      <c r="B470" s="5" t="n"/>
      <c r="C470" s="52" t="n"/>
      <c r="D470" s="52" t="n"/>
      <c r="E470" s="52" t="n"/>
      <c r="F470" s="52" t="n"/>
      <c r="G470" s="52" t="n"/>
      <c r="H470" s="52" t="n"/>
      <c r="I470" s="52" t="n"/>
      <c r="J470" s="52" t="n"/>
      <c r="K470" s="54" t="n"/>
      <c r="L470" s="5" t="n"/>
      <c r="M470" s="53">
        <f>IF(A470="","",IFERROR(INDEX(Firms!$B$5:$B$504,MATCH(A470,Firms!$A$5:$A$504,0)),"Not on Firms tab"))</f>
        <v/>
      </c>
      <c r="N470">
        <f>IF(AND(A470&lt;&gt;"",A470='Firm Search'!$C$7),COUNTIF($A$5:A470,'Firm Search'!$C$7),"")</f>
        <v/>
      </c>
    </row>
    <row r="471">
      <c r="A471" s="5" t="n"/>
      <c r="B471" s="5" t="n"/>
      <c r="C471" s="52" t="n"/>
      <c r="D471" s="52" t="n"/>
      <c r="E471" s="52" t="n"/>
      <c r="F471" s="52" t="n"/>
      <c r="G471" s="52" t="n"/>
      <c r="H471" s="52" t="n"/>
      <c r="I471" s="52" t="n"/>
      <c r="J471" s="52" t="n"/>
      <c r="K471" s="54" t="n"/>
      <c r="L471" s="5" t="n"/>
      <c r="M471" s="53">
        <f>IF(A471="","",IFERROR(INDEX(Firms!$B$5:$B$504,MATCH(A471,Firms!$A$5:$A$504,0)),"Not on Firms tab"))</f>
        <v/>
      </c>
      <c r="N471">
        <f>IF(AND(A471&lt;&gt;"",A471='Firm Search'!$C$7),COUNTIF($A$5:A471,'Firm Search'!$C$7),"")</f>
        <v/>
      </c>
    </row>
    <row r="472">
      <c r="A472" s="5" t="n"/>
      <c r="B472" s="5" t="n"/>
      <c r="C472" s="52" t="n"/>
      <c r="D472" s="52" t="n"/>
      <c r="E472" s="52" t="n"/>
      <c r="F472" s="52" t="n"/>
      <c r="G472" s="52" t="n"/>
      <c r="H472" s="52" t="n"/>
      <c r="I472" s="52" t="n"/>
      <c r="J472" s="52" t="n"/>
      <c r="K472" s="54" t="n"/>
      <c r="L472" s="5" t="n"/>
      <c r="M472" s="53">
        <f>IF(A472="","",IFERROR(INDEX(Firms!$B$5:$B$504,MATCH(A472,Firms!$A$5:$A$504,0)),"Not on Firms tab"))</f>
        <v/>
      </c>
      <c r="N472">
        <f>IF(AND(A472&lt;&gt;"",A472='Firm Search'!$C$7),COUNTIF($A$5:A472,'Firm Search'!$C$7),"")</f>
        <v/>
      </c>
    </row>
    <row r="473">
      <c r="A473" s="5" t="n"/>
      <c r="B473" s="5" t="n"/>
      <c r="C473" s="52" t="n"/>
      <c r="D473" s="52" t="n"/>
      <c r="E473" s="52" t="n"/>
      <c r="F473" s="52" t="n"/>
      <c r="G473" s="52" t="n"/>
      <c r="H473" s="52" t="n"/>
      <c r="I473" s="52" t="n"/>
      <c r="J473" s="52" t="n"/>
      <c r="K473" s="54" t="n"/>
      <c r="L473" s="5" t="n"/>
      <c r="M473" s="53">
        <f>IF(A473="","",IFERROR(INDEX(Firms!$B$5:$B$504,MATCH(A473,Firms!$A$5:$A$504,0)),"Not on Firms tab"))</f>
        <v/>
      </c>
      <c r="N473">
        <f>IF(AND(A473&lt;&gt;"",A473='Firm Search'!$C$7),COUNTIF($A$5:A473,'Firm Search'!$C$7),"")</f>
        <v/>
      </c>
    </row>
    <row r="474">
      <c r="A474" s="5" t="n"/>
      <c r="B474" s="5" t="n"/>
      <c r="C474" s="52" t="n"/>
      <c r="D474" s="52" t="n"/>
      <c r="E474" s="52" t="n"/>
      <c r="F474" s="52" t="n"/>
      <c r="G474" s="52" t="n"/>
      <c r="H474" s="52" t="n"/>
      <c r="I474" s="52" t="n"/>
      <c r="J474" s="52" t="n"/>
      <c r="K474" s="54" t="n"/>
      <c r="L474" s="5" t="n"/>
      <c r="M474" s="53">
        <f>IF(A474="","",IFERROR(INDEX(Firms!$B$5:$B$504,MATCH(A474,Firms!$A$5:$A$504,0)),"Not on Firms tab"))</f>
        <v/>
      </c>
      <c r="N474">
        <f>IF(AND(A474&lt;&gt;"",A474='Firm Search'!$C$7),COUNTIF($A$5:A474,'Firm Search'!$C$7),"")</f>
        <v/>
      </c>
    </row>
    <row r="475">
      <c r="A475" s="5" t="n"/>
      <c r="B475" s="5" t="n"/>
      <c r="C475" s="52" t="n"/>
      <c r="D475" s="52" t="n"/>
      <c r="E475" s="52" t="n"/>
      <c r="F475" s="52" t="n"/>
      <c r="G475" s="52" t="n"/>
      <c r="H475" s="52" t="n"/>
      <c r="I475" s="52" t="n"/>
      <c r="J475" s="52" t="n"/>
      <c r="K475" s="54" t="n"/>
      <c r="L475" s="5" t="n"/>
      <c r="M475" s="53">
        <f>IF(A475="","",IFERROR(INDEX(Firms!$B$5:$B$504,MATCH(A475,Firms!$A$5:$A$504,0)),"Not on Firms tab"))</f>
        <v/>
      </c>
      <c r="N475">
        <f>IF(AND(A475&lt;&gt;"",A475='Firm Search'!$C$7),COUNTIF($A$5:A475,'Firm Search'!$C$7),"")</f>
        <v/>
      </c>
    </row>
    <row r="476">
      <c r="A476" s="5" t="n"/>
      <c r="B476" s="5" t="n"/>
      <c r="C476" s="52" t="n"/>
      <c r="D476" s="52" t="n"/>
      <c r="E476" s="52" t="n"/>
      <c r="F476" s="52" t="n"/>
      <c r="G476" s="52" t="n"/>
      <c r="H476" s="52" t="n"/>
      <c r="I476" s="52" t="n"/>
      <c r="J476" s="52" t="n"/>
      <c r="K476" s="54" t="n"/>
      <c r="L476" s="5" t="n"/>
      <c r="M476" s="53">
        <f>IF(A476="","",IFERROR(INDEX(Firms!$B$5:$B$504,MATCH(A476,Firms!$A$5:$A$504,0)),"Not on Firms tab"))</f>
        <v/>
      </c>
      <c r="N476">
        <f>IF(AND(A476&lt;&gt;"",A476='Firm Search'!$C$7),COUNTIF($A$5:A476,'Firm Search'!$C$7),"")</f>
        <v/>
      </c>
    </row>
    <row r="477">
      <c r="A477" s="5" t="n"/>
      <c r="B477" s="5" t="n"/>
      <c r="C477" s="52" t="n"/>
      <c r="D477" s="52" t="n"/>
      <c r="E477" s="52" t="n"/>
      <c r="F477" s="52" t="n"/>
      <c r="G477" s="52" t="n"/>
      <c r="H477" s="52" t="n"/>
      <c r="I477" s="52" t="n"/>
      <c r="J477" s="52" t="n"/>
      <c r="K477" s="54" t="n"/>
      <c r="L477" s="5" t="n"/>
      <c r="M477" s="53">
        <f>IF(A477="","",IFERROR(INDEX(Firms!$B$5:$B$504,MATCH(A477,Firms!$A$5:$A$504,0)),"Not on Firms tab"))</f>
        <v/>
      </c>
      <c r="N477">
        <f>IF(AND(A477&lt;&gt;"",A477='Firm Search'!$C$7),COUNTIF($A$5:A477,'Firm Search'!$C$7),"")</f>
        <v/>
      </c>
    </row>
    <row r="478">
      <c r="A478" s="5" t="n"/>
      <c r="B478" s="5" t="n"/>
      <c r="C478" s="52" t="n"/>
      <c r="D478" s="52" t="n"/>
      <c r="E478" s="52" t="n"/>
      <c r="F478" s="52" t="n"/>
      <c r="G478" s="52" t="n"/>
      <c r="H478" s="52" t="n"/>
      <c r="I478" s="52" t="n"/>
      <c r="J478" s="52" t="n"/>
      <c r="K478" s="54" t="n"/>
      <c r="L478" s="5" t="n"/>
      <c r="M478" s="53">
        <f>IF(A478="","",IFERROR(INDEX(Firms!$B$5:$B$504,MATCH(A478,Firms!$A$5:$A$504,0)),"Not on Firms tab"))</f>
        <v/>
      </c>
      <c r="N478">
        <f>IF(AND(A478&lt;&gt;"",A478='Firm Search'!$C$7),COUNTIF($A$5:A478,'Firm Search'!$C$7),"")</f>
        <v/>
      </c>
    </row>
    <row r="479">
      <c r="A479" s="5" t="n"/>
      <c r="B479" s="5" t="n"/>
      <c r="C479" s="52" t="n"/>
      <c r="D479" s="52" t="n"/>
      <c r="E479" s="52" t="n"/>
      <c r="F479" s="52" t="n"/>
      <c r="G479" s="52" t="n"/>
      <c r="H479" s="52" t="n"/>
      <c r="I479" s="52" t="n"/>
      <c r="J479" s="52" t="n"/>
      <c r="K479" s="54" t="n"/>
      <c r="L479" s="5" t="n"/>
      <c r="M479" s="53">
        <f>IF(A479="","",IFERROR(INDEX(Firms!$B$5:$B$504,MATCH(A479,Firms!$A$5:$A$504,0)),"Not on Firms tab"))</f>
        <v/>
      </c>
      <c r="N479">
        <f>IF(AND(A479&lt;&gt;"",A479='Firm Search'!$C$7),COUNTIF($A$5:A479,'Firm Search'!$C$7),"")</f>
        <v/>
      </c>
    </row>
    <row r="480">
      <c r="A480" s="5" t="n"/>
      <c r="B480" s="5" t="n"/>
      <c r="C480" s="52" t="n"/>
      <c r="D480" s="52" t="n"/>
      <c r="E480" s="52" t="n"/>
      <c r="F480" s="52" t="n"/>
      <c r="G480" s="52" t="n"/>
      <c r="H480" s="52" t="n"/>
      <c r="I480" s="52" t="n"/>
      <c r="J480" s="52" t="n"/>
      <c r="K480" s="54" t="n"/>
      <c r="L480" s="5" t="n"/>
      <c r="M480" s="53">
        <f>IF(A480="","",IFERROR(INDEX(Firms!$B$5:$B$504,MATCH(A480,Firms!$A$5:$A$504,0)),"Not on Firms tab"))</f>
        <v/>
      </c>
      <c r="N480">
        <f>IF(AND(A480&lt;&gt;"",A480='Firm Search'!$C$7),COUNTIF($A$5:A480,'Firm Search'!$C$7),"")</f>
        <v/>
      </c>
    </row>
    <row r="481">
      <c r="A481" s="5" t="n"/>
      <c r="B481" s="5" t="n"/>
      <c r="C481" s="52" t="n"/>
      <c r="D481" s="52" t="n"/>
      <c r="E481" s="52" t="n"/>
      <c r="F481" s="52" t="n"/>
      <c r="G481" s="52" t="n"/>
      <c r="H481" s="52" t="n"/>
      <c r="I481" s="52" t="n"/>
      <c r="J481" s="52" t="n"/>
      <c r="K481" s="54" t="n"/>
      <c r="L481" s="5" t="n"/>
      <c r="M481" s="53">
        <f>IF(A481="","",IFERROR(INDEX(Firms!$B$5:$B$504,MATCH(A481,Firms!$A$5:$A$504,0)),"Not on Firms tab"))</f>
        <v/>
      </c>
      <c r="N481">
        <f>IF(AND(A481&lt;&gt;"",A481='Firm Search'!$C$7),COUNTIF($A$5:A481,'Firm Search'!$C$7),"")</f>
        <v/>
      </c>
    </row>
    <row r="482">
      <c r="A482" s="5" t="n"/>
      <c r="B482" s="5" t="n"/>
      <c r="C482" s="52" t="n"/>
      <c r="D482" s="52" t="n"/>
      <c r="E482" s="52" t="n"/>
      <c r="F482" s="52" t="n"/>
      <c r="G482" s="52" t="n"/>
      <c r="H482" s="52" t="n"/>
      <c r="I482" s="52" t="n"/>
      <c r="J482" s="52" t="n"/>
      <c r="K482" s="54" t="n"/>
      <c r="L482" s="5" t="n"/>
      <c r="M482" s="53">
        <f>IF(A482="","",IFERROR(INDEX(Firms!$B$5:$B$504,MATCH(A482,Firms!$A$5:$A$504,0)),"Not on Firms tab"))</f>
        <v/>
      </c>
      <c r="N482">
        <f>IF(AND(A482&lt;&gt;"",A482='Firm Search'!$C$7),COUNTIF($A$5:A482,'Firm Search'!$C$7),"")</f>
        <v/>
      </c>
    </row>
    <row r="483">
      <c r="A483" s="5" t="n"/>
      <c r="B483" s="5" t="n"/>
      <c r="C483" s="52" t="n"/>
      <c r="D483" s="52" t="n"/>
      <c r="E483" s="52" t="n"/>
      <c r="F483" s="52" t="n"/>
      <c r="G483" s="52" t="n"/>
      <c r="H483" s="52" t="n"/>
      <c r="I483" s="52" t="n"/>
      <c r="J483" s="52" t="n"/>
      <c r="K483" s="54" t="n"/>
      <c r="L483" s="5" t="n"/>
      <c r="M483" s="53">
        <f>IF(A483="","",IFERROR(INDEX(Firms!$B$5:$B$504,MATCH(A483,Firms!$A$5:$A$504,0)),"Not on Firms tab"))</f>
        <v/>
      </c>
      <c r="N483">
        <f>IF(AND(A483&lt;&gt;"",A483='Firm Search'!$C$7),COUNTIF($A$5:A483,'Firm Search'!$C$7),"")</f>
        <v/>
      </c>
    </row>
    <row r="484">
      <c r="A484" s="5" t="n"/>
      <c r="B484" s="5" t="n"/>
      <c r="C484" s="52" t="n"/>
      <c r="D484" s="52" t="n"/>
      <c r="E484" s="52" t="n"/>
      <c r="F484" s="52" t="n"/>
      <c r="G484" s="52" t="n"/>
      <c r="H484" s="52" t="n"/>
      <c r="I484" s="52" t="n"/>
      <c r="J484" s="52" t="n"/>
      <c r="K484" s="54" t="n"/>
      <c r="L484" s="5" t="n"/>
      <c r="M484" s="53">
        <f>IF(A484="","",IFERROR(INDEX(Firms!$B$5:$B$504,MATCH(A484,Firms!$A$5:$A$504,0)),"Not on Firms tab"))</f>
        <v/>
      </c>
      <c r="N484">
        <f>IF(AND(A484&lt;&gt;"",A484='Firm Search'!$C$7),COUNTIF($A$5:A484,'Firm Search'!$C$7),"")</f>
        <v/>
      </c>
    </row>
    <row r="485">
      <c r="A485" s="5" t="n"/>
      <c r="B485" s="5" t="n"/>
      <c r="C485" s="52" t="n"/>
      <c r="D485" s="52" t="n"/>
      <c r="E485" s="52" t="n"/>
      <c r="F485" s="52" t="n"/>
      <c r="G485" s="52" t="n"/>
      <c r="H485" s="52" t="n"/>
      <c r="I485" s="52" t="n"/>
      <c r="J485" s="52" t="n"/>
      <c r="K485" s="54" t="n"/>
      <c r="L485" s="5" t="n"/>
      <c r="M485" s="53">
        <f>IF(A485="","",IFERROR(INDEX(Firms!$B$5:$B$504,MATCH(A485,Firms!$A$5:$A$504,0)),"Not on Firms tab"))</f>
        <v/>
      </c>
      <c r="N485">
        <f>IF(AND(A485&lt;&gt;"",A485='Firm Search'!$C$7),COUNTIF($A$5:A485,'Firm Search'!$C$7),"")</f>
        <v/>
      </c>
    </row>
    <row r="486">
      <c r="A486" s="5" t="n"/>
      <c r="B486" s="5" t="n"/>
      <c r="C486" s="52" t="n"/>
      <c r="D486" s="52" t="n"/>
      <c r="E486" s="52" t="n"/>
      <c r="F486" s="52" t="n"/>
      <c r="G486" s="52" t="n"/>
      <c r="H486" s="52" t="n"/>
      <c r="I486" s="52" t="n"/>
      <c r="J486" s="52" t="n"/>
      <c r="K486" s="54" t="n"/>
      <c r="L486" s="5" t="n"/>
      <c r="M486" s="53">
        <f>IF(A486="","",IFERROR(INDEX(Firms!$B$5:$B$504,MATCH(A486,Firms!$A$5:$A$504,0)),"Not on Firms tab"))</f>
        <v/>
      </c>
      <c r="N486">
        <f>IF(AND(A486&lt;&gt;"",A486='Firm Search'!$C$7),COUNTIF($A$5:A486,'Firm Search'!$C$7),"")</f>
        <v/>
      </c>
    </row>
    <row r="487">
      <c r="A487" s="5" t="n"/>
      <c r="B487" s="5" t="n"/>
      <c r="C487" s="52" t="n"/>
      <c r="D487" s="52" t="n"/>
      <c r="E487" s="52" t="n"/>
      <c r="F487" s="52" t="n"/>
      <c r="G487" s="52" t="n"/>
      <c r="H487" s="52" t="n"/>
      <c r="I487" s="52" t="n"/>
      <c r="J487" s="52" t="n"/>
      <c r="K487" s="54" t="n"/>
      <c r="L487" s="5" t="n"/>
      <c r="M487" s="53">
        <f>IF(A487="","",IFERROR(INDEX(Firms!$B$5:$B$504,MATCH(A487,Firms!$A$5:$A$504,0)),"Not on Firms tab"))</f>
        <v/>
      </c>
      <c r="N487">
        <f>IF(AND(A487&lt;&gt;"",A487='Firm Search'!$C$7),COUNTIF($A$5:A487,'Firm Search'!$C$7),"")</f>
        <v/>
      </c>
    </row>
    <row r="488">
      <c r="A488" s="5" t="n"/>
      <c r="B488" s="5" t="n"/>
      <c r="C488" s="52" t="n"/>
      <c r="D488" s="52" t="n"/>
      <c r="E488" s="52" t="n"/>
      <c r="F488" s="52" t="n"/>
      <c r="G488" s="52" t="n"/>
      <c r="H488" s="52" t="n"/>
      <c r="I488" s="52" t="n"/>
      <c r="J488" s="52" t="n"/>
      <c r="K488" s="54" t="n"/>
      <c r="L488" s="5" t="n"/>
      <c r="M488" s="53">
        <f>IF(A488="","",IFERROR(INDEX(Firms!$B$5:$B$504,MATCH(A488,Firms!$A$5:$A$504,0)),"Not on Firms tab"))</f>
        <v/>
      </c>
      <c r="N488">
        <f>IF(AND(A488&lt;&gt;"",A488='Firm Search'!$C$7),COUNTIF($A$5:A488,'Firm Search'!$C$7),"")</f>
        <v/>
      </c>
    </row>
    <row r="489">
      <c r="A489" s="5" t="n"/>
      <c r="B489" s="5" t="n"/>
      <c r="C489" s="52" t="n"/>
      <c r="D489" s="52" t="n"/>
      <c r="E489" s="52" t="n"/>
      <c r="F489" s="52" t="n"/>
      <c r="G489" s="52" t="n"/>
      <c r="H489" s="52" t="n"/>
      <c r="I489" s="52" t="n"/>
      <c r="J489" s="52" t="n"/>
      <c r="K489" s="54" t="n"/>
      <c r="L489" s="5" t="n"/>
      <c r="M489" s="53">
        <f>IF(A489="","",IFERROR(INDEX(Firms!$B$5:$B$504,MATCH(A489,Firms!$A$5:$A$504,0)),"Not on Firms tab"))</f>
        <v/>
      </c>
      <c r="N489">
        <f>IF(AND(A489&lt;&gt;"",A489='Firm Search'!$C$7),COUNTIF($A$5:A489,'Firm Search'!$C$7),"")</f>
        <v/>
      </c>
    </row>
    <row r="490">
      <c r="A490" s="5" t="n"/>
      <c r="B490" s="5" t="n"/>
      <c r="C490" s="52" t="n"/>
      <c r="D490" s="52" t="n"/>
      <c r="E490" s="52" t="n"/>
      <c r="F490" s="52" t="n"/>
      <c r="G490" s="52" t="n"/>
      <c r="H490" s="52" t="n"/>
      <c r="I490" s="52" t="n"/>
      <c r="J490" s="52" t="n"/>
      <c r="K490" s="54" t="n"/>
      <c r="L490" s="5" t="n"/>
      <c r="M490" s="53">
        <f>IF(A490="","",IFERROR(INDEX(Firms!$B$5:$B$504,MATCH(A490,Firms!$A$5:$A$504,0)),"Not on Firms tab"))</f>
        <v/>
      </c>
      <c r="N490">
        <f>IF(AND(A490&lt;&gt;"",A490='Firm Search'!$C$7),COUNTIF($A$5:A490,'Firm Search'!$C$7),"")</f>
        <v/>
      </c>
    </row>
    <row r="491">
      <c r="A491" s="5" t="n"/>
      <c r="B491" s="5" t="n"/>
      <c r="C491" s="52" t="n"/>
      <c r="D491" s="52" t="n"/>
      <c r="E491" s="52" t="n"/>
      <c r="F491" s="52" t="n"/>
      <c r="G491" s="52" t="n"/>
      <c r="H491" s="52" t="n"/>
      <c r="I491" s="52" t="n"/>
      <c r="J491" s="52" t="n"/>
      <c r="K491" s="54" t="n"/>
      <c r="L491" s="5" t="n"/>
      <c r="M491" s="53">
        <f>IF(A491="","",IFERROR(INDEX(Firms!$B$5:$B$504,MATCH(A491,Firms!$A$5:$A$504,0)),"Not on Firms tab"))</f>
        <v/>
      </c>
      <c r="N491">
        <f>IF(AND(A491&lt;&gt;"",A491='Firm Search'!$C$7),COUNTIF($A$5:A491,'Firm Search'!$C$7),"")</f>
        <v/>
      </c>
    </row>
    <row r="492">
      <c r="A492" s="5" t="n"/>
      <c r="B492" s="5" t="n"/>
      <c r="C492" s="52" t="n"/>
      <c r="D492" s="52" t="n"/>
      <c r="E492" s="52" t="n"/>
      <c r="F492" s="52" t="n"/>
      <c r="G492" s="52" t="n"/>
      <c r="H492" s="52" t="n"/>
      <c r="I492" s="52" t="n"/>
      <c r="J492" s="52" t="n"/>
      <c r="K492" s="54" t="n"/>
      <c r="L492" s="5" t="n"/>
      <c r="M492" s="53">
        <f>IF(A492="","",IFERROR(INDEX(Firms!$B$5:$B$504,MATCH(A492,Firms!$A$5:$A$504,0)),"Not on Firms tab"))</f>
        <v/>
      </c>
      <c r="N492">
        <f>IF(AND(A492&lt;&gt;"",A492='Firm Search'!$C$7),COUNTIF($A$5:A492,'Firm Search'!$C$7),"")</f>
        <v/>
      </c>
    </row>
    <row r="493">
      <c r="A493" s="5" t="n"/>
      <c r="B493" s="5" t="n"/>
      <c r="C493" s="52" t="n"/>
      <c r="D493" s="52" t="n"/>
      <c r="E493" s="52" t="n"/>
      <c r="F493" s="52" t="n"/>
      <c r="G493" s="52" t="n"/>
      <c r="H493" s="52" t="n"/>
      <c r="I493" s="52" t="n"/>
      <c r="J493" s="52" t="n"/>
      <c r="K493" s="54" t="n"/>
      <c r="L493" s="5" t="n"/>
      <c r="M493" s="53">
        <f>IF(A493="","",IFERROR(INDEX(Firms!$B$5:$B$504,MATCH(A493,Firms!$A$5:$A$504,0)),"Not on Firms tab"))</f>
        <v/>
      </c>
      <c r="N493">
        <f>IF(AND(A493&lt;&gt;"",A493='Firm Search'!$C$7),COUNTIF($A$5:A493,'Firm Search'!$C$7),"")</f>
        <v/>
      </c>
    </row>
    <row r="494">
      <c r="A494" s="5" t="n"/>
      <c r="B494" s="5" t="n"/>
      <c r="C494" s="52" t="n"/>
      <c r="D494" s="52" t="n"/>
      <c r="E494" s="52" t="n"/>
      <c r="F494" s="52" t="n"/>
      <c r="G494" s="52" t="n"/>
      <c r="H494" s="52" t="n"/>
      <c r="I494" s="52" t="n"/>
      <c r="J494" s="52" t="n"/>
      <c r="K494" s="54" t="n"/>
      <c r="L494" s="5" t="n"/>
      <c r="M494" s="53">
        <f>IF(A494="","",IFERROR(INDEX(Firms!$B$5:$B$504,MATCH(A494,Firms!$A$5:$A$504,0)),"Not on Firms tab"))</f>
        <v/>
      </c>
      <c r="N494">
        <f>IF(AND(A494&lt;&gt;"",A494='Firm Search'!$C$7),COUNTIF($A$5:A494,'Firm Search'!$C$7),"")</f>
        <v/>
      </c>
    </row>
    <row r="495">
      <c r="A495" s="5" t="n"/>
      <c r="B495" s="5" t="n"/>
      <c r="C495" s="52" t="n"/>
      <c r="D495" s="52" t="n"/>
      <c r="E495" s="52" t="n"/>
      <c r="F495" s="52" t="n"/>
      <c r="G495" s="52" t="n"/>
      <c r="H495" s="52" t="n"/>
      <c r="I495" s="52" t="n"/>
      <c r="J495" s="52" t="n"/>
      <c r="K495" s="54" t="n"/>
      <c r="L495" s="5" t="n"/>
      <c r="M495" s="53">
        <f>IF(A495="","",IFERROR(INDEX(Firms!$B$5:$B$504,MATCH(A495,Firms!$A$5:$A$504,0)),"Not on Firms tab"))</f>
        <v/>
      </c>
      <c r="N495">
        <f>IF(AND(A495&lt;&gt;"",A495='Firm Search'!$C$7),COUNTIF($A$5:A495,'Firm Search'!$C$7),"")</f>
        <v/>
      </c>
    </row>
    <row r="496">
      <c r="A496" s="5" t="n"/>
      <c r="B496" s="5" t="n"/>
      <c r="C496" s="52" t="n"/>
      <c r="D496" s="52" t="n"/>
      <c r="E496" s="52" t="n"/>
      <c r="F496" s="52" t="n"/>
      <c r="G496" s="52" t="n"/>
      <c r="H496" s="52" t="n"/>
      <c r="I496" s="52" t="n"/>
      <c r="J496" s="52" t="n"/>
      <c r="K496" s="54" t="n"/>
      <c r="L496" s="5" t="n"/>
      <c r="M496" s="53">
        <f>IF(A496="","",IFERROR(INDEX(Firms!$B$5:$B$504,MATCH(A496,Firms!$A$5:$A$504,0)),"Not on Firms tab"))</f>
        <v/>
      </c>
      <c r="N496">
        <f>IF(AND(A496&lt;&gt;"",A496='Firm Search'!$C$7),COUNTIF($A$5:A496,'Firm Search'!$C$7),"")</f>
        <v/>
      </c>
    </row>
    <row r="497">
      <c r="A497" s="5" t="n"/>
      <c r="B497" s="5" t="n"/>
      <c r="C497" s="52" t="n"/>
      <c r="D497" s="52" t="n"/>
      <c r="E497" s="52" t="n"/>
      <c r="F497" s="52" t="n"/>
      <c r="G497" s="52" t="n"/>
      <c r="H497" s="52" t="n"/>
      <c r="I497" s="52" t="n"/>
      <c r="J497" s="52" t="n"/>
      <c r="K497" s="54" t="n"/>
      <c r="L497" s="5" t="n"/>
      <c r="M497" s="53">
        <f>IF(A497="","",IFERROR(INDEX(Firms!$B$5:$B$504,MATCH(A497,Firms!$A$5:$A$504,0)),"Not on Firms tab"))</f>
        <v/>
      </c>
      <c r="N497">
        <f>IF(AND(A497&lt;&gt;"",A497='Firm Search'!$C$7),COUNTIF($A$5:A497,'Firm Search'!$C$7),"")</f>
        <v/>
      </c>
    </row>
    <row r="498">
      <c r="A498" s="5" t="n"/>
      <c r="B498" s="5" t="n"/>
      <c r="C498" s="52" t="n"/>
      <c r="D498" s="52" t="n"/>
      <c r="E498" s="52" t="n"/>
      <c r="F498" s="52" t="n"/>
      <c r="G498" s="52" t="n"/>
      <c r="H498" s="52" t="n"/>
      <c r="I498" s="52" t="n"/>
      <c r="J498" s="52" t="n"/>
      <c r="K498" s="54" t="n"/>
      <c r="L498" s="5" t="n"/>
      <c r="M498" s="53">
        <f>IF(A498="","",IFERROR(INDEX(Firms!$B$5:$B$504,MATCH(A498,Firms!$A$5:$A$504,0)),"Not on Firms tab"))</f>
        <v/>
      </c>
      <c r="N498">
        <f>IF(AND(A498&lt;&gt;"",A498='Firm Search'!$C$7),COUNTIF($A$5:A498,'Firm Search'!$C$7),"")</f>
        <v/>
      </c>
    </row>
    <row r="499">
      <c r="A499" s="5" t="n"/>
      <c r="B499" s="5" t="n"/>
      <c r="C499" s="52" t="n"/>
      <c r="D499" s="52" t="n"/>
      <c r="E499" s="52" t="n"/>
      <c r="F499" s="52" t="n"/>
      <c r="G499" s="52" t="n"/>
      <c r="H499" s="52" t="n"/>
      <c r="I499" s="52" t="n"/>
      <c r="J499" s="52" t="n"/>
      <c r="K499" s="54" t="n"/>
      <c r="L499" s="5" t="n"/>
      <c r="M499" s="53">
        <f>IF(A499="","",IFERROR(INDEX(Firms!$B$5:$B$504,MATCH(A499,Firms!$A$5:$A$504,0)),"Not on Firms tab"))</f>
        <v/>
      </c>
      <c r="N499">
        <f>IF(AND(A499&lt;&gt;"",A499='Firm Search'!$C$7),COUNTIF($A$5:A499,'Firm Search'!$C$7),"")</f>
        <v/>
      </c>
    </row>
    <row r="500">
      <c r="A500" s="5" t="n"/>
      <c r="B500" s="5" t="n"/>
      <c r="C500" s="52" t="n"/>
      <c r="D500" s="52" t="n"/>
      <c r="E500" s="52" t="n"/>
      <c r="F500" s="52" t="n"/>
      <c r="G500" s="52" t="n"/>
      <c r="H500" s="52" t="n"/>
      <c r="I500" s="52" t="n"/>
      <c r="J500" s="52" t="n"/>
      <c r="K500" s="54" t="n"/>
      <c r="L500" s="5" t="n"/>
      <c r="M500" s="53">
        <f>IF(A500="","",IFERROR(INDEX(Firms!$B$5:$B$504,MATCH(A500,Firms!$A$5:$A$504,0)),"Not on Firms tab"))</f>
        <v/>
      </c>
      <c r="N500">
        <f>IF(AND(A500&lt;&gt;"",A500='Firm Search'!$C$7),COUNTIF($A$5:A500,'Firm Search'!$C$7),"")</f>
        <v/>
      </c>
    </row>
    <row r="501">
      <c r="A501" s="5" t="n"/>
      <c r="B501" s="5" t="n"/>
      <c r="C501" s="52" t="n"/>
      <c r="D501" s="52" t="n"/>
      <c r="E501" s="52" t="n"/>
      <c r="F501" s="52" t="n"/>
      <c r="G501" s="52" t="n"/>
      <c r="H501" s="52" t="n"/>
      <c r="I501" s="52" t="n"/>
      <c r="J501" s="52" t="n"/>
      <c r="K501" s="54" t="n"/>
      <c r="L501" s="5" t="n"/>
      <c r="M501" s="53">
        <f>IF(A501="","",IFERROR(INDEX(Firms!$B$5:$B$504,MATCH(A501,Firms!$A$5:$A$504,0)),"Not on Firms tab"))</f>
        <v/>
      </c>
      <c r="N501">
        <f>IF(AND(A501&lt;&gt;"",A501='Firm Search'!$C$7),COUNTIF($A$5:A501,'Firm Search'!$C$7),"")</f>
        <v/>
      </c>
    </row>
    <row r="502">
      <c r="A502" s="5" t="n"/>
      <c r="B502" s="5" t="n"/>
      <c r="C502" s="52" t="n"/>
      <c r="D502" s="52" t="n"/>
      <c r="E502" s="52" t="n"/>
      <c r="F502" s="52" t="n"/>
      <c r="G502" s="52" t="n"/>
      <c r="H502" s="52" t="n"/>
      <c r="I502" s="52" t="n"/>
      <c r="J502" s="52" t="n"/>
      <c r="K502" s="54" t="n"/>
      <c r="L502" s="5" t="n"/>
      <c r="M502" s="53">
        <f>IF(A502="","",IFERROR(INDEX(Firms!$B$5:$B$504,MATCH(A502,Firms!$A$5:$A$504,0)),"Not on Firms tab"))</f>
        <v/>
      </c>
      <c r="N502">
        <f>IF(AND(A502&lt;&gt;"",A502='Firm Search'!$C$7),COUNTIF($A$5:A502,'Firm Search'!$C$7),"")</f>
        <v/>
      </c>
    </row>
    <row r="503">
      <c r="A503" s="5" t="n"/>
      <c r="B503" s="5" t="n"/>
      <c r="C503" s="52" t="n"/>
      <c r="D503" s="52" t="n"/>
      <c r="E503" s="52" t="n"/>
      <c r="F503" s="52" t="n"/>
      <c r="G503" s="52" t="n"/>
      <c r="H503" s="52" t="n"/>
      <c r="I503" s="52" t="n"/>
      <c r="J503" s="52" t="n"/>
      <c r="K503" s="54" t="n"/>
      <c r="L503" s="5" t="n"/>
      <c r="M503" s="53">
        <f>IF(A503="","",IFERROR(INDEX(Firms!$B$5:$B$504,MATCH(A503,Firms!$A$5:$A$504,0)),"Not on Firms tab"))</f>
        <v/>
      </c>
      <c r="N503">
        <f>IF(AND(A503&lt;&gt;"",A503='Firm Search'!$C$7),COUNTIF($A$5:A503,'Firm Search'!$C$7),"")</f>
        <v/>
      </c>
    </row>
    <row r="504">
      <c r="A504" s="5" t="n"/>
      <c r="B504" s="5" t="n"/>
      <c r="C504" s="52" t="n"/>
      <c r="D504" s="52" t="n"/>
      <c r="E504" s="52" t="n"/>
      <c r="F504" s="52" t="n"/>
      <c r="G504" s="52" t="n"/>
      <c r="H504" s="52" t="n"/>
      <c r="I504" s="52" t="n"/>
      <c r="J504" s="52" t="n"/>
      <c r="K504" s="54" t="n"/>
      <c r="L504" s="5" t="n"/>
      <c r="M504" s="53">
        <f>IF(A504="","",IFERROR(INDEX(Firms!$B$5:$B$504,MATCH(A504,Firms!$A$5:$A$504,0)),"Not on Firms tab"))</f>
        <v/>
      </c>
      <c r="N504">
        <f>IF(AND(A504&lt;&gt;"",A504='Firm Search'!$C$7),COUNTIF($A$5:A504,'Firm Search'!$C$7),"")</f>
        <v/>
      </c>
    </row>
  </sheetData>
  <autoFilter ref="A4:M504"/>
  <conditionalFormatting sqref="M5:M504">
    <cfRule type="cellIs" priority="1" operator="equal" dxfId="0">
      <formula>"Paused"</formula>
    </cfRule>
    <cfRule type="cellIs" priority="2" operator="equal" dxfId="4">
      <formula>"Not on Firms tab"</formula>
    </cfRule>
    <cfRule type="cellIs" priority="3" operator="equal" dxfId="1">
      <formula>"Active"</formula>
    </cfRule>
  </conditionalFormatting>
  <conditionalFormatting sqref="A5:B504">
    <cfRule type="expression" priority="4" dxfId="4">
      <formula>AND($A5&lt;&gt;"",$B5&lt;&gt;"",COUNTIFS($A$5:$A$504,$A5,$B$5:$B$504,$B5)&gt;1)</formula>
    </cfRule>
  </conditionalFormatting>
  <conditionalFormatting sqref="A5:L504">
    <cfRule type="expression" priority="5" dxfId="7">
      <formula>AND($A5&lt;&gt;"",MOD(ROW(),2)=0)</formula>
    </cfRule>
  </conditionalFormatting>
  <dataValidations count="3">
    <dataValidation sqref="A5:A504" showDropDown="0" showInputMessage="0" showErrorMessage="0" allowBlank="1" errorTitle="Firm" error="Pick a firm that exists on the Firms tab (add it there first)." type="list">
      <formula1>=Firm_List</formula1>
    </dataValidation>
    <dataValidation sqref="B5:B504" showDropDown="0" showInputMessage="0" showErrorMessage="0" allowBlank="1" errorTitle="AFA Type" error="Pick an AFA type. To add a new one, type it on the Lists tab." type="list">
      <formula1>=AFA_Types</formula1>
    </dataValidation>
    <dataValidation sqref="C5:J504" showDropDown="0" showInputMessage="0" showErrorMessage="0" allowBlank="1" errorTitle="Rate" error="Enter an hourly rate as a number, e.g. 300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F4A6B4"/>
    <outlinePr summaryBelow="1" summaryRight="1"/>
    <pageSetUpPr fitToPage="1"/>
  </sheetPr>
  <dimension ref="A1:H204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34" customWidth="1" min="4" max="4"/>
    <col width="22" customWidth="1" min="5" max="5"/>
    <col width="16" customWidth="1" min="6" max="6"/>
    <col width="12" customWidth="1" min="7" max="7"/>
    <col width="44" customWidth="1" min="8" max="8"/>
  </cols>
  <sheetData>
    <row r="1" ht="34" customHeight="1">
      <c r="A1" s="47" t="inlineStr">
        <is>
          <t>⛔  Do Not Use — Paused Firms</t>
        </is>
      </c>
    </row>
    <row r="2" ht="22" customHeight="1">
      <c r="A2" s="48" t="inlineStr">
        <is>
          <t>Automatic. Any firm marked “Paused” on the Firms tab is listed here. To reinstate, change its Status back to “Active” on the Firms tab.</t>
        </is>
      </c>
    </row>
    <row r="3">
      <c r="A3" s="55">
        <f>"Paused firms: "&amp;COUNTIF(Firms!$B$5:$B$504,"Paused")</f>
        <v/>
      </c>
    </row>
    <row r="4" ht="36" customHeight="1">
      <c r="A4" s="56" t="inlineStr">
        <is>
          <t>#</t>
        </is>
      </c>
      <c r="B4" s="56" t="inlineStr">
        <is>
          <t>Firm Name</t>
        </is>
      </c>
      <c r="C4" s="56" t="inlineStr">
        <is>
          <t>Date Paused</t>
        </is>
      </c>
      <c r="D4" s="56" t="inlineStr">
        <is>
          <t>Pause Reason</t>
        </is>
      </c>
      <c r="E4" s="56" t="inlineStr">
        <is>
          <t>Approved States</t>
        </is>
      </c>
      <c r="F4" s="56" t="inlineStr">
        <is>
          <t>Cyber Status</t>
        </is>
      </c>
      <c r="G4" s="56" t="inlineStr">
        <is>
          <t>AFA on File?</t>
        </is>
      </c>
      <c r="H4" s="56" t="inlineStr">
        <is>
          <t>Notes</t>
        </is>
      </c>
    </row>
    <row r="5">
      <c r="A5" s="57">
        <f>IF(B5="","",1)</f>
        <v/>
      </c>
      <c r="B5" s="58">
        <f>IFERROR(INDEX(Firms!$A$5:$A$504,MATCH(1,Firms!$R$5:$R$504,0))&amp;"","")</f>
        <v/>
      </c>
      <c r="C5" s="59">
        <f>IFERROR(IF(INDEX(Firms!$O$5:$O$504,MATCH(1,Firms!$R$5:$R$504,0))="","",INDEX(Firms!$O$5:$O$504,MATCH(1,Firms!$R$5:$R$504,0))),"")</f>
        <v/>
      </c>
      <c r="D5" s="58">
        <f>IFERROR(INDEX(Firms!$P$5:$P$504,MATCH(1,Firms!$R$5:$R$504,0))&amp;"","")</f>
        <v/>
      </c>
      <c r="E5" s="58">
        <f>IFERROR(INDEX(Firms!$C$5:$C$504,MATCH(1,Firms!$R$5:$R$504,0))&amp;"","")</f>
        <v/>
      </c>
      <c r="F5" s="57">
        <f>IFERROR(INDEX(Firms!$L$5:$L$504,MATCH(1,Firms!$R$5:$R$504,0))&amp;"","")</f>
        <v/>
      </c>
      <c r="G5" s="57">
        <f>IFERROR(INDEX(Firms!$M$5:$M$504,MATCH(1,Firms!$R$5:$R$504,0))&amp;"","")</f>
        <v/>
      </c>
      <c r="H5" s="58">
        <f>IFERROR(INDEX(Firms!$Q$5:$Q$504,MATCH(1,Firms!$R$5:$R$504,0))&amp;"","")</f>
        <v/>
      </c>
    </row>
    <row r="6">
      <c r="A6" s="57">
        <f>IF(B6="","",2)</f>
        <v/>
      </c>
      <c r="B6" s="58">
        <f>IFERROR(INDEX(Firms!$A$5:$A$504,MATCH(2,Firms!$R$5:$R$504,0))&amp;"","")</f>
        <v/>
      </c>
      <c r="C6" s="59">
        <f>IFERROR(IF(INDEX(Firms!$O$5:$O$504,MATCH(2,Firms!$R$5:$R$504,0))="","",INDEX(Firms!$O$5:$O$504,MATCH(2,Firms!$R$5:$R$504,0))),"")</f>
        <v/>
      </c>
      <c r="D6" s="58">
        <f>IFERROR(INDEX(Firms!$P$5:$P$504,MATCH(2,Firms!$R$5:$R$504,0))&amp;"","")</f>
        <v/>
      </c>
      <c r="E6" s="58">
        <f>IFERROR(INDEX(Firms!$C$5:$C$504,MATCH(2,Firms!$R$5:$R$504,0))&amp;"","")</f>
        <v/>
      </c>
      <c r="F6" s="57">
        <f>IFERROR(INDEX(Firms!$L$5:$L$504,MATCH(2,Firms!$R$5:$R$504,0))&amp;"","")</f>
        <v/>
      </c>
      <c r="G6" s="57">
        <f>IFERROR(INDEX(Firms!$M$5:$M$504,MATCH(2,Firms!$R$5:$R$504,0))&amp;"","")</f>
        <v/>
      </c>
      <c r="H6" s="58">
        <f>IFERROR(INDEX(Firms!$Q$5:$Q$504,MATCH(2,Firms!$R$5:$R$504,0))&amp;"","")</f>
        <v/>
      </c>
    </row>
    <row r="7">
      <c r="A7" s="57">
        <f>IF(B7="","",3)</f>
        <v/>
      </c>
      <c r="B7" s="58">
        <f>IFERROR(INDEX(Firms!$A$5:$A$504,MATCH(3,Firms!$R$5:$R$504,0))&amp;"","")</f>
        <v/>
      </c>
      <c r="C7" s="59">
        <f>IFERROR(IF(INDEX(Firms!$O$5:$O$504,MATCH(3,Firms!$R$5:$R$504,0))="","",INDEX(Firms!$O$5:$O$504,MATCH(3,Firms!$R$5:$R$504,0))),"")</f>
        <v/>
      </c>
      <c r="D7" s="58">
        <f>IFERROR(INDEX(Firms!$P$5:$P$504,MATCH(3,Firms!$R$5:$R$504,0))&amp;"","")</f>
        <v/>
      </c>
      <c r="E7" s="58">
        <f>IFERROR(INDEX(Firms!$C$5:$C$504,MATCH(3,Firms!$R$5:$R$504,0))&amp;"","")</f>
        <v/>
      </c>
      <c r="F7" s="57">
        <f>IFERROR(INDEX(Firms!$L$5:$L$504,MATCH(3,Firms!$R$5:$R$504,0))&amp;"","")</f>
        <v/>
      </c>
      <c r="G7" s="57">
        <f>IFERROR(INDEX(Firms!$M$5:$M$504,MATCH(3,Firms!$R$5:$R$504,0))&amp;"","")</f>
        <v/>
      </c>
      <c r="H7" s="58">
        <f>IFERROR(INDEX(Firms!$Q$5:$Q$504,MATCH(3,Firms!$R$5:$R$504,0))&amp;"","")</f>
        <v/>
      </c>
    </row>
    <row r="8">
      <c r="A8" s="57">
        <f>IF(B8="","",4)</f>
        <v/>
      </c>
      <c r="B8" s="58">
        <f>IFERROR(INDEX(Firms!$A$5:$A$504,MATCH(4,Firms!$R$5:$R$504,0))&amp;"","")</f>
        <v/>
      </c>
      <c r="C8" s="59">
        <f>IFERROR(IF(INDEX(Firms!$O$5:$O$504,MATCH(4,Firms!$R$5:$R$504,0))="","",INDEX(Firms!$O$5:$O$504,MATCH(4,Firms!$R$5:$R$504,0))),"")</f>
        <v/>
      </c>
      <c r="D8" s="58">
        <f>IFERROR(INDEX(Firms!$P$5:$P$504,MATCH(4,Firms!$R$5:$R$504,0))&amp;"","")</f>
        <v/>
      </c>
      <c r="E8" s="58">
        <f>IFERROR(INDEX(Firms!$C$5:$C$504,MATCH(4,Firms!$R$5:$R$504,0))&amp;"","")</f>
        <v/>
      </c>
      <c r="F8" s="57">
        <f>IFERROR(INDEX(Firms!$L$5:$L$504,MATCH(4,Firms!$R$5:$R$504,0))&amp;"","")</f>
        <v/>
      </c>
      <c r="G8" s="57">
        <f>IFERROR(INDEX(Firms!$M$5:$M$504,MATCH(4,Firms!$R$5:$R$504,0))&amp;"","")</f>
        <v/>
      </c>
      <c r="H8" s="58">
        <f>IFERROR(INDEX(Firms!$Q$5:$Q$504,MATCH(4,Firms!$R$5:$R$504,0))&amp;"","")</f>
        <v/>
      </c>
    </row>
    <row r="9">
      <c r="A9" s="57">
        <f>IF(B9="","",5)</f>
        <v/>
      </c>
      <c r="B9" s="58">
        <f>IFERROR(INDEX(Firms!$A$5:$A$504,MATCH(5,Firms!$R$5:$R$504,0))&amp;"","")</f>
        <v/>
      </c>
      <c r="C9" s="59">
        <f>IFERROR(IF(INDEX(Firms!$O$5:$O$504,MATCH(5,Firms!$R$5:$R$504,0))="","",INDEX(Firms!$O$5:$O$504,MATCH(5,Firms!$R$5:$R$504,0))),"")</f>
        <v/>
      </c>
      <c r="D9" s="58">
        <f>IFERROR(INDEX(Firms!$P$5:$P$504,MATCH(5,Firms!$R$5:$R$504,0))&amp;"","")</f>
        <v/>
      </c>
      <c r="E9" s="58">
        <f>IFERROR(INDEX(Firms!$C$5:$C$504,MATCH(5,Firms!$R$5:$R$504,0))&amp;"","")</f>
        <v/>
      </c>
      <c r="F9" s="57">
        <f>IFERROR(INDEX(Firms!$L$5:$L$504,MATCH(5,Firms!$R$5:$R$504,0))&amp;"","")</f>
        <v/>
      </c>
      <c r="G9" s="57">
        <f>IFERROR(INDEX(Firms!$M$5:$M$504,MATCH(5,Firms!$R$5:$R$504,0))&amp;"","")</f>
        <v/>
      </c>
      <c r="H9" s="58">
        <f>IFERROR(INDEX(Firms!$Q$5:$Q$504,MATCH(5,Firms!$R$5:$R$504,0))&amp;"","")</f>
        <v/>
      </c>
    </row>
    <row r="10">
      <c r="A10" s="57">
        <f>IF(B10="","",6)</f>
        <v/>
      </c>
      <c r="B10" s="58">
        <f>IFERROR(INDEX(Firms!$A$5:$A$504,MATCH(6,Firms!$R$5:$R$504,0))&amp;"","")</f>
        <v/>
      </c>
      <c r="C10" s="59">
        <f>IFERROR(IF(INDEX(Firms!$O$5:$O$504,MATCH(6,Firms!$R$5:$R$504,0))="","",INDEX(Firms!$O$5:$O$504,MATCH(6,Firms!$R$5:$R$504,0))),"")</f>
        <v/>
      </c>
      <c r="D10" s="58">
        <f>IFERROR(INDEX(Firms!$P$5:$P$504,MATCH(6,Firms!$R$5:$R$504,0))&amp;"","")</f>
        <v/>
      </c>
      <c r="E10" s="58">
        <f>IFERROR(INDEX(Firms!$C$5:$C$504,MATCH(6,Firms!$R$5:$R$504,0))&amp;"","")</f>
        <v/>
      </c>
      <c r="F10" s="57">
        <f>IFERROR(INDEX(Firms!$L$5:$L$504,MATCH(6,Firms!$R$5:$R$504,0))&amp;"","")</f>
        <v/>
      </c>
      <c r="G10" s="57">
        <f>IFERROR(INDEX(Firms!$M$5:$M$504,MATCH(6,Firms!$R$5:$R$504,0))&amp;"","")</f>
        <v/>
      </c>
      <c r="H10" s="58">
        <f>IFERROR(INDEX(Firms!$Q$5:$Q$504,MATCH(6,Firms!$R$5:$R$504,0))&amp;"","")</f>
        <v/>
      </c>
    </row>
    <row r="11">
      <c r="A11" s="57">
        <f>IF(B11="","",7)</f>
        <v/>
      </c>
      <c r="B11" s="58">
        <f>IFERROR(INDEX(Firms!$A$5:$A$504,MATCH(7,Firms!$R$5:$R$504,0))&amp;"","")</f>
        <v/>
      </c>
      <c r="C11" s="59">
        <f>IFERROR(IF(INDEX(Firms!$O$5:$O$504,MATCH(7,Firms!$R$5:$R$504,0))="","",INDEX(Firms!$O$5:$O$504,MATCH(7,Firms!$R$5:$R$504,0))),"")</f>
        <v/>
      </c>
      <c r="D11" s="58">
        <f>IFERROR(INDEX(Firms!$P$5:$P$504,MATCH(7,Firms!$R$5:$R$504,0))&amp;"","")</f>
        <v/>
      </c>
      <c r="E11" s="58">
        <f>IFERROR(INDEX(Firms!$C$5:$C$504,MATCH(7,Firms!$R$5:$R$504,0))&amp;"","")</f>
        <v/>
      </c>
      <c r="F11" s="57">
        <f>IFERROR(INDEX(Firms!$L$5:$L$504,MATCH(7,Firms!$R$5:$R$504,0))&amp;"","")</f>
        <v/>
      </c>
      <c r="G11" s="57">
        <f>IFERROR(INDEX(Firms!$M$5:$M$504,MATCH(7,Firms!$R$5:$R$504,0))&amp;"","")</f>
        <v/>
      </c>
      <c r="H11" s="58">
        <f>IFERROR(INDEX(Firms!$Q$5:$Q$504,MATCH(7,Firms!$R$5:$R$504,0))&amp;"","")</f>
        <v/>
      </c>
    </row>
    <row r="12">
      <c r="A12" s="57">
        <f>IF(B12="","",8)</f>
        <v/>
      </c>
      <c r="B12" s="58">
        <f>IFERROR(INDEX(Firms!$A$5:$A$504,MATCH(8,Firms!$R$5:$R$504,0))&amp;"","")</f>
        <v/>
      </c>
      <c r="C12" s="59">
        <f>IFERROR(IF(INDEX(Firms!$O$5:$O$504,MATCH(8,Firms!$R$5:$R$504,0))="","",INDEX(Firms!$O$5:$O$504,MATCH(8,Firms!$R$5:$R$504,0))),"")</f>
        <v/>
      </c>
      <c r="D12" s="58">
        <f>IFERROR(INDEX(Firms!$P$5:$P$504,MATCH(8,Firms!$R$5:$R$504,0))&amp;"","")</f>
        <v/>
      </c>
      <c r="E12" s="58">
        <f>IFERROR(INDEX(Firms!$C$5:$C$504,MATCH(8,Firms!$R$5:$R$504,0))&amp;"","")</f>
        <v/>
      </c>
      <c r="F12" s="57">
        <f>IFERROR(INDEX(Firms!$L$5:$L$504,MATCH(8,Firms!$R$5:$R$504,0))&amp;"","")</f>
        <v/>
      </c>
      <c r="G12" s="57">
        <f>IFERROR(INDEX(Firms!$M$5:$M$504,MATCH(8,Firms!$R$5:$R$504,0))&amp;"","")</f>
        <v/>
      </c>
      <c r="H12" s="58">
        <f>IFERROR(INDEX(Firms!$Q$5:$Q$504,MATCH(8,Firms!$R$5:$R$504,0))&amp;"","")</f>
        <v/>
      </c>
    </row>
    <row r="13">
      <c r="A13" s="57">
        <f>IF(B13="","",9)</f>
        <v/>
      </c>
      <c r="B13" s="58">
        <f>IFERROR(INDEX(Firms!$A$5:$A$504,MATCH(9,Firms!$R$5:$R$504,0))&amp;"","")</f>
        <v/>
      </c>
      <c r="C13" s="59">
        <f>IFERROR(IF(INDEX(Firms!$O$5:$O$504,MATCH(9,Firms!$R$5:$R$504,0))="","",INDEX(Firms!$O$5:$O$504,MATCH(9,Firms!$R$5:$R$504,0))),"")</f>
        <v/>
      </c>
      <c r="D13" s="58">
        <f>IFERROR(INDEX(Firms!$P$5:$P$504,MATCH(9,Firms!$R$5:$R$504,0))&amp;"","")</f>
        <v/>
      </c>
      <c r="E13" s="58">
        <f>IFERROR(INDEX(Firms!$C$5:$C$504,MATCH(9,Firms!$R$5:$R$504,0))&amp;"","")</f>
        <v/>
      </c>
      <c r="F13" s="57">
        <f>IFERROR(INDEX(Firms!$L$5:$L$504,MATCH(9,Firms!$R$5:$R$504,0))&amp;"","")</f>
        <v/>
      </c>
      <c r="G13" s="57">
        <f>IFERROR(INDEX(Firms!$M$5:$M$504,MATCH(9,Firms!$R$5:$R$504,0))&amp;"","")</f>
        <v/>
      </c>
      <c r="H13" s="58">
        <f>IFERROR(INDEX(Firms!$Q$5:$Q$504,MATCH(9,Firms!$R$5:$R$504,0))&amp;"","")</f>
        <v/>
      </c>
    </row>
    <row r="14">
      <c r="A14" s="57">
        <f>IF(B14="","",10)</f>
        <v/>
      </c>
      <c r="B14" s="58">
        <f>IFERROR(INDEX(Firms!$A$5:$A$504,MATCH(10,Firms!$R$5:$R$504,0))&amp;"","")</f>
        <v/>
      </c>
      <c r="C14" s="59">
        <f>IFERROR(IF(INDEX(Firms!$O$5:$O$504,MATCH(10,Firms!$R$5:$R$504,0))="","",INDEX(Firms!$O$5:$O$504,MATCH(10,Firms!$R$5:$R$504,0))),"")</f>
        <v/>
      </c>
      <c r="D14" s="58">
        <f>IFERROR(INDEX(Firms!$P$5:$P$504,MATCH(10,Firms!$R$5:$R$504,0))&amp;"","")</f>
        <v/>
      </c>
      <c r="E14" s="58">
        <f>IFERROR(INDEX(Firms!$C$5:$C$504,MATCH(10,Firms!$R$5:$R$504,0))&amp;"","")</f>
        <v/>
      </c>
      <c r="F14" s="57">
        <f>IFERROR(INDEX(Firms!$L$5:$L$504,MATCH(10,Firms!$R$5:$R$504,0))&amp;"","")</f>
        <v/>
      </c>
      <c r="G14" s="57">
        <f>IFERROR(INDEX(Firms!$M$5:$M$504,MATCH(10,Firms!$R$5:$R$504,0))&amp;"","")</f>
        <v/>
      </c>
      <c r="H14" s="58">
        <f>IFERROR(INDEX(Firms!$Q$5:$Q$504,MATCH(10,Firms!$R$5:$R$504,0))&amp;"","")</f>
        <v/>
      </c>
    </row>
    <row r="15">
      <c r="A15" s="57">
        <f>IF(B15="","",11)</f>
        <v/>
      </c>
      <c r="B15" s="58">
        <f>IFERROR(INDEX(Firms!$A$5:$A$504,MATCH(11,Firms!$R$5:$R$504,0))&amp;"","")</f>
        <v/>
      </c>
      <c r="C15" s="59">
        <f>IFERROR(IF(INDEX(Firms!$O$5:$O$504,MATCH(11,Firms!$R$5:$R$504,0))="","",INDEX(Firms!$O$5:$O$504,MATCH(11,Firms!$R$5:$R$504,0))),"")</f>
        <v/>
      </c>
      <c r="D15" s="58">
        <f>IFERROR(INDEX(Firms!$P$5:$P$504,MATCH(11,Firms!$R$5:$R$504,0))&amp;"","")</f>
        <v/>
      </c>
      <c r="E15" s="58">
        <f>IFERROR(INDEX(Firms!$C$5:$C$504,MATCH(11,Firms!$R$5:$R$504,0))&amp;"","")</f>
        <v/>
      </c>
      <c r="F15" s="57">
        <f>IFERROR(INDEX(Firms!$L$5:$L$504,MATCH(11,Firms!$R$5:$R$504,0))&amp;"","")</f>
        <v/>
      </c>
      <c r="G15" s="57">
        <f>IFERROR(INDEX(Firms!$M$5:$M$504,MATCH(11,Firms!$R$5:$R$504,0))&amp;"","")</f>
        <v/>
      </c>
      <c r="H15" s="58">
        <f>IFERROR(INDEX(Firms!$Q$5:$Q$504,MATCH(11,Firms!$R$5:$R$504,0))&amp;"","")</f>
        <v/>
      </c>
    </row>
    <row r="16">
      <c r="A16" s="57">
        <f>IF(B16="","",12)</f>
        <v/>
      </c>
      <c r="B16" s="58">
        <f>IFERROR(INDEX(Firms!$A$5:$A$504,MATCH(12,Firms!$R$5:$R$504,0))&amp;"","")</f>
        <v/>
      </c>
      <c r="C16" s="59">
        <f>IFERROR(IF(INDEX(Firms!$O$5:$O$504,MATCH(12,Firms!$R$5:$R$504,0))="","",INDEX(Firms!$O$5:$O$504,MATCH(12,Firms!$R$5:$R$504,0))),"")</f>
        <v/>
      </c>
      <c r="D16" s="58">
        <f>IFERROR(INDEX(Firms!$P$5:$P$504,MATCH(12,Firms!$R$5:$R$504,0))&amp;"","")</f>
        <v/>
      </c>
      <c r="E16" s="58">
        <f>IFERROR(INDEX(Firms!$C$5:$C$504,MATCH(12,Firms!$R$5:$R$504,0))&amp;"","")</f>
        <v/>
      </c>
      <c r="F16" s="57">
        <f>IFERROR(INDEX(Firms!$L$5:$L$504,MATCH(12,Firms!$R$5:$R$504,0))&amp;"","")</f>
        <v/>
      </c>
      <c r="G16" s="57">
        <f>IFERROR(INDEX(Firms!$M$5:$M$504,MATCH(12,Firms!$R$5:$R$504,0))&amp;"","")</f>
        <v/>
      </c>
      <c r="H16" s="58">
        <f>IFERROR(INDEX(Firms!$Q$5:$Q$504,MATCH(12,Firms!$R$5:$R$504,0))&amp;"","")</f>
        <v/>
      </c>
    </row>
    <row r="17">
      <c r="A17" s="57">
        <f>IF(B17="","",13)</f>
        <v/>
      </c>
      <c r="B17" s="58">
        <f>IFERROR(INDEX(Firms!$A$5:$A$504,MATCH(13,Firms!$R$5:$R$504,0))&amp;"","")</f>
        <v/>
      </c>
      <c r="C17" s="59">
        <f>IFERROR(IF(INDEX(Firms!$O$5:$O$504,MATCH(13,Firms!$R$5:$R$504,0))="","",INDEX(Firms!$O$5:$O$504,MATCH(13,Firms!$R$5:$R$504,0))),"")</f>
        <v/>
      </c>
      <c r="D17" s="58">
        <f>IFERROR(INDEX(Firms!$P$5:$P$504,MATCH(13,Firms!$R$5:$R$504,0))&amp;"","")</f>
        <v/>
      </c>
      <c r="E17" s="58">
        <f>IFERROR(INDEX(Firms!$C$5:$C$504,MATCH(13,Firms!$R$5:$R$504,0))&amp;"","")</f>
        <v/>
      </c>
      <c r="F17" s="57">
        <f>IFERROR(INDEX(Firms!$L$5:$L$504,MATCH(13,Firms!$R$5:$R$504,0))&amp;"","")</f>
        <v/>
      </c>
      <c r="G17" s="57">
        <f>IFERROR(INDEX(Firms!$M$5:$M$504,MATCH(13,Firms!$R$5:$R$504,0))&amp;"","")</f>
        <v/>
      </c>
      <c r="H17" s="58">
        <f>IFERROR(INDEX(Firms!$Q$5:$Q$504,MATCH(13,Firms!$R$5:$R$504,0))&amp;"","")</f>
        <v/>
      </c>
    </row>
    <row r="18">
      <c r="A18" s="57">
        <f>IF(B18="","",14)</f>
        <v/>
      </c>
      <c r="B18" s="58">
        <f>IFERROR(INDEX(Firms!$A$5:$A$504,MATCH(14,Firms!$R$5:$R$504,0))&amp;"","")</f>
        <v/>
      </c>
      <c r="C18" s="59">
        <f>IFERROR(IF(INDEX(Firms!$O$5:$O$504,MATCH(14,Firms!$R$5:$R$504,0))="","",INDEX(Firms!$O$5:$O$504,MATCH(14,Firms!$R$5:$R$504,0))),"")</f>
        <v/>
      </c>
      <c r="D18" s="58">
        <f>IFERROR(INDEX(Firms!$P$5:$P$504,MATCH(14,Firms!$R$5:$R$504,0))&amp;"","")</f>
        <v/>
      </c>
      <c r="E18" s="58">
        <f>IFERROR(INDEX(Firms!$C$5:$C$504,MATCH(14,Firms!$R$5:$R$504,0))&amp;"","")</f>
        <v/>
      </c>
      <c r="F18" s="57">
        <f>IFERROR(INDEX(Firms!$L$5:$L$504,MATCH(14,Firms!$R$5:$R$504,0))&amp;"","")</f>
        <v/>
      </c>
      <c r="G18" s="57">
        <f>IFERROR(INDEX(Firms!$M$5:$M$504,MATCH(14,Firms!$R$5:$R$504,0))&amp;"","")</f>
        <v/>
      </c>
      <c r="H18" s="58">
        <f>IFERROR(INDEX(Firms!$Q$5:$Q$504,MATCH(14,Firms!$R$5:$R$504,0))&amp;"","")</f>
        <v/>
      </c>
    </row>
    <row r="19">
      <c r="A19" s="57">
        <f>IF(B19="","",15)</f>
        <v/>
      </c>
      <c r="B19" s="58">
        <f>IFERROR(INDEX(Firms!$A$5:$A$504,MATCH(15,Firms!$R$5:$R$504,0))&amp;"","")</f>
        <v/>
      </c>
      <c r="C19" s="59">
        <f>IFERROR(IF(INDEX(Firms!$O$5:$O$504,MATCH(15,Firms!$R$5:$R$504,0))="","",INDEX(Firms!$O$5:$O$504,MATCH(15,Firms!$R$5:$R$504,0))),"")</f>
        <v/>
      </c>
      <c r="D19" s="58">
        <f>IFERROR(INDEX(Firms!$P$5:$P$504,MATCH(15,Firms!$R$5:$R$504,0))&amp;"","")</f>
        <v/>
      </c>
      <c r="E19" s="58">
        <f>IFERROR(INDEX(Firms!$C$5:$C$504,MATCH(15,Firms!$R$5:$R$504,0))&amp;"","")</f>
        <v/>
      </c>
      <c r="F19" s="57">
        <f>IFERROR(INDEX(Firms!$L$5:$L$504,MATCH(15,Firms!$R$5:$R$504,0))&amp;"","")</f>
        <v/>
      </c>
      <c r="G19" s="57">
        <f>IFERROR(INDEX(Firms!$M$5:$M$504,MATCH(15,Firms!$R$5:$R$504,0))&amp;"","")</f>
        <v/>
      </c>
      <c r="H19" s="58">
        <f>IFERROR(INDEX(Firms!$Q$5:$Q$504,MATCH(15,Firms!$R$5:$R$504,0))&amp;"","")</f>
        <v/>
      </c>
    </row>
    <row r="20">
      <c r="A20" s="57">
        <f>IF(B20="","",16)</f>
        <v/>
      </c>
      <c r="B20" s="58">
        <f>IFERROR(INDEX(Firms!$A$5:$A$504,MATCH(16,Firms!$R$5:$R$504,0))&amp;"","")</f>
        <v/>
      </c>
      <c r="C20" s="59">
        <f>IFERROR(IF(INDEX(Firms!$O$5:$O$504,MATCH(16,Firms!$R$5:$R$504,0))="","",INDEX(Firms!$O$5:$O$504,MATCH(16,Firms!$R$5:$R$504,0))),"")</f>
        <v/>
      </c>
      <c r="D20" s="58">
        <f>IFERROR(INDEX(Firms!$P$5:$P$504,MATCH(16,Firms!$R$5:$R$504,0))&amp;"","")</f>
        <v/>
      </c>
      <c r="E20" s="58">
        <f>IFERROR(INDEX(Firms!$C$5:$C$504,MATCH(16,Firms!$R$5:$R$504,0))&amp;"","")</f>
        <v/>
      </c>
      <c r="F20" s="57">
        <f>IFERROR(INDEX(Firms!$L$5:$L$504,MATCH(16,Firms!$R$5:$R$504,0))&amp;"","")</f>
        <v/>
      </c>
      <c r="G20" s="57">
        <f>IFERROR(INDEX(Firms!$M$5:$M$504,MATCH(16,Firms!$R$5:$R$504,0))&amp;"","")</f>
        <v/>
      </c>
      <c r="H20" s="58">
        <f>IFERROR(INDEX(Firms!$Q$5:$Q$504,MATCH(16,Firms!$R$5:$R$504,0))&amp;"","")</f>
        <v/>
      </c>
    </row>
    <row r="21">
      <c r="A21" s="57">
        <f>IF(B21="","",17)</f>
        <v/>
      </c>
      <c r="B21" s="58">
        <f>IFERROR(INDEX(Firms!$A$5:$A$504,MATCH(17,Firms!$R$5:$R$504,0))&amp;"","")</f>
        <v/>
      </c>
      <c r="C21" s="59">
        <f>IFERROR(IF(INDEX(Firms!$O$5:$O$504,MATCH(17,Firms!$R$5:$R$504,0))="","",INDEX(Firms!$O$5:$O$504,MATCH(17,Firms!$R$5:$R$504,0))),"")</f>
        <v/>
      </c>
      <c r="D21" s="58">
        <f>IFERROR(INDEX(Firms!$P$5:$P$504,MATCH(17,Firms!$R$5:$R$504,0))&amp;"","")</f>
        <v/>
      </c>
      <c r="E21" s="58">
        <f>IFERROR(INDEX(Firms!$C$5:$C$504,MATCH(17,Firms!$R$5:$R$504,0))&amp;"","")</f>
        <v/>
      </c>
      <c r="F21" s="57">
        <f>IFERROR(INDEX(Firms!$L$5:$L$504,MATCH(17,Firms!$R$5:$R$504,0))&amp;"","")</f>
        <v/>
      </c>
      <c r="G21" s="57">
        <f>IFERROR(INDEX(Firms!$M$5:$M$504,MATCH(17,Firms!$R$5:$R$504,0))&amp;"","")</f>
        <v/>
      </c>
      <c r="H21" s="58">
        <f>IFERROR(INDEX(Firms!$Q$5:$Q$504,MATCH(17,Firms!$R$5:$R$504,0))&amp;"","")</f>
        <v/>
      </c>
    </row>
    <row r="22">
      <c r="A22" s="57">
        <f>IF(B22="","",18)</f>
        <v/>
      </c>
      <c r="B22" s="58">
        <f>IFERROR(INDEX(Firms!$A$5:$A$504,MATCH(18,Firms!$R$5:$R$504,0))&amp;"","")</f>
        <v/>
      </c>
      <c r="C22" s="59">
        <f>IFERROR(IF(INDEX(Firms!$O$5:$O$504,MATCH(18,Firms!$R$5:$R$504,0))="","",INDEX(Firms!$O$5:$O$504,MATCH(18,Firms!$R$5:$R$504,0))),"")</f>
        <v/>
      </c>
      <c r="D22" s="58">
        <f>IFERROR(INDEX(Firms!$P$5:$P$504,MATCH(18,Firms!$R$5:$R$504,0))&amp;"","")</f>
        <v/>
      </c>
      <c r="E22" s="58">
        <f>IFERROR(INDEX(Firms!$C$5:$C$504,MATCH(18,Firms!$R$5:$R$504,0))&amp;"","")</f>
        <v/>
      </c>
      <c r="F22" s="57">
        <f>IFERROR(INDEX(Firms!$L$5:$L$504,MATCH(18,Firms!$R$5:$R$504,0))&amp;"","")</f>
        <v/>
      </c>
      <c r="G22" s="57">
        <f>IFERROR(INDEX(Firms!$M$5:$M$504,MATCH(18,Firms!$R$5:$R$504,0))&amp;"","")</f>
        <v/>
      </c>
      <c r="H22" s="58">
        <f>IFERROR(INDEX(Firms!$Q$5:$Q$504,MATCH(18,Firms!$R$5:$R$504,0))&amp;"","")</f>
        <v/>
      </c>
    </row>
    <row r="23">
      <c r="A23" s="57">
        <f>IF(B23="","",19)</f>
        <v/>
      </c>
      <c r="B23" s="58">
        <f>IFERROR(INDEX(Firms!$A$5:$A$504,MATCH(19,Firms!$R$5:$R$504,0))&amp;"","")</f>
        <v/>
      </c>
      <c r="C23" s="59">
        <f>IFERROR(IF(INDEX(Firms!$O$5:$O$504,MATCH(19,Firms!$R$5:$R$504,0))="","",INDEX(Firms!$O$5:$O$504,MATCH(19,Firms!$R$5:$R$504,0))),"")</f>
        <v/>
      </c>
      <c r="D23" s="58">
        <f>IFERROR(INDEX(Firms!$P$5:$P$504,MATCH(19,Firms!$R$5:$R$504,0))&amp;"","")</f>
        <v/>
      </c>
      <c r="E23" s="58">
        <f>IFERROR(INDEX(Firms!$C$5:$C$504,MATCH(19,Firms!$R$5:$R$504,0))&amp;"","")</f>
        <v/>
      </c>
      <c r="F23" s="57">
        <f>IFERROR(INDEX(Firms!$L$5:$L$504,MATCH(19,Firms!$R$5:$R$504,0))&amp;"","")</f>
        <v/>
      </c>
      <c r="G23" s="57">
        <f>IFERROR(INDEX(Firms!$M$5:$M$504,MATCH(19,Firms!$R$5:$R$504,0))&amp;"","")</f>
        <v/>
      </c>
      <c r="H23" s="58">
        <f>IFERROR(INDEX(Firms!$Q$5:$Q$504,MATCH(19,Firms!$R$5:$R$504,0))&amp;"","")</f>
        <v/>
      </c>
    </row>
    <row r="24">
      <c r="A24" s="57">
        <f>IF(B24="","",20)</f>
        <v/>
      </c>
      <c r="B24" s="58">
        <f>IFERROR(INDEX(Firms!$A$5:$A$504,MATCH(20,Firms!$R$5:$R$504,0))&amp;"","")</f>
        <v/>
      </c>
      <c r="C24" s="59">
        <f>IFERROR(IF(INDEX(Firms!$O$5:$O$504,MATCH(20,Firms!$R$5:$R$504,0))="","",INDEX(Firms!$O$5:$O$504,MATCH(20,Firms!$R$5:$R$504,0))),"")</f>
        <v/>
      </c>
      <c r="D24" s="58">
        <f>IFERROR(INDEX(Firms!$P$5:$P$504,MATCH(20,Firms!$R$5:$R$504,0))&amp;"","")</f>
        <v/>
      </c>
      <c r="E24" s="58">
        <f>IFERROR(INDEX(Firms!$C$5:$C$504,MATCH(20,Firms!$R$5:$R$504,0))&amp;"","")</f>
        <v/>
      </c>
      <c r="F24" s="57">
        <f>IFERROR(INDEX(Firms!$L$5:$L$504,MATCH(20,Firms!$R$5:$R$504,0))&amp;"","")</f>
        <v/>
      </c>
      <c r="G24" s="57">
        <f>IFERROR(INDEX(Firms!$M$5:$M$504,MATCH(20,Firms!$R$5:$R$504,0))&amp;"","")</f>
        <v/>
      </c>
      <c r="H24" s="58">
        <f>IFERROR(INDEX(Firms!$Q$5:$Q$504,MATCH(20,Firms!$R$5:$R$504,0))&amp;"","")</f>
        <v/>
      </c>
    </row>
    <row r="25">
      <c r="A25" s="57">
        <f>IF(B25="","",21)</f>
        <v/>
      </c>
      <c r="B25" s="58">
        <f>IFERROR(INDEX(Firms!$A$5:$A$504,MATCH(21,Firms!$R$5:$R$504,0))&amp;"","")</f>
        <v/>
      </c>
      <c r="C25" s="59">
        <f>IFERROR(IF(INDEX(Firms!$O$5:$O$504,MATCH(21,Firms!$R$5:$R$504,0))="","",INDEX(Firms!$O$5:$O$504,MATCH(21,Firms!$R$5:$R$504,0))),"")</f>
        <v/>
      </c>
      <c r="D25" s="58">
        <f>IFERROR(INDEX(Firms!$P$5:$P$504,MATCH(21,Firms!$R$5:$R$504,0))&amp;"","")</f>
        <v/>
      </c>
      <c r="E25" s="58">
        <f>IFERROR(INDEX(Firms!$C$5:$C$504,MATCH(21,Firms!$R$5:$R$504,0))&amp;"","")</f>
        <v/>
      </c>
      <c r="F25" s="57">
        <f>IFERROR(INDEX(Firms!$L$5:$L$504,MATCH(21,Firms!$R$5:$R$504,0))&amp;"","")</f>
        <v/>
      </c>
      <c r="G25" s="57">
        <f>IFERROR(INDEX(Firms!$M$5:$M$504,MATCH(21,Firms!$R$5:$R$504,0))&amp;"","")</f>
        <v/>
      </c>
      <c r="H25" s="58">
        <f>IFERROR(INDEX(Firms!$Q$5:$Q$504,MATCH(21,Firms!$R$5:$R$504,0))&amp;"","")</f>
        <v/>
      </c>
    </row>
    <row r="26">
      <c r="A26" s="57">
        <f>IF(B26="","",22)</f>
        <v/>
      </c>
      <c r="B26" s="58">
        <f>IFERROR(INDEX(Firms!$A$5:$A$504,MATCH(22,Firms!$R$5:$R$504,0))&amp;"","")</f>
        <v/>
      </c>
      <c r="C26" s="59">
        <f>IFERROR(IF(INDEX(Firms!$O$5:$O$504,MATCH(22,Firms!$R$5:$R$504,0))="","",INDEX(Firms!$O$5:$O$504,MATCH(22,Firms!$R$5:$R$504,0))),"")</f>
        <v/>
      </c>
      <c r="D26" s="58">
        <f>IFERROR(INDEX(Firms!$P$5:$P$504,MATCH(22,Firms!$R$5:$R$504,0))&amp;"","")</f>
        <v/>
      </c>
      <c r="E26" s="58">
        <f>IFERROR(INDEX(Firms!$C$5:$C$504,MATCH(22,Firms!$R$5:$R$504,0))&amp;"","")</f>
        <v/>
      </c>
      <c r="F26" s="57">
        <f>IFERROR(INDEX(Firms!$L$5:$L$504,MATCH(22,Firms!$R$5:$R$504,0))&amp;"","")</f>
        <v/>
      </c>
      <c r="G26" s="57">
        <f>IFERROR(INDEX(Firms!$M$5:$M$504,MATCH(22,Firms!$R$5:$R$504,0))&amp;"","")</f>
        <v/>
      </c>
      <c r="H26" s="58">
        <f>IFERROR(INDEX(Firms!$Q$5:$Q$504,MATCH(22,Firms!$R$5:$R$504,0))&amp;"","")</f>
        <v/>
      </c>
    </row>
    <row r="27">
      <c r="A27" s="57">
        <f>IF(B27="","",23)</f>
        <v/>
      </c>
      <c r="B27" s="58">
        <f>IFERROR(INDEX(Firms!$A$5:$A$504,MATCH(23,Firms!$R$5:$R$504,0))&amp;"","")</f>
        <v/>
      </c>
      <c r="C27" s="59">
        <f>IFERROR(IF(INDEX(Firms!$O$5:$O$504,MATCH(23,Firms!$R$5:$R$504,0))="","",INDEX(Firms!$O$5:$O$504,MATCH(23,Firms!$R$5:$R$504,0))),"")</f>
        <v/>
      </c>
      <c r="D27" s="58">
        <f>IFERROR(INDEX(Firms!$P$5:$P$504,MATCH(23,Firms!$R$5:$R$504,0))&amp;"","")</f>
        <v/>
      </c>
      <c r="E27" s="58">
        <f>IFERROR(INDEX(Firms!$C$5:$C$504,MATCH(23,Firms!$R$5:$R$504,0))&amp;"","")</f>
        <v/>
      </c>
      <c r="F27" s="57">
        <f>IFERROR(INDEX(Firms!$L$5:$L$504,MATCH(23,Firms!$R$5:$R$504,0))&amp;"","")</f>
        <v/>
      </c>
      <c r="G27" s="57">
        <f>IFERROR(INDEX(Firms!$M$5:$M$504,MATCH(23,Firms!$R$5:$R$504,0))&amp;"","")</f>
        <v/>
      </c>
      <c r="H27" s="58">
        <f>IFERROR(INDEX(Firms!$Q$5:$Q$504,MATCH(23,Firms!$R$5:$R$504,0))&amp;"","")</f>
        <v/>
      </c>
    </row>
    <row r="28">
      <c r="A28" s="57">
        <f>IF(B28="","",24)</f>
        <v/>
      </c>
      <c r="B28" s="58">
        <f>IFERROR(INDEX(Firms!$A$5:$A$504,MATCH(24,Firms!$R$5:$R$504,0))&amp;"","")</f>
        <v/>
      </c>
      <c r="C28" s="59">
        <f>IFERROR(IF(INDEX(Firms!$O$5:$O$504,MATCH(24,Firms!$R$5:$R$504,0))="","",INDEX(Firms!$O$5:$O$504,MATCH(24,Firms!$R$5:$R$504,0))),"")</f>
        <v/>
      </c>
      <c r="D28" s="58">
        <f>IFERROR(INDEX(Firms!$P$5:$P$504,MATCH(24,Firms!$R$5:$R$504,0))&amp;"","")</f>
        <v/>
      </c>
      <c r="E28" s="58">
        <f>IFERROR(INDEX(Firms!$C$5:$C$504,MATCH(24,Firms!$R$5:$R$504,0))&amp;"","")</f>
        <v/>
      </c>
      <c r="F28" s="57">
        <f>IFERROR(INDEX(Firms!$L$5:$L$504,MATCH(24,Firms!$R$5:$R$504,0))&amp;"","")</f>
        <v/>
      </c>
      <c r="G28" s="57">
        <f>IFERROR(INDEX(Firms!$M$5:$M$504,MATCH(24,Firms!$R$5:$R$504,0))&amp;"","")</f>
        <v/>
      </c>
      <c r="H28" s="58">
        <f>IFERROR(INDEX(Firms!$Q$5:$Q$504,MATCH(24,Firms!$R$5:$R$504,0))&amp;"","")</f>
        <v/>
      </c>
    </row>
    <row r="29">
      <c r="A29" s="57">
        <f>IF(B29="","",25)</f>
        <v/>
      </c>
      <c r="B29" s="58">
        <f>IFERROR(INDEX(Firms!$A$5:$A$504,MATCH(25,Firms!$R$5:$R$504,0))&amp;"","")</f>
        <v/>
      </c>
      <c r="C29" s="59">
        <f>IFERROR(IF(INDEX(Firms!$O$5:$O$504,MATCH(25,Firms!$R$5:$R$504,0))="","",INDEX(Firms!$O$5:$O$504,MATCH(25,Firms!$R$5:$R$504,0))),"")</f>
        <v/>
      </c>
      <c r="D29" s="58">
        <f>IFERROR(INDEX(Firms!$P$5:$P$504,MATCH(25,Firms!$R$5:$R$504,0))&amp;"","")</f>
        <v/>
      </c>
      <c r="E29" s="58">
        <f>IFERROR(INDEX(Firms!$C$5:$C$504,MATCH(25,Firms!$R$5:$R$504,0))&amp;"","")</f>
        <v/>
      </c>
      <c r="F29" s="57">
        <f>IFERROR(INDEX(Firms!$L$5:$L$504,MATCH(25,Firms!$R$5:$R$504,0))&amp;"","")</f>
        <v/>
      </c>
      <c r="G29" s="57">
        <f>IFERROR(INDEX(Firms!$M$5:$M$504,MATCH(25,Firms!$R$5:$R$504,0))&amp;"","")</f>
        <v/>
      </c>
      <c r="H29" s="58">
        <f>IFERROR(INDEX(Firms!$Q$5:$Q$504,MATCH(25,Firms!$R$5:$R$504,0))&amp;"","")</f>
        <v/>
      </c>
    </row>
    <row r="30">
      <c r="A30" s="57">
        <f>IF(B30="","",26)</f>
        <v/>
      </c>
      <c r="B30" s="58">
        <f>IFERROR(INDEX(Firms!$A$5:$A$504,MATCH(26,Firms!$R$5:$R$504,0))&amp;"","")</f>
        <v/>
      </c>
      <c r="C30" s="59">
        <f>IFERROR(IF(INDEX(Firms!$O$5:$O$504,MATCH(26,Firms!$R$5:$R$504,0))="","",INDEX(Firms!$O$5:$O$504,MATCH(26,Firms!$R$5:$R$504,0))),"")</f>
        <v/>
      </c>
      <c r="D30" s="58">
        <f>IFERROR(INDEX(Firms!$P$5:$P$504,MATCH(26,Firms!$R$5:$R$504,0))&amp;"","")</f>
        <v/>
      </c>
      <c r="E30" s="58">
        <f>IFERROR(INDEX(Firms!$C$5:$C$504,MATCH(26,Firms!$R$5:$R$504,0))&amp;"","")</f>
        <v/>
      </c>
      <c r="F30" s="57">
        <f>IFERROR(INDEX(Firms!$L$5:$L$504,MATCH(26,Firms!$R$5:$R$504,0))&amp;"","")</f>
        <v/>
      </c>
      <c r="G30" s="57">
        <f>IFERROR(INDEX(Firms!$M$5:$M$504,MATCH(26,Firms!$R$5:$R$504,0))&amp;"","")</f>
        <v/>
      </c>
      <c r="H30" s="58">
        <f>IFERROR(INDEX(Firms!$Q$5:$Q$504,MATCH(26,Firms!$R$5:$R$504,0))&amp;"","")</f>
        <v/>
      </c>
    </row>
    <row r="31">
      <c r="A31" s="57">
        <f>IF(B31="","",27)</f>
        <v/>
      </c>
      <c r="B31" s="58">
        <f>IFERROR(INDEX(Firms!$A$5:$A$504,MATCH(27,Firms!$R$5:$R$504,0))&amp;"","")</f>
        <v/>
      </c>
      <c r="C31" s="59">
        <f>IFERROR(IF(INDEX(Firms!$O$5:$O$504,MATCH(27,Firms!$R$5:$R$504,0))="","",INDEX(Firms!$O$5:$O$504,MATCH(27,Firms!$R$5:$R$504,0))),"")</f>
        <v/>
      </c>
      <c r="D31" s="58">
        <f>IFERROR(INDEX(Firms!$P$5:$P$504,MATCH(27,Firms!$R$5:$R$504,0))&amp;"","")</f>
        <v/>
      </c>
      <c r="E31" s="58">
        <f>IFERROR(INDEX(Firms!$C$5:$C$504,MATCH(27,Firms!$R$5:$R$504,0))&amp;"","")</f>
        <v/>
      </c>
      <c r="F31" s="57">
        <f>IFERROR(INDEX(Firms!$L$5:$L$504,MATCH(27,Firms!$R$5:$R$504,0))&amp;"","")</f>
        <v/>
      </c>
      <c r="G31" s="57">
        <f>IFERROR(INDEX(Firms!$M$5:$M$504,MATCH(27,Firms!$R$5:$R$504,0))&amp;"","")</f>
        <v/>
      </c>
      <c r="H31" s="58">
        <f>IFERROR(INDEX(Firms!$Q$5:$Q$504,MATCH(27,Firms!$R$5:$R$504,0))&amp;"","")</f>
        <v/>
      </c>
    </row>
    <row r="32">
      <c r="A32" s="57">
        <f>IF(B32="","",28)</f>
        <v/>
      </c>
      <c r="B32" s="58">
        <f>IFERROR(INDEX(Firms!$A$5:$A$504,MATCH(28,Firms!$R$5:$R$504,0))&amp;"","")</f>
        <v/>
      </c>
      <c r="C32" s="59">
        <f>IFERROR(IF(INDEX(Firms!$O$5:$O$504,MATCH(28,Firms!$R$5:$R$504,0))="","",INDEX(Firms!$O$5:$O$504,MATCH(28,Firms!$R$5:$R$504,0))),"")</f>
        <v/>
      </c>
      <c r="D32" s="58">
        <f>IFERROR(INDEX(Firms!$P$5:$P$504,MATCH(28,Firms!$R$5:$R$504,0))&amp;"","")</f>
        <v/>
      </c>
      <c r="E32" s="58">
        <f>IFERROR(INDEX(Firms!$C$5:$C$504,MATCH(28,Firms!$R$5:$R$504,0))&amp;"","")</f>
        <v/>
      </c>
      <c r="F32" s="57">
        <f>IFERROR(INDEX(Firms!$L$5:$L$504,MATCH(28,Firms!$R$5:$R$504,0))&amp;"","")</f>
        <v/>
      </c>
      <c r="G32" s="57">
        <f>IFERROR(INDEX(Firms!$M$5:$M$504,MATCH(28,Firms!$R$5:$R$504,0))&amp;"","")</f>
        <v/>
      </c>
      <c r="H32" s="58">
        <f>IFERROR(INDEX(Firms!$Q$5:$Q$504,MATCH(28,Firms!$R$5:$R$504,0))&amp;"","")</f>
        <v/>
      </c>
    </row>
    <row r="33">
      <c r="A33" s="57">
        <f>IF(B33="","",29)</f>
        <v/>
      </c>
      <c r="B33" s="58">
        <f>IFERROR(INDEX(Firms!$A$5:$A$504,MATCH(29,Firms!$R$5:$R$504,0))&amp;"","")</f>
        <v/>
      </c>
      <c r="C33" s="59">
        <f>IFERROR(IF(INDEX(Firms!$O$5:$O$504,MATCH(29,Firms!$R$5:$R$504,0))="","",INDEX(Firms!$O$5:$O$504,MATCH(29,Firms!$R$5:$R$504,0))),"")</f>
        <v/>
      </c>
      <c r="D33" s="58">
        <f>IFERROR(INDEX(Firms!$P$5:$P$504,MATCH(29,Firms!$R$5:$R$504,0))&amp;"","")</f>
        <v/>
      </c>
      <c r="E33" s="58">
        <f>IFERROR(INDEX(Firms!$C$5:$C$504,MATCH(29,Firms!$R$5:$R$504,0))&amp;"","")</f>
        <v/>
      </c>
      <c r="F33" s="57">
        <f>IFERROR(INDEX(Firms!$L$5:$L$504,MATCH(29,Firms!$R$5:$R$504,0))&amp;"","")</f>
        <v/>
      </c>
      <c r="G33" s="57">
        <f>IFERROR(INDEX(Firms!$M$5:$M$504,MATCH(29,Firms!$R$5:$R$504,0))&amp;"","")</f>
        <v/>
      </c>
      <c r="H33" s="58">
        <f>IFERROR(INDEX(Firms!$Q$5:$Q$504,MATCH(29,Firms!$R$5:$R$504,0))&amp;"","")</f>
        <v/>
      </c>
    </row>
    <row r="34">
      <c r="A34" s="57">
        <f>IF(B34="","",30)</f>
        <v/>
      </c>
      <c r="B34" s="58">
        <f>IFERROR(INDEX(Firms!$A$5:$A$504,MATCH(30,Firms!$R$5:$R$504,0))&amp;"","")</f>
        <v/>
      </c>
      <c r="C34" s="59">
        <f>IFERROR(IF(INDEX(Firms!$O$5:$O$504,MATCH(30,Firms!$R$5:$R$504,0))="","",INDEX(Firms!$O$5:$O$504,MATCH(30,Firms!$R$5:$R$504,0))),"")</f>
        <v/>
      </c>
      <c r="D34" s="58">
        <f>IFERROR(INDEX(Firms!$P$5:$P$504,MATCH(30,Firms!$R$5:$R$504,0))&amp;"","")</f>
        <v/>
      </c>
      <c r="E34" s="58">
        <f>IFERROR(INDEX(Firms!$C$5:$C$504,MATCH(30,Firms!$R$5:$R$504,0))&amp;"","")</f>
        <v/>
      </c>
      <c r="F34" s="57">
        <f>IFERROR(INDEX(Firms!$L$5:$L$504,MATCH(30,Firms!$R$5:$R$504,0))&amp;"","")</f>
        <v/>
      </c>
      <c r="G34" s="57">
        <f>IFERROR(INDEX(Firms!$M$5:$M$504,MATCH(30,Firms!$R$5:$R$504,0))&amp;"","")</f>
        <v/>
      </c>
      <c r="H34" s="58">
        <f>IFERROR(INDEX(Firms!$Q$5:$Q$504,MATCH(30,Firms!$R$5:$R$504,0))&amp;"","")</f>
        <v/>
      </c>
    </row>
    <row r="35">
      <c r="A35" s="57">
        <f>IF(B35="","",31)</f>
        <v/>
      </c>
      <c r="B35" s="58">
        <f>IFERROR(INDEX(Firms!$A$5:$A$504,MATCH(31,Firms!$R$5:$R$504,0))&amp;"","")</f>
        <v/>
      </c>
      <c r="C35" s="59">
        <f>IFERROR(IF(INDEX(Firms!$O$5:$O$504,MATCH(31,Firms!$R$5:$R$504,0))="","",INDEX(Firms!$O$5:$O$504,MATCH(31,Firms!$R$5:$R$504,0))),"")</f>
        <v/>
      </c>
      <c r="D35" s="58">
        <f>IFERROR(INDEX(Firms!$P$5:$P$504,MATCH(31,Firms!$R$5:$R$504,0))&amp;"","")</f>
        <v/>
      </c>
      <c r="E35" s="58">
        <f>IFERROR(INDEX(Firms!$C$5:$C$504,MATCH(31,Firms!$R$5:$R$504,0))&amp;"","")</f>
        <v/>
      </c>
      <c r="F35" s="57">
        <f>IFERROR(INDEX(Firms!$L$5:$L$504,MATCH(31,Firms!$R$5:$R$504,0))&amp;"","")</f>
        <v/>
      </c>
      <c r="G35" s="57">
        <f>IFERROR(INDEX(Firms!$M$5:$M$504,MATCH(31,Firms!$R$5:$R$504,0))&amp;"","")</f>
        <v/>
      </c>
      <c r="H35" s="58">
        <f>IFERROR(INDEX(Firms!$Q$5:$Q$504,MATCH(31,Firms!$R$5:$R$504,0))&amp;"","")</f>
        <v/>
      </c>
    </row>
    <row r="36">
      <c r="A36" s="57">
        <f>IF(B36="","",32)</f>
        <v/>
      </c>
      <c r="B36" s="58">
        <f>IFERROR(INDEX(Firms!$A$5:$A$504,MATCH(32,Firms!$R$5:$R$504,0))&amp;"","")</f>
        <v/>
      </c>
      <c r="C36" s="59">
        <f>IFERROR(IF(INDEX(Firms!$O$5:$O$504,MATCH(32,Firms!$R$5:$R$504,0))="","",INDEX(Firms!$O$5:$O$504,MATCH(32,Firms!$R$5:$R$504,0))),"")</f>
        <v/>
      </c>
      <c r="D36" s="58">
        <f>IFERROR(INDEX(Firms!$P$5:$P$504,MATCH(32,Firms!$R$5:$R$504,0))&amp;"","")</f>
        <v/>
      </c>
      <c r="E36" s="58">
        <f>IFERROR(INDEX(Firms!$C$5:$C$504,MATCH(32,Firms!$R$5:$R$504,0))&amp;"","")</f>
        <v/>
      </c>
      <c r="F36" s="57">
        <f>IFERROR(INDEX(Firms!$L$5:$L$504,MATCH(32,Firms!$R$5:$R$504,0))&amp;"","")</f>
        <v/>
      </c>
      <c r="G36" s="57">
        <f>IFERROR(INDEX(Firms!$M$5:$M$504,MATCH(32,Firms!$R$5:$R$504,0))&amp;"","")</f>
        <v/>
      </c>
      <c r="H36" s="58">
        <f>IFERROR(INDEX(Firms!$Q$5:$Q$504,MATCH(32,Firms!$R$5:$R$504,0))&amp;"","")</f>
        <v/>
      </c>
    </row>
    <row r="37">
      <c r="A37" s="57">
        <f>IF(B37="","",33)</f>
        <v/>
      </c>
      <c r="B37" s="58">
        <f>IFERROR(INDEX(Firms!$A$5:$A$504,MATCH(33,Firms!$R$5:$R$504,0))&amp;"","")</f>
        <v/>
      </c>
      <c r="C37" s="59">
        <f>IFERROR(IF(INDEX(Firms!$O$5:$O$504,MATCH(33,Firms!$R$5:$R$504,0))="","",INDEX(Firms!$O$5:$O$504,MATCH(33,Firms!$R$5:$R$504,0))),"")</f>
        <v/>
      </c>
      <c r="D37" s="58">
        <f>IFERROR(INDEX(Firms!$P$5:$P$504,MATCH(33,Firms!$R$5:$R$504,0))&amp;"","")</f>
        <v/>
      </c>
      <c r="E37" s="58">
        <f>IFERROR(INDEX(Firms!$C$5:$C$504,MATCH(33,Firms!$R$5:$R$504,0))&amp;"","")</f>
        <v/>
      </c>
      <c r="F37" s="57">
        <f>IFERROR(INDEX(Firms!$L$5:$L$504,MATCH(33,Firms!$R$5:$R$504,0))&amp;"","")</f>
        <v/>
      </c>
      <c r="G37" s="57">
        <f>IFERROR(INDEX(Firms!$M$5:$M$504,MATCH(33,Firms!$R$5:$R$504,0))&amp;"","")</f>
        <v/>
      </c>
      <c r="H37" s="58">
        <f>IFERROR(INDEX(Firms!$Q$5:$Q$504,MATCH(33,Firms!$R$5:$R$504,0))&amp;"","")</f>
        <v/>
      </c>
    </row>
    <row r="38">
      <c r="A38" s="57">
        <f>IF(B38="","",34)</f>
        <v/>
      </c>
      <c r="B38" s="58">
        <f>IFERROR(INDEX(Firms!$A$5:$A$504,MATCH(34,Firms!$R$5:$R$504,0))&amp;"","")</f>
        <v/>
      </c>
      <c r="C38" s="59">
        <f>IFERROR(IF(INDEX(Firms!$O$5:$O$504,MATCH(34,Firms!$R$5:$R$504,0))="","",INDEX(Firms!$O$5:$O$504,MATCH(34,Firms!$R$5:$R$504,0))),"")</f>
        <v/>
      </c>
      <c r="D38" s="58">
        <f>IFERROR(INDEX(Firms!$P$5:$P$504,MATCH(34,Firms!$R$5:$R$504,0))&amp;"","")</f>
        <v/>
      </c>
      <c r="E38" s="58">
        <f>IFERROR(INDEX(Firms!$C$5:$C$504,MATCH(34,Firms!$R$5:$R$504,0))&amp;"","")</f>
        <v/>
      </c>
      <c r="F38" s="57">
        <f>IFERROR(INDEX(Firms!$L$5:$L$504,MATCH(34,Firms!$R$5:$R$504,0))&amp;"","")</f>
        <v/>
      </c>
      <c r="G38" s="57">
        <f>IFERROR(INDEX(Firms!$M$5:$M$504,MATCH(34,Firms!$R$5:$R$504,0))&amp;"","")</f>
        <v/>
      </c>
      <c r="H38" s="58">
        <f>IFERROR(INDEX(Firms!$Q$5:$Q$504,MATCH(34,Firms!$R$5:$R$504,0))&amp;"","")</f>
        <v/>
      </c>
    </row>
    <row r="39">
      <c r="A39" s="57">
        <f>IF(B39="","",35)</f>
        <v/>
      </c>
      <c r="B39" s="58">
        <f>IFERROR(INDEX(Firms!$A$5:$A$504,MATCH(35,Firms!$R$5:$R$504,0))&amp;"","")</f>
        <v/>
      </c>
      <c r="C39" s="59">
        <f>IFERROR(IF(INDEX(Firms!$O$5:$O$504,MATCH(35,Firms!$R$5:$R$504,0))="","",INDEX(Firms!$O$5:$O$504,MATCH(35,Firms!$R$5:$R$504,0))),"")</f>
        <v/>
      </c>
      <c r="D39" s="58">
        <f>IFERROR(INDEX(Firms!$P$5:$P$504,MATCH(35,Firms!$R$5:$R$504,0))&amp;"","")</f>
        <v/>
      </c>
      <c r="E39" s="58">
        <f>IFERROR(INDEX(Firms!$C$5:$C$504,MATCH(35,Firms!$R$5:$R$504,0))&amp;"","")</f>
        <v/>
      </c>
      <c r="F39" s="57">
        <f>IFERROR(INDEX(Firms!$L$5:$L$504,MATCH(35,Firms!$R$5:$R$504,0))&amp;"","")</f>
        <v/>
      </c>
      <c r="G39" s="57">
        <f>IFERROR(INDEX(Firms!$M$5:$M$504,MATCH(35,Firms!$R$5:$R$504,0))&amp;"","")</f>
        <v/>
      </c>
      <c r="H39" s="58">
        <f>IFERROR(INDEX(Firms!$Q$5:$Q$504,MATCH(35,Firms!$R$5:$R$504,0))&amp;"","")</f>
        <v/>
      </c>
    </row>
    <row r="40">
      <c r="A40" s="57">
        <f>IF(B40="","",36)</f>
        <v/>
      </c>
      <c r="B40" s="58">
        <f>IFERROR(INDEX(Firms!$A$5:$A$504,MATCH(36,Firms!$R$5:$R$504,0))&amp;"","")</f>
        <v/>
      </c>
      <c r="C40" s="59">
        <f>IFERROR(IF(INDEX(Firms!$O$5:$O$504,MATCH(36,Firms!$R$5:$R$504,0))="","",INDEX(Firms!$O$5:$O$504,MATCH(36,Firms!$R$5:$R$504,0))),"")</f>
        <v/>
      </c>
      <c r="D40" s="58">
        <f>IFERROR(INDEX(Firms!$P$5:$P$504,MATCH(36,Firms!$R$5:$R$504,0))&amp;"","")</f>
        <v/>
      </c>
      <c r="E40" s="58">
        <f>IFERROR(INDEX(Firms!$C$5:$C$504,MATCH(36,Firms!$R$5:$R$504,0))&amp;"","")</f>
        <v/>
      </c>
      <c r="F40" s="57">
        <f>IFERROR(INDEX(Firms!$L$5:$L$504,MATCH(36,Firms!$R$5:$R$504,0))&amp;"","")</f>
        <v/>
      </c>
      <c r="G40" s="57">
        <f>IFERROR(INDEX(Firms!$M$5:$M$504,MATCH(36,Firms!$R$5:$R$504,0))&amp;"","")</f>
        <v/>
      </c>
      <c r="H40" s="58">
        <f>IFERROR(INDEX(Firms!$Q$5:$Q$504,MATCH(36,Firms!$R$5:$R$504,0))&amp;"","")</f>
        <v/>
      </c>
    </row>
    <row r="41">
      <c r="A41" s="57">
        <f>IF(B41="","",37)</f>
        <v/>
      </c>
      <c r="B41" s="58">
        <f>IFERROR(INDEX(Firms!$A$5:$A$504,MATCH(37,Firms!$R$5:$R$504,0))&amp;"","")</f>
        <v/>
      </c>
      <c r="C41" s="59">
        <f>IFERROR(IF(INDEX(Firms!$O$5:$O$504,MATCH(37,Firms!$R$5:$R$504,0))="","",INDEX(Firms!$O$5:$O$504,MATCH(37,Firms!$R$5:$R$504,0))),"")</f>
        <v/>
      </c>
      <c r="D41" s="58">
        <f>IFERROR(INDEX(Firms!$P$5:$P$504,MATCH(37,Firms!$R$5:$R$504,0))&amp;"","")</f>
        <v/>
      </c>
      <c r="E41" s="58">
        <f>IFERROR(INDEX(Firms!$C$5:$C$504,MATCH(37,Firms!$R$5:$R$504,0))&amp;"","")</f>
        <v/>
      </c>
      <c r="F41" s="57">
        <f>IFERROR(INDEX(Firms!$L$5:$L$504,MATCH(37,Firms!$R$5:$R$504,0))&amp;"","")</f>
        <v/>
      </c>
      <c r="G41" s="57">
        <f>IFERROR(INDEX(Firms!$M$5:$M$504,MATCH(37,Firms!$R$5:$R$504,0))&amp;"","")</f>
        <v/>
      </c>
      <c r="H41" s="58">
        <f>IFERROR(INDEX(Firms!$Q$5:$Q$504,MATCH(37,Firms!$R$5:$R$504,0))&amp;"","")</f>
        <v/>
      </c>
    </row>
    <row r="42">
      <c r="A42" s="57">
        <f>IF(B42="","",38)</f>
        <v/>
      </c>
      <c r="B42" s="58">
        <f>IFERROR(INDEX(Firms!$A$5:$A$504,MATCH(38,Firms!$R$5:$R$504,0))&amp;"","")</f>
        <v/>
      </c>
      <c r="C42" s="59">
        <f>IFERROR(IF(INDEX(Firms!$O$5:$O$504,MATCH(38,Firms!$R$5:$R$504,0))="","",INDEX(Firms!$O$5:$O$504,MATCH(38,Firms!$R$5:$R$504,0))),"")</f>
        <v/>
      </c>
      <c r="D42" s="58">
        <f>IFERROR(INDEX(Firms!$P$5:$P$504,MATCH(38,Firms!$R$5:$R$504,0))&amp;"","")</f>
        <v/>
      </c>
      <c r="E42" s="58">
        <f>IFERROR(INDEX(Firms!$C$5:$C$504,MATCH(38,Firms!$R$5:$R$504,0))&amp;"","")</f>
        <v/>
      </c>
      <c r="F42" s="57">
        <f>IFERROR(INDEX(Firms!$L$5:$L$504,MATCH(38,Firms!$R$5:$R$504,0))&amp;"","")</f>
        <v/>
      </c>
      <c r="G42" s="57">
        <f>IFERROR(INDEX(Firms!$M$5:$M$504,MATCH(38,Firms!$R$5:$R$504,0))&amp;"","")</f>
        <v/>
      </c>
      <c r="H42" s="58">
        <f>IFERROR(INDEX(Firms!$Q$5:$Q$504,MATCH(38,Firms!$R$5:$R$504,0))&amp;"","")</f>
        <v/>
      </c>
    </row>
    <row r="43">
      <c r="A43" s="57">
        <f>IF(B43="","",39)</f>
        <v/>
      </c>
      <c r="B43" s="58">
        <f>IFERROR(INDEX(Firms!$A$5:$A$504,MATCH(39,Firms!$R$5:$R$504,0))&amp;"","")</f>
        <v/>
      </c>
      <c r="C43" s="59">
        <f>IFERROR(IF(INDEX(Firms!$O$5:$O$504,MATCH(39,Firms!$R$5:$R$504,0))="","",INDEX(Firms!$O$5:$O$504,MATCH(39,Firms!$R$5:$R$504,0))),"")</f>
        <v/>
      </c>
      <c r="D43" s="58">
        <f>IFERROR(INDEX(Firms!$P$5:$P$504,MATCH(39,Firms!$R$5:$R$504,0))&amp;"","")</f>
        <v/>
      </c>
      <c r="E43" s="58">
        <f>IFERROR(INDEX(Firms!$C$5:$C$504,MATCH(39,Firms!$R$5:$R$504,0))&amp;"","")</f>
        <v/>
      </c>
      <c r="F43" s="57">
        <f>IFERROR(INDEX(Firms!$L$5:$L$504,MATCH(39,Firms!$R$5:$R$504,0))&amp;"","")</f>
        <v/>
      </c>
      <c r="G43" s="57">
        <f>IFERROR(INDEX(Firms!$M$5:$M$504,MATCH(39,Firms!$R$5:$R$504,0))&amp;"","")</f>
        <v/>
      </c>
      <c r="H43" s="58">
        <f>IFERROR(INDEX(Firms!$Q$5:$Q$504,MATCH(39,Firms!$R$5:$R$504,0))&amp;"","")</f>
        <v/>
      </c>
    </row>
    <row r="44">
      <c r="A44" s="57">
        <f>IF(B44="","",40)</f>
        <v/>
      </c>
      <c r="B44" s="58">
        <f>IFERROR(INDEX(Firms!$A$5:$A$504,MATCH(40,Firms!$R$5:$R$504,0))&amp;"","")</f>
        <v/>
      </c>
      <c r="C44" s="59">
        <f>IFERROR(IF(INDEX(Firms!$O$5:$O$504,MATCH(40,Firms!$R$5:$R$504,0))="","",INDEX(Firms!$O$5:$O$504,MATCH(40,Firms!$R$5:$R$504,0))),"")</f>
        <v/>
      </c>
      <c r="D44" s="58">
        <f>IFERROR(INDEX(Firms!$P$5:$P$504,MATCH(40,Firms!$R$5:$R$504,0))&amp;"","")</f>
        <v/>
      </c>
      <c r="E44" s="58">
        <f>IFERROR(INDEX(Firms!$C$5:$C$504,MATCH(40,Firms!$R$5:$R$504,0))&amp;"","")</f>
        <v/>
      </c>
      <c r="F44" s="57">
        <f>IFERROR(INDEX(Firms!$L$5:$L$504,MATCH(40,Firms!$R$5:$R$504,0))&amp;"","")</f>
        <v/>
      </c>
      <c r="G44" s="57">
        <f>IFERROR(INDEX(Firms!$M$5:$M$504,MATCH(40,Firms!$R$5:$R$504,0))&amp;"","")</f>
        <v/>
      </c>
      <c r="H44" s="58">
        <f>IFERROR(INDEX(Firms!$Q$5:$Q$504,MATCH(40,Firms!$R$5:$R$504,0))&amp;"","")</f>
        <v/>
      </c>
    </row>
    <row r="45">
      <c r="A45" s="57">
        <f>IF(B45="","",41)</f>
        <v/>
      </c>
      <c r="B45" s="58">
        <f>IFERROR(INDEX(Firms!$A$5:$A$504,MATCH(41,Firms!$R$5:$R$504,0))&amp;"","")</f>
        <v/>
      </c>
      <c r="C45" s="59">
        <f>IFERROR(IF(INDEX(Firms!$O$5:$O$504,MATCH(41,Firms!$R$5:$R$504,0))="","",INDEX(Firms!$O$5:$O$504,MATCH(41,Firms!$R$5:$R$504,0))),"")</f>
        <v/>
      </c>
      <c r="D45" s="58">
        <f>IFERROR(INDEX(Firms!$P$5:$P$504,MATCH(41,Firms!$R$5:$R$504,0))&amp;"","")</f>
        <v/>
      </c>
      <c r="E45" s="58">
        <f>IFERROR(INDEX(Firms!$C$5:$C$504,MATCH(41,Firms!$R$5:$R$504,0))&amp;"","")</f>
        <v/>
      </c>
      <c r="F45" s="57">
        <f>IFERROR(INDEX(Firms!$L$5:$L$504,MATCH(41,Firms!$R$5:$R$504,0))&amp;"","")</f>
        <v/>
      </c>
      <c r="G45" s="57">
        <f>IFERROR(INDEX(Firms!$M$5:$M$504,MATCH(41,Firms!$R$5:$R$504,0))&amp;"","")</f>
        <v/>
      </c>
      <c r="H45" s="58">
        <f>IFERROR(INDEX(Firms!$Q$5:$Q$504,MATCH(41,Firms!$R$5:$R$504,0))&amp;"","")</f>
        <v/>
      </c>
    </row>
    <row r="46">
      <c r="A46" s="57">
        <f>IF(B46="","",42)</f>
        <v/>
      </c>
      <c r="B46" s="58">
        <f>IFERROR(INDEX(Firms!$A$5:$A$504,MATCH(42,Firms!$R$5:$R$504,0))&amp;"","")</f>
        <v/>
      </c>
      <c r="C46" s="59">
        <f>IFERROR(IF(INDEX(Firms!$O$5:$O$504,MATCH(42,Firms!$R$5:$R$504,0))="","",INDEX(Firms!$O$5:$O$504,MATCH(42,Firms!$R$5:$R$504,0))),"")</f>
        <v/>
      </c>
      <c r="D46" s="58">
        <f>IFERROR(INDEX(Firms!$P$5:$P$504,MATCH(42,Firms!$R$5:$R$504,0))&amp;"","")</f>
        <v/>
      </c>
      <c r="E46" s="58">
        <f>IFERROR(INDEX(Firms!$C$5:$C$504,MATCH(42,Firms!$R$5:$R$504,0))&amp;"","")</f>
        <v/>
      </c>
      <c r="F46" s="57">
        <f>IFERROR(INDEX(Firms!$L$5:$L$504,MATCH(42,Firms!$R$5:$R$504,0))&amp;"","")</f>
        <v/>
      </c>
      <c r="G46" s="57">
        <f>IFERROR(INDEX(Firms!$M$5:$M$504,MATCH(42,Firms!$R$5:$R$504,0))&amp;"","")</f>
        <v/>
      </c>
      <c r="H46" s="58">
        <f>IFERROR(INDEX(Firms!$Q$5:$Q$504,MATCH(42,Firms!$R$5:$R$504,0))&amp;"","")</f>
        <v/>
      </c>
    </row>
    <row r="47">
      <c r="A47" s="57">
        <f>IF(B47="","",43)</f>
        <v/>
      </c>
      <c r="B47" s="58">
        <f>IFERROR(INDEX(Firms!$A$5:$A$504,MATCH(43,Firms!$R$5:$R$504,0))&amp;"","")</f>
        <v/>
      </c>
      <c r="C47" s="59">
        <f>IFERROR(IF(INDEX(Firms!$O$5:$O$504,MATCH(43,Firms!$R$5:$R$504,0))="","",INDEX(Firms!$O$5:$O$504,MATCH(43,Firms!$R$5:$R$504,0))),"")</f>
        <v/>
      </c>
      <c r="D47" s="58">
        <f>IFERROR(INDEX(Firms!$P$5:$P$504,MATCH(43,Firms!$R$5:$R$504,0))&amp;"","")</f>
        <v/>
      </c>
      <c r="E47" s="58">
        <f>IFERROR(INDEX(Firms!$C$5:$C$504,MATCH(43,Firms!$R$5:$R$504,0))&amp;"","")</f>
        <v/>
      </c>
      <c r="F47" s="57">
        <f>IFERROR(INDEX(Firms!$L$5:$L$504,MATCH(43,Firms!$R$5:$R$504,0))&amp;"","")</f>
        <v/>
      </c>
      <c r="G47" s="57">
        <f>IFERROR(INDEX(Firms!$M$5:$M$504,MATCH(43,Firms!$R$5:$R$504,0))&amp;"","")</f>
        <v/>
      </c>
      <c r="H47" s="58">
        <f>IFERROR(INDEX(Firms!$Q$5:$Q$504,MATCH(43,Firms!$R$5:$R$504,0))&amp;"","")</f>
        <v/>
      </c>
    </row>
    <row r="48">
      <c r="A48" s="57">
        <f>IF(B48="","",44)</f>
        <v/>
      </c>
      <c r="B48" s="58">
        <f>IFERROR(INDEX(Firms!$A$5:$A$504,MATCH(44,Firms!$R$5:$R$504,0))&amp;"","")</f>
        <v/>
      </c>
      <c r="C48" s="59">
        <f>IFERROR(IF(INDEX(Firms!$O$5:$O$504,MATCH(44,Firms!$R$5:$R$504,0))="","",INDEX(Firms!$O$5:$O$504,MATCH(44,Firms!$R$5:$R$504,0))),"")</f>
        <v/>
      </c>
      <c r="D48" s="58">
        <f>IFERROR(INDEX(Firms!$P$5:$P$504,MATCH(44,Firms!$R$5:$R$504,0))&amp;"","")</f>
        <v/>
      </c>
      <c r="E48" s="58">
        <f>IFERROR(INDEX(Firms!$C$5:$C$504,MATCH(44,Firms!$R$5:$R$504,0))&amp;"","")</f>
        <v/>
      </c>
      <c r="F48" s="57">
        <f>IFERROR(INDEX(Firms!$L$5:$L$504,MATCH(44,Firms!$R$5:$R$504,0))&amp;"","")</f>
        <v/>
      </c>
      <c r="G48" s="57">
        <f>IFERROR(INDEX(Firms!$M$5:$M$504,MATCH(44,Firms!$R$5:$R$504,0))&amp;"","")</f>
        <v/>
      </c>
      <c r="H48" s="58">
        <f>IFERROR(INDEX(Firms!$Q$5:$Q$504,MATCH(44,Firms!$R$5:$R$504,0))&amp;"","")</f>
        <v/>
      </c>
    </row>
    <row r="49">
      <c r="A49" s="57">
        <f>IF(B49="","",45)</f>
        <v/>
      </c>
      <c r="B49" s="58">
        <f>IFERROR(INDEX(Firms!$A$5:$A$504,MATCH(45,Firms!$R$5:$R$504,0))&amp;"","")</f>
        <v/>
      </c>
      <c r="C49" s="59">
        <f>IFERROR(IF(INDEX(Firms!$O$5:$O$504,MATCH(45,Firms!$R$5:$R$504,0))="","",INDEX(Firms!$O$5:$O$504,MATCH(45,Firms!$R$5:$R$504,0))),"")</f>
        <v/>
      </c>
      <c r="D49" s="58">
        <f>IFERROR(INDEX(Firms!$P$5:$P$504,MATCH(45,Firms!$R$5:$R$504,0))&amp;"","")</f>
        <v/>
      </c>
      <c r="E49" s="58">
        <f>IFERROR(INDEX(Firms!$C$5:$C$504,MATCH(45,Firms!$R$5:$R$504,0))&amp;"","")</f>
        <v/>
      </c>
      <c r="F49" s="57">
        <f>IFERROR(INDEX(Firms!$L$5:$L$504,MATCH(45,Firms!$R$5:$R$504,0))&amp;"","")</f>
        <v/>
      </c>
      <c r="G49" s="57">
        <f>IFERROR(INDEX(Firms!$M$5:$M$504,MATCH(45,Firms!$R$5:$R$504,0))&amp;"","")</f>
        <v/>
      </c>
      <c r="H49" s="58">
        <f>IFERROR(INDEX(Firms!$Q$5:$Q$504,MATCH(45,Firms!$R$5:$R$504,0))&amp;"","")</f>
        <v/>
      </c>
    </row>
    <row r="50">
      <c r="A50" s="57">
        <f>IF(B50="","",46)</f>
        <v/>
      </c>
      <c r="B50" s="58">
        <f>IFERROR(INDEX(Firms!$A$5:$A$504,MATCH(46,Firms!$R$5:$R$504,0))&amp;"","")</f>
        <v/>
      </c>
      <c r="C50" s="59">
        <f>IFERROR(IF(INDEX(Firms!$O$5:$O$504,MATCH(46,Firms!$R$5:$R$504,0))="","",INDEX(Firms!$O$5:$O$504,MATCH(46,Firms!$R$5:$R$504,0))),"")</f>
        <v/>
      </c>
      <c r="D50" s="58">
        <f>IFERROR(INDEX(Firms!$P$5:$P$504,MATCH(46,Firms!$R$5:$R$504,0))&amp;"","")</f>
        <v/>
      </c>
      <c r="E50" s="58">
        <f>IFERROR(INDEX(Firms!$C$5:$C$504,MATCH(46,Firms!$R$5:$R$504,0))&amp;"","")</f>
        <v/>
      </c>
      <c r="F50" s="57">
        <f>IFERROR(INDEX(Firms!$L$5:$L$504,MATCH(46,Firms!$R$5:$R$504,0))&amp;"","")</f>
        <v/>
      </c>
      <c r="G50" s="57">
        <f>IFERROR(INDEX(Firms!$M$5:$M$504,MATCH(46,Firms!$R$5:$R$504,0))&amp;"","")</f>
        <v/>
      </c>
      <c r="H50" s="58">
        <f>IFERROR(INDEX(Firms!$Q$5:$Q$504,MATCH(46,Firms!$R$5:$R$504,0))&amp;"","")</f>
        <v/>
      </c>
    </row>
    <row r="51">
      <c r="A51" s="57">
        <f>IF(B51="","",47)</f>
        <v/>
      </c>
      <c r="B51" s="58">
        <f>IFERROR(INDEX(Firms!$A$5:$A$504,MATCH(47,Firms!$R$5:$R$504,0))&amp;"","")</f>
        <v/>
      </c>
      <c r="C51" s="59">
        <f>IFERROR(IF(INDEX(Firms!$O$5:$O$504,MATCH(47,Firms!$R$5:$R$504,0))="","",INDEX(Firms!$O$5:$O$504,MATCH(47,Firms!$R$5:$R$504,0))),"")</f>
        <v/>
      </c>
      <c r="D51" s="58">
        <f>IFERROR(INDEX(Firms!$P$5:$P$504,MATCH(47,Firms!$R$5:$R$504,0))&amp;"","")</f>
        <v/>
      </c>
      <c r="E51" s="58">
        <f>IFERROR(INDEX(Firms!$C$5:$C$504,MATCH(47,Firms!$R$5:$R$504,0))&amp;"","")</f>
        <v/>
      </c>
      <c r="F51" s="57">
        <f>IFERROR(INDEX(Firms!$L$5:$L$504,MATCH(47,Firms!$R$5:$R$504,0))&amp;"","")</f>
        <v/>
      </c>
      <c r="G51" s="57">
        <f>IFERROR(INDEX(Firms!$M$5:$M$504,MATCH(47,Firms!$R$5:$R$504,0))&amp;"","")</f>
        <v/>
      </c>
      <c r="H51" s="58">
        <f>IFERROR(INDEX(Firms!$Q$5:$Q$504,MATCH(47,Firms!$R$5:$R$504,0))&amp;"","")</f>
        <v/>
      </c>
    </row>
    <row r="52">
      <c r="A52" s="57">
        <f>IF(B52="","",48)</f>
        <v/>
      </c>
      <c r="B52" s="58">
        <f>IFERROR(INDEX(Firms!$A$5:$A$504,MATCH(48,Firms!$R$5:$R$504,0))&amp;"","")</f>
        <v/>
      </c>
      <c r="C52" s="59">
        <f>IFERROR(IF(INDEX(Firms!$O$5:$O$504,MATCH(48,Firms!$R$5:$R$504,0))="","",INDEX(Firms!$O$5:$O$504,MATCH(48,Firms!$R$5:$R$504,0))),"")</f>
        <v/>
      </c>
      <c r="D52" s="58">
        <f>IFERROR(INDEX(Firms!$P$5:$P$504,MATCH(48,Firms!$R$5:$R$504,0))&amp;"","")</f>
        <v/>
      </c>
      <c r="E52" s="58">
        <f>IFERROR(INDEX(Firms!$C$5:$C$504,MATCH(48,Firms!$R$5:$R$504,0))&amp;"","")</f>
        <v/>
      </c>
      <c r="F52" s="57">
        <f>IFERROR(INDEX(Firms!$L$5:$L$504,MATCH(48,Firms!$R$5:$R$504,0))&amp;"","")</f>
        <v/>
      </c>
      <c r="G52" s="57">
        <f>IFERROR(INDEX(Firms!$M$5:$M$504,MATCH(48,Firms!$R$5:$R$504,0))&amp;"","")</f>
        <v/>
      </c>
      <c r="H52" s="58">
        <f>IFERROR(INDEX(Firms!$Q$5:$Q$504,MATCH(48,Firms!$R$5:$R$504,0))&amp;"","")</f>
        <v/>
      </c>
    </row>
    <row r="53">
      <c r="A53" s="57">
        <f>IF(B53="","",49)</f>
        <v/>
      </c>
      <c r="B53" s="58">
        <f>IFERROR(INDEX(Firms!$A$5:$A$504,MATCH(49,Firms!$R$5:$R$504,0))&amp;"","")</f>
        <v/>
      </c>
      <c r="C53" s="59">
        <f>IFERROR(IF(INDEX(Firms!$O$5:$O$504,MATCH(49,Firms!$R$5:$R$504,0))="","",INDEX(Firms!$O$5:$O$504,MATCH(49,Firms!$R$5:$R$504,0))),"")</f>
        <v/>
      </c>
      <c r="D53" s="58">
        <f>IFERROR(INDEX(Firms!$P$5:$P$504,MATCH(49,Firms!$R$5:$R$504,0))&amp;"","")</f>
        <v/>
      </c>
      <c r="E53" s="58">
        <f>IFERROR(INDEX(Firms!$C$5:$C$504,MATCH(49,Firms!$R$5:$R$504,0))&amp;"","")</f>
        <v/>
      </c>
      <c r="F53" s="57">
        <f>IFERROR(INDEX(Firms!$L$5:$L$504,MATCH(49,Firms!$R$5:$R$504,0))&amp;"","")</f>
        <v/>
      </c>
      <c r="G53" s="57">
        <f>IFERROR(INDEX(Firms!$M$5:$M$504,MATCH(49,Firms!$R$5:$R$504,0))&amp;"","")</f>
        <v/>
      </c>
      <c r="H53" s="58">
        <f>IFERROR(INDEX(Firms!$Q$5:$Q$504,MATCH(49,Firms!$R$5:$R$504,0))&amp;"","")</f>
        <v/>
      </c>
    </row>
    <row r="54">
      <c r="A54" s="57">
        <f>IF(B54="","",50)</f>
        <v/>
      </c>
      <c r="B54" s="58">
        <f>IFERROR(INDEX(Firms!$A$5:$A$504,MATCH(50,Firms!$R$5:$R$504,0))&amp;"","")</f>
        <v/>
      </c>
      <c r="C54" s="59">
        <f>IFERROR(IF(INDEX(Firms!$O$5:$O$504,MATCH(50,Firms!$R$5:$R$504,0))="","",INDEX(Firms!$O$5:$O$504,MATCH(50,Firms!$R$5:$R$504,0))),"")</f>
        <v/>
      </c>
      <c r="D54" s="58">
        <f>IFERROR(INDEX(Firms!$P$5:$P$504,MATCH(50,Firms!$R$5:$R$504,0))&amp;"","")</f>
        <v/>
      </c>
      <c r="E54" s="58">
        <f>IFERROR(INDEX(Firms!$C$5:$C$504,MATCH(50,Firms!$R$5:$R$504,0))&amp;"","")</f>
        <v/>
      </c>
      <c r="F54" s="57">
        <f>IFERROR(INDEX(Firms!$L$5:$L$504,MATCH(50,Firms!$R$5:$R$504,0))&amp;"","")</f>
        <v/>
      </c>
      <c r="G54" s="57">
        <f>IFERROR(INDEX(Firms!$M$5:$M$504,MATCH(50,Firms!$R$5:$R$504,0))&amp;"","")</f>
        <v/>
      </c>
      <c r="H54" s="58">
        <f>IFERROR(INDEX(Firms!$Q$5:$Q$504,MATCH(50,Firms!$R$5:$R$504,0))&amp;"","")</f>
        <v/>
      </c>
    </row>
    <row r="55">
      <c r="A55" s="57">
        <f>IF(B55="","",51)</f>
        <v/>
      </c>
      <c r="B55" s="58">
        <f>IFERROR(INDEX(Firms!$A$5:$A$504,MATCH(51,Firms!$R$5:$R$504,0))&amp;"","")</f>
        <v/>
      </c>
      <c r="C55" s="59">
        <f>IFERROR(IF(INDEX(Firms!$O$5:$O$504,MATCH(51,Firms!$R$5:$R$504,0))="","",INDEX(Firms!$O$5:$O$504,MATCH(51,Firms!$R$5:$R$504,0))),"")</f>
        <v/>
      </c>
      <c r="D55" s="58">
        <f>IFERROR(INDEX(Firms!$P$5:$P$504,MATCH(51,Firms!$R$5:$R$504,0))&amp;"","")</f>
        <v/>
      </c>
      <c r="E55" s="58">
        <f>IFERROR(INDEX(Firms!$C$5:$C$504,MATCH(51,Firms!$R$5:$R$504,0))&amp;"","")</f>
        <v/>
      </c>
      <c r="F55" s="57">
        <f>IFERROR(INDEX(Firms!$L$5:$L$504,MATCH(51,Firms!$R$5:$R$504,0))&amp;"","")</f>
        <v/>
      </c>
      <c r="G55" s="57">
        <f>IFERROR(INDEX(Firms!$M$5:$M$504,MATCH(51,Firms!$R$5:$R$504,0))&amp;"","")</f>
        <v/>
      </c>
      <c r="H55" s="58">
        <f>IFERROR(INDEX(Firms!$Q$5:$Q$504,MATCH(51,Firms!$R$5:$R$504,0))&amp;"","")</f>
        <v/>
      </c>
    </row>
    <row r="56">
      <c r="A56" s="57">
        <f>IF(B56="","",52)</f>
        <v/>
      </c>
      <c r="B56" s="58">
        <f>IFERROR(INDEX(Firms!$A$5:$A$504,MATCH(52,Firms!$R$5:$R$504,0))&amp;"","")</f>
        <v/>
      </c>
      <c r="C56" s="59">
        <f>IFERROR(IF(INDEX(Firms!$O$5:$O$504,MATCH(52,Firms!$R$5:$R$504,0))="","",INDEX(Firms!$O$5:$O$504,MATCH(52,Firms!$R$5:$R$504,0))),"")</f>
        <v/>
      </c>
      <c r="D56" s="58">
        <f>IFERROR(INDEX(Firms!$P$5:$P$504,MATCH(52,Firms!$R$5:$R$504,0))&amp;"","")</f>
        <v/>
      </c>
      <c r="E56" s="58">
        <f>IFERROR(INDEX(Firms!$C$5:$C$504,MATCH(52,Firms!$R$5:$R$504,0))&amp;"","")</f>
        <v/>
      </c>
      <c r="F56" s="57">
        <f>IFERROR(INDEX(Firms!$L$5:$L$504,MATCH(52,Firms!$R$5:$R$504,0))&amp;"","")</f>
        <v/>
      </c>
      <c r="G56" s="57">
        <f>IFERROR(INDEX(Firms!$M$5:$M$504,MATCH(52,Firms!$R$5:$R$504,0))&amp;"","")</f>
        <v/>
      </c>
      <c r="H56" s="58">
        <f>IFERROR(INDEX(Firms!$Q$5:$Q$504,MATCH(52,Firms!$R$5:$R$504,0))&amp;"","")</f>
        <v/>
      </c>
    </row>
    <row r="57">
      <c r="A57" s="57">
        <f>IF(B57="","",53)</f>
        <v/>
      </c>
      <c r="B57" s="58">
        <f>IFERROR(INDEX(Firms!$A$5:$A$504,MATCH(53,Firms!$R$5:$R$504,0))&amp;"","")</f>
        <v/>
      </c>
      <c r="C57" s="59">
        <f>IFERROR(IF(INDEX(Firms!$O$5:$O$504,MATCH(53,Firms!$R$5:$R$504,0))="","",INDEX(Firms!$O$5:$O$504,MATCH(53,Firms!$R$5:$R$504,0))),"")</f>
        <v/>
      </c>
      <c r="D57" s="58">
        <f>IFERROR(INDEX(Firms!$P$5:$P$504,MATCH(53,Firms!$R$5:$R$504,0))&amp;"","")</f>
        <v/>
      </c>
      <c r="E57" s="58">
        <f>IFERROR(INDEX(Firms!$C$5:$C$504,MATCH(53,Firms!$R$5:$R$504,0))&amp;"","")</f>
        <v/>
      </c>
      <c r="F57" s="57">
        <f>IFERROR(INDEX(Firms!$L$5:$L$504,MATCH(53,Firms!$R$5:$R$504,0))&amp;"","")</f>
        <v/>
      </c>
      <c r="G57" s="57">
        <f>IFERROR(INDEX(Firms!$M$5:$M$504,MATCH(53,Firms!$R$5:$R$504,0))&amp;"","")</f>
        <v/>
      </c>
      <c r="H57" s="58">
        <f>IFERROR(INDEX(Firms!$Q$5:$Q$504,MATCH(53,Firms!$R$5:$R$504,0))&amp;"","")</f>
        <v/>
      </c>
    </row>
    <row r="58">
      <c r="A58" s="57">
        <f>IF(B58="","",54)</f>
        <v/>
      </c>
      <c r="B58" s="58">
        <f>IFERROR(INDEX(Firms!$A$5:$A$504,MATCH(54,Firms!$R$5:$R$504,0))&amp;"","")</f>
        <v/>
      </c>
      <c r="C58" s="59">
        <f>IFERROR(IF(INDEX(Firms!$O$5:$O$504,MATCH(54,Firms!$R$5:$R$504,0))="","",INDEX(Firms!$O$5:$O$504,MATCH(54,Firms!$R$5:$R$504,0))),"")</f>
        <v/>
      </c>
      <c r="D58" s="58">
        <f>IFERROR(INDEX(Firms!$P$5:$P$504,MATCH(54,Firms!$R$5:$R$504,0))&amp;"","")</f>
        <v/>
      </c>
      <c r="E58" s="58">
        <f>IFERROR(INDEX(Firms!$C$5:$C$504,MATCH(54,Firms!$R$5:$R$504,0))&amp;"","")</f>
        <v/>
      </c>
      <c r="F58" s="57">
        <f>IFERROR(INDEX(Firms!$L$5:$L$504,MATCH(54,Firms!$R$5:$R$504,0))&amp;"","")</f>
        <v/>
      </c>
      <c r="G58" s="57">
        <f>IFERROR(INDEX(Firms!$M$5:$M$504,MATCH(54,Firms!$R$5:$R$504,0))&amp;"","")</f>
        <v/>
      </c>
      <c r="H58" s="58">
        <f>IFERROR(INDEX(Firms!$Q$5:$Q$504,MATCH(54,Firms!$R$5:$R$504,0))&amp;"","")</f>
        <v/>
      </c>
    </row>
    <row r="59">
      <c r="A59" s="57">
        <f>IF(B59="","",55)</f>
        <v/>
      </c>
      <c r="B59" s="58">
        <f>IFERROR(INDEX(Firms!$A$5:$A$504,MATCH(55,Firms!$R$5:$R$504,0))&amp;"","")</f>
        <v/>
      </c>
      <c r="C59" s="59">
        <f>IFERROR(IF(INDEX(Firms!$O$5:$O$504,MATCH(55,Firms!$R$5:$R$504,0))="","",INDEX(Firms!$O$5:$O$504,MATCH(55,Firms!$R$5:$R$504,0))),"")</f>
        <v/>
      </c>
      <c r="D59" s="58">
        <f>IFERROR(INDEX(Firms!$P$5:$P$504,MATCH(55,Firms!$R$5:$R$504,0))&amp;"","")</f>
        <v/>
      </c>
      <c r="E59" s="58">
        <f>IFERROR(INDEX(Firms!$C$5:$C$504,MATCH(55,Firms!$R$5:$R$504,0))&amp;"","")</f>
        <v/>
      </c>
      <c r="F59" s="57">
        <f>IFERROR(INDEX(Firms!$L$5:$L$504,MATCH(55,Firms!$R$5:$R$504,0))&amp;"","")</f>
        <v/>
      </c>
      <c r="G59" s="57">
        <f>IFERROR(INDEX(Firms!$M$5:$M$504,MATCH(55,Firms!$R$5:$R$504,0))&amp;"","")</f>
        <v/>
      </c>
      <c r="H59" s="58">
        <f>IFERROR(INDEX(Firms!$Q$5:$Q$504,MATCH(55,Firms!$R$5:$R$504,0))&amp;"","")</f>
        <v/>
      </c>
    </row>
    <row r="60">
      <c r="A60" s="57">
        <f>IF(B60="","",56)</f>
        <v/>
      </c>
      <c r="B60" s="58">
        <f>IFERROR(INDEX(Firms!$A$5:$A$504,MATCH(56,Firms!$R$5:$R$504,0))&amp;"","")</f>
        <v/>
      </c>
      <c r="C60" s="59">
        <f>IFERROR(IF(INDEX(Firms!$O$5:$O$504,MATCH(56,Firms!$R$5:$R$504,0))="","",INDEX(Firms!$O$5:$O$504,MATCH(56,Firms!$R$5:$R$504,0))),"")</f>
        <v/>
      </c>
      <c r="D60" s="58">
        <f>IFERROR(INDEX(Firms!$P$5:$P$504,MATCH(56,Firms!$R$5:$R$504,0))&amp;"","")</f>
        <v/>
      </c>
      <c r="E60" s="58">
        <f>IFERROR(INDEX(Firms!$C$5:$C$504,MATCH(56,Firms!$R$5:$R$504,0))&amp;"","")</f>
        <v/>
      </c>
      <c r="F60" s="57">
        <f>IFERROR(INDEX(Firms!$L$5:$L$504,MATCH(56,Firms!$R$5:$R$504,0))&amp;"","")</f>
        <v/>
      </c>
      <c r="G60" s="57">
        <f>IFERROR(INDEX(Firms!$M$5:$M$504,MATCH(56,Firms!$R$5:$R$504,0))&amp;"","")</f>
        <v/>
      </c>
      <c r="H60" s="58">
        <f>IFERROR(INDEX(Firms!$Q$5:$Q$504,MATCH(56,Firms!$R$5:$R$504,0))&amp;"","")</f>
        <v/>
      </c>
    </row>
    <row r="61">
      <c r="A61" s="57">
        <f>IF(B61="","",57)</f>
        <v/>
      </c>
      <c r="B61" s="58">
        <f>IFERROR(INDEX(Firms!$A$5:$A$504,MATCH(57,Firms!$R$5:$R$504,0))&amp;"","")</f>
        <v/>
      </c>
      <c r="C61" s="59">
        <f>IFERROR(IF(INDEX(Firms!$O$5:$O$504,MATCH(57,Firms!$R$5:$R$504,0))="","",INDEX(Firms!$O$5:$O$504,MATCH(57,Firms!$R$5:$R$504,0))),"")</f>
        <v/>
      </c>
      <c r="D61" s="58">
        <f>IFERROR(INDEX(Firms!$P$5:$P$504,MATCH(57,Firms!$R$5:$R$504,0))&amp;"","")</f>
        <v/>
      </c>
      <c r="E61" s="58">
        <f>IFERROR(INDEX(Firms!$C$5:$C$504,MATCH(57,Firms!$R$5:$R$504,0))&amp;"","")</f>
        <v/>
      </c>
      <c r="F61" s="57">
        <f>IFERROR(INDEX(Firms!$L$5:$L$504,MATCH(57,Firms!$R$5:$R$504,0))&amp;"","")</f>
        <v/>
      </c>
      <c r="G61" s="57">
        <f>IFERROR(INDEX(Firms!$M$5:$M$504,MATCH(57,Firms!$R$5:$R$504,0))&amp;"","")</f>
        <v/>
      </c>
      <c r="H61" s="58">
        <f>IFERROR(INDEX(Firms!$Q$5:$Q$504,MATCH(57,Firms!$R$5:$R$504,0))&amp;"","")</f>
        <v/>
      </c>
    </row>
    <row r="62">
      <c r="A62" s="57">
        <f>IF(B62="","",58)</f>
        <v/>
      </c>
      <c r="B62" s="58">
        <f>IFERROR(INDEX(Firms!$A$5:$A$504,MATCH(58,Firms!$R$5:$R$504,0))&amp;"","")</f>
        <v/>
      </c>
      <c r="C62" s="59">
        <f>IFERROR(IF(INDEX(Firms!$O$5:$O$504,MATCH(58,Firms!$R$5:$R$504,0))="","",INDEX(Firms!$O$5:$O$504,MATCH(58,Firms!$R$5:$R$504,0))),"")</f>
        <v/>
      </c>
      <c r="D62" s="58">
        <f>IFERROR(INDEX(Firms!$P$5:$P$504,MATCH(58,Firms!$R$5:$R$504,0))&amp;"","")</f>
        <v/>
      </c>
      <c r="E62" s="58">
        <f>IFERROR(INDEX(Firms!$C$5:$C$504,MATCH(58,Firms!$R$5:$R$504,0))&amp;"","")</f>
        <v/>
      </c>
      <c r="F62" s="57">
        <f>IFERROR(INDEX(Firms!$L$5:$L$504,MATCH(58,Firms!$R$5:$R$504,0))&amp;"","")</f>
        <v/>
      </c>
      <c r="G62" s="57">
        <f>IFERROR(INDEX(Firms!$M$5:$M$504,MATCH(58,Firms!$R$5:$R$504,0))&amp;"","")</f>
        <v/>
      </c>
      <c r="H62" s="58">
        <f>IFERROR(INDEX(Firms!$Q$5:$Q$504,MATCH(58,Firms!$R$5:$R$504,0))&amp;"","")</f>
        <v/>
      </c>
    </row>
    <row r="63">
      <c r="A63" s="57">
        <f>IF(B63="","",59)</f>
        <v/>
      </c>
      <c r="B63" s="58">
        <f>IFERROR(INDEX(Firms!$A$5:$A$504,MATCH(59,Firms!$R$5:$R$504,0))&amp;"","")</f>
        <v/>
      </c>
      <c r="C63" s="59">
        <f>IFERROR(IF(INDEX(Firms!$O$5:$O$504,MATCH(59,Firms!$R$5:$R$504,0))="","",INDEX(Firms!$O$5:$O$504,MATCH(59,Firms!$R$5:$R$504,0))),"")</f>
        <v/>
      </c>
      <c r="D63" s="58">
        <f>IFERROR(INDEX(Firms!$P$5:$P$504,MATCH(59,Firms!$R$5:$R$504,0))&amp;"","")</f>
        <v/>
      </c>
      <c r="E63" s="58">
        <f>IFERROR(INDEX(Firms!$C$5:$C$504,MATCH(59,Firms!$R$5:$R$504,0))&amp;"","")</f>
        <v/>
      </c>
      <c r="F63" s="57">
        <f>IFERROR(INDEX(Firms!$L$5:$L$504,MATCH(59,Firms!$R$5:$R$504,0))&amp;"","")</f>
        <v/>
      </c>
      <c r="G63" s="57">
        <f>IFERROR(INDEX(Firms!$M$5:$M$504,MATCH(59,Firms!$R$5:$R$504,0))&amp;"","")</f>
        <v/>
      </c>
      <c r="H63" s="58">
        <f>IFERROR(INDEX(Firms!$Q$5:$Q$504,MATCH(59,Firms!$R$5:$R$504,0))&amp;"","")</f>
        <v/>
      </c>
    </row>
    <row r="64">
      <c r="A64" s="57">
        <f>IF(B64="","",60)</f>
        <v/>
      </c>
      <c r="B64" s="58">
        <f>IFERROR(INDEX(Firms!$A$5:$A$504,MATCH(60,Firms!$R$5:$R$504,0))&amp;"","")</f>
        <v/>
      </c>
      <c r="C64" s="59">
        <f>IFERROR(IF(INDEX(Firms!$O$5:$O$504,MATCH(60,Firms!$R$5:$R$504,0))="","",INDEX(Firms!$O$5:$O$504,MATCH(60,Firms!$R$5:$R$504,0))),"")</f>
        <v/>
      </c>
      <c r="D64" s="58">
        <f>IFERROR(INDEX(Firms!$P$5:$P$504,MATCH(60,Firms!$R$5:$R$504,0))&amp;"","")</f>
        <v/>
      </c>
      <c r="E64" s="58">
        <f>IFERROR(INDEX(Firms!$C$5:$C$504,MATCH(60,Firms!$R$5:$R$504,0))&amp;"","")</f>
        <v/>
      </c>
      <c r="F64" s="57">
        <f>IFERROR(INDEX(Firms!$L$5:$L$504,MATCH(60,Firms!$R$5:$R$504,0))&amp;"","")</f>
        <v/>
      </c>
      <c r="G64" s="57">
        <f>IFERROR(INDEX(Firms!$M$5:$M$504,MATCH(60,Firms!$R$5:$R$504,0))&amp;"","")</f>
        <v/>
      </c>
      <c r="H64" s="58">
        <f>IFERROR(INDEX(Firms!$Q$5:$Q$504,MATCH(60,Firms!$R$5:$R$504,0))&amp;"","")</f>
        <v/>
      </c>
    </row>
    <row r="65">
      <c r="A65" s="57">
        <f>IF(B65="","",61)</f>
        <v/>
      </c>
      <c r="B65" s="58">
        <f>IFERROR(INDEX(Firms!$A$5:$A$504,MATCH(61,Firms!$R$5:$R$504,0))&amp;"","")</f>
        <v/>
      </c>
      <c r="C65" s="59">
        <f>IFERROR(IF(INDEX(Firms!$O$5:$O$504,MATCH(61,Firms!$R$5:$R$504,0))="","",INDEX(Firms!$O$5:$O$504,MATCH(61,Firms!$R$5:$R$504,0))),"")</f>
        <v/>
      </c>
      <c r="D65" s="58">
        <f>IFERROR(INDEX(Firms!$P$5:$P$504,MATCH(61,Firms!$R$5:$R$504,0))&amp;"","")</f>
        <v/>
      </c>
      <c r="E65" s="58">
        <f>IFERROR(INDEX(Firms!$C$5:$C$504,MATCH(61,Firms!$R$5:$R$504,0))&amp;"","")</f>
        <v/>
      </c>
      <c r="F65" s="57">
        <f>IFERROR(INDEX(Firms!$L$5:$L$504,MATCH(61,Firms!$R$5:$R$504,0))&amp;"","")</f>
        <v/>
      </c>
      <c r="G65" s="57">
        <f>IFERROR(INDEX(Firms!$M$5:$M$504,MATCH(61,Firms!$R$5:$R$504,0))&amp;"","")</f>
        <v/>
      </c>
      <c r="H65" s="58">
        <f>IFERROR(INDEX(Firms!$Q$5:$Q$504,MATCH(61,Firms!$R$5:$R$504,0))&amp;"","")</f>
        <v/>
      </c>
    </row>
    <row r="66">
      <c r="A66" s="57">
        <f>IF(B66="","",62)</f>
        <v/>
      </c>
      <c r="B66" s="58">
        <f>IFERROR(INDEX(Firms!$A$5:$A$504,MATCH(62,Firms!$R$5:$R$504,0))&amp;"","")</f>
        <v/>
      </c>
      <c r="C66" s="59">
        <f>IFERROR(IF(INDEX(Firms!$O$5:$O$504,MATCH(62,Firms!$R$5:$R$504,0))="","",INDEX(Firms!$O$5:$O$504,MATCH(62,Firms!$R$5:$R$504,0))),"")</f>
        <v/>
      </c>
      <c r="D66" s="58">
        <f>IFERROR(INDEX(Firms!$P$5:$P$504,MATCH(62,Firms!$R$5:$R$504,0))&amp;"","")</f>
        <v/>
      </c>
      <c r="E66" s="58">
        <f>IFERROR(INDEX(Firms!$C$5:$C$504,MATCH(62,Firms!$R$5:$R$504,0))&amp;"","")</f>
        <v/>
      </c>
      <c r="F66" s="57">
        <f>IFERROR(INDEX(Firms!$L$5:$L$504,MATCH(62,Firms!$R$5:$R$504,0))&amp;"","")</f>
        <v/>
      </c>
      <c r="G66" s="57">
        <f>IFERROR(INDEX(Firms!$M$5:$M$504,MATCH(62,Firms!$R$5:$R$504,0))&amp;"","")</f>
        <v/>
      </c>
      <c r="H66" s="58">
        <f>IFERROR(INDEX(Firms!$Q$5:$Q$504,MATCH(62,Firms!$R$5:$R$504,0))&amp;"","")</f>
        <v/>
      </c>
    </row>
    <row r="67">
      <c r="A67" s="57">
        <f>IF(B67="","",63)</f>
        <v/>
      </c>
      <c r="B67" s="58">
        <f>IFERROR(INDEX(Firms!$A$5:$A$504,MATCH(63,Firms!$R$5:$R$504,0))&amp;"","")</f>
        <v/>
      </c>
      <c r="C67" s="59">
        <f>IFERROR(IF(INDEX(Firms!$O$5:$O$504,MATCH(63,Firms!$R$5:$R$504,0))="","",INDEX(Firms!$O$5:$O$504,MATCH(63,Firms!$R$5:$R$504,0))),"")</f>
        <v/>
      </c>
      <c r="D67" s="58">
        <f>IFERROR(INDEX(Firms!$P$5:$P$504,MATCH(63,Firms!$R$5:$R$504,0))&amp;"","")</f>
        <v/>
      </c>
      <c r="E67" s="58">
        <f>IFERROR(INDEX(Firms!$C$5:$C$504,MATCH(63,Firms!$R$5:$R$504,0))&amp;"","")</f>
        <v/>
      </c>
      <c r="F67" s="57">
        <f>IFERROR(INDEX(Firms!$L$5:$L$504,MATCH(63,Firms!$R$5:$R$504,0))&amp;"","")</f>
        <v/>
      </c>
      <c r="G67" s="57">
        <f>IFERROR(INDEX(Firms!$M$5:$M$504,MATCH(63,Firms!$R$5:$R$504,0))&amp;"","")</f>
        <v/>
      </c>
      <c r="H67" s="58">
        <f>IFERROR(INDEX(Firms!$Q$5:$Q$504,MATCH(63,Firms!$R$5:$R$504,0))&amp;"","")</f>
        <v/>
      </c>
    </row>
    <row r="68">
      <c r="A68" s="57">
        <f>IF(B68="","",64)</f>
        <v/>
      </c>
      <c r="B68" s="58">
        <f>IFERROR(INDEX(Firms!$A$5:$A$504,MATCH(64,Firms!$R$5:$R$504,0))&amp;"","")</f>
        <v/>
      </c>
      <c r="C68" s="59">
        <f>IFERROR(IF(INDEX(Firms!$O$5:$O$504,MATCH(64,Firms!$R$5:$R$504,0))="","",INDEX(Firms!$O$5:$O$504,MATCH(64,Firms!$R$5:$R$504,0))),"")</f>
        <v/>
      </c>
      <c r="D68" s="58">
        <f>IFERROR(INDEX(Firms!$P$5:$P$504,MATCH(64,Firms!$R$5:$R$504,0))&amp;"","")</f>
        <v/>
      </c>
      <c r="E68" s="58">
        <f>IFERROR(INDEX(Firms!$C$5:$C$504,MATCH(64,Firms!$R$5:$R$504,0))&amp;"","")</f>
        <v/>
      </c>
      <c r="F68" s="57">
        <f>IFERROR(INDEX(Firms!$L$5:$L$504,MATCH(64,Firms!$R$5:$R$504,0))&amp;"","")</f>
        <v/>
      </c>
      <c r="G68" s="57">
        <f>IFERROR(INDEX(Firms!$M$5:$M$504,MATCH(64,Firms!$R$5:$R$504,0))&amp;"","")</f>
        <v/>
      </c>
      <c r="H68" s="58">
        <f>IFERROR(INDEX(Firms!$Q$5:$Q$504,MATCH(64,Firms!$R$5:$R$504,0))&amp;"","")</f>
        <v/>
      </c>
    </row>
    <row r="69">
      <c r="A69" s="57">
        <f>IF(B69="","",65)</f>
        <v/>
      </c>
      <c r="B69" s="58">
        <f>IFERROR(INDEX(Firms!$A$5:$A$504,MATCH(65,Firms!$R$5:$R$504,0))&amp;"","")</f>
        <v/>
      </c>
      <c r="C69" s="59">
        <f>IFERROR(IF(INDEX(Firms!$O$5:$O$504,MATCH(65,Firms!$R$5:$R$504,0))="","",INDEX(Firms!$O$5:$O$504,MATCH(65,Firms!$R$5:$R$504,0))),"")</f>
        <v/>
      </c>
      <c r="D69" s="58">
        <f>IFERROR(INDEX(Firms!$P$5:$P$504,MATCH(65,Firms!$R$5:$R$504,0))&amp;"","")</f>
        <v/>
      </c>
      <c r="E69" s="58">
        <f>IFERROR(INDEX(Firms!$C$5:$C$504,MATCH(65,Firms!$R$5:$R$504,0))&amp;"","")</f>
        <v/>
      </c>
      <c r="F69" s="57">
        <f>IFERROR(INDEX(Firms!$L$5:$L$504,MATCH(65,Firms!$R$5:$R$504,0))&amp;"","")</f>
        <v/>
      </c>
      <c r="G69" s="57">
        <f>IFERROR(INDEX(Firms!$M$5:$M$504,MATCH(65,Firms!$R$5:$R$504,0))&amp;"","")</f>
        <v/>
      </c>
      <c r="H69" s="58">
        <f>IFERROR(INDEX(Firms!$Q$5:$Q$504,MATCH(65,Firms!$R$5:$R$504,0))&amp;"","")</f>
        <v/>
      </c>
    </row>
    <row r="70">
      <c r="A70" s="57">
        <f>IF(B70="","",66)</f>
        <v/>
      </c>
      <c r="B70" s="58">
        <f>IFERROR(INDEX(Firms!$A$5:$A$504,MATCH(66,Firms!$R$5:$R$504,0))&amp;"","")</f>
        <v/>
      </c>
      <c r="C70" s="59">
        <f>IFERROR(IF(INDEX(Firms!$O$5:$O$504,MATCH(66,Firms!$R$5:$R$504,0))="","",INDEX(Firms!$O$5:$O$504,MATCH(66,Firms!$R$5:$R$504,0))),"")</f>
        <v/>
      </c>
      <c r="D70" s="58">
        <f>IFERROR(INDEX(Firms!$P$5:$P$504,MATCH(66,Firms!$R$5:$R$504,0))&amp;"","")</f>
        <v/>
      </c>
      <c r="E70" s="58">
        <f>IFERROR(INDEX(Firms!$C$5:$C$504,MATCH(66,Firms!$R$5:$R$504,0))&amp;"","")</f>
        <v/>
      </c>
      <c r="F70" s="57">
        <f>IFERROR(INDEX(Firms!$L$5:$L$504,MATCH(66,Firms!$R$5:$R$504,0))&amp;"","")</f>
        <v/>
      </c>
      <c r="G70" s="57">
        <f>IFERROR(INDEX(Firms!$M$5:$M$504,MATCH(66,Firms!$R$5:$R$504,0))&amp;"","")</f>
        <v/>
      </c>
      <c r="H70" s="58">
        <f>IFERROR(INDEX(Firms!$Q$5:$Q$504,MATCH(66,Firms!$R$5:$R$504,0))&amp;"","")</f>
        <v/>
      </c>
    </row>
    <row r="71">
      <c r="A71" s="57">
        <f>IF(B71="","",67)</f>
        <v/>
      </c>
      <c r="B71" s="58">
        <f>IFERROR(INDEX(Firms!$A$5:$A$504,MATCH(67,Firms!$R$5:$R$504,0))&amp;"","")</f>
        <v/>
      </c>
      <c r="C71" s="59">
        <f>IFERROR(IF(INDEX(Firms!$O$5:$O$504,MATCH(67,Firms!$R$5:$R$504,0))="","",INDEX(Firms!$O$5:$O$504,MATCH(67,Firms!$R$5:$R$504,0))),"")</f>
        <v/>
      </c>
      <c r="D71" s="58">
        <f>IFERROR(INDEX(Firms!$P$5:$P$504,MATCH(67,Firms!$R$5:$R$504,0))&amp;"","")</f>
        <v/>
      </c>
      <c r="E71" s="58">
        <f>IFERROR(INDEX(Firms!$C$5:$C$504,MATCH(67,Firms!$R$5:$R$504,0))&amp;"","")</f>
        <v/>
      </c>
      <c r="F71" s="57">
        <f>IFERROR(INDEX(Firms!$L$5:$L$504,MATCH(67,Firms!$R$5:$R$504,0))&amp;"","")</f>
        <v/>
      </c>
      <c r="G71" s="57">
        <f>IFERROR(INDEX(Firms!$M$5:$M$504,MATCH(67,Firms!$R$5:$R$504,0))&amp;"","")</f>
        <v/>
      </c>
      <c r="H71" s="58">
        <f>IFERROR(INDEX(Firms!$Q$5:$Q$504,MATCH(67,Firms!$R$5:$R$504,0))&amp;"","")</f>
        <v/>
      </c>
    </row>
    <row r="72">
      <c r="A72" s="57">
        <f>IF(B72="","",68)</f>
        <v/>
      </c>
      <c r="B72" s="58">
        <f>IFERROR(INDEX(Firms!$A$5:$A$504,MATCH(68,Firms!$R$5:$R$504,0))&amp;"","")</f>
        <v/>
      </c>
      <c r="C72" s="59">
        <f>IFERROR(IF(INDEX(Firms!$O$5:$O$504,MATCH(68,Firms!$R$5:$R$504,0))="","",INDEX(Firms!$O$5:$O$504,MATCH(68,Firms!$R$5:$R$504,0))),"")</f>
        <v/>
      </c>
      <c r="D72" s="58">
        <f>IFERROR(INDEX(Firms!$P$5:$P$504,MATCH(68,Firms!$R$5:$R$504,0))&amp;"","")</f>
        <v/>
      </c>
      <c r="E72" s="58">
        <f>IFERROR(INDEX(Firms!$C$5:$C$504,MATCH(68,Firms!$R$5:$R$504,0))&amp;"","")</f>
        <v/>
      </c>
      <c r="F72" s="57">
        <f>IFERROR(INDEX(Firms!$L$5:$L$504,MATCH(68,Firms!$R$5:$R$504,0))&amp;"","")</f>
        <v/>
      </c>
      <c r="G72" s="57">
        <f>IFERROR(INDEX(Firms!$M$5:$M$504,MATCH(68,Firms!$R$5:$R$504,0))&amp;"","")</f>
        <v/>
      </c>
      <c r="H72" s="58">
        <f>IFERROR(INDEX(Firms!$Q$5:$Q$504,MATCH(68,Firms!$R$5:$R$504,0))&amp;"","")</f>
        <v/>
      </c>
    </row>
    <row r="73">
      <c r="A73" s="57">
        <f>IF(B73="","",69)</f>
        <v/>
      </c>
      <c r="B73" s="58">
        <f>IFERROR(INDEX(Firms!$A$5:$A$504,MATCH(69,Firms!$R$5:$R$504,0))&amp;"","")</f>
        <v/>
      </c>
      <c r="C73" s="59">
        <f>IFERROR(IF(INDEX(Firms!$O$5:$O$504,MATCH(69,Firms!$R$5:$R$504,0))="","",INDEX(Firms!$O$5:$O$504,MATCH(69,Firms!$R$5:$R$504,0))),"")</f>
        <v/>
      </c>
      <c r="D73" s="58">
        <f>IFERROR(INDEX(Firms!$P$5:$P$504,MATCH(69,Firms!$R$5:$R$504,0))&amp;"","")</f>
        <v/>
      </c>
      <c r="E73" s="58">
        <f>IFERROR(INDEX(Firms!$C$5:$C$504,MATCH(69,Firms!$R$5:$R$504,0))&amp;"","")</f>
        <v/>
      </c>
      <c r="F73" s="57">
        <f>IFERROR(INDEX(Firms!$L$5:$L$504,MATCH(69,Firms!$R$5:$R$504,0))&amp;"","")</f>
        <v/>
      </c>
      <c r="G73" s="57">
        <f>IFERROR(INDEX(Firms!$M$5:$M$504,MATCH(69,Firms!$R$5:$R$504,0))&amp;"","")</f>
        <v/>
      </c>
      <c r="H73" s="58">
        <f>IFERROR(INDEX(Firms!$Q$5:$Q$504,MATCH(69,Firms!$R$5:$R$504,0))&amp;"","")</f>
        <v/>
      </c>
    </row>
    <row r="74">
      <c r="A74" s="57">
        <f>IF(B74="","",70)</f>
        <v/>
      </c>
      <c r="B74" s="58">
        <f>IFERROR(INDEX(Firms!$A$5:$A$504,MATCH(70,Firms!$R$5:$R$504,0))&amp;"","")</f>
        <v/>
      </c>
      <c r="C74" s="59">
        <f>IFERROR(IF(INDEX(Firms!$O$5:$O$504,MATCH(70,Firms!$R$5:$R$504,0))="","",INDEX(Firms!$O$5:$O$504,MATCH(70,Firms!$R$5:$R$504,0))),"")</f>
        <v/>
      </c>
      <c r="D74" s="58">
        <f>IFERROR(INDEX(Firms!$P$5:$P$504,MATCH(70,Firms!$R$5:$R$504,0))&amp;"","")</f>
        <v/>
      </c>
      <c r="E74" s="58">
        <f>IFERROR(INDEX(Firms!$C$5:$C$504,MATCH(70,Firms!$R$5:$R$504,0))&amp;"","")</f>
        <v/>
      </c>
      <c r="F74" s="57">
        <f>IFERROR(INDEX(Firms!$L$5:$L$504,MATCH(70,Firms!$R$5:$R$504,0))&amp;"","")</f>
        <v/>
      </c>
      <c r="G74" s="57">
        <f>IFERROR(INDEX(Firms!$M$5:$M$504,MATCH(70,Firms!$R$5:$R$504,0))&amp;"","")</f>
        <v/>
      </c>
      <c r="H74" s="58">
        <f>IFERROR(INDEX(Firms!$Q$5:$Q$504,MATCH(70,Firms!$R$5:$R$504,0))&amp;"","")</f>
        <v/>
      </c>
    </row>
    <row r="75">
      <c r="A75" s="57">
        <f>IF(B75="","",71)</f>
        <v/>
      </c>
      <c r="B75" s="58">
        <f>IFERROR(INDEX(Firms!$A$5:$A$504,MATCH(71,Firms!$R$5:$R$504,0))&amp;"","")</f>
        <v/>
      </c>
      <c r="C75" s="59">
        <f>IFERROR(IF(INDEX(Firms!$O$5:$O$504,MATCH(71,Firms!$R$5:$R$504,0))="","",INDEX(Firms!$O$5:$O$504,MATCH(71,Firms!$R$5:$R$504,0))),"")</f>
        <v/>
      </c>
      <c r="D75" s="58">
        <f>IFERROR(INDEX(Firms!$P$5:$P$504,MATCH(71,Firms!$R$5:$R$504,0))&amp;"","")</f>
        <v/>
      </c>
      <c r="E75" s="58">
        <f>IFERROR(INDEX(Firms!$C$5:$C$504,MATCH(71,Firms!$R$5:$R$504,0))&amp;"","")</f>
        <v/>
      </c>
      <c r="F75" s="57">
        <f>IFERROR(INDEX(Firms!$L$5:$L$504,MATCH(71,Firms!$R$5:$R$504,0))&amp;"","")</f>
        <v/>
      </c>
      <c r="G75" s="57">
        <f>IFERROR(INDEX(Firms!$M$5:$M$504,MATCH(71,Firms!$R$5:$R$504,0))&amp;"","")</f>
        <v/>
      </c>
      <c r="H75" s="58">
        <f>IFERROR(INDEX(Firms!$Q$5:$Q$504,MATCH(71,Firms!$R$5:$R$504,0))&amp;"","")</f>
        <v/>
      </c>
    </row>
    <row r="76">
      <c r="A76" s="57">
        <f>IF(B76="","",72)</f>
        <v/>
      </c>
      <c r="B76" s="58">
        <f>IFERROR(INDEX(Firms!$A$5:$A$504,MATCH(72,Firms!$R$5:$R$504,0))&amp;"","")</f>
        <v/>
      </c>
      <c r="C76" s="59">
        <f>IFERROR(IF(INDEX(Firms!$O$5:$O$504,MATCH(72,Firms!$R$5:$R$504,0))="","",INDEX(Firms!$O$5:$O$504,MATCH(72,Firms!$R$5:$R$504,0))),"")</f>
        <v/>
      </c>
      <c r="D76" s="58">
        <f>IFERROR(INDEX(Firms!$P$5:$P$504,MATCH(72,Firms!$R$5:$R$504,0))&amp;"","")</f>
        <v/>
      </c>
      <c r="E76" s="58">
        <f>IFERROR(INDEX(Firms!$C$5:$C$504,MATCH(72,Firms!$R$5:$R$504,0))&amp;"","")</f>
        <v/>
      </c>
      <c r="F76" s="57">
        <f>IFERROR(INDEX(Firms!$L$5:$L$504,MATCH(72,Firms!$R$5:$R$504,0))&amp;"","")</f>
        <v/>
      </c>
      <c r="G76" s="57">
        <f>IFERROR(INDEX(Firms!$M$5:$M$504,MATCH(72,Firms!$R$5:$R$504,0))&amp;"","")</f>
        <v/>
      </c>
      <c r="H76" s="58">
        <f>IFERROR(INDEX(Firms!$Q$5:$Q$504,MATCH(72,Firms!$R$5:$R$504,0))&amp;"","")</f>
        <v/>
      </c>
    </row>
    <row r="77">
      <c r="A77" s="57">
        <f>IF(B77="","",73)</f>
        <v/>
      </c>
      <c r="B77" s="58">
        <f>IFERROR(INDEX(Firms!$A$5:$A$504,MATCH(73,Firms!$R$5:$R$504,0))&amp;"","")</f>
        <v/>
      </c>
      <c r="C77" s="59">
        <f>IFERROR(IF(INDEX(Firms!$O$5:$O$504,MATCH(73,Firms!$R$5:$R$504,0))="","",INDEX(Firms!$O$5:$O$504,MATCH(73,Firms!$R$5:$R$504,0))),"")</f>
        <v/>
      </c>
      <c r="D77" s="58">
        <f>IFERROR(INDEX(Firms!$P$5:$P$504,MATCH(73,Firms!$R$5:$R$504,0))&amp;"","")</f>
        <v/>
      </c>
      <c r="E77" s="58">
        <f>IFERROR(INDEX(Firms!$C$5:$C$504,MATCH(73,Firms!$R$5:$R$504,0))&amp;"","")</f>
        <v/>
      </c>
      <c r="F77" s="57">
        <f>IFERROR(INDEX(Firms!$L$5:$L$504,MATCH(73,Firms!$R$5:$R$504,0))&amp;"","")</f>
        <v/>
      </c>
      <c r="G77" s="57">
        <f>IFERROR(INDEX(Firms!$M$5:$M$504,MATCH(73,Firms!$R$5:$R$504,0))&amp;"","")</f>
        <v/>
      </c>
      <c r="H77" s="58">
        <f>IFERROR(INDEX(Firms!$Q$5:$Q$504,MATCH(73,Firms!$R$5:$R$504,0))&amp;"","")</f>
        <v/>
      </c>
    </row>
    <row r="78">
      <c r="A78" s="57">
        <f>IF(B78="","",74)</f>
        <v/>
      </c>
      <c r="B78" s="58">
        <f>IFERROR(INDEX(Firms!$A$5:$A$504,MATCH(74,Firms!$R$5:$R$504,0))&amp;"","")</f>
        <v/>
      </c>
      <c r="C78" s="59">
        <f>IFERROR(IF(INDEX(Firms!$O$5:$O$504,MATCH(74,Firms!$R$5:$R$504,0))="","",INDEX(Firms!$O$5:$O$504,MATCH(74,Firms!$R$5:$R$504,0))),"")</f>
        <v/>
      </c>
      <c r="D78" s="58">
        <f>IFERROR(INDEX(Firms!$P$5:$P$504,MATCH(74,Firms!$R$5:$R$504,0))&amp;"","")</f>
        <v/>
      </c>
      <c r="E78" s="58">
        <f>IFERROR(INDEX(Firms!$C$5:$C$504,MATCH(74,Firms!$R$5:$R$504,0))&amp;"","")</f>
        <v/>
      </c>
      <c r="F78" s="57">
        <f>IFERROR(INDEX(Firms!$L$5:$L$504,MATCH(74,Firms!$R$5:$R$504,0))&amp;"","")</f>
        <v/>
      </c>
      <c r="G78" s="57">
        <f>IFERROR(INDEX(Firms!$M$5:$M$504,MATCH(74,Firms!$R$5:$R$504,0))&amp;"","")</f>
        <v/>
      </c>
      <c r="H78" s="58">
        <f>IFERROR(INDEX(Firms!$Q$5:$Q$504,MATCH(74,Firms!$R$5:$R$504,0))&amp;"","")</f>
        <v/>
      </c>
    </row>
    <row r="79">
      <c r="A79" s="57">
        <f>IF(B79="","",75)</f>
        <v/>
      </c>
      <c r="B79" s="58">
        <f>IFERROR(INDEX(Firms!$A$5:$A$504,MATCH(75,Firms!$R$5:$R$504,0))&amp;"","")</f>
        <v/>
      </c>
      <c r="C79" s="59">
        <f>IFERROR(IF(INDEX(Firms!$O$5:$O$504,MATCH(75,Firms!$R$5:$R$504,0))="","",INDEX(Firms!$O$5:$O$504,MATCH(75,Firms!$R$5:$R$504,0))),"")</f>
        <v/>
      </c>
      <c r="D79" s="58">
        <f>IFERROR(INDEX(Firms!$P$5:$P$504,MATCH(75,Firms!$R$5:$R$504,0))&amp;"","")</f>
        <v/>
      </c>
      <c r="E79" s="58">
        <f>IFERROR(INDEX(Firms!$C$5:$C$504,MATCH(75,Firms!$R$5:$R$504,0))&amp;"","")</f>
        <v/>
      </c>
      <c r="F79" s="57">
        <f>IFERROR(INDEX(Firms!$L$5:$L$504,MATCH(75,Firms!$R$5:$R$504,0))&amp;"","")</f>
        <v/>
      </c>
      <c r="G79" s="57">
        <f>IFERROR(INDEX(Firms!$M$5:$M$504,MATCH(75,Firms!$R$5:$R$504,0))&amp;"","")</f>
        <v/>
      </c>
      <c r="H79" s="58">
        <f>IFERROR(INDEX(Firms!$Q$5:$Q$504,MATCH(75,Firms!$R$5:$R$504,0))&amp;"","")</f>
        <v/>
      </c>
    </row>
    <row r="80">
      <c r="A80" s="57">
        <f>IF(B80="","",76)</f>
        <v/>
      </c>
      <c r="B80" s="58">
        <f>IFERROR(INDEX(Firms!$A$5:$A$504,MATCH(76,Firms!$R$5:$R$504,0))&amp;"","")</f>
        <v/>
      </c>
      <c r="C80" s="59">
        <f>IFERROR(IF(INDEX(Firms!$O$5:$O$504,MATCH(76,Firms!$R$5:$R$504,0))="","",INDEX(Firms!$O$5:$O$504,MATCH(76,Firms!$R$5:$R$504,0))),"")</f>
        <v/>
      </c>
      <c r="D80" s="58">
        <f>IFERROR(INDEX(Firms!$P$5:$P$504,MATCH(76,Firms!$R$5:$R$504,0))&amp;"","")</f>
        <v/>
      </c>
      <c r="E80" s="58">
        <f>IFERROR(INDEX(Firms!$C$5:$C$504,MATCH(76,Firms!$R$5:$R$504,0))&amp;"","")</f>
        <v/>
      </c>
      <c r="F80" s="57">
        <f>IFERROR(INDEX(Firms!$L$5:$L$504,MATCH(76,Firms!$R$5:$R$504,0))&amp;"","")</f>
        <v/>
      </c>
      <c r="G80" s="57">
        <f>IFERROR(INDEX(Firms!$M$5:$M$504,MATCH(76,Firms!$R$5:$R$504,0))&amp;"","")</f>
        <v/>
      </c>
      <c r="H80" s="58">
        <f>IFERROR(INDEX(Firms!$Q$5:$Q$504,MATCH(76,Firms!$R$5:$R$504,0))&amp;"","")</f>
        <v/>
      </c>
    </row>
    <row r="81">
      <c r="A81" s="57">
        <f>IF(B81="","",77)</f>
        <v/>
      </c>
      <c r="B81" s="58">
        <f>IFERROR(INDEX(Firms!$A$5:$A$504,MATCH(77,Firms!$R$5:$R$504,0))&amp;"","")</f>
        <v/>
      </c>
      <c r="C81" s="59">
        <f>IFERROR(IF(INDEX(Firms!$O$5:$O$504,MATCH(77,Firms!$R$5:$R$504,0))="","",INDEX(Firms!$O$5:$O$504,MATCH(77,Firms!$R$5:$R$504,0))),"")</f>
        <v/>
      </c>
      <c r="D81" s="58">
        <f>IFERROR(INDEX(Firms!$P$5:$P$504,MATCH(77,Firms!$R$5:$R$504,0))&amp;"","")</f>
        <v/>
      </c>
      <c r="E81" s="58">
        <f>IFERROR(INDEX(Firms!$C$5:$C$504,MATCH(77,Firms!$R$5:$R$504,0))&amp;"","")</f>
        <v/>
      </c>
      <c r="F81" s="57">
        <f>IFERROR(INDEX(Firms!$L$5:$L$504,MATCH(77,Firms!$R$5:$R$504,0))&amp;"","")</f>
        <v/>
      </c>
      <c r="G81" s="57">
        <f>IFERROR(INDEX(Firms!$M$5:$M$504,MATCH(77,Firms!$R$5:$R$504,0))&amp;"","")</f>
        <v/>
      </c>
      <c r="H81" s="58">
        <f>IFERROR(INDEX(Firms!$Q$5:$Q$504,MATCH(77,Firms!$R$5:$R$504,0))&amp;"","")</f>
        <v/>
      </c>
    </row>
    <row r="82">
      <c r="A82" s="57">
        <f>IF(B82="","",78)</f>
        <v/>
      </c>
      <c r="B82" s="58">
        <f>IFERROR(INDEX(Firms!$A$5:$A$504,MATCH(78,Firms!$R$5:$R$504,0))&amp;"","")</f>
        <v/>
      </c>
      <c r="C82" s="59">
        <f>IFERROR(IF(INDEX(Firms!$O$5:$O$504,MATCH(78,Firms!$R$5:$R$504,0))="","",INDEX(Firms!$O$5:$O$504,MATCH(78,Firms!$R$5:$R$504,0))),"")</f>
        <v/>
      </c>
      <c r="D82" s="58">
        <f>IFERROR(INDEX(Firms!$P$5:$P$504,MATCH(78,Firms!$R$5:$R$504,0))&amp;"","")</f>
        <v/>
      </c>
      <c r="E82" s="58">
        <f>IFERROR(INDEX(Firms!$C$5:$C$504,MATCH(78,Firms!$R$5:$R$504,0))&amp;"","")</f>
        <v/>
      </c>
      <c r="F82" s="57">
        <f>IFERROR(INDEX(Firms!$L$5:$L$504,MATCH(78,Firms!$R$5:$R$504,0))&amp;"","")</f>
        <v/>
      </c>
      <c r="G82" s="57">
        <f>IFERROR(INDEX(Firms!$M$5:$M$504,MATCH(78,Firms!$R$5:$R$504,0))&amp;"","")</f>
        <v/>
      </c>
      <c r="H82" s="58">
        <f>IFERROR(INDEX(Firms!$Q$5:$Q$504,MATCH(78,Firms!$R$5:$R$504,0))&amp;"","")</f>
        <v/>
      </c>
    </row>
    <row r="83">
      <c r="A83" s="57">
        <f>IF(B83="","",79)</f>
        <v/>
      </c>
      <c r="B83" s="58">
        <f>IFERROR(INDEX(Firms!$A$5:$A$504,MATCH(79,Firms!$R$5:$R$504,0))&amp;"","")</f>
        <v/>
      </c>
      <c r="C83" s="59">
        <f>IFERROR(IF(INDEX(Firms!$O$5:$O$504,MATCH(79,Firms!$R$5:$R$504,0))="","",INDEX(Firms!$O$5:$O$504,MATCH(79,Firms!$R$5:$R$504,0))),"")</f>
        <v/>
      </c>
      <c r="D83" s="58">
        <f>IFERROR(INDEX(Firms!$P$5:$P$504,MATCH(79,Firms!$R$5:$R$504,0))&amp;"","")</f>
        <v/>
      </c>
      <c r="E83" s="58">
        <f>IFERROR(INDEX(Firms!$C$5:$C$504,MATCH(79,Firms!$R$5:$R$504,0))&amp;"","")</f>
        <v/>
      </c>
      <c r="F83" s="57">
        <f>IFERROR(INDEX(Firms!$L$5:$L$504,MATCH(79,Firms!$R$5:$R$504,0))&amp;"","")</f>
        <v/>
      </c>
      <c r="G83" s="57">
        <f>IFERROR(INDEX(Firms!$M$5:$M$504,MATCH(79,Firms!$R$5:$R$504,0))&amp;"","")</f>
        <v/>
      </c>
      <c r="H83" s="58">
        <f>IFERROR(INDEX(Firms!$Q$5:$Q$504,MATCH(79,Firms!$R$5:$R$504,0))&amp;"","")</f>
        <v/>
      </c>
    </row>
    <row r="84">
      <c r="A84" s="57">
        <f>IF(B84="","",80)</f>
        <v/>
      </c>
      <c r="B84" s="58">
        <f>IFERROR(INDEX(Firms!$A$5:$A$504,MATCH(80,Firms!$R$5:$R$504,0))&amp;"","")</f>
        <v/>
      </c>
      <c r="C84" s="59">
        <f>IFERROR(IF(INDEX(Firms!$O$5:$O$504,MATCH(80,Firms!$R$5:$R$504,0))="","",INDEX(Firms!$O$5:$O$504,MATCH(80,Firms!$R$5:$R$504,0))),"")</f>
        <v/>
      </c>
      <c r="D84" s="58">
        <f>IFERROR(INDEX(Firms!$P$5:$P$504,MATCH(80,Firms!$R$5:$R$504,0))&amp;"","")</f>
        <v/>
      </c>
      <c r="E84" s="58">
        <f>IFERROR(INDEX(Firms!$C$5:$C$504,MATCH(80,Firms!$R$5:$R$504,0))&amp;"","")</f>
        <v/>
      </c>
      <c r="F84" s="57">
        <f>IFERROR(INDEX(Firms!$L$5:$L$504,MATCH(80,Firms!$R$5:$R$504,0))&amp;"","")</f>
        <v/>
      </c>
      <c r="G84" s="57">
        <f>IFERROR(INDEX(Firms!$M$5:$M$504,MATCH(80,Firms!$R$5:$R$504,0))&amp;"","")</f>
        <v/>
      </c>
      <c r="H84" s="58">
        <f>IFERROR(INDEX(Firms!$Q$5:$Q$504,MATCH(80,Firms!$R$5:$R$504,0))&amp;"","")</f>
        <v/>
      </c>
    </row>
    <row r="85">
      <c r="A85" s="57">
        <f>IF(B85="","",81)</f>
        <v/>
      </c>
      <c r="B85" s="58">
        <f>IFERROR(INDEX(Firms!$A$5:$A$504,MATCH(81,Firms!$R$5:$R$504,0))&amp;"","")</f>
        <v/>
      </c>
      <c r="C85" s="59">
        <f>IFERROR(IF(INDEX(Firms!$O$5:$O$504,MATCH(81,Firms!$R$5:$R$504,0))="","",INDEX(Firms!$O$5:$O$504,MATCH(81,Firms!$R$5:$R$504,0))),"")</f>
        <v/>
      </c>
      <c r="D85" s="58">
        <f>IFERROR(INDEX(Firms!$P$5:$P$504,MATCH(81,Firms!$R$5:$R$504,0))&amp;"","")</f>
        <v/>
      </c>
      <c r="E85" s="58">
        <f>IFERROR(INDEX(Firms!$C$5:$C$504,MATCH(81,Firms!$R$5:$R$504,0))&amp;"","")</f>
        <v/>
      </c>
      <c r="F85" s="57">
        <f>IFERROR(INDEX(Firms!$L$5:$L$504,MATCH(81,Firms!$R$5:$R$504,0))&amp;"","")</f>
        <v/>
      </c>
      <c r="G85" s="57">
        <f>IFERROR(INDEX(Firms!$M$5:$M$504,MATCH(81,Firms!$R$5:$R$504,0))&amp;"","")</f>
        <v/>
      </c>
      <c r="H85" s="58">
        <f>IFERROR(INDEX(Firms!$Q$5:$Q$504,MATCH(81,Firms!$R$5:$R$504,0))&amp;"","")</f>
        <v/>
      </c>
    </row>
    <row r="86">
      <c r="A86" s="57">
        <f>IF(B86="","",82)</f>
        <v/>
      </c>
      <c r="B86" s="58">
        <f>IFERROR(INDEX(Firms!$A$5:$A$504,MATCH(82,Firms!$R$5:$R$504,0))&amp;"","")</f>
        <v/>
      </c>
      <c r="C86" s="59">
        <f>IFERROR(IF(INDEX(Firms!$O$5:$O$504,MATCH(82,Firms!$R$5:$R$504,0))="","",INDEX(Firms!$O$5:$O$504,MATCH(82,Firms!$R$5:$R$504,0))),"")</f>
        <v/>
      </c>
      <c r="D86" s="58">
        <f>IFERROR(INDEX(Firms!$P$5:$P$504,MATCH(82,Firms!$R$5:$R$504,0))&amp;"","")</f>
        <v/>
      </c>
      <c r="E86" s="58">
        <f>IFERROR(INDEX(Firms!$C$5:$C$504,MATCH(82,Firms!$R$5:$R$504,0))&amp;"","")</f>
        <v/>
      </c>
      <c r="F86" s="57">
        <f>IFERROR(INDEX(Firms!$L$5:$L$504,MATCH(82,Firms!$R$5:$R$504,0))&amp;"","")</f>
        <v/>
      </c>
      <c r="G86" s="57">
        <f>IFERROR(INDEX(Firms!$M$5:$M$504,MATCH(82,Firms!$R$5:$R$504,0))&amp;"","")</f>
        <v/>
      </c>
      <c r="H86" s="58">
        <f>IFERROR(INDEX(Firms!$Q$5:$Q$504,MATCH(82,Firms!$R$5:$R$504,0))&amp;"","")</f>
        <v/>
      </c>
    </row>
    <row r="87">
      <c r="A87" s="57">
        <f>IF(B87="","",83)</f>
        <v/>
      </c>
      <c r="B87" s="58">
        <f>IFERROR(INDEX(Firms!$A$5:$A$504,MATCH(83,Firms!$R$5:$R$504,0))&amp;"","")</f>
        <v/>
      </c>
      <c r="C87" s="59">
        <f>IFERROR(IF(INDEX(Firms!$O$5:$O$504,MATCH(83,Firms!$R$5:$R$504,0))="","",INDEX(Firms!$O$5:$O$504,MATCH(83,Firms!$R$5:$R$504,0))),"")</f>
        <v/>
      </c>
      <c r="D87" s="58">
        <f>IFERROR(INDEX(Firms!$P$5:$P$504,MATCH(83,Firms!$R$5:$R$504,0))&amp;"","")</f>
        <v/>
      </c>
      <c r="E87" s="58">
        <f>IFERROR(INDEX(Firms!$C$5:$C$504,MATCH(83,Firms!$R$5:$R$504,0))&amp;"","")</f>
        <v/>
      </c>
      <c r="F87" s="57">
        <f>IFERROR(INDEX(Firms!$L$5:$L$504,MATCH(83,Firms!$R$5:$R$504,0))&amp;"","")</f>
        <v/>
      </c>
      <c r="G87" s="57">
        <f>IFERROR(INDEX(Firms!$M$5:$M$504,MATCH(83,Firms!$R$5:$R$504,0))&amp;"","")</f>
        <v/>
      </c>
      <c r="H87" s="58">
        <f>IFERROR(INDEX(Firms!$Q$5:$Q$504,MATCH(83,Firms!$R$5:$R$504,0))&amp;"","")</f>
        <v/>
      </c>
    </row>
    <row r="88">
      <c r="A88" s="57">
        <f>IF(B88="","",84)</f>
        <v/>
      </c>
      <c r="B88" s="58">
        <f>IFERROR(INDEX(Firms!$A$5:$A$504,MATCH(84,Firms!$R$5:$R$504,0))&amp;"","")</f>
        <v/>
      </c>
      <c r="C88" s="59">
        <f>IFERROR(IF(INDEX(Firms!$O$5:$O$504,MATCH(84,Firms!$R$5:$R$504,0))="","",INDEX(Firms!$O$5:$O$504,MATCH(84,Firms!$R$5:$R$504,0))),"")</f>
        <v/>
      </c>
      <c r="D88" s="58">
        <f>IFERROR(INDEX(Firms!$P$5:$P$504,MATCH(84,Firms!$R$5:$R$504,0))&amp;"","")</f>
        <v/>
      </c>
      <c r="E88" s="58">
        <f>IFERROR(INDEX(Firms!$C$5:$C$504,MATCH(84,Firms!$R$5:$R$504,0))&amp;"","")</f>
        <v/>
      </c>
      <c r="F88" s="57">
        <f>IFERROR(INDEX(Firms!$L$5:$L$504,MATCH(84,Firms!$R$5:$R$504,0))&amp;"","")</f>
        <v/>
      </c>
      <c r="G88" s="57">
        <f>IFERROR(INDEX(Firms!$M$5:$M$504,MATCH(84,Firms!$R$5:$R$504,0))&amp;"","")</f>
        <v/>
      </c>
      <c r="H88" s="58">
        <f>IFERROR(INDEX(Firms!$Q$5:$Q$504,MATCH(84,Firms!$R$5:$R$504,0))&amp;"","")</f>
        <v/>
      </c>
    </row>
    <row r="89">
      <c r="A89" s="57">
        <f>IF(B89="","",85)</f>
        <v/>
      </c>
      <c r="B89" s="58">
        <f>IFERROR(INDEX(Firms!$A$5:$A$504,MATCH(85,Firms!$R$5:$R$504,0))&amp;"","")</f>
        <v/>
      </c>
      <c r="C89" s="59">
        <f>IFERROR(IF(INDEX(Firms!$O$5:$O$504,MATCH(85,Firms!$R$5:$R$504,0))="","",INDEX(Firms!$O$5:$O$504,MATCH(85,Firms!$R$5:$R$504,0))),"")</f>
        <v/>
      </c>
      <c r="D89" s="58">
        <f>IFERROR(INDEX(Firms!$P$5:$P$504,MATCH(85,Firms!$R$5:$R$504,0))&amp;"","")</f>
        <v/>
      </c>
      <c r="E89" s="58">
        <f>IFERROR(INDEX(Firms!$C$5:$C$504,MATCH(85,Firms!$R$5:$R$504,0))&amp;"","")</f>
        <v/>
      </c>
      <c r="F89" s="57">
        <f>IFERROR(INDEX(Firms!$L$5:$L$504,MATCH(85,Firms!$R$5:$R$504,0))&amp;"","")</f>
        <v/>
      </c>
      <c r="G89" s="57">
        <f>IFERROR(INDEX(Firms!$M$5:$M$504,MATCH(85,Firms!$R$5:$R$504,0))&amp;"","")</f>
        <v/>
      </c>
      <c r="H89" s="58">
        <f>IFERROR(INDEX(Firms!$Q$5:$Q$504,MATCH(85,Firms!$R$5:$R$504,0))&amp;"","")</f>
        <v/>
      </c>
    </row>
    <row r="90">
      <c r="A90" s="57">
        <f>IF(B90="","",86)</f>
        <v/>
      </c>
      <c r="B90" s="58">
        <f>IFERROR(INDEX(Firms!$A$5:$A$504,MATCH(86,Firms!$R$5:$R$504,0))&amp;"","")</f>
        <v/>
      </c>
      <c r="C90" s="59">
        <f>IFERROR(IF(INDEX(Firms!$O$5:$O$504,MATCH(86,Firms!$R$5:$R$504,0))="","",INDEX(Firms!$O$5:$O$504,MATCH(86,Firms!$R$5:$R$504,0))),"")</f>
        <v/>
      </c>
      <c r="D90" s="58">
        <f>IFERROR(INDEX(Firms!$P$5:$P$504,MATCH(86,Firms!$R$5:$R$504,0))&amp;"","")</f>
        <v/>
      </c>
      <c r="E90" s="58">
        <f>IFERROR(INDEX(Firms!$C$5:$C$504,MATCH(86,Firms!$R$5:$R$504,0))&amp;"","")</f>
        <v/>
      </c>
      <c r="F90" s="57">
        <f>IFERROR(INDEX(Firms!$L$5:$L$504,MATCH(86,Firms!$R$5:$R$504,0))&amp;"","")</f>
        <v/>
      </c>
      <c r="G90" s="57">
        <f>IFERROR(INDEX(Firms!$M$5:$M$504,MATCH(86,Firms!$R$5:$R$504,0))&amp;"","")</f>
        <v/>
      </c>
      <c r="H90" s="58">
        <f>IFERROR(INDEX(Firms!$Q$5:$Q$504,MATCH(86,Firms!$R$5:$R$504,0))&amp;"","")</f>
        <v/>
      </c>
    </row>
    <row r="91">
      <c r="A91" s="57">
        <f>IF(B91="","",87)</f>
        <v/>
      </c>
      <c r="B91" s="58">
        <f>IFERROR(INDEX(Firms!$A$5:$A$504,MATCH(87,Firms!$R$5:$R$504,0))&amp;"","")</f>
        <v/>
      </c>
      <c r="C91" s="59">
        <f>IFERROR(IF(INDEX(Firms!$O$5:$O$504,MATCH(87,Firms!$R$5:$R$504,0))="","",INDEX(Firms!$O$5:$O$504,MATCH(87,Firms!$R$5:$R$504,0))),"")</f>
        <v/>
      </c>
      <c r="D91" s="58">
        <f>IFERROR(INDEX(Firms!$P$5:$P$504,MATCH(87,Firms!$R$5:$R$504,0))&amp;"","")</f>
        <v/>
      </c>
      <c r="E91" s="58">
        <f>IFERROR(INDEX(Firms!$C$5:$C$504,MATCH(87,Firms!$R$5:$R$504,0))&amp;"","")</f>
        <v/>
      </c>
      <c r="F91" s="57">
        <f>IFERROR(INDEX(Firms!$L$5:$L$504,MATCH(87,Firms!$R$5:$R$504,0))&amp;"","")</f>
        <v/>
      </c>
      <c r="G91" s="57">
        <f>IFERROR(INDEX(Firms!$M$5:$M$504,MATCH(87,Firms!$R$5:$R$504,0))&amp;"","")</f>
        <v/>
      </c>
      <c r="H91" s="58">
        <f>IFERROR(INDEX(Firms!$Q$5:$Q$504,MATCH(87,Firms!$R$5:$R$504,0))&amp;"","")</f>
        <v/>
      </c>
    </row>
    <row r="92">
      <c r="A92" s="57">
        <f>IF(B92="","",88)</f>
        <v/>
      </c>
      <c r="B92" s="58">
        <f>IFERROR(INDEX(Firms!$A$5:$A$504,MATCH(88,Firms!$R$5:$R$504,0))&amp;"","")</f>
        <v/>
      </c>
      <c r="C92" s="59">
        <f>IFERROR(IF(INDEX(Firms!$O$5:$O$504,MATCH(88,Firms!$R$5:$R$504,0))="","",INDEX(Firms!$O$5:$O$504,MATCH(88,Firms!$R$5:$R$504,0))),"")</f>
        <v/>
      </c>
      <c r="D92" s="58">
        <f>IFERROR(INDEX(Firms!$P$5:$P$504,MATCH(88,Firms!$R$5:$R$504,0))&amp;"","")</f>
        <v/>
      </c>
      <c r="E92" s="58">
        <f>IFERROR(INDEX(Firms!$C$5:$C$504,MATCH(88,Firms!$R$5:$R$504,0))&amp;"","")</f>
        <v/>
      </c>
      <c r="F92" s="57">
        <f>IFERROR(INDEX(Firms!$L$5:$L$504,MATCH(88,Firms!$R$5:$R$504,0))&amp;"","")</f>
        <v/>
      </c>
      <c r="G92" s="57">
        <f>IFERROR(INDEX(Firms!$M$5:$M$504,MATCH(88,Firms!$R$5:$R$504,0))&amp;"","")</f>
        <v/>
      </c>
      <c r="H92" s="58">
        <f>IFERROR(INDEX(Firms!$Q$5:$Q$504,MATCH(88,Firms!$R$5:$R$504,0))&amp;"","")</f>
        <v/>
      </c>
    </row>
    <row r="93">
      <c r="A93" s="57">
        <f>IF(B93="","",89)</f>
        <v/>
      </c>
      <c r="B93" s="58">
        <f>IFERROR(INDEX(Firms!$A$5:$A$504,MATCH(89,Firms!$R$5:$R$504,0))&amp;"","")</f>
        <v/>
      </c>
      <c r="C93" s="59">
        <f>IFERROR(IF(INDEX(Firms!$O$5:$O$504,MATCH(89,Firms!$R$5:$R$504,0))="","",INDEX(Firms!$O$5:$O$504,MATCH(89,Firms!$R$5:$R$504,0))),"")</f>
        <v/>
      </c>
      <c r="D93" s="58">
        <f>IFERROR(INDEX(Firms!$P$5:$P$504,MATCH(89,Firms!$R$5:$R$504,0))&amp;"","")</f>
        <v/>
      </c>
      <c r="E93" s="58">
        <f>IFERROR(INDEX(Firms!$C$5:$C$504,MATCH(89,Firms!$R$5:$R$504,0))&amp;"","")</f>
        <v/>
      </c>
      <c r="F93" s="57">
        <f>IFERROR(INDEX(Firms!$L$5:$L$504,MATCH(89,Firms!$R$5:$R$504,0))&amp;"","")</f>
        <v/>
      </c>
      <c r="G93" s="57">
        <f>IFERROR(INDEX(Firms!$M$5:$M$504,MATCH(89,Firms!$R$5:$R$504,0))&amp;"","")</f>
        <v/>
      </c>
      <c r="H93" s="58">
        <f>IFERROR(INDEX(Firms!$Q$5:$Q$504,MATCH(89,Firms!$R$5:$R$504,0))&amp;"","")</f>
        <v/>
      </c>
    </row>
    <row r="94">
      <c r="A94" s="57">
        <f>IF(B94="","",90)</f>
        <v/>
      </c>
      <c r="B94" s="58">
        <f>IFERROR(INDEX(Firms!$A$5:$A$504,MATCH(90,Firms!$R$5:$R$504,0))&amp;"","")</f>
        <v/>
      </c>
      <c r="C94" s="59">
        <f>IFERROR(IF(INDEX(Firms!$O$5:$O$504,MATCH(90,Firms!$R$5:$R$504,0))="","",INDEX(Firms!$O$5:$O$504,MATCH(90,Firms!$R$5:$R$504,0))),"")</f>
        <v/>
      </c>
      <c r="D94" s="58">
        <f>IFERROR(INDEX(Firms!$P$5:$P$504,MATCH(90,Firms!$R$5:$R$504,0))&amp;"","")</f>
        <v/>
      </c>
      <c r="E94" s="58">
        <f>IFERROR(INDEX(Firms!$C$5:$C$504,MATCH(90,Firms!$R$5:$R$504,0))&amp;"","")</f>
        <v/>
      </c>
      <c r="F94" s="57">
        <f>IFERROR(INDEX(Firms!$L$5:$L$504,MATCH(90,Firms!$R$5:$R$504,0))&amp;"","")</f>
        <v/>
      </c>
      <c r="G94" s="57">
        <f>IFERROR(INDEX(Firms!$M$5:$M$504,MATCH(90,Firms!$R$5:$R$504,0))&amp;"","")</f>
        <v/>
      </c>
      <c r="H94" s="58">
        <f>IFERROR(INDEX(Firms!$Q$5:$Q$504,MATCH(90,Firms!$R$5:$R$504,0))&amp;"","")</f>
        <v/>
      </c>
    </row>
    <row r="95">
      <c r="A95" s="57">
        <f>IF(B95="","",91)</f>
        <v/>
      </c>
      <c r="B95" s="58">
        <f>IFERROR(INDEX(Firms!$A$5:$A$504,MATCH(91,Firms!$R$5:$R$504,0))&amp;"","")</f>
        <v/>
      </c>
      <c r="C95" s="59">
        <f>IFERROR(IF(INDEX(Firms!$O$5:$O$504,MATCH(91,Firms!$R$5:$R$504,0))="","",INDEX(Firms!$O$5:$O$504,MATCH(91,Firms!$R$5:$R$504,0))),"")</f>
        <v/>
      </c>
      <c r="D95" s="58">
        <f>IFERROR(INDEX(Firms!$P$5:$P$504,MATCH(91,Firms!$R$5:$R$504,0))&amp;"","")</f>
        <v/>
      </c>
      <c r="E95" s="58">
        <f>IFERROR(INDEX(Firms!$C$5:$C$504,MATCH(91,Firms!$R$5:$R$504,0))&amp;"","")</f>
        <v/>
      </c>
      <c r="F95" s="57">
        <f>IFERROR(INDEX(Firms!$L$5:$L$504,MATCH(91,Firms!$R$5:$R$504,0))&amp;"","")</f>
        <v/>
      </c>
      <c r="G95" s="57">
        <f>IFERROR(INDEX(Firms!$M$5:$M$504,MATCH(91,Firms!$R$5:$R$504,0))&amp;"","")</f>
        <v/>
      </c>
      <c r="H95" s="58">
        <f>IFERROR(INDEX(Firms!$Q$5:$Q$504,MATCH(91,Firms!$R$5:$R$504,0))&amp;"","")</f>
        <v/>
      </c>
    </row>
    <row r="96">
      <c r="A96" s="57">
        <f>IF(B96="","",92)</f>
        <v/>
      </c>
      <c r="B96" s="58">
        <f>IFERROR(INDEX(Firms!$A$5:$A$504,MATCH(92,Firms!$R$5:$R$504,0))&amp;"","")</f>
        <v/>
      </c>
      <c r="C96" s="59">
        <f>IFERROR(IF(INDEX(Firms!$O$5:$O$504,MATCH(92,Firms!$R$5:$R$504,0))="","",INDEX(Firms!$O$5:$O$504,MATCH(92,Firms!$R$5:$R$504,0))),"")</f>
        <v/>
      </c>
      <c r="D96" s="58">
        <f>IFERROR(INDEX(Firms!$P$5:$P$504,MATCH(92,Firms!$R$5:$R$504,0))&amp;"","")</f>
        <v/>
      </c>
      <c r="E96" s="58">
        <f>IFERROR(INDEX(Firms!$C$5:$C$504,MATCH(92,Firms!$R$5:$R$504,0))&amp;"","")</f>
        <v/>
      </c>
      <c r="F96" s="57">
        <f>IFERROR(INDEX(Firms!$L$5:$L$504,MATCH(92,Firms!$R$5:$R$504,0))&amp;"","")</f>
        <v/>
      </c>
      <c r="G96" s="57">
        <f>IFERROR(INDEX(Firms!$M$5:$M$504,MATCH(92,Firms!$R$5:$R$504,0))&amp;"","")</f>
        <v/>
      </c>
      <c r="H96" s="58">
        <f>IFERROR(INDEX(Firms!$Q$5:$Q$504,MATCH(92,Firms!$R$5:$R$504,0))&amp;"","")</f>
        <v/>
      </c>
    </row>
    <row r="97">
      <c r="A97" s="57">
        <f>IF(B97="","",93)</f>
        <v/>
      </c>
      <c r="B97" s="58">
        <f>IFERROR(INDEX(Firms!$A$5:$A$504,MATCH(93,Firms!$R$5:$R$504,0))&amp;"","")</f>
        <v/>
      </c>
      <c r="C97" s="59">
        <f>IFERROR(IF(INDEX(Firms!$O$5:$O$504,MATCH(93,Firms!$R$5:$R$504,0))="","",INDEX(Firms!$O$5:$O$504,MATCH(93,Firms!$R$5:$R$504,0))),"")</f>
        <v/>
      </c>
      <c r="D97" s="58">
        <f>IFERROR(INDEX(Firms!$P$5:$P$504,MATCH(93,Firms!$R$5:$R$504,0))&amp;"","")</f>
        <v/>
      </c>
      <c r="E97" s="58">
        <f>IFERROR(INDEX(Firms!$C$5:$C$504,MATCH(93,Firms!$R$5:$R$504,0))&amp;"","")</f>
        <v/>
      </c>
      <c r="F97" s="57">
        <f>IFERROR(INDEX(Firms!$L$5:$L$504,MATCH(93,Firms!$R$5:$R$504,0))&amp;"","")</f>
        <v/>
      </c>
      <c r="G97" s="57">
        <f>IFERROR(INDEX(Firms!$M$5:$M$504,MATCH(93,Firms!$R$5:$R$504,0))&amp;"","")</f>
        <v/>
      </c>
      <c r="H97" s="58">
        <f>IFERROR(INDEX(Firms!$Q$5:$Q$504,MATCH(93,Firms!$R$5:$R$504,0))&amp;"","")</f>
        <v/>
      </c>
    </row>
    <row r="98">
      <c r="A98" s="57">
        <f>IF(B98="","",94)</f>
        <v/>
      </c>
      <c r="B98" s="58">
        <f>IFERROR(INDEX(Firms!$A$5:$A$504,MATCH(94,Firms!$R$5:$R$504,0))&amp;"","")</f>
        <v/>
      </c>
      <c r="C98" s="59">
        <f>IFERROR(IF(INDEX(Firms!$O$5:$O$504,MATCH(94,Firms!$R$5:$R$504,0))="","",INDEX(Firms!$O$5:$O$504,MATCH(94,Firms!$R$5:$R$504,0))),"")</f>
        <v/>
      </c>
      <c r="D98" s="58">
        <f>IFERROR(INDEX(Firms!$P$5:$P$504,MATCH(94,Firms!$R$5:$R$504,0))&amp;"","")</f>
        <v/>
      </c>
      <c r="E98" s="58">
        <f>IFERROR(INDEX(Firms!$C$5:$C$504,MATCH(94,Firms!$R$5:$R$504,0))&amp;"","")</f>
        <v/>
      </c>
      <c r="F98" s="57">
        <f>IFERROR(INDEX(Firms!$L$5:$L$504,MATCH(94,Firms!$R$5:$R$504,0))&amp;"","")</f>
        <v/>
      </c>
      <c r="G98" s="57">
        <f>IFERROR(INDEX(Firms!$M$5:$M$504,MATCH(94,Firms!$R$5:$R$504,0))&amp;"","")</f>
        <v/>
      </c>
      <c r="H98" s="58">
        <f>IFERROR(INDEX(Firms!$Q$5:$Q$504,MATCH(94,Firms!$R$5:$R$504,0))&amp;"","")</f>
        <v/>
      </c>
    </row>
    <row r="99">
      <c r="A99" s="57">
        <f>IF(B99="","",95)</f>
        <v/>
      </c>
      <c r="B99" s="58">
        <f>IFERROR(INDEX(Firms!$A$5:$A$504,MATCH(95,Firms!$R$5:$R$504,0))&amp;"","")</f>
        <v/>
      </c>
      <c r="C99" s="59">
        <f>IFERROR(IF(INDEX(Firms!$O$5:$O$504,MATCH(95,Firms!$R$5:$R$504,0))="","",INDEX(Firms!$O$5:$O$504,MATCH(95,Firms!$R$5:$R$504,0))),"")</f>
        <v/>
      </c>
      <c r="D99" s="58">
        <f>IFERROR(INDEX(Firms!$P$5:$P$504,MATCH(95,Firms!$R$5:$R$504,0))&amp;"","")</f>
        <v/>
      </c>
      <c r="E99" s="58">
        <f>IFERROR(INDEX(Firms!$C$5:$C$504,MATCH(95,Firms!$R$5:$R$504,0))&amp;"","")</f>
        <v/>
      </c>
      <c r="F99" s="57">
        <f>IFERROR(INDEX(Firms!$L$5:$L$504,MATCH(95,Firms!$R$5:$R$504,0))&amp;"","")</f>
        <v/>
      </c>
      <c r="G99" s="57">
        <f>IFERROR(INDEX(Firms!$M$5:$M$504,MATCH(95,Firms!$R$5:$R$504,0))&amp;"","")</f>
        <v/>
      </c>
      <c r="H99" s="58">
        <f>IFERROR(INDEX(Firms!$Q$5:$Q$504,MATCH(95,Firms!$R$5:$R$504,0))&amp;"","")</f>
        <v/>
      </c>
    </row>
    <row r="100">
      <c r="A100" s="57">
        <f>IF(B100="","",96)</f>
        <v/>
      </c>
      <c r="B100" s="58">
        <f>IFERROR(INDEX(Firms!$A$5:$A$504,MATCH(96,Firms!$R$5:$R$504,0))&amp;"","")</f>
        <v/>
      </c>
      <c r="C100" s="59">
        <f>IFERROR(IF(INDEX(Firms!$O$5:$O$504,MATCH(96,Firms!$R$5:$R$504,0))="","",INDEX(Firms!$O$5:$O$504,MATCH(96,Firms!$R$5:$R$504,0))),"")</f>
        <v/>
      </c>
      <c r="D100" s="58">
        <f>IFERROR(INDEX(Firms!$P$5:$P$504,MATCH(96,Firms!$R$5:$R$504,0))&amp;"","")</f>
        <v/>
      </c>
      <c r="E100" s="58">
        <f>IFERROR(INDEX(Firms!$C$5:$C$504,MATCH(96,Firms!$R$5:$R$504,0))&amp;"","")</f>
        <v/>
      </c>
      <c r="F100" s="57">
        <f>IFERROR(INDEX(Firms!$L$5:$L$504,MATCH(96,Firms!$R$5:$R$504,0))&amp;"","")</f>
        <v/>
      </c>
      <c r="G100" s="57">
        <f>IFERROR(INDEX(Firms!$M$5:$M$504,MATCH(96,Firms!$R$5:$R$504,0))&amp;"","")</f>
        <v/>
      </c>
      <c r="H100" s="58">
        <f>IFERROR(INDEX(Firms!$Q$5:$Q$504,MATCH(96,Firms!$R$5:$R$504,0))&amp;"","")</f>
        <v/>
      </c>
    </row>
    <row r="101">
      <c r="A101" s="57">
        <f>IF(B101="","",97)</f>
        <v/>
      </c>
      <c r="B101" s="58">
        <f>IFERROR(INDEX(Firms!$A$5:$A$504,MATCH(97,Firms!$R$5:$R$504,0))&amp;"","")</f>
        <v/>
      </c>
      <c r="C101" s="59">
        <f>IFERROR(IF(INDEX(Firms!$O$5:$O$504,MATCH(97,Firms!$R$5:$R$504,0))="","",INDEX(Firms!$O$5:$O$504,MATCH(97,Firms!$R$5:$R$504,0))),"")</f>
        <v/>
      </c>
      <c r="D101" s="58">
        <f>IFERROR(INDEX(Firms!$P$5:$P$504,MATCH(97,Firms!$R$5:$R$504,0))&amp;"","")</f>
        <v/>
      </c>
      <c r="E101" s="58">
        <f>IFERROR(INDEX(Firms!$C$5:$C$504,MATCH(97,Firms!$R$5:$R$504,0))&amp;"","")</f>
        <v/>
      </c>
      <c r="F101" s="57">
        <f>IFERROR(INDEX(Firms!$L$5:$L$504,MATCH(97,Firms!$R$5:$R$504,0))&amp;"","")</f>
        <v/>
      </c>
      <c r="G101" s="57">
        <f>IFERROR(INDEX(Firms!$M$5:$M$504,MATCH(97,Firms!$R$5:$R$504,0))&amp;"","")</f>
        <v/>
      </c>
      <c r="H101" s="58">
        <f>IFERROR(INDEX(Firms!$Q$5:$Q$504,MATCH(97,Firms!$R$5:$R$504,0))&amp;"","")</f>
        <v/>
      </c>
    </row>
    <row r="102">
      <c r="A102" s="57">
        <f>IF(B102="","",98)</f>
        <v/>
      </c>
      <c r="B102" s="58">
        <f>IFERROR(INDEX(Firms!$A$5:$A$504,MATCH(98,Firms!$R$5:$R$504,0))&amp;"","")</f>
        <v/>
      </c>
      <c r="C102" s="59">
        <f>IFERROR(IF(INDEX(Firms!$O$5:$O$504,MATCH(98,Firms!$R$5:$R$504,0))="","",INDEX(Firms!$O$5:$O$504,MATCH(98,Firms!$R$5:$R$504,0))),"")</f>
        <v/>
      </c>
      <c r="D102" s="58">
        <f>IFERROR(INDEX(Firms!$P$5:$P$504,MATCH(98,Firms!$R$5:$R$504,0))&amp;"","")</f>
        <v/>
      </c>
      <c r="E102" s="58">
        <f>IFERROR(INDEX(Firms!$C$5:$C$504,MATCH(98,Firms!$R$5:$R$504,0))&amp;"","")</f>
        <v/>
      </c>
      <c r="F102" s="57">
        <f>IFERROR(INDEX(Firms!$L$5:$L$504,MATCH(98,Firms!$R$5:$R$504,0))&amp;"","")</f>
        <v/>
      </c>
      <c r="G102" s="57">
        <f>IFERROR(INDEX(Firms!$M$5:$M$504,MATCH(98,Firms!$R$5:$R$504,0))&amp;"","")</f>
        <v/>
      </c>
      <c r="H102" s="58">
        <f>IFERROR(INDEX(Firms!$Q$5:$Q$504,MATCH(98,Firms!$R$5:$R$504,0))&amp;"","")</f>
        <v/>
      </c>
    </row>
    <row r="103">
      <c r="A103" s="57">
        <f>IF(B103="","",99)</f>
        <v/>
      </c>
      <c r="B103" s="58">
        <f>IFERROR(INDEX(Firms!$A$5:$A$504,MATCH(99,Firms!$R$5:$R$504,0))&amp;"","")</f>
        <v/>
      </c>
      <c r="C103" s="59">
        <f>IFERROR(IF(INDEX(Firms!$O$5:$O$504,MATCH(99,Firms!$R$5:$R$504,0))="","",INDEX(Firms!$O$5:$O$504,MATCH(99,Firms!$R$5:$R$504,0))),"")</f>
        <v/>
      </c>
      <c r="D103" s="58">
        <f>IFERROR(INDEX(Firms!$P$5:$P$504,MATCH(99,Firms!$R$5:$R$504,0))&amp;"","")</f>
        <v/>
      </c>
      <c r="E103" s="58">
        <f>IFERROR(INDEX(Firms!$C$5:$C$504,MATCH(99,Firms!$R$5:$R$504,0))&amp;"","")</f>
        <v/>
      </c>
      <c r="F103" s="57">
        <f>IFERROR(INDEX(Firms!$L$5:$L$504,MATCH(99,Firms!$R$5:$R$504,0))&amp;"","")</f>
        <v/>
      </c>
      <c r="G103" s="57">
        <f>IFERROR(INDEX(Firms!$M$5:$M$504,MATCH(99,Firms!$R$5:$R$504,0))&amp;"","")</f>
        <v/>
      </c>
      <c r="H103" s="58">
        <f>IFERROR(INDEX(Firms!$Q$5:$Q$504,MATCH(99,Firms!$R$5:$R$504,0))&amp;"","")</f>
        <v/>
      </c>
    </row>
    <row r="104">
      <c r="A104" s="57">
        <f>IF(B104="","",100)</f>
        <v/>
      </c>
      <c r="B104" s="58">
        <f>IFERROR(INDEX(Firms!$A$5:$A$504,MATCH(100,Firms!$R$5:$R$504,0))&amp;"","")</f>
        <v/>
      </c>
      <c r="C104" s="59">
        <f>IFERROR(IF(INDEX(Firms!$O$5:$O$504,MATCH(100,Firms!$R$5:$R$504,0))="","",INDEX(Firms!$O$5:$O$504,MATCH(100,Firms!$R$5:$R$504,0))),"")</f>
        <v/>
      </c>
      <c r="D104" s="58">
        <f>IFERROR(INDEX(Firms!$P$5:$P$504,MATCH(100,Firms!$R$5:$R$504,0))&amp;"","")</f>
        <v/>
      </c>
      <c r="E104" s="58">
        <f>IFERROR(INDEX(Firms!$C$5:$C$504,MATCH(100,Firms!$R$5:$R$504,0))&amp;"","")</f>
        <v/>
      </c>
      <c r="F104" s="57">
        <f>IFERROR(INDEX(Firms!$L$5:$L$504,MATCH(100,Firms!$R$5:$R$504,0))&amp;"","")</f>
        <v/>
      </c>
      <c r="G104" s="57">
        <f>IFERROR(INDEX(Firms!$M$5:$M$504,MATCH(100,Firms!$R$5:$R$504,0))&amp;"","")</f>
        <v/>
      </c>
      <c r="H104" s="58">
        <f>IFERROR(INDEX(Firms!$Q$5:$Q$504,MATCH(100,Firms!$R$5:$R$504,0))&amp;"","")</f>
        <v/>
      </c>
    </row>
    <row r="105">
      <c r="A105" s="57">
        <f>IF(B105="","",101)</f>
        <v/>
      </c>
      <c r="B105" s="58">
        <f>IFERROR(INDEX(Firms!$A$5:$A$504,MATCH(101,Firms!$R$5:$R$504,0))&amp;"","")</f>
        <v/>
      </c>
      <c r="C105" s="59">
        <f>IFERROR(IF(INDEX(Firms!$O$5:$O$504,MATCH(101,Firms!$R$5:$R$504,0))="","",INDEX(Firms!$O$5:$O$504,MATCH(101,Firms!$R$5:$R$504,0))),"")</f>
        <v/>
      </c>
      <c r="D105" s="58">
        <f>IFERROR(INDEX(Firms!$P$5:$P$504,MATCH(101,Firms!$R$5:$R$504,0))&amp;"","")</f>
        <v/>
      </c>
      <c r="E105" s="58">
        <f>IFERROR(INDEX(Firms!$C$5:$C$504,MATCH(101,Firms!$R$5:$R$504,0))&amp;"","")</f>
        <v/>
      </c>
      <c r="F105" s="57">
        <f>IFERROR(INDEX(Firms!$L$5:$L$504,MATCH(101,Firms!$R$5:$R$504,0))&amp;"","")</f>
        <v/>
      </c>
      <c r="G105" s="57">
        <f>IFERROR(INDEX(Firms!$M$5:$M$504,MATCH(101,Firms!$R$5:$R$504,0))&amp;"","")</f>
        <v/>
      </c>
      <c r="H105" s="58">
        <f>IFERROR(INDEX(Firms!$Q$5:$Q$504,MATCH(101,Firms!$R$5:$R$504,0))&amp;"","")</f>
        <v/>
      </c>
    </row>
    <row r="106">
      <c r="A106" s="57">
        <f>IF(B106="","",102)</f>
        <v/>
      </c>
      <c r="B106" s="58">
        <f>IFERROR(INDEX(Firms!$A$5:$A$504,MATCH(102,Firms!$R$5:$R$504,0))&amp;"","")</f>
        <v/>
      </c>
      <c r="C106" s="59">
        <f>IFERROR(IF(INDEX(Firms!$O$5:$O$504,MATCH(102,Firms!$R$5:$R$504,0))="","",INDEX(Firms!$O$5:$O$504,MATCH(102,Firms!$R$5:$R$504,0))),"")</f>
        <v/>
      </c>
      <c r="D106" s="58">
        <f>IFERROR(INDEX(Firms!$P$5:$P$504,MATCH(102,Firms!$R$5:$R$504,0))&amp;"","")</f>
        <v/>
      </c>
      <c r="E106" s="58">
        <f>IFERROR(INDEX(Firms!$C$5:$C$504,MATCH(102,Firms!$R$5:$R$504,0))&amp;"","")</f>
        <v/>
      </c>
      <c r="F106" s="57">
        <f>IFERROR(INDEX(Firms!$L$5:$L$504,MATCH(102,Firms!$R$5:$R$504,0))&amp;"","")</f>
        <v/>
      </c>
      <c r="G106" s="57">
        <f>IFERROR(INDEX(Firms!$M$5:$M$504,MATCH(102,Firms!$R$5:$R$504,0))&amp;"","")</f>
        <v/>
      </c>
      <c r="H106" s="58">
        <f>IFERROR(INDEX(Firms!$Q$5:$Q$504,MATCH(102,Firms!$R$5:$R$504,0))&amp;"","")</f>
        <v/>
      </c>
    </row>
    <row r="107">
      <c r="A107" s="57">
        <f>IF(B107="","",103)</f>
        <v/>
      </c>
      <c r="B107" s="58">
        <f>IFERROR(INDEX(Firms!$A$5:$A$504,MATCH(103,Firms!$R$5:$R$504,0))&amp;"","")</f>
        <v/>
      </c>
      <c r="C107" s="59">
        <f>IFERROR(IF(INDEX(Firms!$O$5:$O$504,MATCH(103,Firms!$R$5:$R$504,0))="","",INDEX(Firms!$O$5:$O$504,MATCH(103,Firms!$R$5:$R$504,0))),"")</f>
        <v/>
      </c>
      <c r="D107" s="58">
        <f>IFERROR(INDEX(Firms!$P$5:$P$504,MATCH(103,Firms!$R$5:$R$504,0))&amp;"","")</f>
        <v/>
      </c>
      <c r="E107" s="58">
        <f>IFERROR(INDEX(Firms!$C$5:$C$504,MATCH(103,Firms!$R$5:$R$504,0))&amp;"","")</f>
        <v/>
      </c>
      <c r="F107" s="57">
        <f>IFERROR(INDEX(Firms!$L$5:$L$504,MATCH(103,Firms!$R$5:$R$504,0))&amp;"","")</f>
        <v/>
      </c>
      <c r="G107" s="57">
        <f>IFERROR(INDEX(Firms!$M$5:$M$504,MATCH(103,Firms!$R$5:$R$504,0))&amp;"","")</f>
        <v/>
      </c>
      <c r="H107" s="58">
        <f>IFERROR(INDEX(Firms!$Q$5:$Q$504,MATCH(103,Firms!$R$5:$R$504,0))&amp;"","")</f>
        <v/>
      </c>
    </row>
    <row r="108">
      <c r="A108" s="57">
        <f>IF(B108="","",104)</f>
        <v/>
      </c>
      <c r="B108" s="58">
        <f>IFERROR(INDEX(Firms!$A$5:$A$504,MATCH(104,Firms!$R$5:$R$504,0))&amp;"","")</f>
        <v/>
      </c>
      <c r="C108" s="59">
        <f>IFERROR(IF(INDEX(Firms!$O$5:$O$504,MATCH(104,Firms!$R$5:$R$504,0))="","",INDEX(Firms!$O$5:$O$504,MATCH(104,Firms!$R$5:$R$504,0))),"")</f>
        <v/>
      </c>
      <c r="D108" s="58">
        <f>IFERROR(INDEX(Firms!$P$5:$P$504,MATCH(104,Firms!$R$5:$R$504,0))&amp;"","")</f>
        <v/>
      </c>
      <c r="E108" s="58">
        <f>IFERROR(INDEX(Firms!$C$5:$C$504,MATCH(104,Firms!$R$5:$R$504,0))&amp;"","")</f>
        <v/>
      </c>
      <c r="F108" s="57">
        <f>IFERROR(INDEX(Firms!$L$5:$L$504,MATCH(104,Firms!$R$5:$R$504,0))&amp;"","")</f>
        <v/>
      </c>
      <c r="G108" s="57">
        <f>IFERROR(INDEX(Firms!$M$5:$M$504,MATCH(104,Firms!$R$5:$R$504,0))&amp;"","")</f>
        <v/>
      </c>
      <c r="H108" s="58">
        <f>IFERROR(INDEX(Firms!$Q$5:$Q$504,MATCH(104,Firms!$R$5:$R$504,0))&amp;"","")</f>
        <v/>
      </c>
    </row>
    <row r="109">
      <c r="A109" s="57">
        <f>IF(B109="","",105)</f>
        <v/>
      </c>
      <c r="B109" s="58">
        <f>IFERROR(INDEX(Firms!$A$5:$A$504,MATCH(105,Firms!$R$5:$R$504,0))&amp;"","")</f>
        <v/>
      </c>
      <c r="C109" s="59">
        <f>IFERROR(IF(INDEX(Firms!$O$5:$O$504,MATCH(105,Firms!$R$5:$R$504,0))="","",INDEX(Firms!$O$5:$O$504,MATCH(105,Firms!$R$5:$R$504,0))),"")</f>
        <v/>
      </c>
      <c r="D109" s="58">
        <f>IFERROR(INDEX(Firms!$P$5:$P$504,MATCH(105,Firms!$R$5:$R$504,0))&amp;"","")</f>
        <v/>
      </c>
      <c r="E109" s="58">
        <f>IFERROR(INDEX(Firms!$C$5:$C$504,MATCH(105,Firms!$R$5:$R$504,0))&amp;"","")</f>
        <v/>
      </c>
      <c r="F109" s="57">
        <f>IFERROR(INDEX(Firms!$L$5:$L$504,MATCH(105,Firms!$R$5:$R$504,0))&amp;"","")</f>
        <v/>
      </c>
      <c r="G109" s="57">
        <f>IFERROR(INDEX(Firms!$M$5:$M$504,MATCH(105,Firms!$R$5:$R$504,0))&amp;"","")</f>
        <v/>
      </c>
      <c r="H109" s="58">
        <f>IFERROR(INDEX(Firms!$Q$5:$Q$504,MATCH(105,Firms!$R$5:$R$504,0))&amp;"","")</f>
        <v/>
      </c>
    </row>
    <row r="110">
      <c r="A110" s="57">
        <f>IF(B110="","",106)</f>
        <v/>
      </c>
      <c r="B110" s="58">
        <f>IFERROR(INDEX(Firms!$A$5:$A$504,MATCH(106,Firms!$R$5:$R$504,0))&amp;"","")</f>
        <v/>
      </c>
      <c r="C110" s="59">
        <f>IFERROR(IF(INDEX(Firms!$O$5:$O$504,MATCH(106,Firms!$R$5:$R$504,0))="","",INDEX(Firms!$O$5:$O$504,MATCH(106,Firms!$R$5:$R$504,0))),"")</f>
        <v/>
      </c>
      <c r="D110" s="58">
        <f>IFERROR(INDEX(Firms!$P$5:$P$504,MATCH(106,Firms!$R$5:$R$504,0))&amp;"","")</f>
        <v/>
      </c>
      <c r="E110" s="58">
        <f>IFERROR(INDEX(Firms!$C$5:$C$504,MATCH(106,Firms!$R$5:$R$504,0))&amp;"","")</f>
        <v/>
      </c>
      <c r="F110" s="57">
        <f>IFERROR(INDEX(Firms!$L$5:$L$504,MATCH(106,Firms!$R$5:$R$504,0))&amp;"","")</f>
        <v/>
      </c>
      <c r="G110" s="57">
        <f>IFERROR(INDEX(Firms!$M$5:$M$504,MATCH(106,Firms!$R$5:$R$504,0))&amp;"","")</f>
        <v/>
      </c>
      <c r="H110" s="58">
        <f>IFERROR(INDEX(Firms!$Q$5:$Q$504,MATCH(106,Firms!$R$5:$R$504,0))&amp;"","")</f>
        <v/>
      </c>
    </row>
    <row r="111">
      <c r="A111" s="57">
        <f>IF(B111="","",107)</f>
        <v/>
      </c>
      <c r="B111" s="58">
        <f>IFERROR(INDEX(Firms!$A$5:$A$504,MATCH(107,Firms!$R$5:$R$504,0))&amp;"","")</f>
        <v/>
      </c>
      <c r="C111" s="59">
        <f>IFERROR(IF(INDEX(Firms!$O$5:$O$504,MATCH(107,Firms!$R$5:$R$504,0))="","",INDEX(Firms!$O$5:$O$504,MATCH(107,Firms!$R$5:$R$504,0))),"")</f>
        <v/>
      </c>
      <c r="D111" s="58">
        <f>IFERROR(INDEX(Firms!$P$5:$P$504,MATCH(107,Firms!$R$5:$R$504,0))&amp;"","")</f>
        <v/>
      </c>
      <c r="E111" s="58">
        <f>IFERROR(INDEX(Firms!$C$5:$C$504,MATCH(107,Firms!$R$5:$R$504,0))&amp;"","")</f>
        <v/>
      </c>
      <c r="F111" s="57">
        <f>IFERROR(INDEX(Firms!$L$5:$L$504,MATCH(107,Firms!$R$5:$R$504,0))&amp;"","")</f>
        <v/>
      </c>
      <c r="G111" s="57">
        <f>IFERROR(INDEX(Firms!$M$5:$M$504,MATCH(107,Firms!$R$5:$R$504,0))&amp;"","")</f>
        <v/>
      </c>
      <c r="H111" s="58">
        <f>IFERROR(INDEX(Firms!$Q$5:$Q$504,MATCH(107,Firms!$R$5:$R$504,0))&amp;"","")</f>
        <v/>
      </c>
    </row>
    <row r="112">
      <c r="A112" s="57">
        <f>IF(B112="","",108)</f>
        <v/>
      </c>
      <c r="B112" s="58">
        <f>IFERROR(INDEX(Firms!$A$5:$A$504,MATCH(108,Firms!$R$5:$R$504,0))&amp;"","")</f>
        <v/>
      </c>
      <c r="C112" s="59">
        <f>IFERROR(IF(INDEX(Firms!$O$5:$O$504,MATCH(108,Firms!$R$5:$R$504,0))="","",INDEX(Firms!$O$5:$O$504,MATCH(108,Firms!$R$5:$R$504,0))),"")</f>
        <v/>
      </c>
      <c r="D112" s="58">
        <f>IFERROR(INDEX(Firms!$P$5:$P$504,MATCH(108,Firms!$R$5:$R$504,0))&amp;"","")</f>
        <v/>
      </c>
      <c r="E112" s="58">
        <f>IFERROR(INDEX(Firms!$C$5:$C$504,MATCH(108,Firms!$R$5:$R$504,0))&amp;"","")</f>
        <v/>
      </c>
      <c r="F112" s="57">
        <f>IFERROR(INDEX(Firms!$L$5:$L$504,MATCH(108,Firms!$R$5:$R$504,0))&amp;"","")</f>
        <v/>
      </c>
      <c r="G112" s="57">
        <f>IFERROR(INDEX(Firms!$M$5:$M$504,MATCH(108,Firms!$R$5:$R$504,0))&amp;"","")</f>
        <v/>
      </c>
      <c r="H112" s="58">
        <f>IFERROR(INDEX(Firms!$Q$5:$Q$504,MATCH(108,Firms!$R$5:$R$504,0))&amp;"","")</f>
        <v/>
      </c>
    </row>
    <row r="113">
      <c r="A113" s="57">
        <f>IF(B113="","",109)</f>
        <v/>
      </c>
      <c r="B113" s="58">
        <f>IFERROR(INDEX(Firms!$A$5:$A$504,MATCH(109,Firms!$R$5:$R$504,0))&amp;"","")</f>
        <v/>
      </c>
      <c r="C113" s="59">
        <f>IFERROR(IF(INDEX(Firms!$O$5:$O$504,MATCH(109,Firms!$R$5:$R$504,0))="","",INDEX(Firms!$O$5:$O$504,MATCH(109,Firms!$R$5:$R$504,0))),"")</f>
        <v/>
      </c>
      <c r="D113" s="58">
        <f>IFERROR(INDEX(Firms!$P$5:$P$504,MATCH(109,Firms!$R$5:$R$504,0))&amp;"","")</f>
        <v/>
      </c>
      <c r="E113" s="58">
        <f>IFERROR(INDEX(Firms!$C$5:$C$504,MATCH(109,Firms!$R$5:$R$504,0))&amp;"","")</f>
        <v/>
      </c>
      <c r="F113" s="57">
        <f>IFERROR(INDEX(Firms!$L$5:$L$504,MATCH(109,Firms!$R$5:$R$504,0))&amp;"","")</f>
        <v/>
      </c>
      <c r="G113" s="57">
        <f>IFERROR(INDEX(Firms!$M$5:$M$504,MATCH(109,Firms!$R$5:$R$504,0))&amp;"","")</f>
        <v/>
      </c>
      <c r="H113" s="58">
        <f>IFERROR(INDEX(Firms!$Q$5:$Q$504,MATCH(109,Firms!$R$5:$R$504,0))&amp;"","")</f>
        <v/>
      </c>
    </row>
    <row r="114">
      <c r="A114" s="57">
        <f>IF(B114="","",110)</f>
        <v/>
      </c>
      <c r="B114" s="58">
        <f>IFERROR(INDEX(Firms!$A$5:$A$504,MATCH(110,Firms!$R$5:$R$504,0))&amp;"","")</f>
        <v/>
      </c>
      <c r="C114" s="59">
        <f>IFERROR(IF(INDEX(Firms!$O$5:$O$504,MATCH(110,Firms!$R$5:$R$504,0))="","",INDEX(Firms!$O$5:$O$504,MATCH(110,Firms!$R$5:$R$504,0))),"")</f>
        <v/>
      </c>
      <c r="D114" s="58">
        <f>IFERROR(INDEX(Firms!$P$5:$P$504,MATCH(110,Firms!$R$5:$R$504,0))&amp;"","")</f>
        <v/>
      </c>
      <c r="E114" s="58">
        <f>IFERROR(INDEX(Firms!$C$5:$C$504,MATCH(110,Firms!$R$5:$R$504,0))&amp;"","")</f>
        <v/>
      </c>
      <c r="F114" s="57">
        <f>IFERROR(INDEX(Firms!$L$5:$L$504,MATCH(110,Firms!$R$5:$R$504,0))&amp;"","")</f>
        <v/>
      </c>
      <c r="G114" s="57">
        <f>IFERROR(INDEX(Firms!$M$5:$M$504,MATCH(110,Firms!$R$5:$R$504,0))&amp;"","")</f>
        <v/>
      </c>
      <c r="H114" s="58">
        <f>IFERROR(INDEX(Firms!$Q$5:$Q$504,MATCH(110,Firms!$R$5:$R$504,0))&amp;"","")</f>
        <v/>
      </c>
    </row>
    <row r="115">
      <c r="A115" s="57">
        <f>IF(B115="","",111)</f>
        <v/>
      </c>
      <c r="B115" s="58">
        <f>IFERROR(INDEX(Firms!$A$5:$A$504,MATCH(111,Firms!$R$5:$R$504,0))&amp;"","")</f>
        <v/>
      </c>
      <c r="C115" s="59">
        <f>IFERROR(IF(INDEX(Firms!$O$5:$O$504,MATCH(111,Firms!$R$5:$R$504,0))="","",INDEX(Firms!$O$5:$O$504,MATCH(111,Firms!$R$5:$R$504,0))),"")</f>
        <v/>
      </c>
      <c r="D115" s="58">
        <f>IFERROR(INDEX(Firms!$P$5:$P$504,MATCH(111,Firms!$R$5:$R$504,0))&amp;"","")</f>
        <v/>
      </c>
      <c r="E115" s="58">
        <f>IFERROR(INDEX(Firms!$C$5:$C$504,MATCH(111,Firms!$R$5:$R$504,0))&amp;"","")</f>
        <v/>
      </c>
      <c r="F115" s="57">
        <f>IFERROR(INDEX(Firms!$L$5:$L$504,MATCH(111,Firms!$R$5:$R$504,0))&amp;"","")</f>
        <v/>
      </c>
      <c r="G115" s="57">
        <f>IFERROR(INDEX(Firms!$M$5:$M$504,MATCH(111,Firms!$R$5:$R$504,0))&amp;"","")</f>
        <v/>
      </c>
      <c r="H115" s="58">
        <f>IFERROR(INDEX(Firms!$Q$5:$Q$504,MATCH(111,Firms!$R$5:$R$504,0))&amp;"","")</f>
        <v/>
      </c>
    </row>
    <row r="116">
      <c r="A116" s="57">
        <f>IF(B116="","",112)</f>
        <v/>
      </c>
      <c r="B116" s="58">
        <f>IFERROR(INDEX(Firms!$A$5:$A$504,MATCH(112,Firms!$R$5:$R$504,0))&amp;"","")</f>
        <v/>
      </c>
      <c r="C116" s="59">
        <f>IFERROR(IF(INDEX(Firms!$O$5:$O$504,MATCH(112,Firms!$R$5:$R$504,0))="","",INDEX(Firms!$O$5:$O$504,MATCH(112,Firms!$R$5:$R$504,0))),"")</f>
        <v/>
      </c>
      <c r="D116" s="58">
        <f>IFERROR(INDEX(Firms!$P$5:$P$504,MATCH(112,Firms!$R$5:$R$504,0))&amp;"","")</f>
        <v/>
      </c>
      <c r="E116" s="58">
        <f>IFERROR(INDEX(Firms!$C$5:$C$504,MATCH(112,Firms!$R$5:$R$504,0))&amp;"","")</f>
        <v/>
      </c>
      <c r="F116" s="57">
        <f>IFERROR(INDEX(Firms!$L$5:$L$504,MATCH(112,Firms!$R$5:$R$504,0))&amp;"","")</f>
        <v/>
      </c>
      <c r="G116" s="57">
        <f>IFERROR(INDEX(Firms!$M$5:$M$504,MATCH(112,Firms!$R$5:$R$504,0))&amp;"","")</f>
        <v/>
      </c>
      <c r="H116" s="58">
        <f>IFERROR(INDEX(Firms!$Q$5:$Q$504,MATCH(112,Firms!$R$5:$R$504,0))&amp;"","")</f>
        <v/>
      </c>
    </row>
    <row r="117">
      <c r="A117" s="57">
        <f>IF(B117="","",113)</f>
        <v/>
      </c>
      <c r="B117" s="58">
        <f>IFERROR(INDEX(Firms!$A$5:$A$504,MATCH(113,Firms!$R$5:$R$504,0))&amp;"","")</f>
        <v/>
      </c>
      <c r="C117" s="59">
        <f>IFERROR(IF(INDEX(Firms!$O$5:$O$504,MATCH(113,Firms!$R$5:$R$504,0))="","",INDEX(Firms!$O$5:$O$504,MATCH(113,Firms!$R$5:$R$504,0))),"")</f>
        <v/>
      </c>
      <c r="D117" s="58">
        <f>IFERROR(INDEX(Firms!$P$5:$P$504,MATCH(113,Firms!$R$5:$R$504,0))&amp;"","")</f>
        <v/>
      </c>
      <c r="E117" s="58">
        <f>IFERROR(INDEX(Firms!$C$5:$C$504,MATCH(113,Firms!$R$5:$R$504,0))&amp;"","")</f>
        <v/>
      </c>
      <c r="F117" s="57">
        <f>IFERROR(INDEX(Firms!$L$5:$L$504,MATCH(113,Firms!$R$5:$R$504,0))&amp;"","")</f>
        <v/>
      </c>
      <c r="G117" s="57">
        <f>IFERROR(INDEX(Firms!$M$5:$M$504,MATCH(113,Firms!$R$5:$R$504,0))&amp;"","")</f>
        <v/>
      </c>
      <c r="H117" s="58">
        <f>IFERROR(INDEX(Firms!$Q$5:$Q$504,MATCH(113,Firms!$R$5:$R$504,0))&amp;"","")</f>
        <v/>
      </c>
    </row>
    <row r="118">
      <c r="A118" s="57">
        <f>IF(B118="","",114)</f>
        <v/>
      </c>
      <c r="B118" s="58">
        <f>IFERROR(INDEX(Firms!$A$5:$A$504,MATCH(114,Firms!$R$5:$R$504,0))&amp;"","")</f>
        <v/>
      </c>
      <c r="C118" s="59">
        <f>IFERROR(IF(INDEX(Firms!$O$5:$O$504,MATCH(114,Firms!$R$5:$R$504,0))="","",INDEX(Firms!$O$5:$O$504,MATCH(114,Firms!$R$5:$R$504,0))),"")</f>
        <v/>
      </c>
      <c r="D118" s="58">
        <f>IFERROR(INDEX(Firms!$P$5:$P$504,MATCH(114,Firms!$R$5:$R$504,0))&amp;"","")</f>
        <v/>
      </c>
      <c r="E118" s="58">
        <f>IFERROR(INDEX(Firms!$C$5:$C$504,MATCH(114,Firms!$R$5:$R$504,0))&amp;"","")</f>
        <v/>
      </c>
      <c r="F118" s="57">
        <f>IFERROR(INDEX(Firms!$L$5:$L$504,MATCH(114,Firms!$R$5:$R$504,0))&amp;"","")</f>
        <v/>
      </c>
      <c r="G118" s="57">
        <f>IFERROR(INDEX(Firms!$M$5:$M$504,MATCH(114,Firms!$R$5:$R$504,0))&amp;"","")</f>
        <v/>
      </c>
      <c r="H118" s="58">
        <f>IFERROR(INDEX(Firms!$Q$5:$Q$504,MATCH(114,Firms!$R$5:$R$504,0))&amp;"","")</f>
        <v/>
      </c>
    </row>
    <row r="119">
      <c r="A119" s="57">
        <f>IF(B119="","",115)</f>
        <v/>
      </c>
      <c r="B119" s="58">
        <f>IFERROR(INDEX(Firms!$A$5:$A$504,MATCH(115,Firms!$R$5:$R$504,0))&amp;"","")</f>
        <v/>
      </c>
      <c r="C119" s="59">
        <f>IFERROR(IF(INDEX(Firms!$O$5:$O$504,MATCH(115,Firms!$R$5:$R$504,0))="","",INDEX(Firms!$O$5:$O$504,MATCH(115,Firms!$R$5:$R$504,0))),"")</f>
        <v/>
      </c>
      <c r="D119" s="58">
        <f>IFERROR(INDEX(Firms!$P$5:$P$504,MATCH(115,Firms!$R$5:$R$504,0))&amp;"","")</f>
        <v/>
      </c>
      <c r="E119" s="58">
        <f>IFERROR(INDEX(Firms!$C$5:$C$504,MATCH(115,Firms!$R$5:$R$504,0))&amp;"","")</f>
        <v/>
      </c>
      <c r="F119" s="57">
        <f>IFERROR(INDEX(Firms!$L$5:$L$504,MATCH(115,Firms!$R$5:$R$504,0))&amp;"","")</f>
        <v/>
      </c>
      <c r="G119" s="57">
        <f>IFERROR(INDEX(Firms!$M$5:$M$504,MATCH(115,Firms!$R$5:$R$504,0))&amp;"","")</f>
        <v/>
      </c>
      <c r="H119" s="58">
        <f>IFERROR(INDEX(Firms!$Q$5:$Q$504,MATCH(115,Firms!$R$5:$R$504,0))&amp;"","")</f>
        <v/>
      </c>
    </row>
    <row r="120">
      <c r="A120" s="57">
        <f>IF(B120="","",116)</f>
        <v/>
      </c>
      <c r="B120" s="58">
        <f>IFERROR(INDEX(Firms!$A$5:$A$504,MATCH(116,Firms!$R$5:$R$504,0))&amp;"","")</f>
        <v/>
      </c>
      <c r="C120" s="59">
        <f>IFERROR(IF(INDEX(Firms!$O$5:$O$504,MATCH(116,Firms!$R$5:$R$504,0))="","",INDEX(Firms!$O$5:$O$504,MATCH(116,Firms!$R$5:$R$504,0))),"")</f>
        <v/>
      </c>
      <c r="D120" s="58">
        <f>IFERROR(INDEX(Firms!$P$5:$P$504,MATCH(116,Firms!$R$5:$R$504,0))&amp;"","")</f>
        <v/>
      </c>
      <c r="E120" s="58">
        <f>IFERROR(INDEX(Firms!$C$5:$C$504,MATCH(116,Firms!$R$5:$R$504,0))&amp;"","")</f>
        <v/>
      </c>
      <c r="F120" s="57">
        <f>IFERROR(INDEX(Firms!$L$5:$L$504,MATCH(116,Firms!$R$5:$R$504,0))&amp;"","")</f>
        <v/>
      </c>
      <c r="G120" s="57">
        <f>IFERROR(INDEX(Firms!$M$5:$M$504,MATCH(116,Firms!$R$5:$R$504,0))&amp;"","")</f>
        <v/>
      </c>
      <c r="H120" s="58">
        <f>IFERROR(INDEX(Firms!$Q$5:$Q$504,MATCH(116,Firms!$R$5:$R$504,0))&amp;"","")</f>
        <v/>
      </c>
    </row>
    <row r="121">
      <c r="A121" s="57">
        <f>IF(B121="","",117)</f>
        <v/>
      </c>
      <c r="B121" s="58">
        <f>IFERROR(INDEX(Firms!$A$5:$A$504,MATCH(117,Firms!$R$5:$R$504,0))&amp;"","")</f>
        <v/>
      </c>
      <c r="C121" s="59">
        <f>IFERROR(IF(INDEX(Firms!$O$5:$O$504,MATCH(117,Firms!$R$5:$R$504,0))="","",INDEX(Firms!$O$5:$O$504,MATCH(117,Firms!$R$5:$R$504,0))),"")</f>
        <v/>
      </c>
      <c r="D121" s="58">
        <f>IFERROR(INDEX(Firms!$P$5:$P$504,MATCH(117,Firms!$R$5:$R$504,0))&amp;"","")</f>
        <v/>
      </c>
      <c r="E121" s="58">
        <f>IFERROR(INDEX(Firms!$C$5:$C$504,MATCH(117,Firms!$R$5:$R$504,0))&amp;"","")</f>
        <v/>
      </c>
      <c r="F121" s="57">
        <f>IFERROR(INDEX(Firms!$L$5:$L$504,MATCH(117,Firms!$R$5:$R$504,0))&amp;"","")</f>
        <v/>
      </c>
      <c r="G121" s="57">
        <f>IFERROR(INDEX(Firms!$M$5:$M$504,MATCH(117,Firms!$R$5:$R$504,0))&amp;"","")</f>
        <v/>
      </c>
      <c r="H121" s="58">
        <f>IFERROR(INDEX(Firms!$Q$5:$Q$504,MATCH(117,Firms!$R$5:$R$504,0))&amp;"","")</f>
        <v/>
      </c>
    </row>
    <row r="122">
      <c r="A122" s="57">
        <f>IF(B122="","",118)</f>
        <v/>
      </c>
      <c r="B122" s="58">
        <f>IFERROR(INDEX(Firms!$A$5:$A$504,MATCH(118,Firms!$R$5:$R$504,0))&amp;"","")</f>
        <v/>
      </c>
      <c r="C122" s="59">
        <f>IFERROR(IF(INDEX(Firms!$O$5:$O$504,MATCH(118,Firms!$R$5:$R$504,0))="","",INDEX(Firms!$O$5:$O$504,MATCH(118,Firms!$R$5:$R$504,0))),"")</f>
        <v/>
      </c>
      <c r="D122" s="58">
        <f>IFERROR(INDEX(Firms!$P$5:$P$504,MATCH(118,Firms!$R$5:$R$504,0))&amp;"","")</f>
        <v/>
      </c>
      <c r="E122" s="58">
        <f>IFERROR(INDEX(Firms!$C$5:$C$504,MATCH(118,Firms!$R$5:$R$504,0))&amp;"","")</f>
        <v/>
      </c>
      <c r="F122" s="57">
        <f>IFERROR(INDEX(Firms!$L$5:$L$504,MATCH(118,Firms!$R$5:$R$504,0))&amp;"","")</f>
        <v/>
      </c>
      <c r="G122" s="57">
        <f>IFERROR(INDEX(Firms!$M$5:$M$504,MATCH(118,Firms!$R$5:$R$504,0))&amp;"","")</f>
        <v/>
      </c>
      <c r="H122" s="58">
        <f>IFERROR(INDEX(Firms!$Q$5:$Q$504,MATCH(118,Firms!$R$5:$R$504,0))&amp;"","")</f>
        <v/>
      </c>
    </row>
    <row r="123">
      <c r="A123" s="57">
        <f>IF(B123="","",119)</f>
        <v/>
      </c>
      <c r="B123" s="58">
        <f>IFERROR(INDEX(Firms!$A$5:$A$504,MATCH(119,Firms!$R$5:$R$504,0))&amp;"","")</f>
        <v/>
      </c>
      <c r="C123" s="59">
        <f>IFERROR(IF(INDEX(Firms!$O$5:$O$504,MATCH(119,Firms!$R$5:$R$504,0))="","",INDEX(Firms!$O$5:$O$504,MATCH(119,Firms!$R$5:$R$504,0))),"")</f>
        <v/>
      </c>
      <c r="D123" s="58">
        <f>IFERROR(INDEX(Firms!$P$5:$P$504,MATCH(119,Firms!$R$5:$R$504,0))&amp;"","")</f>
        <v/>
      </c>
      <c r="E123" s="58">
        <f>IFERROR(INDEX(Firms!$C$5:$C$504,MATCH(119,Firms!$R$5:$R$504,0))&amp;"","")</f>
        <v/>
      </c>
      <c r="F123" s="57">
        <f>IFERROR(INDEX(Firms!$L$5:$L$504,MATCH(119,Firms!$R$5:$R$504,0))&amp;"","")</f>
        <v/>
      </c>
      <c r="G123" s="57">
        <f>IFERROR(INDEX(Firms!$M$5:$M$504,MATCH(119,Firms!$R$5:$R$504,0))&amp;"","")</f>
        <v/>
      </c>
      <c r="H123" s="58">
        <f>IFERROR(INDEX(Firms!$Q$5:$Q$504,MATCH(119,Firms!$R$5:$R$504,0))&amp;"","")</f>
        <v/>
      </c>
    </row>
    <row r="124">
      <c r="A124" s="57">
        <f>IF(B124="","",120)</f>
        <v/>
      </c>
      <c r="B124" s="58">
        <f>IFERROR(INDEX(Firms!$A$5:$A$504,MATCH(120,Firms!$R$5:$R$504,0))&amp;"","")</f>
        <v/>
      </c>
      <c r="C124" s="59">
        <f>IFERROR(IF(INDEX(Firms!$O$5:$O$504,MATCH(120,Firms!$R$5:$R$504,0))="","",INDEX(Firms!$O$5:$O$504,MATCH(120,Firms!$R$5:$R$504,0))),"")</f>
        <v/>
      </c>
      <c r="D124" s="58">
        <f>IFERROR(INDEX(Firms!$P$5:$P$504,MATCH(120,Firms!$R$5:$R$504,0))&amp;"","")</f>
        <v/>
      </c>
      <c r="E124" s="58">
        <f>IFERROR(INDEX(Firms!$C$5:$C$504,MATCH(120,Firms!$R$5:$R$504,0))&amp;"","")</f>
        <v/>
      </c>
      <c r="F124" s="57">
        <f>IFERROR(INDEX(Firms!$L$5:$L$504,MATCH(120,Firms!$R$5:$R$504,0))&amp;"","")</f>
        <v/>
      </c>
      <c r="G124" s="57">
        <f>IFERROR(INDEX(Firms!$M$5:$M$504,MATCH(120,Firms!$R$5:$R$504,0))&amp;"","")</f>
        <v/>
      </c>
      <c r="H124" s="58">
        <f>IFERROR(INDEX(Firms!$Q$5:$Q$504,MATCH(120,Firms!$R$5:$R$504,0))&amp;"","")</f>
        <v/>
      </c>
    </row>
    <row r="125">
      <c r="A125" s="57">
        <f>IF(B125="","",121)</f>
        <v/>
      </c>
      <c r="B125" s="58">
        <f>IFERROR(INDEX(Firms!$A$5:$A$504,MATCH(121,Firms!$R$5:$R$504,0))&amp;"","")</f>
        <v/>
      </c>
      <c r="C125" s="59">
        <f>IFERROR(IF(INDEX(Firms!$O$5:$O$504,MATCH(121,Firms!$R$5:$R$504,0))="","",INDEX(Firms!$O$5:$O$504,MATCH(121,Firms!$R$5:$R$504,0))),"")</f>
        <v/>
      </c>
      <c r="D125" s="58">
        <f>IFERROR(INDEX(Firms!$P$5:$P$504,MATCH(121,Firms!$R$5:$R$504,0))&amp;"","")</f>
        <v/>
      </c>
      <c r="E125" s="58">
        <f>IFERROR(INDEX(Firms!$C$5:$C$504,MATCH(121,Firms!$R$5:$R$504,0))&amp;"","")</f>
        <v/>
      </c>
      <c r="F125" s="57">
        <f>IFERROR(INDEX(Firms!$L$5:$L$504,MATCH(121,Firms!$R$5:$R$504,0))&amp;"","")</f>
        <v/>
      </c>
      <c r="G125" s="57">
        <f>IFERROR(INDEX(Firms!$M$5:$M$504,MATCH(121,Firms!$R$5:$R$504,0))&amp;"","")</f>
        <v/>
      </c>
      <c r="H125" s="58">
        <f>IFERROR(INDEX(Firms!$Q$5:$Q$504,MATCH(121,Firms!$R$5:$R$504,0))&amp;"","")</f>
        <v/>
      </c>
    </row>
    <row r="126">
      <c r="A126" s="57">
        <f>IF(B126="","",122)</f>
        <v/>
      </c>
      <c r="B126" s="58">
        <f>IFERROR(INDEX(Firms!$A$5:$A$504,MATCH(122,Firms!$R$5:$R$504,0))&amp;"","")</f>
        <v/>
      </c>
      <c r="C126" s="59">
        <f>IFERROR(IF(INDEX(Firms!$O$5:$O$504,MATCH(122,Firms!$R$5:$R$504,0))="","",INDEX(Firms!$O$5:$O$504,MATCH(122,Firms!$R$5:$R$504,0))),"")</f>
        <v/>
      </c>
      <c r="D126" s="58">
        <f>IFERROR(INDEX(Firms!$P$5:$P$504,MATCH(122,Firms!$R$5:$R$504,0))&amp;"","")</f>
        <v/>
      </c>
      <c r="E126" s="58">
        <f>IFERROR(INDEX(Firms!$C$5:$C$504,MATCH(122,Firms!$R$5:$R$504,0))&amp;"","")</f>
        <v/>
      </c>
      <c r="F126" s="57">
        <f>IFERROR(INDEX(Firms!$L$5:$L$504,MATCH(122,Firms!$R$5:$R$504,0))&amp;"","")</f>
        <v/>
      </c>
      <c r="G126" s="57">
        <f>IFERROR(INDEX(Firms!$M$5:$M$504,MATCH(122,Firms!$R$5:$R$504,0))&amp;"","")</f>
        <v/>
      </c>
      <c r="H126" s="58">
        <f>IFERROR(INDEX(Firms!$Q$5:$Q$504,MATCH(122,Firms!$R$5:$R$504,0))&amp;"","")</f>
        <v/>
      </c>
    </row>
    <row r="127">
      <c r="A127" s="57">
        <f>IF(B127="","",123)</f>
        <v/>
      </c>
      <c r="B127" s="58">
        <f>IFERROR(INDEX(Firms!$A$5:$A$504,MATCH(123,Firms!$R$5:$R$504,0))&amp;"","")</f>
        <v/>
      </c>
      <c r="C127" s="59">
        <f>IFERROR(IF(INDEX(Firms!$O$5:$O$504,MATCH(123,Firms!$R$5:$R$504,0))="","",INDEX(Firms!$O$5:$O$504,MATCH(123,Firms!$R$5:$R$504,0))),"")</f>
        <v/>
      </c>
      <c r="D127" s="58">
        <f>IFERROR(INDEX(Firms!$P$5:$P$504,MATCH(123,Firms!$R$5:$R$504,0))&amp;"","")</f>
        <v/>
      </c>
      <c r="E127" s="58">
        <f>IFERROR(INDEX(Firms!$C$5:$C$504,MATCH(123,Firms!$R$5:$R$504,0))&amp;"","")</f>
        <v/>
      </c>
      <c r="F127" s="57">
        <f>IFERROR(INDEX(Firms!$L$5:$L$504,MATCH(123,Firms!$R$5:$R$504,0))&amp;"","")</f>
        <v/>
      </c>
      <c r="G127" s="57">
        <f>IFERROR(INDEX(Firms!$M$5:$M$504,MATCH(123,Firms!$R$5:$R$504,0))&amp;"","")</f>
        <v/>
      </c>
      <c r="H127" s="58">
        <f>IFERROR(INDEX(Firms!$Q$5:$Q$504,MATCH(123,Firms!$R$5:$R$504,0))&amp;"","")</f>
        <v/>
      </c>
    </row>
    <row r="128">
      <c r="A128" s="57">
        <f>IF(B128="","",124)</f>
        <v/>
      </c>
      <c r="B128" s="58">
        <f>IFERROR(INDEX(Firms!$A$5:$A$504,MATCH(124,Firms!$R$5:$R$504,0))&amp;"","")</f>
        <v/>
      </c>
      <c r="C128" s="59">
        <f>IFERROR(IF(INDEX(Firms!$O$5:$O$504,MATCH(124,Firms!$R$5:$R$504,0))="","",INDEX(Firms!$O$5:$O$504,MATCH(124,Firms!$R$5:$R$504,0))),"")</f>
        <v/>
      </c>
      <c r="D128" s="58">
        <f>IFERROR(INDEX(Firms!$P$5:$P$504,MATCH(124,Firms!$R$5:$R$504,0))&amp;"","")</f>
        <v/>
      </c>
      <c r="E128" s="58">
        <f>IFERROR(INDEX(Firms!$C$5:$C$504,MATCH(124,Firms!$R$5:$R$504,0))&amp;"","")</f>
        <v/>
      </c>
      <c r="F128" s="57">
        <f>IFERROR(INDEX(Firms!$L$5:$L$504,MATCH(124,Firms!$R$5:$R$504,0))&amp;"","")</f>
        <v/>
      </c>
      <c r="G128" s="57">
        <f>IFERROR(INDEX(Firms!$M$5:$M$504,MATCH(124,Firms!$R$5:$R$504,0))&amp;"","")</f>
        <v/>
      </c>
      <c r="H128" s="58">
        <f>IFERROR(INDEX(Firms!$Q$5:$Q$504,MATCH(124,Firms!$R$5:$R$504,0))&amp;"","")</f>
        <v/>
      </c>
    </row>
    <row r="129">
      <c r="A129" s="57">
        <f>IF(B129="","",125)</f>
        <v/>
      </c>
      <c r="B129" s="58">
        <f>IFERROR(INDEX(Firms!$A$5:$A$504,MATCH(125,Firms!$R$5:$R$504,0))&amp;"","")</f>
        <v/>
      </c>
      <c r="C129" s="59">
        <f>IFERROR(IF(INDEX(Firms!$O$5:$O$504,MATCH(125,Firms!$R$5:$R$504,0))="","",INDEX(Firms!$O$5:$O$504,MATCH(125,Firms!$R$5:$R$504,0))),"")</f>
        <v/>
      </c>
      <c r="D129" s="58">
        <f>IFERROR(INDEX(Firms!$P$5:$P$504,MATCH(125,Firms!$R$5:$R$504,0))&amp;"","")</f>
        <v/>
      </c>
      <c r="E129" s="58">
        <f>IFERROR(INDEX(Firms!$C$5:$C$504,MATCH(125,Firms!$R$5:$R$504,0))&amp;"","")</f>
        <v/>
      </c>
      <c r="F129" s="57">
        <f>IFERROR(INDEX(Firms!$L$5:$L$504,MATCH(125,Firms!$R$5:$R$504,0))&amp;"","")</f>
        <v/>
      </c>
      <c r="G129" s="57">
        <f>IFERROR(INDEX(Firms!$M$5:$M$504,MATCH(125,Firms!$R$5:$R$504,0))&amp;"","")</f>
        <v/>
      </c>
      <c r="H129" s="58">
        <f>IFERROR(INDEX(Firms!$Q$5:$Q$504,MATCH(125,Firms!$R$5:$R$504,0))&amp;"","")</f>
        <v/>
      </c>
    </row>
    <row r="130">
      <c r="A130" s="57">
        <f>IF(B130="","",126)</f>
        <v/>
      </c>
      <c r="B130" s="58">
        <f>IFERROR(INDEX(Firms!$A$5:$A$504,MATCH(126,Firms!$R$5:$R$504,0))&amp;"","")</f>
        <v/>
      </c>
      <c r="C130" s="59">
        <f>IFERROR(IF(INDEX(Firms!$O$5:$O$504,MATCH(126,Firms!$R$5:$R$504,0))="","",INDEX(Firms!$O$5:$O$504,MATCH(126,Firms!$R$5:$R$504,0))),"")</f>
        <v/>
      </c>
      <c r="D130" s="58">
        <f>IFERROR(INDEX(Firms!$P$5:$P$504,MATCH(126,Firms!$R$5:$R$504,0))&amp;"","")</f>
        <v/>
      </c>
      <c r="E130" s="58">
        <f>IFERROR(INDEX(Firms!$C$5:$C$504,MATCH(126,Firms!$R$5:$R$504,0))&amp;"","")</f>
        <v/>
      </c>
      <c r="F130" s="57">
        <f>IFERROR(INDEX(Firms!$L$5:$L$504,MATCH(126,Firms!$R$5:$R$504,0))&amp;"","")</f>
        <v/>
      </c>
      <c r="G130" s="57">
        <f>IFERROR(INDEX(Firms!$M$5:$M$504,MATCH(126,Firms!$R$5:$R$504,0))&amp;"","")</f>
        <v/>
      </c>
      <c r="H130" s="58">
        <f>IFERROR(INDEX(Firms!$Q$5:$Q$504,MATCH(126,Firms!$R$5:$R$504,0))&amp;"","")</f>
        <v/>
      </c>
    </row>
    <row r="131">
      <c r="A131" s="57">
        <f>IF(B131="","",127)</f>
        <v/>
      </c>
      <c r="B131" s="58">
        <f>IFERROR(INDEX(Firms!$A$5:$A$504,MATCH(127,Firms!$R$5:$R$504,0))&amp;"","")</f>
        <v/>
      </c>
      <c r="C131" s="59">
        <f>IFERROR(IF(INDEX(Firms!$O$5:$O$504,MATCH(127,Firms!$R$5:$R$504,0))="","",INDEX(Firms!$O$5:$O$504,MATCH(127,Firms!$R$5:$R$504,0))),"")</f>
        <v/>
      </c>
      <c r="D131" s="58">
        <f>IFERROR(INDEX(Firms!$P$5:$P$504,MATCH(127,Firms!$R$5:$R$504,0))&amp;"","")</f>
        <v/>
      </c>
      <c r="E131" s="58">
        <f>IFERROR(INDEX(Firms!$C$5:$C$504,MATCH(127,Firms!$R$5:$R$504,0))&amp;"","")</f>
        <v/>
      </c>
      <c r="F131" s="57">
        <f>IFERROR(INDEX(Firms!$L$5:$L$504,MATCH(127,Firms!$R$5:$R$504,0))&amp;"","")</f>
        <v/>
      </c>
      <c r="G131" s="57">
        <f>IFERROR(INDEX(Firms!$M$5:$M$504,MATCH(127,Firms!$R$5:$R$504,0))&amp;"","")</f>
        <v/>
      </c>
      <c r="H131" s="58">
        <f>IFERROR(INDEX(Firms!$Q$5:$Q$504,MATCH(127,Firms!$R$5:$R$504,0))&amp;"","")</f>
        <v/>
      </c>
    </row>
    <row r="132">
      <c r="A132" s="57">
        <f>IF(B132="","",128)</f>
        <v/>
      </c>
      <c r="B132" s="58">
        <f>IFERROR(INDEX(Firms!$A$5:$A$504,MATCH(128,Firms!$R$5:$R$504,0))&amp;"","")</f>
        <v/>
      </c>
      <c r="C132" s="59">
        <f>IFERROR(IF(INDEX(Firms!$O$5:$O$504,MATCH(128,Firms!$R$5:$R$504,0))="","",INDEX(Firms!$O$5:$O$504,MATCH(128,Firms!$R$5:$R$504,0))),"")</f>
        <v/>
      </c>
      <c r="D132" s="58">
        <f>IFERROR(INDEX(Firms!$P$5:$P$504,MATCH(128,Firms!$R$5:$R$504,0))&amp;"","")</f>
        <v/>
      </c>
      <c r="E132" s="58">
        <f>IFERROR(INDEX(Firms!$C$5:$C$504,MATCH(128,Firms!$R$5:$R$504,0))&amp;"","")</f>
        <v/>
      </c>
      <c r="F132" s="57">
        <f>IFERROR(INDEX(Firms!$L$5:$L$504,MATCH(128,Firms!$R$5:$R$504,0))&amp;"","")</f>
        <v/>
      </c>
      <c r="G132" s="57">
        <f>IFERROR(INDEX(Firms!$M$5:$M$504,MATCH(128,Firms!$R$5:$R$504,0))&amp;"","")</f>
        <v/>
      </c>
      <c r="H132" s="58">
        <f>IFERROR(INDEX(Firms!$Q$5:$Q$504,MATCH(128,Firms!$R$5:$R$504,0))&amp;"","")</f>
        <v/>
      </c>
    </row>
    <row r="133">
      <c r="A133" s="57">
        <f>IF(B133="","",129)</f>
        <v/>
      </c>
      <c r="B133" s="58">
        <f>IFERROR(INDEX(Firms!$A$5:$A$504,MATCH(129,Firms!$R$5:$R$504,0))&amp;"","")</f>
        <v/>
      </c>
      <c r="C133" s="59">
        <f>IFERROR(IF(INDEX(Firms!$O$5:$O$504,MATCH(129,Firms!$R$5:$R$504,0))="","",INDEX(Firms!$O$5:$O$504,MATCH(129,Firms!$R$5:$R$504,0))),"")</f>
        <v/>
      </c>
      <c r="D133" s="58">
        <f>IFERROR(INDEX(Firms!$P$5:$P$504,MATCH(129,Firms!$R$5:$R$504,0))&amp;"","")</f>
        <v/>
      </c>
      <c r="E133" s="58">
        <f>IFERROR(INDEX(Firms!$C$5:$C$504,MATCH(129,Firms!$R$5:$R$504,0))&amp;"","")</f>
        <v/>
      </c>
      <c r="F133" s="57">
        <f>IFERROR(INDEX(Firms!$L$5:$L$504,MATCH(129,Firms!$R$5:$R$504,0))&amp;"","")</f>
        <v/>
      </c>
      <c r="G133" s="57">
        <f>IFERROR(INDEX(Firms!$M$5:$M$504,MATCH(129,Firms!$R$5:$R$504,0))&amp;"","")</f>
        <v/>
      </c>
      <c r="H133" s="58">
        <f>IFERROR(INDEX(Firms!$Q$5:$Q$504,MATCH(129,Firms!$R$5:$R$504,0))&amp;"","")</f>
        <v/>
      </c>
    </row>
    <row r="134">
      <c r="A134" s="57">
        <f>IF(B134="","",130)</f>
        <v/>
      </c>
      <c r="B134" s="58">
        <f>IFERROR(INDEX(Firms!$A$5:$A$504,MATCH(130,Firms!$R$5:$R$504,0))&amp;"","")</f>
        <v/>
      </c>
      <c r="C134" s="59">
        <f>IFERROR(IF(INDEX(Firms!$O$5:$O$504,MATCH(130,Firms!$R$5:$R$504,0))="","",INDEX(Firms!$O$5:$O$504,MATCH(130,Firms!$R$5:$R$504,0))),"")</f>
        <v/>
      </c>
      <c r="D134" s="58">
        <f>IFERROR(INDEX(Firms!$P$5:$P$504,MATCH(130,Firms!$R$5:$R$504,0))&amp;"","")</f>
        <v/>
      </c>
      <c r="E134" s="58">
        <f>IFERROR(INDEX(Firms!$C$5:$C$504,MATCH(130,Firms!$R$5:$R$504,0))&amp;"","")</f>
        <v/>
      </c>
      <c r="F134" s="57">
        <f>IFERROR(INDEX(Firms!$L$5:$L$504,MATCH(130,Firms!$R$5:$R$504,0))&amp;"","")</f>
        <v/>
      </c>
      <c r="G134" s="57">
        <f>IFERROR(INDEX(Firms!$M$5:$M$504,MATCH(130,Firms!$R$5:$R$504,0))&amp;"","")</f>
        <v/>
      </c>
      <c r="H134" s="58">
        <f>IFERROR(INDEX(Firms!$Q$5:$Q$504,MATCH(130,Firms!$R$5:$R$504,0))&amp;"","")</f>
        <v/>
      </c>
    </row>
    <row r="135">
      <c r="A135" s="57">
        <f>IF(B135="","",131)</f>
        <v/>
      </c>
      <c r="B135" s="58">
        <f>IFERROR(INDEX(Firms!$A$5:$A$504,MATCH(131,Firms!$R$5:$R$504,0))&amp;"","")</f>
        <v/>
      </c>
      <c r="C135" s="59">
        <f>IFERROR(IF(INDEX(Firms!$O$5:$O$504,MATCH(131,Firms!$R$5:$R$504,0))="","",INDEX(Firms!$O$5:$O$504,MATCH(131,Firms!$R$5:$R$504,0))),"")</f>
        <v/>
      </c>
      <c r="D135" s="58">
        <f>IFERROR(INDEX(Firms!$P$5:$P$504,MATCH(131,Firms!$R$5:$R$504,0))&amp;"","")</f>
        <v/>
      </c>
      <c r="E135" s="58">
        <f>IFERROR(INDEX(Firms!$C$5:$C$504,MATCH(131,Firms!$R$5:$R$504,0))&amp;"","")</f>
        <v/>
      </c>
      <c r="F135" s="57">
        <f>IFERROR(INDEX(Firms!$L$5:$L$504,MATCH(131,Firms!$R$5:$R$504,0))&amp;"","")</f>
        <v/>
      </c>
      <c r="G135" s="57">
        <f>IFERROR(INDEX(Firms!$M$5:$M$504,MATCH(131,Firms!$R$5:$R$504,0))&amp;"","")</f>
        <v/>
      </c>
      <c r="H135" s="58">
        <f>IFERROR(INDEX(Firms!$Q$5:$Q$504,MATCH(131,Firms!$R$5:$R$504,0))&amp;"","")</f>
        <v/>
      </c>
    </row>
    <row r="136">
      <c r="A136" s="57">
        <f>IF(B136="","",132)</f>
        <v/>
      </c>
      <c r="B136" s="58">
        <f>IFERROR(INDEX(Firms!$A$5:$A$504,MATCH(132,Firms!$R$5:$R$504,0))&amp;"","")</f>
        <v/>
      </c>
      <c r="C136" s="59">
        <f>IFERROR(IF(INDEX(Firms!$O$5:$O$504,MATCH(132,Firms!$R$5:$R$504,0))="","",INDEX(Firms!$O$5:$O$504,MATCH(132,Firms!$R$5:$R$504,0))),"")</f>
        <v/>
      </c>
      <c r="D136" s="58">
        <f>IFERROR(INDEX(Firms!$P$5:$P$504,MATCH(132,Firms!$R$5:$R$504,0))&amp;"","")</f>
        <v/>
      </c>
      <c r="E136" s="58">
        <f>IFERROR(INDEX(Firms!$C$5:$C$504,MATCH(132,Firms!$R$5:$R$504,0))&amp;"","")</f>
        <v/>
      </c>
      <c r="F136" s="57">
        <f>IFERROR(INDEX(Firms!$L$5:$L$504,MATCH(132,Firms!$R$5:$R$504,0))&amp;"","")</f>
        <v/>
      </c>
      <c r="G136" s="57">
        <f>IFERROR(INDEX(Firms!$M$5:$M$504,MATCH(132,Firms!$R$5:$R$504,0))&amp;"","")</f>
        <v/>
      </c>
      <c r="H136" s="58">
        <f>IFERROR(INDEX(Firms!$Q$5:$Q$504,MATCH(132,Firms!$R$5:$R$504,0))&amp;"","")</f>
        <v/>
      </c>
    </row>
    <row r="137">
      <c r="A137" s="57">
        <f>IF(B137="","",133)</f>
        <v/>
      </c>
      <c r="B137" s="58">
        <f>IFERROR(INDEX(Firms!$A$5:$A$504,MATCH(133,Firms!$R$5:$R$504,0))&amp;"","")</f>
        <v/>
      </c>
      <c r="C137" s="59">
        <f>IFERROR(IF(INDEX(Firms!$O$5:$O$504,MATCH(133,Firms!$R$5:$R$504,0))="","",INDEX(Firms!$O$5:$O$504,MATCH(133,Firms!$R$5:$R$504,0))),"")</f>
        <v/>
      </c>
      <c r="D137" s="58">
        <f>IFERROR(INDEX(Firms!$P$5:$P$504,MATCH(133,Firms!$R$5:$R$504,0))&amp;"","")</f>
        <v/>
      </c>
      <c r="E137" s="58">
        <f>IFERROR(INDEX(Firms!$C$5:$C$504,MATCH(133,Firms!$R$5:$R$504,0))&amp;"","")</f>
        <v/>
      </c>
      <c r="F137" s="57">
        <f>IFERROR(INDEX(Firms!$L$5:$L$504,MATCH(133,Firms!$R$5:$R$504,0))&amp;"","")</f>
        <v/>
      </c>
      <c r="G137" s="57">
        <f>IFERROR(INDEX(Firms!$M$5:$M$504,MATCH(133,Firms!$R$5:$R$504,0))&amp;"","")</f>
        <v/>
      </c>
      <c r="H137" s="58">
        <f>IFERROR(INDEX(Firms!$Q$5:$Q$504,MATCH(133,Firms!$R$5:$R$504,0))&amp;"","")</f>
        <v/>
      </c>
    </row>
    <row r="138">
      <c r="A138" s="57">
        <f>IF(B138="","",134)</f>
        <v/>
      </c>
      <c r="B138" s="58">
        <f>IFERROR(INDEX(Firms!$A$5:$A$504,MATCH(134,Firms!$R$5:$R$504,0))&amp;"","")</f>
        <v/>
      </c>
      <c r="C138" s="59">
        <f>IFERROR(IF(INDEX(Firms!$O$5:$O$504,MATCH(134,Firms!$R$5:$R$504,0))="","",INDEX(Firms!$O$5:$O$504,MATCH(134,Firms!$R$5:$R$504,0))),"")</f>
        <v/>
      </c>
      <c r="D138" s="58">
        <f>IFERROR(INDEX(Firms!$P$5:$P$504,MATCH(134,Firms!$R$5:$R$504,0))&amp;"","")</f>
        <v/>
      </c>
      <c r="E138" s="58">
        <f>IFERROR(INDEX(Firms!$C$5:$C$504,MATCH(134,Firms!$R$5:$R$504,0))&amp;"","")</f>
        <v/>
      </c>
      <c r="F138" s="57">
        <f>IFERROR(INDEX(Firms!$L$5:$L$504,MATCH(134,Firms!$R$5:$R$504,0))&amp;"","")</f>
        <v/>
      </c>
      <c r="G138" s="57">
        <f>IFERROR(INDEX(Firms!$M$5:$M$504,MATCH(134,Firms!$R$5:$R$504,0))&amp;"","")</f>
        <v/>
      </c>
      <c r="H138" s="58">
        <f>IFERROR(INDEX(Firms!$Q$5:$Q$504,MATCH(134,Firms!$R$5:$R$504,0))&amp;"","")</f>
        <v/>
      </c>
    </row>
    <row r="139">
      <c r="A139" s="57">
        <f>IF(B139="","",135)</f>
        <v/>
      </c>
      <c r="B139" s="58">
        <f>IFERROR(INDEX(Firms!$A$5:$A$504,MATCH(135,Firms!$R$5:$R$504,0))&amp;"","")</f>
        <v/>
      </c>
      <c r="C139" s="59">
        <f>IFERROR(IF(INDEX(Firms!$O$5:$O$504,MATCH(135,Firms!$R$5:$R$504,0))="","",INDEX(Firms!$O$5:$O$504,MATCH(135,Firms!$R$5:$R$504,0))),"")</f>
        <v/>
      </c>
      <c r="D139" s="58">
        <f>IFERROR(INDEX(Firms!$P$5:$P$504,MATCH(135,Firms!$R$5:$R$504,0))&amp;"","")</f>
        <v/>
      </c>
      <c r="E139" s="58">
        <f>IFERROR(INDEX(Firms!$C$5:$C$504,MATCH(135,Firms!$R$5:$R$504,0))&amp;"","")</f>
        <v/>
      </c>
      <c r="F139" s="57">
        <f>IFERROR(INDEX(Firms!$L$5:$L$504,MATCH(135,Firms!$R$5:$R$504,0))&amp;"","")</f>
        <v/>
      </c>
      <c r="G139" s="57">
        <f>IFERROR(INDEX(Firms!$M$5:$M$504,MATCH(135,Firms!$R$5:$R$504,0))&amp;"","")</f>
        <v/>
      </c>
      <c r="H139" s="58">
        <f>IFERROR(INDEX(Firms!$Q$5:$Q$504,MATCH(135,Firms!$R$5:$R$504,0))&amp;"","")</f>
        <v/>
      </c>
    </row>
    <row r="140">
      <c r="A140" s="57">
        <f>IF(B140="","",136)</f>
        <v/>
      </c>
      <c r="B140" s="58">
        <f>IFERROR(INDEX(Firms!$A$5:$A$504,MATCH(136,Firms!$R$5:$R$504,0))&amp;"","")</f>
        <v/>
      </c>
      <c r="C140" s="59">
        <f>IFERROR(IF(INDEX(Firms!$O$5:$O$504,MATCH(136,Firms!$R$5:$R$504,0))="","",INDEX(Firms!$O$5:$O$504,MATCH(136,Firms!$R$5:$R$504,0))),"")</f>
        <v/>
      </c>
      <c r="D140" s="58">
        <f>IFERROR(INDEX(Firms!$P$5:$P$504,MATCH(136,Firms!$R$5:$R$504,0))&amp;"","")</f>
        <v/>
      </c>
      <c r="E140" s="58">
        <f>IFERROR(INDEX(Firms!$C$5:$C$504,MATCH(136,Firms!$R$5:$R$504,0))&amp;"","")</f>
        <v/>
      </c>
      <c r="F140" s="57">
        <f>IFERROR(INDEX(Firms!$L$5:$L$504,MATCH(136,Firms!$R$5:$R$504,0))&amp;"","")</f>
        <v/>
      </c>
      <c r="G140" s="57">
        <f>IFERROR(INDEX(Firms!$M$5:$M$504,MATCH(136,Firms!$R$5:$R$504,0))&amp;"","")</f>
        <v/>
      </c>
      <c r="H140" s="58">
        <f>IFERROR(INDEX(Firms!$Q$5:$Q$504,MATCH(136,Firms!$R$5:$R$504,0))&amp;"","")</f>
        <v/>
      </c>
    </row>
    <row r="141">
      <c r="A141" s="57">
        <f>IF(B141="","",137)</f>
        <v/>
      </c>
      <c r="B141" s="58">
        <f>IFERROR(INDEX(Firms!$A$5:$A$504,MATCH(137,Firms!$R$5:$R$504,0))&amp;"","")</f>
        <v/>
      </c>
      <c r="C141" s="59">
        <f>IFERROR(IF(INDEX(Firms!$O$5:$O$504,MATCH(137,Firms!$R$5:$R$504,0))="","",INDEX(Firms!$O$5:$O$504,MATCH(137,Firms!$R$5:$R$504,0))),"")</f>
        <v/>
      </c>
      <c r="D141" s="58">
        <f>IFERROR(INDEX(Firms!$P$5:$P$504,MATCH(137,Firms!$R$5:$R$504,0))&amp;"","")</f>
        <v/>
      </c>
      <c r="E141" s="58">
        <f>IFERROR(INDEX(Firms!$C$5:$C$504,MATCH(137,Firms!$R$5:$R$504,0))&amp;"","")</f>
        <v/>
      </c>
      <c r="F141" s="57">
        <f>IFERROR(INDEX(Firms!$L$5:$L$504,MATCH(137,Firms!$R$5:$R$504,0))&amp;"","")</f>
        <v/>
      </c>
      <c r="G141" s="57">
        <f>IFERROR(INDEX(Firms!$M$5:$M$504,MATCH(137,Firms!$R$5:$R$504,0))&amp;"","")</f>
        <v/>
      </c>
      <c r="H141" s="58">
        <f>IFERROR(INDEX(Firms!$Q$5:$Q$504,MATCH(137,Firms!$R$5:$R$504,0))&amp;"","")</f>
        <v/>
      </c>
    </row>
    <row r="142">
      <c r="A142" s="57">
        <f>IF(B142="","",138)</f>
        <v/>
      </c>
      <c r="B142" s="58">
        <f>IFERROR(INDEX(Firms!$A$5:$A$504,MATCH(138,Firms!$R$5:$R$504,0))&amp;"","")</f>
        <v/>
      </c>
      <c r="C142" s="59">
        <f>IFERROR(IF(INDEX(Firms!$O$5:$O$504,MATCH(138,Firms!$R$5:$R$504,0))="","",INDEX(Firms!$O$5:$O$504,MATCH(138,Firms!$R$5:$R$504,0))),"")</f>
        <v/>
      </c>
      <c r="D142" s="58">
        <f>IFERROR(INDEX(Firms!$P$5:$P$504,MATCH(138,Firms!$R$5:$R$504,0))&amp;"","")</f>
        <v/>
      </c>
      <c r="E142" s="58">
        <f>IFERROR(INDEX(Firms!$C$5:$C$504,MATCH(138,Firms!$R$5:$R$504,0))&amp;"","")</f>
        <v/>
      </c>
      <c r="F142" s="57">
        <f>IFERROR(INDEX(Firms!$L$5:$L$504,MATCH(138,Firms!$R$5:$R$504,0))&amp;"","")</f>
        <v/>
      </c>
      <c r="G142" s="57">
        <f>IFERROR(INDEX(Firms!$M$5:$M$504,MATCH(138,Firms!$R$5:$R$504,0))&amp;"","")</f>
        <v/>
      </c>
      <c r="H142" s="58">
        <f>IFERROR(INDEX(Firms!$Q$5:$Q$504,MATCH(138,Firms!$R$5:$R$504,0))&amp;"","")</f>
        <v/>
      </c>
    </row>
    <row r="143">
      <c r="A143" s="57">
        <f>IF(B143="","",139)</f>
        <v/>
      </c>
      <c r="B143" s="58">
        <f>IFERROR(INDEX(Firms!$A$5:$A$504,MATCH(139,Firms!$R$5:$R$504,0))&amp;"","")</f>
        <v/>
      </c>
      <c r="C143" s="59">
        <f>IFERROR(IF(INDEX(Firms!$O$5:$O$504,MATCH(139,Firms!$R$5:$R$504,0))="","",INDEX(Firms!$O$5:$O$504,MATCH(139,Firms!$R$5:$R$504,0))),"")</f>
        <v/>
      </c>
      <c r="D143" s="58">
        <f>IFERROR(INDEX(Firms!$P$5:$P$504,MATCH(139,Firms!$R$5:$R$504,0))&amp;"","")</f>
        <v/>
      </c>
      <c r="E143" s="58">
        <f>IFERROR(INDEX(Firms!$C$5:$C$504,MATCH(139,Firms!$R$5:$R$504,0))&amp;"","")</f>
        <v/>
      </c>
      <c r="F143" s="57">
        <f>IFERROR(INDEX(Firms!$L$5:$L$504,MATCH(139,Firms!$R$5:$R$504,0))&amp;"","")</f>
        <v/>
      </c>
      <c r="G143" s="57">
        <f>IFERROR(INDEX(Firms!$M$5:$M$504,MATCH(139,Firms!$R$5:$R$504,0))&amp;"","")</f>
        <v/>
      </c>
      <c r="H143" s="58">
        <f>IFERROR(INDEX(Firms!$Q$5:$Q$504,MATCH(139,Firms!$R$5:$R$504,0))&amp;"","")</f>
        <v/>
      </c>
    </row>
    <row r="144">
      <c r="A144" s="57">
        <f>IF(B144="","",140)</f>
        <v/>
      </c>
      <c r="B144" s="58">
        <f>IFERROR(INDEX(Firms!$A$5:$A$504,MATCH(140,Firms!$R$5:$R$504,0))&amp;"","")</f>
        <v/>
      </c>
      <c r="C144" s="59">
        <f>IFERROR(IF(INDEX(Firms!$O$5:$O$504,MATCH(140,Firms!$R$5:$R$504,0))="","",INDEX(Firms!$O$5:$O$504,MATCH(140,Firms!$R$5:$R$504,0))),"")</f>
        <v/>
      </c>
      <c r="D144" s="58">
        <f>IFERROR(INDEX(Firms!$P$5:$P$504,MATCH(140,Firms!$R$5:$R$504,0))&amp;"","")</f>
        <v/>
      </c>
      <c r="E144" s="58">
        <f>IFERROR(INDEX(Firms!$C$5:$C$504,MATCH(140,Firms!$R$5:$R$504,0))&amp;"","")</f>
        <v/>
      </c>
      <c r="F144" s="57">
        <f>IFERROR(INDEX(Firms!$L$5:$L$504,MATCH(140,Firms!$R$5:$R$504,0))&amp;"","")</f>
        <v/>
      </c>
      <c r="G144" s="57">
        <f>IFERROR(INDEX(Firms!$M$5:$M$504,MATCH(140,Firms!$R$5:$R$504,0))&amp;"","")</f>
        <v/>
      </c>
      <c r="H144" s="58">
        <f>IFERROR(INDEX(Firms!$Q$5:$Q$504,MATCH(140,Firms!$R$5:$R$504,0))&amp;"","")</f>
        <v/>
      </c>
    </row>
    <row r="145">
      <c r="A145" s="57">
        <f>IF(B145="","",141)</f>
        <v/>
      </c>
      <c r="B145" s="58">
        <f>IFERROR(INDEX(Firms!$A$5:$A$504,MATCH(141,Firms!$R$5:$R$504,0))&amp;"","")</f>
        <v/>
      </c>
      <c r="C145" s="59">
        <f>IFERROR(IF(INDEX(Firms!$O$5:$O$504,MATCH(141,Firms!$R$5:$R$504,0))="","",INDEX(Firms!$O$5:$O$504,MATCH(141,Firms!$R$5:$R$504,0))),"")</f>
        <v/>
      </c>
      <c r="D145" s="58">
        <f>IFERROR(INDEX(Firms!$P$5:$P$504,MATCH(141,Firms!$R$5:$R$504,0))&amp;"","")</f>
        <v/>
      </c>
      <c r="E145" s="58">
        <f>IFERROR(INDEX(Firms!$C$5:$C$504,MATCH(141,Firms!$R$5:$R$504,0))&amp;"","")</f>
        <v/>
      </c>
      <c r="F145" s="57">
        <f>IFERROR(INDEX(Firms!$L$5:$L$504,MATCH(141,Firms!$R$5:$R$504,0))&amp;"","")</f>
        <v/>
      </c>
      <c r="G145" s="57">
        <f>IFERROR(INDEX(Firms!$M$5:$M$504,MATCH(141,Firms!$R$5:$R$504,0))&amp;"","")</f>
        <v/>
      </c>
      <c r="H145" s="58">
        <f>IFERROR(INDEX(Firms!$Q$5:$Q$504,MATCH(141,Firms!$R$5:$R$504,0))&amp;"","")</f>
        <v/>
      </c>
    </row>
    <row r="146">
      <c r="A146" s="57">
        <f>IF(B146="","",142)</f>
        <v/>
      </c>
      <c r="B146" s="58">
        <f>IFERROR(INDEX(Firms!$A$5:$A$504,MATCH(142,Firms!$R$5:$R$504,0))&amp;"","")</f>
        <v/>
      </c>
      <c r="C146" s="59">
        <f>IFERROR(IF(INDEX(Firms!$O$5:$O$504,MATCH(142,Firms!$R$5:$R$504,0))="","",INDEX(Firms!$O$5:$O$504,MATCH(142,Firms!$R$5:$R$504,0))),"")</f>
        <v/>
      </c>
      <c r="D146" s="58">
        <f>IFERROR(INDEX(Firms!$P$5:$P$504,MATCH(142,Firms!$R$5:$R$504,0))&amp;"","")</f>
        <v/>
      </c>
      <c r="E146" s="58">
        <f>IFERROR(INDEX(Firms!$C$5:$C$504,MATCH(142,Firms!$R$5:$R$504,0))&amp;"","")</f>
        <v/>
      </c>
      <c r="F146" s="57">
        <f>IFERROR(INDEX(Firms!$L$5:$L$504,MATCH(142,Firms!$R$5:$R$504,0))&amp;"","")</f>
        <v/>
      </c>
      <c r="G146" s="57">
        <f>IFERROR(INDEX(Firms!$M$5:$M$504,MATCH(142,Firms!$R$5:$R$504,0))&amp;"","")</f>
        <v/>
      </c>
      <c r="H146" s="58">
        <f>IFERROR(INDEX(Firms!$Q$5:$Q$504,MATCH(142,Firms!$R$5:$R$504,0))&amp;"","")</f>
        <v/>
      </c>
    </row>
    <row r="147">
      <c r="A147" s="57">
        <f>IF(B147="","",143)</f>
        <v/>
      </c>
      <c r="B147" s="58">
        <f>IFERROR(INDEX(Firms!$A$5:$A$504,MATCH(143,Firms!$R$5:$R$504,0))&amp;"","")</f>
        <v/>
      </c>
      <c r="C147" s="59">
        <f>IFERROR(IF(INDEX(Firms!$O$5:$O$504,MATCH(143,Firms!$R$5:$R$504,0))="","",INDEX(Firms!$O$5:$O$504,MATCH(143,Firms!$R$5:$R$504,0))),"")</f>
        <v/>
      </c>
      <c r="D147" s="58">
        <f>IFERROR(INDEX(Firms!$P$5:$P$504,MATCH(143,Firms!$R$5:$R$504,0))&amp;"","")</f>
        <v/>
      </c>
      <c r="E147" s="58">
        <f>IFERROR(INDEX(Firms!$C$5:$C$504,MATCH(143,Firms!$R$5:$R$504,0))&amp;"","")</f>
        <v/>
      </c>
      <c r="F147" s="57">
        <f>IFERROR(INDEX(Firms!$L$5:$L$504,MATCH(143,Firms!$R$5:$R$504,0))&amp;"","")</f>
        <v/>
      </c>
      <c r="G147" s="57">
        <f>IFERROR(INDEX(Firms!$M$5:$M$504,MATCH(143,Firms!$R$5:$R$504,0))&amp;"","")</f>
        <v/>
      </c>
      <c r="H147" s="58">
        <f>IFERROR(INDEX(Firms!$Q$5:$Q$504,MATCH(143,Firms!$R$5:$R$504,0))&amp;"","")</f>
        <v/>
      </c>
    </row>
    <row r="148">
      <c r="A148" s="57">
        <f>IF(B148="","",144)</f>
        <v/>
      </c>
      <c r="B148" s="58">
        <f>IFERROR(INDEX(Firms!$A$5:$A$504,MATCH(144,Firms!$R$5:$R$504,0))&amp;"","")</f>
        <v/>
      </c>
      <c r="C148" s="59">
        <f>IFERROR(IF(INDEX(Firms!$O$5:$O$504,MATCH(144,Firms!$R$5:$R$504,0))="","",INDEX(Firms!$O$5:$O$504,MATCH(144,Firms!$R$5:$R$504,0))),"")</f>
        <v/>
      </c>
      <c r="D148" s="58">
        <f>IFERROR(INDEX(Firms!$P$5:$P$504,MATCH(144,Firms!$R$5:$R$504,0))&amp;"","")</f>
        <v/>
      </c>
      <c r="E148" s="58">
        <f>IFERROR(INDEX(Firms!$C$5:$C$504,MATCH(144,Firms!$R$5:$R$504,0))&amp;"","")</f>
        <v/>
      </c>
      <c r="F148" s="57">
        <f>IFERROR(INDEX(Firms!$L$5:$L$504,MATCH(144,Firms!$R$5:$R$504,0))&amp;"","")</f>
        <v/>
      </c>
      <c r="G148" s="57">
        <f>IFERROR(INDEX(Firms!$M$5:$M$504,MATCH(144,Firms!$R$5:$R$504,0))&amp;"","")</f>
        <v/>
      </c>
      <c r="H148" s="58">
        <f>IFERROR(INDEX(Firms!$Q$5:$Q$504,MATCH(144,Firms!$R$5:$R$504,0))&amp;"","")</f>
        <v/>
      </c>
    </row>
    <row r="149">
      <c r="A149" s="57">
        <f>IF(B149="","",145)</f>
        <v/>
      </c>
      <c r="B149" s="58">
        <f>IFERROR(INDEX(Firms!$A$5:$A$504,MATCH(145,Firms!$R$5:$R$504,0))&amp;"","")</f>
        <v/>
      </c>
      <c r="C149" s="59">
        <f>IFERROR(IF(INDEX(Firms!$O$5:$O$504,MATCH(145,Firms!$R$5:$R$504,0))="","",INDEX(Firms!$O$5:$O$504,MATCH(145,Firms!$R$5:$R$504,0))),"")</f>
        <v/>
      </c>
      <c r="D149" s="58">
        <f>IFERROR(INDEX(Firms!$P$5:$P$504,MATCH(145,Firms!$R$5:$R$504,0))&amp;"","")</f>
        <v/>
      </c>
      <c r="E149" s="58">
        <f>IFERROR(INDEX(Firms!$C$5:$C$504,MATCH(145,Firms!$R$5:$R$504,0))&amp;"","")</f>
        <v/>
      </c>
      <c r="F149" s="57">
        <f>IFERROR(INDEX(Firms!$L$5:$L$504,MATCH(145,Firms!$R$5:$R$504,0))&amp;"","")</f>
        <v/>
      </c>
      <c r="G149" s="57">
        <f>IFERROR(INDEX(Firms!$M$5:$M$504,MATCH(145,Firms!$R$5:$R$504,0))&amp;"","")</f>
        <v/>
      </c>
      <c r="H149" s="58">
        <f>IFERROR(INDEX(Firms!$Q$5:$Q$504,MATCH(145,Firms!$R$5:$R$504,0))&amp;"","")</f>
        <v/>
      </c>
    </row>
    <row r="150">
      <c r="A150" s="57">
        <f>IF(B150="","",146)</f>
        <v/>
      </c>
      <c r="B150" s="58">
        <f>IFERROR(INDEX(Firms!$A$5:$A$504,MATCH(146,Firms!$R$5:$R$504,0))&amp;"","")</f>
        <v/>
      </c>
      <c r="C150" s="59">
        <f>IFERROR(IF(INDEX(Firms!$O$5:$O$504,MATCH(146,Firms!$R$5:$R$504,0))="","",INDEX(Firms!$O$5:$O$504,MATCH(146,Firms!$R$5:$R$504,0))),"")</f>
        <v/>
      </c>
      <c r="D150" s="58">
        <f>IFERROR(INDEX(Firms!$P$5:$P$504,MATCH(146,Firms!$R$5:$R$504,0))&amp;"","")</f>
        <v/>
      </c>
      <c r="E150" s="58">
        <f>IFERROR(INDEX(Firms!$C$5:$C$504,MATCH(146,Firms!$R$5:$R$504,0))&amp;"","")</f>
        <v/>
      </c>
      <c r="F150" s="57">
        <f>IFERROR(INDEX(Firms!$L$5:$L$504,MATCH(146,Firms!$R$5:$R$504,0))&amp;"","")</f>
        <v/>
      </c>
      <c r="G150" s="57">
        <f>IFERROR(INDEX(Firms!$M$5:$M$504,MATCH(146,Firms!$R$5:$R$504,0))&amp;"","")</f>
        <v/>
      </c>
      <c r="H150" s="58">
        <f>IFERROR(INDEX(Firms!$Q$5:$Q$504,MATCH(146,Firms!$R$5:$R$504,0))&amp;"","")</f>
        <v/>
      </c>
    </row>
    <row r="151">
      <c r="A151" s="57">
        <f>IF(B151="","",147)</f>
        <v/>
      </c>
      <c r="B151" s="58">
        <f>IFERROR(INDEX(Firms!$A$5:$A$504,MATCH(147,Firms!$R$5:$R$504,0))&amp;"","")</f>
        <v/>
      </c>
      <c r="C151" s="59">
        <f>IFERROR(IF(INDEX(Firms!$O$5:$O$504,MATCH(147,Firms!$R$5:$R$504,0))="","",INDEX(Firms!$O$5:$O$504,MATCH(147,Firms!$R$5:$R$504,0))),"")</f>
        <v/>
      </c>
      <c r="D151" s="58">
        <f>IFERROR(INDEX(Firms!$P$5:$P$504,MATCH(147,Firms!$R$5:$R$504,0))&amp;"","")</f>
        <v/>
      </c>
      <c r="E151" s="58">
        <f>IFERROR(INDEX(Firms!$C$5:$C$504,MATCH(147,Firms!$R$5:$R$504,0))&amp;"","")</f>
        <v/>
      </c>
      <c r="F151" s="57">
        <f>IFERROR(INDEX(Firms!$L$5:$L$504,MATCH(147,Firms!$R$5:$R$504,0))&amp;"","")</f>
        <v/>
      </c>
      <c r="G151" s="57">
        <f>IFERROR(INDEX(Firms!$M$5:$M$504,MATCH(147,Firms!$R$5:$R$504,0))&amp;"","")</f>
        <v/>
      </c>
      <c r="H151" s="58">
        <f>IFERROR(INDEX(Firms!$Q$5:$Q$504,MATCH(147,Firms!$R$5:$R$504,0))&amp;"","")</f>
        <v/>
      </c>
    </row>
    <row r="152">
      <c r="A152" s="57">
        <f>IF(B152="","",148)</f>
        <v/>
      </c>
      <c r="B152" s="58">
        <f>IFERROR(INDEX(Firms!$A$5:$A$504,MATCH(148,Firms!$R$5:$R$504,0))&amp;"","")</f>
        <v/>
      </c>
      <c r="C152" s="59">
        <f>IFERROR(IF(INDEX(Firms!$O$5:$O$504,MATCH(148,Firms!$R$5:$R$504,0))="","",INDEX(Firms!$O$5:$O$504,MATCH(148,Firms!$R$5:$R$504,0))),"")</f>
        <v/>
      </c>
      <c r="D152" s="58">
        <f>IFERROR(INDEX(Firms!$P$5:$P$504,MATCH(148,Firms!$R$5:$R$504,0))&amp;"","")</f>
        <v/>
      </c>
      <c r="E152" s="58">
        <f>IFERROR(INDEX(Firms!$C$5:$C$504,MATCH(148,Firms!$R$5:$R$504,0))&amp;"","")</f>
        <v/>
      </c>
      <c r="F152" s="57">
        <f>IFERROR(INDEX(Firms!$L$5:$L$504,MATCH(148,Firms!$R$5:$R$504,0))&amp;"","")</f>
        <v/>
      </c>
      <c r="G152" s="57">
        <f>IFERROR(INDEX(Firms!$M$5:$M$504,MATCH(148,Firms!$R$5:$R$504,0))&amp;"","")</f>
        <v/>
      </c>
      <c r="H152" s="58">
        <f>IFERROR(INDEX(Firms!$Q$5:$Q$504,MATCH(148,Firms!$R$5:$R$504,0))&amp;"","")</f>
        <v/>
      </c>
    </row>
    <row r="153">
      <c r="A153" s="57">
        <f>IF(B153="","",149)</f>
        <v/>
      </c>
      <c r="B153" s="58">
        <f>IFERROR(INDEX(Firms!$A$5:$A$504,MATCH(149,Firms!$R$5:$R$504,0))&amp;"","")</f>
        <v/>
      </c>
      <c r="C153" s="59">
        <f>IFERROR(IF(INDEX(Firms!$O$5:$O$504,MATCH(149,Firms!$R$5:$R$504,0))="","",INDEX(Firms!$O$5:$O$504,MATCH(149,Firms!$R$5:$R$504,0))),"")</f>
        <v/>
      </c>
      <c r="D153" s="58">
        <f>IFERROR(INDEX(Firms!$P$5:$P$504,MATCH(149,Firms!$R$5:$R$504,0))&amp;"","")</f>
        <v/>
      </c>
      <c r="E153" s="58">
        <f>IFERROR(INDEX(Firms!$C$5:$C$504,MATCH(149,Firms!$R$5:$R$504,0))&amp;"","")</f>
        <v/>
      </c>
      <c r="F153" s="57">
        <f>IFERROR(INDEX(Firms!$L$5:$L$504,MATCH(149,Firms!$R$5:$R$504,0))&amp;"","")</f>
        <v/>
      </c>
      <c r="G153" s="57">
        <f>IFERROR(INDEX(Firms!$M$5:$M$504,MATCH(149,Firms!$R$5:$R$504,0))&amp;"","")</f>
        <v/>
      </c>
      <c r="H153" s="58">
        <f>IFERROR(INDEX(Firms!$Q$5:$Q$504,MATCH(149,Firms!$R$5:$R$504,0))&amp;"","")</f>
        <v/>
      </c>
    </row>
    <row r="154">
      <c r="A154" s="57">
        <f>IF(B154="","",150)</f>
        <v/>
      </c>
      <c r="B154" s="58">
        <f>IFERROR(INDEX(Firms!$A$5:$A$504,MATCH(150,Firms!$R$5:$R$504,0))&amp;"","")</f>
        <v/>
      </c>
      <c r="C154" s="59">
        <f>IFERROR(IF(INDEX(Firms!$O$5:$O$504,MATCH(150,Firms!$R$5:$R$504,0))="","",INDEX(Firms!$O$5:$O$504,MATCH(150,Firms!$R$5:$R$504,0))),"")</f>
        <v/>
      </c>
      <c r="D154" s="58">
        <f>IFERROR(INDEX(Firms!$P$5:$P$504,MATCH(150,Firms!$R$5:$R$504,0))&amp;"","")</f>
        <v/>
      </c>
      <c r="E154" s="58">
        <f>IFERROR(INDEX(Firms!$C$5:$C$504,MATCH(150,Firms!$R$5:$R$504,0))&amp;"","")</f>
        <v/>
      </c>
      <c r="F154" s="57">
        <f>IFERROR(INDEX(Firms!$L$5:$L$504,MATCH(150,Firms!$R$5:$R$504,0))&amp;"","")</f>
        <v/>
      </c>
      <c r="G154" s="57">
        <f>IFERROR(INDEX(Firms!$M$5:$M$504,MATCH(150,Firms!$R$5:$R$504,0))&amp;"","")</f>
        <v/>
      </c>
      <c r="H154" s="58">
        <f>IFERROR(INDEX(Firms!$Q$5:$Q$504,MATCH(150,Firms!$R$5:$R$504,0))&amp;"","")</f>
        <v/>
      </c>
    </row>
    <row r="155">
      <c r="A155" s="57">
        <f>IF(B155="","",151)</f>
        <v/>
      </c>
      <c r="B155" s="58">
        <f>IFERROR(INDEX(Firms!$A$5:$A$504,MATCH(151,Firms!$R$5:$R$504,0))&amp;"","")</f>
        <v/>
      </c>
      <c r="C155" s="59">
        <f>IFERROR(IF(INDEX(Firms!$O$5:$O$504,MATCH(151,Firms!$R$5:$R$504,0))="","",INDEX(Firms!$O$5:$O$504,MATCH(151,Firms!$R$5:$R$504,0))),"")</f>
        <v/>
      </c>
      <c r="D155" s="58">
        <f>IFERROR(INDEX(Firms!$P$5:$P$504,MATCH(151,Firms!$R$5:$R$504,0))&amp;"","")</f>
        <v/>
      </c>
      <c r="E155" s="58">
        <f>IFERROR(INDEX(Firms!$C$5:$C$504,MATCH(151,Firms!$R$5:$R$504,0))&amp;"","")</f>
        <v/>
      </c>
      <c r="F155" s="57">
        <f>IFERROR(INDEX(Firms!$L$5:$L$504,MATCH(151,Firms!$R$5:$R$504,0))&amp;"","")</f>
        <v/>
      </c>
      <c r="G155" s="57">
        <f>IFERROR(INDEX(Firms!$M$5:$M$504,MATCH(151,Firms!$R$5:$R$504,0))&amp;"","")</f>
        <v/>
      </c>
      <c r="H155" s="58">
        <f>IFERROR(INDEX(Firms!$Q$5:$Q$504,MATCH(151,Firms!$R$5:$R$504,0))&amp;"","")</f>
        <v/>
      </c>
    </row>
    <row r="156">
      <c r="A156" s="57">
        <f>IF(B156="","",152)</f>
        <v/>
      </c>
      <c r="B156" s="58">
        <f>IFERROR(INDEX(Firms!$A$5:$A$504,MATCH(152,Firms!$R$5:$R$504,0))&amp;"","")</f>
        <v/>
      </c>
      <c r="C156" s="59">
        <f>IFERROR(IF(INDEX(Firms!$O$5:$O$504,MATCH(152,Firms!$R$5:$R$504,0))="","",INDEX(Firms!$O$5:$O$504,MATCH(152,Firms!$R$5:$R$504,0))),"")</f>
        <v/>
      </c>
      <c r="D156" s="58">
        <f>IFERROR(INDEX(Firms!$P$5:$P$504,MATCH(152,Firms!$R$5:$R$504,0))&amp;"","")</f>
        <v/>
      </c>
      <c r="E156" s="58">
        <f>IFERROR(INDEX(Firms!$C$5:$C$504,MATCH(152,Firms!$R$5:$R$504,0))&amp;"","")</f>
        <v/>
      </c>
      <c r="F156" s="57">
        <f>IFERROR(INDEX(Firms!$L$5:$L$504,MATCH(152,Firms!$R$5:$R$504,0))&amp;"","")</f>
        <v/>
      </c>
      <c r="G156" s="57">
        <f>IFERROR(INDEX(Firms!$M$5:$M$504,MATCH(152,Firms!$R$5:$R$504,0))&amp;"","")</f>
        <v/>
      </c>
      <c r="H156" s="58">
        <f>IFERROR(INDEX(Firms!$Q$5:$Q$504,MATCH(152,Firms!$R$5:$R$504,0))&amp;"","")</f>
        <v/>
      </c>
    </row>
    <row r="157">
      <c r="A157" s="57">
        <f>IF(B157="","",153)</f>
        <v/>
      </c>
      <c r="B157" s="58">
        <f>IFERROR(INDEX(Firms!$A$5:$A$504,MATCH(153,Firms!$R$5:$R$504,0))&amp;"","")</f>
        <v/>
      </c>
      <c r="C157" s="59">
        <f>IFERROR(IF(INDEX(Firms!$O$5:$O$504,MATCH(153,Firms!$R$5:$R$504,0))="","",INDEX(Firms!$O$5:$O$504,MATCH(153,Firms!$R$5:$R$504,0))),"")</f>
        <v/>
      </c>
      <c r="D157" s="58">
        <f>IFERROR(INDEX(Firms!$P$5:$P$504,MATCH(153,Firms!$R$5:$R$504,0))&amp;"","")</f>
        <v/>
      </c>
      <c r="E157" s="58">
        <f>IFERROR(INDEX(Firms!$C$5:$C$504,MATCH(153,Firms!$R$5:$R$504,0))&amp;"","")</f>
        <v/>
      </c>
      <c r="F157" s="57">
        <f>IFERROR(INDEX(Firms!$L$5:$L$504,MATCH(153,Firms!$R$5:$R$504,0))&amp;"","")</f>
        <v/>
      </c>
      <c r="G157" s="57">
        <f>IFERROR(INDEX(Firms!$M$5:$M$504,MATCH(153,Firms!$R$5:$R$504,0))&amp;"","")</f>
        <v/>
      </c>
      <c r="H157" s="58">
        <f>IFERROR(INDEX(Firms!$Q$5:$Q$504,MATCH(153,Firms!$R$5:$R$504,0))&amp;"","")</f>
        <v/>
      </c>
    </row>
    <row r="158">
      <c r="A158" s="57">
        <f>IF(B158="","",154)</f>
        <v/>
      </c>
      <c r="B158" s="58">
        <f>IFERROR(INDEX(Firms!$A$5:$A$504,MATCH(154,Firms!$R$5:$R$504,0))&amp;"","")</f>
        <v/>
      </c>
      <c r="C158" s="59">
        <f>IFERROR(IF(INDEX(Firms!$O$5:$O$504,MATCH(154,Firms!$R$5:$R$504,0))="","",INDEX(Firms!$O$5:$O$504,MATCH(154,Firms!$R$5:$R$504,0))),"")</f>
        <v/>
      </c>
      <c r="D158" s="58">
        <f>IFERROR(INDEX(Firms!$P$5:$P$504,MATCH(154,Firms!$R$5:$R$504,0))&amp;"","")</f>
        <v/>
      </c>
      <c r="E158" s="58">
        <f>IFERROR(INDEX(Firms!$C$5:$C$504,MATCH(154,Firms!$R$5:$R$504,0))&amp;"","")</f>
        <v/>
      </c>
      <c r="F158" s="57">
        <f>IFERROR(INDEX(Firms!$L$5:$L$504,MATCH(154,Firms!$R$5:$R$504,0))&amp;"","")</f>
        <v/>
      </c>
      <c r="G158" s="57">
        <f>IFERROR(INDEX(Firms!$M$5:$M$504,MATCH(154,Firms!$R$5:$R$504,0))&amp;"","")</f>
        <v/>
      </c>
      <c r="H158" s="58">
        <f>IFERROR(INDEX(Firms!$Q$5:$Q$504,MATCH(154,Firms!$R$5:$R$504,0))&amp;"","")</f>
        <v/>
      </c>
    </row>
    <row r="159">
      <c r="A159" s="57">
        <f>IF(B159="","",155)</f>
        <v/>
      </c>
      <c r="B159" s="58">
        <f>IFERROR(INDEX(Firms!$A$5:$A$504,MATCH(155,Firms!$R$5:$R$504,0))&amp;"","")</f>
        <v/>
      </c>
      <c r="C159" s="59">
        <f>IFERROR(IF(INDEX(Firms!$O$5:$O$504,MATCH(155,Firms!$R$5:$R$504,0))="","",INDEX(Firms!$O$5:$O$504,MATCH(155,Firms!$R$5:$R$504,0))),"")</f>
        <v/>
      </c>
      <c r="D159" s="58">
        <f>IFERROR(INDEX(Firms!$P$5:$P$504,MATCH(155,Firms!$R$5:$R$504,0))&amp;"","")</f>
        <v/>
      </c>
      <c r="E159" s="58">
        <f>IFERROR(INDEX(Firms!$C$5:$C$504,MATCH(155,Firms!$R$5:$R$504,0))&amp;"","")</f>
        <v/>
      </c>
      <c r="F159" s="57">
        <f>IFERROR(INDEX(Firms!$L$5:$L$504,MATCH(155,Firms!$R$5:$R$504,0))&amp;"","")</f>
        <v/>
      </c>
      <c r="G159" s="57">
        <f>IFERROR(INDEX(Firms!$M$5:$M$504,MATCH(155,Firms!$R$5:$R$504,0))&amp;"","")</f>
        <v/>
      </c>
      <c r="H159" s="58">
        <f>IFERROR(INDEX(Firms!$Q$5:$Q$504,MATCH(155,Firms!$R$5:$R$504,0))&amp;"","")</f>
        <v/>
      </c>
    </row>
    <row r="160">
      <c r="A160" s="57">
        <f>IF(B160="","",156)</f>
        <v/>
      </c>
      <c r="B160" s="58">
        <f>IFERROR(INDEX(Firms!$A$5:$A$504,MATCH(156,Firms!$R$5:$R$504,0))&amp;"","")</f>
        <v/>
      </c>
      <c r="C160" s="59">
        <f>IFERROR(IF(INDEX(Firms!$O$5:$O$504,MATCH(156,Firms!$R$5:$R$504,0))="","",INDEX(Firms!$O$5:$O$504,MATCH(156,Firms!$R$5:$R$504,0))),"")</f>
        <v/>
      </c>
      <c r="D160" s="58">
        <f>IFERROR(INDEX(Firms!$P$5:$P$504,MATCH(156,Firms!$R$5:$R$504,0))&amp;"","")</f>
        <v/>
      </c>
      <c r="E160" s="58">
        <f>IFERROR(INDEX(Firms!$C$5:$C$504,MATCH(156,Firms!$R$5:$R$504,0))&amp;"","")</f>
        <v/>
      </c>
      <c r="F160" s="57">
        <f>IFERROR(INDEX(Firms!$L$5:$L$504,MATCH(156,Firms!$R$5:$R$504,0))&amp;"","")</f>
        <v/>
      </c>
      <c r="G160" s="57">
        <f>IFERROR(INDEX(Firms!$M$5:$M$504,MATCH(156,Firms!$R$5:$R$504,0))&amp;"","")</f>
        <v/>
      </c>
      <c r="H160" s="58">
        <f>IFERROR(INDEX(Firms!$Q$5:$Q$504,MATCH(156,Firms!$R$5:$R$504,0))&amp;"","")</f>
        <v/>
      </c>
    </row>
    <row r="161">
      <c r="A161" s="57">
        <f>IF(B161="","",157)</f>
        <v/>
      </c>
      <c r="B161" s="58">
        <f>IFERROR(INDEX(Firms!$A$5:$A$504,MATCH(157,Firms!$R$5:$R$504,0))&amp;"","")</f>
        <v/>
      </c>
      <c r="C161" s="59">
        <f>IFERROR(IF(INDEX(Firms!$O$5:$O$504,MATCH(157,Firms!$R$5:$R$504,0))="","",INDEX(Firms!$O$5:$O$504,MATCH(157,Firms!$R$5:$R$504,0))),"")</f>
        <v/>
      </c>
      <c r="D161" s="58">
        <f>IFERROR(INDEX(Firms!$P$5:$P$504,MATCH(157,Firms!$R$5:$R$504,0))&amp;"","")</f>
        <v/>
      </c>
      <c r="E161" s="58">
        <f>IFERROR(INDEX(Firms!$C$5:$C$504,MATCH(157,Firms!$R$5:$R$504,0))&amp;"","")</f>
        <v/>
      </c>
      <c r="F161" s="57">
        <f>IFERROR(INDEX(Firms!$L$5:$L$504,MATCH(157,Firms!$R$5:$R$504,0))&amp;"","")</f>
        <v/>
      </c>
      <c r="G161" s="57">
        <f>IFERROR(INDEX(Firms!$M$5:$M$504,MATCH(157,Firms!$R$5:$R$504,0))&amp;"","")</f>
        <v/>
      </c>
      <c r="H161" s="58">
        <f>IFERROR(INDEX(Firms!$Q$5:$Q$504,MATCH(157,Firms!$R$5:$R$504,0))&amp;"","")</f>
        <v/>
      </c>
    </row>
    <row r="162">
      <c r="A162" s="57">
        <f>IF(B162="","",158)</f>
        <v/>
      </c>
      <c r="B162" s="58">
        <f>IFERROR(INDEX(Firms!$A$5:$A$504,MATCH(158,Firms!$R$5:$R$504,0))&amp;"","")</f>
        <v/>
      </c>
      <c r="C162" s="59">
        <f>IFERROR(IF(INDEX(Firms!$O$5:$O$504,MATCH(158,Firms!$R$5:$R$504,0))="","",INDEX(Firms!$O$5:$O$504,MATCH(158,Firms!$R$5:$R$504,0))),"")</f>
        <v/>
      </c>
      <c r="D162" s="58">
        <f>IFERROR(INDEX(Firms!$P$5:$P$504,MATCH(158,Firms!$R$5:$R$504,0))&amp;"","")</f>
        <v/>
      </c>
      <c r="E162" s="58">
        <f>IFERROR(INDEX(Firms!$C$5:$C$504,MATCH(158,Firms!$R$5:$R$504,0))&amp;"","")</f>
        <v/>
      </c>
      <c r="F162" s="57">
        <f>IFERROR(INDEX(Firms!$L$5:$L$504,MATCH(158,Firms!$R$5:$R$504,0))&amp;"","")</f>
        <v/>
      </c>
      <c r="G162" s="57">
        <f>IFERROR(INDEX(Firms!$M$5:$M$504,MATCH(158,Firms!$R$5:$R$504,0))&amp;"","")</f>
        <v/>
      </c>
      <c r="H162" s="58">
        <f>IFERROR(INDEX(Firms!$Q$5:$Q$504,MATCH(158,Firms!$R$5:$R$504,0))&amp;"","")</f>
        <v/>
      </c>
    </row>
    <row r="163">
      <c r="A163" s="57">
        <f>IF(B163="","",159)</f>
        <v/>
      </c>
      <c r="B163" s="58">
        <f>IFERROR(INDEX(Firms!$A$5:$A$504,MATCH(159,Firms!$R$5:$R$504,0))&amp;"","")</f>
        <v/>
      </c>
      <c r="C163" s="59">
        <f>IFERROR(IF(INDEX(Firms!$O$5:$O$504,MATCH(159,Firms!$R$5:$R$504,0))="","",INDEX(Firms!$O$5:$O$504,MATCH(159,Firms!$R$5:$R$504,0))),"")</f>
        <v/>
      </c>
      <c r="D163" s="58">
        <f>IFERROR(INDEX(Firms!$P$5:$P$504,MATCH(159,Firms!$R$5:$R$504,0))&amp;"","")</f>
        <v/>
      </c>
      <c r="E163" s="58">
        <f>IFERROR(INDEX(Firms!$C$5:$C$504,MATCH(159,Firms!$R$5:$R$504,0))&amp;"","")</f>
        <v/>
      </c>
      <c r="F163" s="57">
        <f>IFERROR(INDEX(Firms!$L$5:$L$504,MATCH(159,Firms!$R$5:$R$504,0))&amp;"","")</f>
        <v/>
      </c>
      <c r="G163" s="57">
        <f>IFERROR(INDEX(Firms!$M$5:$M$504,MATCH(159,Firms!$R$5:$R$504,0))&amp;"","")</f>
        <v/>
      </c>
      <c r="H163" s="58">
        <f>IFERROR(INDEX(Firms!$Q$5:$Q$504,MATCH(159,Firms!$R$5:$R$504,0))&amp;"","")</f>
        <v/>
      </c>
    </row>
    <row r="164">
      <c r="A164" s="57">
        <f>IF(B164="","",160)</f>
        <v/>
      </c>
      <c r="B164" s="58">
        <f>IFERROR(INDEX(Firms!$A$5:$A$504,MATCH(160,Firms!$R$5:$R$504,0))&amp;"","")</f>
        <v/>
      </c>
      <c r="C164" s="59">
        <f>IFERROR(IF(INDEX(Firms!$O$5:$O$504,MATCH(160,Firms!$R$5:$R$504,0))="","",INDEX(Firms!$O$5:$O$504,MATCH(160,Firms!$R$5:$R$504,0))),"")</f>
        <v/>
      </c>
      <c r="D164" s="58">
        <f>IFERROR(INDEX(Firms!$P$5:$P$504,MATCH(160,Firms!$R$5:$R$504,0))&amp;"","")</f>
        <v/>
      </c>
      <c r="E164" s="58">
        <f>IFERROR(INDEX(Firms!$C$5:$C$504,MATCH(160,Firms!$R$5:$R$504,0))&amp;"","")</f>
        <v/>
      </c>
      <c r="F164" s="57">
        <f>IFERROR(INDEX(Firms!$L$5:$L$504,MATCH(160,Firms!$R$5:$R$504,0))&amp;"","")</f>
        <v/>
      </c>
      <c r="G164" s="57">
        <f>IFERROR(INDEX(Firms!$M$5:$M$504,MATCH(160,Firms!$R$5:$R$504,0))&amp;"","")</f>
        <v/>
      </c>
      <c r="H164" s="58">
        <f>IFERROR(INDEX(Firms!$Q$5:$Q$504,MATCH(160,Firms!$R$5:$R$504,0))&amp;"","")</f>
        <v/>
      </c>
    </row>
    <row r="165">
      <c r="A165" s="57">
        <f>IF(B165="","",161)</f>
        <v/>
      </c>
      <c r="B165" s="58">
        <f>IFERROR(INDEX(Firms!$A$5:$A$504,MATCH(161,Firms!$R$5:$R$504,0))&amp;"","")</f>
        <v/>
      </c>
      <c r="C165" s="59">
        <f>IFERROR(IF(INDEX(Firms!$O$5:$O$504,MATCH(161,Firms!$R$5:$R$504,0))="","",INDEX(Firms!$O$5:$O$504,MATCH(161,Firms!$R$5:$R$504,0))),"")</f>
        <v/>
      </c>
      <c r="D165" s="58">
        <f>IFERROR(INDEX(Firms!$P$5:$P$504,MATCH(161,Firms!$R$5:$R$504,0))&amp;"","")</f>
        <v/>
      </c>
      <c r="E165" s="58">
        <f>IFERROR(INDEX(Firms!$C$5:$C$504,MATCH(161,Firms!$R$5:$R$504,0))&amp;"","")</f>
        <v/>
      </c>
      <c r="F165" s="57">
        <f>IFERROR(INDEX(Firms!$L$5:$L$504,MATCH(161,Firms!$R$5:$R$504,0))&amp;"","")</f>
        <v/>
      </c>
      <c r="G165" s="57">
        <f>IFERROR(INDEX(Firms!$M$5:$M$504,MATCH(161,Firms!$R$5:$R$504,0))&amp;"","")</f>
        <v/>
      </c>
      <c r="H165" s="58">
        <f>IFERROR(INDEX(Firms!$Q$5:$Q$504,MATCH(161,Firms!$R$5:$R$504,0))&amp;"","")</f>
        <v/>
      </c>
    </row>
    <row r="166">
      <c r="A166" s="57">
        <f>IF(B166="","",162)</f>
        <v/>
      </c>
      <c r="B166" s="58">
        <f>IFERROR(INDEX(Firms!$A$5:$A$504,MATCH(162,Firms!$R$5:$R$504,0))&amp;"","")</f>
        <v/>
      </c>
      <c r="C166" s="59">
        <f>IFERROR(IF(INDEX(Firms!$O$5:$O$504,MATCH(162,Firms!$R$5:$R$504,0))="","",INDEX(Firms!$O$5:$O$504,MATCH(162,Firms!$R$5:$R$504,0))),"")</f>
        <v/>
      </c>
      <c r="D166" s="58">
        <f>IFERROR(INDEX(Firms!$P$5:$P$504,MATCH(162,Firms!$R$5:$R$504,0))&amp;"","")</f>
        <v/>
      </c>
      <c r="E166" s="58">
        <f>IFERROR(INDEX(Firms!$C$5:$C$504,MATCH(162,Firms!$R$5:$R$504,0))&amp;"","")</f>
        <v/>
      </c>
      <c r="F166" s="57">
        <f>IFERROR(INDEX(Firms!$L$5:$L$504,MATCH(162,Firms!$R$5:$R$504,0))&amp;"","")</f>
        <v/>
      </c>
      <c r="G166" s="57">
        <f>IFERROR(INDEX(Firms!$M$5:$M$504,MATCH(162,Firms!$R$5:$R$504,0))&amp;"","")</f>
        <v/>
      </c>
      <c r="H166" s="58">
        <f>IFERROR(INDEX(Firms!$Q$5:$Q$504,MATCH(162,Firms!$R$5:$R$504,0))&amp;"","")</f>
        <v/>
      </c>
    </row>
    <row r="167">
      <c r="A167" s="57">
        <f>IF(B167="","",163)</f>
        <v/>
      </c>
      <c r="B167" s="58">
        <f>IFERROR(INDEX(Firms!$A$5:$A$504,MATCH(163,Firms!$R$5:$R$504,0))&amp;"","")</f>
        <v/>
      </c>
      <c r="C167" s="59">
        <f>IFERROR(IF(INDEX(Firms!$O$5:$O$504,MATCH(163,Firms!$R$5:$R$504,0))="","",INDEX(Firms!$O$5:$O$504,MATCH(163,Firms!$R$5:$R$504,0))),"")</f>
        <v/>
      </c>
      <c r="D167" s="58">
        <f>IFERROR(INDEX(Firms!$P$5:$P$504,MATCH(163,Firms!$R$5:$R$504,0))&amp;"","")</f>
        <v/>
      </c>
      <c r="E167" s="58">
        <f>IFERROR(INDEX(Firms!$C$5:$C$504,MATCH(163,Firms!$R$5:$R$504,0))&amp;"","")</f>
        <v/>
      </c>
      <c r="F167" s="57">
        <f>IFERROR(INDEX(Firms!$L$5:$L$504,MATCH(163,Firms!$R$5:$R$504,0))&amp;"","")</f>
        <v/>
      </c>
      <c r="G167" s="57">
        <f>IFERROR(INDEX(Firms!$M$5:$M$504,MATCH(163,Firms!$R$5:$R$504,0))&amp;"","")</f>
        <v/>
      </c>
      <c r="H167" s="58">
        <f>IFERROR(INDEX(Firms!$Q$5:$Q$504,MATCH(163,Firms!$R$5:$R$504,0))&amp;"","")</f>
        <v/>
      </c>
    </row>
    <row r="168">
      <c r="A168" s="57">
        <f>IF(B168="","",164)</f>
        <v/>
      </c>
      <c r="B168" s="58">
        <f>IFERROR(INDEX(Firms!$A$5:$A$504,MATCH(164,Firms!$R$5:$R$504,0))&amp;"","")</f>
        <v/>
      </c>
      <c r="C168" s="59">
        <f>IFERROR(IF(INDEX(Firms!$O$5:$O$504,MATCH(164,Firms!$R$5:$R$504,0))="","",INDEX(Firms!$O$5:$O$504,MATCH(164,Firms!$R$5:$R$504,0))),"")</f>
        <v/>
      </c>
      <c r="D168" s="58">
        <f>IFERROR(INDEX(Firms!$P$5:$P$504,MATCH(164,Firms!$R$5:$R$504,0))&amp;"","")</f>
        <v/>
      </c>
      <c r="E168" s="58">
        <f>IFERROR(INDEX(Firms!$C$5:$C$504,MATCH(164,Firms!$R$5:$R$504,0))&amp;"","")</f>
        <v/>
      </c>
      <c r="F168" s="57">
        <f>IFERROR(INDEX(Firms!$L$5:$L$504,MATCH(164,Firms!$R$5:$R$504,0))&amp;"","")</f>
        <v/>
      </c>
      <c r="G168" s="57">
        <f>IFERROR(INDEX(Firms!$M$5:$M$504,MATCH(164,Firms!$R$5:$R$504,0))&amp;"","")</f>
        <v/>
      </c>
      <c r="H168" s="58">
        <f>IFERROR(INDEX(Firms!$Q$5:$Q$504,MATCH(164,Firms!$R$5:$R$504,0))&amp;"","")</f>
        <v/>
      </c>
    </row>
    <row r="169">
      <c r="A169" s="57">
        <f>IF(B169="","",165)</f>
        <v/>
      </c>
      <c r="B169" s="58">
        <f>IFERROR(INDEX(Firms!$A$5:$A$504,MATCH(165,Firms!$R$5:$R$504,0))&amp;"","")</f>
        <v/>
      </c>
      <c r="C169" s="59">
        <f>IFERROR(IF(INDEX(Firms!$O$5:$O$504,MATCH(165,Firms!$R$5:$R$504,0))="","",INDEX(Firms!$O$5:$O$504,MATCH(165,Firms!$R$5:$R$504,0))),"")</f>
        <v/>
      </c>
      <c r="D169" s="58">
        <f>IFERROR(INDEX(Firms!$P$5:$P$504,MATCH(165,Firms!$R$5:$R$504,0))&amp;"","")</f>
        <v/>
      </c>
      <c r="E169" s="58">
        <f>IFERROR(INDEX(Firms!$C$5:$C$504,MATCH(165,Firms!$R$5:$R$504,0))&amp;"","")</f>
        <v/>
      </c>
      <c r="F169" s="57">
        <f>IFERROR(INDEX(Firms!$L$5:$L$504,MATCH(165,Firms!$R$5:$R$504,0))&amp;"","")</f>
        <v/>
      </c>
      <c r="G169" s="57">
        <f>IFERROR(INDEX(Firms!$M$5:$M$504,MATCH(165,Firms!$R$5:$R$504,0))&amp;"","")</f>
        <v/>
      </c>
      <c r="H169" s="58">
        <f>IFERROR(INDEX(Firms!$Q$5:$Q$504,MATCH(165,Firms!$R$5:$R$504,0))&amp;"","")</f>
        <v/>
      </c>
    </row>
    <row r="170">
      <c r="A170" s="57">
        <f>IF(B170="","",166)</f>
        <v/>
      </c>
      <c r="B170" s="58">
        <f>IFERROR(INDEX(Firms!$A$5:$A$504,MATCH(166,Firms!$R$5:$R$504,0))&amp;"","")</f>
        <v/>
      </c>
      <c r="C170" s="59">
        <f>IFERROR(IF(INDEX(Firms!$O$5:$O$504,MATCH(166,Firms!$R$5:$R$504,0))="","",INDEX(Firms!$O$5:$O$504,MATCH(166,Firms!$R$5:$R$504,0))),"")</f>
        <v/>
      </c>
      <c r="D170" s="58">
        <f>IFERROR(INDEX(Firms!$P$5:$P$504,MATCH(166,Firms!$R$5:$R$504,0))&amp;"","")</f>
        <v/>
      </c>
      <c r="E170" s="58">
        <f>IFERROR(INDEX(Firms!$C$5:$C$504,MATCH(166,Firms!$R$5:$R$504,0))&amp;"","")</f>
        <v/>
      </c>
      <c r="F170" s="57">
        <f>IFERROR(INDEX(Firms!$L$5:$L$504,MATCH(166,Firms!$R$5:$R$504,0))&amp;"","")</f>
        <v/>
      </c>
      <c r="G170" s="57">
        <f>IFERROR(INDEX(Firms!$M$5:$M$504,MATCH(166,Firms!$R$5:$R$504,0))&amp;"","")</f>
        <v/>
      </c>
      <c r="H170" s="58">
        <f>IFERROR(INDEX(Firms!$Q$5:$Q$504,MATCH(166,Firms!$R$5:$R$504,0))&amp;"","")</f>
        <v/>
      </c>
    </row>
    <row r="171">
      <c r="A171" s="57">
        <f>IF(B171="","",167)</f>
        <v/>
      </c>
      <c r="B171" s="58">
        <f>IFERROR(INDEX(Firms!$A$5:$A$504,MATCH(167,Firms!$R$5:$R$504,0))&amp;"","")</f>
        <v/>
      </c>
      <c r="C171" s="59">
        <f>IFERROR(IF(INDEX(Firms!$O$5:$O$504,MATCH(167,Firms!$R$5:$R$504,0))="","",INDEX(Firms!$O$5:$O$504,MATCH(167,Firms!$R$5:$R$504,0))),"")</f>
        <v/>
      </c>
      <c r="D171" s="58">
        <f>IFERROR(INDEX(Firms!$P$5:$P$504,MATCH(167,Firms!$R$5:$R$504,0))&amp;"","")</f>
        <v/>
      </c>
      <c r="E171" s="58">
        <f>IFERROR(INDEX(Firms!$C$5:$C$504,MATCH(167,Firms!$R$5:$R$504,0))&amp;"","")</f>
        <v/>
      </c>
      <c r="F171" s="57">
        <f>IFERROR(INDEX(Firms!$L$5:$L$504,MATCH(167,Firms!$R$5:$R$504,0))&amp;"","")</f>
        <v/>
      </c>
      <c r="G171" s="57">
        <f>IFERROR(INDEX(Firms!$M$5:$M$504,MATCH(167,Firms!$R$5:$R$504,0))&amp;"","")</f>
        <v/>
      </c>
      <c r="H171" s="58">
        <f>IFERROR(INDEX(Firms!$Q$5:$Q$504,MATCH(167,Firms!$R$5:$R$504,0))&amp;"","")</f>
        <v/>
      </c>
    </row>
    <row r="172">
      <c r="A172" s="57">
        <f>IF(B172="","",168)</f>
        <v/>
      </c>
      <c r="B172" s="58">
        <f>IFERROR(INDEX(Firms!$A$5:$A$504,MATCH(168,Firms!$R$5:$R$504,0))&amp;"","")</f>
        <v/>
      </c>
      <c r="C172" s="59">
        <f>IFERROR(IF(INDEX(Firms!$O$5:$O$504,MATCH(168,Firms!$R$5:$R$504,0))="","",INDEX(Firms!$O$5:$O$504,MATCH(168,Firms!$R$5:$R$504,0))),"")</f>
        <v/>
      </c>
      <c r="D172" s="58">
        <f>IFERROR(INDEX(Firms!$P$5:$P$504,MATCH(168,Firms!$R$5:$R$504,0))&amp;"","")</f>
        <v/>
      </c>
      <c r="E172" s="58">
        <f>IFERROR(INDEX(Firms!$C$5:$C$504,MATCH(168,Firms!$R$5:$R$504,0))&amp;"","")</f>
        <v/>
      </c>
      <c r="F172" s="57">
        <f>IFERROR(INDEX(Firms!$L$5:$L$504,MATCH(168,Firms!$R$5:$R$504,0))&amp;"","")</f>
        <v/>
      </c>
      <c r="G172" s="57">
        <f>IFERROR(INDEX(Firms!$M$5:$M$504,MATCH(168,Firms!$R$5:$R$504,0))&amp;"","")</f>
        <v/>
      </c>
      <c r="H172" s="58">
        <f>IFERROR(INDEX(Firms!$Q$5:$Q$504,MATCH(168,Firms!$R$5:$R$504,0))&amp;"","")</f>
        <v/>
      </c>
    </row>
    <row r="173">
      <c r="A173" s="57">
        <f>IF(B173="","",169)</f>
        <v/>
      </c>
      <c r="B173" s="58">
        <f>IFERROR(INDEX(Firms!$A$5:$A$504,MATCH(169,Firms!$R$5:$R$504,0))&amp;"","")</f>
        <v/>
      </c>
      <c r="C173" s="59">
        <f>IFERROR(IF(INDEX(Firms!$O$5:$O$504,MATCH(169,Firms!$R$5:$R$504,0))="","",INDEX(Firms!$O$5:$O$504,MATCH(169,Firms!$R$5:$R$504,0))),"")</f>
        <v/>
      </c>
      <c r="D173" s="58">
        <f>IFERROR(INDEX(Firms!$P$5:$P$504,MATCH(169,Firms!$R$5:$R$504,0))&amp;"","")</f>
        <v/>
      </c>
      <c r="E173" s="58">
        <f>IFERROR(INDEX(Firms!$C$5:$C$504,MATCH(169,Firms!$R$5:$R$504,0))&amp;"","")</f>
        <v/>
      </c>
      <c r="F173" s="57">
        <f>IFERROR(INDEX(Firms!$L$5:$L$504,MATCH(169,Firms!$R$5:$R$504,0))&amp;"","")</f>
        <v/>
      </c>
      <c r="G173" s="57">
        <f>IFERROR(INDEX(Firms!$M$5:$M$504,MATCH(169,Firms!$R$5:$R$504,0))&amp;"","")</f>
        <v/>
      </c>
      <c r="H173" s="58">
        <f>IFERROR(INDEX(Firms!$Q$5:$Q$504,MATCH(169,Firms!$R$5:$R$504,0))&amp;"","")</f>
        <v/>
      </c>
    </row>
    <row r="174">
      <c r="A174" s="57">
        <f>IF(B174="","",170)</f>
        <v/>
      </c>
      <c r="B174" s="58">
        <f>IFERROR(INDEX(Firms!$A$5:$A$504,MATCH(170,Firms!$R$5:$R$504,0))&amp;"","")</f>
        <v/>
      </c>
      <c r="C174" s="59">
        <f>IFERROR(IF(INDEX(Firms!$O$5:$O$504,MATCH(170,Firms!$R$5:$R$504,0))="","",INDEX(Firms!$O$5:$O$504,MATCH(170,Firms!$R$5:$R$504,0))),"")</f>
        <v/>
      </c>
      <c r="D174" s="58">
        <f>IFERROR(INDEX(Firms!$P$5:$P$504,MATCH(170,Firms!$R$5:$R$504,0))&amp;"","")</f>
        <v/>
      </c>
      <c r="E174" s="58">
        <f>IFERROR(INDEX(Firms!$C$5:$C$504,MATCH(170,Firms!$R$5:$R$504,0))&amp;"","")</f>
        <v/>
      </c>
      <c r="F174" s="57">
        <f>IFERROR(INDEX(Firms!$L$5:$L$504,MATCH(170,Firms!$R$5:$R$504,0))&amp;"","")</f>
        <v/>
      </c>
      <c r="G174" s="57">
        <f>IFERROR(INDEX(Firms!$M$5:$M$504,MATCH(170,Firms!$R$5:$R$504,0))&amp;"","")</f>
        <v/>
      </c>
      <c r="H174" s="58">
        <f>IFERROR(INDEX(Firms!$Q$5:$Q$504,MATCH(170,Firms!$R$5:$R$504,0))&amp;"","")</f>
        <v/>
      </c>
    </row>
    <row r="175">
      <c r="A175" s="57">
        <f>IF(B175="","",171)</f>
        <v/>
      </c>
      <c r="B175" s="58">
        <f>IFERROR(INDEX(Firms!$A$5:$A$504,MATCH(171,Firms!$R$5:$R$504,0))&amp;"","")</f>
        <v/>
      </c>
      <c r="C175" s="59">
        <f>IFERROR(IF(INDEX(Firms!$O$5:$O$504,MATCH(171,Firms!$R$5:$R$504,0))="","",INDEX(Firms!$O$5:$O$504,MATCH(171,Firms!$R$5:$R$504,0))),"")</f>
        <v/>
      </c>
      <c r="D175" s="58">
        <f>IFERROR(INDEX(Firms!$P$5:$P$504,MATCH(171,Firms!$R$5:$R$504,0))&amp;"","")</f>
        <v/>
      </c>
      <c r="E175" s="58">
        <f>IFERROR(INDEX(Firms!$C$5:$C$504,MATCH(171,Firms!$R$5:$R$504,0))&amp;"","")</f>
        <v/>
      </c>
      <c r="F175" s="57">
        <f>IFERROR(INDEX(Firms!$L$5:$L$504,MATCH(171,Firms!$R$5:$R$504,0))&amp;"","")</f>
        <v/>
      </c>
      <c r="G175" s="57">
        <f>IFERROR(INDEX(Firms!$M$5:$M$504,MATCH(171,Firms!$R$5:$R$504,0))&amp;"","")</f>
        <v/>
      </c>
      <c r="H175" s="58">
        <f>IFERROR(INDEX(Firms!$Q$5:$Q$504,MATCH(171,Firms!$R$5:$R$504,0))&amp;"","")</f>
        <v/>
      </c>
    </row>
    <row r="176">
      <c r="A176" s="57">
        <f>IF(B176="","",172)</f>
        <v/>
      </c>
      <c r="B176" s="58">
        <f>IFERROR(INDEX(Firms!$A$5:$A$504,MATCH(172,Firms!$R$5:$R$504,0))&amp;"","")</f>
        <v/>
      </c>
      <c r="C176" s="59">
        <f>IFERROR(IF(INDEX(Firms!$O$5:$O$504,MATCH(172,Firms!$R$5:$R$504,0))="","",INDEX(Firms!$O$5:$O$504,MATCH(172,Firms!$R$5:$R$504,0))),"")</f>
        <v/>
      </c>
      <c r="D176" s="58">
        <f>IFERROR(INDEX(Firms!$P$5:$P$504,MATCH(172,Firms!$R$5:$R$504,0))&amp;"","")</f>
        <v/>
      </c>
      <c r="E176" s="58">
        <f>IFERROR(INDEX(Firms!$C$5:$C$504,MATCH(172,Firms!$R$5:$R$504,0))&amp;"","")</f>
        <v/>
      </c>
      <c r="F176" s="57">
        <f>IFERROR(INDEX(Firms!$L$5:$L$504,MATCH(172,Firms!$R$5:$R$504,0))&amp;"","")</f>
        <v/>
      </c>
      <c r="G176" s="57">
        <f>IFERROR(INDEX(Firms!$M$5:$M$504,MATCH(172,Firms!$R$5:$R$504,0))&amp;"","")</f>
        <v/>
      </c>
      <c r="H176" s="58">
        <f>IFERROR(INDEX(Firms!$Q$5:$Q$504,MATCH(172,Firms!$R$5:$R$504,0))&amp;"","")</f>
        <v/>
      </c>
    </row>
    <row r="177">
      <c r="A177" s="57">
        <f>IF(B177="","",173)</f>
        <v/>
      </c>
      <c r="B177" s="58">
        <f>IFERROR(INDEX(Firms!$A$5:$A$504,MATCH(173,Firms!$R$5:$R$504,0))&amp;"","")</f>
        <v/>
      </c>
      <c r="C177" s="59">
        <f>IFERROR(IF(INDEX(Firms!$O$5:$O$504,MATCH(173,Firms!$R$5:$R$504,0))="","",INDEX(Firms!$O$5:$O$504,MATCH(173,Firms!$R$5:$R$504,0))),"")</f>
        <v/>
      </c>
      <c r="D177" s="58">
        <f>IFERROR(INDEX(Firms!$P$5:$P$504,MATCH(173,Firms!$R$5:$R$504,0))&amp;"","")</f>
        <v/>
      </c>
      <c r="E177" s="58">
        <f>IFERROR(INDEX(Firms!$C$5:$C$504,MATCH(173,Firms!$R$5:$R$504,0))&amp;"","")</f>
        <v/>
      </c>
      <c r="F177" s="57">
        <f>IFERROR(INDEX(Firms!$L$5:$L$504,MATCH(173,Firms!$R$5:$R$504,0))&amp;"","")</f>
        <v/>
      </c>
      <c r="G177" s="57">
        <f>IFERROR(INDEX(Firms!$M$5:$M$504,MATCH(173,Firms!$R$5:$R$504,0))&amp;"","")</f>
        <v/>
      </c>
      <c r="H177" s="58">
        <f>IFERROR(INDEX(Firms!$Q$5:$Q$504,MATCH(173,Firms!$R$5:$R$504,0))&amp;"","")</f>
        <v/>
      </c>
    </row>
    <row r="178">
      <c r="A178" s="57">
        <f>IF(B178="","",174)</f>
        <v/>
      </c>
      <c r="B178" s="58">
        <f>IFERROR(INDEX(Firms!$A$5:$A$504,MATCH(174,Firms!$R$5:$R$504,0))&amp;"","")</f>
        <v/>
      </c>
      <c r="C178" s="59">
        <f>IFERROR(IF(INDEX(Firms!$O$5:$O$504,MATCH(174,Firms!$R$5:$R$504,0))="","",INDEX(Firms!$O$5:$O$504,MATCH(174,Firms!$R$5:$R$504,0))),"")</f>
        <v/>
      </c>
      <c r="D178" s="58">
        <f>IFERROR(INDEX(Firms!$P$5:$P$504,MATCH(174,Firms!$R$5:$R$504,0))&amp;"","")</f>
        <v/>
      </c>
      <c r="E178" s="58">
        <f>IFERROR(INDEX(Firms!$C$5:$C$504,MATCH(174,Firms!$R$5:$R$504,0))&amp;"","")</f>
        <v/>
      </c>
      <c r="F178" s="57">
        <f>IFERROR(INDEX(Firms!$L$5:$L$504,MATCH(174,Firms!$R$5:$R$504,0))&amp;"","")</f>
        <v/>
      </c>
      <c r="G178" s="57">
        <f>IFERROR(INDEX(Firms!$M$5:$M$504,MATCH(174,Firms!$R$5:$R$504,0))&amp;"","")</f>
        <v/>
      </c>
      <c r="H178" s="58">
        <f>IFERROR(INDEX(Firms!$Q$5:$Q$504,MATCH(174,Firms!$R$5:$R$504,0))&amp;"","")</f>
        <v/>
      </c>
    </row>
    <row r="179">
      <c r="A179" s="57">
        <f>IF(B179="","",175)</f>
        <v/>
      </c>
      <c r="B179" s="58">
        <f>IFERROR(INDEX(Firms!$A$5:$A$504,MATCH(175,Firms!$R$5:$R$504,0))&amp;"","")</f>
        <v/>
      </c>
      <c r="C179" s="59">
        <f>IFERROR(IF(INDEX(Firms!$O$5:$O$504,MATCH(175,Firms!$R$5:$R$504,0))="","",INDEX(Firms!$O$5:$O$504,MATCH(175,Firms!$R$5:$R$504,0))),"")</f>
        <v/>
      </c>
      <c r="D179" s="58">
        <f>IFERROR(INDEX(Firms!$P$5:$P$504,MATCH(175,Firms!$R$5:$R$504,0))&amp;"","")</f>
        <v/>
      </c>
      <c r="E179" s="58">
        <f>IFERROR(INDEX(Firms!$C$5:$C$504,MATCH(175,Firms!$R$5:$R$504,0))&amp;"","")</f>
        <v/>
      </c>
      <c r="F179" s="57">
        <f>IFERROR(INDEX(Firms!$L$5:$L$504,MATCH(175,Firms!$R$5:$R$504,0))&amp;"","")</f>
        <v/>
      </c>
      <c r="G179" s="57">
        <f>IFERROR(INDEX(Firms!$M$5:$M$504,MATCH(175,Firms!$R$5:$R$504,0))&amp;"","")</f>
        <v/>
      </c>
      <c r="H179" s="58">
        <f>IFERROR(INDEX(Firms!$Q$5:$Q$504,MATCH(175,Firms!$R$5:$R$504,0))&amp;"","")</f>
        <v/>
      </c>
    </row>
    <row r="180">
      <c r="A180" s="57">
        <f>IF(B180="","",176)</f>
        <v/>
      </c>
      <c r="B180" s="58">
        <f>IFERROR(INDEX(Firms!$A$5:$A$504,MATCH(176,Firms!$R$5:$R$504,0))&amp;"","")</f>
        <v/>
      </c>
      <c r="C180" s="59">
        <f>IFERROR(IF(INDEX(Firms!$O$5:$O$504,MATCH(176,Firms!$R$5:$R$504,0))="","",INDEX(Firms!$O$5:$O$504,MATCH(176,Firms!$R$5:$R$504,0))),"")</f>
        <v/>
      </c>
      <c r="D180" s="58">
        <f>IFERROR(INDEX(Firms!$P$5:$P$504,MATCH(176,Firms!$R$5:$R$504,0))&amp;"","")</f>
        <v/>
      </c>
      <c r="E180" s="58">
        <f>IFERROR(INDEX(Firms!$C$5:$C$504,MATCH(176,Firms!$R$5:$R$504,0))&amp;"","")</f>
        <v/>
      </c>
      <c r="F180" s="57">
        <f>IFERROR(INDEX(Firms!$L$5:$L$504,MATCH(176,Firms!$R$5:$R$504,0))&amp;"","")</f>
        <v/>
      </c>
      <c r="G180" s="57">
        <f>IFERROR(INDEX(Firms!$M$5:$M$504,MATCH(176,Firms!$R$5:$R$504,0))&amp;"","")</f>
        <v/>
      </c>
      <c r="H180" s="58">
        <f>IFERROR(INDEX(Firms!$Q$5:$Q$504,MATCH(176,Firms!$R$5:$R$504,0))&amp;"","")</f>
        <v/>
      </c>
    </row>
    <row r="181">
      <c r="A181" s="57">
        <f>IF(B181="","",177)</f>
        <v/>
      </c>
      <c r="B181" s="58">
        <f>IFERROR(INDEX(Firms!$A$5:$A$504,MATCH(177,Firms!$R$5:$R$504,0))&amp;"","")</f>
        <v/>
      </c>
      <c r="C181" s="59">
        <f>IFERROR(IF(INDEX(Firms!$O$5:$O$504,MATCH(177,Firms!$R$5:$R$504,0))="","",INDEX(Firms!$O$5:$O$504,MATCH(177,Firms!$R$5:$R$504,0))),"")</f>
        <v/>
      </c>
      <c r="D181" s="58">
        <f>IFERROR(INDEX(Firms!$P$5:$P$504,MATCH(177,Firms!$R$5:$R$504,0))&amp;"","")</f>
        <v/>
      </c>
      <c r="E181" s="58">
        <f>IFERROR(INDEX(Firms!$C$5:$C$504,MATCH(177,Firms!$R$5:$R$504,0))&amp;"","")</f>
        <v/>
      </c>
      <c r="F181" s="57">
        <f>IFERROR(INDEX(Firms!$L$5:$L$504,MATCH(177,Firms!$R$5:$R$504,0))&amp;"","")</f>
        <v/>
      </c>
      <c r="G181" s="57">
        <f>IFERROR(INDEX(Firms!$M$5:$M$504,MATCH(177,Firms!$R$5:$R$504,0))&amp;"","")</f>
        <v/>
      </c>
      <c r="H181" s="58">
        <f>IFERROR(INDEX(Firms!$Q$5:$Q$504,MATCH(177,Firms!$R$5:$R$504,0))&amp;"","")</f>
        <v/>
      </c>
    </row>
    <row r="182">
      <c r="A182" s="57">
        <f>IF(B182="","",178)</f>
        <v/>
      </c>
      <c r="B182" s="58">
        <f>IFERROR(INDEX(Firms!$A$5:$A$504,MATCH(178,Firms!$R$5:$R$504,0))&amp;"","")</f>
        <v/>
      </c>
      <c r="C182" s="59">
        <f>IFERROR(IF(INDEX(Firms!$O$5:$O$504,MATCH(178,Firms!$R$5:$R$504,0))="","",INDEX(Firms!$O$5:$O$504,MATCH(178,Firms!$R$5:$R$504,0))),"")</f>
        <v/>
      </c>
      <c r="D182" s="58">
        <f>IFERROR(INDEX(Firms!$P$5:$P$504,MATCH(178,Firms!$R$5:$R$504,0))&amp;"","")</f>
        <v/>
      </c>
      <c r="E182" s="58">
        <f>IFERROR(INDEX(Firms!$C$5:$C$504,MATCH(178,Firms!$R$5:$R$504,0))&amp;"","")</f>
        <v/>
      </c>
      <c r="F182" s="57">
        <f>IFERROR(INDEX(Firms!$L$5:$L$504,MATCH(178,Firms!$R$5:$R$504,0))&amp;"","")</f>
        <v/>
      </c>
      <c r="G182" s="57">
        <f>IFERROR(INDEX(Firms!$M$5:$M$504,MATCH(178,Firms!$R$5:$R$504,0))&amp;"","")</f>
        <v/>
      </c>
      <c r="H182" s="58">
        <f>IFERROR(INDEX(Firms!$Q$5:$Q$504,MATCH(178,Firms!$R$5:$R$504,0))&amp;"","")</f>
        <v/>
      </c>
    </row>
    <row r="183">
      <c r="A183" s="57">
        <f>IF(B183="","",179)</f>
        <v/>
      </c>
      <c r="B183" s="58">
        <f>IFERROR(INDEX(Firms!$A$5:$A$504,MATCH(179,Firms!$R$5:$R$504,0))&amp;"","")</f>
        <v/>
      </c>
      <c r="C183" s="59">
        <f>IFERROR(IF(INDEX(Firms!$O$5:$O$504,MATCH(179,Firms!$R$5:$R$504,0))="","",INDEX(Firms!$O$5:$O$504,MATCH(179,Firms!$R$5:$R$504,0))),"")</f>
        <v/>
      </c>
      <c r="D183" s="58">
        <f>IFERROR(INDEX(Firms!$P$5:$P$504,MATCH(179,Firms!$R$5:$R$504,0))&amp;"","")</f>
        <v/>
      </c>
      <c r="E183" s="58">
        <f>IFERROR(INDEX(Firms!$C$5:$C$504,MATCH(179,Firms!$R$5:$R$504,0))&amp;"","")</f>
        <v/>
      </c>
      <c r="F183" s="57">
        <f>IFERROR(INDEX(Firms!$L$5:$L$504,MATCH(179,Firms!$R$5:$R$504,0))&amp;"","")</f>
        <v/>
      </c>
      <c r="G183" s="57">
        <f>IFERROR(INDEX(Firms!$M$5:$M$504,MATCH(179,Firms!$R$5:$R$504,0))&amp;"","")</f>
        <v/>
      </c>
      <c r="H183" s="58">
        <f>IFERROR(INDEX(Firms!$Q$5:$Q$504,MATCH(179,Firms!$R$5:$R$504,0))&amp;"","")</f>
        <v/>
      </c>
    </row>
    <row r="184">
      <c r="A184" s="57">
        <f>IF(B184="","",180)</f>
        <v/>
      </c>
      <c r="B184" s="58">
        <f>IFERROR(INDEX(Firms!$A$5:$A$504,MATCH(180,Firms!$R$5:$R$504,0))&amp;"","")</f>
        <v/>
      </c>
      <c r="C184" s="59">
        <f>IFERROR(IF(INDEX(Firms!$O$5:$O$504,MATCH(180,Firms!$R$5:$R$504,0))="","",INDEX(Firms!$O$5:$O$504,MATCH(180,Firms!$R$5:$R$504,0))),"")</f>
        <v/>
      </c>
      <c r="D184" s="58">
        <f>IFERROR(INDEX(Firms!$P$5:$P$504,MATCH(180,Firms!$R$5:$R$504,0))&amp;"","")</f>
        <v/>
      </c>
      <c r="E184" s="58">
        <f>IFERROR(INDEX(Firms!$C$5:$C$504,MATCH(180,Firms!$R$5:$R$504,0))&amp;"","")</f>
        <v/>
      </c>
      <c r="F184" s="57">
        <f>IFERROR(INDEX(Firms!$L$5:$L$504,MATCH(180,Firms!$R$5:$R$504,0))&amp;"","")</f>
        <v/>
      </c>
      <c r="G184" s="57">
        <f>IFERROR(INDEX(Firms!$M$5:$M$504,MATCH(180,Firms!$R$5:$R$504,0))&amp;"","")</f>
        <v/>
      </c>
      <c r="H184" s="58">
        <f>IFERROR(INDEX(Firms!$Q$5:$Q$504,MATCH(180,Firms!$R$5:$R$504,0))&amp;"","")</f>
        <v/>
      </c>
    </row>
    <row r="185">
      <c r="A185" s="57">
        <f>IF(B185="","",181)</f>
        <v/>
      </c>
      <c r="B185" s="58">
        <f>IFERROR(INDEX(Firms!$A$5:$A$504,MATCH(181,Firms!$R$5:$R$504,0))&amp;"","")</f>
        <v/>
      </c>
      <c r="C185" s="59">
        <f>IFERROR(IF(INDEX(Firms!$O$5:$O$504,MATCH(181,Firms!$R$5:$R$504,0))="","",INDEX(Firms!$O$5:$O$504,MATCH(181,Firms!$R$5:$R$504,0))),"")</f>
        <v/>
      </c>
      <c r="D185" s="58">
        <f>IFERROR(INDEX(Firms!$P$5:$P$504,MATCH(181,Firms!$R$5:$R$504,0))&amp;"","")</f>
        <v/>
      </c>
      <c r="E185" s="58">
        <f>IFERROR(INDEX(Firms!$C$5:$C$504,MATCH(181,Firms!$R$5:$R$504,0))&amp;"","")</f>
        <v/>
      </c>
      <c r="F185" s="57">
        <f>IFERROR(INDEX(Firms!$L$5:$L$504,MATCH(181,Firms!$R$5:$R$504,0))&amp;"","")</f>
        <v/>
      </c>
      <c r="G185" s="57">
        <f>IFERROR(INDEX(Firms!$M$5:$M$504,MATCH(181,Firms!$R$5:$R$504,0))&amp;"","")</f>
        <v/>
      </c>
      <c r="H185" s="58">
        <f>IFERROR(INDEX(Firms!$Q$5:$Q$504,MATCH(181,Firms!$R$5:$R$504,0))&amp;"","")</f>
        <v/>
      </c>
    </row>
    <row r="186">
      <c r="A186" s="57">
        <f>IF(B186="","",182)</f>
        <v/>
      </c>
      <c r="B186" s="58">
        <f>IFERROR(INDEX(Firms!$A$5:$A$504,MATCH(182,Firms!$R$5:$R$504,0))&amp;"","")</f>
        <v/>
      </c>
      <c r="C186" s="59">
        <f>IFERROR(IF(INDEX(Firms!$O$5:$O$504,MATCH(182,Firms!$R$5:$R$504,0))="","",INDEX(Firms!$O$5:$O$504,MATCH(182,Firms!$R$5:$R$504,0))),"")</f>
        <v/>
      </c>
      <c r="D186" s="58">
        <f>IFERROR(INDEX(Firms!$P$5:$P$504,MATCH(182,Firms!$R$5:$R$504,0))&amp;"","")</f>
        <v/>
      </c>
      <c r="E186" s="58">
        <f>IFERROR(INDEX(Firms!$C$5:$C$504,MATCH(182,Firms!$R$5:$R$504,0))&amp;"","")</f>
        <v/>
      </c>
      <c r="F186" s="57">
        <f>IFERROR(INDEX(Firms!$L$5:$L$504,MATCH(182,Firms!$R$5:$R$504,0))&amp;"","")</f>
        <v/>
      </c>
      <c r="G186" s="57">
        <f>IFERROR(INDEX(Firms!$M$5:$M$504,MATCH(182,Firms!$R$5:$R$504,0))&amp;"","")</f>
        <v/>
      </c>
      <c r="H186" s="58">
        <f>IFERROR(INDEX(Firms!$Q$5:$Q$504,MATCH(182,Firms!$R$5:$R$504,0))&amp;"","")</f>
        <v/>
      </c>
    </row>
    <row r="187">
      <c r="A187" s="57">
        <f>IF(B187="","",183)</f>
        <v/>
      </c>
      <c r="B187" s="58">
        <f>IFERROR(INDEX(Firms!$A$5:$A$504,MATCH(183,Firms!$R$5:$R$504,0))&amp;"","")</f>
        <v/>
      </c>
      <c r="C187" s="59">
        <f>IFERROR(IF(INDEX(Firms!$O$5:$O$504,MATCH(183,Firms!$R$5:$R$504,0))="","",INDEX(Firms!$O$5:$O$504,MATCH(183,Firms!$R$5:$R$504,0))),"")</f>
        <v/>
      </c>
      <c r="D187" s="58">
        <f>IFERROR(INDEX(Firms!$P$5:$P$504,MATCH(183,Firms!$R$5:$R$504,0))&amp;"","")</f>
        <v/>
      </c>
      <c r="E187" s="58">
        <f>IFERROR(INDEX(Firms!$C$5:$C$504,MATCH(183,Firms!$R$5:$R$504,0))&amp;"","")</f>
        <v/>
      </c>
      <c r="F187" s="57">
        <f>IFERROR(INDEX(Firms!$L$5:$L$504,MATCH(183,Firms!$R$5:$R$504,0))&amp;"","")</f>
        <v/>
      </c>
      <c r="G187" s="57">
        <f>IFERROR(INDEX(Firms!$M$5:$M$504,MATCH(183,Firms!$R$5:$R$504,0))&amp;"","")</f>
        <v/>
      </c>
      <c r="H187" s="58">
        <f>IFERROR(INDEX(Firms!$Q$5:$Q$504,MATCH(183,Firms!$R$5:$R$504,0))&amp;"","")</f>
        <v/>
      </c>
    </row>
    <row r="188">
      <c r="A188" s="57">
        <f>IF(B188="","",184)</f>
        <v/>
      </c>
      <c r="B188" s="58">
        <f>IFERROR(INDEX(Firms!$A$5:$A$504,MATCH(184,Firms!$R$5:$R$504,0))&amp;"","")</f>
        <v/>
      </c>
      <c r="C188" s="59">
        <f>IFERROR(IF(INDEX(Firms!$O$5:$O$504,MATCH(184,Firms!$R$5:$R$504,0))="","",INDEX(Firms!$O$5:$O$504,MATCH(184,Firms!$R$5:$R$504,0))),"")</f>
        <v/>
      </c>
      <c r="D188" s="58">
        <f>IFERROR(INDEX(Firms!$P$5:$P$504,MATCH(184,Firms!$R$5:$R$504,0))&amp;"","")</f>
        <v/>
      </c>
      <c r="E188" s="58">
        <f>IFERROR(INDEX(Firms!$C$5:$C$504,MATCH(184,Firms!$R$5:$R$504,0))&amp;"","")</f>
        <v/>
      </c>
      <c r="F188" s="57">
        <f>IFERROR(INDEX(Firms!$L$5:$L$504,MATCH(184,Firms!$R$5:$R$504,0))&amp;"","")</f>
        <v/>
      </c>
      <c r="G188" s="57">
        <f>IFERROR(INDEX(Firms!$M$5:$M$504,MATCH(184,Firms!$R$5:$R$504,0))&amp;"","")</f>
        <v/>
      </c>
      <c r="H188" s="58">
        <f>IFERROR(INDEX(Firms!$Q$5:$Q$504,MATCH(184,Firms!$R$5:$R$504,0))&amp;"","")</f>
        <v/>
      </c>
    </row>
    <row r="189">
      <c r="A189" s="57">
        <f>IF(B189="","",185)</f>
        <v/>
      </c>
      <c r="B189" s="58">
        <f>IFERROR(INDEX(Firms!$A$5:$A$504,MATCH(185,Firms!$R$5:$R$504,0))&amp;"","")</f>
        <v/>
      </c>
      <c r="C189" s="59">
        <f>IFERROR(IF(INDEX(Firms!$O$5:$O$504,MATCH(185,Firms!$R$5:$R$504,0))="","",INDEX(Firms!$O$5:$O$504,MATCH(185,Firms!$R$5:$R$504,0))),"")</f>
        <v/>
      </c>
      <c r="D189" s="58">
        <f>IFERROR(INDEX(Firms!$P$5:$P$504,MATCH(185,Firms!$R$5:$R$504,0))&amp;"","")</f>
        <v/>
      </c>
      <c r="E189" s="58">
        <f>IFERROR(INDEX(Firms!$C$5:$C$504,MATCH(185,Firms!$R$5:$R$504,0))&amp;"","")</f>
        <v/>
      </c>
      <c r="F189" s="57">
        <f>IFERROR(INDEX(Firms!$L$5:$L$504,MATCH(185,Firms!$R$5:$R$504,0))&amp;"","")</f>
        <v/>
      </c>
      <c r="G189" s="57">
        <f>IFERROR(INDEX(Firms!$M$5:$M$504,MATCH(185,Firms!$R$5:$R$504,0))&amp;"","")</f>
        <v/>
      </c>
      <c r="H189" s="58">
        <f>IFERROR(INDEX(Firms!$Q$5:$Q$504,MATCH(185,Firms!$R$5:$R$504,0))&amp;"","")</f>
        <v/>
      </c>
    </row>
    <row r="190">
      <c r="A190" s="57">
        <f>IF(B190="","",186)</f>
        <v/>
      </c>
      <c r="B190" s="58">
        <f>IFERROR(INDEX(Firms!$A$5:$A$504,MATCH(186,Firms!$R$5:$R$504,0))&amp;"","")</f>
        <v/>
      </c>
      <c r="C190" s="59">
        <f>IFERROR(IF(INDEX(Firms!$O$5:$O$504,MATCH(186,Firms!$R$5:$R$504,0))="","",INDEX(Firms!$O$5:$O$504,MATCH(186,Firms!$R$5:$R$504,0))),"")</f>
        <v/>
      </c>
      <c r="D190" s="58">
        <f>IFERROR(INDEX(Firms!$P$5:$P$504,MATCH(186,Firms!$R$5:$R$504,0))&amp;"","")</f>
        <v/>
      </c>
      <c r="E190" s="58">
        <f>IFERROR(INDEX(Firms!$C$5:$C$504,MATCH(186,Firms!$R$5:$R$504,0))&amp;"","")</f>
        <v/>
      </c>
      <c r="F190" s="57">
        <f>IFERROR(INDEX(Firms!$L$5:$L$504,MATCH(186,Firms!$R$5:$R$504,0))&amp;"","")</f>
        <v/>
      </c>
      <c r="G190" s="57">
        <f>IFERROR(INDEX(Firms!$M$5:$M$504,MATCH(186,Firms!$R$5:$R$504,0))&amp;"","")</f>
        <v/>
      </c>
      <c r="H190" s="58">
        <f>IFERROR(INDEX(Firms!$Q$5:$Q$504,MATCH(186,Firms!$R$5:$R$504,0))&amp;"","")</f>
        <v/>
      </c>
    </row>
    <row r="191">
      <c r="A191" s="57">
        <f>IF(B191="","",187)</f>
        <v/>
      </c>
      <c r="B191" s="58">
        <f>IFERROR(INDEX(Firms!$A$5:$A$504,MATCH(187,Firms!$R$5:$R$504,0))&amp;"","")</f>
        <v/>
      </c>
      <c r="C191" s="59">
        <f>IFERROR(IF(INDEX(Firms!$O$5:$O$504,MATCH(187,Firms!$R$5:$R$504,0))="","",INDEX(Firms!$O$5:$O$504,MATCH(187,Firms!$R$5:$R$504,0))),"")</f>
        <v/>
      </c>
      <c r="D191" s="58">
        <f>IFERROR(INDEX(Firms!$P$5:$P$504,MATCH(187,Firms!$R$5:$R$504,0))&amp;"","")</f>
        <v/>
      </c>
      <c r="E191" s="58">
        <f>IFERROR(INDEX(Firms!$C$5:$C$504,MATCH(187,Firms!$R$5:$R$504,0))&amp;"","")</f>
        <v/>
      </c>
      <c r="F191" s="57">
        <f>IFERROR(INDEX(Firms!$L$5:$L$504,MATCH(187,Firms!$R$5:$R$504,0))&amp;"","")</f>
        <v/>
      </c>
      <c r="G191" s="57">
        <f>IFERROR(INDEX(Firms!$M$5:$M$504,MATCH(187,Firms!$R$5:$R$504,0))&amp;"","")</f>
        <v/>
      </c>
      <c r="H191" s="58">
        <f>IFERROR(INDEX(Firms!$Q$5:$Q$504,MATCH(187,Firms!$R$5:$R$504,0))&amp;"","")</f>
        <v/>
      </c>
    </row>
    <row r="192">
      <c r="A192" s="57">
        <f>IF(B192="","",188)</f>
        <v/>
      </c>
      <c r="B192" s="58">
        <f>IFERROR(INDEX(Firms!$A$5:$A$504,MATCH(188,Firms!$R$5:$R$504,0))&amp;"","")</f>
        <v/>
      </c>
      <c r="C192" s="59">
        <f>IFERROR(IF(INDEX(Firms!$O$5:$O$504,MATCH(188,Firms!$R$5:$R$504,0))="","",INDEX(Firms!$O$5:$O$504,MATCH(188,Firms!$R$5:$R$504,0))),"")</f>
        <v/>
      </c>
      <c r="D192" s="58">
        <f>IFERROR(INDEX(Firms!$P$5:$P$504,MATCH(188,Firms!$R$5:$R$504,0))&amp;"","")</f>
        <v/>
      </c>
      <c r="E192" s="58">
        <f>IFERROR(INDEX(Firms!$C$5:$C$504,MATCH(188,Firms!$R$5:$R$504,0))&amp;"","")</f>
        <v/>
      </c>
      <c r="F192" s="57">
        <f>IFERROR(INDEX(Firms!$L$5:$L$504,MATCH(188,Firms!$R$5:$R$504,0))&amp;"","")</f>
        <v/>
      </c>
      <c r="G192" s="57">
        <f>IFERROR(INDEX(Firms!$M$5:$M$504,MATCH(188,Firms!$R$5:$R$504,0))&amp;"","")</f>
        <v/>
      </c>
      <c r="H192" s="58">
        <f>IFERROR(INDEX(Firms!$Q$5:$Q$504,MATCH(188,Firms!$R$5:$R$504,0))&amp;"","")</f>
        <v/>
      </c>
    </row>
    <row r="193">
      <c r="A193" s="57">
        <f>IF(B193="","",189)</f>
        <v/>
      </c>
      <c r="B193" s="58">
        <f>IFERROR(INDEX(Firms!$A$5:$A$504,MATCH(189,Firms!$R$5:$R$504,0))&amp;"","")</f>
        <v/>
      </c>
      <c r="C193" s="59">
        <f>IFERROR(IF(INDEX(Firms!$O$5:$O$504,MATCH(189,Firms!$R$5:$R$504,0))="","",INDEX(Firms!$O$5:$O$504,MATCH(189,Firms!$R$5:$R$504,0))),"")</f>
        <v/>
      </c>
      <c r="D193" s="58">
        <f>IFERROR(INDEX(Firms!$P$5:$P$504,MATCH(189,Firms!$R$5:$R$504,0))&amp;"","")</f>
        <v/>
      </c>
      <c r="E193" s="58">
        <f>IFERROR(INDEX(Firms!$C$5:$C$504,MATCH(189,Firms!$R$5:$R$504,0))&amp;"","")</f>
        <v/>
      </c>
      <c r="F193" s="57">
        <f>IFERROR(INDEX(Firms!$L$5:$L$504,MATCH(189,Firms!$R$5:$R$504,0))&amp;"","")</f>
        <v/>
      </c>
      <c r="G193" s="57">
        <f>IFERROR(INDEX(Firms!$M$5:$M$504,MATCH(189,Firms!$R$5:$R$504,0))&amp;"","")</f>
        <v/>
      </c>
      <c r="H193" s="58">
        <f>IFERROR(INDEX(Firms!$Q$5:$Q$504,MATCH(189,Firms!$R$5:$R$504,0))&amp;"","")</f>
        <v/>
      </c>
    </row>
    <row r="194">
      <c r="A194" s="57">
        <f>IF(B194="","",190)</f>
        <v/>
      </c>
      <c r="B194" s="58">
        <f>IFERROR(INDEX(Firms!$A$5:$A$504,MATCH(190,Firms!$R$5:$R$504,0))&amp;"","")</f>
        <v/>
      </c>
      <c r="C194" s="59">
        <f>IFERROR(IF(INDEX(Firms!$O$5:$O$504,MATCH(190,Firms!$R$5:$R$504,0))="","",INDEX(Firms!$O$5:$O$504,MATCH(190,Firms!$R$5:$R$504,0))),"")</f>
        <v/>
      </c>
      <c r="D194" s="58">
        <f>IFERROR(INDEX(Firms!$P$5:$P$504,MATCH(190,Firms!$R$5:$R$504,0))&amp;"","")</f>
        <v/>
      </c>
      <c r="E194" s="58">
        <f>IFERROR(INDEX(Firms!$C$5:$C$504,MATCH(190,Firms!$R$5:$R$504,0))&amp;"","")</f>
        <v/>
      </c>
      <c r="F194" s="57">
        <f>IFERROR(INDEX(Firms!$L$5:$L$504,MATCH(190,Firms!$R$5:$R$504,0))&amp;"","")</f>
        <v/>
      </c>
      <c r="G194" s="57">
        <f>IFERROR(INDEX(Firms!$M$5:$M$504,MATCH(190,Firms!$R$5:$R$504,0))&amp;"","")</f>
        <v/>
      </c>
      <c r="H194" s="58">
        <f>IFERROR(INDEX(Firms!$Q$5:$Q$504,MATCH(190,Firms!$R$5:$R$504,0))&amp;"","")</f>
        <v/>
      </c>
    </row>
    <row r="195">
      <c r="A195" s="57">
        <f>IF(B195="","",191)</f>
        <v/>
      </c>
      <c r="B195" s="58">
        <f>IFERROR(INDEX(Firms!$A$5:$A$504,MATCH(191,Firms!$R$5:$R$504,0))&amp;"","")</f>
        <v/>
      </c>
      <c r="C195" s="59">
        <f>IFERROR(IF(INDEX(Firms!$O$5:$O$504,MATCH(191,Firms!$R$5:$R$504,0))="","",INDEX(Firms!$O$5:$O$504,MATCH(191,Firms!$R$5:$R$504,0))),"")</f>
        <v/>
      </c>
      <c r="D195" s="58">
        <f>IFERROR(INDEX(Firms!$P$5:$P$504,MATCH(191,Firms!$R$5:$R$504,0))&amp;"","")</f>
        <v/>
      </c>
      <c r="E195" s="58">
        <f>IFERROR(INDEX(Firms!$C$5:$C$504,MATCH(191,Firms!$R$5:$R$504,0))&amp;"","")</f>
        <v/>
      </c>
      <c r="F195" s="57">
        <f>IFERROR(INDEX(Firms!$L$5:$L$504,MATCH(191,Firms!$R$5:$R$504,0))&amp;"","")</f>
        <v/>
      </c>
      <c r="G195" s="57">
        <f>IFERROR(INDEX(Firms!$M$5:$M$504,MATCH(191,Firms!$R$5:$R$504,0))&amp;"","")</f>
        <v/>
      </c>
      <c r="H195" s="58">
        <f>IFERROR(INDEX(Firms!$Q$5:$Q$504,MATCH(191,Firms!$R$5:$R$504,0))&amp;"","")</f>
        <v/>
      </c>
    </row>
    <row r="196">
      <c r="A196" s="57">
        <f>IF(B196="","",192)</f>
        <v/>
      </c>
      <c r="B196" s="58">
        <f>IFERROR(INDEX(Firms!$A$5:$A$504,MATCH(192,Firms!$R$5:$R$504,0))&amp;"","")</f>
        <v/>
      </c>
      <c r="C196" s="59">
        <f>IFERROR(IF(INDEX(Firms!$O$5:$O$504,MATCH(192,Firms!$R$5:$R$504,0))="","",INDEX(Firms!$O$5:$O$504,MATCH(192,Firms!$R$5:$R$504,0))),"")</f>
        <v/>
      </c>
      <c r="D196" s="58">
        <f>IFERROR(INDEX(Firms!$P$5:$P$504,MATCH(192,Firms!$R$5:$R$504,0))&amp;"","")</f>
        <v/>
      </c>
      <c r="E196" s="58">
        <f>IFERROR(INDEX(Firms!$C$5:$C$504,MATCH(192,Firms!$R$5:$R$504,0))&amp;"","")</f>
        <v/>
      </c>
      <c r="F196" s="57">
        <f>IFERROR(INDEX(Firms!$L$5:$L$504,MATCH(192,Firms!$R$5:$R$504,0))&amp;"","")</f>
        <v/>
      </c>
      <c r="G196" s="57">
        <f>IFERROR(INDEX(Firms!$M$5:$M$504,MATCH(192,Firms!$R$5:$R$504,0))&amp;"","")</f>
        <v/>
      </c>
      <c r="H196" s="58">
        <f>IFERROR(INDEX(Firms!$Q$5:$Q$504,MATCH(192,Firms!$R$5:$R$504,0))&amp;"","")</f>
        <v/>
      </c>
    </row>
    <row r="197">
      <c r="A197" s="57">
        <f>IF(B197="","",193)</f>
        <v/>
      </c>
      <c r="B197" s="58">
        <f>IFERROR(INDEX(Firms!$A$5:$A$504,MATCH(193,Firms!$R$5:$R$504,0))&amp;"","")</f>
        <v/>
      </c>
      <c r="C197" s="59">
        <f>IFERROR(IF(INDEX(Firms!$O$5:$O$504,MATCH(193,Firms!$R$5:$R$504,0))="","",INDEX(Firms!$O$5:$O$504,MATCH(193,Firms!$R$5:$R$504,0))),"")</f>
        <v/>
      </c>
      <c r="D197" s="58">
        <f>IFERROR(INDEX(Firms!$P$5:$P$504,MATCH(193,Firms!$R$5:$R$504,0))&amp;"","")</f>
        <v/>
      </c>
      <c r="E197" s="58">
        <f>IFERROR(INDEX(Firms!$C$5:$C$504,MATCH(193,Firms!$R$5:$R$504,0))&amp;"","")</f>
        <v/>
      </c>
      <c r="F197" s="57">
        <f>IFERROR(INDEX(Firms!$L$5:$L$504,MATCH(193,Firms!$R$5:$R$504,0))&amp;"","")</f>
        <v/>
      </c>
      <c r="G197" s="57">
        <f>IFERROR(INDEX(Firms!$M$5:$M$504,MATCH(193,Firms!$R$5:$R$504,0))&amp;"","")</f>
        <v/>
      </c>
      <c r="H197" s="58">
        <f>IFERROR(INDEX(Firms!$Q$5:$Q$504,MATCH(193,Firms!$R$5:$R$504,0))&amp;"","")</f>
        <v/>
      </c>
    </row>
    <row r="198">
      <c r="A198" s="57">
        <f>IF(B198="","",194)</f>
        <v/>
      </c>
      <c r="B198" s="58">
        <f>IFERROR(INDEX(Firms!$A$5:$A$504,MATCH(194,Firms!$R$5:$R$504,0))&amp;"","")</f>
        <v/>
      </c>
      <c r="C198" s="59">
        <f>IFERROR(IF(INDEX(Firms!$O$5:$O$504,MATCH(194,Firms!$R$5:$R$504,0))="","",INDEX(Firms!$O$5:$O$504,MATCH(194,Firms!$R$5:$R$504,0))),"")</f>
        <v/>
      </c>
      <c r="D198" s="58">
        <f>IFERROR(INDEX(Firms!$P$5:$P$504,MATCH(194,Firms!$R$5:$R$504,0))&amp;"","")</f>
        <v/>
      </c>
      <c r="E198" s="58">
        <f>IFERROR(INDEX(Firms!$C$5:$C$504,MATCH(194,Firms!$R$5:$R$504,0))&amp;"","")</f>
        <v/>
      </c>
      <c r="F198" s="57">
        <f>IFERROR(INDEX(Firms!$L$5:$L$504,MATCH(194,Firms!$R$5:$R$504,0))&amp;"","")</f>
        <v/>
      </c>
      <c r="G198" s="57">
        <f>IFERROR(INDEX(Firms!$M$5:$M$504,MATCH(194,Firms!$R$5:$R$504,0))&amp;"","")</f>
        <v/>
      </c>
      <c r="H198" s="58">
        <f>IFERROR(INDEX(Firms!$Q$5:$Q$504,MATCH(194,Firms!$R$5:$R$504,0))&amp;"","")</f>
        <v/>
      </c>
    </row>
    <row r="199">
      <c r="A199" s="57">
        <f>IF(B199="","",195)</f>
        <v/>
      </c>
      <c r="B199" s="58">
        <f>IFERROR(INDEX(Firms!$A$5:$A$504,MATCH(195,Firms!$R$5:$R$504,0))&amp;"","")</f>
        <v/>
      </c>
      <c r="C199" s="59">
        <f>IFERROR(IF(INDEX(Firms!$O$5:$O$504,MATCH(195,Firms!$R$5:$R$504,0))="","",INDEX(Firms!$O$5:$O$504,MATCH(195,Firms!$R$5:$R$504,0))),"")</f>
        <v/>
      </c>
      <c r="D199" s="58">
        <f>IFERROR(INDEX(Firms!$P$5:$P$504,MATCH(195,Firms!$R$5:$R$504,0))&amp;"","")</f>
        <v/>
      </c>
      <c r="E199" s="58">
        <f>IFERROR(INDEX(Firms!$C$5:$C$504,MATCH(195,Firms!$R$5:$R$504,0))&amp;"","")</f>
        <v/>
      </c>
      <c r="F199" s="57">
        <f>IFERROR(INDEX(Firms!$L$5:$L$504,MATCH(195,Firms!$R$5:$R$504,0))&amp;"","")</f>
        <v/>
      </c>
      <c r="G199" s="57">
        <f>IFERROR(INDEX(Firms!$M$5:$M$504,MATCH(195,Firms!$R$5:$R$504,0))&amp;"","")</f>
        <v/>
      </c>
      <c r="H199" s="58">
        <f>IFERROR(INDEX(Firms!$Q$5:$Q$504,MATCH(195,Firms!$R$5:$R$504,0))&amp;"","")</f>
        <v/>
      </c>
    </row>
    <row r="200">
      <c r="A200" s="57">
        <f>IF(B200="","",196)</f>
        <v/>
      </c>
      <c r="B200" s="58">
        <f>IFERROR(INDEX(Firms!$A$5:$A$504,MATCH(196,Firms!$R$5:$R$504,0))&amp;"","")</f>
        <v/>
      </c>
      <c r="C200" s="59">
        <f>IFERROR(IF(INDEX(Firms!$O$5:$O$504,MATCH(196,Firms!$R$5:$R$504,0))="","",INDEX(Firms!$O$5:$O$504,MATCH(196,Firms!$R$5:$R$504,0))),"")</f>
        <v/>
      </c>
      <c r="D200" s="58">
        <f>IFERROR(INDEX(Firms!$P$5:$P$504,MATCH(196,Firms!$R$5:$R$504,0))&amp;"","")</f>
        <v/>
      </c>
      <c r="E200" s="58">
        <f>IFERROR(INDEX(Firms!$C$5:$C$504,MATCH(196,Firms!$R$5:$R$504,0))&amp;"","")</f>
        <v/>
      </c>
      <c r="F200" s="57">
        <f>IFERROR(INDEX(Firms!$L$5:$L$504,MATCH(196,Firms!$R$5:$R$504,0))&amp;"","")</f>
        <v/>
      </c>
      <c r="G200" s="57">
        <f>IFERROR(INDEX(Firms!$M$5:$M$504,MATCH(196,Firms!$R$5:$R$504,0))&amp;"","")</f>
        <v/>
      </c>
      <c r="H200" s="58">
        <f>IFERROR(INDEX(Firms!$Q$5:$Q$504,MATCH(196,Firms!$R$5:$R$504,0))&amp;"","")</f>
        <v/>
      </c>
    </row>
    <row r="201">
      <c r="A201" s="57">
        <f>IF(B201="","",197)</f>
        <v/>
      </c>
      <c r="B201" s="58">
        <f>IFERROR(INDEX(Firms!$A$5:$A$504,MATCH(197,Firms!$R$5:$R$504,0))&amp;"","")</f>
        <v/>
      </c>
      <c r="C201" s="59">
        <f>IFERROR(IF(INDEX(Firms!$O$5:$O$504,MATCH(197,Firms!$R$5:$R$504,0))="","",INDEX(Firms!$O$5:$O$504,MATCH(197,Firms!$R$5:$R$504,0))),"")</f>
        <v/>
      </c>
      <c r="D201" s="58">
        <f>IFERROR(INDEX(Firms!$P$5:$P$504,MATCH(197,Firms!$R$5:$R$504,0))&amp;"","")</f>
        <v/>
      </c>
      <c r="E201" s="58">
        <f>IFERROR(INDEX(Firms!$C$5:$C$504,MATCH(197,Firms!$R$5:$R$504,0))&amp;"","")</f>
        <v/>
      </c>
      <c r="F201" s="57">
        <f>IFERROR(INDEX(Firms!$L$5:$L$504,MATCH(197,Firms!$R$5:$R$504,0))&amp;"","")</f>
        <v/>
      </c>
      <c r="G201" s="57">
        <f>IFERROR(INDEX(Firms!$M$5:$M$504,MATCH(197,Firms!$R$5:$R$504,0))&amp;"","")</f>
        <v/>
      </c>
      <c r="H201" s="58">
        <f>IFERROR(INDEX(Firms!$Q$5:$Q$504,MATCH(197,Firms!$R$5:$R$504,0))&amp;"","")</f>
        <v/>
      </c>
    </row>
    <row r="202">
      <c r="A202" s="57">
        <f>IF(B202="","",198)</f>
        <v/>
      </c>
      <c r="B202" s="58">
        <f>IFERROR(INDEX(Firms!$A$5:$A$504,MATCH(198,Firms!$R$5:$R$504,0))&amp;"","")</f>
        <v/>
      </c>
      <c r="C202" s="59">
        <f>IFERROR(IF(INDEX(Firms!$O$5:$O$504,MATCH(198,Firms!$R$5:$R$504,0))="","",INDEX(Firms!$O$5:$O$504,MATCH(198,Firms!$R$5:$R$504,0))),"")</f>
        <v/>
      </c>
      <c r="D202" s="58">
        <f>IFERROR(INDEX(Firms!$P$5:$P$504,MATCH(198,Firms!$R$5:$R$504,0))&amp;"","")</f>
        <v/>
      </c>
      <c r="E202" s="58">
        <f>IFERROR(INDEX(Firms!$C$5:$C$504,MATCH(198,Firms!$R$5:$R$504,0))&amp;"","")</f>
        <v/>
      </c>
      <c r="F202" s="57">
        <f>IFERROR(INDEX(Firms!$L$5:$L$504,MATCH(198,Firms!$R$5:$R$504,0))&amp;"","")</f>
        <v/>
      </c>
      <c r="G202" s="57">
        <f>IFERROR(INDEX(Firms!$M$5:$M$504,MATCH(198,Firms!$R$5:$R$504,0))&amp;"","")</f>
        <v/>
      </c>
      <c r="H202" s="58">
        <f>IFERROR(INDEX(Firms!$Q$5:$Q$504,MATCH(198,Firms!$R$5:$R$504,0))&amp;"","")</f>
        <v/>
      </c>
    </row>
    <row r="203">
      <c r="A203" s="57">
        <f>IF(B203="","",199)</f>
        <v/>
      </c>
      <c r="B203" s="58">
        <f>IFERROR(INDEX(Firms!$A$5:$A$504,MATCH(199,Firms!$R$5:$R$504,0))&amp;"","")</f>
        <v/>
      </c>
      <c r="C203" s="59">
        <f>IFERROR(IF(INDEX(Firms!$O$5:$O$504,MATCH(199,Firms!$R$5:$R$504,0))="","",INDEX(Firms!$O$5:$O$504,MATCH(199,Firms!$R$5:$R$504,0))),"")</f>
        <v/>
      </c>
      <c r="D203" s="58">
        <f>IFERROR(INDEX(Firms!$P$5:$P$504,MATCH(199,Firms!$R$5:$R$504,0))&amp;"","")</f>
        <v/>
      </c>
      <c r="E203" s="58">
        <f>IFERROR(INDEX(Firms!$C$5:$C$504,MATCH(199,Firms!$R$5:$R$504,0))&amp;"","")</f>
        <v/>
      </c>
      <c r="F203" s="57">
        <f>IFERROR(INDEX(Firms!$L$5:$L$504,MATCH(199,Firms!$R$5:$R$504,0))&amp;"","")</f>
        <v/>
      </c>
      <c r="G203" s="57">
        <f>IFERROR(INDEX(Firms!$M$5:$M$504,MATCH(199,Firms!$R$5:$R$504,0))&amp;"","")</f>
        <v/>
      </c>
      <c r="H203" s="58">
        <f>IFERROR(INDEX(Firms!$Q$5:$Q$504,MATCH(199,Firms!$R$5:$R$504,0))&amp;"","")</f>
        <v/>
      </c>
    </row>
    <row r="204">
      <c r="A204" s="57">
        <f>IF(B204="","",200)</f>
        <v/>
      </c>
      <c r="B204" s="58">
        <f>IFERROR(INDEX(Firms!$A$5:$A$504,MATCH(200,Firms!$R$5:$R$504,0))&amp;"","")</f>
        <v/>
      </c>
      <c r="C204" s="59">
        <f>IFERROR(IF(INDEX(Firms!$O$5:$O$504,MATCH(200,Firms!$R$5:$R$504,0))="","",INDEX(Firms!$O$5:$O$504,MATCH(200,Firms!$R$5:$R$504,0))),"")</f>
        <v/>
      </c>
      <c r="D204" s="58">
        <f>IFERROR(INDEX(Firms!$P$5:$P$504,MATCH(200,Firms!$R$5:$R$504,0))&amp;"","")</f>
        <v/>
      </c>
      <c r="E204" s="58">
        <f>IFERROR(INDEX(Firms!$C$5:$C$504,MATCH(200,Firms!$R$5:$R$504,0))&amp;"","")</f>
        <v/>
      </c>
      <c r="F204" s="57">
        <f>IFERROR(INDEX(Firms!$L$5:$L$504,MATCH(200,Firms!$R$5:$R$504,0))&amp;"","")</f>
        <v/>
      </c>
      <c r="G204" s="57">
        <f>IFERROR(INDEX(Firms!$M$5:$M$504,MATCH(200,Firms!$R$5:$R$504,0))&amp;"","")</f>
        <v/>
      </c>
      <c r="H204" s="58">
        <f>IFERROR(INDEX(Firms!$Q$5:$Q$504,MATCH(200,Firms!$R$5:$R$504,0))&amp;"","")</f>
        <v/>
      </c>
    </row>
  </sheetData>
  <conditionalFormatting sqref="A5:H204">
    <cfRule type="expression" priority="1" dxfId="8">
      <formula>$B5&lt;&gt;""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F7D58B"/>
    <outlinePr summaryBelow="1" summaryRight="1"/>
    <pageSetUpPr fitToPage="1"/>
  </sheetPr>
  <dimension ref="A1:M224"/>
  <sheetViews>
    <sheetView showGridLines="0" zoomScale="100" workbookViewId="0">
      <pane xSplit="1" ySplit="24" topLeftCell="B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6" customWidth="1" min="14" max="14"/>
    <col width="6" customWidth="1" min="15" max="15"/>
  </cols>
  <sheetData>
    <row r="1" ht="34" customHeight="1">
      <c r="A1" s="47" t="inlineStr">
        <is>
          <t>Summary — Reporting Snapshot</t>
        </is>
      </c>
    </row>
    <row r="2" ht="22" customHeight="1">
      <c r="A2" s="48" t="inlineStr">
        <is>
          <t>Fully automatic. Updates whenever the Firms or AFA Rates tabs change.</t>
        </is>
      </c>
    </row>
    <row r="4">
      <c r="A4" s="3" t="inlineStr">
        <is>
          <t>KEY COUNTS</t>
        </is>
      </c>
      <c r="D4" s="3" t="inlineStr">
        <is>
          <t>FIRMS BY AFA TYPE</t>
        </is>
      </c>
      <c r="I4" s="3" t="inlineStr">
        <is>
          <t>CYBER STATUS</t>
        </is>
      </c>
    </row>
    <row r="5" ht="24" customHeight="1">
      <c r="A5" s="6" t="inlineStr">
        <is>
          <t>Total Firms</t>
        </is>
      </c>
      <c r="B5" s="60">
        <f>COUNTA(Firms!$A$5:$A$504)</f>
        <v/>
      </c>
      <c r="D5" s="49" t="inlineStr">
        <is>
          <t>AFA Type</t>
        </is>
      </c>
      <c r="E5" s="49" t="n"/>
      <c r="F5" s="49" t="inlineStr">
        <is>
          <t># Firms</t>
        </is>
      </c>
      <c r="G5" s="49" t="inlineStr">
        <is>
          <t># Active</t>
        </is>
      </c>
      <c r="I5" s="49" t="inlineStr">
        <is>
          <t>Cyber Status</t>
        </is>
      </c>
      <c r="J5" s="49" t="n"/>
      <c r="K5" s="49" t="inlineStr">
        <is>
          <t># Firms</t>
        </is>
      </c>
    </row>
    <row r="6" ht="24" customHeight="1">
      <c r="A6" s="61" t="inlineStr">
        <is>
          <t>Active Firms</t>
        </is>
      </c>
      <c r="B6" s="62">
        <f>COUNTIFS(Firms!$A$5:$A$504,"&lt;&gt;",Firms!$B$5:$B$504,"Active")</f>
        <v/>
      </c>
      <c r="D6" s="63">
        <f>IF(INDEX(AFA_Types_All,1)="","",INDEX(AFA_Types_All,1))</f>
        <v/>
      </c>
      <c r="F6" s="57">
        <f>IF(D6="","",COUNTIFS('AFA Rates'!$B$5:$B$504,D6,'AFA Rates'!$A$5:$A$504,"&lt;&gt;"))</f>
        <v/>
      </c>
      <c r="G6" s="57">
        <f>IF(D6="","",COUNTIFS('AFA Rates'!$B$5:$B$504,D6,'AFA Rates'!$M$5:$M$504,"Active"))</f>
        <v/>
      </c>
      <c r="I6" s="64">
        <f>IF(INDEX(Lists!$C$5:$C$19,1)="","",INDEX(Lists!$C$5:$C$19,1))</f>
        <v/>
      </c>
      <c r="K6" s="57">
        <f>IF(I6="","",COUNTIFS(Firms!$L$5:$L$504,I6,Firms!$A$5:$A$504,"&lt;&gt;"))</f>
        <v/>
      </c>
    </row>
    <row r="7" ht="24" customHeight="1">
      <c r="A7" s="65" t="inlineStr">
        <is>
          <t>Paused (Do Not Use)</t>
        </is>
      </c>
      <c r="B7" s="66">
        <f>COUNTIFS(Firms!$A$5:$A$504,"&lt;&gt;",Firms!$B$5:$B$504,"Paused")</f>
        <v/>
      </c>
      <c r="D7" s="63">
        <f>IF(INDEX(AFA_Types_All,2)="","",INDEX(AFA_Types_All,2))</f>
        <v/>
      </c>
      <c r="F7" s="57">
        <f>IF(D7="","",COUNTIFS('AFA Rates'!$B$5:$B$504,D7,'AFA Rates'!$A$5:$A$504,"&lt;&gt;"))</f>
        <v/>
      </c>
      <c r="G7" s="57">
        <f>IF(D7="","",COUNTIFS('AFA Rates'!$B$5:$B$504,D7,'AFA Rates'!$M$5:$M$504,"Active"))</f>
        <v/>
      </c>
      <c r="I7" s="64">
        <f>IF(INDEX(Lists!$C$5:$C$19,2)="","",INDEX(Lists!$C$5:$C$19,2))</f>
        <v/>
      </c>
      <c r="K7" s="57">
        <f>IF(I7="","",COUNTIFS(Firms!$L$5:$L$504,I7,Firms!$A$5:$A$504,"&lt;&gt;"))</f>
        <v/>
      </c>
    </row>
    <row r="8" ht="24" customHeight="1">
      <c r="A8" s="67" t="inlineStr">
        <is>
          <t>Firms with an AFA</t>
        </is>
      </c>
      <c r="B8" s="68">
        <f>COUNTIF(Firms!$M$5:$M$504,"Yes")</f>
        <v/>
      </c>
      <c r="D8" s="63">
        <f>IF(INDEX(AFA_Types_All,3)="","",INDEX(AFA_Types_All,3))</f>
        <v/>
      </c>
      <c r="F8" s="57">
        <f>IF(D8="","",COUNTIFS('AFA Rates'!$B$5:$B$504,D8,'AFA Rates'!$A$5:$A$504,"&lt;&gt;"))</f>
        <v/>
      </c>
      <c r="G8" s="57">
        <f>IF(D8="","",COUNTIFS('AFA Rates'!$B$5:$B$504,D8,'AFA Rates'!$M$5:$M$504,"Active"))</f>
        <v/>
      </c>
      <c r="I8" s="64">
        <f>IF(INDEX(Lists!$C$5:$C$19,3)="","",INDEX(Lists!$C$5:$C$19,3))</f>
        <v/>
      </c>
      <c r="K8" s="57">
        <f>IF(I8="","",COUNTIFS(Firms!$L$5:$L$504,I8,Firms!$A$5:$A$504,"&lt;&gt;"))</f>
        <v/>
      </c>
    </row>
    <row r="9" ht="24" customHeight="1">
      <c r="A9" s="67" t="inlineStr">
        <is>
          <t>Active Firms with an AFA</t>
        </is>
      </c>
      <c r="B9" s="68">
        <f>COUNTIFS(Firms!$M$5:$M$504,"Yes",Firms!$B$5:$B$504,"Active")</f>
        <v/>
      </c>
      <c r="D9" s="63">
        <f>IF(INDEX(AFA_Types_All,4)="","",INDEX(AFA_Types_All,4))</f>
        <v/>
      </c>
      <c r="F9" s="57">
        <f>IF(D9="","",COUNTIFS('AFA Rates'!$B$5:$B$504,D9,'AFA Rates'!$A$5:$A$504,"&lt;&gt;"))</f>
        <v/>
      </c>
      <c r="G9" s="57">
        <f>IF(D9="","",COUNTIFS('AFA Rates'!$B$5:$B$504,D9,'AFA Rates'!$M$5:$M$504,"Active"))</f>
        <v/>
      </c>
      <c r="I9" s="64">
        <f>IF(INDEX(Lists!$C$5:$C$19,4)="","",INDEX(Lists!$C$5:$C$19,4))</f>
        <v/>
      </c>
      <c r="K9" s="57">
        <f>IF(I9="","",COUNTIFS(Firms!$L$5:$L$504,I9,Firms!$A$5:$A$504,"&lt;&gt;"))</f>
        <v/>
      </c>
    </row>
    <row r="10" ht="24" customHeight="1">
      <c r="A10" s="69" t="inlineStr">
        <is>
          <t>Firms without an AFA</t>
        </is>
      </c>
      <c r="B10" s="70">
        <f>COUNTIF(Firms!$M$5:$M$504,"No")</f>
        <v/>
      </c>
      <c r="D10" s="63">
        <f>IF(INDEX(AFA_Types_All,5)="","",INDEX(AFA_Types_All,5))</f>
        <v/>
      </c>
      <c r="F10" s="57">
        <f>IF(D10="","",COUNTIFS('AFA Rates'!$B$5:$B$504,D10,'AFA Rates'!$A$5:$A$504,"&lt;&gt;"))</f>
        <v/>
      </c>
      <c r="G10" s="57">
        <f>IF(D10="","",COUNTIFS('AFA Rates'!$B$5:$B$504,D10,'AFA Rates'!$M$5:$M$504,"Active"))</f>
        <v/>
      </c>
      <c r="I10" s="64">
        <f>IF(INDEX(Lists!$C$5:$C$19,5)="","",INDEX(Lists!$C$5:$C$19,5))</f>
        <v/>
      </c>
      <c r="K10" s="57">
        <f>IF(I10="","",COUNTIFS(Firms!$L$5:$L$504,I10,Firms!$A$5:$A$504,"&lt;&gt;"))</f>
        <v/>
      </c>
    </row>
    <row r="11">
      <c r="D11" s="63">
        <f>IF(INDEX(AFA_Types_All,6)="","",INDEX(AFA_Types_All,6))</f>
        <v/>
      </c>
      <c r="F11" s="57">
        <f>IF(D11="","",COUNTIFS('AFA Rates'!$B$5:$B$504,D11,'AFA Rates'!$A$5:$A$504,"&lt;&gt;"))</f>
        <v/>
      </c>
      <c r="G11" s="57">
        <f>IF(D11="","",COUNTIFS('AFA Rates'!$B$5:$B$504,D11,'AFA Rates'!$M$5:$M$504,"Active"))</f>
        <v/>
      </c>
      <c r="I11" s="64">
        <f>IF(INDEX(Lists!$C$5:$C$19,6)="","",INDEX(Lists!$C$5:$C$19,6))</f>
        <v/>
      </c>
      <c r="K11" s="57">
        <f>IF(I11="","",COUNTIFS(Firms!$L$5:$L$504,I11,Firms!$A$5:$A$504,"&lt;&gt;"))</f>
        <v/>
      </c>
    </row>
    <row r="12">
      <c r="D12" s="63">
        <f>IF(INDEX(AFA_Types_All,7)="","",INDEX(AFA_Types_All,7))</f>
        <v/>
      </c>
      <c r="F12" s="57">
        <f>IF(D12="","",COUNTIFS('AFA Rates'!$B$5:$B$504,D12,'AFA Rates'!$A$5:$A$504,"&lt;&gt;"))</f>
        <v/>
      </c>
      <c r="G12" s="57">
        <f>IF(D12="","",COUNTIFS('AFA Rates'!$B$5:$B$504,D12,'AFA Rates'!$M$5:$M$504,"Active"))</f>
        <v/>
      </c>
      <c r="I12" s="64">
        <f>IF(INDEX(Lists!$C$5:$C$19,7)="","",INDEX(Lists!$C$5:$C$19,7))</f>
        <v/>
      </c>
      <c r="K12" s="57">
        <f>IF(I12="","",COUNTIFS(Firms!$L$5:$L$504,I12,Firms!$A$5:$A$504,"&lt;&gt;"))</f>
        <v/>
      </c>
    </row>
    <row r="13">
      <c r="D13" s="63">
        <f>IF(INDEX(AFA_Types_All,8)="","",INDEX(AFA_Types_All,8))</f>
        <v/>
      </c>
      <c r="F13" s="57">
        <f>IF(D13="","",COUNTIFS('AFA Rates'!$B$5:$B$504,D13,'AFA Rates'!$A$5:$A$504,"&lt;&gt;"))</f>
        <v/>
      </c>
      <c r="G13" s="57">
        <f>IF(D13="","",COUNTIFS('AFA Rates'!$B$5:$B$504,D13,'AFA Rates'!$M$5:$M$504,"Active"))</f>
        <v/>
      </c>
      <c r="I13" s="64">
        <f>IF(INDEX(Lists!$C$5:$C$19,8)="","",INDEX(Lists!$C$5:$C$19,8))</f>
        <v/>
      </c>
      <c r="K13" s="57">
        <f>IF(I13="","",COUNTIFS(Firms!$L$5:$L$504,I13,Firms!$A$5:$A$504,"&lt;&gt;"))</f>
        <v/>
      </c>
    </row>
    <row r="14">
      <c r="D14" s="63">
        <f>IF(INDEX(AFA_Types_All,9)="","",INDEX(AFA_Types_All,9))</f>
        <v/>
      </c>
      <c r="F14" s="57">
        <f>IF(D14="","",COUNTIFS('AFA Rates'!$B$5:$B$504,D14,'AFA Rates'!$A$5:$A$504,"&lt;&gt;"))</f>
        <v/>
      </c>
      <c r="G14" s="57">
        <f>IF(D14="","",COUNTIFS('AFA Rates'!$B$5:$B$504,D14,'AFA Rates'!$M$5:$M$504,"Active"))</f>
        <v/>
      </c>
      <c r="I14" s="71" t="inlineStr">
        <is>
          <t>Not entered</t>
        </is>
      </c>
      <c r="K14" s="57">
        <f>COUNTIFS(Firms!$A$5:$A$504,"&lt;&gt;",Firms!$L$5:$L$504,"")</f>
        <v/>
      </c>
    </row>
    <row r="15">
      <c r="D15" s="63">
        <f>IF(INDEX(AFA_Types_All,10)="","",INDEX(AFA_Types_All,10))</f>
        <v/>
      </c>
      <c r="F15" s="57">
        <f>IF(D15="","",COUNTIFS('AFA Rates'!$B$5:$B$504,D15,'AFA Rates'!$A$5:$A$504,"&lt;&gt;"))</f>
        <v/>
      </c>
      <c r="G15" s="57">
        <f>IF(D15="","",COUNTIFS('AFA Rates'!$B$5:$B$504,D15,'AFA Rates'!$M$5:$M$504,"Active"))</f>
        <v/>
      </c>
    </row>
    <row r="16">
      <c r="D16" s="63">
        <f>IF(INDEX(AFA_Types_All,11)="","",INDEX(AFA_Types_All,11))</f>
        <v/>
      </c>
      <c r="F16" s="57">
        <f>IF(D16="","",COUNTIFS('AFA Rates'!$B$5:$B$504,D16,'AFA Rates'!$A$5:$A$504,"&lt;&gt;"))</f>
        <v/>
      </c>
      <c r="G16" s="57">
        <f>IF(D16="","",COUNTIFS('AFA Rates'!$B$5:$B$504,D16,'AFA Rates'!$M$5:$M$504,"Active"))</f>
        <v/>
      </c>
    </row>
    <row r="17">
      <c r="D17" s="63">
        <f>IF(INDEX(AFA_Types_All,12)="","",INDEX(AFA_Types_All,12))</f>
        <v/>
      </c>
      <c r="F17" s="57">
        <f>IF(D17="","",COUNTIFS('AFA Rates'!$B$5:$B$504,D17,'AFA Rates'!$A$5:$A$504,"&lt;&gt;"))</f>
        <v/>
      </c>
      <c r="G17" s="57">
        <f>IF(D17="","",COUNTIFS('AFA Rates'!$B$5:$B$504,D17,'AFA Rates'!$M$5:$M$504,"Active"))</f>
        <v/>
      </c>
    </row>
    <row r="18">
      <c r="D18" s="63">
        <f>IF(INDEX(AFA_Types_All,13)="","",INDEX(AFA_Types_All,13))</f>
        <v/>
      </c>
      <c r="F18" s="57">
        <f>IF(D18="","",COUNTIFS('AFA Rates'!$B$5:$B$504,D18,'AFA Rates'!$A$5:$A$504,"&lt;&gt;"))</f>
        <v/>
      </c>
      <c r="G18" s="57">
        <f>IF(D18="","",COUNTIFS('AFA Rates'!$B$5:$B$504,D18,'AFA Rates'!$M$5:$M$504,"Active"))</f>
        <v/>
      </c>
    </row>
    <row r="19">
      <c r="D19" s="63">
        <f>IF(INDEX(AFA_Types_All,14)="","",INDEX(AFA_Types_All,14))</f>
        <v/>
      </c>
      <c r="F19" s="57">
        <f>IF(D19="","",COUNTIFS('AFA Rates'!$B$5:$B$504,D19,'AFA Rates'!$A$5:$A$504,"&lt;&gt;"))</f>
        <v/>
      </c>
      <c r="G19" s="57">
        <f>IF(D19="","",COUNTIFS('AFA Rates'!$B$5:$B$504,D19,'AFA Rates'!$M$5:$M$504,"Active"))</f>
        <v/>
      </c>
    </row>
    <row r="20">
      <c r="D20" s="63">
        <f>IF(INDEX(AFA_Types_All,15)="","",INDEX(AFA_Types_All,15))</f>
        <v/>
      </c>
      <c r="F20" s="57">
        <f>IF(D20="","",COUNTIFS('AFA Rates'!$B$5:$B$504,D20,'AFA Rates'!$A$5:$A$504,"&lt;&gt;"))</f>
        <v/>
      </c>
      <c r="G20" s="57">
        <f>IF(D20="","",COUNTIFS('AFA Rates'!$B$5:$B$504,D20,'AFA Rates'!$M$5:$M$504,"Active"))</f>
        <v/>
      </c>
    </row>
    <row r="22">
      <c r="A22" s="17">
        <f>"Report as of "&amp;TEXT(TODAY(),"mmmm d, yyyy")</f>
        <v/>
      </c>
    </row>
    <row r="23">
      <c r="A23" s="3" t="inlineStr">
        <is>
          <t>FIRMS WITH AFAs  (✓ = AFA on file for that type)</t>
        </is>
      </c>
    </row>
    <row r="24" ht="40" customHeight="1">
      <c r="A24" s="72" t="inlineStr">
        <is>
          <t>Firm Name</t>
        </is>
      </c>
      <c r="B24" s="72" t="inlineStr">
        <is>
          <t>Status</t>
        </is>
      </c>
      <c r="C24" s="72" t="inlineStr">
        <is>
          <t># AFA Types</t>
        </is>
      </c>
      <c r="D24" s="72">
        <f>IF(INDEX(AFA_Types_All,1)="","",INDEX(AFA_Types_All,1))</f>
        <v/>
      </c>
      <c r="E24" s="72">
        <f>IF(INDEX(AFA_Types_All,2)="","",INDEX(AFA_Types_All,2))</f>
        <v/>
      </c>
      <c r="F24" s="72">
        <f>IF(INDEX(AFA_Types_All,3)="","",INDEX(AFA_Types_All,3))</f>
        <v/>
      </c>
      <c r="G24" s="72">
        <f>IF(INDEX(AFA_Types_All,4)="","",INDEX(AFA_Types_All,4))</f>
        <v/>
      </c>
      <c r="H24" s="72">
        <f>IF(INDEX(AFA_Types_All,5)="","",INDEX(AFA_Types_All,5))</f>
        <v/>
      </c>
      <c r="I24" s="72">
        <f>IF(INDEX(AFA_Types_All,6)="","",INDEX(AFA_Types_All,6))</f>
        <v/>
      </c>
      <c r="J24" s="72">
        <f>IF(INDEX(AFA_Types_All,7)="","",INDEX(AFA_Types_All,7))</f>
        <v/>
      </c>
      <c r="K24" s="72">
        <f>IF(INDEX(AFA_Types_All,8)="","",INDEX(AFA_Types_All,8))</f>
        <v/>
      </c>
      <c r="L24" s="72">
        <f>IF(INDEX(AFA_Types_All,9)="","",INDEX(AFA_Types_All,9))</f>
        <v/>
      </c>
      <c r="M24" s="72">
        <f>IF(INDEX(AFA_Types_All,10)="","",INDEX(AFA_Types_All,10))</f>
        <v/>
      </c>
    </row>
    <row r="25">
      <c r="A25" s="63">
        <f>IFERROR(INDEX(Firms!$A$5:$A$504,MATCH(1,Firms!$S$5:$S$504,0)),"")</f>
        <v/>
      </c>
      <c r="B25" s="57">
        <f>IF($A25="","",INDEX(Firms!$B$5:$B$504,MATCH(1,Firms!$S$5:$S$504,0)))</f>
        <v/>
      </c>
      <c r="C25" s="57">
        <f>IF($A25="","",COUNTIF('AFA Rates'!$A$5:$A$504,$A25))</f>
        <v/>
      </c>
      <c r="D25" s="57">
        <f>IF(OR($A25="",D$24=""),"",IF(COUNTIFS('AFA Rates'!$A$5:$A$504,$A25,'AFA Rates'!$B$5:$B$504,D$24)&gt;0,"✓",""))</f>
        <v/>
      </c>
      <c r="E25" s="57">
        <f>IF(OR($A25="",E$24=""),"",IF(COUNTIFS('AFA Rates'!$A$5:$A$504,$A25,'AFA Rates'!$B$5:$B$504,E$24)&gt;0,"✓",""))</f>
        <v/>
      </c>
      <c r="F25" s="57">
        <f>IF(OR($A25="",F$24=""),"",IF(COUNTIFS('AFA Rates'!$A$5:$A$504,$A25,'AFA Rates'!$B$5:$B$504,F$24)&gt;0,"✓",""))</f>
        <v/>
      </c>
      <c r="G25" s="57">
        <f>IF(OR($A25="",G$24=""),"",IF(COUNTIFS('AFA Rates'!$A$5:$A$504,$A25,'AFA Rates'!$B$5:$B$504,G$24)&gt;0,"✓",""))</f>
        <v/>
      </c>
      <c r="H25" s="57">
        <f>IF(OR($A25="",H$24=""),"",IF(COUNTIFS('AFA Rates'!$A$5:$A$504,$A25,'AFA Rates'!$B$5:$B$504,H$24)&gt;0,"✓",""))</f>
        <v/>
      </c>
      <c r="I25" s="57">
        <f>IF(OR($A25="",I$24=""),"",IF(COUNTIFS('AFA Rates'!$A$5:$A$504,$A25,'AFA Rates'!$B$5:$B$504,I$24)&gt;0,"✓",""))</f>
        <v/>
      </c>
      <c r="J25" s="57">
        <f>IF(OR($A25="",J$24=""),"",IF(COUNTIFS('AFA Rates'!$A$5:$A$504,$A25,'AFA Rates'!$B$5:$B$504,J$24)&gt;0,"✓",""))</f>
        <v/>
      </c>
      <c r="K25" s="57">
        <f>IF(OR($A25="",K$24=""),"",IF(COUNTIFS('AFA Rates'!$A$5:$A$504,$A25,'AFA Rates'!$B$5:$B$504,K$24)&gt;0,"✓",""))</f>
        <v/>
      </c>
      <c r="L25" s="57">
        <f>IF(OR($A25="",L$24=""),"",IF(COUNTIFS('AFA Rates'!$A$5:$A$504,$A25,'AFA Rates'!$B$5:$B$504,L$24)&gt;0,"✓",""))</f>
        <v/>
      </c>
      <c r="M25" s="57">
        <f>IF(OR($A25="",M$24=""),"",IF(COUNTIFS('AFA Rates'!$A$5:$A$504,$A25,'AFA Rates'!$B$5:$B$504,M$24)&gt;0,"✓",""))</f>
        <v/>
      </c>
    </row>
    <row r="26">
      <c r="A26" s="63">
        <f>IFERROR(INDEX(Firms!$A$5:$A$504,MATCH(2,Firms!$S$5:$S$504,0)),"")</f>
        <v/>
      </c>
      <c r="B26" s="57">
        <f>IF($A26="","",INDEX(Firms!$B$5:$B$504,MATCH(2,Firms!$S$5:$S$504,0)))</f>
        <v/>
      </c>
      <c r="C26" s="57">
        <f>IF($A26="","",COUNTIF('AFA Rates'!$A$5:$A$504,$A26))</f>
        <v/>
      </c>
      <c r="D26" s="57">
        <f>IF(OR($A26="",D$24=""),"",IF(COUNTIFS('AFA Rates'!$A$5:$A$504,$A26,'AFA Rates'!$B$5:$B$504,D$24)&gt;0,"✓",""))</f>
        <v/>
      </c>
      <c r="E26" s="57">
        <f>IF(OR($A26="",E$24=""),"",IF(COUNTIFS('AFA Rates'!$A$5:$A$504,$A26,'AFA Rates'!$B$5:$B$504,E$24)&gt;0,"✓",""))</f>
        <v/>
      </c>
      <c r="F26" s="57">
        <f>IF(OR($A26="",F$24=""),"",IF(COUNTIFS('AFA Rates'!$A$5:$A$504,$A26,'AFA Rates'!$B$5:$B$504,F$24)&gt;0,"✓",""))</f>
        <v/>
      </c>
      <c r="G26" s="57">
        <f>IF(OR($A26="",G$24=""),"",IF(COUNTIFS('AFA Rates'!$A$5:$A$504,$A26,'AFA Rates'!$B$5:$B$504,G$24)&gt;0,"✓",""))</f>
        <v/>
      </c>
      <c r="H26" s="57">
        <f>IF(OR($A26="",H$24=""),"",IF(COUNTIFS('AFA Rates'!$A$5:$A$504,$A26,'AFA Rates'!$B$5:$B$504,H$24)&gt;0,"✓",""))</f>
        <v/>
      </c>
      <c r="I26" s="57">
        <f>IF(OR($A26="",I$24=""),"",IF(COUNTIFS('AFA Rates'!$A$5:$A$504,$A26,'AFA Rates'!$B$5:$B$504,I$24)&gt;0,"✓",""))</f>
        <v/>
      </c>
      <c r="J26" s="57">
        <f>IF(OR($A26="",J$24=""),"",IF(COUNTIFS('AFA Rates'!$A$5:$A$504,$A26,'AFA Rates'!$B$5:$B$504,J$24)&gt;0,"✓",""))</f>
        <v/>
      </c>
      <c r="K26" s="57">
        <f>IF(OR($A26="",K$24=""),"",IF(COUNTIFS('AFA Rates'!$A$5:$A$504,$A26,'AFA Rates'!$B$5:$B$504,K$24)&gt;0,"✓",""))</f>
        <v/>
      </c>
      <c r="L26" s="57">
        <f>IF(OR($A26="",L$24=""),"",IF(COUNTIFS('AFA Rates'!$A$5:$A$504,$A26,'AFA Rates'!$B$5:$B$504,L$24)&gt;0,"✓",""))</f>
        <v/>
      </c>
      <c r="M26" s="57">
        <f>IF(OR($A26="",M$24=""),"",IF(COUNTIFS('AFA Rates'!$A$5:$A$504,$A26,'AFA Rates'!$B$5:$B$504,M$24)&gt;0,"✓",""))</f>
        <v/>
      </c>
    </row>
    <row r="27">
      <c r="A27" s="63">
        <f>IFERROR(INDEX(Firms!$A$5:$A$504,MATCH(3,Firms!$S$5:$S$504,0)),"")</f>
        <v/>
      </c>
      <c r="B27" s="57">
        <f>IF($A27="","",INDEX(Firms!$B$5:$B$504,MATCH(3,Firms!$S$5:$S$504,0)))</f>
        <v/>
      </c>
      <c r="C27" s="57">
        <f>IF($A27="","",COUNTIF('AFA Rates'!$A$5:$A$504,$A27))</f>
        <v/>
      </c>
      <c r="D27" s="57">
        <f>IF(OR($A27="",D$24=""),"",IF(COUNTIFS('AFA Rates'!$A$5:$A$504,$A27,'AFA Rates'!$B$5:$B$504,D$24)&gt;0,"✓",""))</f>
        <v/>
      </c>
      <c r="E27" s="57">
        <f>IF(OR($A27="",E$24=""),"",IF(COUNTIFS('AFA Rates'!$A$5:$A$504,$A27,'AFA Rates'!$B$5:$B$504,E$24)&gt;0,"✓",""))</f>
        <v/>
      </c>
      <c r="F27" s="57">
        <f>IF(OR($A27="",F$24=""),"",IF(COUNTIFS('AFA Rates'!$A$5:$A$504,$A27,'AFA Rates'!$B$5:$B$504,F$24)&gt;0,"✓",""))</f>
        <v/>
      </c>
      <c r="G27" s="57">
        <f>IF(OR($A27="",G$24=""),"",IF(COUNTIFS('AFA Rates'!$A$5:$A$504,$A27,'AFA Rates'!$B$5:$B$504,G$24)&gt;0,"✓",""))</f>
        <v/>
      </c>
      <c r="H27" s="57">
        <f>IF(OR($A27="",H$24=""),"",IF(COUNTIFS('AFA Rates'!$A$5:$A$504,$A27,'AFA Rates'!$B$5:$B$504,H$24)&gt;0,"✓",""))</f>
        <v/>
      </c>
      <c r="I27" s="57">
        <f>IF(OR($A27="",I$24=""),"",IF(COUNTIFS('AFA Rates'!$A$5:$A$504,$A27,'AFA Rates'!$B$5:$B$504,I$24)&gt;0,"✓",""))</f>
        <v/>
      </c>
      <c r="J27" s="57">
        <f>IF(OR($A27="",J$24=""),"",IF(COUNTIFS('AFA Rates'!$A$5:$A$504,$A27,'AFA Rates'!$B$5:$B$504,J$24)&gt;0,"✓",""))</f>
        <v/>
      </c>
      <c r="K27" s="57">
        <f>IF(OR($A27="",K$24=""),"",IF(COUNTIFS('AFA Rates'!$A$5:$A$504,$A27,'AFA Rates'!$B$5:$B$504,K$24)&gt;0,"✓",""))</f>
        <v/>
      </c>
      <c r="L27" s="57">
        <f>IF(OR($A27="",L$24=""),"",IF(COUNTIFS('AFA Rates'!$A$5:$A$504,$A27,'AFA Rates'!$B$5:$B$504,L$24)&gt;0,"✓",""))</f>
        <v/>
      </c>
      <c r="M27" s="57">
        <f>IF(OR($A27="",M$24=""),"",IF(COUNTIFS('AFA Rates'!$A$5:$A$504,$A27,'AFA Rates'!$B$5:$B$504,M$24)&gt;0,"✓",""))</f>
        <v/>
      </c>
    </row>
    <row r="28">
      <c r="A28" s="63">
        <f>IFERROR(INDEX(Firms!$A$5:$A$504,MATCH(4,Firms!$S$5:$S$504,0)),"")</f>
        <v/>
      </c>
      <c r="B28" s="57">
        <f>IF($A28="","",INDEX(Firms!$B$5:$B$504,MATCH(4,Firms!$S$5:$S$504,0)))</f>
        <v/>
      </c>
      <c r="C28" s="57">
        <f>IF($A28="","",COUNTIF('AFA Rates'!$A$5:$A$504,$A28))</f>
        <v/>
      </c>
      <c r="D28" s="57">
        <f>IF(OR($A28="",D$24=""),"",IF(COUNTIFS('AFA Rates'!$A$5:$A$504,$A28,'AFA Rates'!$B$5:$B$504,D$24)&gt;0,"✓",""))</f>
        <v/>
      </c>
      <c r="E28" s="57">
        <f>IF(OR($A28="",E$24=""),"",IF(COUNTIFS('AFA Rates'!$A$5:$A$504,$A28,'AFA Rates'!$B$5:$B$504,E$24)&gt;0,"✓",""))</f>
        <v/>
      </c>
      <c r="F28" s="57">
        <f>IF(OR($A28="",F$24=""),"",IF(COUNTIFS('AFA Rates'!$A$5:$A$504,$A28,'AFA Rates'!$B$5:$B$504,F$24)&gt;0,"✓",""))</f>
        <v/>
      </c>
      <c r="G28" s="57">
        <f>IF(OR($A28="",G$24=""),"",IF(COUNTIFS('AFA Rates'!$A$5:$A$504,$A28,'AFA Rates'!$B$5:$B$504,G$24)&gt;0,"✓",""))</f>
        <v/>
      </c>
      <c r="H28" s="57">
        <f>IF(OR($A28="",H$24=""),"",IF(COUNTIFS('AFA Rates'!$A$5:$A$504,$A28,'AFA Rates'!$B$5:$B$504,H$24)&gt;0,"✓",""))</f>
        <v/>
      </c>
      <c r="I28" s="57">
        <f>IF(OR($A28="",I$24=""),"",IF(COUNTIFS('AFA Rates'!$A$5:$A$504,$A28,'AFA Rates'!$B$5:$B$504,I$24)&gt;0,"✓",""))</f>
        <v/>
      </c>
      <c r="J28" s="57">
        <f>IF(OR($A28="",J$24=""),"",IF(COUNTIFS('AFA Rates'!$A$5:$A$504,$A28,'AFA Rates'!$B$5:$B$504,J$24)&gt;0,"✓",""))</f>
        <v/>
      </c>
      <c r="K28" s="57">
        <f>IF(OR($A28="",K$24=""),"",IF(COUNTIFS('AFA Rates'!$A$5:$A$504,$A28,'AFA Rates'!$B$5:$B$504,K$24)&gt;0,"✓",""))</f>
        <v/>
      </c>
      <c r="L28" s="57">
        <f>IF(OR($A28="",L$24=""),"",IF(COUNTIFS('AFA Rates'!$A$5:$A$504,$A28,'AFA Rates'!$B$5:$B$504,L$24)&gt;0,"✓",""))</f>
        <v/>
      </c>
      <c r="M28" s="57">
        <f>IF(OR($A28="",M$24=""),"",IF(COUNTIFS('AFA Rates'!$A$5:$A$504,$A28,'AFA Rates'!$B$5:$B$504,M$24)&gt;0,"✓",""))</f>
        <v/>
      </c>
    </row>
    <row r="29">
      <c r="A29" s="63">
        <f>IFERROR(INDEX(Firms!$A$5:$A$504,MATCH(5,Firms!$S$5:$S$504,0)),"")</f>
        <v/>
      </c>
      <c r="B29" s="57">
        <f>IF($A29="","",INDEX(Firms!$B$5:$B$504,MATCH(5,Firms!$S$5:$S$504,0)))</f>
        <v/>
      </c>
      <c r="C29" s="57">
        <f>IF($A29="","",COUNTIF('AFA Rates'!$A$5:$A$504,$A29))</f>
        <v/>
      </c>
      <c r="D29" s="57">
        <f>IF(OR($A29="",D$24=""),"",IF(COUNTIFS('AFA Rates'!$A$5:$A$504,$A29,'AFA Rates'!$B$5:$B$504,D$24)&gt;0,"✓",""))</f>
        <v/>
      </c>
      <c r="E29" s="57">
        <f>IF(OR($A29="",E$24=""),"",IF(COUNTIFS('AFA Rates'!$A$5:$A$504,$A29,'AFA Rates'!$B$5:$B$504,E$24)&gt;0,"✓",""))</f>
        <v/>
      </c>
      <c r="F29" s="57">
        <f>IF(OR($A29="",F$24=""),"",IF(COUNTIFS('AFA Rates'!$A$5:$A$504,$A29,'AFA Rates'!$B$5:$B$504,F$24)&gt;0,"✓",""))</f>
        <v/>
      </c>
      <c r="G29" s="57">
        <f>IF(OR($A29="",G$24=""),"",IF(COUNTIFS('AFA Rates'!$A$5:$A$504,$A29,'AFA Rates'!$B$5:$B$504,G$24)&gt;0,"✓",""))</f>
        <v/>
      </c>
      <c r="H29" s="57">
        <f>IF(OR($A29="",H$24=""),"",IF(COUNTIFS('AFA Rates'!$A$5:$A$504,$A29,'AFA Rates'!$B$5:$B$504,H$24)&gt;0,"✓",""))</f>
        <v/>
      </c>
      <c r="I29" s="57">
        <f>IF(OR($A29="",I$24=""),"",IF(COUNTIFS('AFA Rates'!$A$5:$A$504,$A29,'AFA Rates'!$B$5:$B$504,I$24)&gt;0,"✓",""))</f>
        <v/>
      </c>
      <c r="J29" s="57">
        <f>IF(OR($A29="",J$24=""),"",IF(COUNTIFS('AFA Rates'!$A$5:$A$504,$A29,'AFA Rates'!$B$5:$B$504,J$24)&gt;0,"✓",""))</f>
        <v/>
      </c>
      <c r="K29" s="57">
        <f>IF(OR($A29="",K$24=""),"",IF(COUNTIFS('AFA Rates'!$A$5:$A$504,$A29,'AFA Rates'!$B$5:$B$504,K$24)&gt;0,"✓",""))</f>
        <v/>
      </c>
      <c r="L29" s="57">
        <f>IF(OR($A29="",L$24=""),"",IF(COUNTIFS('AFA Rates'!$A$5:$A$504,$A29,'AFA Rates'!$B$5:$B$504,L$24)&gt;0,"✓",""))</f>
        <v/>
      </c>
      <c r="M29" s="57">
        <f>IF(OR($A29="",M$24=""),"",IF(COUNTIFS('AFA Rates'!$A$5:$A$504,$A29,'AFA Rates'!$B$5:$B$504,M$24)&gt;0,"✓",""))</f>
        <v/>
      </c>
    </row>
    <row r="30">
      <c r="A30" s="63">
        <f>IFERROR(INDEX(Firms!$A$5:$A$504,MATCH(6,Firms!$S$5:$S$504,0)),"")</f>
        <v/>
      </c>
      <c r="B30" s="57">
        <f>IF($A30="","",INDEX(Firms!$B$5:$B$504,MATCH(6,Firms!$S$5:$S$504,0)))</f>
        <v/>
      </c>
      <c r="C30" s="57">
        <f>IF($A30="","",COUNTIF('AFA Rates'!$A$5:$A$504,$A30))</f>
        <v/>
      </c>
      <c r="D30" s="57">
        <f>IF(OR($A30="",D$24=""),"",IF(COUNTIFS('AFA Rates'!$A$5:$A$504,$A30,'AFA Rates'!$B$5:$B$504,D$24)&gt;0,"✓",""))</f>
        <v/>
      </c>
      <c r="E30" s="57">
        <f>IF(OR($A30="",E$24=""),"",IF(COUNTIFS('AFA Rates'!$A$5:$A$504,$A30,'AFA Rates'!$B$5:$B$504,E$24)&gt;0,"✓",""))</f>
        <v/>
      </c>
      <c r="F30" s="57">
        <f>IF(OR($A30="",F$24=""),"",IF(COUNTIFS('AFA Rates'!$A$5:$A$504,$A30,'AFA Rates'!$B$5:$B$504,F$24)&gt;0,"✓",""))</f>
        <v/>
      </c>
      <c r="G30" s="57">
        <f>IF(OR($A30="",G$24=""),"",IF(COUNTIFS('AFA Rates'!$A$5:$A$504,$A30,'AFA Rates'!$B$5:$B$504,G$24)&gt;0,"✓",""))</f>
        <v/>
      </c>
      <c r="H30" s="57">
        <f>IF(OR($A30="",H$24=""),"",IF(COUNTIFS('AFA Rates'!$A$5:$A$504,$A30,'AFA Rates'!$B$5:$B$504,H$24)&gt;0,"✓",""))</f>
        <v/>
      </c>
      <c r="I30" s="57">
        <f>IF(OR($A30="",I$24=""),"",IF(COUNTIFS('AFA Rates'!$A$5:$A$504,$A30,'AFA Rates'!$B$5:$B$504,I$24)&gt;0,"✓",""))</f>
        <v/>
      </c>
      <c r="J30" s="57">
        <f>IF(OR($A30="",J$24=""),"",IF(COUNTIFS('AFA Rates'!$A$5:$A$504,$A30,'AFA Rates'!$B$5:$B$504,J$24)&gt;0,"✓",""))</f>
        <v/>
      </c>
      <c r="K30" s="57">
        <f>IF(OR($A30="",K$24=""),"",IF(COUNTIFS('AFA Rates'!$A$5:$A$504,$A30,'AFA Rates'!$B$5:$B$504,K$24)&gt;0,"✓",""))</f>
        <v/>
      </c>
      <c r="L30" s="57">
        <f>IF(OR($A30="",L$24=""),"",IF(COUNTIFS('AFA Rates'!$A$5:$A$504,$A30,'AFA Rates'!$B$5:$B$504,L$24)&gt;0,"✓",""))</f>
        <v/>
      </c>
      <c r="M30" s="57">
        <f>IF(OR($A30="",M$24=""),"",IF(COUNTIFS('AFA Rates'!$A$5:$A$504,$A30,'AFA Rates'!$B$5:$B$504,M$24)&gt;0,"✓",""))</f>
        <v/>
      </c>
    </row>
    <row r="31">
      <c r="A31" s="63">
        <f>IFERROR(INDEX(Firms!$A$5:$A$504,MATCH(7,Firms!$S$5:$S$504,0)),"")</f>
        <v/>
      </c>
      <c r="B31" s="57">
        <f>IF($A31="","",INDEX(Firms!$B$5:$B$504,MATCH(7,Firms!$S$5:$S$504,0)))</f>
        <v/>
      </c>
      <c r="C31" s="57">
        <f>IF($A31="","",COUNTIF('AFA Rates'!$A$5:$A$504,$A31))</f>
        <v/>
      </c>
      <c r="D31" s="57">
        <f>IF(OR($A31="",D$24=""),"",IF(COUNTIFS('AFA Rates'!$A$5:$A$504,$A31,'AFA Rates'!$B$5:$B$504,D$24)&gt;0,"✓",""))</f>
        <v/>
      </c>
      <c r="E31" s="57">
        <f>IF(OR($A31="",E$24=""),"",IF(COUNTIFS('AFA Rates'!$A$5:$A$504,$A31,'AFA Rates'!$B$5:$B$504,E$24)&gt;0,"✓",""))</f>
        <v/>
      </c>
      <c r="F31" s="57">
        <f>IF(OR($A31="",F$24=""),"",IF(COUNTIFS('AFA Rates'!$A$5:$A$504,$A31,'AFA Rates'!$B$5:$B$504,F$24)&gt;0,"✓",""))</f>
        <v/>
      </c>
      <c r="G31" s="57">
        <f>IF(OR($A31="",G$24=""),"",IF(COUNTIFS('AFA Rates'!$A$5:$A$504,$A31,'AFA Rates'!$B$5:$B$504,G$24)&gt;0,"✓",""))</f>
        <v/>
      </c>
      <c r="H31" s="57">
        <f>IF(OR($A31="",H$24=""),"",IF(COUNTIFS('AFA Rates'!$A$5:$A$504,$A31,'AFA Rates'!$B$5:$B$504,H$24)&gt;0,"✓",""))</f>
        <v/>
      </c>
      <c r="I31" s="57">
        <f>IF(OR($A31="",I$24=""),"",IF(COUNTIFS('AFA Rates'!$A$5:$A$504,$A31,'AFA Rates'!$B$5:$B$504,I$24)&gt;0,"✓",""))</f>
        <v/>
      </c>
      <c r="J31" s="57">
        <f>IF(OR($A31="",J$24=""),"",IF(COUNTIFS('AFA Rates'!$A$5:$A$504,$A31,'AFA Rates'!$B$5:$B$504,J$24)&gt;0,"✓",""))</f>
        <v/>
      </c>
      <c r="K31" s="57">
        <f>IF(OR($A31="",K$24=""),"",IF(COUNTIFS('AFA Rates'!$A$5:$A$504,$A31,'AFA Rates'!$B$5:$B$504,K$24)&gt;0,"✓",""))</f>
        <v/>
      </c>
      <c r="L31" s="57">
        <f>IF(OR($A31="",L$24=""),"",IF(COUNTIFS('AFA Rates'!$A$5:$A$504,$A31,'AFA Rates'!$B$5:$B$504,L$24)&gt;0,"✓",""))</f>
        <v/>
      </c>
      <c r="M31" s="57">
        <f>IF(OR($A31="",M$24=""),"",IF(COUNTIFS('AFA Rates'!$A$5:$A$504,$A31,'AFA Rates'!$B$5:$B$504,M$24)&gt;0,"✓",""))</f>
        <v/>
      </c>
    </row>
    <row r="32">
      <c r="A32" s="63">
        <f>IFERROR(INDEX(Firms!$A$5:$A$504,MATCH(8,Firms!$S$5:$S$504,0)),"")</f>
        <v/>
      </c>
      <c r="B32" s="57">
        <f>IF($A32="","",INDEX(Firms!$B$5:$B$504,MATCH(8,Firms!$S$5:$S$504,0)))</f>
        <v/>
      </c>
      <c r="C32" s="57">
        <f>IF($A32="","",COUNTIF('AFA Rates'!$A$5:$A$504,$A32))</f>
        <v/>
      </c>
      <c r="D32" s="57">
        <f>IF(OR($A32="",D$24=""),"",IF(COUNTIFS('AFA Rates'!$A$5:$A$504,$A32,'AFA Rates'!$B$5:$B$504,D$24)&gt;0,"✓",""))</f>
        <v/>
      </c>
      <c r="E32" s="57">
        <f>IF(OR($A32="",E$24=""),"",IF(COUNTIFS('AFA Rates'!$A$5:$A$504,$A32,'AFA Rates'!$B$5:$B$504,E$24)&gt;0,"✓",""))</f>
        <v/>
      </c>
      <c r="F32" s="57">
        <f>IF(OR($A32="",F$24=""),"",IF(COUNTIFS('AFA Rates'!$A$5:$A$504,$A32,'AFA Rates'!$B$5:$B$504,F$24)&gt;0,"✓",""))</f>
        <v/>
      </c>
      <c r="G32" s="57">
        <f>IF(OR($A32="",G$24=""),"",IF(COUNTIFS('AFA Rates'!$A$5:$A$504,$A32,'AFA Rates'!$B$5:$B$504,G$24)&gt;0,"✓",""))</f>
        <v/>
      </c>
      <c r="H32" s="57">
        <f>IF(OR($A32="",H$24=""),"",IF(COUNTIFS('AFA Rates'!$A$5:$A$504,$A32,'AFA Rates'!$B$5:$B$504,H$24)&gt;0,"✓",""))</f>
        <v/>
      </c>
      <c r="I32" s="57">
        <f>IF(OR($A32="",I$24=""),"",IF(COUNTIFS('AFA Rates'!$A$5:$A$504,$A32,'AFA Rates'!$B$5:$B$504,I$24)&gt;0,"✓",""))</f>
        <v/>
      </c>
      <c r="J32" s="57">
        <f>IF(OR($A32="",J$24=""),"",IF(COUNTIFS('AFA Rates'!$A$5:$A$504,$A32,'AFA Rates'!$B$5:$B$504,J$24)&gt;0,"✓",""))</f>
        <v/>
      </c>
      <c r="K32" s="57">
        <f>IF(OR($A32="",K$24=""),"",IF(COUNTIFS('AFA Rates'!$A$5:$A$504,$A32,'AFA Rates'!$B$5:$B$504,K$24)&gt;0,"✓",""))</f>
        <v/>
      </c>
      <c r="L32" s="57">
        <f>IF(OR($A32="",L$24=""),"",IF(COUNTIFS('AFA Rates'!$A$5:$A$504,$A32,'AFA Rates'!$B$5:$B$504,L$24)&gt;0,"✓",""))</f>
        <v/>
      </c>
      <c r="M32" s="57">
        <f>IF(OR($A32="",M$24=""),"",IF(COUNTIFS('AFA Rates'!$A$5:$A$504,$A32,'AFA Rates'!$B$5:$B$504,M$24)&gt;0,"✓",""))</f>
        <v/>
      </c>
    </row>
    <row r="33">
      <c r="A33" s="63">
        <f>IFERROR(INDEX(Firms!$A$5:$A$504,MATCH(9,Firms!$S$5:$S$504,0)),"")</f>
        <v/>
      </c>
      <c r="B33" s="57">
        <f>IF($A33="","",INDEX(Firms!$B$5:$B$504,MATCH(9,Firms!$S$5:$S$504,0)))</f>
        <v/>
      </c>
      <c r="C33" s="57">
        <f>IF($A33="","",COUNTIF('AFA Rates'!$A$5:$A$504,$A33))</f>
        <v/>
      </c>
      <c r="D33" s="57">
        <f>IF(OR($A33="",D$24=""),"",IF(COUNTIFS('AFA Rates'!$A$5:$A$504,$A33,'AFA Rates'!$B$5:$B$504,D$24)&gt;0,"✓",""))</f>
        <v/>
      </c>
      <c r="E33" s="57">
        <f>IF(OR($A33="",E$24=""),"",IF(COUNTIFS('AFA Rates'!$A$5:$A$504,$A33,'AFA Rates'!$B$5:$B$504,E$24)&gt;0,"✓",""))</f>
        <v/>
      </c>
      <c r="F33" s="57">
        <f>IF(OR($A33="",F$24=""),"",IF(COUNTIFS('AFA Rates'!$A$5:$A$504,$A33,'AFA Rates'!$B$5:$B$504,F$24)&gt;0,"✓",""))</f>
        <v/>
      </c>
      <c r="G33" s="57">
        <f>IF(OR($A33="",G$24=""),"",IF(COUNTIFS('AFA Rates'!$A$5:$A$504,$A33,'AFA Rates'!$B$5:$B$504,G$24)&gt;0,"✓",""))</f>
        <v/>
      </c>
      <c r="H33" s="57">
        <f>IF(OR($A33="",H$24=""),"",IF(COUNTIFS('AFA Rates'!$A$5:$A$504,$A33,'AFA Rates'!$B$5:$B$504,H$24)&gt;0,"✓",""))</f>
        <v/>
      </c>
      <c r="I33" s="57">
        <f>IF(OR($A33="",I$24=""),"",IF(COUNTIFS('AFA Rates'!$A$5:$A$504,$A33,'AFA Rates'!$B$5:$B$504,I$24)&gt;0,"✓",""))</f>
        <v/>
      </c>
      <c r="J33" s="57">
        <f>IF(OR($A33="",J$24=""),"",IF(COUNTIFS('AFA Rates'!$A$5:$A$504,$A33,'AFA Rates'!$B$5:$B$504,J$24)&gt;0,"✓",""))</f>
        <v/>
      </c>
      <c r="K33" s="57">
        <f>IF(OR($A33="",K$24=""),"",IF(COUNTIFS('AFA Rates'!$A$5:$A$504,$A33,'AFA Rates'!$B$5:$B$504,K$24)&gt;0,"✓",""))</f>
        <v/>
      </c>
      <c r="L33" s="57">
        <f>IF(OR($A33="",L$24=""),"",IF(COUNTIFS('AFA Rates'!$A$5:$A$504,$A33,'AFA Rates'!$B$5:$B$504,L$24)&gt;0,"✓",""))</f>
        <v/>
      </c>
      <c r="M33" s="57">
        <f>IF(OR($A33="",M$24=""),"",IF(COUNTIFS('AFA Rates'!$A$5:$A$504,$A33,'AFA Rates'!$B$5:$B$504,M$24)&gt;0,"✓",""))</f>
        <v/>
      </c>
    </row>
    <row r="34">
      <c r="A34" s="63">
        <f>IFERROR(INDEX(Firms!$A$5:$A$504,MATCH(10,Firms!$S$5:$S$504,0)),"")</f>
        <v/>
      </c>
      <c r="B34" s="57">
        <f>IF($A34="","",INDEX(Firms!$B$5:$B$504,MATCH(10,Firms!$S$5:$S$504,0)))</f>
        <v/>
      </c>
      <c r="C34" s="57">
        <f>IF($A34="","",COUNTIF('AFA Rates'!$A$5:$A$504,$A34))</f>
        <v/>
      </c>
      <c r="D34" s="57">
        <f>IF(OR($A34="",D$24=""),"",IF(COUNTIFS('AFA Rates'!$A$5:$A$504,$A34,'AFA Rates'!$B$5:$B$504,D$24)&gt;0,"✓",""))</f>
        <v/>
      </c>
      <c r="E34" s="57">
        <f>IF(OR($A34="",E$24=""),"",IF(COUNTIFS('AFA Rates'!$A$5:$A$504,$A34,'AFA Rates'!$B$5:$B$504,E$24)&gt;0,"✓",""))</f>
        <v/>
      </c>
      <c r="F34" s="57">
        <f>IF(OR($A34="",F$24=""),"",IF(COUNTIFS('AFA Rates'!$A$5:$A$504,$A34,'AFA Rates'!$B$5:$B$504,F$24)&gt;0,"✓",""))</f>
        <v/>
      </c>
      <c r="G34" s="57">
        <f>IF(OR($A34="",G$24=""),"",IF(COUNTIFS('AFA Rates'!$A$5:$A$504,$A34,'AFA Rates'!$B$5:$B$504,G$24)&gt;0,"✓",""))</f>
        <v/>
      </c>
      <c r="H34" s="57">
        <f>IF(OR($A34="",H$24=""),"",IF(COUNTIFS('AFA Rates'!$A$5:$A$504,$A34,'AFA Rates'!$B$5:$B$504,H$24)&gt;0,"✓",""))</f>
        <v/>
      </c>
      <c r="I34" s="57">
        <f>IF(OR($A34="",I$24=""),"",IF(COUNTIFS('AFA Rates'!$A$5:$A$504,$A34,'AFA Rates'!$B$5:$B$504,I$24)&gt;0,"✓",""))</f>
        <v/>
      </c>
      <c r="J34" s="57">
        <f>IF(OR($A34="",J$24=""),"",IF(COUNTIFS('AFA Rates'!$A$5:$A$504,$A34,'AFA Rates'!$B$5:$B$504,J$24)&gt;0,"✓",""))</f>
        <v/>
      </c>
      <c r="K34" s="57">
        <f>IF(OR($A34="",K$24=""),"",IF(COUNTIFS('AFA Rates'!$A$5:$A$504,$A34,'AFA Rates'!$B$5:$B$504,K$24)&gt;0,"✓",""))</f>
        <v/>
      </c>
      <c r="L34" s="57">
        <f>IF(OR($A34="",L$24=""),"",IF(COUNTIFS('AFA Rates'!$A$5:$A$504,$A34,'AFA Rates'!$B$5:$B$504,L$24)&gt;0,"✓",""))</f>
        <v/>
      </c>
      <c r="M34" s="57">
        <f>IF(OR($A34="",M$24=""),"",IF(COUNTIFS('AFA Rates'!$A$5:$A$504,$A34,'AFA Rates'!$B$5:$B$504,M$24)&gt;0,"✓",""))</f>
        <v/>
      </c>
    </row>
    <row r="35">
      <c r="A35" s="63">
        <f>IFERROR(INDEX(Firms!$A$5:$A$504,MATCH(11,Firms!$S$5:$S$504,0)),"")</f>
        <v/>
      </c>
      <c r="B35" s="57">
        <f>IF($A35="","",INDEX(Firms!$B$5:$B$504,MATCH(11,Firms!$S$5:$S$504,0)))</f>
        <v/>
      </c>
      <c r="C35" s="57">
        <f>IF($A35="","",COUNTIF('AFA Rates'!$A$5:$A$504,$A35))</f>
        <v/>
      </c>
      <c r="D35" s="57">
        <f>IF(OR($A35="",D$24=""),"",IF(COUNTIFS('AFA Rates'!$A$5:$A$504,$A35,'AFA Rates'!$B$5:$B$504,D$24)&gt;0,"✓",""))</f>
        <v/>
      </c>
      <c r="E35" s="57">
        <f>IF(OR($A35="",E$24=""),"",IF(COUNTIFS('AFA Rates'!$A$5:$A$504,$A35,'AFA Rates'!$B$5:$B$504,E$24)&gt;0,"✓",""))</f>
        <v/>
      </c>
      <c r="F35" s="57">
        <f>IF(OR($A35="",F$24=""),"",IF(COUNTIFS('AFA Rates'!$A$5:$A$504,$A35,'AFA Rates'!$B$5:$B$504,F$24)&gt;0,"✓",""))</f>
        <v/>
      </c>
      <c r="G35" s="57">
        <f>IF(OR($A35="",G$24=""),"",IF(COUNTIFS('AFA Rates'!$A$5:$A$504,$A35,'AFA Rates'!$B$5:$B$504,G$24)&gt;0,"✓",""))</f>
        <v/>
      </c>
      <c r="H35" s="57">
        <f>IF(OR($A35="",H$24=""),"",IF(COUNTIFS('AFA Rates'!$A$5:$A$504,$A35,'AFA Rates'!$B$5:$B$504,H$24)&gt;0,"✓",""))</f>
        <v/>
      </c>
      <c r="I35" s="57">
        <f>IF(OR($A35="",I$24=""),"",IF(COUNTIFS('AFA Rates'!$A$5:$A$504,$A35,'AFA Rates'!$B$5:$B$504,I$24)&gt;0,"✓",""))</f>
        <v/>
      </c>
      <c r="J35" s="57">
        <f>IF(OR($A35="",J$24=""),"",IF(COUNTIFS('AFA Rates'!$A$5:$A$504,$A35,'AFA Rates'!$B$5:$B$504,J$24)&gt;0,"✓",""))</f>
        <v/>
      </c>
      <c r="K35" s="57">
        <f>IF(OR($A35="",K$24=""),"",IF(COUNTIFS('AFA Rates'!$A$5:$A$504,$A35,'AFA Rates'!$B$5:$B$504,K$24)&gt;0,"✓",""))</f>
        <v/>
      </c>
      <c r="L35" s="57">
        <f>IF(OR($A35="",L$24=""),"",IF(COUNTIFS('AFA Rates'!$A$5:$A$504,$A35,'AFA Rates'!$B$5:$B$504,L$24)&gt;0,"✓",""))</f>
        <v/>
      </c>
      <c r="M35" s="57">
        <f>IF(OR($A35="",M$24=""),"",IF(COUNTIFS('AFA Rates'!$A$5:$A$504,$A35,'AFA Rates'!$B$5:$B$504,M$24)&gt;0,"✓",""))</f>
        <v/>
      </c>
    </row>
    <row r="36">
      <c r="A36" s="63">
        <f>IFERROR(INDEX(Firms!$A$5:$A$504,MATCH(12,Firms!$S$5:$S$504,0)),"")</f>
        <v/>
      </c>
      <c r="B36" s="57">
        <f>IF($A36="","",INDEX(Firms!$B$5:$B$504,MATCH(12,Firms!$S$5:$S$504,0)))</f>
        <v/>
      </c>
      <c r="C36" s="57">
        <f>IF($A36="","",COUNTIF('AFA Rates'!$A$5:$A$504,$A36))</f>
        <v/>
      </c>
      <c r="D36" s="57">
        <f>IF(OR($A36="",D$24=""),"",IF(COUNTIFS('AFA Rates'!$A$5:$A$504,$A36,'AFA Rates'!$B$5:$B$504,D$24)&gt;0,"✓",""))</f>
        <v/>
      </c>
      <c r="E36" s="57">
        <f>IF(OR($A36="",E$24=""),"",IF(COUNTIFS('AFA Rates'!$A$5:$A$504,$A36,'AFA Rates'!$B$5:$B$504,E$24)&gt;0,"✓",""))</f>
        <v/>
      </c>
      <c r="F36" s="57">
        <f>IF(OR($A36="",F$24=""),"",IF(COUNTIFS('AFA Rates'!$A$5:$A$504,$A36,'AFA Rates'!$B$5:$B$504,F$24)&gt;0,"✓",""))</f>
        <v/>
      </c>
      <c r="G36" s="57">
        <f>IF(OR($A36="",G$24=""),"",IF(COUNTIFS('AFA Rates'!$A$5:$A$504,$A36,'AFA Rates'!$B$5:$B$504,G$24)&gt;0,"✓",""))</f>
        <v/>
      </c>
      <c r="H36" s="57">
        <f>IF(OR($A36="",H$24=""),"",IF(COUNTIFS('AFA Rates'!$A$5:$A$504,$A36,'AFA Rates'!$B$5:$B$504,H$24)&gt;0,"✓",""))</f>
        <v/>
      </c>
      <c r="I36" s="57">
        <f>IF(OR($A36="",I$24=""),"",IF(COUNTIFS('AFA Rates'!$A$5:$A$504,$A36,'AFA Rates'!$B$5:$B$504,I$24)&gt;0,"✓",""))</f>
        <v/>
      </c>
      <c r="J36" s="57">
        <f>IF(OR($A36="",J$24=""),"",IF(COUNTIFS('AFA Rates'!$A$5:$A$504,$A36,'AFA Rates'!$B$5:$B$504,J$24)&gt;0,"✓",""))</f>
        <v/>
      </c>
      <c r="K36" s="57">
        <f>IF(OR($A36="",K$24=""),"",IF(COUNTIFS('AFA Rates'!$A$5:$A$504,$A36,'AFA Rates'!$B$5:$B$504,K$24)&gt;0,"✓",""))</f>
        <v/>
      </c>
      <c r="L36" s="57">
        <f>IF(OR($A36="",L$24=""),"",IF(COUNTIFS('AFA Rates'!$A$5:$A$504,$A36,'AFA Rates'!$B$5:$B$504,L$24)&gt;0,"✓",""))</f>
        <v/>
      </c>
      <c r="M36" s="57">
        <f>IF(OR($A36="",M$24=""),"",IF(COUNTIFS('AFA Rates'!$A$5:$A$504,$A36,'AFA Rates'!$B$5:$B$504,M$24)&gt;0,"✓",""))</f>
        <v/>
      </c>
    </row>
    <row r="37">
      <c r="A37" s="63">
        <f>IFERROR(INDEX(Firms!$A$5:$A$504,MATCH(13,Firms!$S$5:$S$504,0)),"")</f>
        <v/>
      </c>
      <c r="B37" s="57">
        <f>IF($A37="","",INDEX(Firms!$B$5:$B$504,MATCH(13,Firms!$S$5:$S$504,0)))</f>
        <v/>
      </c>
      <c r="C37" s="57">
        <f>IF($A37="","",COUNTIF('AFA Rates'!$A$5:$A$504,$A37))</f>
        <v/>
      </c>
      <c r="D37" s="57">
        <f>IF(OR($A37="",D$24=""),"",IF(COUNTIFS('AFA Rates'!$A$5:$A$504,$A37,'AFA Rates'!$B$5:$B$504,D$24)&gt;0,"✓",""))</f>
        <v/>
      </c>
      <c r="E37" s="57">
        <f>IF(OR($A37="",E$24=""),"",IF(COUNTIFS('AFA Rates'!$A$5:$A$504,$A37,'AFA Rates'!$B$5:$B$504,E$24)&gt;0,"✓",""))</f>
        <v/>
      </c>
      <c r="F37" s="57">
        <f>IF(OR($A37="",F$24=""),"",IF(COUNTIFS('AFA Rates'!$A$5:$A$504,$A37,'AFA Rates'!$B$5:$B$504,F$24)&gt;0,"✓",""))</f>
        <v/>
      </c>
      <c r="G37" s="57">
        <f>IF(OR($A37="",G$24=""),"",IF(COUNTIFS('AFA Rates'!$A$5:$A$504,$A37,'AFA Rates'!$B$5:$B$504,G$24)&gt;0,"✓",""))</f>
        <v/>
      </c>
      <c r="H37" s="57">
        <f>IF(OR($A37="",H$24=""),"",IF(COUNTIFS('AFA Rates'!$A$5:$A$504,$A37,'AFA Rates'!$B$5:$B$504,H$24)&gt;0,"✓",""))</f>
        <v/>
      </c>
      <c r="I37" s="57">
        <f>IF(OR($A37="",I$24=""),"",IF(COUNTIFS('AFA Rates'!$A$5:$A$504,$A37,'AFA Rates'!$B$5:$B$504,I$24)&gt;0,"✓",""))</f>
        <v/>
      </c>
      <c r="J37" s="57">
        <f>IF(OR($A37="",J$24=""),"",IF(COUNTIFS('AFA Rates'!$A$5:$A$504,$A37,'AFA Rates'!$B$5:$B$504,J$24)&gt;0,"✓",""))</f>
        <v/>
      </c>
      <c r="K37" s="57">
        <f>IF(OR($A37="",K$24=""),"",IF(COUNTIFS('AFA Rates'!$A$5:$A$504,$A37,'AFA Rates'!$B$5:$B$504,K$24)&gt;0,"✓",""))</f>
        <v/>
      </c>
      <c r="L37" s="57">
        <f>IF(OR($A37="",L$24=""),"",IF(COUNTIFS('AFA Rates'!$A$5:$A$504,$A37,'AFA Rates'!$B$5:$B$504,L$24)&gt;0,"✓",""))</f>
        <v/>
      </c>
      <c r="M37" s="57">
        <f>IF(OR($A37="",M$24=""),"",IF(COUNTIFS('AFA Rates'!$A$5:$A$504,$A37,'AFA Rates'!$B$5:$B$504,M$24)&gt;0,"✓",""))</f>
        <v/>
      </c>
    </row>
    <row r="38">
      <c r="A38" s="63">
        <f>IFERROR(INDEX(Firms!$A$5:$A$504,MATCH(14,Firms!$S$5:$S$504,0)),"")</f>
        <v/>
      </c>
      <c r="B38" s="57">
        <f>IF($A38="","",INDEX(Firms!$B$5:$B$504,MATCH(14,Firms!$S$5:$S$504,0)))</f>
        <v/>
      </c>
      <c r="C38" s="57">
        <f>IF($A38="","",COUNTIF('AFA Rates'!$A$5:$A$504,$A38))</f>
        <v/>
      </c>
      <c r="D38" s="57">
        <f>IF(OR($A38="",D$24=""),"",IF(COUNTIFS('AFA Rates'!$A$5:$A$504,$A38,'AFA Rates'!$B$5:$B$504,D$24)&gt;0,"✓",""))</f>
        <v/>
      </c>
      <c r="E38" s="57">
        <f>IF(OR($A38="",E$24=""),"",IF(COUNTIFS('AFA Rates'!$A$5:$A$504,$A38,'AFA Rates'!$B$5:$B$504,E$24)&gt;0,"✓",""))</f>
        <v/>
      </c>
      <c r="F38" s="57">
        <f>IF(OR($A38="",F$24=""),"",IF(COUNTIFS('AFA Rates'!$A$5:$A$504,$A38,'AFA Rates'!$B$5:$B$504,F$24)&gt;0,"✓",""))</f>
        <v/>
      </c>
      <c r="G38" s="57">
        <f>IF(OR($A38="",G$24=""),"",IF(COUNTIFS('AFA Rates'!$A$5:$A$504,$A38,'AFA Rates'!$B$5:$B$504,G$24)&gt;0,"✓",""))</f>
        <v/>
      </c>
      <c r="H38" s="57">
        <f>IF(OR($A38="",H$24=""),"",IF(COUNTIFS('AFA Rates'!$A$5:$A$504,$A38,'AFA Rates'!$B$5:$B$504,H$24)&gt;0,"✓",""))</f>
        <v/>
      </c>
      <c r="I38" s="57">
        <f>IF(OR($A38="",I$24=""),"",IF(COUNTIFS('AFA Rates'!$A$5:$A$504,$A38,'AFA Rates'!$B$5:$B$504,I$24)&gt;0,"✓",""))</f>
        <v/>
      </c>
      <c r="J38" s="57">
        <f>IF(OR($A38="",J$24=""),"",IF(COUNTIFS('AFA Rates'!$A$5:$A$504,$A38,'AFA Rates'!$B$5:$B$504,J$24)&gt;0,"✓",""))</f>
        <v/>
      </c>
      <c r="K38" s="57">
        <f>IF(OR($A38="",K$24=""),"",IF(COUNTIFS('AFA Rates'!$A$5:$A$504,$A38,'AFA Rates'!$B$5:$B$504,K$24)&gt;0,"✓",""))</f>
        <v/>
      </c>
      <c r="L38" s="57">
        <f>IF(OR($A38="",L$24=""),"",IF(COUNTIFS('AFA Rates'!$A$5:$A$504,$A38,'AFA Rates'!$B$5:$B$504,L$24)&gt;0,"✓",""))</f>
        <v/>
      </c>
      <c r="M38" s="57">
        <f>IF(OR($A38="",M$24=""),"",IF(COUNTIFS('AFA Rates'!$A$5:$A$504,$A38,'AFA Rates'!$B$5:$B$504,M$24)&gt;0,"✓",""))</f>
        <v/>
      </c>
    </row>
    <row r="39">
      <c r="A39" s="63">
        <f>IFERROR(INDEX(Firms!$A$5:$A$504,MATCH(15,Firms!$S$5:$S$504,0)),"")</f>
        <v/>
      </c>
      <c r="B39" s="57">
        <f>IF($A39="","",INDEX(Firms!$B$5:$B$504,MATCH(15,Firms!$S$5:$S$504,0)))</f>
        <v/>
      </c>
      <c r="C39" s="57">
        <f>IF($A39="","",COUNTIF('AFA Rates'!$A$5:$A$504,$A39))</f>
        <v/>
      </c>
      <c r="D39" s="57">
        <f>IF(OR($A39="",D$24=""),"",IF(COUNTIFS('AFA Rates'!$A$5:$A$504,$A39,'AFA Rates'!$B$5:$B$504,D$24)&gt;0,"✓",""))</f>
        <v/>
      </c>
      <c r="E39" s="57">
        <f>IF(OR($A39="",E$24=""),"",IF(COUNTIFS('AFA Rates'!$A$5:$A$504,$A39,'AFA Rates'!$B$5:$B$504,E$24)&gt;0,"✓",""))</f>
        <v/>
      </c>
      <c r="F39" s="57">
        <f>IF(OR($A39="",F$24=""),"",IF(COUNTIFS('AFA Rates'!$A$5:$A$504,$A39,'AFA Rates'!$B$5:$B$504,F$24)&gt;0,"✓",""))</f>
        <v/>
      </c>
      <c r="G39" s="57">
        <f>IF(OR($A39="",G$24=""),"",IF(COUNTIFS('AFA Rates'!$A$5:$A$504,$A39,'AFA Rates'!$B$5:$B$504,G$24)&gt;0,"✓",""))</f>
        <v/>
      </c>
      <c r="H39" s="57">
        <f>IF(OR($A39="",H$24=""),"",IF(COUNTIFS('AFA Rates'!$A$5:$A$504,$A39,'AFA Rates'!$B$5:$B$504,H$24)&gt;0,"✓",""))</f>
        <v/>
      </c>
      <c r="I39" s="57">
        <f>IF(OR($A39="",I$24=""),"",IF(COUNTIFS('AFA Rates'!$A$5:$A$504,$A39,'AFA Rates'!$B$5:$B$504,I$24)&gt;0,"✓",""))</f>
        <v/>
      </c>
      <c r="J39" s="57">
        <f>IF(OR($A39="",J$24=""),"",IF(COUNTIFS('AFA Rates'!$A$5:$A$504,$A39,'AFA Rates'!$B$5:$B$504,J$24)&gt;0,"✓",""))</f>
        <v/>
      </c>
      <c r="K39" s="57">
        <f>IF(OR($A39="",K$24=""),"",IF(COUNTIFS('AFA Rates'!$A$5:$A$504,$A39,'AFA Rates'!$B$5:$B$504,K$24)&gt;0,"✓",""))</f>
        <v/>
      </c>
      <c r="L39" s="57">
        <f>IF(OR($A39="",L$24=""),"",IF(COUNTIFS('AFA Rates'!$A$5:$A$504,$A39,'AFA Rates'!$B$5:$B$504,L$24)&gt;0,"✓",""))</f>
        <v/>
      </c>
      <c r="M39" s="57">
        <f>IF(OR($A39="",M$24=""),"",IF(COUNTIFS('AFA Rates'!$A$5:$A$504,$A39,'AFA Rates'!$B$5:$B$504,M$24)&gt;0,"✓",""))</f>
        <v/>
      </c>
    </row>
    <row r="40">
      <c r="A40" s="63">
        <f>IFERROR(INDEX(Firms!$A$5:$A$504,MATCH(16,Firms!$S$5:$S$504,0)),"")</f>
        <v/>
      </c>
      <c r="B40" s="57">
        <f>IF($A40="","",INDEX(Firms!$B$5:$B$504,MATCH(16,Firms!$S$5:$S$504,0)))</f>
        <v/>
      </c>
      <c r="C40" s="57">
        <f>IF($A40="","",COUNTIF('AFA Rates'!$A$5:$A$504,$A40))</f>
        <v/>
      </c>
      <c r="D40" s="57">
        <f>IF(OR($A40="",D$24=""),"",IF(COUNTIFS('AFA Rates'!$A$5:$A$504,$A40,'AFA Rates'!$B$5:$B$504,D$24)&gt;0,"✓",""))</f>
        <v/>
      </c>
      <c r="E40" s="57">
        <f>IF(OR($A40="",E$24=""),"",IF(COUNTIFS('AFA Rates'!$A$5:$A$504,$A40,'AFA Rates'!$B$5:$B$504,E$24)&gt;0,"✓",""))</f>
        <v/>
      </c>
      <c r="F40" s="57">
        <f>IF(OR($A40="",F$24=""),"",IF(COUNTIFS('AFA Rates'!$A$5:$A$504,$A40,'AFA Rates'!$B$5:$B$504,F$24)&gt;0,"✓",""))</f>
        <v/>
      </c>
      <c r="G40" s="57">
        <f>IF(OR($A40="",G$24=""),"",IF(COUNTIFS('AFA Rates'!$A$5:$A$504,$A40,'AFA Rates'!$B$5:$B$504,G$24)&gt;0,"✓",""))</f>
        <v/>
      </c>
      <c r="H40" s="57">
        <f>IF(OR($A40="",H$24=""),"",IF(COUNTIFS('AFA Rates'!$A$5:$A$504,$A40,'AFA Rates'!$B$5:$B$504,H$24)&gt;0,"✓",""))</f>
        <v/>
      </c>
      <c r="I40" s="57">
        <f>IF(OR($A40="",I$24=""),"",IF(COUNTIFS('AFA Rates'!$A$5:$A$504,$A40,'AFA Rates'!$B$5:$B$504,I$24)&gt;0,"✓",""))</f>
        <v/>
      </c>
      <c r="J40" s="57">
        <f>IF(OR($A40="",J$24=""),"",IF(COUNTIFS('AFA Rates'!$A$5:$A$504,$A40,'AFA Rates'!$B$5:$B$504,J$24)&gt;0,"✓",""))</f>
        <v/>
      </c>
      <c r="K40" s="57">
        <f>IF(OR($A40="",K$24=""),"",IF(COUNTIFS('AFA Rates'!$A$5:$A$504,$A40,'AFA Rates'!$B$5:$B$504,K$24)&gt;0,"✓",""))</f>
        <v/>
      </c>
      <c r="L40" s="57">
        <f>IF(OR($A40="",L$24=""),"",IF(COUNTIFS('AFA Rates'!$A$5:$A$504,$A40,'AFA Rates'!$B$5:$B$504,L$24)&gt;0,"✓",""))</f>
        <v/>
      </c>
      <c r="M40" s="57">
        <f>IF(OR($A40="",M$24=""),"",IF(COUNTIFS('AFA Rates'!$A$5:$A$504,$A40,'AFA Rates'!$B$5:$B$504,M$24)&gt;0,"✓",""))</f>
        <v/>
      </c>
    </row>
    <row r="41">
      <c r="A41" s="63">
        <f>IFERROR(INDEX(Firms!$A$5:$A$504,MATCH(17,Firms!$S$5:$S$504,0)),"")</f>
        <v/>
      </c>
      <c r="B41" s="57">
        <f>IF($A41="","",INDEX(Firms!$B$5:$B$504,MATCH(17,Firms!$S$5:$S$504,0)))</f>
        <v/>
      </c>
      <c r="C41" s="57">
        <f>IF($A41="","",COUNTIF('AFA Rates'!$A$5:$A$504,$A41))</f>
        <v/>
      </c>
      <c r="D41" s="57">
        <f>IF(OR($A41="",D$24=""),"",IF(COUNTIFS('AFA Rates'!$A$5:$A$504,$A41,'AFA Rates'!$B$5:$B$504,D$24)&gt;0,"✓",""))</f>
        <v/>
      </c>
      <c r="E41" s="57">
        <f>IF(OR($A41="",E$24=""),"",IF(COUNTIFS('AFA Rates'!$A$5:$A$504,$A41,'AFA Rates'!$B$5:$B$504,E$24)&gt;0,"✓",""))</f>
        <v/>
      </c>
      <c r="F41" s="57">
        <f>IF(OR($A41="",F$24=""),"",IF(COUNTIFS('AFA Rates'!$A$5:$A$504,$A41,'AFA Rates'!$B$5:$B$504,F$24)&gt;0,"✓",""))</f>
        <v/>
      </c>
      <c r="G41" s="57">
        <f>IF(OR($A41="",G$24=""),"",IF(COUNTIFS('AFA Rates'!$A$5:$A$504,$A41,'AFA Rates'!$B$5:$B$504,G$24)&gt;0,"✓",""))</f>
        <v/>
      </c>
      <c r="H41" s="57">
        <f>IF(OR($A41="",H$24=""),"",IF(COUNTIFS('AFA Rates'!$A$5:$A$504,$A41,'AFA Rates'!$B$5:$B$504,H$24)&gt;0,"✓",""))</f>
        <v/>
      </c>
      <c r="I41" s="57">
        <f>IF(OR($A41="",I$24=""),"",IF(COUNTIFS('AFA Rates'!$A$5:$A$504,$A41,'AFA Rates'!$B$5:$B$504,I$24)&gt;0,"✓",""))</f>
        <v/>
      </c>
      <c r="J41" s="57">
        <f>IF(OR($A41="",J$24=""),"",IF(COUNTIFS('AFA Rates'!$A$5:$A$504,$A41,'AFA Rates'!$B$5:$B$504,J$24)&gt;0,"✓",""))</f>
        <v/>
      </c>
      <c r="K41" s="57">
        <f>IF(OR($A41="",K$24=""),"",IF(COUNTIFS('AFA Rates'!$A$5:$A$504,$A41,'AFA Rates'!$B$5:$B$504,K$24)&gt;0,"✓",""))</f>
        <v/>
      </c>
      <c r="L41" s="57">
        <f>IF(OR($A41="",L$24=""),"",IF(COUNTIFS('AFA Rates'!$A$5:$A$504,$A41,'AFA Rates'!$B$5:$B$504,L$24)&gt;0,"✓",""))</f>
        <v/>
      </c>
      <c r="M41" s="57">
        <f>IF(OR($A41="",M$24=""),"",IF(COUNTIFS('AFA Rates'!$A$5:$A$504,$A41,'AFA Rates'!$B$5:$B$504,M$24)&gt;0,"✓",""))</f>
        <v/>
      </c>
    </row>
    <row r="42">
      <c r="A42" s="63">
        <f>IFERROR(INDEX(Firms!$A$5:$A$504,MATCH(18,Firms!$S$5:$S$504,0)),"")</f>
        <v/>
      </c>
      <c r="B42" s="57">
        <f>IF($A42="","",INDEX(Firms!$B$5:$B$504,MATCH(18,Firms!$S$5:$S$504,0)))</f>
        <v/>
      </c>
      <c r="C42" s="57">
        <f>IF($A42="","",COUNTIF('AFA Rates'!$A$5:$A$504,$A42))</f>
        <v/>
      </c>
      <c r="D42" s="57">
        <f>IF(OR($A42="",D$24=""),"",IF(COUNTIFS('AFA Rates'!$A$5:$A$504,$A42,'AFA Rates'!$B$5:$B$504,D$24)&gt;0,"✓",""))</f>
        <v/>
      </c>
      <c r="E42" s="57">
        <f>IF(OR($A42="",E$24=""),"",IF(COUNTIFS('AFA Rates'!$A$5:$A$504,$A42,'AFA Rates'!$B$5:$B$504,E$24)&gt;0,"✓",""))</f>
        <v/>
      </c>
      <c r="F42" s="57">
        <f>IF(OR($A42="",F$24=""),"",IF(COUNTIFS('AFA Rates'!$A$5:$A$504,$A42,'AFA Rates'!$B$5:$B$504,F$24)&gt;0,"✓",""))</f>
        <v/>
      </c>
      <c r="G42" s="57">
        <f>IF(OR($A42="",G$24=""),"",IF(COUNTIFS('AFA Rates'!$A$5:$A$504,$A42,'AFA Rates'!$B$5:$B$504,G$24)&gt;0,"✓",""))</f>
        <v/>
      </c>
      <c r="H42" s="57">
        <f>IF(OR($A42="",H$24=""),"",IF(COUNTIFS('AFA Rates'!$A$5:$A$504,$A42,'AFA Rates'!$B$5:$B$504,H$24)&gt;0,"✓",""))</f>
        <v/>
      </c>
      <c r="I42" s="57">
        <f>IF(OR($A42="",I$24=""),"",IF(COUNTIFS('AFA Rates'!$A$5:$A$504,$A42,'AFA Rates'!$B$5:$B$504,I$24)&gt;0,"✓",""))</f>
        <v/>
      </c>
      <c r="J42" s="57">
        <f>IF(OR($A42="",J$24=""),"",IF(COUNTIFS('AFA Rates'!$A$5:$A$504,$A42,'AFA Rates'!$B$5:$B$504,J$24)&gt;0,"✓",""))</f>
        <v/>
      </c>
      <c r="K42" s="57">
        <f>IF(OR($A42="",K$24=""),"",IF(COUNTIFS('AFA Rates'!$A$5:$A$504,$A42,'AFA Rates'!$B$5:$B$504,K$24)&gt;0,"✓",""))</f>
        <v/>
      </c>
      <c r="L42" s="57">
        <f>IF(OR($A42="",L$24=""),"",IF(COUNTIFS('AFA Rates'!$A$5:$A$504,$A42,'AFA Rates'!$B$5:$B$504,L$24)&gt;0,"✓",""))</f>
        <v/>
      </c>
      <c r="M42" s="57">
        <f>IF(OR($A42="",M$24=""),"",IF(COUNTIFS('AFA Rates'!$A$5:$A$504,$A42,'AFA Rates'!$B$5:$B$504,M$24)&gt;0,"✓",""))</f>
        <v/>
      </c>
    </row>
    <row r="43">
      <c r="A43" s="63">
        <f>IFERROR(INDEX(Firms!$A$5:$A$504,MATCH(19,Firms!$S$5:$S$504,0)),"")</f>
        <v/>
      </c>
      <c r="B43" s="57">
        <f>IF($A43="","",INDEX(Firms!$B$5:$B$504,MATCH(19,Firms!$S$5:$S$504,0)))</f>
        <v/>
      </c>
      <c r="C43" s="57">
        <f>IF($A43="","",COUNTIF('AFA Rates'!$A$5:$A$504,$A43))</f>
        <v/>
      </c>
      <c r="D43" s="57">
        <f>IF(OR($A43="",D$24=""),"",IF(COUNTIFS('AFA Rates'!$A$5:$A$504,$A43,'AFA Rates'!$B$5:$B$504,D$24)&gt;0,"✓",""))</f>
        <v/>
      </c>
      <c r="E43" s="57">
        <f>IF(OR($A43="",E$24=""),"",IF(COUNTIFS('AFA Rates'!$A$5:$A$504,$A43,'AFA Rates'!$B$5:$B$504,E$24)&gt;0,"✓",""))</f>
        <v/>
      </c>
      <c r="F43" s="57">
        <f>IF(OR($A43="",F$24=""),"",IF(COUNTIFS('AFA Rates'!$A$5:$A$504,$A43,'AFA Rates'!$B$5:$B$504,F$24)&gt;0,"✓",""))</f>
        <v/>
      </c>
      <c r="G43" s="57">
        <f>IF(OR($A43="",G$24=""),"",IF(COUNTIFS('AFA Rates'!$A$5:$A$504,$A43,'AFA Rates'!$B$5:$B$504,G$24)&gt;0,"✓",""))</f>
        <v/>
      </c>
      <c r="H43" s="57">
        <f>IF(OR($A43="",H$24=""),"",IF(COUNTIFS('AFA Rates'!$A$5:$A$504,$A43,'AFA Rates'!$B$5:$B$504,H$24)&gt;0,"✓",""))</f>
        <v/>
      </c>
      <c r="I43" s="57">
        <f>IF(OR($A43="",I$24=""),"",IF(COUNTIFS('AFA Rates'!$A$5:$A$504,$A43,'AFA Rates'!$B$5:$B$504,I$24)&gt;0,"✓",""))</f>
        <v/>
      </c>
      <c r="J43" s="57">
        <f>IF(OR($A43="",J$24=""),"",IF(COUNTIFS('AFA Rates'!$A$5:$A$504,$A43,'AFA Rates'!$B$5:$B$504,J$24)&gt;0,"✓",""))</f>
        <v/>
      </c>
      <c r="K43" s="57">
        <f>IF(OR($A43="",K$24=""),"",IF(COUNTIFS('AFA Rates'!$A$5:$A$504,$A43,'AFA Rates'!$B$5:$B$504,K$24)&gt;0,"✓",""))</f>
        <v/>
      </c>
      <c r="L43" s="57">
        <f>IF(OR($A43="",L$24=""),"",IF(COUNTIFS('AFA Rates'!$A$5:$A$504,$A43,'AFA Rates'!$B$5:$B$504,L$24)&gt;0,"✓",""))</f>
        <v/>
      </c>
      <c r="M43" s="57">
        <f>IF(OR($A43="",M$24=""),"",IF(COUNTIFS('AFA Rates'!$A$5:$A$504,$A43,'AFA Rates'!$B$5:$B$504,M$24)&gt;0,"✓",""))</f>
        <v/>
      </c>
    </row>
    <row r="44">
      <c r="A44" s="63">
        <f>IFERROR(INDEX(Firms!$A$5:$A$504,MATCH(20,Firms!$S$5:$S$504,0)),"")</f>
        <v/>
      </c>
      <c r="B44" s="57">
        <f>IF($A44="","",INDEX(Firms!$B$5:$B$504,MATCH(20,Firms!$S$5:$S$504,0)))</f>
        <v/>
      </c>
      <c r="C44" s="57">
        <f>IF($A44="","",COUNTIF('AFA Rates'!$A$5:$A$504,$A44))</f>
        <v/>
      </c>
      <c r="D44" s="57">
        <f>IF(OR($A44="",D$24=""),"",IF(COUNTIFS('AFA Rates'!$A$5:$A$504,$A44,'AFA Rates'!$B$5:$B$504,D$24)&gt;0,"✓",""))</f>
        <v/>
      </c>
      <c r="E44" s="57">
        <f>IF(OR($A44="",E$24=""),"",IF(COUNTIFS('AFA Rates'!$A$5:$A$504,$A44,'AFA Rates'!$B$5:$B$504,E$24)&gt;0,"✓",""))</f>
        <v/>
      </c>
      <c r="F44" s="57">
        <f>IF(OR($A44="",F$24=""),"",IF(COUNTIFS('AFA Rates'!$A$5:$A$504,$A44,'AFA Rates'!$B$5:$B$504,F$24)&gt;0,"✓",""))</f>
        <v/>
      </c>
      <c r="G44" s="57">
        <f>IF(OR($A44="",G$24=""),"",IF(COUNTIFS('AFA Rates'!$A$5:$A$504,$A44,'AFA Rates'!$B$5:$B$504,G$24)&gt;0,"✓",""))</f>
        <v/>
      </c>
      <c r="H44" s="57">
        <f>IF(OR($A44="",H$24=""),"",IF(COUNTIFS('AFA Rates'!$A$5:$A$504,$A44,'AFA Rates'!$B$5:$B$504,H$24)&gt;0,"✓",""))</f>
        <v/>
      </c>
      <c r="I44" s="57">
        <f>IF(OR($A44="",I$24=""),"",IF(COUNTIFS('AFA Rates'!$A$5:$A$504,$A44,'AFA Rates'!$B$5:$B$504,I$24)&gt;0,"✓",""))</f>
        <v/>
      </c>
      <c r="J44" s="57">
        <f>IF(OR($A44="",J$24=""),"",IF(COUNTIFS('AFA Rates'!$A$5:$A$504,$A44,'AFA Rates'!$B$5:$B$504,J$24)&gt;0,"✓",""))</f>
        <v/>
      </c>
      <c r="K44" s="57">
        <f>IF(OR($A44="",K$24=""),"",IF(COUNTIFS('AFA Rates'!$A$5:$A$504,$A44,'AFA Rates'!$B$5:$B$504,K$24)&gt;0,"✓",""))</f>
        <v/>
      </c>
      <c r="L44" s="57">
        <f>IF(OR($A44="",L$24=""),"",IF(COUNTIFS('AFA Rates'!$A$5:$A$504,$A44,'AFA Rates'!$B$5:$B$504,L$24)&gt;0,"✓",""))</f>
        <v/>
      </c>
      <c r="M44" s="57">
        <f>IF(OR($A44="",M$24=""),"",IF(COUNTIFS('AFA Rates'!$A$5:$A$504,$A44,'AFA Rates'!$B$5:$B$504,M$24)&gt;0,"✓",""))</f>
        <v/>
      </c>
    </row>
    <row r="45">
      <c r="A45" s="63">
        <f>IFERROR(INDEX(Firms!$A$5:$A$504,MATCH(21,Firms!$S$5:$S$504,0)),"")</f>
        <v/>
      </c>
      <c r="B45" s="57">
        <f>IF($A45="","",INDEX(Firms!$B$5:$B$504,MATCH(21,Firms!$S$5:$S$504,0)))</f>
        <v/>
      </c>
      <c r="C45" s="57">
        <f>IF($A45="","",COUNTIF('AFA Rates'!$A$5:$A$504,$A45))</f>
        <v/>
      </c>
      <c r="D45" s="57">
        <f>IF(OR($A45="",D$24=""),"",IF(COUNTIFS('AFA Rates'!$A$5:$A$504,$A45,'AFA Rates'!$B$5:$B$504,D$24)&gt;0,"✓",""))</f>
        <v/>
      </c>
      <c r="E45" s="57">
        <f>IF(OR($A45="",E$24=""),"",IF(COUNTIFS('AFA Rates'!$A$5:$A$504,$A45,'AFA Rates'!$B$5:$B$504,E$24)&gt;0,"✓",""))</f>
        <v/>
      </c>
      <c r="F45" s="57">
        <f>IF(OR($A45="",F$24=""),"",IF(COUNTIFS('AFA Rates'!$A$5:$A$504,$A45,'AFA Rates'!$B$5:$B$504,F$24)&gt;0,"✓",""))</f>
        <v/>
      </c>
      <c r="G45" s="57">
        <f>IF(OR($A45="",G$24=""),"",IF(COUNTIFS('AFA Rates'!$A$5:$A$504,$A45,'AFA Rates'!$B$5:$B$504,G$24)&gt;0,"✓",""))</f>
        <v/>
      </c>
      <c r="H45" s="57">
        <f>IF(OR($A45="",H$24=""),"",IF(COUNTIFS('AFA Rates'!$A$5:$A$504,$A45,'AFA Rates'!$B$5:$B$504,H$24)&gt;0,"✓",""))</f>
        <v/>
      </c>
      <c r="I45" s="57">
        <f>IF(OR($A45="",I$24=""),"",IF(COUNTIFS('AFA Rates'!$A$5:$A$504,$A45,'AFA Rates'!$B$5:$B$504,I$24)&gt;0,"✓",""))</f>
        <v/>
      </c>
      <c r="J45" s="57">
        <f>IF(OR($A45="",J$24=""),"",IF(COUNTIFS('AFA Rates'!$A$5:$A$504,$A45,'AFA Rates'!$B$5:$B$504,J$24)&gt;0,"✓",""))</f>
        <v/>
      </c>
      <c r="K45" s="57">
        <f>IF(OR($A45="",K$24=""),"",IF(COUNTIFS('AFA Rates'!$A$5:$A$504,$A45,'AFA Rates'!$B$5:$B$504,K$24)&gt;0,"✓",""))</f>
        <v/>
      </c>
      <c r="L45" s="57">
        <f>IF(OR($A45="",L$24=""),"",IF(COUNTIFS('AFA Rates'!$A$5:$A$504,$A45,'AFA Rates'!$B$5:$B$504,L$24)&gt;0,"✓",""))</f>
        <v/>
      </c>
      <c r="M45" s="57">
        <f>IF(OR($A45="",M$24=""),"",IF(COUNTIFS('AFA Rates'!$A$5:$A$504,$A45,'AFA Rates'!$B$5:$B$504,M$24)&gt;0,"✓",""))</f>
        <v/>
      </c>
    </row>
    <row r="46">
      <c r="A46" s="63">
        <f>IFERROR(INDEX(Firms!$A$5:$A$504,MATCH(22,Firms!$S$5:$S$504,0)),"")</f>
        <v/>
      </c>
      <c r="B46" s="57">
        <f>IF($A46="","",INDEX(Firms!$B$5:$B$504,MATCH(22,Firms!$S$5:$S$504,0)))</f>
        <v/>
      </c>
      <c r="C46" s="57">
        <f>IF($A46="","",COUNTIF('AFA Rates'!$A$5:$A$504,$A46))</f>
        <v/>
      </c>
      <c r="D46" s="57">
        <f>IF(OR($A46="",D$24=""),"",IF(COUNTIFS('AFA Rates'!$A$5:$A$504,$A46,'AFA Rates'!$B$5:$B$504,D$24)&gt;0,"✓",""))</f>
        <v/>
      </c>
      <c r="E46" s="57">
        <f>IF(OR($A46="",E$24=""),"",IF(COUNTIFS('AFA Rates'!$A$5:$A$504,$A46,'AFA Rates'!$B$5:$B$504,E$24)&gt;0,"✓",""))</f>
        <v/>
      </c>
      <c r="F46" s="57">
        <f>IF(OR($A46="",F$24=""),"",IF(COUNTIFS('AFA Rates'!$A$5:$A$504,$A46,'AFA Rates'!$B$5:$B$504,F$24)&gt;0,"✓",""))</f>
        <v/>
      </c>
      <c r="G46" s="57">
        <f>IF(OR($A46="",G$24=""),"",IF(COUNTIFS('AFA Rates'!$A$5:$A$504,$A46,'AFA Rates'!$B$5:$B$504,G$24)&gt;0,"✓",""))</f>
        <v/>
      </c>
      <c r="H46" s="57">
        <f>IF(OR($A46="",H$24=""),"",IF(COUNTIFS('AFA Rates'!$A$5:$A$504,$A46,'AFA Rates'!$B$5:$B$504,H$24)&gt;0,"✓",""))</f>
        <v/>
      </c>
      <c r="I46" s="57">
        <f>IF(OR($A46="",I$24=""),"",IF(COUNTIFS('AFA Rates'!$A$5:$A$504,$A46,'AFA Rates'!$B$5:$B$504,I$24)&gt;0,"✓",""))</f>
        <v/>
      </c>
      <c r="J46" s="57">
        <f>IF(OR($A46="",J$24=""),"",IF(COUNTIFS('AFA Rates'!$A$5:$A$504,$A46,'AFA Rates'!$B$5:$B$504,J$24)&gt;0,"✓",""))</f>
        <v/>
      </c>
      <c r="K46" s="57">
        <f>IF(OR($A46="",K$24=""),"",IF(COUNTIFS('AFA Rates'!$A$5:$A$504,$A46,'AFA Rates'!$B$5:$B$504,K$24)&gt;0,"✓",""))</f>
        <v/>
      </c>
      <c r="L46" s="57">
        <f>IF(OR($A46="",L$24=""),"",IF(COUNTIFS('AFA Rates'!$A$5:$A$504,$A46,'AFA Rates'!$B$5:$B$504,L$24)&gt;0,"✓",""))</f>
        <v/>
      </c>
      <c r="M46" s="57">
        <f>IF(OR($A46="",M$24=""),"",IF(COUNTIFS('AFA Rates'!$A$5:$A$504,$A46,'AFA Rates'!$B$5:$B$504,M$24)&gt;0,"✓",""))</f>
        <v/>
      </c>
    </row>
    <row r="47">
      <c r="A47" s="63">
        <f>IFERROR(INDEX(Firms!$A$5:$A$504,MATCH(23,Firms!$S$5:$S$504,0)),"")</f>
        <v/>
      </c>
      <c r="B47" s="57">
        <f>IF($A47="","",INDEX(Firms!$B$5:$B$504,MATCH(23,Firms!$S$5:$S$504,0)))</f>
        <v/>
      </c>
      <c r="C47" s="57">
        <f>IF($A47="","",COUNTIF('AFA Rates'!$A$5:$A$504,$A47))</f>
        <v/>
      </c>
      <c r="D47" s="57">
        <f>IF(OR($A47="",D$24=""),"",IF(COUNTIFS('AFA Rates'!$A$5:$A$504,$A47,'AFA Rates'!$B$5:$B$504,D$24)&gt;0,"✓",""))</f>
        <v/>
      </c>
      <c r="E47" s="57">
        <f>IF(OR($A47="",E$24=""),"",IF(COUNTIFS('AFA Rates'!$A$5:$A$504,$A47,'AFA Rates'!$B$5:$B$504,E$24)&gt;0,"✓",""))</f>
        <v/>
      </c>
      <c r="F47" s="57">
        <f>IF(OR($A47="",F$24=""),"",IF(COUNTIFS('AFA Rates'!$A$5:$A$504,$A47,'AFA Rates'!$B$5:$B$504,F$24)&gt;0,"✓",""))</f>
        <v/>
      </c>
      <c r="G47" s="57">
        <f>IF(OR($A47="",G$24=""),"",IF(COUNTIFS('AFA Rates'!$A$5:$A$504,$A47,'AFA Rates'!$B$5:$B$504,G$24)&gt;0,"✓",""))</f>
        <v/>
      </c>
      <c r="H47" s="57">
        <f>IF(OR($A47="",H$24=""),"",IF(COUNTIFS('AFA Rates'!$A$5:$A$504,$A47,'AFA Rates'!$B$5:$B$504,H$24)&gt;0,"✓",""))</f>
        <v/>
      </c>
      <c r="I47" s="57">
        <f>IF(OR($A47="",I$24=""),"",IF(COUNTIFS('AFA Rates'!$A$5:$A$504,$A47,'AFA Rates'!$B$5:$B$504,I$24)&gt;0,"✓",""))</f>
        <v/>
      </c>
      <c r="J47" s="57">
        <f>IF(OR($A47="",J$24=""),"",IF(COUNTIFS('AFA Rates'!$A$5:$A$504,$A47,'AFA Rates'!$B$5:$B$504,J$24)&gt;0,"✓",""))</f>
        <v/>
      </c>
      <c r="K47" s="57">
        <f>IF(OR($A47="",K$24=""),"",IF(COUNTIFS('AFA Rates'!$A$5:$A$504,$A47,'AFA Rates'!$B$5:$B$504,K$24)&gt;0,"✓",""))</f>
        <v/>
      </c>
      <c r="L47" s="57">
        <f>IF(OR($A47="",L$24=""),"",IF(COUNTIFS('AFA Rates'!$A$5:$A$504,$A47,'AFA Rates'!$B$5:$B$504,L$24)&gt;0,"✓",""))</f>
        <v/>
      </c>
      <c r="M47" s="57">
        <f>IF(OR($A47="",M$24=""),"",IF(COUNTIFS('AFA Rates'!$A$5:$A$504,$A47,'AFA Rates'!$B$5:$B$504,M$24)&gt;0,"✓",""))</f>
        <v/>
      </c>
    </row>
    <row r="48">
      <c r="A48" s="63">
        <f>IFERROR(INDEX(Firms!$A$5:$A$504,MATCH(24,Firms!$S$5:$S$504,0)),"")</f>
        <v/>
      </c>
      <c r="B48" s="57">
        <f>IF($A48="","",INDEX(Firms!$B$5:$B$504,MATCH(24,Firms!$S$5:$S$504,0)))</f>
        <v/>
      </c>
      <c r="C48" s="57">
        <f>IF($A48="","",COUNTIF('AFA Rates'!$A$5:$A$504,$A48))</f>
        <v/>
      </c>
      <c r="D48" s="57">
        <f>IF(OR($A48="",D$24=""),"",IF(COUNTIFS('AFA Rates'!$A$5:$A$504,$A48,'AFA Rates'!$B$5:$B$504,D$24)&gt;0,"✓",""))</f>
        <v/>
      </c>
      <c r="E48" s="57">
        <f>IF(OR($A48="",E$24=""),"",IF(COUNTIFS('AFA Rates'!$A$5:$A$504,$A48,'AFA Rates'!$B$5:$B$504,E$24)&gt;0,"✓",""))</f>
        <v/>
      </c>
      <c r="F48" s="57">
        <f>IF(OR($A48="",F$24=""),"",IF(COUNTIFS('AFA Rates'!$A$5:$A$504,$A48,'AFA Rates'!$B$5:$B$504,F$24)&gt;0,"✓",""))</f>
        <v/>
      </c>
      <c r="G48" s="57">
        <f>IF(OR($A48="",G$24=""),"",IF(COUNTIFS('AFA Rates'!$A$5:$A$504,$A48,'AFA Rates'!$B$5:$B$504,G$24)&gt;0,"✓",""))</f>
        <v/>
      </c>
      <c r="H48" s="57">
        <f>IF(OR($A48="",H$24=""),"",IF(COUNTIFS('AFA Rates'!$A$5:$A$504,$A48,'AFA Rates'!$B$5:$B$504,H$24)&gt;0,"✓",""))</f>
        <v/>
      </c>
      <c r="I48" s="57">
        <f>IF(OR($A48="",I$24=""),"",IF(COUNTIFS('AFA Rates'!$A$5:$A$504,$A48,'AFA Rates'!$B$5:$B$504,I$24)&gt;0,"✓",""))</f>
        <v/>
      </c>
      <c r="J48" s="57">
        <f>IF(OR($A48="",J$24=""),"",IF(COUNTIFS('AFA Rates'!$A$5:$A$504,$A48,'AFA Rates'!$B$5:$B$504,J$24)&gt;0,"✓",""))</f>
        <v/>
      </c>
      <c r="K48" s="57">
        <f>IF(OR($A48="",K$24=""),"",IF(COUNTIFS('AFA Rates'!$A$5:$A$504,$A48,'AFA Rates'!$B$5:$B$504,K$24)&gt;0,"✓",""))</f>
        <v/>
      </c>
      <c r="L48" s="57">
        <f>IF(OR($A48="",L$24=""),"",IF(COUNTIFS('AFA Rates'!$A$5:$A$504,$A48,'AFA Rates'!$B$5:$B$504,L$24)&gt;0,"✓",""))</f>
        <v/>
      </c>
      <c r="M48" s="57">
        <f>IF(OR($A48="",M$24=""),"",IF(COUNTIFS('AFA Rates'!$A$5:$A$504,$A48,'AFA Rates'!$B$5:$B$504,M$24)&gt;0,"✓",""))</f>
        <v/>
      </c>
    </row>
    <row r="49">
      <c r="A49" s="63">
        <f>IFERROR(INDEX(Firms!$A$5:$A$504,MATCH(25,Firms!$S$5:$S$504,0)),"")</f>
        <v/>
      </c>
      <c r="B49" s="57">
        <f>IF($A49="","",INDEX(Firms!$B$5:$B$504,MATCH(25,Firms!$S$5:$S$504,0)))</f>
        <v/>
      </c>
      <c r="C49" s="57">
        <f>IF($A49="","",COUNTIF('AFA Rates'!$A$5:$A$504,$A49))</f>
        <v/>
      </c>
      <c r="D49" s="57">
        <f>IF(OR($A49="",D$24=""),"",IF(COUNTIFS('AFA Rates'!$A$5:$A$504,$A49,'AFA Rates'!$B$5:$B$504,D$24)&gt;0,"✓",""))</f>
        <v/>
      </c>
      <c r="E49" s="57">
        <f>IF(OR($A49="",E$24=""),"",IF(COUNTIFS('AFA Rates'!$A$5:$A$504,$A49,'AFA Rates'!$B$5:$B$504,E$24)&gt;0,"✓",""))</f>
        <v/>
      </c>
      <c r="F49" s="57">
        <f>IF(OR($A49="",F$24=""),"",IF(COUNTIFS('AFA Rates'!$A$5:$A$504,$A49,'AFA Rates'!$B$5:$B$504,F$24)&gt;0,"✓",""))</f>
        <v/>
      </c>
      <c r="G49" s="57">
        <f>IF(OR($A49="",G$24=""),"",IF(COUNTIFS('AFA Rates'!$A$5:$A$504,$A49,'AFA Rates'!$B$5:$B$504,G$24)&gt;0,"✓",""))</f>
        <v/>
      </c>
      <c r="H49" s="57">
        <f>IF(OR($A49="",H$24=""),"",IF(COUNTIFS('AFA Rates'!$A$5:$A$504,$A49,'AFA Rates'!$B$5:$B$504,H$24)&gt;0,"✓",""))</f>
        <v/>
      </c>
      <c r="I49" s="57">
        <f>IF(OR($A49="",I$24=""),"",IF(COUNTIFS('AFA Rates'!$A$5:$A$504,$A49,'AFA Rates'!$B$5:$B$504,I$24)&gt;0,"✓",""))</f>
        <v/>
      </c>
      <c r="J49" s="57">
        <f>IF(OR($A49="",J$24=""),"",IF(COUNTIFS('AFA Rates'!$A$5:$A$504,$A49,'AFA Rates'!$B$5:$B$504,J$24)&gt;0,"✓",""))</f>
        <v/>
      </c>
      <c r="K49" s="57">
        <f>IF(OR($A49="",K$24=""),"",IF(COUNTIFS('AFA Rates'!$A$5:$A$504,$A49,'AFA Rates'!$B$5:$B$504,K$24)&gt;0,"✓",""))</f>
        <v/>
      </c>
      <c r="L49" s="57">
        <f>IF(OR($A49="",L$24=""),"",IF(COUNTIFS('AFA Rates'!$A$5:$A$504,$A49,'AFA Rates'!$B$5:$B$504,L$24)&gt;0,"✓",""))</f>
        <v/>
      </c>
      <c r="M49" s="57">
        <f>IF(OR($A49="",M$24=""),"",IF(COUNTIFS('AFA Rates'!$A$5:$A$504,$A49,'AFA Rates'!$B$5:$B$504,M$24)&gt;0,"✓",""))</f>
        <v/>
      </c>
    </row>
    <row r="50">
      <c r="A50" s="63">
        <f>IFERROR(INDEX(Firms!$A$5:$A$504,MATCH(26,Firms!$S$5:$S$504,0)),"")</f>
        <v/>
      </c>
      <c r="B50" s="57">
        <f>IF($A50="","",INDEX(Firms!$B$5:$B$504,MATCH(26,Firms!$S$5:$S$504,0)))</f>
        <v/>
      </c>
      <c r="C50" s="57">
        <f>IF($A50="","",COUNTIF('AFA Rates'!$A$5:$A$504,$A50))</f>
        <v/>
      </c>
      <c r="D50" s="57">
        <f>IF(OR($A50="",D$24=""),"",IF(COUNTIFS('AFA Rates'!$A$5:$A$504,$A50,'AFA Rates'!$B$5:$B$504,D$24)&gt;0,"✓",""))</f>
        <v/>
      </c>
      <c r="E50" s="57">
        <f>IF(OR($A50="",E$24=""),"",IF(COUNTIFS('AFA Rates'!$A$5:$A$504,$A50,'AFA Rates'!$B$5:$B$504,E$24)&gt;0,"✓",""))</f>
        <v/>
      </c>
      <c r="F50" s="57">
        <f>IF(OR($A50="",F$24=""),"",IF(COUNTIFS('AFA Rates'!$A$5:$A$504,$A50,'AFA Rates'!$B$5:$B$504,F$24)&gt;0,"✓",""))</f>
        <v/>
      </c>
      <c r="G50" s="57">
        <f>IF(OR($A50="",G$24=""),"",IF(COUNTIFS('AFA Rates'!$A$5:$A$504,$A50,'AFA Rates'!$B$5:$B$504,G$24)&gt;0,"✓",""))</f>
        <v/>
      </c>
      <c r="H50" s="57">
        <f>IF(OR($A50="",H$24=""),"",IF(COUNTIFS('AFA Rates'!$A$5:$A$504,$A50,'AFA Rates'!$B$5:$B$504,H$24)&gt;0,"✓",""))</f>
        <v/>
      </c>
      <c r="I50" s="57">
        <f>IF(OR($A50="",I$24=""),"",IF(COUNTIFS('AFA Rates'!$A$5:$A$504,$A50,'AFA Rates'!$B$5:$B$504,I$24)&gt;0,"✓",""))</f>
        <v/>
      </c>
      <c r="J50" s="57">
        <f>IF(OR($A50="",J$24=""),"",IF(COUNTIFS('AFA Rates'!$A$5:$A$504,$A50,'AFA Rates'!$B$5:$B$504,J$24)&gt;0,"✓",""))</f>
        <v/>
      </c>
      <c r="K50" s="57">
        <f>IF(OR($A50="",K$24=""),"",IF(COUNTIFS('AFA Rates'!$A$5:$A$504,$A50,'AFA Rates'!$B$5:$B$504,K$24)&gt;0,"✓",""))</f>
        <v/>
      </c>
      <c r="L50" s="57">
        <f>IF(OR($A50="",L$24=""),"",IF(COUNTIFS('AFA Rates'!$A$5:$A$504,$A50,'AFA Rates'!$B$5:$B$504,L$24)&gt;0,"✓",""))</f>
        <v/>
      </c>
      <c r="M50" s="57">
        <f>IF(OR($A50="",M$24=""),"",IF(COUNTIFS('AFA Rates'!$A$5:$A$504,$A50,'AFA Rates'!$B$5:$B$504,M$24)&gt;0,"✓",""))</f>
        <v/>
      </c>
    </row>
    <row r="51">
      <c r="A51" s="63">
        <f>IFERROR(INDEX(Firms!$A$5:$A$504,MATCH(27,Firms!$S$5:$S$504,0)),"")</f>
        <v/>
      </c>
      <c r="B51" s="57">
        <f>IF($A51="","",INDEX(Firms!$B$5:$B$504,MATCH(27,Firms!$S$5:$S$504,0)))</f>
        <v/>
      </c>
      <c r="C51" s="57">
        <f>IF($A51="","",COUNTIF('AFA Rates'!$A$5:$A$504,$A51))</f>
        <v/>
      </c>
      <c r="D51" s="57">
        <f>IF(OR($A51="",D$24=""),"",IF(COUNTIFS('AFA Rates'!$A$5:$A$504,$A51,'AFA Rates'!$B$5:$B$504,D$24)&gt;0,"✓",""))</f>
        <v/>
      </c>
      <c r="E51" s="57">
        <f>IF(OR($A51="",E$24=""),"",IF(COUNTIFS('AFA Rates'!$A$5:$A$504,$A51,'AFA Rates'!$B$5:$B$504,E$24)&gt;0,"✓",""))</f>
        <v/>
      </c>
      <c r="F51" s="57">
        <f>IF(OR($A51="",F$24=""),"",IF(COUNTIFS('AFA Rates'!$A$5:$A$504,$A51,'AFA Rates'!$B$5:$B$504,F$24)&gt;0,"✓",""))</f>
        <v/>
      </c>
      <c r="G51" s="57">
        <f>IF(OR($A51="",G$24=""),"",IF(COUNTIFS('AFA Rates'!$A$5:$A$504,$A51,'AFA Rates'!$B$5:$B$504,G$24)&gt;0,"✓",""))</f>
        <v/>
      </c>
      <c r="H51" s="57">
        <f>IF(OR($A51="",H$24=""),"",IF(COUNTIFS('AFA Rates'!$A$5:$A$504,$A51,'AFA Rates'!$B$5:$B$504,H$24)&gt;0,"✓",""))</f>
        <v/>
      </c>
      <c r="I51" s="57">
        <f>IF(OR($A51="",I$24=""),"",IF(COUNTIFS('AFA Rates'!$A$5:$A$504,$A51,'AFA Rates'!$B$5:$B$504,I$24)&gt;0,"✓",""))</f>
        <v/>
      </c>
      <c r="J51" s="57">
        <f>IF(OR($A51="",J$24=""),"",IF(COUNTIFS('AFA Rates'!$A$5:$A$504,$A51,'AFA Rates'!$B$5:$B$504,J$24)&gt;0,"✓",""))</f>
        <v/>
      </c>
      <c r="K51" s="57">
        <f>IF(OR($A51="",K$24=""),"",IF(COUNTIFS('AFA Rates'!$A$5:$A$504,$A51,'AFA Rates'!$B$5:$B$504,K$24)&gt;0,"✓",""))</f>
        <v/>
      </c>
      <c r="L51" s="57">
        <f>IF(OR($A51="",L$24=""),"",IF(COUNTIFS('AFA Rates'!$A$5:$A$504,$A51,'AFA Rates'!$B$5:$B$504,L$24)&gt;0,"✓",""))</f>
        <v/>
      </c>
      <c r="M51" s="57">
        <f>IF(OR($A51="",M$24=""),"",IF(COUNTIFS('AFA Rates'!$A$5:$A$504,$A51,'AFA Rates'!$B$5:$B$504,M$24)&gt;0,"✓",""))</f>
        <v/>
      </c>
    </row>
    <row r="52">
      <c r="A52" s="63">
        <f>IFERROR(INDEX(Firms!$A$5:$A$504,MATCH(28,Firms!$S$5:$S$504,0)),"")</f>
        <v/>
      </c>
      <c r="B52" s="57">
        <f>IF($A52="","",INDEX(Firms!$B$5:$B$504,MATCH(28,Firms!$S$5:$S$504,0)))</f>
        <v/>
      </c>
      <c r="C52" s="57">
        <f>IF($A52="","",COUNTIF('AFA Rates'!$A$5:$A$504,$A52))</f>
        <v/>
      </c>
      <c r="D52" s="57">
        <f>IF(OR($A52="",D$24=""),"",IF(COUNTIFS('AFA Rates'!$A$5:$A$504,$A52,'AFA Rates'!$B$5:$B$504,D$24)&gt;0,"✓",""))</f>
        <v/>
      </c>
      <c r="E52" s="57">
        <f>IF(OR($A52="",E$24=""),"",IF(COUNTIFS('AFA Rates'!$A$5:$A$504,$A52,'AFA Rates'!$B$5:$B$504,E$24)&gt;0,"✓",""))</f>
        <v/>
      </c>
      <c r="F52" s="57">
        <f>IF(OR($A52="",F$24=""),"",IF(COUNTIFS('AFA Rates'!$A$5:$A$504,$A52,'AFA Rates'!$B$5:$B$504,F$24)&gt;0,"✓",""))</f>
        <v/>
      </c>
      <c r="G52" s="57">
        <f>IF(OR($A52="",G$24=""),"",IF(COUNTIFS('AFA Rates'!$A$5:$A$504,$A52,'AFA Rates'!$B$5:$B$504,G$24)&gt;0,"✓",""))</f>
        <v/>
      </c>
      <c r="H52" s="57">
        <f>IF(OR($A52="",H$24=""),"",IF(COUNTIFS('AFA Rates'!$A$5:$A$504,$A52,'AFA Rates'!$B$5:$B$504,H$24)&gt;0,"✓",""))</f>
        <v/>
      </c>
      <c r="I52" s="57">
        <f>IF(OR($A52="",I$24=""),"",IF(COUNTIFS('AFA Rates'!$A$5:$A$504,$A52,'AFA Rates'!$B$5:$B$504,I$24)&gt;0,"✓",""))</f>
        <v/>
      </c>
      <c r="J52" s="57">
        <f>IF(OR($A52="",J$24=""),"",IF(COUNTIFS('AFA Rates'!$A$5:$A$504,$A52,'AFA Rates'!$B$5:$B$504,J$24)&gt;0,"✓",""))</f>
        <v/>
      </c>
      <c r="K52" s="57">
        <f>IF(OR($A52="",K$24=""),"",IF(COUNTIFS('AFA Rates'!$A$5:$A$504,$A52,'AFA Rates'!$B$5:$B$504,K$24)&gt;0,"✓",""))</f>
        <v/>
      </c>
      <c r="L52" s="57">
        <f>IF(OR($A52="",L$24=""),"",IF(COUNTIFS('AFA Rates'!$A$5:$A$504,$A52,'AFA Rates'!$B$5:$B$504,L$24)&gt;0,"✓",""))</f>
        <v/>
      </c>
      <c r="M52" s="57">
        <f>IF(OR($A52="",M$24=""),"",IF(COUNTIFS('AFA Rates'!$A$5:$A$504,$A52,'AFA Rates'!$B$5:$B$504,M$24)&gt;0,"✓",""))</f>
        <v/>
      </c>
    </row>
    <row r="53">
      <c r="A53" s="63">
        <f>IFERROR(INDEX(Firms!$A$5:$A$504,MATCH(29,Firms!$S$5:$S$504,0)),"")</f>
        <v/>
      </c>
      <c r="B53" s="57">
        <f>IF($A53="","",INDEX(Firms!$B$5:$B$504,MATCH(29,Firms!$S$5:$S$504,0)))</f>
        <v/>
      </c>
      <c r="C53" s="57">
        <f>IF($A53="","",COUNTIF('AFA Rates'!$A$5:$A$504,$A53))</f>
        <v/>
      </c>
      <c r="D53" s="57">
        <f>IF(OR($A53="",D$24=""),"",IF(COUNTIFS('AFA Rates'!$A$5:$A$504,$A53,'AFA Rates'!$B$5:$B$504,D$24)&gt;0,"✓",""))</f>
        <v/>
      </c>
      <c r="E53" s="57">
        <f>IF(OR($A53="",E$24=""),"",IF(COUNTIFS('AFA Rates'!$A$5:$A$504,$A53,'AFA Rates'!$B$5:$B$504,E$24)&gt;0,"✓",""))</f>
        <v/>
      </c>
      <c r="F53" s="57">
        <f>IF(OR($A53="",F$24=""),"",IF(COUNTIFS('AFA Rates'!$A$5:$A$504,$A53,'AFA Rates'!$B$5:$B$504,F$24)&gt;0,"✓",""))</f>
        <v/>
      </c>
      <c r="G53" s="57">
        <f>IF(OR($A53="",G$24=""),"",IF(COUNTIFS('AFA Rates'!$A$5:$A$504,$A53,'AFA Rates'!$B$5:$B$504,G$24)&gt;0,"✓",""))</f>
        <v/>
      </c>
      <c r="H53" s="57">
        <f>IF(OR($A53="",H$24=""),"",IF(COUNTIFS('AFA Rates'!$A$5:$A$504,$A53,'AFA Rates'!$B$5:$B$504,H$24)&gt;0,"✓",""))</f>
        <v/>
      </c>
      <c r="I53" s="57">
        <f>IF(OR($A53="",I$24=""),"",IF(COUNTIFS('AFA Rates'!$A$5:$A$504,$A53,'AFA Rates'!$B$5:$B$504,I$24)&gt;0,"✓",""))</f>
        <v/>
      </c>
      <c r="J53" s="57">
        <f>IF(OR($A53="",J$24=""),"",IF(COUNTIFS('AFA Rates'!$A$5:$A$504,$A53,'AFA Rates'!$B$5:$B$504,J$24)&gt;0,"✓",""))</f>
        <v/>
      </c>
      <c r="K53" s="57">
        <f>IF(OR($A53="",K$24=""),"",IF(COUNTIFS('AFA Rates'!$A$5:$A$504,$A53,'AFA Rates'!$B$5:$B$504,K$24)&gt;0,"✓",""))</f>
        <v/>
      </c>
      <c r="L53" s="57">
        <f>IF(OR($A53="",L$24=""),"",IF(COUNTIFS('AFA Rates'!$A$5:$A$504,$A53,'AFA Rates'!$B$5:$B$504,L$24)&gt;0,"✓",""))</f>
        <v/>
      </c>
      <c r="M53" s="57">
        <f>IF(OR($A53="",M$24=""),"",IF(COUNTIFS('AFA Rates'!$A$5:$A$504,$A53,'AFA Rates'!$B$5:$B$504,M$24)&gt;0,"✓",""))</f>
        <v/>
      </c>
    </row>
    <row r="54">
      <c r="A54" s="63">
        <f>IFERROR(INDEX(Firms!$A$5:$A$504,MATCH(30,Firms!$S$5:$S$504,0)),"")</f>
        <v/>
      </c>
      <c r="B54" s="57">
        <f>IF($A54="","",INDEX(Firms!$B$5:$B$504,MATCH(30,Firms!$S$5:$S$504,0)))</f>
        <v/>
      </c>
      <c r="C54" s="57">
        <f>IF($A54="","",COUNTIF('AFA Rates'!$A$5:$A$504,$A54))</f>
        <v/>
      </c>
      <c r="D54" s="57">
        <f>IF(OR($A54="",D$24=""),"",IF(COUNTIFS('AFA Rates'!$A$5:$A$504,$A54,'AFA Rates'!$B$5:$B$504,D$24)&gt;0,"✓",""))</f>
        <v/>
      </c>
      <c r="E54" s="57">
        <f>IF(OR($A54="",E$24=""),"",IF(COUNTIFS('AFA Rates'!$A$5:$A$504,$A54,'AFA Rates'!$B$5:$B$504,E$24)&gt;0,"✓",""))</f>
        <v/>
      </c>
      <c r="F54" s="57">
        <f>IF(OR($A54="",F$24=""),"",IF(COUNTIFS('AFA Rates'!$A$5:$A$504,$A54,'AFA Rates'!$B$5:$B$504,F$24)&gt;0,"✓",""))</f>
        <v/>
      </c>
      <c r="G54" s="57">
        <f>IF(OR($A54="",G$24=""),"",IF(COUNTIFS('AFA Rates'!$A$5:$A$504,$A54,'AFA Rates'!$B$5:$B$504,G$24)&gt;0,"✓",""))</f>
        <v/>
      </c>
      <c r="H54" s="57">
        <f>IF(OR($A54="",H$24=""),"",IF(COUNTIFS('AFA Rates'!$A$5:$A$504,$A54,'AFA Rates'!$B$5:$B$504,H$24)&gt;0,"✓",""))</f>
        <v/>
      </c>
      <c r="I54" s="57">
        <f>IF(OR($A54="",I$24=""),"",IF(COUNTIFS('AFA Rates'!$A$5:$A$504,$A54,'AFA Rates'!$B$5:$B$504,I$24)&gt;0,"✓",""))</f>
        <v/>
      </c>
      <c r="J54" s="57">
        <f>IF(OR($A54="",J$24=""),"",IF(COUNTIFS('AFA Rates'!$A$5:$A$504,$A54,'AFA Rates'!$B$5:$B$504,J$24)&gt;0,"✓",""))</f>
        <v/>
      </c>
      <c r="K54" s="57">
        <f>IF(OR($A54="",K$24=""),"",IF(COUNTIFS('AFA Rates'!$A$5:$A$504,$A54,'AFA Rates'!$B$5:$B$504,K$24)&gt;0,"✓",""))</f>
        <v/>
      </c>
      <c r="L54" s="57">
        <f>IF(OR($A54="",L$24=""),"",IF(COUNTIFS('AFA Rates'!$A$5:$A$504,$A54,'AFA Rates'!$B$5:$B$504,L$24)&gt;0,"✓",""))</f>
        <v/>
      </c>
      <c r="M54" s="57">
        <f>IF(OR($A54="",M$24=""),"",IF(COUNTIFS('AFA Rates'!$A$5:$A$504,$A54,'AFA Rates'!$B$5:$B$504,M$24)&gt;0,"✓",""))</f>
        <v/>
      </c>
    </row>
    <row r="55">
      <c r="A55" s="63">
        <f>IFERROR(INDEX(Firms!$A$5:$A$504,MATCH(31,Firms!$S$5:$S$504,0)),"")</f>
        <v/>
      </c>
      <c r="B55" s="57">
        <f>IF($A55="","",INDEX(Firms!$B$5:$B$504,MATCH(31,Firms!$S$5:$S$504,0)))</f>
        <v/>
      </c>
      <c r="C55" s="57">
        <f>IF($A55="","",COUNTIF('AFA Rates'!$A$5:$A$504,$A55))</f>
        <v/>
      </c>
      <c r="D55" s="57">
        <f>IF(OR($A55="",D$24=""),"",IF(COUNTIFS('AFA Rates'!$A$5:$A$504,$A55,'AFA Rates'!$B$5:$B$504,D$24)&gt;0,"✓",""))</f>
        <v/>
      </c>
      <c r="E55" s="57">
        <f>IF(OR($A55="",E$24=""),"",IF(COUNTIFS('AFA Rates'!$A$5:$A$504,$A55,'AFA Rates'!$B$5:$B$504,E$24)&gt;0,"✓",""))</f>
        <v/>
      </c>
      <c r="F55" s="57">
        <f>IF(OR($A55="",F$24=""),"",IF(COUNTIFS('AFA Rates'!$A$5:$A$504,$A55,'AFA Rates'!$B$5:$B$504,F$24)&gt;0,"✓",""))</f>
        <v/>
      </c>
      <c r="G55" s="57">
        <f>IF(OR($A55="",G$24=""),"",IF(COUNTIFS('AFA Rates'!$A$5:$A$504,$A55,'AFA Rates'!$B$5:$B$504,G$24)&gt;0,"✓",""))</f>
        <v/>
      </c>
      <c r="H55" s="57">
        <f>IF(OR($A55="",H$24=""),"",IF(COUNTIFS('AFA Rates'!$A$5:$A$504,$A55,'AFA Rates'!$B$5:$B$504,H$24)&gt;0,"✓",""))</f>
        <v/>
      </c>
      <c r="I55" s="57">
        <f>IF(OR($A55="",I$24=""),"",IF(COUNTIFS('AFA Rates'!$A$5:$A$504,$A55,'AFA Rates'!$B$5:$B$504,I$24)&gt;0,"✓",""))</f>
        <v/>
      </c>
      <c r="J55" s="57">
        <f>IF(OR($A55="",J$24=""),"",IF(COUNTIFS('AFA Rates'!$A$5:$A$504,$A55,'AFA Rates'!$B$5:$B$504,J$24)&gt;0,"✓",""))</f>
        <v/>
      </c>
      <c r="K55" s="57">
        <f>IF(OR($A55="",K$24=""),"",IF(COUNTIFS('AFA Rates'!$A$5:$A$504,$A55,'AFA Rates'!$B$5:$B$504,K$24)&gt;0,"✓",""))</f>
        <v/>
      </c>
      <c r="L55" s="57">
        <f>IF(OR($A55="",L$24=""),"",IF(COUNTIFS('AFA Rates'!$A$5:$A$504,$A55,'AFA Rates'!$B$5:$B$504,L$24)&gt;0,"✓",""))</f>
        <v/>
      </c>
      <c r="M55" s="57">
        <f>IF(OR($A55="",M$24=""),"",IF(COUNTIFS('AFA Rates'!$A$5:$A$504,$A55,'AFA Rates'!$B$5:$B$504,M$24)&gt;0,"✓",""))</f>
        <v/>
      </c>
    </row>
    <row r="56">
      <c r="A56" s="63">
        <f>IFERROR(INDEX(Firms!$A$5:$A$504,MATCH(32,Firms!$S$5:$S$504,0)),"")</f>
        <v/>
      </c>
      <c r="B56" s="57">
        <f>IF($A56="","",INDEX(Firms!$B$5:$B$504,MATCH(32,Firms!$S$5:$S$504,0)))</f>
        <v/>
      </c>
      <c r="C56" s="57">
        <f>IF($A56="","",COUNTIF('AFA Rates'!$A$5:$A$504,$A56))</f>
        <v/>
      </c>
      <c r="D56" s="57">
        <f>IF(OR($A56="",D$24=""),"",IF(COUNTIFS('AFA Rates'!$A$5:$A$504,$A56,'AFA Rates'!$B$5:$B$504,D$24)&gt;0,"✓",""))</f>
        <v/>
      </c>
      <c r="E56" s="57">
        <f>IF(OR($A56="",E$24=""),"",IF(COUNTIFS('AFA Rates'!$A$5:$A$504,$A56,'AFA Rates'!$B$5:$B$504,E$24)&gt;0,"✓",""))</f>
        <v/>
      </c>
      <c r="F56" s="57">
        <f>IF(OR($A56="",F$24=""),"",IF(COUNTIFS('AFA Rates'!$A$5:$A$504,$A56,'AFA Rates'!$B$5:$B$504,F$24)&gt;0,"✓",""))</f>
        <v/>
      </c>
      <c r="G56" s="57">
        <f>IF(OR($A56="",G$24=""),"",IF(COUNTIFS('AFA Rates'!$A$5:$A$504,$A56,'AFA Rates'!$B$5:$B$504,G$24)&gt;0,"✓",""))</f>
        <v/>
      </c>
      <c r="H56" s="57">
        <f>IF(OR($A56="",H$24=""),"",IF(COUNTIFS('AFA Rates'!$A$5:$A$504,$A56,'AFA Rates'!$B$5:$B$504,H$24)&gt;0,"✓",""))</f>
        <v/>
      </c>
      <c r="I56" s="57">
        <f>IF(OR($A56="",I$24=""),"",IF(COUNTIFS('AFA Rates'!$A$5:$A$504,$A56,'AFA Rates'!$B$5:$B$504,I$24)&gt;0,"✓",""))</f>
        <v/>
      </c>
      <c r="J56" s="57">
        <f>IF(OR($A56="",J$24=""),"",IF(COUNTIFS('AFA Rates'!$A$5:$A$504,$A56,'AFA Rates'!$B$5:$B$504,J$24)&gt;0,"✓",""))</f>
        <v/>
      </c>
      <c r="K56" s="57">
        <f>IF(OR($A56="",K$24=""),"",IF(COUNTIFS('AFA Rates'!$A$5:$A$504,$A56,'AFA Rates'!$B$5:$B$504,K$24)&gt;0,"✓",""))</f>
        <v/>
      </c>
      <c r="L56" s="57">
        <f>IF(OR($A56="",L$24=""),"",IF(COUNTIFS('AFA Rates'!$A$5:$A$504,$A56,'AFA Rates'!$B$5:$B$504,L$24)&gt;0,"✓",""))</f>
        <v/>
      </c>
      <c r="M56" s="57">
        <f>IF(OR($A56="",M$24=""),"",IF(COUNTIFS('AFA Rates'!$A$5:$A$504,$A56,'AFA Rates'!$B$5:$B$504,M$24)&gt;0,"✓",""))</f>
        <v/>
      </c>
    </row>
    <row r="57">
      <c r="A57" s="63">
        <f>IFERROR(INDEX(Firms!$A$5:$A$504,MATCH(33,Firms!$S$5:$S$504,0)),"")</f>
        <v/>
      </c>
      <c r="B57" s="57">
        <f>IF($A57="","",INDEX(Firms!$B$5:$B$504,MATCH(33,Firms!$S$5:$S$504,0)))</f>
        <v/>
      </c>
      <c r="C57" s="57">
        <f>IF($A57="","",COUNTIF('AFA Rates'!$A$5:$A$504,$A57))</f>
        <v/>
      </c>
      <c r="D57" s="57">
        <f>IF(OR($A57="",D$24=""),"",IF(COUNTIFS('AFA Rates'!$A$5:$A$504,$A57,'AFA Rates'!$B$5:$B$504,D$24)&gt;0,"✓",""))</f>
        <v/>
      </c>
      <c r="E57" s="57">
        <f>IF(OR($A57="",E$24=""),"",IF(COUNTIFS('AFA Rates'!$A$5:$A$504,$A57,'AFA Rates'!$B$5:$B$504,E$24)&gt;0,"✓",""))</f>
        <v/>
      </c>
      <c r="F57" s="57">
        <f>IF(OR($A57="",F$24=""),"",IF(COUNTIFS('AFA Rates'!$A$5:$A$504,$A57,'AFA Rates'!$B$5:$B$504,F$24)&gt;0,"✓",""))</f>
        <v/>
      </c>
      <c r="G57" s="57">
        <f>IF(OR($A57="",G$24=""),"",IF(COUNTIFS('AFA Rates'!$A$5:$A$504,$A57,'AFA Rates'!$B$5:$B$504,G$24)&gt;0,"✓",""))</f>
        <v/>
      </c>
      <c r="H57" s="57">
        <f>IF(OR($A57="",H$24=""),"",IF(COUNTIFS('AFA Rates'!$A$5:$A$504,$A57,'AFA Rates'!$B$5:$B$504,H$24)&gt;0,"✓",""))</f>
        <v/>
      </c>
      <c r="I57" s="57">
        <f>IF(OR($A57="",I$24=""),"",IF(COUNTIFS('AFA Rates'!$A$5:$A$504,$A57,'AFA Rates'!$B$5:$B$504,I$24)&gt;0,"✓",""))</f>
        <v/>
      </c>
      <c r="J57" s="57">
        <f>IF(OR($A57="",J$24=""),"",IF(COUNTIFS('AFA Rates'!$A$5:$A$504,$A57,'AFA Rates'!$B$5:$B$504,J$24)&gt;0,"✓",""))</f>
        <v/>
      </c>
      <c r="K57" s="57">
        <f>IF(OR($A57="",K$24=""),"",IF(COUNTIFS('AFA Rates'!$A$5:$A$504,$A57,'AFA Rates'!$B$5:$B$504,K$24)&gt;0,"✓",""))</f>
        <v/>
      </c>
      <c r="L57" s="57">
        <f>IF(OR($A57="",L$24=""),"",IF(COUNTIFS('AFA Rates'!$A$5:$A$504,$A57,'AFA Rates'!$B$5:$B$504,L$24)&gt;0,"✓",""))</f>
        <v/>
      </c>
      <c r="M57" s="57">
        <f>IF(OR($A57="",M$24=""),"",IF(COUNTIFS('AFA Rates'!$A$5:$A$504,$A57,'AFA Rates'!$B$5:$B$504,M$24)&gt;0,"✓",""))</f>
        <v/>
      </c>
    </row>
    <row r="58">
      <c r="A58" s="63">
        <f>IFERROR(INDEX(Firms!$A$5:$A$504,MATCH(34,Firms!$S$5:$S$504,0)),"")</f>
        <v/>
      </c>
      <c r="B58" s="57">
        <f>IF($A58="","",INDEX(Firms!$B$5:$B$504,MATCH(34,Firms!$S$5:$S$504,0)))</f>
        <v/>
      </c>
      <c r="C58" s="57">
        <f>IF($A58="","",COUNTIF('AFA Rates'!$A$5:$A$504,$A58))</f>
        <v/>
      </c>
      <c r="D58" s="57">
        <f>IF(OR($A58="",D$24=""),"",IF(COUNTIFS('AFA Rates'!$A$5:$A$504,$A58,'AFA Rates'!$B$5:$B$504,D$24)&gt;0,"✓",""))</f>
        <v/>
      </c>
      <c r="E58" s="57">
        <f>IF(OR($A58="",E$24=""),"",IF(COUNTIFS('AFA Rates'!$A$5:$A$504,$A58,'AFA Rates'!$B$5:$B$504,E$24)&gt;0,"✓",""))</f>
        <v/>
      </c>
      <c r="F58" s="57">
        <f>IF(OR($A58="",F$24=""),"",IF(COUNTIFS('AFA Rates'!$A$5:$A$504,$A58,'AFA Rates'!$B$5:$B$504,F$24)&gt;0,"✓",""))</f>
        <v/>
      </c>
      <c r="G58" s="57">
        <f>IF(OR($A58="",G$24=""),"",IF(COUNTIFS('AFA Rates'!$A$5:$A$504,$A58,'AFA Rates'!$B$5:$B$504,G$24)&gt;0,"✓",""))</f>
        <v/>
      </c>
      <c r="H58" s="57">
        <f>IF(OR($A58="",H$24=""),"",IF(COUNTIFS('AFA Rates'!$A$5:$A$504,$A58,'AFA Rates'!$B$5:$B$504,H$24)&gt;0,"✓",""))</f>
        <v/>
      </c>
      <c r="I58" s="57">
        <f>IF(OR($A58="",I$24=""),"",IF(COUNTIFS('AFA Rates'!$A$5:$A$504,$A58,'AFA Rates'!$B$5:$B$504,I$24)&gt;0,"✓",""))</f>
        <v/>
      </c>
      <c r="J58" s="57">
        <f>IF(OR($A58="",J$24=""),"",IF(COUNTIFS('AFA Rates'!$A$5:$A$504,$A58,'AFA Rates'!$B$5:$B$504,J$24)&gt;0,"✓",""))</f>
        <v/>
      </c>
      <c r="K58" s="57">
        <f>IF(OR($A58="",K$24=""),"",IF(COUNTIFS('AFA Rates'!$A$5:$A$504,$A58,'AFA Rates'!$B$5:$B$504,K$24)&gt;0,"✓",""))</f>
        <v/>
      </c>
      <c r="L58" s="57">
        <f>IF(OR($A58="",L$24=""),"",IF(COUNTIFS('AFA Rates'!$A$5:$A$504,$A58,'AFA Rates'!$B$5:$B$504,L$24)&gt;0,"✓",""))</f>
        <v/>
      </c>
      <c r="M58" s="57">
        <f>IF(OR($A58="",M$24=""),"",IF(COUNTIFS('AFA Rates'!$A$5:$A$504,$A58,'AFA Rates'!$B$5:$B$504,M$24)&gt;0,"✓",""))</f>
        <v/>
      </c>
    </row>
    <row r="59">
      <c r="A59" s="63">
        <f>IFERROR(INDEX(Firms!$A$5:$A$504,MATCH(35,Firms!$S$5:$S$504,0)),"")</f>
        <v/>
      </c>
      <c r="B59" s="57">
        <f>IF($A59="","",INDEX(Firms!$B$5:$B$504,MATCH(35,Firms!$S$5:$S$504,0)))</f>
        <v/>
      </c>
      <c r="C59" s="57">
        <f>IF($A59="","",COUNTIF('AFA Rates'!$A$5:$A$504,$A59))</f>
        <v/>
      </c>
      <c r="D59" s="57">
        <f>IF(OR($A59="",D$24=""),"",IF(COUNTIFS('AFA Rates'!$A$5:$A$504,$A59,'AFA Rates'!$B$5:$B$504,D$24)&gt;0,"✓",""))</f>
        <v/>
      </c>
      <c r="E59" s="57">
        <f>IF(OR($A59="",E$24=""),"",IF(COUNTIFS('AFA Rates'!$A$5:$A$504,$A59,'AFA Rates'!$B$5:$B$504,E$24)&gt;0,"✓",""))</f>
        <v/>
      </c>
      <c r="F59" s="57">
        <f>IF(OR($A59="",F$24=""),"",IF(COUNTIFS('AFA Rates'!$A$5:$A$504,$A59,'AFA Rates'!$B$5:$B$504,F$24)&gt;0,"✓",""))</f>
        <v/>
      </c>
      <c r="G59" s="57">
        <f>IF(OR($A59="",G$24=""),"",IF(COUNTIFS('AFA Rates'!$A$5:$A$504,$A59,'AFA Rates'!$B$5:$B$504,G$24)&gt;0,"✓",""))</f>
        <v/>
      </c>
      <c r="H59" s="57">
        <f>IF(OR($A59="",H$24=""),"",IF(COUNTIFS('AFA Rates'!$A$5:$A$504,$A59,'AFA Rates'!$B$5:$B$504,H$24)&gt;0,"✓",""))</f>
        <v/>
      </c>
      <c r="I59" s="57">
        <f>IF(OR($A59="",I$24=""),"",IF(COUNTIFS('AFA Rates'!$A$5:$A$504,$A59,'AFA Rates'!$B$5:$B$504,I$24)&gt;0,"✓",""))</f>
        <v/>
      </c>
      <c r="J59" s="57">
        <f>IF(OR($A59="",J$24=""),"",IF(COUNTIFS('AFA Rates'!$A$5:$A$504,$A59,'AFA Rates'!$B$5:$B$504,J$24)&gt;0,"✓",""))</f>
        <v/>
      </c>
      <c r="K59" s="57">
        <f>IF(OR($A59="",K$24=""),"",IF(COUNTIFS('AFA Rates'!$A$5:$A$504,$A59,'AFA Rates'!$B$5:$B$504,K$24)&gt;0,"✓",""))</f>
        <v/>
      </c>
      <c r="L59" s="57">
        <f>IF(OR($A59="",L$24=""),"",IF(COUNTIFS('AFA Rates'!$A$5:$A$504,$A59,'AFA Rates'!$B$5:$B$504,L$24)&gt;0,"✓",""))</f>
        <v/>
      </c>
      <c r="M59" s="57">
        <f>IF(OR($A59="",M$24=""),"",IF(COUNTIFS('AFA Rates'!$A$5:$A$504,$A59,'AFA Rates'!$B$5:$B$504,M$24)&gt;0,"✓",""))</f>
        <v/>
      </c>
    </row>
    <row r="60">
      <c r="A60" s="63">
        <f>IFERROR(INDEX(Firms!$A$5:$A$504,MATCH(36,Firms!$S$5:$S$504,0)),"")</f>
        <v/>
      </c>
      <c r="B60" s="57">
        <f>IF($A60="","",INDEX(Firms!$B$5:$B$504,MATCH(36,Firms!$S$5:$S$504,0)))</f>
        <v/>
      </c>
      <c r="C60" s="57">
        <f>IF($A60="","",COUNTIF('AFA Rates'!$A$5:$A$504,$A60))</f>
        <v/>
      </c>
      <c r="D60" s="57">
        <f>IF(OR($A60="",D$24=""),"",IF(COUNTIFS('AFA Rates'!$A$5:$A$504,$A60,'AFA Rates'!$B$5:$B$504,D$24)&gt;0,"✓",""))</f>
        <v/>
      </c>
      <c r="E60" s="57">
        <f>IF(OR($A60="",E$24=""),"",IF(COUNTIFS('AFA Rates'!$A$5:$A$504,$A60,'AFA Rates'!$B$5:$B$504,E$24)&gt;0,"✓",""))</f>
        <v/>
      </c>
      <c r="F60" s="57">
        <f>IF(OR($A60="",F$24=""),"",IF(COUNTIFS('AFA Rates'!$A$5:$A$504,$A60,'AFA Rates'!$B$5:$B$504,F$24)&gt;0,"✓",""))</f>
        <v/>
      </c>
      <c r="G60" s="57">
        <f>IF(OR($A60="",G$24=""),"",IF(COUNTIFS('AFA Rates'!$A$5:$A$504,$A60,'AFA Rates'!$B$5:$B$504,G$24)&gt;0,"✓",""))</f>
        <v/>
      </c>
      <c r="H60" s="57">
        <f>IF(OR($A60="",H$24=""),"",IF(COUNTIFS('AFA Rates'!$A$5:$A$504,$A60,'AFA Rates'!$B$5:$B$504,H$24)&gt;0,"✓",""))</f>
        <v/>
      </c>
      <c r="I60" s="57">
        <f>IF(OR($A60="",I$24=""),"",IF(COUNTIFS('AFA Rates'!$A$5:$A$504,$A60,'AFA Rates'!$B$5:$B$504,I$24)&gt;0,"✓",""))</f>
        <v/>
      </c>
      <c r="J60" s="57">
        <f>IF(OR($A60="",J$24=""),"",IF(COUNTIFS('AFA Rates'!$A$5:$A$504,$A60,'AFA Rates'!$B$5:$B$504,J$24)&gt;0,"✓",""))</f>
        <v/>
      </c>
      <c r="K60" s="57">
        <f>IF(OR($A60="",K$24=""),"",IF(COUNTIFS('AFA Rates'!$A$5:$A$504,$A60,'AFA Rates'!$B$5:$B$504,K$24)&gt;0,"✓",""))</f>
        <v/>
      </c>
      <c r="L60" s="57">
        <f>IF(OR($A60="",L$24=""),"",IF(COUNTIFS('AFA Rates'!$A$5:$A$504,$A60,'AFA Rates'!$B$5:$B$504,L$24)&gt;0,"✓",""))</f>
        <v/>
      </c>
      <c r="M60" s="57">
        <f>IF(OR($A60="",M$24=""),"",IF(COUNTIFS('AFA Rates'!$A$5:$A$504,$A60,'AFA Rates'!$B$5:$B$504,M$24)&gt;0,"✓",""))</f>
        <v/>
      </c>
    </row>
    <row r="61">
      <c r="A61" s="63">
        <f>IFERROR(INDEX(Firms!$A$5:$A$504,MATCH(37,Firms!$S$5:$S$504,0)),"")</f>
        <v/>
      </c>
      <c r="B61" s="57">
        <f>IF($A61="","",INDEX(Firms!$B$5:$B$504,MATCH(37,Firms!$S$5:$S$504,0)))</f>
        <v/>
      </c>
      <c r="C61" s="57">
        <f>IF($A61="","",COUNTIF('AFA Rates'!$A$5:$A$504,$A61))</f>
        <v/>
      </c>
      <c r="D61" s="57">
        <f>IF(OR($A61="",D$24=""),"",IF(COUNTIFS('AFA Rates'!$A$5:$A$504,$A61,'AFA Rates'!$B$5:$B$504,D$24)&gt;0,"✓",""))</f>
        <v/>
      </c>
      <c r="E61" s="57">
        <f>IF(OR($A61="",E$24=""),"",IF(COUNTIFS('AFA Rates'!$A$5:$A$504,$A61,'AFA Rates'!$B$5:$B$504,E$24)&gt;0,"✓",""))</f>
        <v/>
      </c>
      <c r="F61" s="57">
        <f>IF(OR($A61="",F$24=""),"",IF(COUNTIFS('AFA Rates'!$A$5:$A$504,$A61,'AFA Rates'!$B$5:$B$504,F$24)&gt;0,"✓",""))</f>
        <v/>
      </c>
      <c r="G61" s="57">
        <f>IF(OR($A61="",G$24=""),"",IF(COUNTIFS('AFA Rates'!$A$5:$A$504,$A61,'AFA Rates'!$B$5:$B$504,G$24)&gt;0,"✓",""))</f>
        <v/>
      </c>
      <c r="H61" s="57">
        <f>IF(OR($A61="",H$24=""),"",IF(COUNTIFS('AFA Rates'!$A$5:$A$504,$A61,'AFA Rates'!$B$5:$B$504,H$24)&gt;0,"✓",""))</f>
        <v/>
      </c>
      <c r="I61" s="57">
        <f>IF(OR($A61="",I$24=""),"",IF(COUNTIFS('AFA Rates'!$A$5:$A$504,$A61,'AFA Rates'!$B$5:$B$504,I$24)&gt;0,"✓",""))</f>
        <v/>
      </c>
      <c r="J61" s="57">
        <f>IF(OR($A61="",J$24=""),"",IF(COUNTIFS('AFA Rates'!$A$5:$A$504,$A61,'AFA Rates'!$B$5:$B$504,J$24)&gt;0,"✓",""))</f>
        <v/>
      </c>
      <c r="K61" s="57">
        <f>IF(OR($A61="",K$24=""),"",IF(COUNTIFS('AFA Rates'!$A$5:$A$504,$A61,'AFA Rates'!$B$5:$B$504,K$24)&gt;0,"✓",""))</f>
        <v/>
      </c>
      <c r="L61" s="57">
        <f>IF(OR($A61="",L$24=""),"",IF(COUNTIFS('AFA Rates'!$A$5:$A$504,$A61,'AFA Rates'!$B$5:$B$504,L$24)&gt;0,"✓",""))</f>
        <v/>
      </c>
      <c r="M61" s="57">
        <f>IF(OR($A61="",M$24=""),"",IF(COUNTIFS('AFA Rates'!$A$5:$A$504,$A61,'AFA Rates'!$B$5:$B$504,M$24)&gt;0,"✓",""))</f>
        <v/>
      </c>
    </row>
    <row r="62">
      <c r="A62" s="63">
        <f>IFERROR(INDEX(Firms!$A$5:$A$504,MATCH(38,Firms!$S$5:$S$504,0)),"")</f>
        <v/>
      </c>
      <c r="B62" s="57">
        <f>IF($A62="","",INDEX(Firms!$B$5:$B$504,MATCH(38,Firms!$S$5:$S$504,0)))</f>
        <v/>
      </c>
      <c r="C62" s="57">
        <f>IF($A62="","",COUNTIF('AFA Rates'!$A$5:$A$504,$A62))</f>
        <v/>
      </c>
      <c r="D62" s="57">
        <f>IF(OR($A62="",D$24=""),"",IF(COUNTIFS('AFA Rates'!$A$5:$A$504,$A62,'AFA Rates'!$B$5:$B$504,D$24)&gt;0,"✓",""))</f>
        <v/>
      </c>
      <c r="E62" s="57">
        <f>IF(OR($A62="",E$24=""),"",IF(COUNTIFS('AFA Rates'!$A$5:$A$504,$A62,'AFA Rates'!$B$5:$B$504,E$24)&gt;0,"✓",""))</f>
        <v/>
      </c>
      <c r="F62" s="57">
        <f>IF(OR($A62="",F$24=""),"",IF(COUNTIFS('AFA Rates'!$A$5:$A$504,$A62,'AFA Rates'!$B$5:$B$504,F$24)&gt;0,"✓",""))</f>
        <v/>
      </c>
      <c r="G62" s="57">
        <f>IF(OR($A62="",G$24=""),"",IF(COUNTIFS('AFA Rates'!$A$5:$A$504,$A62,'AFA Rates'!$B$5:$B$504,G$24)&gt;0,"✓",""))</f>
        <v/>
      </c>
      <c r="H62" s="57">
        <f>IF(OR($A62="",H$24=""),"",IF(COUNTIFS('AFA Rates'!$A$5:$A$504,$A62,'AFA Rates'!$B$5:$B$504,H$24)&gt;0,"✓",""))</f>
        <v/>
      </c>
      <c r="I62" s="57">
        <f>IF(OR($A62="",I$24=""),"",IF(COUNTIFS('AFA Rates'!$A$5:$A$504,$A62,'AFA Rates'!$B$5:$B$504,I$24)&gt;0,"✓",""))</f>
        <v/>
      </c>
      <c r="J62" s="57">
        <f>IF(OR($A62="",J$24=""),"",IF(COUNTIFS('AFA Rates'!$A$5:$A$504,$A62,'AFA Rates'!$B$5:$B$504,J$24)&gt;0,"✓",""))</f>
        <v/>
      </c>
      <c r="K62" s="57">
        <f>IF(OR($A62="",K$24=""),"",IF(COUNTIFS('AFA Rates'!$A$5:$A$504,$A62,'AFA Rates'!$B$5:$B$504,K$24)&gt;0,"✓",""))</f>
        <v/>
      </c>
      <c r="L62" s="57">
        <f>IF(OR($A62="",L$24=""),"",IF(COUNTIFS('AFA Rates'!$A$5:$A$504,$A62,'AFA Rates'!$B$5:$B$504,L$24)&gt;0,"✓",""))</f>
        <v/>
      </c>
      <c r="M62" s="57">
        <f>IF(OR($A62="",M$24=""),"",IF(COUNTIFS('AFA Rates'!$A$5:$A$504,$A62,'AFA Rates'!$B$5:$B$504,M$24)&gt;0,"✓",""))</f>
        <v/>
      </c>
    </row>
    <row r="63">
      <c r="A63" s="63">
        <f>IFERROR(INDEX(Firms!$A$5:$A$504,MATCH(39,Firms!$S$5:$S$504,0)),"")</f>
        <v/>
      </c>
      <c r="B63" s="57">
        <f>IF($A63="","",INDEX(Firms!$B$5:$B$504,MATCH(39,Firms!$S$5:$S$504,0)))</f>
        <v/>
      </c>
      <c r="C63" s="57">
        <f>IF($A63="","",COUNTIF('AFA Rates'!$A$5:$A$504,$A63))</f>
        <v/>
      </c>
      <c r="D63" s="57">
        <f>IF(OR($A63="",D$24=""),"",IF(COUNTIFS('AFA Rates'!$A$5:$A$504,$A63,'AFA Rates'!$B$5:$B$504,D$24)&gt;0,"✓",""))</f>
        <v/>
      </c>
      <c r="E63" s="57">
        <f>IF(OR($A63="",E$24=""),"",IF(COUNTIFS('AFA Rates'!$A$5:$A$504,$A63,'AFA Rates'!$B$5:$B$504,E$24)&gt;0,"✓",""))</f>
        <v/>
      </c>
      <c r="F63" s="57">
        <f>IF(OR($A63="",F$24=""),"",IF(COUNTIFS('AFA Rates'!$A$5:$A$504,$A63,'AFA Rates'!$B$5:$B$504,F$24)&gt;0,"✓",""))</f>
        <v/>
      </c>
      <c r="G63" s="57">
        <f>IF(OR($A63="",G$24=""),"",IF(COUNTIFS('AFA Rates'!$A$5:$A$504,$A63,'AFA Rates'!$B$5:$B$504,G$24)&gt;0,"✓",""))</f>
        <v/>
      </c>
      <c r="H63" s="57">
        <f>IF(OR($A63="",H$24=""),"",IF(COUNTIFS('AFA Rates'!$A$5:$A$504,$A63,'AFA Rates'!$B$5:$B$504,H$24)&gt;0,"✓",""))</f>
        <v/>
      </c>
      <c r="I63" s="57">
        <f>IF(OR($A63="",I$24=""),"",IF(COUNTIFS('AFA Rates'!$A$5:$A$504,$A63,'AFA Rates'!$B$5:$B$504,I$24)&gt;0,"✓",""))</f>
        <v/>
      </c>
      <c r="J63" s="57">
        <f>IF(OR($A63="",J$24=""),"",IF(COUNTIFS('AFA Rates'!$A$5:$A$504,$A63,'AFA Rates'!$B$5:$B$504,J$24)&gt;0,"✓",""))</f>
        <v/>
      </c>
      <c r="K63" s="57">
        <f>IF(OR($A63="",K$24=""),"",IF(COUNTIFS('AFA Rates'!$A$5:$A$504,$A63,'AFA Rates'!$B$5:$B$504,K$24)&gt;0,"✓",""))</f>
        <v/>
      </c>
      <c r="L63" s="57">
        <f>IF(OR($A63="",L$24=""),"",IF(COUNTIFS('AFA Rates'!$A$5:$A$504,$A63,'AFA Rates'!$B$5:$B$504,L$24)&gt;0,"✓",""))</f>
        <v/>
      </c>
      <c r="M63" s="57">
        <f>IF(OR($A63="",M$24=""),"",IF(COUNTIFS('AFA Rates'!$A$5:$A$504,$A63,'AFA Rates'!$B$5:$B$504,M$24)&gt;0,"✓",""))</f>
        <v/>
      </c>
    </row>
    <row r="64">
      <c r="A64" s="63">
        <f>IFERROR(INDEX(Firms!$A$5:$A$504,MATCH(40,Firms!$S$5:$S$504,0)),"")</f>
        <v/>
      </c>
      <c r="B64" s="57">
        <f>IF($A64="","",INDEX(Firms!$B$5:$B$504,MATCH(40,Firms!$S$5:$S$504,0)))</f>
        <v/>
      </c>
      <c r="C64" s="57">
        <f>IF($A64="","",COUNTIF('AFA Rates'!$A$5:$A$504,$A64))</f>
        <v/>
      </c>
      <c r="D64" s="57">
        <f>IF(OR($A64="",D$24=""),"",IF(COUNTIFS('AFA Rates'!$A$5:$A$504,$A64,'AFA Rates'!$B$5:$B$504,D$24)&gt;0,"✓",""))</f>
        <v/>
      </c>
      <c r="E64" s="57">
        <f>IF(OR($A64="",E$24=""),"",IF(COUNTIFS('AFA Rates'!$A$5:$A$504,$A64,'AFA Rates'!$B$5:$B$504,E$24)&gt;0,"✓",""))</f>
        <v/>
      </c>
      <c r="F64" s="57">
        <f>IF(OR($A64="",F$24=""),"",IF(COUNTIFS('AFA Rates'!$A$5:$A$504,$A64,'AFA Rates'!$B$5:$B$504,F$24)&gt;0,"✓",""))</f>
        <v/>
      </c>
      <c r="G64" s="57">
        <f>IF(OR($A64="",G$24=""),"",IF(COUNTIFS('AFA Rates'!$A$5:$A$504,$A64,'AFA Rates'!$B$5:$B$504,G$24)&gt;0,"✓",""))</f>
        <v/>
      </c>
      <c r="H64" s="57">
        <f>IF(OR($A64="",H$24=""),"",IF(COUNTIFS('AFA Rates'!$A$5:$A$504,$A64,'AFA Rates'!$B$5:$B$504,H$24)&gt;0,"✓",""))</f>
        <v/>
      </c>
      <c r="I64" s="57">
        <f>IF(OR($A64="",I$24=""),"",IF(COUNTIFS('AFA Rates'!$A$5:$A$504,$A64,'AFA Rates'!$B$5:$B$504,I$24)&gt;0,"✓",""))</f>
        <v/>
      </c>
      <c r="J64" s="57">
        <f>IF(OR($A64="",J$24=""),"",IF(COUNTIFS('AFA Rates'!$A$5:$A$504,$A64,'AFA Rates'!$B$5:$B$504,J$24)&gt;0,"✓",""))</f>
        <v/>
      </c>
      <c r="K64" s="57">
        <f>IF(OR($A64="",K$24=""),"",IF(COUNTIFS('AFA Rates'!$A$5:$A$504,$A64,'AFA Rates'!$B$5:$B$504,K$24)&gt;0,"✓",""))</f>
        <v/>
      </c>
      <c r="L64" s="57">
        <f>IF(OR($A64="",L$24=""),"",IF(COUNTIFS('AFA Rates'!$A$5:$A$504,$A64,'AFA Rates'!$B$5:$B$504,L$24)&gt;0,"✓",""))</f>
        <v/>
      </c>
      <c r="M64" s="57">
        <f>IF(OR($A64="",M$24=""),"",IF(COUNTIFS('AFA Rates'!$A$5:$A$504,$A64,'AFA Rates'!$B$5:$B$504,M$24)&gt;0,"✓",""))</f>
        <v/>
      </c>
    </row>
    <row r="65">
      <c r="A65" s="63">
        <f>IFERROR(INDEX(Firms!$A$5:$A$504,MATCH(41,Firms!$S$5:$S$504,0)),"")</f>
        <v/>
      </c>
      <c r="B65" s="57">
        <f>IF($A65="","",INDEX(Firms!$B$5:$B$504,MATCH(41,Firms!$S$5:$S$504,0)))</f>
        <v/>
      </c>
      <c r="C65" s="57">
        <f>IF($A65="","",COUNTIF('AFA Rates'!$A$5:$A$504,$A65))</f>
        <v/>
      </c>
      <c r="D65" s="57">
        <f>IF(OR($A65="",D$24=""),"",IF(COUNTIFS('AFA Rates'!$A$5:$A$504,$A65,'AFA Rates'!$B$5:$B$504,D$24)&gt;0,"✓",""))</f>
        <v/>
      </c>
      <c r="E65" s="57">
        <f>IF(OR($A65="",E$24=""),"",IF(COUNTIFS('AFA Rates'!$A$5:$A$504,$A65,'AFA Rates'!$B$5:$B$504,E$24)&gt;0,"✓",""))</f>
        <v/>
      </c>
      <c r="F65" s="57">
        <f>IF(OR($A65="",F$24=""),"",IF(COUNTIFS('AFA Rates'!$A$5:$A$504,$A65,'AFA Rates'!$B$5:$B$504,F$24)&gt;0,"✓",""))</f>
        <v/>
      </c>
      <c r="G65" s="57">
        <f>IF(OR($A65="",G$24=""),"",IF(COUNTIFS('AFA Rates'!$A$5:$A$504,$A65,'AFA Rates'!$B$5:$B$504,G$24)&gt;0,"✓",""))</f>
        <v/>
      </c>
      <c r="H65" s="57">
        <f>IF(OR($A65="",H$24=""),"",IF(COUNTIFS('AFA Rates'!$A$5:$A$504,$A65,'AFA Rates'!$B$5:$B$504,H$24)&gt;0,"✓",""))</f>
        <v/>
      </c>
      <c r="I65" s="57">
        <f>IF(OR($A65="",I$24=""),"",IF(COUNTIFS('AFA Rates'!$A$5:$A$504,$A65,'AFA Rates'!$B$5:$B$504,I$24)&gt;0,"✓",""))</f>
        <v/>
      </c>
      <c r="J65" s="57">
        <f>IF(OR($A65="",J$24=""),"",IF(COUNTIFS('AFA Rates'!$A$5:$A$504,$A65,'AFA Rates'!$B$5:$B$504,J$24)&gt;0,"✓",""))</f>
        <v/>
      </c>
      <c r="K65" s="57">
        <f>IF(OR($A65="",K$24=""),"",IF(COUNTIFS('AFA Rates'!$A$5:$A$504,$A65,'AFA Rates'!$B$5:$B$504,K$24)&gt;0,"✓",""))</f>
        <v/>
      </c>
      <c r="L65" s="57">
        <f>IF(OR($A65="",L$24=""),"",IF(COUNTIFS('AFA Rates'!$A$5:$A$504,$A65,'AFA Rates'!$B$5:$B$504,L$24)&gt;0,"✓",""))</f>
        <v/>
      </c>
      <c r="M65" s="57">
        <f>IF(OR($A65="",M$24=""),"",IF(COUNTIFS('AFA Rates'!$A$5:$A$504,$A65,'AFA Rates'!$B$5:$B$504,M$24)&gt;0,"✓",""))</f>
        <v/>
      </c>
    </row>
    <row r="66">
      <c r="A66" s="63">
        <f>IFERROR(INDEX(Firms!$A$5:$A$504,MATCH(42,Firms!$S$5:$S$504,0)),"")</f>
        <v/>
      </c>
      <c r="B66" s="57">
        <f>IF($A66="","",INDEX(Firms!$B$5:$B$504,MATCH(42,Firms!$S$5:$S$504,0)))</f>
        <v/>
      </c>
      <c r="C66" s="57">
        <f>IF($A66="","",COUNTIF('AFA Rates'!$A$5:$A$504,$A66))</f>
        <v/>
      </c>
      <c r="D66" s="57">
        <f>IF(OR($A66="",D$24=""),"",IF(COUNTIFS('AFA Rates'!$A$5:$A$504,$A66,'AFA Rates'!$B$5:$B$504,D$24)&gt;0,"✓",""))</f>
        <v/>
      </c>
      <c r="E66" s="57">
        <f>IF(OR($A66="",E$24=""),"",IF(COUNTIFS('AFA Rates'!$A$5:$A$504,$A66,'AFA Rates'!$B$5:$B$504,E$24)&gt;0,"✓",""))</f>
        <v/>
      </c>
      <c r="F66" s="57">
        <f>IF(OR($A66="",F$24=""),"",IF(COUNTIFS('AFA Rates'!$A$5:$A$504,$A66,'AFA Rates'!$B$5:$B$504,F$24)&gt;0,"✓",""))</f>
        <v/>
      </c>
      <c r="G66" s="57">
        <f>IF(OR($A66="",G$24=""),"",IF(COUNTIFS('AFA Rates'!$A$5:$A$504,$A66,'AFA Rates'!$B$5:$B$504,G$24)&gt;0,"✓",""))</f>
        <v/>
      </c>
      <c r="H66" s="57">
        <f>IF(OR($A66="",H$24=""),"",IF(COUNTIFS('AFA Rates'!$A$5:$A$504,$A66,'AFA Rates'!$B$5:$B$504,H$24)&gt;0,"✓",""))</f>
        <v/>
      </c>
      <c r="I66" s="57">
        <f>IF(OR($A66="",I$24=""),"",IF(COUNTIFS('AFA Rates'!$A$5:$A$504,$A66,'AFA Rates'!$B$5:$B$504,I$24)&gt;0,"✓",""))</f>
        <v/>
      </c>
      <c r="J66" s="57">
        <f>IF(OR($A66="",J$24=""),"",IF(COUNTIFS('AFA Rates'!$A$5:$A$504,$A66,'AFA Rates'!$B$5:$B$504,J$24)&gt;0,"✓",""))</f>
        <v/>
      </c>
      <c r="K66" s="57">
        <f>IF(OR($A66="",K$24=""),"",IF(COUNTIFS('AFA Rates'!$A$5:$A$504,$A66,'AFA Rates'!$B$5:$B$504,K$24)&gt;0,"✓",""))</f>
        <v/>
      </c>
      <c r="L66" s="57">
        <f>IF(OR($A66="",L$24=""),"",IF(COUNTIFS('AFA Rates'!$A$5:$A$504,$A66,'AFA Rates'!$B$5:$B$504,L$24)&gt;0,"✓",""))</f>
        <v/>
      </c>
      <c r="M66" s="57">
        <f>IF(OR($A66="",M$24=""),"",IF(COUNTIFS('AFA Rates'!$A$5:$A$504,$A66,'AFA Rates'!$B$5:$B$504,M$24)&gt;0,"✓",""))</f>
        <v/>
      </c>
    </row>
    <row r="67">
      <c r="A67" s="63">
        <f>IFERROR(INDEX(Firms!$A$5:$A$504,MATCH(43,Firms!$S$5:$S$504,0)),"")</f>
        <v/>
      </c>
      <c r="B67" s="57">
        <f>IF($A67="","",INDEX(Firms!$B$5:$B$504,MATCH(43,Firms!$S$5:$S$504,0)))</f>
        <v/>
      </c>
      <c r="C67" s="57">
        <f>IF($A67="","",COUNTIF('AFA Rates'!$A$5:$A$504,$A67))</f>
        <v/>
      </c>
      <c r="D67" s="57">
        <f>IF(OR($A67="",D$24=""),"",IF(COUNTIFS('AFA Rates'!$A$5:$A$504,$A67,'AFA Rates'!$B$5:$B$504,D$24)&gt;0,"✓",""))</f>
        <v/>
      </c>
      <c r="E67" s="57">
        <f>IF(OR($A67="",E$24=""),"",IF(COUNTIFS('AFA Rates'!$A$5:$A$504,$A67,'AFA Rates'!$B$5:$B$504,E$24)&gt;0,"✓",""))</f>
        <v/>
      </c>
      <c r="F67" s="57">
        <f>IF(OR($A67="",F$24=""),"",IF(COUNTIFS('AFA Rates'!$A$5:$A$504,$A67,'AFA Rates'!$B$5:$B$504,F$24)&gt;0,"✓",""))</f>
        <v/>
      </c>
      <c r="G67" s="57">
        <f>IF(OR($A67="",G$24=""),"",IF(COUNTIFS('AFA Rates'!$A$5:$A$504,$A67,'AFA Rates'!$B$5:$B$504,G$24)&gt;0,"✓",""))</f>
        <v/>
      </c>
      <c r="H67" s="57">
        <f>IF(OR($A67="",H$24=""),"",IF(COUNTIFS('AFA Rates'!$A$5:$A$504,$A67,'AFA Rates'!$B$5:$B$504,H$24)&gt;0,"✓",""))</f>
        <v/>
      </c>
      <c r="I67" s="57">
        <f>IF(OR($A67="",I$24=""),"",IF(COUNTIFS('AFA Rates'!$A$5:$A$504,$A67,'AFA Rates'!$B$5:$B$504,I$24)&gt;0,"✓",""))</f>
        <v/>
      </c>
      <c r="J67" s="57">
        <f>IF(OR($A67="",J$24=""),"",IF(COUNTIFS('AFA Rates'!$A$5:$A$504,$A67,'AFA Rates'!$B$5:$B$504,J$24)&gt;0,"✓",""))</f>
        <v/>
      </c>
      <c r="K67" s="57">
        <f>IF(OR($A67="",K$24=""),"",IF(COUNTIFS('AFA Rates'!$A$5:$A$504,$A67,'AFA Rates'!$B$5:$B$504,K$24)&gt;0,"✓",""))</f>
        <v/>
      </c>
      <c r="L67" s="57">
        <f>IF(OR($A67="",L$24=""),"",IF(COUNTIFS('AFA Rates'!$A$5:$A$504,$A67,'AFA Rates'!$B$5:$B$504,L$24)&gt;0,"✓",""))</f>
        <v/>
      </c>
      <c r="M67" s="57">
        <f>IF(OR($A67="",M$24=""),"",IF(COUNTIFS('AFA Rates'!$A$5:$A$504,$A67,'AFA Rates'!$B$5:$B$504,M$24)&gt;0,"✓",""))</f>
        <v/>
      </c>
    </row>
    <row r="68">
      <c r="A68" s="63">
        <f>IFERROR(INDEX(Firms!$A$5:$A$504,MATCH(44,Firms!$S$5:$S$504,0)),"")</f>
        <v/>
      </c>
      <c r="B68" s="57">
        <f>IF($A68="","",INDEX(Firms!$B$5:$B$504,MATCH(44,Firms!$S$5:$S$504,0)))</f>
        <v/>
      </c>
      <c r="C68" s="57">
        <f>IF($A68="","",COUNTIF('AFA Rates'!$A$5:$A$504,$A68))</f>
        <v/>
      </c>
      <c r="D68" s="57">
        <f>IF(OR($A68="",D$24=""),"",IF(COUNTIFS('AFA Rates'!$A$5:$A$504,$A68,'AFA Rates'!$B$5:$B$504,D$24)&gt;0,"✓",""))</f>
        <v/>
      </c>
      <c r="E68" s="57">
        <f>IF(OR($A68="",E$24=""),"",IF(COUNTIFS('AFA Rates'!$A$5:$A$504,$A68,'AFA Rates'!$B$5:$B$504,E$24)&gt;0,"✓",""))</f>
        <v/>
      </c>
      <c r="F68" s="57">
        <f>IF(OR($A68="",F$24=""),"",IF(COUNTIFS('AFA Rates'!$A$5:$A$504,$A68,'AFA Rates'!$B$5:$B$504,F$24)&gt;0,"✓",""))</f>
        <v/>
      </c>
      <c r="G68" s="57">
        <f>IF(OR($A68="",G$24=""),"",IF(COUNTIFS('AFA Rates'!$A$5:$A$504,$A68,'AFA Rates'!$B$5:$B$504,G$24)&gt;0,"✓",""))</f>
        <v/>
      </c>
      <c r="H68" s="57">
        <f>IF(OR($A68="",H$24=""),"",IF(COUNTIFS('AFA Rates'!$A$5:$A$504,$A68,'AFA Rates'!$B$5:$B$504,H$24)&gt;0,"✓",""))</f>
        <v/>
      </c>
      <c r="I68" s="57">
        <f>IF(OR($A68="",I$24=""),"",IF(COUNTIFS('AFA Rates'!$A$5:$A$504,$A68,'AFA Rates'!$B$5:$B$504,I$24)&gt;0,"✓",""))</f>
        <v/>
      </c>
      <c r="J68" s="57">
        <f>IF(OR($A68="",J$24=""),"",IF(COUNTIFS('AFA Rates'!$A$5:$A$504,$A68,'AFA Rates'!$B$5:$B$504,J$24)&gt;0,"✓",""))</f>
        <v/>
      </c>
      <c r="K68" s="57">
        <f>IF(OR($A68="",K$24=""),"",IF(COUNTIFS('AFA Rates'!$A$5:$A$504,$A68,'AFA Rates'!$B$5:$B$504,K$24)&gt;0,"✓",""))</f>
        <v/>
      </c>
      <c r="L68" s="57">
        <f>IF(OR($A68="",L$24=""),"",IF(COUNTIFS('AFA Rates'!$A$5:$A$504,$A68,'AFA Rates'!$B$5:$B$504,L$24)&gt;0,"✓",""))</f>
        <v/>
      </c>
      <c r="M68" s="57">
        <f>IF(OR($A68="",M$24=""),"",IF(COUNTIFS('AFA Rates'!$A$5:$A$504,$A68,'AFA Rates'!$B$5:$B$504,M$24)&gt;0,"✓",""))</f>
        <v/>
      </c>
    </row>
    <row r="69">
      <c r="A69" s="63">
        <f>IFERROR(INDEX(Firms!$A$5:$A$504,MATCH(45,Firms!$S$5:$S$504,0)),"")</f>
        <v/>
      </c>
      <c r="B69" s="57">
        <f>IF($A69="","",INDEX(Firms!$B$5:$B$504,MATCH(45,Firms!$S$5:$S$504,0)))</f>
        <v/>
      </c>
      <c r="C69" s="57">
        <f>IF($A69="","",COUNTIF('AFA Rates'!$A$5:$A$504,$A69))</f>
        <v/>
      </c>
      <c r="D69" s="57">
        <f>IF(OR($A69="",D$24=""),"",IF(COUNTIFS('AFA Rates'!$A$5:$A$504,$A69,'AFA Rates'!$B$5:$B$504,D$24)&gt;0,"✓",""))</f>
        <v/>
      </c>
      <c r="E69" s="57">
        <f>IF(OR($A69="",E$24=""),"",IF(COUNTIFS('AFA Rates'!$A$5:$A$504,$A69,'AFA Rates'!$B$5:$B$504,E$24)&gt;0,"✓",""))</f>
        <v/>
      </c>
      <c r="F69" s="57">
        <f>IF(OR($A69="",F$24=""),"",IF(COUNTIFS('AFA Rates'!$A$5:$A$504,$A69,'AFA Rates'!$B$5:$B$504,F$24)&gt;0,"✓",""))</f>
        <v/>
      </c>
      <c r="G69" s="57">
        <f>IF(OR($A69="",G$24=""),"",IF(COUNTIFS('AFA Rates'!$A$5:$A$504,$A69,'AFA Rates'!$B$5:$B$504,G$24)&gt;0,"✓",""))</f>
        <v/>
      </c>
      <c r="H69" s="57">
        <f>IF(OR($A69="",H$24=""),"",IF(COUNTIFS('AFA Rates'!$A$5:$A$504,$A69,'AFA Rates'!$B$5:$B$504,H$24)&gt;0,"✓",""))</f>
        <v/>
      </c>
      <c r="I69" s="57">
        <f>IF(OR($A69="",I$24=""),"",IF(COUNTIFS('AFA Rates'!$A$5:$A$504,$A69,'AFA Rates'!$B$5:$B$504,I$24)&gt;0,"✓",""))</f>
        <v/>
      </c>
      <c r="J69" s="57">
        <f>IF(OR($A69="",J$24=""),"",IF(COUNTIFS('AFA Rates'!$A$5:$A$504,$A69,'AFA Rates'!$B$5:$B$504,J$24)&gt;0,"✓",""))</f>
        <v/>
      </c>
      <c r="K69" s="57">
        <f>IF(OR($A69="",K$24=""),"",IF(COUNTIFS('AFA Rates'!$A$5:$A$504,$A69,'AFA Rates'!$B$5:$B$504,K$24)&gt;0,"✓",""))</f>
        <v/>
      </c>
      <c r="L69" s="57">
        <f>IF(OR($A69="",L$24=""),"",IF(COUNTIFS('AFA Rates'!$A$5:$A$504,$A69,'AFA Rates'!$B$5:$B$504,L$24)&gt;0,"✓",""))</f>
        <v/>
      </c>
      <c r="M69" s="57">
        <f>IF(OR($A69="",M$24=""),"",IF(COUNTIFS('AFA Rates'!$A$5:$A$504,$A69,'AFA Rates'!$B$5:$B$504,M$24)&gt;0,"✓",""))</f>
        <v/>
      </c>
    </row>
    <row r="70">
      <c r="A70" s="63">
        <f>IFERROR(INDEX(Firms!$A$5:$A$504,MATCH(46,Firms!$S$5:$S$504,0)),"")</f>
        <v/>
      </c>
      <c r="B70" s="57">
        <f>IF($A70="","",INDEX(Firms!$B$5:$B$504,MATCH(46,Firms!$S$5:$S$504,0)))</f>
        <v/>
      </c>
      <c r="C70" s="57">
        <f>IF($A70="","",COUNTIF('AFA Rates'!$A$5:$A$504,$A70))</f>
        <v/>
      </c>
      <c r="D70" s="57">
        <f>IF(OR($A70="",D$24=""),"",IF(COUNTIFS('AFA Rates'!$A$5:$A$504,$A70,'AFA Rates'!$B$5:$B$504,D$24)&gt;0,"✓",""))</f>
        <v/>
      </c>
      <c r="E70" s="57">
        <f>IF(OR($A70="",E$24=""),"",IF(COUNTIFS('AFA Rates'!$A$5:$A$504,$A70,'AFA Rates'!$B$5:$B$504,E$24)&gt;0,"✓",""))</f>
        <v/>
      </c>
      <c r="F70" s="57">
        <f>IF(OR($A70="",F$24=""),"",IF(COUNTIFS('AFA Rates'!$A$5:$A$504,$A70,'AFA Rates'!$B$5:$B$504,F$24)&gt;0,"✓",""))</f>
        <v/>
      </c>
      <c r="G70" s="57">
        <f>IF(OR($A70="",G$24=""),"",IF(COUNTIFS('AFA Rates'!$A$5:$A$504,$A70,'AFA Rates'!$B$5:$B$504,G$24)&gt;0,"✓",""))</f>
        <v/>
      </c>
      <c r="H70" s="57">
        <f>IF(OR($A70="",H$24=""),"",IF(COUNTIFS('AFA Rates'!$A$5:$A$504,$A70,'AFA Rates'!$B$5:$B$504,H$24)&gt;0,"✓",""))</f>
        <v/>
      </c>
      <c r="I70" s="57">
        <f>IF(OR($A70="",I$24=""),"",IF(COUNTIFS('AFA Rates'!$A$5:$A$504,$A70,'AFA Rates'!$B$5:$B$504,I$24)&gt;0,"✓",""))</f>
        <v/>
      </c>
      <c r="J70" s="57">
        <f>IF(OR($A70="",J$24=""),"",IF(COUNTIFS('AFA Rates'!$A$5:$A$504,$A70,'AFA Rates'!$B$5:$B$504,J$24)&gt;0,"✓",""))</f>
        <v/>
      </c>
      <c r="K70" s="57">
        <f>IF(OR($A70="",K$24=""),"",IF(COUNTIFS('AFA Rates'!$A$5:$A$504,$A70,'AFA Rates'!$B$5:$B$504,K$24)&gt;0,"✓",""))</f>
        <v/>
      </c>
      <c r="L70" s="57">
        <f>IF(OR($A70="",L$24=""),"",IF(COUNTIFS('AFA Rates'!$A$5:$A$504,$A70,'AFA Rates'!$B$5:$B$504,L$24)&gt;0,"✓",""))</f>
        <v/>
      </c>
      <c r="M70" s="57">
        <f>IF(OR($A70="",M$24=""),"",IF(COUNTIFS('AFA Rates'!$A$5:$A$504,$A70,'AFA Rates'!$B$5:$B$504,M$24)&gt;0,"✓",""))</f>
        <v/>
      </c>
    </row>
    <row r="71">
      <c r="A71" s="63">
        <f>IFERROR(INDEX(Firms!$A$5:$A$504,MATCH(47,Firms!$S$5:$S$504,0)),"")</f>
        <v/>
      </c>
      <c r="B71" s="57">
        <f>IF($A71="","",INDEX(Firms!$B$5:$B$504,MATCH(47,Firms!$S$5:$S$504,0)))</f>
        <v/>
      </c>
      <c r="C71" s="57">
        <f>IF($A71="","",COUNTIF('AFA Rates'!$A$5:$A$504,$A71))</f>
        <v/>
      </c>
      <c r="D71" s="57">
        <f>IF(OR($A71="",D$24=""),"",IF(COUNTIFS('AFA Rates'!$A$5:$A$504,$A71,'AFA Rates'!$B$5:$B$504,D$24)&gt;0,"✓",""))</f>
        <v/>
      </c>
      <c r="E71" s="57">
        <f>IF(OR($A71="",E$24=""),"",IF(COUNTIFS('AFA Rates'!$A$5:$A$504,$A71,'AFA Rates'!$B$5:$B$504,E$24)&gt;0,"✓",""))</f>
        <v/>
      </c>
      <c r="F71" s="57">
        <f>IF(OR($A71="",F$24=""),"",IF(COUNTIFS('AFA Rates'!$A$5:$A$504,$A71,'AFA Rates'!$B$5:$B$504,F$24)&gt;0,"✓",""))</f>
        <v/>
      </c>
      <c r="G71" s="57">
        <f>IF(OR($A71="",G$24=""),"",IF(COUNTIFS('AFA Rates'!$A$5:$A$504,$A71,'AFA Rates'!$B$5:$B$504,G$24)&gt;0,"✓",""))</f>
        <v/>
      </c>
      <c r="H71" s="57">
        <f>IF(OR($A71="",H$24=""),"",IF(COUNTIFS('AFA Rates'!$A$5:$A$504,$A71,'AFA Rates'!$B$5:$B$504,H$24)&gt;0,"✓",""))</f>
        <v/>
      </c>
      <c r="I71" s="57">
        <f>IF(OR($A71="",I$24=""),"",IF(COUNTIFS('AFA Rates'!$A$5:$A$504,$A71,'AFA Rates'!$B$5:$B$504,I$24)&gt;0,"✓",""))</f>
        <v/>
      </c>
      <c r="J71" s="57">
        <f>IF(OR($A71="",J$24=""),"",IF(COUNTIFS('AFA Rates'!$A$5:$A$504,$A71,'AFA Rates'!$B$5:$B$504,J$24)&gt;0,"✓",""))</f>
        <v/>
      </c>
      <c r="K71" s="57">
        <f>IF(OR($A71="",K$24=""),"",IF(COUNTIFS('AFA Rates'!$A$5:$A$504,$A71,'AFA Rates'!$B$5:$B$504,K$24)&gt;0,"✓",""))</f>
        <v/>
      </c>
      <c r="L71" s="57">
        <f>IF(OR($A71="",L$24=""),"",IF(COUNTIFS('AFA Rates'!$A$5:$A$504,$A71,'AFA Rates'!$B$5:$B$504,L$24)&gt;0,"✓",""))</f>
        <v/>
      </c>
      <c r="M71" s="57">
        <f>IF(OR($A71="",M$24=""),"",IF(COUNTIFS('AFA Rates'!$A$5:$A$504,$A71,'AFA Rates'!$B$5:$B$504,M$24)&gt;0,"✓",""))</f>
        <v/>
      </c>
    </row>
    <row r="72">
      <c r="A72" s="63">
        <f>IFERROR(INDEX(Firms!$A$5:$A$504,MATCH(48,Firms!$S$5:$S$504,0)),"")</f>
        <v/>
      </c>
      <c r="B72" s="57">
        <f>IF($A72="","",INDEX(Firms!$B$5:$B$504,MATCH(48,Firms!$S$5:$S$504,0)))</f>
        <v/>
      </c>
      <c r="C72" s="57">
        <f>IF($A72="","",COUNTIF('AFA Rates'!$A$5:$A$504,$A72))</f>
        <v/>
      </c>
      <c r="D72" s="57">
        <f>IF(OR($A72="",D$24=""),"",IF(COUNTIFS('AFA Rates'!$A$5:$A$504,$A72,'AFA Rates'!$B$5:$B$504,D$24)&gt;0,"✓",""))</f>
        <v/>
      </c>
      <c r="E72" s="57">
        <f>IF(OR($A72="",E$24=""),"",IF(COUNTIFS('AFA Rates'!$A$5:$A$504,$A72,'AFA Rates'!$B$5:$B$504,E$24)&gt;0,"✓",""))</f>
        <v/>
      </c>
      <c r="F72" s="57">
        <f>IF(OR($A72="",F$24=""),"",IF(COUNTIFS('AFA Rates'!$A$5:$A$504,$A72,'AFA Rates'!$B$5:$B$504,F$24)&gt;0,"✓",""))</f>
        <v/>
      </c>
      <c r="G72" s="57">
        <f>IF(OR($A72="",G$24=""),"",IF(COUNTIFS('AFA Rates'!$A$5:$A$504,$A72,'AFA Rates'!$B$5:$B$504,G$24)&gt;0,"✓",""))</f>
        <v/>
      </c>
      <c r="H72" s="57">
        <f>IF(OR($A72="",H$24=""),"",IF(COUNTIFS('AFA Rates'!$A$5:$A$504,$A72,'AFA Rates'!$B$5:$B$504,H$24)&gt;0,"✓",""))</f>
        <v/>
      </c>
      <c r="I72" s="57">
        <f>IF(OR($A72="",I$24=""),"",IF(COUNTIFS('AFA Rates'!$A$5:$A$504,$A72,'AFA Rates'!$B$5:$B$504,I$24)&gt;0,"✓",""))</f>
        <v/>
      </c>
      <c r="J72" s="57">
        <f>IF(OR($A72="",J$24=""),"",IF(COUNTIFS('AFA Rates'!$A$5:$A$504,$A72,'AFA Rates'!$B$5:$B$504,J$24)&gt;0,"✓",""))</f>
        <v/>
      </c>
      <c r="K72" s="57">
        <f>IF(OR($A72="",K$24=""),"",IF(COUNTIFS('AFA Rates'!$A$5:$A$504,$A72,'AFA Rates'!$B$5:$B$504,K$24)&gt;0,"✓",""))</f>
        <v/>
      </c>
      <c r="L72" s="57">
        <f>IF(OR($A72="",L$24=""),"",IF(COUNTIFS('AFA Rates'!$A$5:$A$504,$A72,'AFA Rates'!$B$5:$B$504,L$24)&gt;0,"✓",""))</f>
        <v/>
      </c>
      <c r="M72" s="57">
        <f>IF(OR($A72="",M$24=""),"",IF(COUNTIFS('AFA Rates'!$A$5:$A$504,$A72,'AFA Rates'!$B$5:$B$504,M$24)&gt;0,"✓",""))</f>
        <v/>
      </c>
    </row>
    <row r="73">
      <c r="A73" s="63">
        <f>IFERROR(INDEX(Firms!$A$5:$A$504,MATCH(49,Firms!$S$5:$S$504,0)),"")</f>
        <v/>
      </c>
      <c r="B73" s="57">
        <f>IF($A73="","",INDEX(Firms!$B$5:$B$504,MATCH(49,Firms!$S$5:$S$504,0)))</f>
        <v/>
      </c>
      <c r="C73" s="57">
        <f>IF($A73="","",COUNTIF('AFA Rates'!$A$5:$A$504,$A73))</f>
        <v/>
      </c>
      <c r="D73" s="57">
        <f>IF(OR($A73="",D$24=""),"",IF(COUNTIFS('AFA Rates'!$A$5:$A$504,$A73,'AFA Rates'!$B$5:$B$504,D$24)&gt;0,"✓",""))</f>
        <v/>
      </c>
      <c r="E73" s="57">
        <f>IF(OR($A73="",E$24=""),"",IF(COUNTIFS('AFA Rates'!$A$5:$A$504,$A73,'AFA Rates'!$B$5:$B$504,E$24)&gt;0,"✓",""))</f>
        <v/>
      </c>
      <c r="F73" s="57">
        <f>IF(OR($A73="",F$24=""),"",IF(COUNTIFS('AFA Rates'!$A$5:$A$504,$A73,'AFA Rates'!$B$5:$B$504,F$24)&gt;0,"✓",""))</f>
        <v/>
      </c>
      <c r="G73" s="57">
        <f>IF(OR($A73="",G$24=""),"",IF(COUNTIFS('AFA Rates'!$A$5:$A$504,$A73,'AFA Rates'!$B$5:$B$504,G$24)&gt;0,"✓",""))</f>
        <v/>
      </c>
      <c r="H73" s="57">
        <f>IF(OR($A73="",H$24=""),"",IF(COUNTIFS('AFA Rates'!$A$5:$A$504,$A73,'AFA Rates'!$B$5:$B$504,H$24)&gt;0,"✓",""))</f>
        <v/>
      </c>
      <c r="I73" s="57">
        <f>IF(OR($A73="",I$24=""),"",IF(COUNTIFS('AFA Rates'!$A$5:$A$504,$A73,'AFA Rates'!$B$5:$B$504,I$24)&gt;0,"✓",""))</f>
        <v/>
      </c>
      <c r="J73" s="57">
        <f>IF(OR($A73="",J$24=""),"",IF(COUNTIFS('AFA Rates'!$A$5:$A$504,$A73,'AFA Rates'!$B$5:$B$504,J$24)&gt;0,"✓",""))</f>
        <v/>
      </c>
      <c r="K73" s="57">
        <f>IF(OR($A73="",K$24=""),"",IF(COUNTIFS('AFA Rates'!$A$5:$A$504,$A73,'AFA Rates'!$B$5:$B$504,K$24)&gt;0,"✓",""))</f>
        <v/>
      </c>
      <c r="L73" s="57">
        <f>IF(OR($A73="",L$24=""),"",IF(COUNTIFS('AFA Rates'!$A$5:$A$504,$A73,'AFA Rates'!$B$5:$B$504,L$24)&gt;0,"✓",""))</f>
        <v/>
      </c>
      <c r="M73" s="57">
        <f>IF(OR($A73="",M$24=""),"",IF(COUNTIFS('AFA Rates'!$A$5:$A$504,$A73,'AFA Rates'!$B$5:$B$504,M$24)&gt;0,"✓",""))</f>
        <v/>
      </c>
    </row>
    <row r="74">
      <c r="A74" s="63">
        <f>IFERROR(INDEX(Firms!$A$5:$A$504,MATCH(50,Firms!$S$5:$S$504,0)),"")</f>
        <v/>
      </c>
      <c r="B74" s="57">
        <f>IF($A74="","",INDEX(Firms!$B$5:$B$504,MATCH(50,Firms!$S$5:$S$504,0)))</f>
        <v/>
      </c>
      <c r="C74" s="57">
        <f>IF($A74="","",COUNTIF('AFA Rates'!$A$5:$A$504,$A74))</f>
        <v/>
      </c>
      <c r="D74" s="57">
        <f>IF(OR($A74="",D$24=""),"",IF(COUNTIFS('AFA Rates'!$A$5:$A$504,$A74,'AFA Rates'!$B$5:$B$504,D$24)&gt;0,"✓",""))</f>
        <v/>
      </c>
      <c r="E74" s="57">
        <f>IF(OR($A74="",E$24=""),"",IF(COUNTIFS('AFA Rates'!$A$5:$A$504,$A74,'AFA Rates'!$B$5:$B$504,E$24)&gt;0,"✓",""))</f>
        <v/>
      </c>
      <c r="F74" s="57">
        <f>IF(OR($A74="",F$24=""),"",IF(COUNTIFS('AFA Rates'!$A$5:$A$504,$A74,'AFA Rates'!$B$5:$B$504,F$24)&gt;0,"✓",""))</f>
        <v/>
      </c>
      <c r="G74" s="57">
        <f>IF(OR($A74="",G$24=""),"",IF(COUNTIFS('AFA Rates'!$A$5:$A$504,$A74,'AFA Rates'!$B$5:$B$504,G$24)&gt;0,"✓",""))</f>
        <v/>
      </c>
      <c r="H74" s="57">
        <f>IF(OR($A74="",H$24=""),"",IF(COUNTIFS('AFA Rates'!$A$5:$A$504,$A74,'AFA Rates'!$B$5:$B$504,H$24)&gt;0,"✓",""))</f>
        <v/>
      </c>
      <c r="I74" s="57">
        <f>IF(OR($A74="",I$24=""),"",IF(COUNTIFS('AFA Rates'!$A$5:$A$504,$A74,'AFA Rates'!$B$5:$B$504,I$24)&gt;0,"✓",""))</f>
        <v/>
      </c>
      <c r="J74" s="57">
        <f>IF(OR($A74="",J$24=""),"",IF(COUNTIFS('AFA Rates'!$A$5:$A$504,$A74,'AFA Rates'!$B$5:$B$504,J$24)&gt;0,"✓",""))</f>
        <v/>
      </c>
      <c r="K74" s="57">
        <f>IF(OR($A74="",K$24=""),"",IF(COUNTIFS('AFA Rates'!$A$5:$A$504,$A74,'AFA Rates'!$B$5:$B$504,K$24)&gt;0,"✓",""))</f>
        <v/>
      </c>
      <c r="L74" s="57">
        <f>IF(OR($A74="",L$24=""),"",IF(COUNTIFS('AFA Rates'!$A$5:$A$504,$A74,'AFA Rates'!$B$5:$B$504,L$24)&gt;0,"✓",""))</f>
        <v/>
      </c>
      <c r="M74" s="57">
        <f>IF(OR($A74="",M$24=""),"",IF(COUNTIFS('AFA Rates'!$A$5:$A$504,$A74,'AFA Rates'!$B$5:$B$504,M$24)&gt;0,"✓",""))</f>
        <v/>
      </c>
    </row>
    <row r="75">
      <c r="A75" s="63">
        <f>IFERROR(INDEX(Firms!$A$5:$A$504,MATCH(51,Firms!$S$5:$S$504,0)),"")</f>
        <v/>
      </c>
      <c r="B75" s="57">
        <f>IF($A75="","",INDEX(Firms!$B$5:$B$504,MATCH(51,Firms!$S$5:$S$504,0)))</f>
        <v/>
      </c>
      <c r="C75" s="57">
        <f>IF($A75="","",COUNTIF('AFA Rates'!$A$5:$A$504,$A75))</f>
        <v/>
      </c>
      <c r="D75" s="57">
        <f>IF(OR($A75="",D$24=""),"",IF(COUNTIFS('AFA Rates'!$A$5:$A$504,$A75,'AFA Rates'!$B$5:$B$504,D$24)&gt;0,"✓",""))</f>
        <v/>
      </c>
      <c r="E75" s="57">
        <f>IF(OR($A75="",E$24=""),"",IF(COUNTIFS('AFA Rates'!$A$5:$A$504,$A75,'AFA Rates'!$B$5:$B$504,E$24)&gt;0,"✓",""))</f>
        <v/>
      </c>
      <c r="F75" s="57">
        <f>IF(OR($A75="",F$24=""),"",IF(COUNTIFS('AFA Rates'!$A$5:$A$504,$A75,'AFA Rates'!$B$5:$B$504,F$24)&gt;0,"✓",""))</f>
        <v/>
      </c>
      <c r="G75" s="57">
        <f>IF(OR($A75="",G$24=""),"",IF(COUNTIFS('AFA Rates'!$A$5:$A$504,$A75,'AFA Rates'!$B$5:$B$504,G$24)&gt;0,"✓",""))</f>
        <v/>
      </c>
      <c r="H75" s="57">
        <f>IF(OR($A75="",H$24=""),"",IF(COUNTIFS('AFA Rates'!$A$5:$A$504,$A75,'AFA Rates'!$B$5:$B$504,H$24)&gt;0,"✓",""))</f>
        <v/>
      </c>
      <c r="I75" s="57">
        <f>IF(OR($A75="",I$24=""),"",IF(COUNTIFS('AFA Rates'!$A$5:$A$504,$A75,'AFA Rates'!$B$5:$B$504,I$24)&gt;0,"✓",""))</f>
        <v/>
      </c>
      <c r="J75" s="57">
        <f>IF(OR($A75="",J$24=""),"",IF(COUNTIFS('AFA Rates'!$A$5:$A$504,$A75,'AFA Rates'!$B$5:$B$504,J$24)&gt;0,"✓",""))</f>
        <v/>
      </c>
      <c r="K75" s="57">
        <f>IF(OR($A75="",K$24=""),"",IF(COUNTIFS('AFA Rates'!$A$5:$A$504,$A75,'AFA Rates'!$B$5:$B$504,K$24)&gt;0,"✓",""))</f>
        <v/>
      </c>
      <c r="L75" s="57">
        <f>IF(OR($A75="",L$24=""),"",IF(COUNTIFS('AFA Rates'!$A$5:$A$504,$A75,'AFA Rates'!$B$5:$B$504,L$24)&gt;0,"✓",""))</f>
        <v/>
      </c>
      <c r="M75" s="57">
        <f>IF(OR($A75="",M$24=""),"",IF(COUNTIFS('AFA Rates'!$A$5:$A$504,$A75,'AFA Rates'!$B$5:$B$504,M$24)&gt;0,"✓",""))</f>
        <v/>
      </c>
    </row>
    <row r="76">
      <c r="A76" s="63">
        <f>IFERROR(INDEX(Firms!$A$5:$A$504,MATCH(52,Firms!$S$5:$S$504,0)),"")</f>
        <v/>
      </c>
      <c r="B76" s="57">
        <f>IF($A76="","",INDEX(Firms!$B$5:$B$504,MATCH(52,Firms!$S$5:$S$504,0)))</f>
        <v/>
      </c>
      <c r="C76" s="57">
        <f>IF($A76="","",COUNTIF('AFA Rates'!$A$5:$A$504,$A76))</f>
        <v/>
      </c>
      <c r="D76" s="57">
        <f>IF(OR($A76="",D$24=""),"",IF(COUNTIFS('AFA Rates'!$A$5:$A$504,$A76,'AFA Rates'!$B$5:$B$504,D$24)&gt;0,"✓",""))</f>
        <v/>
      </c>
      <c r="E76" s="57">
        <f>IF(OR($A76="",E$24=""),"",IF(COUNTIFS('AFA Rates'!$A$5:$A$504,$A76,'AFA Rates'!$B$5:$B$504,E$24)&gt;0,"✓",""))</f>
        <v/>
      </c>
      <c r="F76" s="57">
        <f>IF(OR($A76="",F$24=""),"",IF(COUNTIFS('AFA Rates'!$A$5:$A$504,$A76,'AFA Rates'!$B$5:$B$504,F$24)&gt;0,"✓",""))</f>
        <v/>
      </c>
      <c r="G76" s="57">
        <f>IF(OR($A76="",G$24=""),"",IF(COUNTIFS('AFA Rates'!$A$5:$A$504,$A76,'AFA Rates'!$B$5:$B$504,G$24)&gt;0,"✓",""))</f>
        <v/>
      </c>
      <c r="H76" s="57">
        <f>IF(OR($A76="",H$24=""),"",IF(COUNTIFS('AFA Rates'!$A$5:$A$504,$A76,'AFA Rates'!$B$5:$B$504,H$24)&gt;0,"✓",""))</f>
        <v/>
      </c>
      <c r="I76" s="57">
        <f>IF(OR($A76="",I$24=""),"",IF(COUNTIFS('AFA Rates'!$A$5:$A$504,$A76,'AFA Rates'!$B$5:$B$504,I$24)&gt;0,"✓",""))</f>
        <v/>
      </c>
      <c r="J76" s="57">
        <f>IF(OR($A76="",J$24=""),"",IF(COUNTIFS('AFA Rates'!$A$5:$A$504,$A76,'AFA Rates'!$B$5:$B$504,J$24)&gt;0,"✓",""))</f>
        <v/>
      </c>
      <c r="K76" s="57">
        <f>IF(OR($A76="",K$24=""),"",IF(COUNTIFS('AFA Rates'!$A$5:$A$504,$A76,'AFA Rates'!$B$5:$B$504,K$24)&gt;0,"✓",""))</f>
        <v/>
      </c>
      <c r="L76" s="57">
        <f>IF(OR($A76="",L$24=""),"",IF(COUNTIFS('AFA Rates'!$A$5:$A$504,$A76,'AFA Rates'!$B$5:$B$504,L$24)&gt;0,"✓",""))</f>
        <v/>
      </c>
      <c r="M76" s="57">
        <f>IF(OR($A76="",M$24=""),"",IF(COUNTIFS('AFA Rates'!$A$5:$A$504,$A76,'AFA Rates'!$B$5:$B$504,M$24)&gt;0,"✓",""))</f>
        <v/>
      </c>
    </row>
    <row r="77">
      <c r="A77" s="63">
        <f>IFERROR(INDEX(Firms!$A$5:$A$504,MATCH(53,Firms!$S$5:$S$504,0)),"")</f>
        <v/>
      </c>
      <c r="B77" s="57">
        <f>IF($A77="","",INDEX(Firms!$B$5:$B$504,MATCH(53,Firms!$S$5:$S$504,0)))</f>
        <v/>
      </c>
      <c r="C77" s="57">
        <f>IF($A77="","",COUNTIF('AFA Rates'!$A$5:$A$504,$A77))</f>
        <v/>
      </c>
      <c r="D77" s="57">
        <f>IF(OR($A77="",D$24=""),"",IF(COUNTIFS('AFA Rates'!$A$5:$A$504,$A77,'AFA Rates'!$B$5:$B$504,D$24)&gt;0,"✓",""))</f>
        <v/>
      </c>
      <c r="E77" s="57">
        <f>IF(OR($A77="",E$24=""),"",IF(COUNTIFS('AFA Rates'!$A$5:$A$504,$A77,'AFA Rates'!$B$5:$B$504,E$24)&gt;0,"✓",""))</f>
        <v/>
      </c>
      <c r="F77" s="57">
        <f>IF(OR($A77="",F$24=""),"",IF(COUNTIFS('AFA Rates'!$A$5:$A$504,$A77,'AFA Rates'!$B$5:$B$504,F$24)&gt;0,"✓",""))</f>
        <v/>
      </c>
      <c r="G77" s="57">
        <f>IF(OR($A77="",G$24=""),"",IF(COUNTIFS('AFA Rates'!$A$5:$A$504,$A77,'AFA Rates'!$B$5:$B$504,G$24)&gt;0,"✓",""))</f>
        <v/>
      </c>
      <c r="H77" s="57">
        <f>IF(OR($A77="",H$24=""),"",IF(COUNTIFS('AFA Rates'!$A$5:$A$504,$A77,'AFA Rates'!$B$5:$B$504,H$24)&gt;0,"✓",""))</f>
        <v/>
      </c>
      <c r="I77" s="57">
        <f>IF(OR($A77="",I$24=""),"",IF(COUNTIFS('AFA Rates'!$A$5:$A$504,$A77,'AFA Rates'!$B$5:$B$504,I$24)&gt;0,"✓",""))</f>
        <v/>
      </c>
      <c r="J77" s="57">
        <f>IF(OR($A77="",J$24=""),"",IF(COUNTIFS('AFA Rates'!$A$5:$A$504,$A77,'AFA Rates'!$B$5:$B$504,J$24)&gt;0,"✓",""))</f>
        <v/>
      </c>
      <c r="K77" s="57">
        <f>IF(OR($A77="",K$24=""),"",IF(COUNTIFS('AFA Rates'!$A$5:$A$504,$A77,'AFA Rates'!$B$5:$B$504,K$24)&gt;0,"✓",""))</f>
        <v/>
      </c>
      <c r="L77" s="57">
        <f>IF(OR($A77="",L$24=""),"",IF(COUNTIFS('AFA Rates'!$A$5:$A$504,$A77,'AFA Rates'!$B$5:$B$504,L$24)&gt;0,"✓",""))</f>
        <v/>
      </c>
      <c r="M77" s="57">
        <f>IF(OR($A77="",M$24=""),"",IF(COUNTIFS('AFA Rates'!$A$5:$A$504,$A77,'AFA Rates'!$B$5:$B$504,M$24)&gt;0,"✓",""))</f>
        <v/>
      </c>
    </row>
    <row r="78">
      <c r="A78" s="63">
        <f>IFERROR(INDEX(Firms!$A$5:$A$504,MATCH(54,Firms!$S$5:$S$504,0)),"")</f>
        <v/>
      </c>
      <c r="B78" s="57">
        <f>IF($A78="","",INDEX(Firms!$B$5:$B$504,MATCH(54,Firms!$S$5:$S$504,0)))</f>
        <v/>
      </c>
      <c r="C78" s="57">
        <f>IF($A78="","",COUNTIF('AFA Rates'!$A$5:$A$504,$A78))</f>
        <v/>
      </c>
      <c r="D78" s="57">
        <f>IF(OR($A78="",D$24=""),"",IF(COUNTIFS('AFA Rates'!$A$5:$A$504,$A78,'AFA Rates'!$B$5:$B$504,D$24)&gt;0,"✓",""))</f>
        <v/>
      </c>
      <c r="E78" s="57">
        <f>IF(OR($A78="",E$24=""),"",IF(COUNTIFS('AFA Rates'!$A$5:$A$504,$A78,'AFA Rates'!$B$5:$B$504,E$24)&gt;0,"✓",""))</f>
        <v/>
      </c>
      <c r="F78" s="57">
        <f>IF(OR($A78="",F$24=""),"",IF(COUNTIFS('AFA Rates'!$A$5:$A$504,$A78,'AFA Rates'!$B$5:$B$504,F$24)&gt;0,"✓",""))</f>
        <v/>
      </c>
      <c r="G78" s="57">
        <f>IF(OR($A78="",G$24=""),"",IF(COUNTIFS('AFA Rates'!$A$5:$A$504,$A78,'AFA Rates'!$B$5:$B$504,G$24)&gt;0,"✓",""))</f>
        <v/>
      </c>
      <c r="H78" s="57">
        <f>IF(OR($A78="",H$24=""),"",IF(COUNTIFS('AFA Rates'!$A$5:$A$504,$A78,'AFA Rates'!$B$5:$B$504,H$24)&gt;0,"✓",""))</f>
        <v/>
      </c>
      <c r="I78" s="57">
        <f>IF(OR($A78="",I$24=""),"",IF(COUNTIFS('AFA Rates'!$A$5:$A$504,$A78,'AFA Rates'!$B$5:$B$504,I$24)&gt;0,"✓",""))</f>
        <v/>
      </c>
      <c r="J78" s="57">
        <f>IF(OR($A78="",J$24=""),"",IF(COUNTIFS('AFA Rates'!$A$5:$A$504,$A78,'AFA Rates'!$B$5:$B$504,J$24)&gt;0,"✓",""))</f>
        <v/>
      </c>
      <c r="K78" s="57">
        <f>IF(OR($A78="",K$24=""),"",IF(COUNTIFS('AFA Rates'!$A$5:$A$504,$A78,'AFA Rates'!$B$5:$B$504,K$24)&gt;0,"✓",""))</f>
        <v/>
      </c>
      <c r="L78" s="57">
        <f>IF(OR($A78="",L$24=""),"",IF(COUNTIFS('AFA Rates'!$A$5:$A$504,$A78,'AFA Rates'!$B$5:$B$504,L$24)&gt;0,"✓",""))</f>
        <v/>
      </c>
      <c r="M78" s="57">
        <f>IF(OR($A78="",M$24=""),"",IF(COUNTIFS('AFA Rates'!$A$5:$A$504,$A78,'AFA Rates'!$B$5:$B$504,M$24)&gt;0,"✓",""))</f>
        <v/>
      </c>
    </row>
    <row r="79">
      <c r="A79" s="63">
        <f>IFERROR(INDEX(Firms!$A$5:$A$504,MATCH(55,Firms!$S$5:$S$504,0)),"")</f>
        <v/>
      </c>
      <c r="B79" s="57">
        <f>IF($A79="","",INDEX(Firms!$B$5:$B$504,MATCH(55,Firms!$S$5:$S$504,0)))</f>
        <v/>
      </c>
      <c r="C79" s="57">
        <f>IF($A79="","",COUNTIF('AFA Rates'!$A$5:$A$504,$A79))</f>
        <v/>
      </c>
      <c r="D79" s="57">
        <f>IF(OR($A79="",D$24=""),"",IF(COUNTIFS('AFA Rates'!$A$5:$A$504,$A79,'AFA Rates'!$B$5:$B$504,D$24)&gt;0,"✓",""))</f>
        <v/>
      </c>
      <c r="E79" s="57">
        <f>IF(OR($A79="",E$24=""),"",IF(COUNTIFS('AFA Rates'!$A$5:$A$504,$A79,'AFA Rates'!$B$5:$B$504,E$24)&gt;0,"✓",""))</f>
        <v/>
      </c>
      <c r="F79" s="57">
        <f>IF(OR($A79="",F$24=""),"",IF(COUNTIFS('AFA Rates'!$A$5:$A$504,$A79,'AFA Rates'!$B$5:$B$504,F$24)&gt;0,"✓",""))</f>
        <v/>
      </c>
      <c r="G79" s="57">
        <f>IF(OR($A79="",G$24=""),"",IF(COUNTIFS('AFA Rates'!$A$5:$A$504,$A79,'AFA Rates'!$B$5:$B$504,G$24)&gt;0,"✓",""))</f>
        <v/>
      </c>
      <c r="H79" s="57">
        <f>IF(OR($A79="",H$24=""),"",IF(COUNTIFS('AFA Rates'!$A$5:$A$504,$A79,'AFA Rates'!$B$5:$B$504,H$24)&gt;0,"✓",""))</f>
        <v/>
      </c>
      <c r="I79" s="57">
        <f>IF(OR($A79="",I$24=""),"",IF(COUNTIFS('AFA Rates'!$A$5:$A$504,$A79,'AFA Rates'!$B$5:$B$504,I$24)&gt;0,"✓",""))</f>
        <v/>
      </c>
      <c r="J79" s="57">
        <f>IF(OR($A79="",J$24=""),"",IF(COUNTIFS('AFA Rates'!$A$5:$A$504,$A79,'AFA Rates'!$B$5:$B$504,J$24)&gt;0,"✓",""))</f>
        <v/>
      </c>
      <c r="K79" s="57">
        <f>IF(OR($A79="",K$24=""),"",IF(COUNTIFS('AFA Rates'!$A$5:$A$504,$A79,'AFA Rates'!$B$5:$B$504,K$24)&gt;0,"✓",""))</f>
        <v/>
      </c>
      <c r="L79" s="57">
        <f>IF(OR($A79="",L$24=""),"",IF(COUNTIFS('AFA Rates'!$A$5:$A$504,$A79,'AFA Rates'!$B$5:$B$504,L$24)&gt;0,"✓",""))</f>
        <v/>
      </c>
      <c r="M79" s="57">
        <f>IF(OR($A79="",M$24=""),"",IF(COUNTIFS('AFA Rates'!$A$5:$A$504,$A79,'AFA Rates'!$B$5:$B$504,M$24)&gt;0,"✓",""))</f>
        <v/>
      </c>
    </row>
    <row r="80">
      <c r="A80" s="63">
        <f>IFERROR(INDEX(Firms!$A$5:$A$504,MATCH(56,Firms!$S$5:$S$504,0)),"")</f>
        <v/>
      </c>
      <c r="B80" s="57">
        <f>IF($A80="","",INDEX(Firms!$B$5:$B$504,MATCH(56,Firms!$S$5:$S$504,0)))</f>
        <v/>
      </c>
      <c r="C80" s="57">
        <f>IF($A80="","",COUNTIF('AFA Rates'!$A$5:$A$504,$A80))</f>
        <v/>
      </c>
      <c r="D80" s="57">
        <f>IF(OR($A80="",D$24=""),"",IF(COUNTIFS('AFA Rates'!$A$5:$A$504,$A80,'AFA Rates'!$B$5:$B$504,D$24)&gt;0,"✓",""))</f>
        <v/>
      </c>
      <c r="E80" s="57">
        <f>IF(OR($A80="",E$24=""),"",IF(COUNTIFS('AFA Rates'!$A$5:$A$504,$A80,'AFA Rates'!$B$5:$B$504,E$24)&gt;0,"✓",""))</f>
        <v/>
      </c>
      <c r="F80" s="57">
        <f>IF(OR($A80="",F$24=""),"",IF(COUNTIFS('AFA Rates'!$A$5:$A$504,$A80,'AFA Rates'!$B$5:$B$504,F$24)&gt;0,"✓",""))</f>
        <v/>
      </c>
      <c r="G80" s="57">
        <f>IF(OR($A80="",G$24=""),"",IF(COUNTIFS('AFA Rates'!$A$5:$A$504,$A80,'AFA Rates'!$B$5:$B$504,G$24)&gt;0,"✓",""))</f>
        <v/>
      </c>
      <c r="H80" s="57">
        <f>IF(OR($A80="",H$24=""),"",IF(COUNTIFS('AFA Rates'!$A$5:$A$504,$A80,'AFA Rates'!$B$5:$B$504,H$24)&gt;0,"✓",""))</f>
        <v/>
      </c>
      <c r="I80" s="57">
        <f>IF(OR($A80="",I$24=""),"",IF(COUNTIFS('AFA Rates'!$A$5:$A$504,$A80,'AFA Rates'!$B$5:$B$504,I$24)&gt;0,"✓",""))</f>
        <v/>
      </c>
      <c r="J80" s="57">
        <f>IF(OR($A80="",J$24=""),"",IF(COUNTIFS('AFA Rates'!$A$5:$A$504,$A80,'AFA Rates'!$B$5:$B$504,J$24)&gt;0,"✓",""))</f>
        <v/>
      </c>
      <c r="K80" s="57">
        <f>IF(OR($A80="",K$24=""),"",IF(COUNTIFS('AFA Rates'!$A$5:$A$504,$A80,'AFA Rates'!$B$5:$B$504,K$24)&gt;0,"✓",""))</f>
        <v/>
      </c>
      <c r="L80" s="57">
        <f>IF(OR($A80="",L$24=""),"",IF(COUNTIFS('AFA Rates'!$A$5:$A$504,$A80,'AFA Rates'!$B$5:$B$504,L$24)&gt;0,"✓",""))</f>
        <v/>
      </c>
      <c r="M80" s="57">
        <f>IF(OR($A80="",M$24=""),"",IF(COUNTIFS('AFA Rates'!$A$5:$A$504,$A80,'AFA Rates'!$B$5:$B$504,M$24)&gt;0,"✓",""))</f>
        <v/>
      </c>
    </row>
    <row r="81">
      <c r="A81" s="63">
        <f>IFERROR(INDEX(Firms!$A$5:$A$504,MATCH(57,Firms!$S$5:$S$504,0)),"")</f>
        <v/>
      </c>
      <c r="B81" s="57">
        <f>IF($A81="","",INDEX(Firms!$B$5:$B$504,MATCH(57,Firms!$S$5:$S$504,0)))</f>
        <v/>
      </c>
      <c r="C81" s="57">
        <f>IF($A81="","",COUNTIF('AFA Rates'!$A$5:$A$504,$A81))</f>
        <v/>
      </c>
      <c r="D81" s="57">
        <f>IF(OR($A81="",D$24=""),"",IF(COUNTIFS('AFA Rates'!$A$5:$A$504,$A81,'AFA Rates'!$B$5:$B$504,D$24)&gt;0,"✓",""))</f>
        <v/>
      </c>
      <c r="E81" s="57">
        <f>IF(OR($A81="",E$24=""),"",IF(COUNTIFS('AFA Rates'!$A$5:$A$504,$A81,'AFA Rates'!$B$5:$B$504,E$24)&gt;0,"✓",""))</f>
        <v/>
      </c>
      <c r="F81" s="57">
        <f>IF(OR($A81="",F$24=""),"",IF(COUNTIFS('AFA Rates'!$A$5:$A$504,$A81,'AFA Rates'!$B$5:$B$504,F$24)&gt;0,"✓",""))</f>
        <v/>
      </c>
      <c r="G81" s="57">
        <f>IF(OR($A81="",G$24=""),"",IF(COUNTIFS('AFA Rates'!$A$5:$A$504,$A81,'AFA Rates'!$B$5:$B$504,G$24)&gt;0,"✓",""))</f>
        <v/>
      </c>
      <c r="H81" s="57">
        <f>IF(OR($A81="",H$24=""),"",IF(COUNTIFS('AFA Rates'!$A$5:$A$504,$A81,'AFA Rates'!$B$5:$B$504,H$24)&gt;0,"✓",""))</f>
        <v/>
      </c>
      <c r="I81" s="57">
        <f>IF(OR($A81="",I$24=""),"",IF(COUNTIFS('AFA Rates'!$A$5:$A$504,$A81,'AFA Rates'!$B$5:$B$504,I$24)&gt;0,"✓",""))</f>
        <v/>
      </c>
      <c r="J81" s="57">
        <f>IF(OR($A81="",J$24=""),"",IF(COUNTIFS('AFA Rates'!$A$5:$A$504,$A81,'AFA Rates'!$B$5:$B$504,J$24)&gt;0,"✓",""))</f>
        <v/>
      </c>
      <c r="K81" s="57">
        <f>IF(OR($A81="",K$24=""),"",IF(COUNTIFS('AFA Rates'!$A$5:$A$504,$A81,'AFA Rates'!$B$5:$B$504,K$24)&gt;0,"✓",""))</f>
        <v/>
      </c>
      <c r="L81" s="57">
        <f>IF(OR($A81="",L$24=""),"",IF(COUNTIFS('AFA Rates'!$A$5:$A$504,$A81,'AFA Rates'!$B$5:$B$504,L$24)&gt;0,"✓",""))</f>
        <v/>
      </c>
      <c r="M81" s="57">
        <f>IF(OR($A81="",M$24=""),"",IF(COUNTIFS('AFA Rates'!$A$5:$A$504,$A81,'AFA Rates'!$B$5:$B$504,M$24)&gt;0,"✓",""))</f>
        <v/>
      </c>
    </row>
    <row r="82">
      <c r="A82" s="63">
        <f>IFERROR(INDEX(Firms!$A$5:$A$504,MATCH(58,Firms!$S$5:$S$504,0)),"")</f>
        <v/>
      </c>
      <c r="B82" s="57">
        <f>IF($A82="","",INDEX(Firms!$B$5:$B$504,MATCH(58,Firms!$S$5:$S$504,0)))</f>
        <v/>
      </c>
      <c r="C82" s="57">
        <f>IF($A82="","",COUNTIF('AFA Rates'!$A$5:$A$504,$A82))</f>
        <v/>
      </c>
      <c r="D82" s="57">
        <f>IF(OR($A82="",D$24=""),"",IF(COUNTIFS('AFA Rates'!$A$5:$A$504,$A82,'AFA Rates'!$B$5:$B$504,D$24)&gt;0,"✓",""))</f>
        <v/>
      </c>
      <c r="E82" s="57">
        <f>IF(OR($A82="",E$24=""),"",IF(COUNTIFS('AFA Rates'!$A$5:$A$504,$A82,'AFA Rates'!$B$5:$B$504,E$24)&gt;0,"✓",""))</f>
        <v/>
      </c>
      <c r="F82" s="57">
        <f>IF(OR($A82="",F$24=""),"",IF(COUNTIFS('AFA Rates'!$A$5:$A$504,$A82,'AFA Rates'!$B$5:$B$504,F$24)&gt;0,"✓",""))</f>
        <v/>
      </c>
      <c r="G82" s="57">
        <f>IF(OR($A82="",G$24=""),"",IF(COUNTIFS('AFA Rates'!$A$5:$A$504,$A82,'AFA Rates'!$B$5:$B$504,G$24)&gt;0,"✓",""))</f>
        <v/>
      </c>
      <c r="H82" s="57">
        <f>IF(OR($A82="",H$24=""),"",IF(COUNTIFS('AFA Rates'!$A$5:$A$504,$A82,'AFA Rates'!$B$5:$B$504,H$24)&gt;0,"✓",""))</f>
        <v/>
      </c>
      <c r="I82" s="57">
        <f>IF(OR($A82="",I$24=""),"",IF(COUNTIFS('AFA Rates'!$A$5:$A$504,$A82,'AFA Rates'!$B$5:$B$504,I$24)&gt;0,"✓",""))</f>
        <v/>
      </c>
      <c r="J82" s="57">
        <f>IF(OR($A82="",J$24=""),"",IF(COUNTIFS('AFA Rates'!$A$5:$A$504,$A82,'AFA Rates'!$B$5:$B$504,J$24)&gt;0,"✓",""))</f>
        <v/>
      </c>
      <c r="K82" s="57">
        <f>IF(OR($A82="",K$24=""),"",IF(COUNTIFS('AFA Rates'!$A$5:$A$504,$A82,'AFA Rates'!$B$5:$B$504,K$24)&gt;0,"✓",""))</f>
        <v/>
      </c>
      <c r="L82" s="57">
        <f>IF(OR($A82="",L$24=""),"",IF(COUNTIFS('AFA Rates'!$A$5:$A$504,$A82,'AFA Rates'!$B$5:$B$504,L$24)&gt;0,"✓",""))</f>
        <v/>
      </c>
      <c r="M82" s="57">
        <f>IF(OR($A82="",M$24=""),"",IF(COUNTIFS('AFA Rates'!$A$5:$A$504,$A82,'AFA Rates'!$B$5:$B$504,M$24)&gt;0,"✓",""))</f>
        <v/>
      </c>
    </row>
    <row r="83">
      <c r="A83" s="63">
        <f>IFERROR(INDEX(Firms!$A$5:$A$504,MATCH(59,Firms!$S$5:$S$504,0)),"")</f>
        <v/>
      </c>
      <c r="B83" s="57">
        <f>IF($A83="","",INDEX(Firms!$B$5:$B$504,MATCH(59,Firms!$S$5:$S$504,0)))</f>
        <v/>
      </c>
      <c r="C83" s="57">
        <f>IF($A83="","",COUNTIF('AFA Rates'!$A$5:$A$504,$A83))</f>
        <v/>
      </c>
      <c r="D83" s="57">
        <f>IF(OR($A83="",D$24=""),"",IF(COUNTIFS('AFA Rates'!$A$5:$A$504,$A83,'AFA Rates'!$B$5:$B$504,D$24)&gt;0,"✓",""))</f>
        <v/>
      </c>
      <c r="E83" s="57">
        <f>IF(OR($A83="",E$24=""),"",IF(COUNTIFS('AFA Rates'!$A$5:$A$504,$A83,'AFA Rates'!$B$5:$B$504,E$24)&gt;0,"✓",""))</f>
        <v/>
      </c>
      <c r="F83" s="57">
        <f>IF(OR($A83="",F$24=""),"",IF(COUNTIFS('AFA Rates'!$A$5:$A$504,$A83,'AFA Rates'!$B$5:$B$504,F$24)&gt;0,"✓",""))</f>
        <v/>
      </c>
      <c r="G83" s="57">
        <f>IF(OR($A83="",G$24=""),"",IF(COUNTIFS('AFA Rates'!$A$5:$A$504,$A83,'AFA Rates'!$B$5:$B$504,G$24)&gt;0,"✓",""))</f>
        <v/>
      </c>
      <c r="H83" s="57">
        <f>IF(OR($A83="",H$24=""),"",IF(COUNTIFS('AFA Rates'!$A$5:$A$504,$A83,'AFA Rates'!$B$5:$B$504,H$24)&gt;0,"✓",""))</f>
        <v/>
      </c>
      <c r="I83" s="57">
        <f>IF(OR($A83="",I$24=""),"",IF(COUNTIFS('AFA Rates'!$A$5:$A$504,$A83,'AFA Rates'!$B$5:$B$504,I$24)&gt;0,"✓",""))</f>
        <v/>
      </c>
      <c r="J83" s="57">
        <f>IF(OR($A83="",J$24=""),"",IF(COUNTIFS('AFA Rates'!$A$5:$A$504,$A83,'AFA Rates'!$B$5:$B$504,J$24)&gt;0,"✓",""))</f>
        <v/>
      </c>
      <c r="K83" s="57">
        <f>IF(OR($A83="",K$24=""),"",IF(COUNTIFS('AFA Rates'!$A$5:$A$504,$A83,'AFA Rates'!$B$5:$B$504,K$24)&gt;0,"✓",""))</f>
        <v/>
      </c>
      <c r="L83" s="57">
        <f>IF(OR($A83="",L$24=""),"",IF(COUNTIFS('AFA Rates'!$A$5:$A$504,$A83,'AFA Rates'!$B$5:$B$504,L$24)&gt;0,"✓",""))</f>
        <v/>
      </c>
      <c r="M83" s="57">
        <f>IF(OR($A83="",M$24=""),"",IF(COUNTIFS('AFA Rates'!$A$5:$A$504,$A83,'AFA Rates'!$B$5:$B$504,M$24)&gt;0,"✓",""))</f>
        <v/>
      </c>
    </row>
    <row r="84">
      <c r="A84" s="63">
        <f>IFERROR(INDEX(Firms!$A$5:$A$504,MATCH(60,Firms!$S$5:$S$504,0)),"")</f>
        <v/>
      </c>
      <c r="B84" s="57">
        <f>IF($A84="","",INDEX(Firms!$B$5:$B$504,MATCH(60,Firms!$S$5:$S$504,0)))</f>
        <v/>
      </c>
      <c r="C84" s="57">
        <f>IF($A84="","",COUNTIF('AFA Rates'!$A$5:$A$504,$A84))</f>
        <v/>
      </c>
      <c r="D84" s="57">
        <f>IF(OR($A84="",D$24=""),"",IF(COUNTIFS('AFA Rates'!$A$5:$A$504,$A84,'AFA Rates'!$B$5:$B$504,D$24)&gt;0,"✓",""))</f>
        <v/>
      </c>
      <c r="E84" s="57">
        <f>IF(OR($A84="",E$24=""),"",IF(COUNTIFS('AFA Rates'!$A$5:$A$504,$A84,'AFA Rates'!$B$5:$B$504,E$24)&gt;0,"✓",""))</f>
        <v/>
      </c>
      <c r="F84" s="57">
        <f>IF(OR($A84="",F$24=""),"",IF(COUNTIFS('AFA Rates'!$A$5:$A$504,$A84,'AFA Rates'!$B$5:$B$504,F$24)&gt;0,"✓",""))</f>
        <v/>
      </c>
      <c r="G84" s="57">
        <f>IF(OR($A84="",G$24=""),"",IF(COUNTIFS('AFA Rates'!$A$5:$A$504,$A84,'AFA Rates'!$B$5:$B$504,G$24)&gt;0,"✓",""))</f>
        <v/>
      </c>
      <c r="H84" s="57">
        <f>IF(OR($A84="",H$24=""),"",IF(COUNTIFS('AFA Rates'!$A$5:$A$504,$A84,'AFA Rates'!$B$5:$B$504,H$24)&gt;0,"✓",""))</f>
        <v/>
      </c>
      <c r="I84" s="57">
        <f>IF(OR($A84="",I$24=""),"",IF(COUNTIFS('AFA Rates'!$A$5:$A$504,$A84,'AFA Rates'!$B$5:$B$504,I$24)&gt;0,"✓",""))</f>
        <v/>
      </c>
      <c r="J84" s="57">
        <f>IF(OR($A84="",J$24=""),"",IF(COUNTIFS('AFA Rates'!$A$5:$A$504,$A84,'AFA Rates'!$B$5:$B$504,J$24)&gt;0,"✓",""))</f>
        <v/>
      </c>
      <c r="K84" s="57">
        <f>IF(OR($A84="",K$24=""),"",IF(COUNTIFS('AFA Rates'!$A$5:$A$504,$A84,'AFA Rates'!$B$5:$B$504,K$24)&gt;0,"✓",""))</f>
        <v/>
      </c>
      <c r="L84" s="57">
        <f>IF(OR($A84="",L$24=""),"",IF(COUNTIFS('AFA Rates'!$A$5:$A$504,$A84,'AFA Rates'!$B$5:$B$504,L$24)&gt;0,"✓",""))</f>
        <v/>
      </c>
      <c r="M84" s="57">
        <f>IF(OR($A84="",M$24=""),"",IF(COUNTIFS('AFA Rates'!$A$5:$A$504,$A84,'AFA Rates'!$B$5:$B$504,M$24)&gt;0,"✓",""))</f>
        <v/>
      </c>
    </row>
    <row r="85">
      <c r="A85" s="63">
        <f>IFERROR(INDEX(Firms!$A$5:$A$504,MATCH(61,Firms!$S$5:$S$504,0)),"")</f>
        <v/>
      </c>
      <c r="B85" s="57">
        <f>IF($A85="","",INDEX(Firms!$B$5:$B$504,MATCH(61,Firms!$S$5:$S$504,0)))</f>
        <v/>
      </c>
      <c r="C85" s="57">
        <f>IF($A85="","",COUNTIF('AFA Rates'!$A$5:$A$504,$A85))</f>
        <v/>
      </c>
      <c r="D85" s="57">
        <f>IF(OR($A85="",D$24=""),"",IF(COUNTIFS('AFA Rates'!$A$5:$A$504,$A85,'AFA Rates'!$B$5:$B$504,D$24)&gt;0,"✓",""))</f>
        <v/>
      </c>
      <c r="E85" s="57">
        <f>IF(OR($A85="",E$24=""),"",IF(COUNTIFS('AFA Rates'!$A$5:$A$504,$A85,'AFA Rates'!$B$5:$B$504,E$24)&gt;0,"✓",""))</f>
        <v/>
      </c>
      <c r="F85" s="57">
        <f>IF(OR($A85="",F$24=""),"",IF(COUNTIFS('AFA Rates'!$A$5:$A$504,$A85,'AFA Rates'!$B$5:$B$504,F$24)&gt;0,"✓",""))</f>
        <v/>
      </c>
      <c r="G85" s="57">
        <f>IF(OR($A85="",G$24=""),"",IF(COUNTIFS('AFA Rates'!$A$5:$A$504,$A85,'AFA Rates'!$B$5:$B$504,G$24)&gt;0,"✓",""))</f>
        <v/>
      </c>
      <c r="H85" s="57">
        <f>IF(OR($A85="",H$24=""),"",IF(COUNTIFS('AFA Rates'!$A$5:$A$504,$A85,'AFA Rates'!$B$5:$B$504,H$24)&gt;0,"✓",""))</f>
        <v/>
      </c>
      <c r="I85" s="57">
        <f>IF(OR($A85="",I$24=""),"",IF(COUNTIFS('AFA Rates'!$A$5:$A$504,$A85,'AFA Rates'!$B$5:$B$504,I$24)&gt;0,"✓",""))</f>
        <v/>
      </c>
      <c r="J85" s="57">
        <f>IF(OR($A85="",J$24=""),"",IF(COUNTIFS('AFA Rates'!$A$5:$A$504,$A85,'AFA Rates'!$B$5:$B$504,J$24)&gt;0,"✓",""))</f>
        <v/>
      </c>
      <c r="K85" s="57">
        <f>IF(OR($A85="",K$24=""),"",IF(COUNTIFS('AFA Rates'!$A$5:$A$504,$A85,'AFA Rates'!$B$5:$B$504,K$24)&gt;0,"✓",""))</f>
        <v/>
      </c>
      <c r="L85" s="57">
        <f>IF(OR($A85="",L$24=""),"",IF(COUNTIFS('AFA Rates'!$A$5:$A$504,$A85,'AFA Rates'!$B$5:$B$504,L$24)&gt;0,"✓",""))</f>
        <v/>
      </c>
      <c r="M85" s="57">
        <f>IF(OR($A85="",M$24=""),"",IF(COUNTIFS('AFA Rates'!$A$5:$A$504,$A85,'AFA Rates'!$B$5:$B$504,M$24)&gt;0,"✓",""))</f>
        <v/>
      </c>
    </row>
    <row r="86">
      <c r="A86" s="63">
        <f>IFERROR(INDEX(Firms!$A$5:$A$504,MATCH(62,Firms!$S$5:$S$504,0)),"")</f>
        <v/>
      </c>
      <c r="B86" s="57">
        <f>IF($A86="","",INDEX(Firms!$B$5:$B$504,MATCH(62,Firms!$S$5:$S$504,0)))</f>
        <v/>
      </c>
      <c r="C86" s="57">
        <f>IF($A86="","",COUNTIF('AFA Rates'!$A$5:$A$504,$A86))</f>
        <v/>
      </c>
      <c r="D86" s="57">
        <f>IF(OR($A86="",D$24=""),"",IF(COUNTIFS('AFA Rates'!$A$5:$A$504,$A86,'AFA Rates'!$B$5:$B$504,D$24)&gt;0,"✓",""))</f>
        <v/>
      </c>
      <c r="E86" s="57">
        <f>IF(OR($A86="",E$24=""),"",IF(COUNTIFS('AFA Rates'!$A$5:$A$504,$A86,'AFA Rates'!$B$5:$B$504,E$24)&gt;0,"✓",""))</f>
        <v/>
      </c>
      <c r="F86" s="57">
        <f>IF(OR($A86="",F$24=""),"",IF(COUNTIFS('AFA Rates'!$A$5:$A$504,$A86,'AFA Rates'!$B$5:$B$504,F$24)&gt;0,"✓",""))</f>
        <v/>
      </c>
      <c r="G86" s="57">
        <f>IF(OR($A86="",G$24=""),"",IF(COUNTIFS('AFA Rates'!$A$5:$A$504,$A86,'AFA Rates'!$B$5:$B$504,G$24)&gt;0,"✓",""))</f>
        <v/>
      </c>
      <c r="H86" s="57">
        <f>IF(OR($A86="",H$24=""),"",IF(COUNTIFS('AFA Rates'!$A$5:$A$504,$A86,'AFA Rates'!$B$5:$B$504,H$24)&gt;0,"✓",""))</f>
        <v/>
      </c>
      <c r="I86" s="57">
        <f>IF(OR($A86="",I$24=""),"",IF(COUNTIFS('AFA Rates'!$A$5:$A$504,$A86,'AFA Rates'!$B$5:$B$504,I$24)&gt;0,"✓",""))</f>
        <v/>
      </c>
      <c r="J86" s="57">
        <f>IF(OR($A86="",J$24=""),"",IF(COUNTIFS('AFA Rates'!$A$5:$A$504,$A86,'AFA Rates'!$B$5:$B$504,J$24)&gt;0,"✓",""))</f>
        <v/>
      </c>
      <c r="K86" s="57">
        <f>IF(OR($A86="",K$24=""),"",IF(COUNTIFS('AFA Rates'!$A$5:$A$504,$A86,'AFA Rates'!$B$5:$B$504,K$24)&gt;0,"✓",""))</f>
        <v/>
      </c>
      <c r="L86" s="57">
        <f>IF(OR($A86="",L$24=""),"",IF(COUNTIFS('AFA Rates'!$A$5:$A$504,$A86,'AFA Rates'!$B$5:$B$504,L$24)&gt;0,"✓",""))</f>
        <v/>
      </c>
      <c r="M86" s="57">
        <f>IF(OR($A86="",M$24=""),"",IF(COUNTIFS('AFA Rates'!$A$5:$A$504,$A86,'AFA Rates'!$B$5:$B$504,M$24)&gt;0,"✓",""))</f>
        <v/>
      </c>
    </row>
    <row r="87">
      <c r="A87" s="63">
        <f>IFERROR(INDEX(Firms!$A$5:$A$504,MATCH(63,Firms!$S$5:$S$504,0)),"")</f>
        <v/>
      </c>
      <c r="B87" s="57">
        <f>IF($A87="","",INDEX(Firms!$B$5:$B$504,MATCH(63,Firms!$S$5:$S$504,0)))</f>
        <v/>
      </c>
      <c r="C87" s="57">
        <f>IF($A87="","",COUNTIF('AFA Rates'!$A$5:$A$504,$A87))</f>
        <v/>
      </c>
      <c r="D87" s="57">
        <f>IF(OR($A87="",D$24=""),"",IF(COUNTIFS('AFA Rates'!$A$5:$A$504,$A87,'AFA Rates'!$B$5:$B$504,D$24)&gt;0,"✓",""))</f>
        <v/>
      </c>
      <c r="E87" s="57">
        <f>IF(OR($A87="",E$24=""),"",IF(COUNTIFS('AFA Rates'!$A$5:$A$504,$A87,'AFA Rates'!$B$5:$B$504,E$24)&gt;0,"✓",""))</f>
        <v/>
      </c>
      <c r="F87" s="57">
        <f>IF(OR($A87="",F$24=""),"",IF(COUNTIFS('AFA Rates'!$A$5:$A$504,$A87,'AFA Rates'!$B$5:$B$504,F$24)&gt;0,"✓",""))</f>
        <v/>
      </c>
      <c r="G87" s="57">
        <f>IF(OR($A87="",G$24=""),"",IF(COUNTIFS('AFA Rates'!$A$5:$A$504,$A87,'AFA Rates'!$B$5:$B$504,G$24)&gt;0,"✓",""))</f>
        <v/>
      </c>
      <c r="H87" s="57">
        <f>IF(OR($A87="",H$24=""),"",IF(COUNTIFS('AFA Rates'!$A$5:$A$504,$A87,'AFA Rates'!$B$5:$B$504,H$24)&gt;0,"✓",""))</f>
        <v/>
      </c>
      <c r="I87" s="57">
        <f>IF(OR($A87="",I$24=""),"",IF(COUNTIFS('AFA Rates'!$A$5:$A$504,$A87,'AFA Rates'!$B$5:$B$504,I$24)&gt;0,"✓",""))</f>
        <v/>
      </c>
      <c r="J87" s="57">
        <f>IF(OR($A87="",J$24=""),"",IF(COUNTIFS('AFA Rates'!$A$5:$A$504,$A87,'AFA Rates'!$B$5:$B$504,J$24)&gt;0,"✓",""))</f>
        <v/>
      </c>
      <c r="K87" s="57">
        <f>IF(OR($A87="",K$24=""),"",IF(COUNTIFS('AFA Rates'!$A$5:$A$504,$A87,'AFA Rates'!$B$5:$B$504,K$24)&gt;0,"✓",""))</f>
        <v/>
      </c>
      <c r="L87" s="57">
        <f>IF(OR($A87="",L$24=""),"",IF(COUNTIFS('AFA Rates'!$A$5:$A$504,$A87,'AFA Rates'!$B$5:$B$504,L$24)&gt;0,"✓",""))</f>
        <v/>
      </c>
      <c r="M87" s="57">
        <f>IF(OR($A87="",M$24=""),"",IF(COUNTIFS('AFA Rates'!$A$5:$A$504,$A87,'AFA Rates'!$B$5:$B$504,M$24)&gt;0,"✓",""))</f>
        <v/>
      </c>
    </row>
    <row r="88">
      <c r="A88" s="63">
        <f>IFERROR(INDEX(Firms!$A$5:$A$504,MATCH(64,Firms!$S$5:$S$504,0)),"")</f>
        <v/>
      </c>
      <c r="B88" s="57">
        <f>IF($A88="","",INDEX(Firms!$B$5:$B$504,MATCH(64,Firms!$S$5:$S$504,0)))</f>
        <v/>
      </c>
      <c r="C88" s="57">
        <f>IF($A88="","",COUNTIF('AFA Rates'!$A$5:$A$504,$A88))</f>
        <v/>
      </c>
      <c r="D88" s="57">
        <f>IF(OR($A88="",D$24=""),"",IF(COUNTIFS('AFA Rates'!$A$5:$A$504,$A88,'AFA Rates'!$B$5:$B$504,D$24)&gt;0,"✓",""))</f>
        <v/>
      </c>
      <c r="E88" s="57">
        <f>IF(OR($A88="",E$24=""),"",IF(COUNTIFS('AFA Rates'!$A$5:$A$504,$A88,'AFA Rates'!$B$5:$B$504,E$24)&gt;0,"✓",""))</f>
        <v/>
      </c>
      <c r="F88" s="57">
        <f>IF(OR($A88="",F$24=""),"",IF(COUNTIFS('AFA Rates'!$A$5:$A$504,$A88,'AFA Rates'!$B$5:$B$504,F$24)&gt;0,"✓",""))</f>
        <v/>
      </c>
      <c r="G88" s="57">
        <f>IF(OR($A88="",G$24=""),"",IF(COUNTIFS('AFA Rates'!$A$5:$A$504,$A88,'AFA Rates'!$B$5:$B$504,G$24)&gt;0,"✓",""))</f>
        <v/>
      </c>
      <c r="H88" s="57">
        <f>IF(OR($A88="",H$24=""),"",IF(COUNTIFS('AFA Rates'!$A$5:$A$504,$A88,'AFA Rates'!$B$5:$B$504,H$24)&gt;0,"✓",""))</f>
        <v/>
      </c>
      <c r="I88" s="57">
        <f>IF(OR($A88="",I$24=""),"",IF(COUNTIFS('AFA Rates'!$A$5:$A$504,$A88,'AFA Rates'!$B$5:$B$504,I$24)&gt;0,"✓",""))</f>
        <v/>
      </c>
      <c r="J88" s="57">
        <f>IF(OR($A88="",J$24=""),"",IF(COUNTIFS('AFA Rates'!$A$5:$A$504,$A88,'AFA Rates'!$B$5:$B$504,J$24)&gt;0,"✓",""))</f>
        <v/>
      </c>
      <c r="K88" s="57">
        <f>IF(OR($A88="",K$24=""),"",IF(COUNTIFS('AFA Rates'!$A$5:$A$504,$A88,'AFA Rates'!$B$5:$B$504,K$24)&gt;0,"✓",""))</f>
        <v/>
      </c>
      <c r="L88" s="57">
        <f>IF(OR($A88="",L$24=""),"",IF(COUNTIFS('AFA Rates'!$A$5:$A$504,$A88,'AFA Rates'!$B$5:$B$504,L$24)&gt;0,"✓",""))</f>
        <v/>
      </c>
      <c r="M88" s="57">
        <f>IF(OR($A88="",M$24=""),"",IF(COUNTIFS('AFA Rates'!$A$5:$A$504,$A88,'AFA Rates'!$B$5:$B$504,M$24)&gt;0,"✓",""))</f>
        <v/>
      </c>
    </row>
    <row r="89">
      <c r="A89" s="63">
        <f>IFERROR(INDEX(Firms!$A$5:$A$504,MATCH(65,Firms!$S$5:$S$504,0)),"")</f>
        <v/>
      </c>
      <c r="B89" s="57">
        <f>IF($A89="","",INDEX(Firms!$B$5:$B$504,MATCH(65,Firms!$S$5:$S$504,0)))</f>
        <v/>
      </c>
      <c r="C89" s="57">
        <f>IF($A89="","",COUNTIF('AFA Rates'!$A$5:$A$504,$A89))</f>
        <v/>
      </c>
      <c r="D89" s="57">
        <f>IF(OR($A89="",D$24=""),"",IF(COUNTIFS('AFA Rates'!$A$5:$A$504,$A89,'AFA Rates'!$B$5:$B$504,D$24)&gt;0,"✓",""))</f>
        <v/>
      </c>
      <c r="E89" s="57">
        <f>IF(OR($A89="",E$24=""),"",IF(COUNTIFS('AFA Rates'!$A$5:$A$504,$A89,'AFA Rates'!$B$5:$B$504,E$24)&gt;0,"✓",""))</f>
        <v/>
      </c>
      <c r="F89" s="57">
        <f>IF(OR($A89="",F$24=""),"",IF(COUNTIFS('AFA Rates'!$A$5:$A$504,$A89,'AFA Rates'!$B$5:$B$504,F$24)&gt;0,"✓",""))</f>
        <v/>
      </c>
      <c r="G89" s="57">
        <f>IF(OR($A89="",G$24=""),"",IF(COUNTIFS('AFA Rates'!$A$5:$A$504,$A89,'AFA Rates'!$B$5:$B$504,G$24)&gt;0,"✓",""))</f>
        <v/>
      </c>
      <c r="H89" s="57">
        <f>IF(OR($A89="",H$24=""),"",IF(COUNTIFS('AFA Rates'!$A$5:$A$504,$A89,'AFA Rates'!$B$5:$B$504,H$24)&gt;0,"✓",""))</f>
        <v/>
      </c>
      <c r="I89" s="57">
        <f>IF(OR($A89="",I$24=""),"",IF(COUNTIFS('AFA Rates'!$A$5:$A$504,$A89,'AFA Rates'!$B$5:$B$504,I$24)&gt;0,"✓",""))</f>
        <v/>
      </c>
      <c r="J89" s="57">
        <f>IF(OR($A89="",J$24=""),"",IF(COUNTIFS('AFA Rates'!$A$5:$A$504,$A89,'AFA Rates'!$B$5:$B$504,J$24)&gt;0,"✓",""))</f>
        <v/>
      </c>
      <c r="K89" s="57">
        <f>IF(OR($A89="",K$24=""),"",IF(COUNTIFS('AFA Rates'!$A$5:$A$504,$A89,'AFA Rates'!$B$5:$B$504,K$24)&gt;0,"✓",""))</f>
        <v/>
      </c>
      <c r="L89" s="57">
        <f>IF(OR($A89="",L$24=""),"",IF(COUNTIFS('AFA Rates'!$A$5:$A$504,$A89,'AFA Rates'!$B$5:$B$504,L$24)&gt;0,"✓",""))</f>
        <v/>
      </c>
      <c r="M89" s="57">
        <f>IF(OR($A89="",M$24=""),"",IF(COUNTIFS('AFA Rates'!$A$5:$A$504,$A89,'AFA Rates'!$B$5:$B$504,M$24)&gt;0,"✓",""))</f>
        <v/>
      </c>
    </row>
    <row r="90">
      <c r="A90" s="63">
        <f>IFERROR(INDEX(Firms!$A$5:$A$504,MATCH(66,Firms!$S$5:$S$504,0)),"")</f>
        <v/>
      </c>
      <c r="B90" s="57">
        <f>IF($A90="","",INDEX(Firms!$B$5:$B$504,MATCH(66,Firms!$S$5:$S$504,0)))</f>
        <v/>
      </c>
      <c r="C90" s="57">
        <f>IF($A90="","",COUNTIF('AFA Rates'!$A$5:$A$504,$A90))</f>
        <v/>
      </c>
      <c r="D90" s="57">
        <f>IF(OR($A90="",D$24=""),"",IF(COUNTIFS('AFA Rates'!$A$5:$A$504,$A90,'AFA Rates'!$B$5:$B$504,D$24)&gt;0,"✓",""))</f>
        <v/>
      </c>
      <c r="E90" s="57">
        <f>IF(OR($A90="",E$24=""),"",IF(COUNTIFS('AFA Rates'!$A$5:$A$504,$A90,'AFA Rates'!$B$5:$B$504,E$24)&gt;0,"✓",""))</f>
        <v/>
      </c>
      <c r="F90" s="57">
        <f>IF(OR($A90="",F$24=""),"",IF(COUNTIFS('AFA Rates'!$A$5:$A$504,$A90,'AFA Rates'!$B$5:$B$504,F$24)&gt;0,"✓",""))</f>
        <v/>
      </c>
      <c r="G90" s="57">
        <f>IF(OR($A90="",G$24=""),"",IF(COUNTIFS('AFA Rates'!$A$5:$A$504,$A90,'AFA Rates'!$B$5:$B$504,G$24)&gt;0,"✓",""))</f>
        <v/>
      </c>
      <c r="H90" s="57">
        <f>IF(OR($A90="",H$24=""),"",IF(COUNTIFS('AFA Rates'!$A$5:$A$504,$A90,'AFA Rates'!$B$5:$B$504,H$24)&gt;0,"✓",""))</f>
        <v/>
      </c>
      <c r="I90" s="57">
        <f>IF(OR($A90="",I$24=""),"",IF(COUNTIFS('AFA Rates'!$A$5:$A$504,$A90,'AFA Rates'!$B$5:$B$504,I$24)&gt;0,"✓",""))</f>
        <v/>
      </c>
      <c r="J90" s="57">
        <f>IF(OR($A90="",J$24=""),"",IF(COUNTIFS('AFA Rates'!$A$5:$A$504,$A90,'AFA Rates'!$B$5:$B$504,J$24)&gt;0,"✓",""))</f>
        <v/>
      </c>
      <c r="K90" s="57">
        <f>IF(OR($A90="",K$24=""),"",IF(COUNTIFS('AFA Rates'!$A$5:$A$504,$A90,'AFA Rates'!$B$5:$B$504,K$24)&gt;0,"✓",""))</f>
        <v/>
      </c>
      <c r="L90" s="57">
        <f>IF(OR($A90="",L$24=""),"",IF(COUNTIFS('AFA Rates'!$A$5:$A$504,$A90,'AFA Rates'!$B$5:$B$504,L$24)&gt;0,"✓",""))</f>
        <v/>
      </c>
      <c r="M90" s="57">
        <f>IF(OR($A90="",M$24=""),"",IF(COUNTIFS('AFA Rates'!$A$5:$A$504,$A90,'AFA Rates'!$B$5:$B$504,M$24)&gt;0,"✓",""))</f>
        <v/>
      </c>
    </row>
    <row r="91">
      <c r="A91" s="63">
        <f>IFERROR(INDEX(Firms!$A$5:$A$504,MATCH(67,Firms!$S$5:$S$504,0)),"")</f>
        <v/>
      </c>
      <c r="B91" s="57">
        <f>IF($A91="","",INDEX(Firms!$B$5:$B$504,MATCH(67,Firms!$S$5:$S$504,0)))</f>
        <v/>
      </c>
      <c r="C91" s="57">
        <f>IF($A91="","",COUNTIF('AFA Rates'!$A$5:$A$504,$A91))</f>
        <v/>
      </c>
      <c r="D91" s="57">
        <f>IF(OR($A91="",D$24=""),"",IF(COUNTIFS('AFA Rates'!$A$5:$A$504,$A91,'AFA Rates'!$B$5:$B$504,D$24)&gt;0,"✓",""))</f>
        <v/>
      </c>
      <c r="E91" s="57">
        <f>IF(OR($A91="",E$24=""),"",IF(COUNTIFS('AFA Rates'!$A$5:$A$504,$A91,'AFA Rates'!$B$5:$B$504,E$24)&gt;0,"✓",""))</f>
        <v/>
      </c>
      <c r="F91" s="57">
        <f>IF(OR($A91="",F$24=""),"",IF(COUNTIFS('AFA Rates'!$A$5:$A$504,$A91,'AFA Rates'!$B$5:$B$504,F$24)&gt;0,"✓",""))</f>
        <v/>
      </c>
      <c r="G91" s="57">
        <f>IF(OR($A91="",G$24=""),"",IF(COUNTIFS('AFA Rates'!$A$5:$A$504,$A91,'AFA Rates'!$B$5:$B$504,G$24)&gt;0,"✓",""))</f>
        <v/>
      </c>
      <c r="H91" s="57">
        <f>IF(OR($A91="",H$24=""),"",IF(COUNTIFS('AFA Rates'!$A$5:$A$504,$A91,'AFA Rates'!$B$5:$B$504,H$24)&gt;0,"✓",""))</f>
        <v/>
      </c>
      <c r="I91" s="57">
        <f>IF(OR($A91="",I$24=""),"",IF(COUNTIFS('AFA Rates'!$A$5:$A$504,$A91,'AFA Rates'!$B$5:$B$504,I$24)&gt;0,"✓",""))</f>
        <v/>
      </c>
      <c r="J91" s="57">
        <f>IF(OR($A91="",J$24=""),"",IF(COUNTIFS('AFA Rates'!$A$5:$A$504,$A91,'AFA Rates'!$B$5:$B$504,J$24)&gt;0,"✓",""))</f>
        <v/>
      </c>
      <c r="K91" s="57">
        <f>IF(OR($A91="",K$24=""),"",IF(COUNTIFS('AFA Rates'!$A$5:$A$504,$A91,'AFA Rates'!$B$5:$B$504,K$24)&gt;0,"✓",""))</f>
        <v/>
      </c>
      <c r="L91" s="57">
        <f>IF(OR($A91="",L$24=""),"",IF(COUNTIFS('AFA Rates'!$A$5:$A$504,$A91,'AFA Rates'!$B$5:$B$504,L$24)&gt;0,"✓",""))</f>
        <v/>
      </c>
      <c r="M91" s="57">
        <f>IF(OR($A91="",M$24=""),"",IF(COUNTIFS('AFA Rates'!$A$5:$A$504,$A91,'AFA Rates'!$B$5:$B$504,M$24)&gt;0,"✓",""))</f>
        <v/>
      </c>
    </row>
    <row r="92">
      <c r="A92" s="63">
        <f>IFERROR(INDEX(Firms!$A$5:$A$504,MATCH(68,Firms!$S$5:$S$504,0)),"")</f>
        <v/>
      </c>
      <c r="B92" s="57">
        <f>IF($A92="","",INDEX(Firms!$B$5:$B$504,MATCH(68,Firms!$S$5:$S$504,0)))</f>
        <v/>
      </c>
      <c r="C92" s="57">
        <f>IF($A92="","",COUNTIF('AFA Rates'!$A$5:$A$504,$A92))</f>
        <v/>
      </c>
      <c r="D92" s="57">
        <f>IF(OR($A92="",D$24=""),"",IF(COUNTIFS('AFA Rates'!$A$5:$A$504,$A92,'AFA Rates'!$B$5:$B$504,D$24)&gt;0,"✓",""))</f>
        <v/>
      </c>
      <c r="E92" s="57">
        <f>IF(OR($A92="",E$24=""),"",IF(COUNTIFS('AFA Rates'!$A$5:$A$504,$A92,'AFA Rates'!$B$5:$B$504,E$24)&gt;0,"✓",""))</f>
        <v/>
      </c>
      <c r="F92" s="57">
        <f>IF(OR($A92="",F$24=""),"",IF(COUNTIFS('AFA Rates'!$A$5:$A$504,$A92,'AFA Rates'!$B$5:$B$504,F$24)&gt;0,"✓",""))</f>
        <v/>
      </c>
      <c r="G92" s="57">
        <f>IF(OR($A92="",G$24=""),"",IF(COUNTIFS('AFA Rates'!$A$5:$A$504,$A92,'AFA Rates'!$B$5:$B$504,G$24)&gt;0,"✓",""))</f>
        <v/>
      </c>
      <c r="H92" s="57">
        <f>IF(OR($A92="",H$24=""),"",IF(COUNTIFS('AFA Rates'!$A$5:$A$504,$A92,'AFA Rates'!$B$5:$B$504,H$24)&gt;0,"✓",""))</f>
        <v/>
      </c>
      <c r="I92" s="57">
        <f>IF(OR($A92="",I$24=""),"",IF(COUNTIFS('AFA Rates'!$A$5:$A$504,$A92,'AFA Rates'!$B$5:$B$504,I$24)&gt;0,"✓",""))</f>
        <v/>
      </c>
      <c r="J92" s="57">
        <f>IF(OR($A92="",J$24=""),"",IF(COUNTIFS('AFA Rates'!$A$5:$A$504,$A92,'AFA Rates'!$B$5:$B$504,J$24)&gt;0,"✓",""))</f>
        <v/>
      </c>
      <c r="K92" s="57">
        <f>IF(OR($A92="",K$24=""),"",IF(COUNTIFS('AFA Rates'!$A$5:$A$504,$A92,'AFA Rates'!$B$5:$B$504,K$24)&gt;0,"✓",""))</f>
        <v/>
      </c>
      <c r="L92" s="57">
        <f>IF(OR($A92="",L$24=""),"",IF(COUNTIFS('AFA Rates'!$A$5:$A$504,$A92,'AFA Rates'!$B$5:$B$504,L$24)&gt;0,"✓",""))</f>
        <v/>
      </c>
      <c r="M92" s="57">
        <f>IF(OR($A92="",M$24=""),"",IF(COUNTIFS('AFA Rates'!$A$5:$A$504,$A92,'AFA Rates'!$B$5:$B$504,M$24)&gt;0,"✓",""))</f>
        <v/>
      </c>
    </row>
    <row r="93">
      <c r="A93" s="63">
        <f>IFERROR(INDEX(Firms!$A$5:$A$504,MATCH(69,Firms!$S$5:$S$504,0)),"")</f>
        <v/>
      </c>
      <c r="B93" s="57">
        <f>IF($A93="","",INDEX(Firms!$B$5:$B$504,MATCH(69,Firms!$S$5:$S$504,0)))</f>
        <v/>
      </c>
      <c r="C93" s="57">
        <f>IF($A93="","",COUNTIF('AFA Rates'!$A$5:$A$504,$A93))</f>
        <v/>
      </c>
      <c r="D93" s="57">
        <f>IF(OR($A93="",D$24=""),"",IF(COUNTIFS('AFA Rates'!$A$5:$A$504,$A93,'AFA Rates'!$B$5:$B$504,D$24)&gt;0,"✓",""))</f>
        <v/>
      </c>
      <c r="E93" s="57">
        <f>IF(OR($A93="",E$24=""),"",IF(COUNTIFS('AFA Rates'!$A$5:$A$504,$A93,'AFA Rates'!$B$5:$B$504,E$24)&gt;0,"✓",""))</f>
        <v/>
      </c>
      <c r="F93" s="57">
        <f>IF(OR($A93="",F$24=""),"",IF(COUNTIFS('AFA Rates'!$A$5:$A$504,$A93,'AFA Rates'!$B$5:$B$504,F$24)&gt;0,"✓",""))</f>
        <v/>
      </c>
      <c r="G93" s="57">
        <f>IF(OR($A93="",G$24=""),"",IF(COUNTIFS('AFA Rates'!$A$5:$A$504,$A93,'AFA Rates'!$B$5:$B$504,G$24)&gt;0,"✓",""))</f>
        <v/>
      </c>
      <c r="H93" s="57">
        <f>IF(OR($A93="",H$24=""),"",IF(COUNTIFS('AFA Rates'!$A$5:$A$504,$A93,'AFA Rates'!$B$5:$B$504,H$24)&gt;0,"✓",""))</f>
        <v/>
      </c>
      <c r="I93" s="57">
        <f>IF(OR($A93="",I$24=""),"",IF(COUNTIFS('AFA Rates'!$A$5:$A$504,$A93,'AFA Rates'!$B$5:$B$504,I$24)&gt;0,"✓",""))</f>
        <v/>
      </c>
      <c r="J93" s="57">
        <f>IF(OR($A93="",J$24=""),"",IF(COUNTIFS('AFA Rates'!$A$5:$A$504,$A93,'AFA Rates'!$B$5:$B$504,J$24)&gt;0,"✓",""))</f>
        <v/>
      </c>
      <c r="K93" s="57">
        <f>IF(OR($A93="",K$24=""),"",IF(COUNTIFS('AFA Rates'!$A$5:$A$504,$A93,'AFA Rates'!$B$5:$B$504,K$24)&gt;0,"✓",""))</f>
        <v/>
      </c>
      <c r="L93" s="57">
        <f>IF(OR($A93="",L$24=""),"",IF(COUNTIFS('AFA Rates'!$A$5:$A$504,$A93,'AFA Rates'!$B$5:$B$504,L$24)&gt;0,"✓",""))</f>
        <v/>
      </c>
      <c r="M93" s="57">
        <f>IF(OR($A93="",M$24=""),"",IF(COUNTIFS('AFA Rates'!$A$5:$A$504,$A93,'AFA Rates'!$B$5:$B$504,M$24)&gt;0,"✓",""))</f>
        <v/>
      </c>
    </row>
    <row r="94">
      <c r="A94" s="63">
        <f>IFERROR(INDEX(Firms!$A$5:$A$504,MATCH(70,Firms!$S$5:$S$504,0)),"")</f>
        <v/>
      </c>
      <c r="B94" s="57">
        <f>IF($A94="","",INDEX(Firms!$B$5:$B$504,MATCH(70,Firms!$S$5:$S$504,0)))</f>
        <v/>
      </c>
      <c r="C94" s="57">
        <f>IF($A94="","",COUNTIF('AFA Rates'!$A$5:$A$504,$A94))</f>
        <v/>
      </c>
      <c r="D94" s="57">
        <f>IF(OR($A94="",D$24=""),"",IF(COUNTIFS('AFA Rates'!$A$5:$A$504,$A94,'AFA Rates'!$B$5:$B$504,D$24)&gt;0,"✓",""))</f>
        <v/>
      </c>
      <c r="E94" s="57">
        <f>IF(OR($A94="",E$24=""),"",IF(COUNTIFS('AFA Rates'!$A$5:$A$504,$A94,'AFA Rates'!$B$5:$B$504,E$24)&gt;0,"✓",""))</f>
        <v/>
      </c>
      <c r="F94" s="57">
        <f>IF(OR($A94="",F$24=""),"",IF(COUNTIFS('AFA Rates'!$A$5:$A$504,$A94,'AFA Rates'!$B$5:$B$504,F$24)&gt;0,"✓",""))</f>
        <v/>
      </c>
      <c r="G94" s="57">
        <f>IF(OR($A94="",G$24=""),"",IF(COUNTIFS('AFA Rates'!$A$5:$A$504,$A94,'AFA Rates'!$B$5:$B$504,G$24)&gt;0,"✓",""))</f>
        <v/>
      </c>
      <c r="H94" s="57">
        <f>IF(OR($A94="",H$24=""),"",IF(COUNTIFS('AFA Rates'!$A$5:$A$504,$A94,'AFA Rates'!$B$5:$B$504,H$24)&gt;0,"✓",""))</f>
        <v/>
      </c>
      <c r="I94" s="57">
        <f>IF(OR($A94="",I$24=""),"",IF(COUNTIFS('AFA Rates'!$A$5:$A$504,$A94,'AFA Rates'!$B$5:$B$504,I$24)&gt;0,"✓",""))</f>
        <v/>
      </c>
      <c r="J94" s="57">
        <f>IF(OR($A94="",J$24=""),"",IF(COUNTIFS('AFA Rates'!$A$5:$A$504,$A94,'AFA Rates'!$B$5:$B$504,J$24)&gt;0,"✓",""))</f>
        <v/>
      </c>
      <c r="K94" s="57">
        <f>IF(OR($A94="",K$24=""),"",IF(COUNTIFS('AFA Rates'!$A$5:$A$504,$A94,'AFA Rates'!$B$5:$B$504,K$24)&gt;0,"✓",""))</f>
        <v/>
      </c>
      <c r="L94" s="57">
        <f>IF(OR($A94="",L$24=""),"",IF(COUNTIFS('AFA Rates'!$A$5:$A$504,$A94,'AFA Rates'!$B$5:$B$504,L$24)&gt;0,"✓",""))</f>
        <v/>
      </c>
      <c r="M94" s="57">
        <f>IF(OR($A94="",M$24=""),"",IF(COUNTIFS('AFA Rates'!$A$5:$A$504,$A94,'AFA Rates'!$B$5:$B$504,M$24)&gt;0,"✓",""))</f>
        <v/>
      </c>
    </row>
    <row r="95">
      <c r="A95" s="63">
        <f>IFERROR(INDEX(Firms!$A$5:$A$504,MATCH(71,Firms!$S$5:$S$504,0)),"")</f>
        <v/>
      </c>
      <c r="B95" s="57">
        <f>IF($A95="","",INDEX(Firms!$B$5:$B$504,MATCH(71,Firms!$S$5:$S$504,0)))</f>
        <v/>
      </c>
      <c r="C95" s="57">
        <f>IF($A95="","",COUNTIF('AFA Rates'!$A$5:$A$504,$A95))</f>
        <v/>
      </c>
      <c r="D95" s="57">
        <f>IF(OR($A95="",D$24=""),"",IF(COUNTIFS('AFA Rates'!$A$5:$A$504,$A95,'AFA Rates'!$B$5:$B$504,D$24)&gt;0,"✓",""))</f>
        <v/>
      </c>
      <c r="E95" s="57">
        <f>IF(OR($A95="",E$24=""),"",IF(COUNTIFS('AFA Rates'!$A$5:$A$504,$A95,'AFA Rates'!$B$5:$B$504,E$24)&gt;0,"✓",""))</f>
        <v/>
      </c>
      <c r="F95" s="57">
        <f>IF(OR($A95="",F$24=""),"",IF(COUNTIFS('AFA Rates'!$A$5:$A$504,$A95,'AFA Rates'!$B$5:$B$504,F$24)&gt;0,"✓",""))</f>
        <v/>
      </c>
      <c r="G95" s="57">
        <f>IF(OR($A95="",G$24=""),"",IF(COUNTIFS('AFA Rates'!$A$5:$A$504,$A95,'AFA Rates'!$B$5:$B$504,G$24)&gt;0,"✓",""))</f>
        <v/>
      </c>
      <c r="H95" s="57">
        <f>IF(OR($A95="",H$24=""),"",IF(COUNTIFS('AFA Rates'!$A$5:$A$504,$A95,'AFA Rates'!$B$5:$B$504,H$24)&gt;0,"✓",""))</f>
        <v/>
      </c>
      <c r="I95" s="57">
        <f>IF(OR($A95="",I$24=""),"",IF(COUNTIFS('AFA Rates'!$A$5:$A$504,$A95,'AFA Rates'!$B$5:$B$504,I$24)&gt;0,"✓",""))</f>
        <v/>
      </c>
      <c r="J95" s="57">
        <f>IF(OR($A95="",J$24=""),"",IF(COUNTIFS('AFA Rates'!$A$5:$A$504,$A95,'AFA Rates'!$B$5:$B$504,J$24)&gt;0,"✓",""))</f>
        <v/>
      </c>
      <c r="K95" s="57">
        <f>IF(OR($A95="",K$24=""),"",IF(COUNTIFS('AFA Rates'!$A$5:$A$504,$A95,'AFA Rates'!$B$5:$B$504,K$24)&gt;0,"✓",""))</f>
        <v/>
      </c>
      <c r="L95" s="57">
        <f>IF(OR($A95="",L$24=""),"",IF(COUNTIFS('AFA Rates'!$A$5:$A$504,$A95,'AFA Rates'!$B$5:$B$504,L$24)&gt;0,"✓",""))</f>
        <v/>
      </c>
      <c r="M95" s="57">
        <f>IF(OR($A95="",M$24=""),"",IF(COUNTIFS('AFA Rates'!$A$5:$A$504,$A95,'AFA Rates'!$B$5:$B$504,M$24)&gt;0,"✓",""))</f>
        <v/>
      </c>
    </row>
    <row r="96">
      <c r="A96" s="63">
        <f>IFERROR(INDEX(Firms!$A$5:$A$504,MATCH(72,Firms!$S$5:$S$504,0)),"")</f>
        <v/>
      </c>
      <c r="B96" s="57">
        <f>IF($A96="","",INDEX(Firms!$B$5:$B$504,MATCH(72,Firms!$S$5:$S$504,0)))</f>
        <v/>
      </c>
      <c r="C96" s="57">
        <f>IF($A96="","",COUNTIF('AFA Rates'!$A$5:$A$504,$A96))</f>
        <v/>
      </c>
      <c r="D96" s="57">
        <f>IF(OR($A96="",D$24=""),"",IF(COUNTIFS('AFA Rates'!$A$5:$A$504,$A96,'AFA Rates'!$B$5:$B$504,D$24)&gt;0,"✓",""))</f>
        <v/>
      </c>
      <c r="E96" s="57">
        <f>IF(OR($A96="",E$24=""),"",IF(COUNTIFS('AFA Rates'!$A$5:$A$504,$A96,'AFA Rates'!$B$5:$B$504,E$24)&gt;0,"✓",""))</f>
        <v/>
      </c>
      <c r="F96" s="57">
        <f>IF(OR($A96="",F$24=""),"",IF(COUNTIFS('AFA Rates'!$A$5:$A$504,$A96,'AFA Rates'!$B$5:$B$504,F$24)&gt;0,"✓",""))</f>
        <v/>
      </c>
      <c r="G96" s="57">
        <f>IF(OR($A96="",G$24=""),"",IF(COUNTIFS('AFA Rates'!$A$5:$A$504,$A96,'AFA Rates'!$B$5:$B$504,G$24)&gt;0,"✓",""))</f>
        <v/>
      </c>
      <c r="H96" s="57">
        <f>IF(OR($A96="",H$24=""),"",IF(COUNTIFS('AFA Rates'!$A$5:$A$504,$A96,'AFA Rates'!$B$5:$B$504,H$24)&gt;0,"✓",""))</f>
        <v/>
      </c>
      <c r="I96" s="57">
        <f>IF(OR($A96="",I$24=""),"",IF(COUNTIFS('AFA Rates'!$A$5:$A$504,$A96,'AFA Rates'!$B$5:$B$504,I$24)&gt;0,"✓",""))</f>
        <v/>
      </c>
      <c r="J96" s="57">
        <f>IF(OR($A96="",J$24=""),"",IF(COUNTIFS('AFA Rates'!$A$5:$A$504,$A96,'AFA Rates'!$B$5:$B$504,J$24)&gt;0,"✓",""))</f>
        <v/>
      </c>
      <c r="K96" s="57">
        <f>IF(OR($A96="",K$24=""),"",IF(COUNTIFS('AFA Rates'!$A$5:$A$504,$A96,'AFA Rates'!$B$5:$B$504,K$24)&gt;0,"✓",""))</f>
        <v/>
      </c>
      <c r="L96" s="57">
        <f>IF(OR($A96="",L$24=""),"",IF(COUNTIFS('AFA Rates'!$A$5:$A$504,$A96,'AFA Rates'!$B$5:$B$504,L$24)&gt;0,"✓",""))</f>
        <v/>
      </c>
      <c r="M96" s="57">
        <f>IF(OR($A96="",M$24=""),"",IF(COUNTIFS('AFA Rates'!$A$5:$A$504,$A96,'AFA Rates'!$B$5:$B$504,M$24)&gt;0,"✓",""))</f>
        <v/>
      </c>
    </row>
    <row r="97">
      <c r="A97" s="63">
        <f>IFERROR(INDEX(Firms!$A$5:$A$504,MATCH(73,Firms!$S$5:$S$504,0)),"")</f>
        <v/>
      </c>
      <c r="B97" s="57">
        <f>IF($A97="","",INDEX(Firms!$B$5:$B$504,MATCH(73,Firms!$S$5:$S$504,0)))</f>
        <v/>
      </c>
      <c r="C97" s="57">
        <f>IF($A97="","",COUNTIF('AFA Rates'!$A$5:$A$504,$A97))</f>
        <v/>
      </c>
      <c r="D97" s="57">
        <f>IF(OR($A97="",D$24=""),"",IF(COUNTIFS('AFA Rates'!$A$5:$A$504,$A97,'AFA Rates'!$B$5:$B$504,D$24)&gt;0,"✓",""))</f>
        <v/>
      </c>
      <c r="E97" s="57">
        <f>IF(OR($A97="",E$24=""),"",IF(COUNTIFS('AFA Rates'!$A$5:$A$504,$A97,'AFA Rates'!$B$5:$B$504,E$24)&gt;0,"✓",""))</f>
        <v/>
      </c>
      <c r="F97" s="57">
        <f>IF(OR($A97="",F$24=""),"",IF(COUNTIFS('AFA Rates'!$A$5:$A$504,$A97,'AFA Rates'!$B$5:$B$504,F$24)&gt;0,"✓",""))</f>
        <v/>
      </c>
      <c r="G97" s="57">
        <f>IF(OR($A97="",G$24=""),"",IF(COUNTIFS('AFA Rates'!$A$5:$A$504,$A97,'AFA Rates'!$B$5:$B$504,G$24)&gt;0,"✓",""))</f>
        <v/>
      </c>
      <c r="H97" s="57">
        <f>IF(OR($A97="",H$24=""),"",IF(COUNTIFS('AFA Rates'!$A$5:$A$504,$A97,'AFA Rates'!$B$5:$B$504,H$24)&gt;0,"✓",""))</f>
        <v/>
      </c>
      <c r="I97" s="57">
        <f>IF(OR($A97="",I$24=""),"",IF(COUNTIFS('AFA Rates'!$A$5:$A$504,$A97,'AFA Rates'!$B$5:$B$504,I$24)&gt;0,"✓",""))</f>
        <v/>
      </c>
      <c r="J97" s="57">
        <f>IF(OR($A97="",J$24=""),"",IF(COUNTIFS('AFA Rates'!$A$5:$A$504,$A97,'AFA Rates'!$B$5:$B$504,J$24)&gt;0,"✓",""))</f>
        <v/>
      </c>
      <c r="K97" s="57">
        <f>IF(OR($A97="",K$24=""),"",IF(COUNTIFS('AFA Rates'!$A$5:$A$504,$A97,'AFA Rates'!$B$5:$B$504,K$24)&gt;0,"✓",""))</f>
        <v/>
      </c>
      <c r="L97" s="57">
        <f>IF(OR($A97="",L$24=""),"",IF(COUNTIFS('AFA Rates'!$A$5:$A$504,$A97,'AFA Rates'!$B$5:$B$504,L$24)&gt;0,"✓",""))</f>
        <v/>
      </c>
      <c r="M97" s="57">
        <f>IF(OR($A97="",M$24=""),"",IF(COUNTIFS('AFA Rates'!$A$5:$A$504,$A97,'AFA Rates'!$B$5:$B$504,M$24)&gt;0,"✓",""))</f>
        <v/>
      </c>
    </row>
    <row r="98">
      <c r="A98" s="63">
        <f>IFERROR(INDEX(Firms!$A$5:$A$504,MATCH(74,Firms!$S$5:$S$504,0)),"")</f>
        <v/>
      </c>
      <c r="B98" s="57">
        <f>IF($A98="","",INDEX(Firms!$B$5:$B$504,MATCH(74,Firms!$S$5:$S$504,0)))</f>
        <v/>
      </c>
      <c r="C98" s="57">
        <f>IF($A98="","",COUNTIF('AFA Rates'!$A$5:$A$504,$A98))</f>
        <v/>
      </c>
      <c r="D98" s="57">
        <f>IF(OR($A98="",D$24=""),"",IF(COUNTIFS('AFA Rates'!$A$5:$A$504,$A98,'AFA Rates'!$B$5:$B$504,D$24)&gt;0,"✓",""))</f>
        <v/>
      </c>
      <c r="E98" s="57">
        <f>IF(OR($A98="",E$24=""),"",IF(COUNTIFS('AFA Rates'!$A$5:$A$504,$A98,'AFA Rates'!$B$5:$B$504,E$24)&gt;0,"✓",""))</f>
        <v/>
      </c>
      <c r="F98" s="57">
        <f>IF(OR($A98="",F$24=""),"",IF(COUNTIFS('AFA Rates'!$A$5:$A$504,$A98,'AFA Rates'!$B$5:$B$504,F$24)&gt;0,"✓",""))</f>
        <v/>
      </c>
      <c r="G98" s="57">
        <f>IF(OR($A98="",G$24=""),"",IF(COUNTIFS('AFA Rates'!$A$5:$A$504,$A98,'AFA Rates'!$B$5:$B$504,G$24)&gt;0,"✓",""))</f>
        <v/>
      </c>
      <c r="H98" s="57">
        <f>IF(OR($A98="",H$24=""),"",IF(COUNTIFS('AFA Rates'!$A$5:$A$504,$A98,'AFA Rates'!$B$5:$B$504,H$24)&gt;0,"✓",""))</f>
        <v/>
      </c>
      <c r="I98" s="57">
        <f>IF(OR($A98="",I$24=""),"",IF(COUNTIFS('AFA Rates'!$A$5:$A$504,$A98,'AFA Rates'!$B$5:$B$504,I$24)&gt;0,"✓",""))</f>
        <v/>
      </c>
      <c r="J98" s="57">
        <f>IF(OR($A98="",J$24=""),"",IF(COUNTIFS('AFA Rates'!$A$5:$A$504,$A98,'AFA Rates'!$B$5:$B$504,J$24)&gt;0,"✓",""))</f>
        <v/>
      </c>
      <c r="K98" s="57">
        <f>IF(OR($A98="",K$24=""),"",IF(COUNTIFS('AFA Rates'!$A$5:$A$504,$A98,'AFA Rates'!$B$5:$B$504,K$24)&gt;0,"✓",""))</f>
        <v/>
      </c>
      <c r="L98" s="57">
        <f>IF(OR($A98="",L$24=""),"",IF(COUNTIFS('AFA Rates'!$A$5:$A$504,$A98,'AFA Rates'!$B$5:$B$504,L$24)&gt;0,"✓",""))</f>
        <v/>
      </c>
      <c r="M98" s="57">
        <f>IF(OR($A98="",M$24=""),"",IF(COUNTIFS('AFA Rates'!$A$5:$A$504,$A98,'AFA Rates'!$B$5:$B$504,M$24)&gt;0,"✓",""))</f>
        <v/>
      </c>
    </row>
    <row r="99">
      <c r="A99" s="63">
        <f>IFERROR(INDEX(Firms!$A$5:$A$504,MATCH(75,Firms!$S$5:$S$504,0)),"")</f>
        <v/>
      </c>
      <c r="B99" s="57">
        <f>IF($A99="","",INDEX(Firms!$B$5:$B$504,MATCH(75,Firms!$S$5:$S$504,0)))</f>
        <v/>
      </c>
      <c r="C99" s="57">
        <f>IF($A99="","",COUNTIF('AFA Rates'!$A$5:$A$504,$A99))</f>
        <v/>
      </c>
      <c r="D99" s="57">
        <f>IF(OR($A99="",D$24=""),"",IF(COUNTIFS('AFA Rates'!$A$5:$A$504,$A99,'AFA Rates'!$B$5:$B$504,D$24)&gt;0,"✓",""))</f>
        <v/>
      </c>
      <c r="E99" s="57">
        <f>IF(OR($A99="",E$24=""),"",IF(COUNTIFS('AFA Rates'!$A$5:$A$504,$A99,'AFA Rates'!$B$5:$B$504,E$24)&gt;0,"✓",""))</f>
        <v/>
      </c>
      <c r="F99" s="57">
        <f>IF(OR($A99="",F$24=""),"",IF(COUNTIFS('AFA Rates'!$A$5:$A$504,$A99,'AFA Rates'!$B$5:$B$504,F$24)&gt;0,"✓",""))</f>
        <v/>
      </c>
      <c r="G99" s="57">
        <f>IF(OR($A99="",G$24=""),"",IF(COUNTIFS('AFA Rates'!$A$5:$A$504,$A99,'AFA Rates'!$B$5:$B$504,G$24)&gt;0,"✓",""))</f>
        <v/>
      </c>
      <c r="H99" s="57">
        <f>IF(OR($A99="",H$24=""),"",IF(COUNTIFS('AFA Rates'!$A$5:$A$504,$A99,'AFA Rates'!$B$5:$B$504,H$24)&gt;0,"✓",""))</f>
        <v/>
      </c>
      <c r="I99" s="57">
        <f>IF(OR($A99="",I$24=""),"",IF(COUNTIFS('AFA Rates'!$A$5:$A$504,$A99,'AFA Rates'!$B$5:$B$504,I$24)&gt;0,"✓",""))</f>
        <v/>
      </c>
      <c r="J99" s="57">
        <f>IF(OR($A99="",J$24=""),"",IF(COUNTIFS('AFA Rates'!$A$5:$A$504,$A99,'AFA Rates'!$B$5:$B$504,J$24)&gt;0,"✓",""))</f>
        <v/>
      </c>
      <c r="K99" s="57">
        <f>IF(OR($A99="",K$24=""),"",IF(COUNTIFS('AFA Rates'!$A$5:$A$504,$A99,'AFA Rates'!$B$5:$B$504,K$24)&gt;0,"✓",""))</f>
        <v/>
      </c>
      <c r="L99" s="57">
        <f>IF(OR($A99="",L$24=""),"",IF(COUNTIFS('AFA Rates'!$A$5:$A$504,$A99,'AFA Rates'!$B$5:$B$504,L$24)&gt;0,"✓",""))</f>
        <v/>
      </c>
      <c r="M99" s="57">
        <f>IF(OR($A99="",M$24=""),"",IF(COUNTIFS('AFA Rates'!$A$5:$A$504,$A99,'AFA Rates'!$B$5:$B$504,M$24)&gt;0,"✓",""))</f>
        <v/>
      </c>
    </row>
    <row r="100">
      <c r="A100" s="63">
        <f>IFERROR(INDEX(Firms!$A$5:$A$504,MATCH(76,Firms!$S$5:$S$504,0)),"")</f>
        <v/>
      </c>
      <c r="B100" s="57">
        <f>IF($A100="","",INDEX(Firms!$B$5:$B$504,MATCH(76,Firms!$S$5:$S$504,0)))</f>
        <v/>
      </c>
      <c r="C100" s="57">
        <f>IF($A100="","",COUNTIF('AFA Rates'!$A$5:$A$504,$A100))</f>
        <v/>
      </c>
      <c r="D100" s="57">
        <f>IF(OR($A100="",D$24=""),"",IF(COUNTIFS('AFA Rates'!$A$5:$A$504,$A100,'AFA Rates'!$B$5:$B$504,D$24)&gt;0,"✓",""))</f>
        <v/>
      </c>
      <c r="E100" s="57">
        <f>IF(OR($A100="",E$24=""),"",IF(COUNTIFS('AFA Rates'!$A$5:$A$504,$A100,'AFA Rates'!$B$5:$B$504,E$24)&gt;0,"✓",""))</f>
        <v/>
      </c>
      <c r="F100" s="57">
        <f>IF(OR($A100="",F$24=""),"",IF(COUNTIFS('AFA Rates'!$A$5:$A$504,$A100,'AFA Rates'!$B$5:$B$504,F$24)&gt;0,"✓",""))</f>
        <v/>
      </c>
      <c r="G100" s="57">
        <f>IF(OR($A100="",G$24=""),"",IF(COUNTIFS('AFA Rates'!$A$5:$A$504,$A100,'AFA Rates'!$B$5:$B$504,G$24)&gt;0,"✓",""))</f>
        <v/>
      </c>
      <c r="H100" s="57">
        <f>IF(OR($A100="",H$24=""),"",IF(COUNTIFS('AFA Rates'!$A$5:$A$504,$A100,'AFA Rates'!$B$5:$B$504,H$24)&gt;0,"✓",""))</f>
        <v/>
      </c>
      <c r="I100" s="57">
        <f>IF(OR($A100="",I$24=""),"",IF(COUNTIFS('AFA Rates'!$A$5:$A$504,$A100,'AFA Rates'!$B$5:$B$504,I$24)&gt;0,"✓",""))</f>
        <v/>
      </c>
      <c r="J100" s="57">
        <f>IF(OR($A100="",J$24=""),"",IF(COUNTIFS('AFA Rates'!$A$5:$A$504,$A100,'AFA Rates'!$B$5:$B$504,J$24)&gt;0,"✓",""))</f>
        <v/>
      </c>
      <c r="K100" s="57">
        <f>IF(OR($A100="",K$24=""),"",IF(COUNTIFS('AFA Rates'!$A$5:$A$504,$A100,'AFA Rates'!$B$5:$B$504,K$24)&gt;0,"✓",""))</f>
        <v/>
      </c>
      <c r="L100" s="57">
        <f>IF(OR($A100="",L$24=""),"",IF(COUNTIFS('AFA Rates'!$A$5:$A$504,$A100,'AFA Rates'!$B$5:$B$504,L$24)&gt;0,"✓",""))</f>
        <v/>
      </c>
      <c r="M100" s="57">
        <f>IF(OR($A100="",M$24=""),"",IF(COUNTIFS('AFA Rates'!$A$5:$A$504,$A100,'AFA Rates'!$B$5:$B$504,M$24)&gt;0,"✓",""))</f>
        <v/>
      </c>
    </row>
    <row r="101">
      <c r="A101" s="63">
        <f>IFERROR(INDEX(Firms!$A$5:$A$504,MATCH(77,Firms!$S$5:$S$504,0)),"")</f>
        <v/>
      </c>
      <c r="B101" s="57">
        <f>IF($A101="","",INDEX(Firms!$B$5:$B$504,MATCH(77,Firms!$S$5:$S$504,0)))</f>
        <v/>
      </c>
      <c r="C101" s="57">
        <f>IF($A101="","",COUNTIF('AFA Rates'!$A$5:$A$504,$A101))</f>
        <v/>
      </c>
      <c r="D101" s="57">
        <f>IF(OR($A101="",D$24=""),"",IF(COUNTIFS('AFA Rates'!$A$5:$A$504,$A101,'AFA Rates'!$B$5:$B$504,D$24)&gt;0,"✓",""))</f>
        <v/>
      </c>
      <c r="E101" s="57">
        <f>IF(OR($A101="",E$24=""),"",IF(COUNTIFS('AFA Rates'!$A$5:$A$504,$A101,'AFA Rates'!$B$5:$B$504,E$24)&gt;0,"✓",""))</f>
        <v/>
      </c>
      <c r="F101" s="57">
        <f>IF(OR($A101="",F$24=""),"",IF(COUNTIFS('AFA Rates'!$A$5:$A$504,$A101,'AFA Rates'!$B$5:$B$504,F$24)&gt;0,"✓",""))</f>
        <v/>
      </c>
      <c r="G101" s="57">
        <f>IF(OR($A101="",G$24=""),"",IF(COUNTIFS('AFA Rates'!$A$5:$A$504,$A101,'AFA Rates'!$B$5:$B$504,G$24)&gt;0,"✓",""))</f>
        <v/>
      </c>
      <c r="H101" s="57">
        <f>IF(OR($A101="",H$24=""),"",IF(COUNTIFS('AFA Rates'!$A$5:$A$504,$A101,'AFA Rates'!$B$5:$B$504,H$24)&gt;0,"✓",""))</f>
        <v/>
      </c>
      <c r="I101" s="57">
        <f>IF(OR($A101="",I$24=""),"",IF(COUNTIFS('AFA Rates'!$A$5:$A$504,$A101,'AFA Rates'!$B$5:$B$504,I$24)&gt;0,"✓",""))</f>
        <v/>
      </c>
      <c r="J101" s="57">
        <f>IF(OR($A101="",J$24=""),"",IF(COUNTIFS('AFA Rates'!$A$5:$A$504,$A101,'AFA Rates'!$B$5:$B$504,J$24)&gt;0,"✓",""))</f>
        <v/>
      </c>
      <c r="K101" s="57">
        <f>IF(OR($A101="",K$24=""),"",IF(COUNTIFS('AFA Rates'!$A$5:$A$504,$A101,'AFA Rates'!$B$5:$B$504,K$24)&gt;0,"✓",""))</f>
        <v/>
      </c>
      <c r="L101" s="57">
        <f>IF(OR($A101="",L$24=""),"",IF(COUNTIFS('AFA Rates'!$A$5:$A$504,$A101,'AFA Rates'!$B$5:$B$504,L$24)&gt;0,"✓",""))</f>
        <v/>
      </c>
      <c r="M101" s="57">
        <f>IF(OR($A101="",M$24=""),"",IF(COUNTIFS('AFA Rates'!$A$5:$A$504,$A101,'AFA Rates'!$B$5:$B$504,M$24)&gt;0,"✓",""))</f>
        <v/>
      </c>
    </row>
    <row r="102">
      <c r="A102" s="63">
        <f>IFERROR(INDEX(Firms!$A$5:$A$504,MATCH(78,Firms!$S$5:$S$504,0)),"")</f>
        <v/>
      </c>
      <c r="B102" s="57">
        <f>IF($A102="","",INDEX(Firms!$B$5:$B$504,MATCH(78,Firms!$S$5:$S$504,0)))</f>
        <v/>
      </c>
      <c r="C102" s="57">
        <f>IF($A102="","",COUNTIF('AFA Rates'!$A$5:$A$504,$A102))</f>
        <v/>
      </c>
      <c r="D102" s="57">
        <f>IF(OR($A102="",D$24=""),"",IF(COUNTIFS('AFA Rates'!$A$5:$A$504,$A102,'AFA Rates'!$B$5:$B$504,D$24)&gt;0,"✓",""))</f>
        <v/>
      </c>
      <c r="E102" s="57">
        <f>IF(OR($A102="",E$24=""),"",IF(COUNTIFS('AFA Rates'!$A$5:$A$504,$A102,'AFA Rates'!$B$5:$B$504,E$24)&gt;0,"✓",""))</f>
        <v/>
      </c>
      <c r="F102" s="57">
        <f>IF(OR($A102="",F$24=""),"",IF(COUNTIFS('AFA Rates'!$A$5:$A$504,$A102,'AFA Rates'!$B$5:$B$504,F$24)&gt;0,"✓",""))</f>
        <v/>
      </c>
      <c r="G102" s="57">
        <f>IF(OR($A102="",G$24=""),"",IF(COUNTIFS('AFA Rates'!$A$5:$A$504,$A102,'AFA Rates'!$B$5:$B$504,G$24)&gt;0,"✓",""))</f>
        <v/>
      </c>
      <c r="H102" s="57">
        <f>IF(OR($A102="",H$24=""),"",IF(COUNTIFS('AFA Rates'!$A$5:$A$504,$A102,'AFA Rates'!$B$5:$B$504,H$24)&gt;0,"✓",""))</f>
        <v/>
      </c>
      <c r="I102" s="57">
        <f>IF(OR($A102="",I$24=""),"",IF(COUNTIFS('AFA Rates'!$A$5:$A$504,$A102,'AFA Rates'!$B$5:$B$504,I$24)&gt;0,"✓",""))</f>
        <v/>
      </c>
      <c r="J102" s="57">
        <f>IF(OR($A102="",J$24=""),"",IF(COUNTIFS('AFA Rates'!$A$5:$A$504,$A102,'AFA Rates'!$B$5:$B$504,J$24)&gt;0,"✓",""))</f>
        <v/>
      </c>
      <c r="K102" s="57">
        <f>IF(OR($A102="",K$24=""),"",IF(COUNTIFS('AFA Rates'!$A$5:$A$504,$A102,'AFA Rates'!$B$5:$B$504,K$24)&gt;0,"✓",""))</f>
        <v/>
      </c>
      <c r="L102" s="57">
        <f>IF(OR($A102="",L$24=""),"",IF(COUNTIFS('AFA Rates'!$A$5:$A$504,$A102,'AFA Rates'!$B$5:$B$504,L$24)&gt;0,"✓",""))</f>
        <v/>
      </c>
      <c r="M102" s="57">
        <f>IF(OR($A102="",M$24=""),"",IF(COUNTIFS('AFA Rates'!$A$5:$A$504,$A102,'AFA Rates'!$B$5:$B$504,M$24)&gt;0,"✓",""))</f>
        <v/>
      </c>
    </row>
    <row r="103">
      <c r="A103" s="63">
        <f>IFERROR(INDEX(Firms!$A$5:$A$504,MATCH(79,Firms!$S$5:$S$504,0)),"")</f>
        <v/>
      </c>
      <c r="B103" s="57">
        <f>IF($A103="","",INDEX(Firms!$B$5:$B$504,MATCH(79,Firms!$S$5:$S$504,0)))</f>
        <v/>
      </c>
      <c r="C103" s="57">
        <f>IF($A103="","",COUNTIF('AFA Rates'!$A$5:$A$504,$A103))</f>
        <v/>
      </c>
      <c r="D103" s="57">
        <f>IF(OR($A103="",D$24=""),"",IF(COUNTIFS('AFA Rates'!$A$5:$A$504,$A103,'AFA Rates'!$B$5:$B$504,D$24)&gt;0,"✓",""))</f>
        <v/>
      </c>
      <c r="E103" s="57">
        <f>IF(OR($A103="",E$24=""),"",IF(COUNTIFS('AFA Rates'!$A$5:$A$504,$A103,'AFA Rates'!$B$5:$B$504,E$24)&gt;0,"✓",""))</f>
        <v/>
      </c>
      <c r="F103" s="57">
        <f>IF(OR($A103="",F$24=""),"",IF(COUNTIFS('AFA Rates'!$A$5:$A$504,$A103,'AFA Rates'!$B$5:$B$504,F$24)&gt;0,"✓",""))</f>
        <v/>
      </c>
      <c r="G103" s="57">
        <f>IF(OR($A103="",G$24=""),"",IF(COUNTIFS('AFA Rates'!$A$5:$A$504,$A103,'AFA Rates'!$B$5:$B$504,G$24)&gt;0,"✓",""))</f>
        <v/>
      </c>
      <c r="H103" s="57">
        <f>IF(OR($A103="",H$24=""),"",IF(COUNTIFS('AFA Rates'!$A$5:$A$504,$A103,'AFA Rates'!$B$5:$B$504,H$24)&gt;0,"✓",""))</f>
        <v/>
      </c>
      <c r="I103" s="57">
        <f>IF(OR($A103="",I$24=""),"",IF(COUNTIFS('AFA Rates'!$A$5:$A$504,$A103,'AFA Rates'!$B$5:$B$504,I$24)&gt;0,"✓",""))</f>
        <v/>
      </c>
      <c r="J103" s="57">
        <f>IF(OR($A103="",J$24=""),"",IF(COUNTIFS('AFA Rates'!$A$5:$A$504,$A103,'AFA Rates'!$B$5:$B$504,J$24)&gt;0,"✓",""))</f>
        <v/>
      </c>
      <c r="K103" s="57">
        <f>IF(OR($A103="",K$24=""),"",IF(COUNTIFS('AFA Rates'!$A$5:$A$504,$A103,'AFA Rates'!$B$5:$B$504,K$24)&gt;0,"✓",""))</f>
        <v/>
      </c>
      <c r="L103" s="57">
        <f>IF(OR($A103="",L$24=""),"",IF(COUNTIFS('AFA Rates'!$A$5:$A$504,$A103,'AFA Rates'!$B$5:$B$504,L$24)&gt;0,"✓",""))</f>
        <v/>
      </c>
      <c r="M103" s="57">
        <f>IF(OR($A103="",M$24=""),"",IF(COUNTIFS('AFA Rates'!$A$5:$A$504,$A103,'AFA Rates'!$B$5:$B$504,M$24)&gt;0,"✓",""))</f>
        <v/>
      </c>
    </row>
    <row r="104">
      <c r="A104" s="63">
        <f>IFERROR(INDEX(Firms!$A$5:$A$504,MATCH(80,Firms!$S$5:$S$504,0)),"")</f>
        <v/>
      </c>
      <c r="B104" s="57">
        <f>IF($A104="","",INDEX(Firms!$B$5:$B$504,MATCH(80,Firms!$S$5:$S$504,0)))</f>
        <v/>
      </c>
      <c r="C104" s="57">
        <f>IF($A104="","",COUNTIF('AFA Rates'!$A$5:$A$504,$A104))</f>
        <v/>
      </c>
      <c r="D104" s="57">
        <f>IF(OR($A104="",D$24=""),"",IF(COUNTIFS('AFA Rates'!$A$5:$A$504,$A104,'AFA Rates'!$B$5:$B$504,D$24)&gt;0,"✓",""))</f>
        <v/>
      </c>
      <c r="E104" s="57">
        <f>IF(OR($A104="",E$24=""),"",IF(COUNTIFS('AFA Rates'!$A$5:$A$504,$A104,'AFA Rates'!$B$5:$B$504,E$24)&gt;0,"✓",""))</f>
        <v/>
      </c>
      <c r="F104" s="57">
        <f>IF(OR($A104="",F$24=""),"",IF(COUNTIFS('AFA Rates'!$A$5:$A$504,$A104,'AFA Rates'!$B$5:$B$504,F$24)&gt;0,"✓",""))</f>
        <v/>
      </c>
      <c r="G104" s="57">
        <f>IF(OR($A104="",G$24=""),"",IF(COUNTIFS('AFA Rates'!$A$5:$A$504,$A104,'AFA Rates'!$B$5:$B$504,G$24)&gt;0,"✓",""))</f>
        <v/>
      </c>
      <c r="H104" s="57">
        <f>IF(OR($A104="",H$24=""),"",IF(COUNTIFS('AFA Rates'!$A$5:$A$504,$A104,'AFA Rates'!$B$5:$B$504,H$24)&gt;0,"✓",""))</f>
        <v/>
      </c>
      <c r="I104" s="57">
        <f>IF(OR($A104="",I$24=""),"",IF(COUNTIFS('AFA Rates'!$A$5:$A$504,$A104,'AFA Rates'!$B$5:$B$504,I$24)&gt;0,"✓",""))</f>
        <v/>
      </c>
      <c r="J104" s="57">
        <f>IF(OR($A104="",J$24=""),"",IF(COUNTIFS('AFA Rates'!$A$5:$A$504,$A104,'AFA Rates'!$B$5:$B$504,J$24)&gt;0,"✓",""))</f>
        <v/>
      </c>
      <c r="K104" s="57">
        <f>IF(OR($A104="",K$24=""),"",IF(COUNTIFS('AFA Rates'!$A$5:$A$504,$A104,'AFA Rates'!$B$5:$B$504,K$24)&gt;0,"✓",""))</f>
        <v/>
      </c>
      <c r="L104" s="57">
        <f>IF(OR($A104="",L$24=""),"",IF(COUNTIFS('AFA Rates'!$A$5:$A$504,$A104,'AFA Rates'!$B$5:$B$504,L$24)&gt;0,"✓",""))</f>
        <v/>
      </c>
      <c r="M104" s="57">
        <f>IF(OR($A104="",M$24=""),"",IF(COUNTIFS('AFA Rates'!$A$5:$A$504,$A104,'AFA Rates'!$B$5:$B$504,M$24)&gt;0,"✓",""))</f>
        <v/>
      </c>
    </row>
    <row r="105">
      <c r="A105" s="63">
        <f>IFERROR(INDEX(Firms!$A$5:$A$504,MATCH(81,Firms!$S$5:$S$504,0)),"")</f>
        <v/>
      </c>
      <c r="B105" s="57">
        <f>IF($A105="","",INDEX(Firms!$B$5:$B$504,MATCH(81,Firms!$S$5:$S$504,0)))</f>
        <v/>
      </c>
      <c r="C105" s="57">
        <f>IF($A105="","",COUNTIF('AFA Rates'!$A$5:$A$504,$A105))</f>
        <v/>
      </c>
      <c r="D105" s="57">
        <f>IF(OR($A105="",D$24=""),"",IF(COUNTIFS('AFA Rates'!$A$5:$A$504,$A105,'AFA Rates'!$B$5:$B$504,D$24)&gt;0,"✓",""))</f>
        <v/>
      </c>
      <c r="E105" s="57">
        <f>IF(OR($A105="",E$24=""),"",IF(COUNTIFS('AFA Rates'!$A$5:$A$504,$A105,'AFA Rates'!$B$5:$B$504,E$24)&gt;0,"✓",""))</f>
        <v/>
      </c>
      <c r="F105" s="57">
        <f>IF(OR($A105="",F$24=""),"",IF(COUNTIFS('AFA Rates'!$A$5:$A$504,$A105,'AFA Rates'!$B$5:$B$504,F$24)&gt;0,"✓",""))</f>
        <v/>
      </c>
      <c r="G105" s="57">
        <f>IF(OR($A105="",G$24=""),"",IF(COUNTIFS('AFA Rates'!$A$5:$A$504,$A105,'AFA Rates'!$B$5:$B$504,G$24)&gt;0,"✓",""))</f>
        <v/>
      </c>
      <c r="H105" s="57">
        <f>IF(OR($A105="",H$24=""),"",IF(COUNTIFS('AFA Rates'!$A$5:$A$504,$A105,'AFA Rates'!$B$5:$B$504,H$24)&gt;0,"✓",""))</f>
        <v/>
      </c>
      <c r="I105" s="57">
        <f>IF(OR($A105="",I$24=""),"",IF(COUNTIFS('AFA Rates'!$A$5:$A$504,$A105,'AFA Rates'!$B$5:$B$504,I$24)&gt;0,"✓",""))</f>
        <v/>
      </c>
      <c r="J105" s="57">
        <f>IF(OR($A105="",J$24=""),"",IF(COUNTIFS('AFA Rates'!$A$5:$A$504,$A105,'AFA Rates'!$B$5:$B$504,J$24)&gt;0,"✓",""))</f>
        <v/>
      </c>
      <c r="K105" s="57">
        <f>IF(OR($A105="",K$24=""),"",IF(COUNTIFS('AFA Rates'!$A$5:$A$504,$A105,'AFA Rates'!$B$5:$B$504,K$24)&gt;0,"✓",""))</f>
        <v/>
      </c>
      <c r="L105" s="57">
        <f>IF(OR($A105="",L$24=""),"",IF(COUNTIFS('AFA Rates'!$A$5:$A$504,$A105,'AFA Rates'!$B$5:$B$504,L$24)&gt;0,"✓",""))</f>
        <v/>
      </c>
      <c r="M105" s="57">
        <f>IF(OR($A105="",M$24=""),"",IF(COUNTIFS('AFA Rates'!$A$5:$A$504,$A105,'AFA Rates'!$B$5:$B$504,M$24)&gt;0,"✓",""))</f>
        <v/>
      </c>
    </row>
    <row r="106">
      <c r="A106" s="63">
        <f>IFERROR(INDEX(Firms!$A$5:$A$504,MATCH(82,Firms!$S$5:$S$504,0)),"")</f>
        <v/>
      </c>
      <c r="B106" s="57">
        <f>IF($A106="","",INDEX(Firms!$B$5:$B$504,MATCH(82,Firms!$S$5:$S$504,0)))</f>
        <v/>
      </c>
      <c r="C106" s="57">
        <f>IF($A106="","",COUNTIF('AFA Rates'!$A$5:$A$504,$A106))</f>
        <v/>
      </c>
      <c r="D106" s="57">
        <f>IF(OR($A106="",D$24=""),"",IF(COUNTIFS('AFA Rates'!$A$5:$A$504,$A106,'AFA Rates'!$B$5:$B$504,D$24)&gt;0,"✓",""))</f>
        <v/>
      </c>
      <c r="E106" s="57">
        <f>IF(OR($A106="",E$24=""),"",IF(COUNTIFS('AFA Rates'!$A$5:$A$504,$A106,'AFA Rates'!$B$5:$B$504,E$24)&gt;0,"✓",""))</f>
        <v/>
      </c>
      <c r="F106" s="57">
        <f>IF(OR($A106="",F$24=""),"",IF(COUNTIFS('AFA Rates'!$A$5:$A$504,$A106,'AFA Rates'!$B$5:$B$504,F$24)&gt;0,"✓",""))</f>
        <v/>
      </c>
      <c r="G106" s="57">
        <f>IF(OR($A106="",G$24=""),"",IF(COUNTIFS('AFA Rates'!$A$5:$A$504,$A106,'AFA Rates'!$B$5:$B$504,G$24)&gt;0,"✓",""))</f>
        <v/>
      </c>
      <c r="H106" s="57">
        <f>IF(OR($A106="",H$24=""),"",IF(COUNTIFS('AFA Rates'!$A$5:$A$504,$A106,'AFA Rates'!$B$5:$B$504,H$24)&gt;0,"✓",""))</f>
        <v/>
      </c>
      <c r="I106" s="57">
        <f>IF(OR($A106="",I$24=""),"",IF(COUNTIFS('AFA Rates'!$A$5:$A$504,$A106,'AFA Rates'!$B$5:$B$504,I$24)&gt;0,"✓",""))</f>
        <v/>
      </c>
      <c r="J106" s="57">
        <f>IF(OR($A106="",J$24=""),"",IF(COUNTIFS('AFA Rates'!$A$5:$A$504,$A106,'AFA Rates'!$B$5:$B$504,J$24)&gt;0,"✓",""))</f>
        <v/>
      </c>
      <c r="K106" s="57">
        <f>IF(OR($A106="",K$24=""),"",IF(COUNTIFS('AFA Rates'!$A$5:$A$504,$A106,'AFA Rates'!$B$5:$B$504,K$24)&gt;0,"✓",""))</f>
        <v/>
      </c>
      <c r="L106" s="57">
        <f>IF(OR($A106="",L$24=""),"",IF(COUNTIFS('AFA Rates'!$A$5:$A$504,$A106,'AFA Rates'!$B$5:$B$504,L$24)&gt;0,"✓",""))</f>
        <v/>
      </c>
      <c r="M106" s="57">
        <f>IF(OR($A106="",M$24=""),"",IF(COUNTIFS('AFA Rates'!$A$5:$A$504,$A106,'AFA Rates'!$B$5:$B$504,M$24)&gt;0,"✓",""))</f>
        <v/>
      </c>
    </row>
    <row r="107">
      <c r="A107" s="63">
        <f>IFERROR(INDEX(Firms!$A$5:$A$504,MATCH(83,Firms!$S$5:$S$504,0)),"")</f>
        <v/>
      </c>
      <c r="B107" s="57">
        <f>IF($A107="","",INDEX(Firms!$B$5:$B$504,MATCH(83,Firms!$S$5:$S$504,0)))</f>
        <v/>
      </c>
      <c r="C107" s="57">
        <f>IF($A107="","",COUNTIF('AFA Rates'!$A$5:$A$504,$A107))</f>
        <v/>
      </c>
      <c r="D107" s="57">
        <f>IF(OR($A107="",D$24=""),"",IF(COUNTIFS('AFA Rates'!$A$5:$A$504,$A107,'AFA Rates'!$B$5:$B$504,D$24)&gt;0,"✓",""))</f>
        <v/>
      </c>
      <c r="E107" s="57">
        <f>IF(OR($A107="",E$24=""),"",IF(COUNTIFS('AFA Rates'!$A$5:$A$504,$A107,'AFA Rates'!$B$5:$B$504,E$24)&gt;0,"✓",""))</f>
        <v/>
      </c>
      <c r="F107" s="57">
        <f>IF(OR($A107="",F$24=""),"",IF(COUNTIFS('AFA Rates'!$A$5:$A$504,$A107,'AFA Rates'!$B$5:$B$504,F$24)&gt;0,"✓",""))</f>
        <v/>
      </c>
      <c r="G107" s="57">
        <f>IF(OR($A107="",G$24=""),"",IF(COUNTIFS('AFA Rates'!$A$5:$A$504,$A107,'AFA Rates'!$B$5:$B$504,G$24)&gt;0,"✓",""))</f>
        <v/>
      </c>
      <c r="H107" s="57">
        <f>IF(OR($A107="",H$24=""),"",IF(COUNTIFS('AFA Rates'!$A$5:$A$504,$A107,'AFA Rates'!$B$5:$B$504,H$24)&gt;0,"✓",""))</f>
        <v/>
      </c>
      <c r="I107" s="57">
        <f>IF(OR($A107="",I$24=""),"",IF(COUNTIFS('AFA Rates'!$A$5:$A$504,$A107,'AFA Rates'!$B$5:$B$504,I$24)&gt;0,"✓",""))</f>
        <v/>
      </c>
      <c r="J107" s="57">
        <f>IF(OR($A107="",J$24=""),"",IF(COUNTIFS('AFA Rates'!$A$5:$A$504,$A107,'AFA Rates'!$B$5:$B$504,J$24)&gt;0,"✓",""))</f>
        <v/>
      </c>
      <c r="K107" s="57">
        <f>IF(OR($A107="",K$24=""),"",IF(COUNTIFS('AFA Rates'!$A$5:$A$504,$A107,'AFA Rates'!$B$5:$B$504,K$24)&gt;0,"✓",""))</f>
        <v/>
      </c>
      <c r="L107" s="57">
        <f>IF(OR($A107="",L$24=""),"",IF(COUNTIFS('AFA Rates'!$A$5:$A$504,$A107,'AFA Rates'!$B$5:$B$504,L$24)&gt;0,"✓",""))</f>
        <v/>
      </c>
      <c r="M107" s="57">
        <f>IF(OR($A107="",M$24=""),"",IF(COUNTIFS('AFA Rates'!$A$5:$A$504,$A107,'AFA Rates'!$B$5:$B$504,M$24)&gt;0,"✓",""))</f>
        <v/>
      </c>
    </row>
    <row r="108">
      <c r="A108" s="63">
        <f>IFERROR(INDEX(Firms!$A$5:$A$504,MATCH(84,Firms!$S$5:$S$504,0)),"")</f>
        <v/>
      </c>
      <c r="B108" s="57">
        <f>IF($A108="","",INDEX(Firms!$B$5:$B$504,MATCH(84,Firms!$S$5:$S$504,0)))</f>
        <v/>
      </c>
      <c r="C108" s="57">
        <f>IF($A108="","",COUNTIF('AFA Rates'!$A$5:$A$504,$A108))</f>
        <v/>
      </c>
      <c r="D108" s="57">
        <f>IF(OR($A108="",D$24=""),"",IF(COUNTIFS('AFA Rates'!$A$5:$A$504,$A108,'AFA Rates'!$B$5:$B$504,D$24)&gt;0,"✓",""))</f>
        <v/>
      </c>
      <c r="E108" s="57">
        <f>IF(OR($A108="",E$24=""),"",IF(COUNTIFS('AFA Rates'!$A$5:$A$504,$A108,'AFA Rates'!$B$5:$B$504,E$24)&gt;0,"✓",""))</f>
        <v/>
      </c>
      <c r="F108" s="57">
        <f>IF(OR($A108="",F$24=""),"",IF(COUNTIFS('AFA Rates'!$A$5:$A$504,$A108,'AFA Rates'!$B$5:$B$504,F$24)&gt;0,"✓",""))</f>
        <v/>
      </c>
      <c r="G108" s="57">
        <f>IF(OR($A108="",G$24=""),"",IF(COUNTIFS('AFA Rates'!$A$5:$A$504,$A108,'AFA Rates'!$B$5:$B$504,G$24)&gt;0,"✓",""))</f>
        <v/>
      </c>
      <c r="H108" s="57">
        <f>IF(OR($A108="",H$24=""),"",IF(COUNTIFS('AFA Rates'!$A$5:$A$504,$A108,'AFA Rates'!$B$5:$B$504,H$24)&gt;0,"✓",""))</f>
        <v/>
      </c>
      <c r="I108" s="57">
        <f>IF(OR($A108="",I$24=""),"",IF(COUNTIFS('AFA Rates'!$A$5:$A$504,$A108,'AFA Rates'!$B$5:$B$504,I$24)&gt;0,"✓",""))</f>
        <v/>
      </c>
      <c r="J108" s="57">
        <f>IF(OR($A108="",J$24=""),"",IF(COUNTIFS('AFA Rates'!$A$5:$A$504,$A108,'AFA Rates'!$B$5:$B$504,J$24)&gt;0,"✓",""))</f>
        <v/>
      </c>
      <c r="K108" s="57">
        <f>IF(OR($A108="",K$24=""),"",IF(COUNTIFS('AFA Rates'!$A$5:$A$504,$A108,'AFA Rates'!$B$5:$B$504,K$24)&gt;0,"✓",""))</f>
        <v/>
      </c>
      <c r="L108" s="57">
        <f>IF(OR($A108="",L$24=""),"",IF(COUNTIFS('AFA Rates'!$A$5:$A$504,$A108,'AFA Rates'!$B$5:$B$504,L$24)&gt;0,"✓",""))</f>
        <v/>
      </c>
      <c r="M108" s="57">
        <f>IF(OR($A108="",M$24=""),"",IF(COUNTIFS('AFA Rates'!$A$5:$A$504,$A108,'AFA Rates'!$B$5:$B$504,M$24)&gt;0,"✓",""))</f>
        <v/>
      </c>
    </row>
    <row r="109">
      <c r="A109" s="63">
        <f>IFERROR(INDEX(Firms!$A$5:$A$504,MATCH(85,Firms!$S$5:$S$504,0)),"")</f>
        <v/>
      </c>
      <c r="B109" s="57">
        <f>IF($A109="","",INDEX(Firms!$B$5:$B$504,MATCH(85,Firms!$S$5:$S$504,0)))</f>
        <v/>
      </c>
      <c r="C109" s="57">
        <f>IF($A109="","",COUNTIF('AFA Rates'!$A$5:$A$504,$A109))</f>
        <v/>
      </c>
      <c r="D109" s="57">
        <f>IF(OR($A109="",D$24=""),"",IF(COUNTIFS('AFA Rates'!$A$5:$A$504,$A109,'AFA Rates'!$B$5:$B$504,D$24)&gt;0,"✓",""))</f>
        <v/>
      </c>
      <c r="E109" s="57">
        <f>IF(OR($A109="",E$24=""),"",IF(COUNTIFS('AFA Rates'!$A$5:$A$504,$A109,'AFA Rates'!$B$5:$B$504,E$24)&gt;0,"✓",""))</f>
        <v/>
      </c>
      <c r="F109" s="57">
        <f>IF(OR($A109="",F$24=""),"",IF(COUNTIFS('AFA Rates'!$A$5:$A$504,$A109,'AFA Rates'!$B$5:$B$504,F$24)&gt;0,"✓",""))</f>
        <v/>
      </c>
      <c r="G109" s="57">
        <f>IF(OR($A109="",G$24=""),"",IF(COUNTIFS('AFA Rates'!$A$5:$A$504,$A109,'AFA Rates'!$B$5:$B$504,G$24)&gt;0,"✓",""))</f>
        <v/>
      </c>
      <c r="H109" s="57">
        <f>IF(OR($A109="",H$24=""),"",IF(COUNTIFS('AFA Rates'!$A$5:$A$504,$A109,'AFA Rates'!$B$5:$B$504,H$24)&gt;0,"✓",""))</f>
        <v/>
      </c>
      <c r="I109" s="57">
        <f>IF(OR($A109="",I$24=""),"",IF(COUNTIFS('AFA Rates'!$A$5:$A$504,$A109,'AFA Rates'!$B$5:$B$504,I$24)&gt;0,"✓",""))</f>
        <v/>
      </c>
      <c r="J109" s="57">
        <f>IF(OR($A109="",J$24=""),"",IF(COUNTIFS('AFA Rates'!$A$5:$A$504,$A109,'AFA Rates'!$B$5:$B$504,J$24)&gt;0,"✓",""))</f>
        <v/>
      </c>
      <c r="K109" s="57">
        <f>IF(OR($A109="",K$24=""),"",IF(COUNTIFS('AFA Rates'!$A$5:$A$504,$A109,'AFA Rates'!$B$5:$B$504,K$24)&gt;0,"✓",""))</f>
        <v/>
      </c>
      <c r="L109" s="57">
        <f>IF(OR($A109="",L$24=""),"",IF(COUNTIFS('AFA Rates'!$A$5:$A$504,$A109,'AFA Rates'!$B$5:$B$504,L$24)&gt;0,"✓",""))</f>
        <v/>
      </c>
      <c r="M109" s="57">
        <f>IF(OR($A109="",M$24=""),"",IF(COUNTIFS('AFA Rates'!$A$5:$A$504,$A109,'AFA Rates'!$B$5:$B$504,M$24)&gt;0,"✓",""))</f>
        <v/>
      </c>
    </row>
    <row r="110">
      <c r="A110" s="63">
        <f>IFERROR(INDEX(Firms!$A$5:$A$504,MATCH(86,Firms!$S$5:$S$504,0)),"")</f>
        <v/>
      </c>
      <c r="B110" s="57">
        <f>IF($A110="","",INDEX(Firms!$B$5:$B$504,MATCH(86,Firms!$S$5:$S$504,0)))</f>
        <v/>
      </c>
      <c r="C110" s="57">
        <f>IF($A110="","",COUNTIF('AFA Rates'!$A$5:$A$504,$A110))</f>
        <v/>
      </c>
      <c r="D110" s="57">
        <f>IF(OR($A110="",D$24=""),"",IF(COUNTIFS('AFA Rates'!$A$5:$A$504,$A110,'AFA Rates'!$B$5:$B$504,D$24)&gt;0,"✓",""))</f>
        <v/>
      </c>
      <c r="E110" s="57">
        <f>IF(OR($A110="",E$24=""),"",IF(COUNTIFS('AFA Rates'!$A$5:$A$504,$A110,'AFA Rates'!$B$5:$B$504,E$24)&gt;0,"✓",""))</f>
        <v/>
      </c>
      <c r="F110" s="57">
        <f>IF(OR($A110="",F$24=""),"",IF(COUNTIFS('AFA Rates'!$A$5:$A$504,$A110,'AFA Rates'!$B$5:$B$504,F$24)&gt;0,"✓",""))</f>
        <v/>
      </c>
      <c r="G110" s="57">
        <f>IF(OR($A110="",G$24=""),"",IF(COUNTIFS('AFA Rates'!$A$5:$A$504,$A110,'AFA Rates'!$B$5:$B$504,G$24)&gt;0,"✓",""))</f>
        <v/>
      </c>
      <c r="H110" s="57">
        <f>IF(OR($A110="",H$24=""),"",IF(COUNTIFS('AFA Rates'!$A$5:$A$504,$A110,'AFA Rates'!$B$5:$B$504,H$24)&gt;0,"✓",""))</f>
        <v/>
      </c>
      <c r="I110" s="57">
        <f>IF(OR($A110="",I$24=""),"",IF(COUNTIFS('AFA Rates'!$A$5:$A$504,$A110,'AFA Rates'!$B$5:$B$504,I$24)&gt;0,"✓",""))</f>
        <v/>
      </c>
      <c r="J110" s="57">
        <f>IF(OR($A110="",J$24=""),"",IF(COUNTIFS('AFA Rates'!$A$5:$A$504,$A110,'AFA Rates'!$B$5:$B$504,J$24)&gt;0,"✓",""))</f>
        <v/>
      </c>
      <c r="K110" s="57">
        <f>IF(OR($A110="",K$24=""),"",IF(COUNTIFS('AFA Rates'!$A$5:$A$504,$A110,'AFA Rates'!$B$5:$B$504,K$24)&gt;0,"✓",""))</f>
        <v/>
      </c>
      <c r="L110" s="57">
        <f>IF(OR($A110="",L$24=""),"",IF(COUNTIFS('AFA Rates'!$A$5:$A$504,$A110,'AFA Rates'!$B$5:$B$504,L$24)&gt;0,"✓",""))</f>
        <v/>
      </c>
      <c r="M110" s="57">
        <f>IF(OR($A110="",M$24=""),"",IF(COUNTIFS('AFA Rates'!$A$5:$A$504,$A110,'AFA Rates'!$B$5:$B$504,M$24)&gt;0,"✓",""))</f>
        <v/>
      </c>
    </row>
    <row r="111">
      <c r="A111" s="63">
        <f>IFERROR(INDEX(Firms!$A$5:$A$504,MATCH(87,Firms!$S$5:$S$504,0)),"")</f>
        <v/>
      </c>
      <c r="B111" s="57">
        <f>IF($A111="","",INDEX(Firms!$B$5:$B$504,MATCH(87,Firms!$S$5:$S$504,0)))</f>
        <v/>
      </c>
      <c r="C111" s="57">
        <f>IF($A111="","",COUNTIF('AFA Rates'!$A$5:$A$504,$A111))</f>
        <v/>
      </c>
      <c r="D111" s="57">
        <f>IF(OR($A111="",D$24=""),"",IF(COUNTIFS('AFA Rates'!$A$5:$A$504,$A111,'AFA Rates'!$B$5:$B$504,D$24)&gt;0,"✓",""))</f>
        <v/>
      </c>
      <c r="E111" s="57">
        <f>IF(OR($A111="",E$24=""),"",IF(COUNTIFS('AFA Rates'!$A$5:$A$504,$A111,'AFA Rates'!$B$5:$B$504,E$24)&gt;0,"✓",""))</f>
        <v/>
      </c>
      <c r="F111" s="57">
        <f>IF(OR($A111="",F$24=""),"",IF(COUNTIFS('AFA Rates'!$A$5:$A$504,$A111,'AFA Rates'!$B$5:$B$504,F$24)&gt;0,"✓",""))</f>
        <v/>
      </c>
      <c r="G111" s="57">
        <f>IF(OR($A111="",G$24=""),"",IF(COUNTIFS('AFA Rates'!$A$5:$A$504,$A111,'AFA Rates'!$B$5:$B$504,G$24)&gt;0,"✓",""))</f>
        <v/>
      </c>
      <c r="H111" s="57">
        <f>IF(OR($A111="",H$24=""),"",IF(COUNTIFS('AFA Rates'!$A$5:$A$504,$A111,'AFA Rates'!$B$5:$B$504,H$24)&gt;0,"✓",""))</f>
        <v/>
      </c>
      <c r="I111" s="57">
        <f>IF(OR($A111="",I$24=""),"",IF(COUNTIFS('AFA Rates'!$A$5:$A$504,$A111,'AFA Rates'!$B$5:$B$504,I$24)&gt;0,"✓",""))</f>
        <v/>
      </c>
      <c r="J111" s="57">
        <f>IF(OR($A111="",J$24=""),"",IF(COUNTIFS('AFA Rates'!$A$5:$A$504,$A111,'AFA Rates'!$B$5:$B$504,J$24)&gt;0,"✓",""))</f>
        <v/>
      </c>
      <c r="K111" s="57">
        <f>IF(OR($A111="",K$24=""),"",IF(COUNTIFS('AFA Rates'!$A$5:$A$504,$A111,'AFA Rates'!$B$5:$B$504,K$24)&gt;0,"✓",""))</f>
        <v/>
      </c>
      <c r="L111" s="57">
        <f>IF(OR($A111="",L$24=""),"",IF(COUNTIFS('AFA Rates'!$A$5:$A$504,$A111,'AFA Rates'!$B$5:$B$504,L$24)&gt;0,"✓",""))</f>
        <v/>
      </c>
      <c r="M111" s="57">
        <f>IF(OR($A111="",M$24=""),"",IF(COUNTIFS('AFA Rates'!$A$5:$A$504,$A111,'AFA Rates'!$B$5:$B$504,M$24)&gt;0,"✓",""))</f>
        <v/>
      </c>
    </row>
    <row r="112">
      <c r="A112" s="63">
        <f>IFERROR(INDEX(Firms!$A$5:$A$504,MATCH(88,Firms!$S$5:$S$504,0)),"")</f>
        <v/>
      </c>
      <c r="B112" s="57">
        <f>IF($A112="","",INDEX(Firms!$B$5:$B$504,MATCH(88,Firms!$S$5:$S$504,0)))</f>
        <v/>
      </c>
      <c r="C112" s="57">
        <f>IF($A112="","",COUNTIF('AFA Rates'!$A$5:$A$504,$A112))</f>
        <v/>
      </c>
      <c r="D112" s="57">
        <f>IF(OR($A112="",D$24=""),"",IF(COUNTIFS('AFA Rates'!$A$5:$A$504,$A112,'AFA Rates'!$B$5:$B$504,D$24)&gt;0,"✓",""))</f>
        <v/>
      </c>
      <c r="E112" s="57">
        <f>IF(OR($A112="",E$24=""),"",IF(COUNTIFS('AFA Rates'!$A$5:$A$504,$A112,'AFA Rates'!$B$5:$B$504,E$24)&gt;0,"✓",""))</f>
        <v/>
      </c>
      <c r="F112" s="57">
        <f>IF(OR($A112="",F$24=""),"",IF(COUNTIFS('AFA Rates'!$A$5:$A$504,$A112,'AFA Rates'!$B$5:$B$504,F$24)&gt;0,"✓",""))</f>
        <v/>
      </c>
      <c r="G112" s="57">
        <f>IF(OR($A112="",G$24=""),"",IF(COUNTIFS('AFA Rates'!$A$5:$A$504,$A112,'AFA Rates'!$B$5:$B$504,G$24)&gt;0,"✓",""))</f>
        <v/>
      </c>
      <c r="H112" s="57">
        <f>IF(OR($A112="",H$24=""),"",IF(COUNTIFS('AFA Rates'!$A$5:$A$504,$A112,'AFA Rates'!$B$5:$B$504,H$24)&gt;0,"✓",""))</f>
        <v/>
      </c>
      <c r="I112" s="57">
        <f>IF(OR($A112="",I$24=""),"",IF(COUNTIFS('AFA Rates'!$A$5:$A$504,$A112,'AFA Rates'!$B$5:$B$504,I$24)&gt;0,"✓",""))</f>
        <v/>
      </c>
      <c r="J112" s="57">
        <f>IF(OR($A112="",J$24=""),"",IF(COUNTIFS('AFA Rates'!$A$5:$A$504,$A112,'AFA Rates'!$B$5:$B$504,J$24)&gt;0,"✓",""))</f>
        <v/>
      </c>
      <c r="K112" s="57">
        <f>IF(OR($A112="",K$24=""),"",IF(COUNTIFS('AFA Rates'!$A$5:$A$504,$A112,'AFA Rates'!$B$5:$B$504,K$24)&gt;0,"✓",""))</f>
        <v/>
      </c>
      <c r="L112" s="57">
        <f>IF(OR($A112="",L$24=""),"",IF(COUNTIFS('AFA Rates'!$A$5:$A$504,$A112,'AFA Rates'!$B$5:$B$504,L$24)&gt;0,"✓",""))</f>
        <v/>
      </c>
      <c r="M112" s="57">
        <f>IF(OR($A112="",M$24=""),"",IF(COUNTIFS('AFA Rates'!$A$5:$A$504,$A112,'AFA Rates'!$B$5:$B$504,M$24)&gt;0,"✓",""))</f>
        <v/>
      </c>
    </row>
    <row r="113">
      <c r="A113" s="63">
        <f>IFERROR(INDEX(Firms!$A$5:$A$504,MATCH(89,Firms!$S$5:$S$504,0)),"")</f>
        <v/>
      </c>
      <c r="B113" s="57">
        <f>IF($A113="","",INDEX(Firms!$B$5:$B$504,MATCH(89,Firms!$S$5:$S$504,0)))</f>
        <v/>
      </c>
      <c r="C113" s="57">
        <f>IF($A113="","",COUNTIF('AFA Rates'!$A$5:$A$504,$A113))</f>
        <v/>
      </c>
      <c r="D113" s="57">
        <f>IF(OR($A113="",D$24=""),"",IF(COUNTIFS('AFA Rates'!$A$5:$A$504,$A113,'AFA Rates'!$B$5:$B$504,D$24)&gt;0,"✓",""))</f>
        <v/>
      </c>
      <c r="E113" s="57">
        <f>IF(OR($A113="",E$24=""),"",IF(COUNTIFS('AFA Rates'!$A$5:$A$504,$A113,'AFA Rates'!$B$5:$B$504,E$24)&gt;0,"✓",""))</f>
        <v/>
      </c>
      <c r="F113" s="57">
        <f>IF(OR($A113="",F$24=""),"",IF(COUNTIFS('AFA Rates'!$A$5:$A$504,$A113,'AFA Rates'!$B$5:$B$504,F$24)&gt;0,"✓",""))</f>
        <v/>
      </c>
      <c r="G113" s="57">
        <f>IF(OR($A113="",G$24=""),"",IF(COUNTIFS('AFA Rates'!$A$5:$A$504,$A113,'AFA Rates'!$B$5:$B$504,G$24)&gt;0,"✓",""))</f>
        <v/>
      </c>
      <c r="H113" s="57">
        <f>IF(OR($A113="",H$24=""),"",IF(COUNTIFS('AFA Rates'!$A$5:$A$504,$A113,'AFA Rates'!$B$5:$B$504,H$24)&gt;0,"✓",""))</f>
        <v/>
      </c>
      <c r="I113" s="57">
        <f>IF(OR($A113="",I$24=""),"",IF(COUNTIFS('AFA Rates'!$A$5:$A$504,$A113,'AFA Rates'!$B$5:$B$504,I$24)&gt;0,"✓",""))</f>
        <v/>
      </c>
      <c r="J113" s="57">
        <f>IF(OR($A113="",J$24=""),"",IF(COUNTIFS('AFA Rates'!$A$5:$A$504,$A113,'AFA Rates'!$B$5:$B$504,J$24)&gt;0,"✓",""))</f>
        <v/>
      </c>
      <c r="K113" s="57">
        <f>IF(OR($A113="",K$24=""),"",IF(COUNTIFS('AFA Rates'!$A$5:$A$504,$A113,'AFA Rates'!$B$5:$B$504,K$24)&gt;0,"✓",""))</f>
        <v/>
      </c>
      <c r="L113" s="57">
        <f>IF(OR($A113="",L$24=""),"",IF(COUNTIFS('AFA Rates'!$A$5:$A$504,$A113,'AFA Rates'!$B$5:$B$504,L$24)&gt;0,"✓",""))</f>
        <v/>
      </c>
      <c r="M113" s="57">
        <f>IF(OR($A113="",M$24=""),"",IF(COUNTIFS('AFA Rates'!$A$5:$A$504,$A113,'AFA Rates'!$B$5:$B$504,M$24)&gt;0,"✓",""))</f>
        <v/>
      </c>
    </row>
    <row r="114">
      <c r="A114" s="63">
        <f>IFERROR(INDEX(Firms!$A$5:$A$504,MATCH(90,Firms!$S$5:$S$504,0)),"")</f>
        <v/>
      </c>
      <c r="B114" s="57">
        <f>IF($A114="","",INDEX(Firms!$B$5:$B$504,MATCH(90,Firms!$S$5:$S$504,0)))</f>
        <v/>
      </c>
      <c r="C114" s="57">
        <f>IF($A114="","",COUNTIF('AFA Rates'!$A$5:$A$504,$A114))</f>
        <v/>
      </c>
      <c r="D114" s="57">
        <f>IF(OR($A114="",D$24=""),"",IF(COUNTIFS('AFA Rates'!$A$5:$A$504,$A114,'AFA Rates'!$B$5:$B$504,D$24)&gt;0,"✓",""))</f>
        <v/>
      </c>
      <c r="E114" s="57">
        <f>IF(OR($A114="",E$24=""),"",IF(COUNTIFS('AFA Rates'!$A$5:$A$504,$A114,'AFA Rates'!$B$5:$B$504,E$24)&gt;0,"✓",""))</f>
        <v/>
      </c>
      <c r="F114" s="57">
        <f>IF(OR($A114="",F$24=""),"",IF(COUNTIFS('AFA Rates'!$A$5:$A$504,$A114,'AFA Rates'!$B$5:$B$504,F$24)&gt;0,"✓",""))</f>
        <v/>
      </c>
      <c r="G114" s="57">
        <f>IF(OR($A114="",G$24=""),"",IF(COUNTIFS('AFA Rates'!$A$5:$A$504,$A114,'AFA Rates'!$B$5:$B$504,G$24)&gt;0,"✓",""))</f>
        <v/>
      </c>
      <c r="H114" s="57">
        <f>IF(OR($A114="",H$24=""),"",IF(COUNTIFS('AFA Rates'!$A$5:$A$504,$A114,'AFA Rates'!$B$5:$B$504,H$24)&gt;0,"✓",""))</f>
        <v/>
      </c>
      <c r="I114" s="57">
        <f>IF(OR($A114="",I$24=""),"",IF(COUNTIFS('AFA Rates'!$A$5:$A$504,$A114,'AFA Rates'!$B$5:$B$504,I$24)&gt;0,"✓",""))</f>
        <v/>
      </c>
      <c r="J114" s="57">
        <f>IF(OR($A114="",J$24=""),"",IF(COUNTIFS('AFA Rates'!$A$5:$A$504,$A114,'AFA Rates'!$B$5:$B$504,J$24)&gt;0,"✓",""))</f>
        <v/>
      </c>
      <c r="K114" s="57">
        <f>IF(OR($A114="",K$24=""),"",IF(COUNTIFS('AFA Rates'!$A$5:$A$504,$A114,'AFA Rates'!$B$5:$B$504,K$24)&gt;0,"✓",""))</f>
        <v/>
      </c>
      <c r="L114" s="57">
        <f>IF(OR($A114="",L$24=""),"",IF(COUNTIFS('AFA Rates'!$A$5:$A$504,$A114,'AFA Rates'!$B$5:$B$504,L$24)&gt;0,"✓",""))</f>
        <v/>
      </c>
      <c r="M114" s="57">
        <f>IF(OR($A114="",M$24=""),"",IF(COUNTIFS('AFA Rates'!$A$5:$A$504,$A114,'AFA Rates'!$B$5:$B$504,M$24)&gt;0,"✓",""))</f>
        <v/>
      </c>
    </row>
    <row r="115">
      <c r="A115" s="63">
        <f>IFERROR(INDEX(Firms!$A$5:$A$504,MATCH(91,Firms!$S$5:$S$504,0)),"")</f>
        <v/>
      </c>
      <c r="B115" s="57">
        <f>IF($A115="","",INDEX(Firms!$B$5:$B$504,MATCH(91,Firms!$S$5:$S$504,0)))</f>
        <v/>
      </c>
      <c r="C115" s="57">
        <f>IF($A115="","",COUNTIF('AFA Rates'!$A$5:$A$504,$A115))</f>
        <v/>
      </c>
      <c r="D115" s="57">
        <f>IF(OR($A115="",D$24=""),"",IF(COUNTIFS('AFA Rates'!$A$5:$A$504,$A115,'AFA Rates'!$B$5:$B$504,D$24)&gt;0,"✓",""))</f>
        <v/>
      </c>
      <c r="E115" s="57">
        <f>IF(OR($A115="",E$24=""),"",IF(COUNTIFS('AFA Rates'!$A$5:$A$504,$A115,'AFA Rates'!$B$5:$B$504,E$24)&gt;0,"✓",""))</f>
        <v/>
      </c>
      <c r="F115" s="57">
        <f>IF(OR($A115="",F$24=""),"",IF(COUNTIFS('AFA Rates'!$A$5:$A$504,$A115,'AFA Rates'!$B$5:$B$504,F$24)&gt;0,"✓",""))</f>
        <v/>
      </c>
      <c r="G115" s="57">
        <f>IF(OR($A115="",G$24=""),"",IF(COUNTIFS('AFA Rates'!$A$5:$A$504,$A115,'AFA Rates'!$B$5:$B$504,G$24)&gt;0,"✓",""))</f>
        <v/>
      </c>
      <c r="H115" s="57">
        <f>IF(OR($A115="",H$24=""),"",IF(COUNTIFS('AFA Rates'!$A$5:$A$504,$A115,'AFA Rates'!$B$5:$B$504,H$24)&gt;0,"✓",""))</f>
        <v/>
      </c>
      <c r="I115" s="57">
        <f>IF(OR($A115="",I$24=""),"",IF(COUNTIFS('AFA Rates'!$A$5:$A$504,$A115,'AFA Rates'!$B$5:$B$504,I$24)&gt;0,"✓",""))</f>
        <v/>
      </c>
      <c r="J115" s="57">
        <f>IF(OR($A115="",J$24=""),"",IF(COUNTIFS('AFA Rates'!$A$5:$A$504,$A115,'AFA Rates'!$B$5:$B$504,J$24)&gt;0,"✓",""))</f>
        <v/>
      </c>
      <c r="K115" s="57">
        <f>IF(OR($A115="",K$24=""),"",IF(COUNTIFS('AFA Rates'!$A$5:$A$504,$A115,'AFA Rates'!$B$5:$B$504,K$24)&gt;0,"✓",""))</f>
        <v/>
      </c>
      <c r="L115" s="57">
        <f>IF(OR($A115="",L$24=""),"",IF(COUNTIFS('AFA Rates'!$A$5:$A$504,$A115,'AFA Rates'!$B$5:$B$504,L$24)&gt;0,"✓",""))</f>
        <v/>
      </c>
      <c r="M115" s="57">
        <f>IF(OR($A115="",M$24=""),"",IF(COUNTIFS('AFA Rates'!$A$5:$A$504,$A115,'AFA Rates'!$B$5:$B$504,M$24)&gt;0,"✓",""))</f>
        <v/>
      </c>
    </row>
    <row r="116">
      <c r="A116" s="63">
        <f>IFERROR(INDEX(Firms!$A$5:$A$504,MATCH(92,Firms!$S$5:$S$504,0)),"")</f>
        <v/>
      </c>
      <c r="B116" s="57">
        <f>IF($A116="","",INDEX(Firms!$B$5:$B$504,MATCH(92,Firms!$S$5:$S$504,0)))</f>
        <v/>
      </c>
      <c r="C116" s="57">
        <f>IF($A116="","",COUNTIF('AFA Rates'!$A$5:$A$504,$A116))</f>
        <v/>
      </c>
      <c r="D116" s="57">
        <f>IF(OR($A116="",D$24=""),"",IF(COUNTIFS('AFA Rates'!$A$5:$A$504,$A116,'AFA Rates'!$B$5:$B$504,D$24)&gt;0,"✓",""))</f>
        <v/>
      </c>
      <c r="E116" s="57">
        <f>IF(OR($A116="",E$24=""),"",IF(COUNTIFS('AFA Rates'!$A$5:$A$504,$A116,'AFA Rates'!$B$5:$B$504,E$24)&gt;0,"✓",""))</f>
        <v/>
      </c>
      <c r="F116" s="57">
        <f>IF(OR($A116="",F$24=""),"",IF(COUNTIFS('AFA Rates'!$A$5:$A$504,$A116,'AFA Rates'!$B$5:$B$504,F$24)&gt;0,"✓",""))</f>
        <v/>
      </c>
      <c r="G116" s="57">
        <f>IF(OR($A116="",G$24=""),"",IF(COUNTIFS('AFA Rates'!$A$5:$A$504,$A116,'AFA Rates'!$B$5:$B$504,G$24)&gt;0,"✓",""))</f>
        <v/>
      </c>
      <c r="H116" s="57">
        <f>IF(OR($A116="",H$24=""),"",IF(COUNTIFS('AFA Rates'!$A$5:$A$504,$A116,'AFA Rates'!$B$5:$B$504,H$24)&gt;0,"✓",""))</f>
        <v/>
      </c>
      <c r="I116" s="57">
        <f>IF(OR($A116="",I$24=""),"",IF(COUNTIFS('AFA Rates'!$A$5:$A$504,$A116,'AFA Rates'!$B$5:$B$504,I$24)&gt;0,"✓",""))</f>
        <v/>
      </c>
      <c r="J116" s="57">
        <f>IF(OR($A116="",J$24=""),"",IF(COUNTIFS('AFA Rates'!$A$5:$A$504,$A116,'AFA Rates'!$B$5:$B$504,J$24)&gt;0,"✓",""))</f>
        <v/>
      </c>
      <c r="K116" s="57">
        <f>IF(OR($A116="",K$24=""),"",IF(COUNTIFS('AFA Rates'!$A$5:$A$504,$A116,'AFA Rates'!$B$5:$B$504,K$24)&gt;0,"✓",""))</f>
        <v/>
      </c>
      <c r="L116" s="57">
        <f>IF(OR($A116="",L$24=""),"",IF(COUNTIFS('AFA Rates'!$A$5:$A$504,$A116,'AFA Rates'!$B$5:$B$504,L$24)&gt;0,"✓",""))</f>
        <v/>
      </c>
      <c r="M116" s="57">
        <f>IF(OR($A116="",M$24=""),"",IF(COUNTIFS('AFA Rates'!$A$5:$A$504,$A116,'AFA Rates'!$B$5:$B$504,M$24)&gt;0,"✓",""))</f>
        <v/>
      </c>
    </row>
    <row r="117">
      <c r="A117" s="63">
        <f>IFERROR(INDEX(Firms!$A$5:$A$504,MATCH(93,Firms!$S$5:$S$504,0)),"")</f>
        <v/>
      </c>
      <c r="B117" s="57">
        <f>IF($A117="","",INDEX(Firms!$B$5:$B$504,MATCH(93,Firms!$S$5:$S$504,0)))</f>
        <v/>
      </c>
      <c r="C117" s="57">
        <f>IF($A117="","",COUNTIF('AFA Rates'!$A$5:$A$504,$A117))</f>
        <v/>
      </c>
      <c r="D117" s="57">
        <f>IF(OR($A117="",D$24=""),"",IF(COUNTIFS('AFA Rates'!$A$5:$A$504,$A117,'AFA Rates'!$B$5:$B$504,D$24)&gt;0,"✓",""))</f>
        <v/>
      </c>
      <c r="E117" s="57">
        <f>IF(OR($A117="",E$24=""),"",IF(COUNTIFS('AFA Rates'!$A$5:$A$504,$A117,'AFA Rates'!$B$5:$B$504,E$24)&gt;0,"✓",""))</f>
        <v/>
      </c>
      <c r="F117" s="57">
        <f>IF(OR($A117="",F$24=""),"",IF(COUNTIFS('AFA Rates'!$A$5:$A$504,$A117,'AFA Rates'!$B$5:$B$504,F$24)&gt;0,"✓",""))</f>
        <v/>
      </c>
      <c r="G117" s="57">
        <f>IF(OR($A117="",G$24=""),"",IF(COUNTIFS('AFA Rates'!$A$5:$A$504,$A117,'AFA Rates'!$B$5:$B$504,G$24)&gt;0,"✓",""))</f>
        <v/>
      </c>
      <c r="H117" s="57">
        <f>IF(OR($A117="",H$24=""),"",IF(COUNTIFS('AFA Rates'!$A$5:$A$504,$A117,'AFA Rates'!$B$5:$B$504,H$24)&gt;0,"✓",""))</f>
        <v/>
      </c>
      <c r="I117" s="57">
        <f>IF(OR($A117="",I$24=""),"",IF(COUNTIFS('AFA Rates'!$A$5:$A$504,$A117,'AFA Rates'!$B$5:$B$504,I$24)&gt;0,"✓",""))</f>
        <v/>
      </c>
      <c r="J117" s="57">
        <f>IF(OR($A117="",J$24=""),"",IF(COUNTIFS('AFA Rates'!$A$5:$A$504,$A117,'AFA Rates'!$B$5:$B$504,J$24)&gt;0,"✓",""))</f>
        <v/>
      </c>
      <c r="K117" s="57">
        <f>IF(OR($A117="",K$24=""),"",IF(COUNTIFS('AFA Rates'!$A$5:$A$504,$A117,'AFA Rates'!$B$5:$B$504,K$24)&gt;0,"✓",""))</f>
        <v/>
      </c>
      <c r="L117" s="57">
        <f>IF(OR($A117="",L$24=""),"",IF(COUNTIFS('AFA Rates'!$A$5:$A$504,$A117,'AFA Rates'!$B$5:$B$504,L$24)&gt;0,"✓",""))</f>
        <v/>
      </c>
      <c r="M117" s="57">
        <f>IF(OR($A117="",M$24=""),"",IF(COUNTIFS('AFA Rates'!$A$5:$A$504,$A117,'AFA Rates'!$B$5:$B$504,M$24)&gt;0,"✓",""))</f>
        <v/>
      </c>
    </row>
    <row r="118">
      <c r="A118" s="63">
        <f>IFERROR(INDEX(Firms!$A$5:$A$504,MATCH(94,Firms!$S$5:$S$504,0)),"")</f>
        <v/>
      </c>
      <c r="B118" s="57">
        <f>IF($A118="","",INDEX(Firms!$B$5:$B$504,MATCH(94,Firms!$S$5:$S$504,0)))</f>
        <v/>
      </c>
      <c r="C118" s="57">
        <f>IF($A118="","",COUNTIF('AFA Rates'!$A$5:$A$504,$A118))</f>
        <v/>
      </c>
      <c r="D118" s="57">
        <f>IF(OR($A118="",D$24=""),"",IF(COUNTIFS('AFA Rates'!$A$5:$A$504,$A118,'AFA Rates'!$B$5:$B$504,D$24)&gt;0,"✓",""))</f>
        <v/>
      </c>
      <c r="E118" s="57">
        <f>IF(OR($A118="",E$24=""),"",IF(COUNTIFS('AFA Rates'!$A$5:$A$504,$A118,'AFA Rates'!$B$5:$B$504,E$24)&gt;0,"✓",""))</f>
        <v/>
      </c>
      <c r="F118" s="57">
        <f>IF(OR($A118="",F$24=""),"",IF(COUNTIFS('AFA Rates'!$A$5:$A$504,$A118,'AFA Rates'!$B$5:$B$504,F$24)&gt;0,"✓",""))</f>
        <v/>
      </c>
      <c r="G118" s="57">
        <f>IF(OR($A118="",G$24=""),"",IF(COUNTIFS('AFA Rates'!$A$5:$A$504,$A118,'AFA Rates'!$B$5:$B$504,G$24)&gt;0,"✓",""))</f>
        <v/>
      </c>
      <c r="H118" s="57">
        <f>IF(OR($A118="",H$24=""),"",IF(COUNTIFS('AFA Rates'!$A$5:$A$504,$A118,'AFA Rates'!$B$5:$B$504,H$24)&gt;0,"✓",""))</f>
        <v/>
      </c>
      <c r="I118" s="57">
        <f>IF(OR($A118="",I$24=""),"",IF(COUNTIFS('AFA Rates'!$A$5:$A$504,$A118,'AFA Rates'!$B$5:$B$504,I$24)&gt;0,"✓",""))</f>
        <v/>
      </c>
      <c r="J118" s="57">
        <f>IF(OR($A118="",J$24=""),"",IF(COUNTIFS('AFA Rates'!$A$5:$A$504,$A118,'AFA Rates'!$B$5:$B$504,J$24)&gt;0,"✓",""))</f>
        <v/>
      </c>
      <c r="K118" s="57">
        <f>IF(OR($A118="",K$24=""),"",IF(COUNTIFS('AFA Rates'!$A$5:$A$504,$A118,'AFA Rates'!$B$5:$B$504,K$24)&gt;0,"✓",""))</f>
        <v/>
      </c>
      <c r="L118" s="57">
        <f>IF(OR($A118="",L$24=""),"",IF(COUNTIFS('AFA Rates'!$A$5:$A$504,$A118,'AFA Rates'!$B$5:$B$504,L$24)&gt;0,"✓",""))</f>
        <v/>
      </c>
      <c r="M118" s="57">
        <f>IF(OR($A118="",M$24=""),"",IF(COUNTIFS('AFA Rates'!$A$5:$A$504,$A118,'AFA Rates'!$B$5:$B$504,M$24)&gt;0,"✓",""))</f>
        <v/>
      </c>
    </row>
    <row r="119">
      <c r="A119" s="63">
        <f>IFERROR(INDEX(Firms!$A$5:$A$504,MATCH(95,Firms!$S$5:$S$504,0)),"")</f>
        <v/>
      </c>
      <c r="B119" s="57">
        <f>IF($A119="","",INDEX(Firms!$B$5:$B$504,MATCH(95,Firms!$S$5:$S$504,0)))</f>
        <v/>
      </c>
      <c r="C119" s="57">
        <f>IF($A119="","",COUNTIF('AFA Rates'!$A$5:$A$504,$A119))</f>
        <v/>
      </c>
      <c r="D119" s="57">
        <f>IF(OR($A119="",D$24=""),"",IF(COUNTIFS('AFA Rates'!$A$5:$A$504,$A119,'AFA Rates'!$B$5:$B$504,D$24)&gt;0,"✓",""))</f>
        <v/>
      </c>
      <c r="E119" s="57">
        <f>IF(OR($A119="",E$24=""),"",IF(COUNTIFS('AFA Rates'!$A$5:$A$504,$A119,'AFA Rates'!$B$5:$B$504,E$24)&gt;0,"✓",""))</f>
        <v/>
      </c>
      <c r="F119" s="57">
        <f>IF(OR($A119="",F$24=""),"",IF(COUNTIFS('AFA Rates'!$A$5:$A$504,$A119,'AFA Rates'!$B$5:$B$504,F$24)&gt;0,"✓",""))</f>
        <v/>
      </c>
      <c r="G119" s="57">
        <f>IF(OR($A119="",G$24=""),"",IF(COUNTIFS('AFA Rates'!$A$5:$A$504,$A119,'AFA Rates'!$B$5:$B$504,G$24)&gt;0,"✓",""))</f>
        <v/>
      </c>
      <c r="H119" s="57">
        <f>IF(OR($A119="",H$24=""),"",IF(COUNTIFS('AFA Rates'!$A$5:$A$504,$A119,'AFA Rates'!$B$5:$B$504,H$24)&gt;0,"✓",""))</f>
        <v/>
      </c>
      <c r="I119" s="57">
        <f>IF(OR($A119="",I$24=""),"",IF(COUNTIFS('AFA Rates'!$A$5:$A$504,$A119,'AFA Rates'!$B$5:$B$504,I$24)&gt;0,"✓",""))</f>
        <v/>
      </c>
      <c r="J119" s="57">
        <f>IF(OR($A119="",J$24=""),"",IF(COUNTIFS('AFA Rates'!$A$5:$A$504,$A119,'AFA Rates'!$B$5:$B$504,J$24)&gt;0,"✓",""))</f>
        <v/>
      </c>
      <c r="K119" s="57">
        <f>IF(OR($A119="",K$24=""),"",IF(COUNTIFS('AFA Rates'!$A$5:$A$504,$A119,'AFA Rates'!$B$5:$B$504,K$24)&gt;0,"✓",""))</f>
        <v/>
      </c>
      <c r="L119" s="57">
        <f>IF(OR($A119="",L$24=""),"",IF(COUNTIFS('AFA Rates'!$A$5:$A$504,$A119,'AFA Rates'!$B$5:$B$504,L$24)&gt;0,"✓",""))</f>
        <v/>
      </c>
      <c r="M119" s="57">
        <f>IF(OR($A119="",M$24=""),"",IF(COUNTIFS('AFA Rates'!$A$5:$A$504,$A119,'AFA Rates'!$B$5:$B$504,M$24)&gt;0,"✓",""))</f>
        <v/>
      </c>
    </row>
    <row r="120">
      <c r="A120" s="63">
        <f>IFERROR(INDEX(Firms!$A$5:$A$504,MATCH(96,Firms!$S$5:$S$504,0)),"")</f>
        <v/>
      </c>
      <c r="B120" s="57">
        <f>IF($A120="","",INDEX(Firms!$B$5:$B$504,MATCH(96,Firms!$S$5:$S$504,0)))</f>
        <v/>
      </c>
      <c r="C120" s="57">
        <f>IF($A120="","",COUNTIF('AFA Rates'!$A$5:$A$504,$A120))</f>
        <v/>
      </c>
      <c r="D120" s="57">
        <f>IF(OR($A120="",D$24=""),"",IF(COUNTIFS('AFA Rates'!$A$5:$A$504,$A120,'AFA Rates'!$B$5:$B$504,D$24)&gt;0,"✓",""))</f>
        <v/>
      </c>
      <c r="E120" s="57">
        <f>IF(OR($A120="",E$24=""),"",IF(COUNTIFS('AFA Rates'!$A$5:$A$504,$A120,'AFA Rates'!$B$5:$B$504,E$24)&gt;0,"✓",""))</f>
        <v/>
      </c>
      <c r="F120" s="57">
        <f>IF(OR($A120="",F$24=""),"",IF(COUNTIFS('AFA Rates'!$A$5:$A$504,$A120,'AFA Rates'!$B$5:$B$504,F$24)&gt;0,"✓",""))</f>
        <v/>
      </c>
      <c r="G120" s="57">
        <f>IF(OR($A120="",G$24=""),"",IF(COUNTIFS('AFA Rates'!$A$5:$A$504,$A120,'AFA Rates'!$B$5:$B$504,G$24)&gt;0,"✓",""))</f>
        <v/>
      </c>
      <c r="H120" s="57">
        <f>IF(OR($A120="",H$24=""),"",IF(COUNTIFS('AFA Rates'!$A$5:$A$504,$A120,'AFA Rates'!$B$5:$B$504,H$24)&gt;0,"✓",""))</f>
        <v/>
      </c>
      <c r="I120" s="57">
        <f>IF(OR($A120="",I$24=""),"",IF(COUNTIFS('AFA Rates'!$A$5:$A$504,$A120,'AFA Rates'!$B$5:$B$504,I$24)&gt;0,"✓",""))</f>
        <v/>
      </c>
      <c r="J120" s="57">
        <f>IF(OR($A120="",J$24=""),"",IF(COUNTIFS('AFA Rates'!$A$5:$A$504,$A120,'AFA Rates'!$B$5:$B$504,J$24)&gt;0,"✓",""))</f>
        <v/>
      </c>
      <c r="K120" s="57">
        <f>IF(OR($A120="",K$24=""),"",IF(COUNTIFS('AFA Rates'!$A$5:$A$504,$A120,'AFA Rates'!$B$5:$B$504,K$24)&gt;0,"✓",""))</f>
        <v/>
      </c>
      <c r="L120" s="57">
        <f>IF(OR($A120="",L$24=""),"",IF(COUNTIFS('AFA Rates'!$A$5:$A$504,$A120,'AFA Rates'!$B$5:$B$504,L$24)&gt;0,"✓",""))</f>
        <v/>
      </c>
      <c r="M120" s="57">
        <f>IF(OR($A120="",M$24=""),"",IF(COUNTIFS('AFA Rates'!$A$5:$A$504,$A120,'AFA Rates'!$B$5:$B$504,M$24)&gt;0,"✓",""))</f>
        <v/>
      </c>
    </row>
    <row r="121">
      <c r="A121" s="63">
        <f>IFERROR(INDEX(Firms!$A$5:$A$504,MATCH(97,Firms!$S$5:$S$504,0)),"")</f>
        <v/>
      </c>
      <c r="B121" s="57">
        <f>IF($A121="","",INDEX(Firms!$B$5:$B$504,MATCH(97,Firms!$S$5:$S$504,0)))</f>
        <v/>
      </c>
      <c r="C121" s="57">
        <f>IF($A121="","",COUNTIF('AFA Rates'!$A$5:$A$504,$A121))</f>
        <v/>
      </c>
      <c r="D121" s="57">
        <f>IF(OR($A121="",D$24=""),"",IF(COUNTIFS('AFA Rates'!$A$5:$A$504,$A121,'AFA Rates'!$B$5:$B$504,D$24)&gt;0,"✓",""))</f>
        <v/>
      </c>
      <c r="E121" s="57">
        <f>IF(OR($A121="",E$24=""),"",IF(COUNTIFS('AFA Rates'!$A$5:$A$504,$A121,'AFA Rates'!$B$5:$B$504,E$24)&gt;0,"✓",""))</f>
        <v/>
      </c>
      <c r="F121" s="57">
        <f>IF(OR($A121="",F$24=""),"",IF(COUNTIFS('AFA Rates'!$A$5:$A$504,$A121,'AFA Rates'!$B$5:$B$504,F$24)&gt;0,"✓",""))</f>
        <v/>
      </c>
      <c r="G121" s="57">
        <f>IF(OR($A121="",G$24=""),"",IF(COUNTIFS('AFA Rates'!$A$5:$A$504,$A121,'AFA Rates'!$B$5:$B$504,G$24)&gt;0,"✓",""))</f>
        <v/>
      </c>
      <c r="H121" s="57">
        <f>IF(OR($A121="",H$24=""),"",IF(COUNTIFS('AFA Rates'!$A$5:$A$504,$A121,'AFA Rates'!$B$5:$B$504,H$24)&gt;0,"✓",""))</f>
        <v/>
      </c>
      <c r="I121" s="57">
        <f>IF(OR($A121="",I$24=""),"",IF(COUNTIFS('AFA Rates'!$A$5:$A$504,$A121,'AFA Rates'!$B$5:$B$504,I$24)&gt;0,"✓",""))</f>
        <v/>
      </c>
      <c r="J121" s="57">
        <f>IF(OR($A121="",J$24=""),"",IF(COUNTIFS('AFA Rates'!$A$5:$A$504,$A121,'AFA Rates'!$B$5:$B$504,J$24)&gt;0,"✓",""))</f>
        <v/>
      </c>
      <c r="K121" s="57">
        <f>IF(OR($A121="",K$24=""),"",IF(COUNTIFS('AFA Rates'!$A$5:$A$504,$A121,'AFA Rates'!$B$5:$B$504,K$24)&gt;0,"✓",""))</f>
        <v/>
      </c>
      <c r="L121" s="57">
        <f>IF(OR($A121="",L$24=""),"",IF(COUNTIFS('AFA Rates'!$A$5:$A$504,$A121,'AFA Rates'!$B$5:$B$504,L$24)&gt;0,"✓",""))</f>
        <v/>
      </c>
      <c r="M121" s="57">
        <f>IF(OR($A121="",M$24=""),"",IF(COUNTIFS('AFA Rates'!$A$5:$A$504,$A121,'AFA Rates'!$B$5:$B$504,M$24)&gt;0,"✓",""))</f>
        <v/>
      </c>
    </row>
    <row r="122">
      <c r="A122" s="63">
        <f>IFERROR(INDEX(Firms!$A$5:$A$504,MATCH(98,Firms!$S$5:$S$504,0)),"")</f>
        <v/>
      </c>
      <c r="B122" s="57">
        <f>IF($A122="","",INDEX(Firms!$B$5:$B$504,MATCH(98,Firms!$S$5:$S$504,0)))</f>
        <v/>
      </c>
      <c r="C122" s="57">
        <f>IF($A122="","",COUNTIF('AFA Rates'!$A$5:$A$504,$A122))</f>
        <v/>
      </c>
      <c r="D122" s="57">
        <f>IF(OR($A122="",D$24=""),"",IF(COUNTIFS('AFA Rates'!$A$5:$A$504,$A122,'AFA Rates'!$B$5:$B$504,D$24)&gt;0,"✓",""))</f>
        <v/>
      </c>
      <c r="E122" s="57">
        <f>IF(OR($A122="",E$24=""),"",IF(COUNTIFS('AFA Rates'!$A$5:$A$504,$A122,'AFA Rates'!$B$5:$B$504,E$24)&gt;0,"✓",""))</f>
        <v/>
      </c>
      <c r="F122" s="57">
        <f>IF(OR($A122="",F$24=""),"",IF(COUNTIFS('AFA Rates'!$A$5:$A$504,$A122,'AFA Rates'!$B$5:$B$504,F$24)&gt;0,"✓",""))</f>
        <v/>
      </c>
      <c r="G122" s="57">
        <f>IF(OR($A122="",G$24=""),"",IF(COUNTIFS('AFA Rates'!$A$5:$A$504,$A122,'AFA Rates'!$B$5:$B$504,G$24)&gt;0,"✓",""))</f>
        <v/>
      </c>
      <c r="H122" s="57">
        <f>IF(OR($A122="",H$24=""),"",IF(COUNTIFS('AFA Rates'!$A$5:$A$504,$A122,'AFA Rates'!$B$5:$B$504,H$24)&gt;0,"✓",""))</f>
        <v/>
      </c>
      <c r="I122" s="57">
        <f>IF(OR($A122="",I$24=""),"",IF(COUNTIFS('AFA Rates'!$A$5:$A$504,$A122,'AFA Rates'!$B$5:$B$504,I$24)&gt;0,"✓",""))</f>
        <v/>
      </c>
      <c r="J122" s="57">
        <f>IF(OR($A122="",J$24=""),"",IF(COUNTIFS('AFA Rates'!$A$5:$A$504,$A122,'AFA Rates'!$B$5:$B$504,J$24)&gt;0,"✓",""))</f>
        <v/>
      </c>
      <c r="K122" s="57">
        <f>IF(OR($A122="",K$24=""),"",IF(COUNTIFS('AFA Rates'!$A$5:$A$504,$A122,'AFA Rates'!$B$5:$B$504,K$24)&gt;0,"✓",""))</f>
        <v/>
      </c>
      <c r="L122" s="57">
        <f>IF(OR($A122="",L$24=""),"",IF(COUNTIFS('AFA Rates'!$A$5:$A$504,$A122,'AFA Rates'!$B$5:$B$504,L$24)&gt;0,"✓",""))</f>
        <v/>
      </c>
      <c r="M122" s="57">
        <f>IF(OR($A122="",M$24=""),"",IF(COUNTIFS('AFA Rates'!$A$5:$A$504,$A122,'AFA Rates'!$B$5:$B$504,M$24)&gt;0,"✓",""))</f>
        <v/>
      </c>
    </row>
    <row r="123">
      <c r="A123" s="63">
        <f>IFERROR(INDEX(Firms!$A$5:$A$504,MATCH(99,Firms!$S$5:$S$504,0)),"")</f>
        <v/>
      </c>
      <c r="B123" s="57">
        <f>IF($A123="","",INDEX(Firms!$B$5:$B$504,MATCH(99,Firms!$S$5:$S$504,0)))</f>
        <v/>
      </c>
      <c r="C123" s="57">
        <f>IF($A123="","",COUNTIF('AFA Rates'!$A$5:$A$504,$A123))</f>
        <v/>
      </c>
      <c r="D123" s="57">
        <f>IF(OR($A123="",D$24=""),"",IF(COUNTIFS('AFA Rates'!$A$5:$A$504,$A123,'AFA Rates'!$B$5:$B$504,D$24)&gt;0,"✓",""))</f>
        <v/>
      </c>
      <c r="E123" s="57">
        <f>IF(OR($A123="",E$24=""),"",IF(COUNTIFS('AFA Rates'!$A$5:$A$504,$A123,'AFA Rates'!$B$5:$B$504,E$24)&gt;0,"✓",""))</f>
        <v/>
      </c>
      <c r="F123" s="57">
        <f>IF(OR($A123="",F$24=""),"",IF(COUNTIFS('AFA Rates'!$A$5:$A$504,$A123,'AFA Rates'!$B$5:$B$504,F$24)&gt;0,"✓",""))</f>
        <v/>
      </c>
      <c r="G123" s="57">
        <f>IF(OR($A123="",G$24=""),"",IF(COUNTIFS('AFA Rates'!$A$5:$A$504,$A123,'AFA Rates'!$B$5:$B$504,G$24)&gt;0,"✓",""))</f>
        <v/>
      </c>
      <c r="H123" s="57">
        <f>IF(OR($A123="",H$24=""),"",IF(COUNTIFS('AFA Rates'!$A$5:$A$504,$A123,'AFA Rates'!$B$5:$B$504,H$24)&gt;0,"✓",""))</f>
        <v/>
      </c>
      <c r="I123" s="57">
        <f>IF(OR($A123="",I$24=""),"",IF(COUNTIFS('AFA Rates'!$A$5:$A$504,$A123,'AFA Rates'!$B$5:$B$504,I$24)&gt;0,"✓",""))</f>
        <v/>
      </c>
      <c r="J123" s="57">
        <f>IF(OR($A123="",J$24=""),"",IF(COUNTIFS('AFA Rates'!$A$5:$A$504,$A123,'AFA Rates'!$B$5:$B$504,J$24)&gt;0,"✓",""))</f>
        <v/>
      </c>
      <c r="K123" s="57">
        <f>IF(OR($A123="",K$24=""),"",IF(COUNTIFS('AFA Rates'!$A$5:$A$504,$A123,'AFA Rates'!$B$5:$B$504,K$24)&gt;0,"✓",""))</f>
        <v/>
      </c>
      <c r="L123" s="57">
        <f>IF(OR($A123="",L$24=""),"",IF(COUNTIFS('AFA Rates'!$A$5:$A$504,$A123,'AFA Rates'!$B$5:$B$504,L$24)&gt;0,"✓",""))</f>
        <v/>
      </c>
      <c r="M123" s="57">
        <f>IF(OR($A123="",M$24=""),"",IF(COUNTIFS('AFA Rates'!$A$5:$A$504,$A123,'AFA Rates'!$B$5:$B$504,M$24)&gt;0,"✓",""))</f>
        <v/>
      </c>
    </row>
    <row r="124">
      <c r="A124" s="63">
        <f>IFERROR(INDEX(Firms!$A$5:$A$504,MATCH(100,Firms!$S$5:$S$504,0)),"")</f>
        <v/>
      </c>
      <c r="B124" s="57">
        <f>IF($A124="","",INDEX(Firms!$B$5:$B$504,MATCH(100,Firms!$S$5:$S$504,0)))</f>
        <v/>
      </c>
      <c r="C124" s="57">
        <f>IF($A124="","",COUNTIF('AFA Rates'!$A$5:$A$504,$A124))</f>
        <v/>
      </c>
      <c r="D124" s="57">
        <f>IF(OR($A124="",D$24=""),"",IF(COUNTIFS('AFA Rates'!$A$5:$A$504,$A124,'AFA Rates'!$B$5:$B$504,D$24)&gt;0,"✓",""))</f>
        <v/>
      </c>
      <c r="E124" s="57">
        <f>IF(OR($A124="",E$24=""),"",IF(COUNTIFS('AFA Rates'!$A$5:$A$504,$A124,'AFA Rates'!$B$5:$B$504,E$24)&gt;0,"✓",""))</f>
        <v/>
      </c>
      <c r="F124" s="57">
        <f>IF(OR($A124="",F$24=""),"",IF(COUNTIFS('AFA Rates'!$A$5:$A$504,$A124,'AFA Rates'!$B$5:$B$504,F$24)&gt;0,"✓",""))</f>
        <v/>
      </c>
      <c r="G124" s="57">
        <f>IF(OR($A124="",G$24=""),"",IF(COUNTIFS('AFA Rates'!$A$5:$A$504,$A124,'AFA Rates'!$B$5:$B$504,G$24)&gt;0,"✓",""))</f>
        <v/>
      </c>
      <c r="H124" s="57">
        <f>IF(OR($A124="",H$24=""),"",IF(COUNTIFS('AFA Rates'!$A$5:$A$504,$A124,'AFA Rates'!$B$5:$B$504,H$24)&gt;0,"✓",""))</f>
        <v/>
      </c>
      <c r="I124" s="57">
        <f>IF(OR($A124="",I$24=""),"",IF(COUNTIFS('AFA Rates'!$A$5:$A$504,$A124,'AFA Rates'!$B$5:$B$504,I$24)&gt;0,"✓",""))</f>
        <v/>
      </c>
      <c r="J124" s="57">
        <f>IF(OR($A124="",J$24=""),"",IF(COUNTIFS('AFA Rates'!$A$5:$A$504,$A124,'AFA Rates'!$B$5:$B$504,J$24)&gt;0,"✓",""))</f>
        <v/>
      </c>
      <c r="K124" s="57">
        <f>IF(OR($A124="",K$24=""),"",IF(COUNTIFS('AFA Rates'!$A$5:$A$504,$A124,'AFA Rates'!$B$5:$B$504,K$24)&gt;0,"✓",""))</f>
        <v/>
      </c>
      <c r="L124" s="57">
        <f>IF(OR($A124="",L$24=""),"",IF(COUNTIFS('AFA Rates'!$A$5:$A$504,$A124,'AFA Rates'!$B$5:$B$504,L$24)&gt;0,"✓",""))</f>
        <v/>
      </c>
      <c r="M124" s="57">
        <f>IF(OR($A124="",M$24=""),"",IF(COUNTIFS('AFA Rates'!$A$5:$A$504,$A124,'AFA Rates'!$B$5:$B$504,M$24)&gt;0,"✓",""))</f>
        <v/>
      </c>
    </row>
    <row r="125">
      <c r="A125" s="63">
        <f>IFERROR(INDEX(Firms!$A$5:$A$504,MATCH(101,Firms!$S$5:$S$504,0)),"")</f>
        <v/>
      </c>
      <c r="B125" s="57">
        <f>IF($A125="","",INDEX(Firms!$B$5:$B$504,MATCH(101,Firms!$S$5:$S$504,0)))</f>
        <v/>
      </c>
      <c r="C125" s="57">
        <f>IF($A125="","",COUNTIF('AFA Rates'!$A$5:$A$504,$A125))</f>
        <v/>
      </c>
      <c r="D125" s="57">
        <f>IF(OR($A125="",D$24=""),"",IF(COUNTIFS('AFA Rates'!$A$5:$A$504,$A125,'AFA Rates'!$B$5:$B$504,D$24)&gt;0,"✓",""))</f>
        <v/>
      </c>
      <c r="E125" s="57">
        <f>IF(OR($A125="",E$24=""),"",IF(COUNTIFS('AFA Rates'!$A$5:$A$504,$A125,'AFA Rates'!$B$5:$B$504,E$24)&gt;0,"✓",""))</f>
        <v/>
      </c>
      <c r="F125" s="57">
        <f>IF(OR($A125="",F$24=""),"",IF(COUNTIFS('AFA Rates'!$A$5:$A$504,$A125,'AFA Rates'!$B$5:$B$504,F$24)&gt;0,"✓",""))</f>
        <v/>
      </c>
      <c r="G125" s="57">
        <f>IF(OR($A125="",G$24=""),"",IF(COUNTIFS('AFA Rates'!$A$5:$A$504,$A125,'AFA Rates'!$B$5:$B$504,G$24)&gt;0,"✓",""))</f>
        <v/>
      </c>
      <c r="H125" s="57">
        <f>IF(OR($A125="",H$24=""),"",IF(COUNTIFS('AFA Rates'!$A$5:$A$504,$A125,'AFA Rates'!$B$5:$B$504,H$24)&gt;0,"✓",""))</f>
        <v/>
      </c>
      <c r="I125" s="57">
        <f>IF(OR($A125="",I$24=""),"",IF(COUNTIFS('AFA Rates'!$A$5:$A$504,$A125,'AFA Rates'!$B$5:$B$504,I$24)&gt;0,"✓",""))</f>
        <v/>
      </c>
      <c r="J125" s="57">
        <f>IF(OR($A125="",J$24=""),"",IF(COUNTIFS('AFA Rates'!$A$5:$A$504,$A125,'AFA Rates'!$B$5:$B$504,J$24)&gt;0,"✓",""))</f>
        <v/>
      </c>
      <c r="K125" s="57">
        <f>IF(OR($A125="",K$24=""),"",IF(COUNTIFS('AFA Rates'!$A$5:$A$504,$A125,'AFA Rates'!$B$5:$B$504,K$24)&gt;0,"✓",""))</f>
        <v/>
      </c>
      <c r="L125" s="57">
        <f>IF(OR($A125="",L$24=""),"",IF(COUNTIFS('AFA Rates'!$A$5:$A$504,$A125,'AFA Rates'!$B$5:$B$504,L$24)&gt;0,"✓",""))</f>
        <v/>
      </c>
      <c r="M125" s="57">
        <f>IF(OR($A125="",M$24=""),"",IF(COUNTIFS('AFA Rates'!$A$5:$A$504,$A125,'AFA Rates'!$B$5:$B$504,M$24)&gt;0,"✓",""))</f>
        <v/>
      </c>
    </row>
    <row r="126">
      <c r="A126" s="63">
        <f>IFERROR(INDEX(Firms!$A$5:$A$504,MATCH(102,Firms!$S$5:$S$504,0)),"")</f>
        <v/>
      </c>
      <c r="B126" s="57">
        <f>IF($A126="","",INDEX(Firms!$B$5:$B$504,MATCH(102,Firms!$S$5:$S$504,0)))</f>
        <v/>
      </c>
      <c r="C126" s="57">
        <f>IF($A126="","",COUNTIF('AFA Rates'!$A$5:$A$504,$A126))</f>
        <v/>
      </c>
      <c r="D126" s="57">
        <f>IF(OR($A126="",D$24=""),"",IF(COUNTIFS('AFA Rates'!$A$5:$A$504,$A126,'AFA Rates'!$B$5:$B$504,D$24)&gt;0,"✓",""))</f>
        <v/>
      </c>
      <c r="E126" s="57">
        <f>IF(OR($A126="",E$24=""),"",IF(COUNTIFS('AFA Rates'!$A$5:$A$504,$A126,'AFA Rates'!$B$5:$B$504,E$24)&gt;0,"✓",""))</f>
        <v/>
      </c>
      <c r="F126" s="57">
        <f>IF(OR($A126="",F$24=""),"",IF(COUNTIFS('AFA Rates'!$A$5:$A$504,$A126,'AFA Rates'!$B$5:$B$504,F$24)&gt;0,"✓",""))</f>
        <v/>
      </c>
      <c r="G126" s="57">
        <f>IF(OR($A126="",G$24=""),"",IF(COUNTIFS('AFA Rates'!$A$5:$A$504,$A126,'AFA Rates'!$B$5:$B$504,G$24)&gt;0,"✓",""))</f>
        <v/>
      </c>
      <c r="H126" s="57">
        <f>IF(OR($A126="",H$24=""),"",IF(COUNTIFS('AFA Rates'!$A$5:$A$504,$A126,'AFA Rates'!$B$5:$B$504,H$24)&gt;0,"✓",""))</f>
        <v/>
      </c>
      <c r="I126" s="57">
        <f>IF(OR($A126="",I$24=""),"",IF(COUNTIFS('AFA Rates'!$A$5:$A$504,$A126,'AFA Rates'!$B$5:$B$504,I$24)&gt;0,"✓",""))</f>
        <v/>
      </c>
      <c r="J126" s="57">
        <f>IF(OR($A126="",J$24=""),"",IF(COUNTIFS('AFA Rates'!$A$5:$A$504,$A126,'AFA Rates'!$B$5:$B$504,J$24)&gt;0,"✓",""))</f>
        <v/>
      </c>
      <c r="K126" s="57">
        <f>IF(OR($A126="",K$24=""),"",IF(COUNTIFS('AFA Rates'!$A$5:$A$504,$A126,'AFA Rates'!$B$5:$B$504,K$24)&gt;0,"✓",""))</f>
        <v/>
      </c>
      <c r="L126" s="57">
        <f>IF(OR($A126="",L$24=""),"",IF(COUNTIFS('AFA Rates'!$A$5:$A$504,$A126,'AFA Rates'!$B$5:$B$504,L$24)&gt;0,"✓",""))</f>
        <v/>
      </c>
      <c r="M126" s="57">
        <f>IF(OR($A126="",M$24=""),"",IF(COUNTIFS('AFA Rates'!$A$5:$A$504,$A126,'AFA Rates'!$B$5:$B$504,M$24)&gt;0,"✓",""))</f>
        <v/>
      </c>
    </row>
    <row r="127">
      <c r="A127" s="63">
        <f>IFERROR(INDEX(Firms!$A$5:$A$504,MATCH(103,Firms!$S$5:$S$504,0)),"")</f>
        <v/>
      </c>
      <c r="B127" s="57">
        <f>IF($A127="","",INDEX(Firms!$B$5:$B$504,MATCH(103,Firms!$S$5:$S$504,0)))</f>
        <v/>
      </c>
      <c r="C127" s="57">
        <f>IF($A127="","",COUNTIF('AFA Rates'!$A$5:$A$504,$A127))</f>
        <v/>
      </c>
      <c r="D127" s="57">
        <f>IF(OR($A127="",D$24=""),"",IF(COUNTIFS('AFA Rates'!$A$5:$A$504,$A127,'AFA Rates'!$B$5:$B$504,D$24)&gt;0,"✓",""))</f>
        <v/>
      </c>
      <c r="E127" s="57">
        <f>IF(OR($A127="",E$24=""),"",IF(COUNTIFS('AFA Rates'!$A$5:$A$504,$A127,'AFA Rates'!$B$5:$B$504,E$24)&gt;0,"✓",""))</f>
        <v/>
      </c>
      <c r="F127" s="57">
        <f>IF(OR($A127="",F$24=""),"",IF(COUNTIFS('AFA Rates'!$A$5:$A$504,$A127,'AFA Rates'!$B$5:$B$504,F$24)&gt;0,"✓",""))</f>
        <v/>
      </c>
      <c r="G127" s="57">
        <f>IF(OR($A127="",G$24=""),"",IF(COUNTIFS('AFA Rates'!$A$5:$A$504,$A127,'AFA Rates'!$B$5:$B$504,G$24)&gt;0,"✓",""))</f>
        <v/>
      </c>
      <c r="H127" s="57">
        <f>IF(OR($A127="",H$24=""),"",IF(COUNTIFS('AFA Rates'!$A$5:$A$504,$A127,'AFA Rates'!$B$5:$B$504,H$24)&gt;0,"✓",""))</f>
        <v/>
      </c>
      <c r="I127" s="57">
        <f>IF(OR($A127="",I$24=""),"",IF(COUNTIFS('AFA Rates'!$A$5:$A$504,$A127,'AFA Rates'!$B$5:$B$504,I$24)&gt;0,"✓",""))</f>
        <v/>
      </c>
      <c r="J127" s="57">
        <f>IF(OR($A127="",J$24=""),"",IF(COUNTIFS('AFA Rates'!$A$5:$A$504,$A127,'AFA Rates'!$B$5:$B$504,J$24)&gt;0,"✓",""))</f>
        <v/>
      </c>
      <c r="K127" s="57">
        <f>IF(OR($A127="",K$24=""),"",IF(COUNTIFS('AFA Rates'!$A$5:$A$504,$A127,'AFA Rates'!$B$5:$B$504,K$24)&gt;0,"✓",""))</f>
        <v/>
      </c>
      <c r="L127" s="57">
        <f>IF(OR($A127="",L$24=""),"",IF(COUNTIFS('AFA Rates'!$A$5:$A$504,$A127,'AFA Rates'!$B$5:$B$504,L$24)&gt;0,"✓",""))</f>
        <v/>
      </c>
      <c r="M127" s="57">
        <f>IF(OR($A127="",M$24=""),"",IF(COUNTIFS('AFA Rates'!$A$5:$A$504,$A127,'AFA Rates'!$B$5:$B$504,M$24)&gt;0,"✓",""))</f>
        <v/>
      </c>
    </row>
    <row r="128">
      <c r="A128" s="63">
        <f>IFERROR(INDEX(Firms!$A$5:$A$504,MATCH(104,Firms!$S$5:$S$504,0)),"")</f>
        <v/>
      </c>
      <c r="B128" s="57">
        <f>IF($A128="","",INDEX(Firms!$B$5:$B$504,MATCH(104,Firms!$S$5:$S$504,0)))</f>
        <v/>
      </c>
      <c r="C128" s="57">
        <f>IF($A128="","",COUNTIF('AFA Rates'!$A$5:$A$504,$A128))</f>
        <v/>
      </c>
      <c r="D128" s="57">
        <f>IF(OR($A128="",D$24=""),"",IF(COUNTIFS('AFA Rates'!$A$5:$A$504,$A128,'AFA Rates'!$B$5:$B$504,D$24)&gt;0,"✓",""))</f>
        <v/>
      </c>
      <c r="E128" s="57">
        <f>IF(OR($A128="",E$24=""),"",IF(COUNTIFS('AFA Rates'!$A$5:$A$504,$A128,'AFA Rates'!$B$5:$B$504,E$24)&gt;0,"✓",""))</f>
        <v/>
      </c>
      <c r="F128" s="57">
        <f>IF(OR($A128="",F$24=""),"",IF(COUNTIFS('AFA Rates'!$A$5:$A$504,$A128,'AFA Rates'!$B$5:$B$504,F$24)&gt;0,"✓",""))</f>
        <v/>
      </c>
      <c r="G128" s="57">
        <f>IF(OR($A128="",G$24=""),"",IF(COUNTIFS('AFA Rates'!$A$5:$A$504,$A128,'AFA Rates'!$B$5:$B$504,G$24)&gt;0,"✓",""))</f>
        <v/>
      </c>
      <c r="H128" s="57">
        <f>IF(OR($A128="",H$24=""),"",IF(COUNTIFS('AFA Rates'!$A$5:$A$504,$A128,'AFA Rates'!$B$5:$B$504,H$24)&gt;0,"✓",""))</f>
        <v/>
      </c>
      <c r="I128" s="57">
        <f>IF(OR($A128="",I$24=""),"",IF(COUNTIFS('AFA Rates'!$A$5:$A$504,$A128,'AFA Rates'!$B$5:$B$504,I$24)&gt;0,"✓",""))</f>
        <v/>
      </c>
      <c r="J128" s="57">
        <f>IF(OR($A128="",J$24=""),"",IF(COUNTIFS('AFA Rates'!$A$5:$A$504,$A128,'AFA Rates'!$B$5:$B$504,J$24)&gt;0,"✓",""))</f>
        <v/>
      </c>
      <c r="K128" s="57">
        <f>IF(OR($A128="",K$24=""),"",IF(COUNTIFS('AFA Rates'!$A$5:$A$504,$A128,'AFA Rates'!$B$5:$B$504,K$24)&gt;0,"✓",""))</f>
        <v/>
      </c>
      <c r="L128" s="57">
        <f>IF(OR($A128="",L$24=""),"",IF(COUNTIFS('AFA Rates'!$A$5:$A$504,$A128,'AFA Rates'!$B$5:$B$504,L$24)&gt;0,"✓",""))</f>
        <v/>
      </c>
      <c r="M128" s="57">
        <f>IF(OR($A128="",M$24=""),"",IF(COUNTIFS('AFA Rates'!$A$5:$A$504,$A128,'AFA Rates'!$B$5:$B$504,M$24)&gt;0,"✓",""))</f>
        <v/>
      </c>
    </row>
    <row r="129">
      <c r="A129" s="63">
        <f>IFERROR(INDEX(Firms!$A$5:$A$504,MATCH(105,Firms!$S$5:$S$504,0)),"")</f>
        <v/>
      </c>
      <c r="B129" s="57">
        <f>IF($A129="","",INDEX(Firms!$B$5:$B$504,MATCH(105,Firms!$S$5:$S$504,0)))</f>
        <v/>
      </c>
      <c r="C129" s="57">
        <f>IF($A129="","",COUNTIF('AFA Rates'!$A$5:$A$504,$A129))</f>
        <v/>
      </c>
      <c r="D129" s="57">
        <f>IF(OR($A129="",D$24=""),"",IF(COUNTIFS('AFA Rates'!$A$5:$A$504,$A129,'AFA Rates'!$B$5:$B$504,D$24)&gt;0,"✓",""))</f>
        <v/>
      </c>
      <c r="E129" s="57">
        <f>IF(OR($A129="",E$24=""),"",IF(COUNTIFS('AFA Rates'!$A$5:$A$504,$A129,'AFA Rates'!$B$5:$B$504,E$24)&gt;0,"✓",""))</f>
        <v/>
      </c>
      <c r="F129" s="57">
        <f>IF(OR($A129="",F$24=""),"",IF(COUNTIFS('AFA Rates'!$A$5:$A$504,$A129,'AFA Rates'!$B$5:$B$504,F$24)&gt;0,"✓",""))</f>
        <v/>
      </c>
      <c r="G129" s="57">
        <f>IF(OR($A129="",G$24=""),"",IF(COUNTIFS('AFA Rates'!$A$5:$A$504,$A129,'AFA Rates'!$B$5:$B$504,G$24)&gt;0,"✓",""))</f>
        <v/>
      </c>
      <c r="H129" s="57">
        <f>IF(OR($A129="",H$24=""),"",IF(COUNTIFS('AFA Rates'!$A$5:$A$504,$A129,'AFA Rates'!$B$5:$B$504,H$24)&gt;0,"✓",""))</f>
        <v/>
      </c>
      <c r="I129" s="57">
        <f>IF(OR($A129="",I$24=""),"",IF(COUNTIFS('AFA Rates'!$A$5:$A$504,$A129,'AFA Rates'!$B$5:$B$504,I$24)&gt;0,"✓",""))</f>
        <v/>
      </c>
      <c r="J129" s="57">
        <f>IF(OR($A129="",J$24=""),"",IF(COUNTIFS('AFA Rates'!$A$5:$A$504,$A129,'AFA Rates'!$B$5:$B$504,J$24)&gt;0,"✓",""))</f>
        <v/>
      </c>
      <c r="K129" s="57">
        <f>IF(OR($A129="",K$24=""),"",IF(COUNTIFS('AFA Rates'!$A$5:$A$504,$A129,'AFA Rates'!$B$5:$B$504,K$24)&gt;0,"✓",""))</f>
        <v/>
      </c>
      <c r="L129" s="57">
        <f>IF(OR($A129="",L$24=""),"",IF(COUNTIFS('AFA Rates'!$A$5:$A$504,$A129,'AFA Rates'!$B$5:$B$504,L$24)&gt;0,"✓",""))</f>
        <v/>
      </c>
      <c r="M129" s="57">
        <f>IF(OR($A129="",M$24=""),"",IF(COUNTIFS('AFA Rates'!$A$5:$A$504,$A129,'AFA Rates'!$B$5:$B$504,M$24)&gt;0,"✓",""))</f>
        <v/>
      </c>
    </row>
    <row r="130">
      <c r="A130" s="63">
        <f>IFERROR(INDEX(Firms!$A$5:$A$504,MATCH(106,Firms!$S$5:$S$504,0)),"")</f>
        <v/>
      </c>
      <c r="B130" s="57">
        <f>IF($A130="","",INDEX(Firms!$B$5:$B$504,MATCH(106,Firms!$S$5:$S$504,0)))</f>
        <v/>
      </c>
      <c r="C130" s="57">
        <f>IF($A130="","",COUNTIF('AFA Rates'!$A$5:$A$504,$A130))</f>
        <v/>
      </c>
      <c r="D130" s="57">
        <f>IF(OR($A130="",D$24=""),"",IF(COUNTIFS('AFA Rates'!$A$5:$A$504,$A130,'AFA Rates'!$B$5:$B$504,D$24)&gt;0,"✓",""))</f>
        <v/>
      </c>
      <c r="E130" s="57">
        <f>IF(OR($A130="",E$24=""),"",IF(COUNTIFS('AFA Rates'!$A$5:$A$504,$A130,'AFA Rates'!$B$5:$B$504,E$24)&gt;0,"✓",""))</f>
        <v/>
      </c>
      <c r="F130" s="57">
        <f>IF(OR($A130="",F$24=""),"",IF(COUNTIFS('AFA Rates'!$A$5:$A$504,$A130,'AFA Rates'!$B$5:$B$504,F$24)&gt;0,"✓",""))</f>
        <v/>
      </c>
      <c r="G130" s="57">
        <f>IF(OR($A130="",G$24=""),"",IF(COUNTIFS('AFA Rates'!$A$5:$A$504,$A130,'AFA Rates'!$B$5:$B$504,G$24)&gt;0,"✓",""))</f>
        <v/>
      </c>
      <c r="H130" s="57">
        <f>IF(OR($A130="",H$24=""),"",IF(COUNTIFS('AFA Rates'!$A$5:$A$504,$A130,'AFA Rates'!$B$5:$B$504,H$24)&gt;0,"✓",""))</f>
        <v/>
      </c>
      <c r="I130" s="57">
        <f>IF(OR($A130="",I$24=""),"",IF(COUNTIFS('AFA Rates'!$A$5:$A$504,$A130,'AFA Rates'!$B$5:$B$504,I$24)&gt;0,"✓",""))</f>
        <v/>
      </c>
      <c r="J130" s="57">
        <f>IF(OR($A130="",J$24=""),"",IF(COUNTIFS('AFA Rates'!$A$5:$A$504,$A130,'AFA Rates'!$B$5:$B$504,J$24)&gt;0,"✓",""))</f>
        <v/>
      </c>
      <c r="K130" s="57">
        <f>IF(OR($A130="",K$24=""),"",IF(COUNTIFS('AFA Rates'!$A$5:$A$504,$A130,'AFA Rates'!$B$5:$B$504,K$24)&gt;0,"✓",""))</f>
        <v/>
      </c>
      <c r="L130" s="57">
        <f>IF(OR($A130="",L$24=""),"",IF(COUNTIFS('AFA Rates'!$A$5:$A$504,$A130,'AFA Rates'!$B$5:$B$504,L$24)&gt;0,"✓",""))</f>
        <v/>
      </c>
      <c r="M130" s="57">
        <f>IF(OR($A130="",M$24=""),"",IF(COUNTIFS('AFA Rates'!$A$5:$A$504,$A130,'AFA Rates'!$B$5:$B$504,M$24)&gt;0,"✓",""))</f>
        <v/>
      </c>
    </row>
    <row r="131">
      <c r="A131" s="63">
        <f>IFERROR(INDEX(Firms!$A$5:$A$504,MATCH(107,Firms!$S$5:$S$504,0)),"")</f>
        <v/>
      </c>
      <c r="B131" s="57">
        <f>IF($A131="","",INDEX(Firms!$B$5:$B$504,MATCH(107,Firms!$S$5:$S$504,0)))</f>
        <v/>
      </c>
      <c r="C131" s="57">
        <f>IF($A131="","",COUNTIF('AFA Rates'!$A$5:$A$504,$A131))</f>
        <v/>
      </c>
      <c r="D131" s="57">
        <f>IF(OR($A131="",D$24=""),"",IF(COUNTIFS('AFA Rates'!$A$5:$A$504,$A131,'AFA Rates'!$B$5:$B$504,D$24)&gt;0,"✓",""))</f>
        <v/>
      </c>
      <c r="E131" s="57">
        <f>IF(OR($A131="",E$24=""),"",IF(COUNTIFS('AFA Rates'!$A$5:$A$504,$A131,'AFA Rates'!$B$5:$B$504,E$24)&gt;0,"✓",""))</f>
        <v/>
      </c>
      <c r="F131" s="57">
        <f>IF(OR($A131="",F$24=""),"",IF(COUNTIFS('AFA Rates'!$A$5:$A$504,$A131,'AFA Rates'!$B$5:$B$504,F$24)&gt;0,"✓",""))</f>
        <v/>
      </c>
      <c r="G131" s="57">
        <f>IF(OR($A131="",G$24=""),"",IF(COUNTIFS('AFA Rates'!$A$5:$A$504,$A131,'AFA Rates'!$B$5:$B$504,G$24)&gt;0,"✓",""))</f>
        <v/>
      </c>
      <c r="H131" s="57">
        <f>IF(OR($A131="",H$24=""),"",IF(COUNTIFS('AFA Rates'!$A$5:$A$504,$A131,'AFA Rates'!$B$5:$B$504,H$24)&gt;0,"✓",""))</f>
        <v/>
      </c>
      <c r="I131" s="57">
        <f>IF(OR($A131="",I$24=""),"",IF(COUNTIFS('AFA Rates'!$A$5:$A$504,$A131,'AFA Rates'!$B$5:$B$504,I$24)&gt;0,"✓",""))</f>
        <v/>
      </c>
      <c r="J131" s="57">
        <f>IF(OR($A131="",J$24=""),"",IF(COUNTIFS('AFA Rates'!$A$5:$A$504,$A131,'AFA Rates'!$B$5:$B$504,J$24)&gt;0,"✓",""))</f>
        <v/>
      </c>
      <c r="K131" s="57">
        <f>IF(OR($A131="",K$24=""),"",IF(COUNTIFS('AFA Rates'!$A$5:$A$504,$A131,'AFA Rates'!$B$5:$B$504,K$24)&gt;0,"✓",""))</f>
        <v/>
      </c>
      <c r="L131" s="57">
        <f>IF(OR($A131="",L$24=""),"",IF(COUNTIFS('AFA Rates'!$A$5:$A$504,$A131,'AFA Rates'!$B$5:$B$504,L$24)&gt;0,"✓",""))</f>
        <v/>
      </c>
      <c r="M131" s="57">
        <f>IF(OR($A131="",M$24=""),"",IF(COUNTIFS('AFA Rates'!$A$5:$A$504,$A131,'AFA Rates'!$B$5:$B$504,M$24)&gt;0,"✓",""))</f>
        <v/>
      </c>
    </row>
    <row r="132">
      <c r="A132" s="63">
        <f>IFERROR(INDEX(Firms!$A$5:$A$504,MATCH(108,Firms!$S$5:$S$504,0)),"")</f>
        <v/>
      </c>
      <c r="B132" s="57">
        <f>IF($A132="","",INDEX(Firms!$B$5:$B$504,MATCH(108,Firms!$S$5:$S$504,0)))</f>
        <v/>
      </c>
      <c r="C132" s="57">
        <f>IF($A132="","",COUNTIF('AFA Rates'!$A$5:$A$504,$A132))</f>
        <v/>
      </c>
      <c r="D132" s="57">
        <f>IF(OR($A132="",D$24=""),"",IF(COUNTIFS('AFA Rates'!$A$5:$A$504,$A132,'AFA Rates'!$B$5:$B$504,D$24)&gt;0,"✓",""))</f>
        <v/>
      </c>
      <c r="E132" s="57">
        <f>IF(OR($A132="",E$24=""),"",IF(COUNTIFS('AFA Rates'!$A$5:$A$504,$A132,'AFA Rates'!$B$5:$B$504,E$24)&gt;0,"✓",""))</f>
        <v/>
      </c>
      <c r="F132" s="57">
        <f>IF(OR($A132="",F$24=""),"",IF(COUNTIFS('AFA Rates'!$A$5:$A$504,$A132,'AFA Rates'!$B$5:$B$504,F$24)&gt;0,"✓",""))</f>
        <v/>
      </c>
      <c r="G132" s="57">
        <f>IF(OR($A132="",G$24=""),"",IF(COUNTIFS('AFA Rates'!$A$5:$A$504,$A132,'AFA Rates'!$B$5:$B$504,G$24)&gt;0,"✓",""))</f>
        <v/>
      </c>
      <c r="H132" s="57">
        <f>IF(OR($A132="",H$24=""),"",IF(COUNTIFS('AFA Rates'!$A$5:$A$504,$A132,'AFA Rates'!$B$5:$B$504,H$24)&gt;0,"✓",""))</f>
        <v/>
      </c>
      <c r="I132" s="57">
        <f>IF(OR($A132="",I$24=""),"",IF(COUNTIFS('AFA Rates'!$A$5:$A$504,$A132,'AFA Rates'!$B$5:$B$504,I$24)&gt;0,"✓",""))</f>
        <v/>
      </c>
      <c r="J132" s="57">
        <f>IF(OR($A132="",J$24=""),"",IF(COUNTIFS('AFA Rates'!$A$5:$A$504,$A132,'AFA Rates'!$B$5:$B$504,J$24)&gt;0,"✓",""))</f>
        <v/>
      </c>
      <c r="K132" s="57">
        <f>IF(OR($A132="",K$24=""),"",IF(COUNTIFS('AFA Rates'!$A$5:$A$504,$A132,'AFA Rates'!$B$5:$B$504,K$24)&gt;0,"✓",""))</f>
        <v/>
      </c>
      <c r="L132" s="57">
        <f>IF(OR($A132="",L$24=""),"",IF(COUNTIFS('AFA Rates'!$A$5:$A$504,$A132,'AFA Rates'!$B$5:$B$504,L$24)&gt;0,"✓",""))</f>
        <v/>
      </c>
      <c r="M132" s="57">
        <f>IF(OR($A132="",M$24=""),"",IF(COUNTIFS('AFA Rates'!$A$5:$A$504,$A132,'AFA Rates'!$B$5:$B$504,M$24)&gt;0,"✓",""))</f>
        <v/>
      </c>
    </row>
    <row r="133">
      <c r="A133" s="63">
        <f>IFERROR(INDEX(Firms!$A$5:$A$504,MATCH(109,Firms!$S$5:$S$504,0)),"")</f>
        <v/>
      </c>
      <c r="B133" s="57">
        <f>IF($A133="","",INDEX(Firms!$B$5:$B$504,MATCH(109,Firms!$S$5:$S$504,0)))</f>
        <v/>
      </c>
      <c r="C133" s="57">
        <f>IF($A133="","",COUNTIF('AFA Rates'!$A$5:$A$504,$A133))</f>
        <v/>
      </c>
      <c r="D133" s="57">
        <f>IF(OR($A133="",D$24=""),"",IF(COUNTIFS('AFA Rates'!$A$5:$A$504,$A133,'AFA Rates'!$B$5:$B$504,D$24)&gt;0,"✓",""))</f>
        <v/>
      </c>
      <c r="E133" s="57">
        <f>IF(OR($A133="",E$24=""),"",IF(COUNTIFS('AFA Rates'!$A$5:$A$504,$A133,'AFA Rates'!$B$5:$B$504,E$24)&gt;0,"✓",""))</f>
        <v/>
      </c>
      <c r="F133" s="57">
        <f>IF(OR($A133="",F$24=""),"",IF(COUNTIFS('AFA Rates'!$A$5:$A$504,$A133,'AFA Rates'!$B$5:$B$504,F$24)&gt;0,"✓",""))</f>
        <v/>
      </c>
      <c r="G133" s="57">
        <f>IF(OR($A133="",G$24=""),"",IF(COUNTIFS('AFA Rates'!$A$5:$A$504,$A133,'AFA Rates'!$B$5:$B$504,G$24)&gt;0,"✓",""))</f>
        <v/>
      </c>
      <c r="H133" s="57">
        <f>IF(OR($A133="",H$24=""),"",IF(COUNTIFS('AFA Rates'!$A$5:$A$504,$A133,'AFA Rates'!$B$5:$B$504,H$24)&gt;0,"✓",""))</f>
        <v/>
      </c>
      <c r="I133" s="57">
        <f>IF(OR($A133="",I$24=""),"",IF(COUNTIFS('AFA Rates'!$A$5:$A$504,$A133,'AFA Rates'!$B$5:$B$504,I$24)&gt;0,"✓",""))</f>
        <v/>
      </c>
      <c r="J133" s="57">
        <f>IF(OR($A133="",J$24=""),"",IF(COUNTIFS('AFA Rates'!$A$5:$A$504,$A133,'AFA Rates'!$B$5:$B$504,J$24)&gt;0,"✓",""))</f>
        <v/>
      </c>
      <c r="K133" s="57">
        <f>IF(OR($A133="",K$24=""),"",IF(COUNTIFS('AFA Rates'!$A$5:$A$504,$A133,'AFA Rates'!$B$5:$B$504,K$24)&gt;0,"✓",""))</f>
        <v/>
      </c>
      <c r="L133" s="57">
        <f>IF(OR($A133="",L$24=""),"",IF(COUNTIFS('AFA Rates'!$A$5:$A$504,$A133,'AFA Rates'!$B$5:$B$504,L$24)&gt;0,"✓",""))</f>
        <v/>
      </c>
      <c r="M133" s="57">
        <f>IF(OR($A133="",M$24=""),"",IF(COUNTIFS('AFA Rates'!$A$5:$A$504,$A133,'AFA Rates'!$B$5:$B$504,M$24)&gt;0,"✓",""))</f>
        <v/>
      </c>
    </row>
    <row r="134">
      <c r="A134" s="63">
        <f>IFERROR(INDEX(Firms!$A$5:$A$504,MATCH(110,Firms!$S$5:$S$504,0)),"")</f>
        <v/>
      </c>
      <c r="B134" s="57">
        <f>IF($A134="","",INDEX(Firms!$B$5:$B$504,MATCH(110,Firms!$S$5:$S$504,0)))</f>
        <v/>
      </c>
      <c r="C134" s="57">
        <f>IF($A134="","",COUNTIF('AFA Rates'!$A$5:$A$504,$A134))</f>
        <v/>
      </c>
      <c r="D134" s="57">
        <f>IF(OR($A134="",D$24=""),"",IF(COUNTIFS('AFA Rates'!$A$5:$A$504,$A134,'AFA Rates'!$B$5:$B$504,D$24)&gt;0,"✓",""))</f>
        <v/>
      </c>
      <c r="E134" s="57">
        <f>IF(OR($A134="",E$24=""),"",IF(COUNTIFS('AFA Rates'!$A$5:$A$504,$A134,'AFA Rates'!$B$5:$B$504,E$24)&gt;0,"✓",""))</f>
        <v/>
      </c>
      <c r="F134" s="57">
        <f>IF(OR($A134="",F$24=""),"",IF(COUNTIFS('AFA Rates'!$A$5:$A$504,$A134,'AFA Rates'!$B$5:$B$504,F$24)&gt;0,"✓",""))</f>
        <v/>
      </c>
      <c r="G134" s="57">
        <f>IF(OR($A134="",G$24=""),"",IF(COUNTIFS('AFA Rates'!$A$5:$A$504,$A134,'AFA Rates'!$B$5:$B$504,G$24)&gt;0,"✓",""))</f>
        <v/>
      </c>
      <c r="H134" s="57">
        <f>IF(OR($A134="",H$24=""),"",IF(COUNTIFS('AFA Rates'!$A$5:$A$504,$A134,'AFA Rates'!$B$5:$B$504,H$24)&gt;0,"✓",""))</f>
        <v/>
      </c>
      <c r="I134" s="57">
        <f>IF(OR($A134="",I$24=""),"",IF(COUNTIFS('AFA Rates'!$A$5:$A$504,$A134,'AFA Rates'!$B$5:$B$504,I$24)&gt;0,"✓",""))</f>
        <v/>
      </c>
      <c r="J134" s="57">
        <f>IF(OR($A134="",J$24=""),"",IF(COUNTIFS('AFA Rates'!$A$5:$A$504,$A134,'AFA Rates'!$B$5:$B$504,J$24)&gt;0,"✓",""))</f>
        <v/>
      </c>
      <c r="K134" s="57">
        <f>IF(OR($A134="",K$24=""),"",IF(COUNTIFS('AFA Rates'!$A$5:$A$504,$A134,'AFA Rates'!$B$5:$B$504,K$24)&gt;0,"✓",""))</f>
        <v/>
      </c>
      <c r="L134" s="57">
        <f>IF(OR($A134="",L$24=""),"",IF(COUNTIFS('AFA Rates'!$A$5:$A$504,$A134,'AFA Rates'!$B$5:$B$504,L$24)&gt;0,"✓",""))</f>
        <v/>
      </c>
      <c r="M134" s="57">
        <f>IF(OR($A134="",M$24=""),"",IF(COUNTIFS('AFA Rates'!$A$5:$A$504,$A134,'AFA Rates'!$B$5:$B$504,M$24)&gt;0,"✓",""))</f>
        <v/>
      </c>
    </row>
    <row r="135">
      <c r="A135" s="63">
        <f>IFERROR(INDEX(Firms!$A$5:$A$504,MATCH(111,Firms!$S$5:$S$504,0)),"")</f>
        <v/>
      </c>
      <c r="B135" s="57">
        <f>IF($A135="","",INDEX(Firms!$B$5:$B$504,MATCH(111,Firms!$S$5:$S$504,0)))</f>
        <v/>
      </c>
      <c r="C135" s="57">
        <f>IF($A135="","",COUNTIF('AFA Rates'!$A$5:$A$504,$A135))</f>
        <v/>
      </c>
      <c r="D135" s="57">
        <f>IF(OR($A135="",D$24=""),"",IF(COUNTIFS('AFA Rates'!$A$5:$A$504,$A135,'AFA Rates'!$B$5:$B$504,D$24)&gt;0,"✓",""))</f>
        <v/>
      </c>
      <c r="E135" s="57">
        <f>IF(OR($A135="",E$24=""),"",IF(COUNTIFS('AFA Rates'!$A$5:$A$504,$A135,'AFA Rates'!$B$5:$B$504,E$24)&gt;0,"✓",""))</f>
        <v/>
      </c>
      <c r="F135" s="57">
        <f>IF(OR($A135="",F$24=""),"",IF(COUNTIFS('AFA Rates'!$A$5:$A$504,$A135,'AFA Rates'!$B$5:$B$504,F$24)&gt;0,"✓",""))</f>
        <v/>
      </c>
      <c r="G135" s="57">
        <f>IF(OR($A135="",G$24=""),"",IF(COUNTIFS('AFA Rates'!$A$5:$A$504,$A135,'AFA Rates'!$B$5:$B$504,G$24)&gt;0,"✓",""))</f>
        <v/>
      </c>
      <c r="H135" s="57">
        <f>IF(OR($A135="",H$24=""),"",IF(COUNTIFS('AFA Rates'!$A$5:$A$504,$A135,'AFA Rates'!$B$5:$B$504,H$24)&gt;0,"✓",""))</f>
        <v/>
      </c>
      <c r="I135" s="57">
        <f>IF(OR($A135="",I$24=""),"",IF(COUNTIFS('AFA Rates'!$A$5:$A$504,$A135,'AFA Rates'!$B$5:$B$504,I$24)&gt;0,"✓",""))</f>
        <v/>
      </c>
      <c r="J135" s="57">
        <f>IF(OR($A135="",J$24=""),"",IF(COUNTIFS('AFA Rates'!$A$5:$A$504,$A135,'AFA Rates'!$B$5:$B$504,J$24)&gt;0,"✓",""))</f>
        <v/>
      </c>
      <c r="K135" s="57">
        <f>IF(OR($A135="",K$24=""),"",IF(COUNTIFS('AFA Rates'!$A$5:$A$504,$A135,'AFA Rates'!$B$5:$B$504,K$24)&gt;0,"✓",""))</f>
        <v/>
      </c>
      <c r="L135" s="57">
        <f>IF(OR($A135="",L$24=""),"",IF(COUNTIFS('AFA Rates'!$A$5:$A$504,$A135,'AFA Rates'!$B$5:$B$504,L$24)&gt;0,"✓",""))</f>
        <v/>
      </c>
      <c r="M135" s="57">
        <f>IF(OR($A135="",M$24=""),"",IF(COUNTIFS('AFA Rates'!$A$5:$A$504,$A135,'AFA Rates'!$B$5:$B$504,M$24)&gt;0,"✓",""))</f>
        <v/>
      </c>
    </row>
    <row r="136">
      <c r="A136" s="63">
        <f>IFERROR(INDEX(Firms!$A$5:$A$504,MATCH(112,Firms!$S$5:$S$504,0)),"")</f>
        <v/>
      </c>
      <c r="B136" s="57">
        <f>IF($A136="","",INDEX(Firms!$B$5:$B$504,MATCH(112,Firms!$S$5:$S$504,0)))</f>
        <v/>
      </c>
      <c r="C136" s="57">
        <f>IF($A136="","",COUNTIF('AFA Rates'!$A$5:$A$504,$A136))</f>
        <v/>
      </c>
      <c r="D136" s="57">
        <f>IF(OR($A136="",D$24=""),"",IF(COUNTIFS('AFA Rates'!$A$5:$A$504,$A136,'AFA Rates'!$B$5:$B$504,D$24)&gt;0,"✓",""))</f>
        <v/>
      </c>
      <c r="E136" s="57">
        <f>IF(OR($A136="",E$24=""),"",IF(COUNTIFS('AFA Rates'!$A$5:$A$504,$A136,'AFA Rates'!$B$5:$B$504,E$24)&gt;0,"✓",""))</f>
        <v/>
      </c>
      <c r="F136" s="57">
        <f>IF(OR($A136="",F$24=""),"",IF(COUNTIFS('AFA Rates'!$A$5:$A$504,$A136,'AFA Rates'!$B$5:$B$504,F$24)&gt;0,"✓",""))</f>
        <v/>
      </c>
      <c r="G136" s="57">
        <f>IF(OR($A136="",G$24=""),"",IF(COUNTIFS('AFA Rates'!$A$5:$A$504,$A136,'AFA Rates'!$B$5:$B$504,G$24)&gt;0,"✓",""))</f>
        <v/>
      </c>
      <c r="H136" s="57">
        <f>IF(OR($A136="",H$24=""),"",IF(COUNTIFS('AFA Rates'!$A$5:$A$504,$A136,'AFA Rates'!$B$5:$B$504,H$24)&gt;0,"✓",""))</f>
        <v/>
      </c>
      <c r="I136" s="57">
        <f>IF(OR($A136="",I$24=""),"",IF(COUNTIFS('AFA Rates'!$A$5:$A$504,$A136,'AFA Rates'!$B$5:$B$504,I$24)&gt;0,"✓",""))</f>
        <v/>
      </c>
      <c r="J136" s="57">
        <f>IF(OR($A136="",J$24=""),"",IF(COUNTIFS('AFA Rates'!$A$5:$A$504,$A136,'AFA Rates'!$B$5:$B$504,J$24)&gt;0,"✓",""))</f>
        <v/>
      </c>
      <c r="K136" s="57">
        <f>IF(OR($A136="",K$24=""),"",IF(COUNTIFS('AFA Rates'!$A$5:$A$504,$A136,'AFA Rates'!$B$5:$B$504,K$24)&gt;0,"✓",""))</f>
        <v/>
      </c>
      <c r="L136" s="57">
        <f>IF(OR($A136="",L$24=""),"",IF(COUNTIFS('AFA Rates'!$A$5:$A$504,$A136,'AFA Rates'!$B$5:$B$504,L$24)&gt;0,"✓",""))</f>
        <v/>
      </c>
      <c r="M136" s="57">
        <f>IF(OR($A136="",M$24=""),"",IF(COUNTIFS('AFA Rates'!$A$5:$A$504,$A136,'AFA Rates'!$B$5:$B$504,M$24)&gt;0,"✓",""))</f>
        <v/>
      </c>
    </row>
    <row r="137">
      <c r="A137" s="63">
        <f>IFERROR(INDEX(Firms!$A$5:$A$504,MATCH(113,Firms!$S$5:$S$504,0)),"")</f>
        <v/>
      </c>
      <c r="B137" s="57">
        <f>IF($A137="","",INDEX(Firms!$B$5:$B$504,MATCH(113,Firms!$S$5:$S$504,0)))</f>
        <v/>
      </c>
      <c r="C137" s="57">
        <f>IF($A137="","",COUNTIF('AFA Rates'!$A$5:$A$504,$A137))</f>
        <v/>
      </c>
      <c r="D137" s="57">
        <f>IF(OR($A137="",D$24=""),"",IF(COUNTIFS('AFA Rates'!$A$5:$A$504,$A137,'AFA Rates'!$B$5:$B$504,D$24)&gt;0,"✓",""))</f>
        <v/>
      </c>
      <c r="E137" s="57">
        <f>IF(OR($A137="",E$24=""),"",IF(COUNTIFS('AFA Rates'!$A$5:$A$504,$A137,'AFA Rates'!$B$5:$B$504,E$24)&gt;0,"✓",""))</f>
        <v/>
      </c>
      <c r="F137" s="57">
        <f>IF(OR($A137="",F$24=""),"",IF(COUNTIFS('AFA Rates'!$A$5:$A$504,$A137,'AFA Rates'!$B$5:$B$504,F$24)&gt;0,"✓",""))</f>
        <v/>
      </c>
      <c r="G137" s="57">
        <f>IF(OR($A137="",G$24=""),"",IF(COUNTIFS('AFA Rates'!$A$5:$A$504,$A137,'AFA Rates'!$B$5:$B$504,G$24)&gt;0,"✓",""))</f>
        <v/>
      </c>
      <c r="H137" s="57">
        <f>IF(OR($A137="",H$24=""),"",IF(COUNTIFS('AFA Rates'!$A$5:$A$504,$A137,'AFA Rates'!$B$5:$B$504,H$24)&gt;0,"✓",""))</f>
        <v/>
      </c>
      <c r="I137" s="57">
        <f>IF(OR($A137="",I$24=""),"",IF(COUNTIFS('AFA Rates'!$A$5:$A$504,$A137,'AFA Rates'!$B$5:$B$504,I$24)&gt;0,"✓",""))</f>
        <v/>
      </c>
      <c r="J137" s="57">
        <f>IF(OR($A137="",J$24=""),"",IF(COUNTIFS('AFA Rates'!$A$5:$A$504,$A137,'AFA Rates'!$B$5:$B$504,J$24)&gt;0,"✓",""))</f>
        <v/>
      </c>
      <c r="K137" s="57">
        <f>IF(OR($A137="",K$24=""),"",IF(COUNTIFS('AFA Rates'!$A$5:$A$504,$A137,'AFA Rates'!$B$5:$B$504,K$24)&gt;0,"✓",""))</f>
        <v/>
      </c>
      <c r="L137" s="57">
        <f>IF(OR($A137="",L$24=""),"",IF(COUNTIFS('AFA Rates'!$A$5:$A$504,$A137,'AFA Rates'!$B$5:$B$504,L$24)&gt;0,"✓",""))</f>
        <v/>
      </c>
      <c r="M137" s="57">
        <f>IF(OR($A137="",M$24=""),"",IF(COUNTIFS('AFA Rates'!$A$5:$A$504,$A137,'AFA Rates'!$B$5:$B$504,M$24)&gt;0,"✓",""))</f>
        <v/>
      </c>
    </row>
    <row r="138">
      <c r="A138" s="63">
        <f>IFERROR(INDEX(Firms!$A$5:$A$504,MATCH(114,Firms!$S$5:$S$504,0)),"")</f>
        <v/>
      </c>
      <c r="B138" s="57">
        <f>IF($A138="","",INDEX(Firms!$B$5:$B$504,MATCH(114,Firms!$S$5:$S$504,0)))</f>
        <v/>
      </c>
      <c r="C138" s="57">
        <f>IF($A138="","",COUNTIF('AFA Rates'!$A$5:$A$504,$A138))</f>
        <v/>
      </c>
      <c r="D138" s="57">
        <f>IF(OR($A138="",D$24=""),"",IF(COUNTIFS('AFA Rates'!$A$5:$A$504,$A138,'AFA Rates'!$B$5:$B$504,D$24)&gt;0,"✓",""))</f>
        <v/>
      </c>
      <c r="E138" s="57">
        <f>IF(OR($A138="",E$24=""),"",IF(COUNTIFS('AFA Rates'!$A$5:$A$504,$A138,'AFA Rates'!$B$5:$B$504,E$24)&gt;0,"✓",""))</f>
        <v/>
      </c>
      <c r="F138" s="57">
        <f>IF(OR($A138="",F$24=""),"",IF(COUNTIFS('AFA Rates'!$A$5:$A$504,$A138,'AFA Rates'!$B$5:$B$504,F$24)&gt;0,"✓",""))</f>
        <v/>
      </c>
      <c r="G138" s="57">
        <f>IF(OR($A138="",G$24=""),"",IF(COUNTIFS('AFA Rates'!$A$5:$A$504,$A138,'AFA Rates'!$B$5:$B$504,G$24)&gt;0,"✓",""))</f>
        <v/>
      </c>
      <c r="H138" s="57">
        <f>IF(OR($A138="",H$24=""),"",IF(COUNTIFS('AFA Rates'!$A$5:$A$504,$A138,'AFA Rates'!$B$5:$B$504,H$24)&gt;0,"✓",""))</f>
        <v/>
      </c>
      <c r="I138" s="57">
        <f>IF(OR($A138="",I$24=""),"",IF(COUNTIFS('AFA Rates'!$A$5:$A$504,$A138,'AFA Rates'!$B$5:$B$504,I$24)&gt;0,"✓",""))</f>
        <v/>
      </c>
      <c r="J138" s="57">
        <f>IF(OR($A138="",J$24=""),"",IF(COUNTIFS('AFA Rates'!$A$5:$A$504,$A138,'AFA Rates'!$B$5:$B$504,J$24)&gt;0,"✓",""))</f>
        <v/>
      </c>
      <c r="K138" s="57">
        <f>IF(OR($A138="",K$24=""),"",IF(COUNTIFS('AFA Rates'!$A$5:$A$504,$A138,'AFA Rates'!$B$5:$B$504,K$24)&gt;0,"✓",""))</f>
        <v/>
      </c>
      <c r="L138" s="57">
        <f>IF(OR($A138="",L$24=""),"",IF(COUNTIFS('AFA Rates'!$A$5:$A$504,$A138,'AFA Rates'!$B$5:$B$504,L$24)&gt;0,"✓",""))</f>
        <v/>
      </c>
      <c r="M138" s="57">
        <f>IF(OR($A138="",M$24=""),"",IF(COUNTIFS('AFA Rates'!$A$5:$A$504,$A138,'AFA Rates'!$B$5:$B$504,M$24)&gt;0,"✓",""))</f>
        <v/>
      </c>
    </row>
    <row r="139">
      <c r="A139" s="63">
        <f>IFERROR(INDEX(Firms!$A$5:$A$504,MATCH(115,Firms!$S$5:$S$504,0)),"")</f>
        <v/>
      </c>
      <c r="B139" s="57">
        <f>IF($A139="","",INDEX(Firms!$B$5:$B$504,MATCH(115,Firms!$S$5:$S$504,0)))</f>
        <v/>
      </c>
      <c r="C139" s="57">
        <f>IF($A139="","",COUNTIF('AFA Rates'!$A$5:$A$504,$A139))</f>
        <v/>
      </c>
      <c r="D139" s="57">
        <f>IF(OR($A139="",D$24=""),"",IF(COUNTIFS('AFA Rates'!$A$5:$A$504,$A139,'AFA Rates'!$B$5:$B$504,D$24)&gt;0,"✓",""))</f>
        <v/>
      </c>
      <c r="E139" s="57">
        <f>IF(OR($A139="",E$24=""),"",IF(COUNTIFS('AFA Rates'!$A$5:$A$504,$A139,'AFA Rates'!$B$5:$B$504,E$24)&gt;0,"✓",""))</f>
        <v/>
      </c>
      <c r="F139" s="57">
        <f>IF(OR($A139="",F$24=""),"",IF(COUNTIFS('AFA Rates'!$A$5:$A$504,$A139,'AFA Rates'!$B$5:$B$504,F$24)&gt;0,"✓",""))</f>
        <v/>
      </c>
      <c r="G139" s="57">
        <f>IF(OR($A139="",G$24=""),"",IF(COUNTIFS('AFA Rates'!$A$5:$A$504,$A139,'AFA Rates'!$B$5:$B$504,G$24)&gt;0,"✓",""))</f>
        <v/>
      </c>
      <c r="H139" s="57">
        <f>IF(OR($A139="",H$24=""),"",IF(COUNTIFS('AFA Rates'!$A$5:$A$504,$A139,'AFA Rates'!$B$5:$B$504,H$24)&gt;0,"✓",""))</f>
        <v/>
      </c>
      <c r="I139" s="57">
        <f>IF(OR($A139="",I$24=""),"",IF(COUNTIFS('AFA Rates'!$A$5:$A$504,$A139,'AFA Rates'!$B$5:$B$504,I$24)&gt;0,"✓",""))</f>
        <v/>
      </c>
      <c r="J139" s="57">
        <f>IF(OR($A139="",J$24=""),"",IF(COUNTIFS('AFA Rates'!$A$5:$A$504,$A139,'AFA Rates'!$B$5:$B$504,J$24)&gt;0,"✓",""))</f>
        <v/>
      </c>
      <c r="K139" s="57">
        <f>IF(OR($A139="",K$24=""),"",IF(COUNTIFS('AFA Rates'!$A$5:$A$504,$A139,'AFA Rates'!$B$5:$B$504,K$24)&gt;0,"✓",""))</f>
        <v/>
      </c>
      <c r="L139" s="57">
        <f>IF(OR($A139="",L$24=""),"",IF(COUNTIFS('AFA Rates'!$A$5:$A$504,$A139,'AFA Rates'!$B$5:$B$504,L$24)&gt;0,"✓",""))</f>
        <v/>
      </c>
      <c r="M139" s="57">
        <f>IF(OR($A139="",M$24=""),"",IF(COUNTIFS('AFA Rates'!$A$5:$A$504,$A139,'AFA Rates'!$B$5:$B$504,M$24)&gt;0,"✓",""))</f>
        <v/>
      </c>
    </row>
    <row r="140">
      <c r="A140" s="63">
        <f>IFERROR(INDEX(Firms!$A$5:$A$504,MATCH(116,Firms!$S$5:$S$504,0)),"")</f>
        <v/>
      </c>
      <c r="B140" s="57">
        <f>IF($A140="","",INDEX(Firms!$B$5:$B$504,MATCH(116,Firms!$S$5:$S$504,0)))</f>
        <v/>
      </c>
      <c r="C140" s="57">
        <f>IF($A140="","",COUNTIF('AFA Rates'!$A$5:$A$504,$A140))</f>
        <v/>
      </c>
      <c r="D140" s="57">
        <f>IF(OR($A140="",D$24=""),"",IF(COUNTIFS('AFA Rates'!$A$5:$A$504,$A140,'AFA Rates'!$B$5:$B$504,D$24)&gt;0,"✓",""))</f>
        <v/>
      </c>
      <c r="E140" s="57">
        <f>IF(OR($A140="",E$24=""),"",IF(COUNTIFS('AFA Rates'!$A$5:$A$504,$A140,'AFA Rates'!$B$5:$B$504,E$24)&gt;0,"✓",""))</f>
        <v/>
      </c>
      <c r="F140" s="57">
        <f>IF(OR($A140="",F$24=""),"",IF(COUNTIFS('AFA Rates'!$A$5:$A$504,$A140,'AFA Rates'!$B$5:$B$504,F$24)&gt;0,"✓",""))</f>
        <v/>
      </c>
      <c r="G140" s="57">
        <f>IF(OR($A140="",G$24=""),"",IF(COUNTIFS('AFA Rates'!$A$5:$A$504,$A140,'AFA Rates'!$B$5:$B$504,G$24)&gt;0,"✓",""))</f>
        <v/>
      </c>
      <c r="H140" s="57">
        <f>IF(OR($A140="",H$24=""),"",IF(COUNTIFS('AFA Rates'!$A$5:$A$504,$A140,'AFA Rates'!$B$5:$B$504,H$24)&gt;0,"✓",""))</f>
        <v/>
      </c>
      <c r="I140" s="57">
        <f>IF(OR($A140="",I$24=""),"",IF(COUNTIFS('AFA Rates'!$A$5:$A$504,$A140,'AFA Rates'!$B$5:$B$504,I$24)&gt;0,"✓",""))</f>
        <v/>
      </c>
      <c r="J140" s="57">
        <f>IF(OR($A140="",J$24=""),"",IF(COUNTIFS('AFA Rates'!$A$5:$A$504,$A140,'AFA Rates'!$B$5:$B$504,J$24)&gt;0,"✓",""))</f>
        <v/>
      </c>
      <c r="K140" s="57">
        <f>IF(OR($A140="",K$24=""),"",IF(COUNTIFS('AFA Rates'!$A$5:$A$504,$A140,'AFA Rates'!$B$5:$B$504,K$24)&gt;0,"✓",""))</f>
        <v/>
      </c>
      <c r="L140" s="57">
        <f>IF(OR($A140="",L$24=""),"",IF(COUNTIFS('AFA Rates'!$A$5:$A$504,$A140,'AFA Rates'!$B$5:$B$504,L$24)&gt;0,"✓",""))</f>
        <v/>
      </c>
      <c r="M140" s="57">
        <f>IF(OR($A140="",M$24=""),"",IF(COUNTIFS('AFA Rates'!$A$5:$A$504,$A140,'AFA Rates'!$B$5:$B$504,M$24)&gt;0,"✓",""))</f>
        <v/>
      </c>
    </row>
    <row r="141">
      <c r="A141" s="63">
        <f>IFERROR(INDEX(Firms!$A$5:$A$504,MATCH(117,Firms!$S$5:$S$504,0)),"")</f>
        <v/>
      </c>
      <c r="B141" s="57">
        <f>IF($A141="","",INDEX(Firms!$B$5:$B$504,MATCH(117,Firms!$S$5:$S$504,0)))</f>
        <v/>
      </c>
      <c r="C141" s="57">
        <f>IF($A141="","",COUNTIF('AFA Rates'!$A$5:$A$504,$A141))</f>
        <v/>
      </c>
      <c r="D141" s="57">
        <f>IF(OR($A141="",D$24=""),"",IF(COUNTIFS('AFA Rates'!$A$5:$A$504,$A141,'AFA Rates'!$B$5:$B$504,D$24)&gt;0,"✓",""))</f>
        <v/>
      </c>
      <c r="E141" s="57">
        <f>IF(OR($A141="",E$24=""),"",IF(COUNTIFS('AFA Rates'!$A$5:$A$504,$A141,'AFA Rates'!$B$5:$B$504,E$24)&gt;0,"✓",""))</f>
        <v/>
      </c>
      <c r="F141" s="57">
        <f>IF(OR($A141="",F$24=""),"",IF(COUNTIFS('AFA Rates'!$A$5:$A$504,$A141,'AFA Rates'!$B$5:$B$504,F$24)&gt;0,"✓",""))</f>
        <v/>
      </c>
      <c r="G141" s="57">
        <f>IF(OR($A141="",G$24=""),"",IF(COUNTIFS('AFA Rates'!$A$5:$A$504,$A141,'AFA Rates'!$B$5:$B$504,G$24)&gt;0,"✓",""))</f>
        <v/>
      </c>
      <c r="H141" s="57">
        <f>IF(OR($A141="",H$24=""),"",IF(COUNTIFS('AFA Rates'!$A$5:$A$504,$A141,'AFA Rates'!$B$5:$B$504,H$24)&gt;0,"✓",""))</f>
        <v/>
      </c>
      <c r="I141" s="57">
        <f>IF(OR($A141="",I$24=""),"",IF(COUNTIFS('AFA Rates'!$A$5:$A$504,$A141,'AFA Rates'!$B$5:$B$504,I$24)&gt;0,"✓",""))</f>
        <v/>
      </c>
      <c r="J141" s="57">
        <f>IF(OR($A141="",J$24=""),"",IF(COUNTIFS('AFA Rates'!$A$5:$A$504,$A141,'AFA Rates'!$B$5:$B$504,J$24)&gt;0,"✓",""))</f>
        <v/>
      </c>
      <c r="K141" s="57">
        <f>IF(OR($A141="",K$24=""),"",IF(COUNTIFS('AFA Rates'!$A$5:$A$504,$A141,'AFA Rates'!$B$5:$B$504,K$24)&gt;0,"✓",""))</f>
        <v/>
      </c>
      <c r="L141" s="57">
        <f>IF(OR($A141="",L$24=""),"",IF(COUNTIFS('AFA Rates'!$A$5:$A$504,$A141,'AFA Rates'!$B$5:$B$504,L$24)&gt;0,"✓",""))</f>
        <v/>
      </c>
      <c r="M141" s="57">
        <f>IF(OR($A141="",M$24=""),"",IF(COUNTIFS('AFA Rates'!$A$5:$A$504,$A141,'AFA Rates'!$B$5:$B$504,M$24)&gt;0,"✓",""))</f>
        <v/>
      </c>
    </row>
    <row r="142">
      <c r="A142" s="63">
        <f>IFERROR(INDEX(Firms!$A$5:$A$504,MATCH(118,Firms!$S$5:$S$504,0)),"")</f>
        <v/>
      </c>
      <c r="B142" s="57">
        <f>IF($A142="","",INDEX(Firms!$B$5:$B$504,MATCH(118,Firms!$S$5:$S$504,0)))</f>
        <v/>
      </c>
      <c r="C142" s="57">
        <f>IF($A142="","",COUNTIF('AFA Rates'!$A$5:$A$504,$A142))</f>
        <v/>
      </c>
      <c r="D142" s="57">
        <f>IF(OR($A142="",D$24=""),"",IF(COUNTIFS('AFA Rates'!$A$5:$A$504,$A142,'AFA Rates'!$B$5:$B$504,D$24)&gt;0,"✓",""))</f>
        <v/>
      </c>
      <c r="E142" s="57">
        <f>IF(OR($A142="",E$24=""),"",IF(COUNTIFS('AFA Rates'!$A$5:$A$504,$A142,'AFA Rates'!$B$5:$B$504,E$24)&gt;0,"✓",""))</f>
        <v/>
      </c>
      <c r="F142" s="57">
        <f>IF(OR($A142="",F$24=""),"",IF(COUNTIFS('AFA Rates'!$A$5:$A$504,$A142,'AFA Rates'!$B$5:$B$504,F$24)&gt;0,"✓",""))</f>
        <v/>
      </c>
      <c r="G142" s="57">
        <f>IF(OR($A142="",G$24=""),"",IF(COUNTIFS('AFA Rates'!$A$5:$A$504,$A142,'AFA Rates'!$B$5:$B$504,G$24)&gt;0,"✓",""))</f>
        <v/>
      </c>
      <c r="H142" s="57">
        <f>IF(OR($A142="",H$24=""),"",IF(COUNTIFS('AFA Rates'!$A$5:$A$504,$A142,'AFA Rates'!$B$5:$B$504,H$24)&gt;0,"✓",""))</f>
        <v/>
      </c>
      <c r="I142" s="57">
        <f>IF(OR($A142="",I$24=""),"",IF(COUNTIFS('AFA Rates'!$A$5:$A$504,$A142,'AFA Rates'!$B$5:$B$504,I$24)&gt;0,"✓",""))</f>
        <v/>
      </c>
      <c r="J142" s="57">
        <f>IF(OR($A142="",J$24=""),"",IF(COUNTIFS('AFA Rates'!$A$5:$A$504,$A142,'AFA Rates'!$B$5:$B$504,J$24)&gt;0,"✓",""))</f>
        <v/>
      </c>
      <c r="K142" s="57">
        <f>IF(OR($A142="",K$24=""),"",IF(COUNTIFS('AFA Rates'!$A$5:$A$504,$A142,'AFA Rates'!$B$5:$B$504,K$24)&gt;0,"✓",""))</f>
        <v/>
      </c>
      <c r="L142" s="57">
        <f>IF(OR($A142="",L$24=""),"",IF(COUNTIFS('AFA Rates'!$A$5:$A$504,$A142,'AFA Rates'!$B$5:$B$504,L$24)&gt;0,"✓",""))</f>
        <v/>
      </c>
      <c r="M142" s="57">
        <f>IF(OR($A142="",M$24=""),"",IF(COUNTIFS('AFA Rates'!$A$5:$A$504,$A142,'AFA Rates'!$B$5:$B$504,M$24)&gt;0,"✓",""))</f>
        <v/>
      </c>
    </row>
    <row r="143">
      <c r="A143" s="63">
        <f>IFERROR(INDEX(Firms!$A$5:$A$504,MATCH(119,Firms!$S$5:$S$504,0)),"")</f>
        <v/>
      </c>
      <c r="B143" s="57">
        <f>IF($A143="","",INDEX(Firms!$B$5:$B$504,MATCH(119,Firms!$S$5:$S$504,0)))</f>
        <v/>
      </c>
      <c r="C143" s="57">
        <f>IF($A143="","",COUNTIF('AFA Rates'!$A$5:$A$504,$A143))</f>
        <v/>
      </c>
      <c r="D143" s="57">
        <f>IF(OR($A143="",D$24=""),"",IF(COUNTIFS('AFA Rates'!$A$5:$A$504,$A143,'AFA Rates'!$B$5:$B$504,D$24)&gt;0,"✓",""))</f>
        <v/>
      </c>
      <c r="E143" s="57">
        <f>IF(OR($A143="",E$24=""),"",IF(COUNTIFS('AFA Rates'!$A$5:$A$504,$A143,'AFA Rates'!$B$5:$B$504,E$24)&gt;0,"✓",""))</f>
        <v/>
      </c>
      <c r="F143" s="57">
        <f>IF(OR($A143="",F$24=""),"",IF(COUNTIFS('AFA Rates'!$A$5:$A$504,$A143,'AFA Rates'!$B$5:$B$504,F$24)&gt;0,"✓",""))</f>
        <v/>
      </c>
      <c r="G143" s="57">
        <f>IF(OR($A143="",G$24=""),"",IF(COUNTIFS('AFA Rates'!$A$5:$A$504,$A143,'AFA Rates'!$B$5:$B$504,G$24)&gt;0,"✓",""))</f>
        <v/>
      </c>
      <c r="H143" s="57">
        <f>IF(OR($A143="",H$24=""),"",IF(COUNTIFS('AFA Rates'!$A$5:$A$504,$A143,'AFA Rates'!$B$5:$B$504,H$24)&gt;0,"✓",""))</f>
        <v/>
      </c>
      <c r="I143" s="57">
        <f>IF(OR($A143="",I$24=""),"",IF(COUNTIFS('AFA Rates'!$A$5:$A$504,$A143,'AFA Rates'!$B$5:$B$504,I$24)&gt;0,"✓",""))</f>
        <v/>
      </c>
      <c r="J143" s="57">
        <f>IF(OR($A143="",J$24=""),"",IF(COUNTIFS('AFA Rates'!$A$5:$A$504,$A143,'AFA Rates'!$B$5:$B$504,J$24)&gt;0,"✓",""))</f>
        <v/>
      </c>
      <c r="K143" s="57">
        <f>IF(OR($A143="",K$24=""),"",IF(COUNTIFS('AFA Rates'!$A$5:$A$504,$A143,'AFA Rates'!$B$5:$B$504,K$24)&gt;0,"✓",""))</f>
        <v/>
      </c>
      <c r="L143" s="57">
        <f>IF(OR($A143="",L$24=""),"",IF(COUNTIFS('AFA Rates'!$A$5:$A$504,$A143,'AFA Rates'!$B$5:$B$504,L$24)&gt;0,"✓",""))</f>
        <v/>
      </c>
      <c r="M143" s="57">
        <f>IF(OR($A143="",M$24=""),"",IF(COUNTIFS('AFA Rates'!$A$5:$A$504,$A143,'AFA Rates'!$B$5:$B$504,M$24)&gt;0,"✓",""))</f>
        <v/>
      </c>
    </row>
    <row r="144">
      <c r="A144" s="63">
        <f>IFERROR(INDEX(Firms!$A$5:$A$504,MATCH(120,Firms!$S$5:$S$504,0)),"")</f>
        <v/>
      </c>
      <c r="B144" s="57">
        <f>IF($A144="","",INDEX(Firms!$B$5:$B$504,MATCH(120,Firms!$S$5:$S$504,0)))</f>
        <v/>
      </c>
      <c r="C144" s="57">
        <f>IF($A144="","",COUNTIF('AFA Rates'!$A$5:$A$504,$A144))</f>
        <v/>
      </c>
      <c r="D144" s="57">
        <f>IF(OR($A144="",D$24=""),"",IF(COUNTIFS('AFA Rates'!$A$5:$A$504,$A144,'AFA Rates'!$B$5:$B$504,D$24)&gt;0,"✓",""))</f>
        <v/>
      </c>
      <c r="E144" s="57">
        <f>IF(OR($A144="",E$24=""),"",IF(COUNTIFS('AFA Rates'!$A$5:$A$504,$A144,'AFA Rates'!$B$5:$B$504,E$24)&gt;0,"✓",""))</f>
        <v/>
      </c>
      <c r="F144" s="57">
        <f>IF(OR($A144="",F$24=""),"",IF(COUNTIFS('AFA Rates'!$A$5:$A$504,$A144,'AFA Rates'!$B$5:$B$504,F$24)&gt;0,"✓",""))</f>
        <v/>
      </c>
      <c r="G144" s="57">
        <f>IF(OR($A144="",G$24=""),"",IF(COUNTIFS('AFA Rates'!$A$5:$A$504,$A144,'AFA Rates'!$B$5:$B$504,G$24)&gt;0,"✓",""))</f>
        <v/>
      </c>
      <c r="H144" s="57">
        <f>IF(OR($A144="",H$24=""),"",IF(COUNTIFS('AFA Rates'!$A$5:$A$504,$A144,'AFA Rates'!$B$5:$B$504,H$24)&gt;0,"✓",""))</f>
        <v/>
      </c>
      <c r="I144" s="57">
        <f>IF(OR($A144="",I$24=""),"",IF(COUNTIFS('AFA Rates'!$A$5:$A$504,$A144,'AFA Rates'!$B$5:$B$504,I$24)&gt;0,"✓",""))</f>
        <v/>
      </c>
      <c r="J144" s="57">
        <f>IF(OR($A144="",J$24=""),"",IF(COUNTIFS('AFA Rates'!$A$5:$A$504,$A144,'AFA Rates'!$B$5:$B$504,J$24)&gt;0,"✓",""))</f>
        <v/>
      </c>
      <c r="K144" s="57">
        <f>IF(OR($A144="",K$24=""),"",IF(COUNTIFS('AFA Rates'!$A$5:$A$504,$A144,'AFA Rates'!$B$5:$B$504,K$24)&gt;0,"✓",""))</f>
        <v/>
      </c>
      <c r="L144" s="57">
        <f>IF(OR($A144="",L$24=""),"",IF(COUNTIFS('AFA Rates'!$A$5:$A$504,$A144,'AFA Rates'!$B$5:$B$504,L$24)&gt;0,"✓",""))</f>
        <v/>
      </c>
      <c r="M144" s="57">
        <f>IF(OR($A144="",M$24=""),"",IF(COUNTIFS('AFA Rates'!$A$5:$A$504,$A144,'AFA Rates'!$B$5:$B$504,M$24)&gt;0,"✓",""))</f>
        <v/>
      </c>
    </row>
    <row r="145">
      <c r="A145" s="63">
        <f>IFERROR(INDEX(Firms!$A$5:$A$504,MATCH(121,Firms!$S$5:$S$504,0)),"")</f>
        <v/>
      </c>
      <c r="B145" s="57">
        <f>IF($A145="","",INDEX(Firms!$B$5:$B$504,MATCH(121,Firms!$S$5:$S$504,0)))</f>
        <v/>
      </c>
      <c r="C145" s="57">
        <f>IF($A145="","",COUNTIF('AFA Rates'!$A$5:$A$504,$A145))</f>
        <v/>
      </c>
      <c r="D145" s="57">
        <f>IF(OR($A145="",D$24=""),"",IF(COUNTIFS('AFA Rates'!$A$5:$A$504,$A145,'AFA Rates'!$B$5:$B$504,D$24)&gt;0,"✓",""))</f>
        <v/>
      </c>
      <c r="E145" s="57">
        <f>IF(OR($A145="",E$24=""),"",IF(COUNTIFS('AFA Rates'!$A$5:$A$504,$A145,'AFA Rates'!$B$5:$B$504,E$24)&gt;0,"✓",""))</f>
        <v/>
      </c>
      <c r="F145" s="57">
        <f>IF(OR($A145="",F$24=""),"",IF(COUNTIFS('AFA Rates'!$A$5:$A$504,$A145,'AFA Rates'!$B$5:$B$504,F$24)&gt;0,"✓",""))</f>
        <v/>
      </c>
      <c r="G145" s="57">
        <f>IF(OR($A145="",G$24=""),"",IF(COUNTIFS('AFA Rates'!$A$5:$A$504,$A145,'AFA Rates'!$B$5:$B$504,G$24)&gt;0,"✓",""))</f>
        <v/>
      </c>
      <c r="H145" s="57">
        <f>IF(OR($A145="",H$24=""),"",IF(COUNTIFS('AFA Rates'!$A$5:$A$504,$A145,'AFA Rates'!$B$5:$B$504,H$24)&gt;0,"✓",""))</f>
        <v/>
      </c>
      <c r="I145" s="57">
        <f>IF(OR($A145="",I$24=""),"",IF(COUNTIFS('AFA Rates'!$A$5:$A$504,$A145,'AFA Rates'!$B$5:$B$504,I$24)&gt;0,"✓",""))</f>
        <v/>
      </c>
      <c r="J145" s="57">
        <f>IF(OR($A145="",J$24=""),"",IF(COUNTIFS('AFA Rates'!$A$5:$A$504,$A145,'AFA Rates'!$B$5:$B$504,J$24)&gt;0,"✓",""))</f>
        <v/>
      </c>
      <c r="K145" s="57">
        <f>IF(OR($A145="",K$24=""),"",IF(COUNTIFS('AFA Rates'!$A$5:$A$504,$A145,'AFA Rates'!$B$5:$B$504,K$24)&gt;0,"✓",""))</f>
        <v/>
      </c>
      <c r="L145" s="57">
        <f>IF(OR($A145="",L$24=""),"",IF(COUNTIFS('AFA Rates'!$A$5:$A$504,$A145,'AFA Rates'!$B$5:$B$504,L$24)&gt;0,"✓",""))</f>
        <v/>
      </c>
      <c r="M145" s="57">
        <f>IF(OR($A145="",M$24=""),"",IF(COUNTIFS('AFA Rates'!$A$5:$A$504,$A145,'AFA Rates'!$B$5:$B$504,M$24)&gt;0,"✓",""))</f>
        <v/>
      </c>
    </row>
    <row r="146">
      <c r="A146" s="63">
        <f>IFERROR(INDEX(Firms!$A$5:$A$504,MATCH(122,Firms!$S$5:$S$504,0)),"")</f>
        <v/>
      </c>
      <c r="B146" s="57">
        <f>IF($A146="","",INDEX(Firms!$B$5:$B$504,MATCH(122,Firms!$S$5:$S$504,0)))</f>
        <v/>
      </c>
      <c r="C146" s="57">
        <f>IF($A146="","",COUNTIF('AFA Rates'!$A$5:$A$504,$A146))</f>
        <v/>
      </c>
      <c r="D146" s="57">
        <f>IF(OR($A146="",D$24=""),"",IF(COUNTIFS('AFA Rates'!$A$5:$A$504,$A146,'AFA Rates'!$B$5:$B$504,D$24)&gt;0,"✓",""))</f>
        <v/>
      </c>
      <c r="E146" s="57">
        <f>IF(OR($A146="",E$24=""),"",IF(COUNTIFS('AFA Rates'!$A$5:$A$504,$A146,'AFA Rates'!$B$5:$B$504,E$24)&gt;0,"✓",""))</f>
        <v/>
      </c>
      <c r="F146" s="57">
        <f>IF(OR($A146="",F$24=""),"",IF(COUNTIFS('AFA Rates'!$A$5:$A$504,$A146,'AFA Rates'!$B$5:$B$504,F$24)&gt;0,"✓",""))</f>
        <v/>
      </c>
      <c r="G146" s="57">
        <f>IF(OR($A146="",G$24=""),"",IF(COUNTIFS('AFA Rates'!$A$5:$A$504,$A146,'AFA Rates'!$B$5:$B$504,G$24)&gt;0,"✓",""))</f>
        <v/>
      </c>
      <c r="H146" s="57">
        <f>IF(OR($A146="",H$24=""),"",IF(COUNTIFS('AFA Rates'!$A$5:$A$504,$A146,'AFA Rates'!$B$5:$B$504,H$24)&gt;0,"✓",""))</f>
        <v/>
      </c>
      <c r="I146" s="57">
        <f>IF(OR($A146="",I$24=""),"",IF(COUNTIFS('AFA Rates'!$A$5:$A$504,$A146,'AFA Rates'!$B$5:$B$504,I$24)&gt;0,"✓",""))</f>
        <v/>
      </c>
      <c r="J146" s="57">
        <f>IF(OR($A146="",J$24=""),"",IF(COUNTIFS('AFA Rates'!$A$5:$A$504,$A146,'AFA Rates'!$B$5:$B$504,J$24)&gt;0,"✓",""))</f>
        <v/>
      </c>
      <c r="K146" s="57">
        <f>IF(OR($A146="",K$24=""),"",IF(COUNTIFS('AFA Rates'!$A$5:$A$504,$A146,'AFA Rates'!$B$5:$B$504,K$24)&gt;0,"✓",""))</f>
        <v/>
      </c>
      <c r="L146" s="57">
        <f>IF(OR($A146="",L$24=""),"",IF(COUNTIFS('AFA Rates'!$A$5:$A$504,$A146,'AFA Rates'!$B$5:$B$504,L$24)&gt;0,"✓",""))</f>
        <v/>
      </c>
      <c r="M146" s="57">
        <f>IF(OR($A146="",M$24=""),"",IF(COUNTIFS('AFA Rates'!$A$5:$A$504,$A146,'AFA Rates'!$B$5:$B$504,M$24)&gt;0,"✓",""))</f>
        <v/>
      </c>
    </row>
    <row r="147">
      <c r="A147" s="63">
        <f>IFERROR(INDEX(Firms!$A$5:$A$504,MATCH(123,Firms!$S$5:$S$504,0)),"")</f>
        <v/>
      </c>
      <c r="B147" s="57">
        <f>IF($A147="","",INDEX(Firms!$B$5:$B$504,MATCH(123,Firms!$S$5:$S$504,0)))</f>
        <v/>
      </c>
      <c r="C147" s="57">
        <f>IF($A147="","",COUNTIF('AFA Rates'!$A$5:$A$504,$A147))</f>
        <v/>
      </c>
      <c r="D147" s="57">
        <f>IF(OR($A147="",D$24=""),"",IF(COUNTIFS('AFA Rates'!$A$5:$A$504,$A147,'AFA Rates'!$B$5:$B$504,D$24)&gt;0,"✓",""))</f>
        <v/>
      </c>
      <c r="E147" s="57">
        <f>IF(OR($A147="",E$24=""),"",IF(COUNTIFS('AFA Rates'!$A$5:$A$504,$A147,'AFA Rates'!$B$5:$B$504,E$24)&gt;0,"✓",""))</f>
        <v/>
      </c>
      <c r="F147" s="57">
        <f>IF(OR($A147="",F$24=""),"",IF(COUNTIFS('AFA Rates'!$A$5:$A$504,$A147,'AFA Rates'!$B$5:$B$504,F$24)&gt;0,"✓",""))</f>
        <v/>
      </c>
      <c r="G147" s="57">
        <f>IF(OR($A147="",G$24=""),"",IF(COUNTIFS('AFA Rates'!$A$5:$A$504,$A147,'AFA Rates'!$B$5:$B$504,G$24)&gt;0,"✓",""))</f>
        <v/>
      </c>
      <c r="H147" s="57">
        <f>IF(OR($A147="",H$24=""),"",IF(COUNTIFS('AFA Rates'!$A$5:$A$504,$A147,'AFA Rates'!$B$5:$B$504,H$24)&gt;0,"✓",""))</f>
        <v/>
      </c>
      <c r="I147" s="57">
        <f>IF(OR($A147="",I$24=""),"",IF(COUNTIFS('AFA Rates'!$A$5:$A$504,$A147,'AFA Rates'!$B$5:$B$504,I$24)&gt;0,"✓",""))</f>
        <v/>
      </c>
      <c r="J147" s="57">
        <f>IF(OR($A147="",J$24=""),"",IF(COUNTIFS('AFA Rates'!$A$5:$A$504,$A147,'AFA Rates'!$B$5:$B$504,J$24)&gt;0,"✓",""))</f>
        <v/>
      </c>
      <c r="K147" s="57">
        <f>IF(OR($A147="",K$24=""),"",IF(COUNTIFS('AFA Rates'!$A$5:$A$504,$A147,'AFA Rates'!$B$5:$B$504,K$24)&gt;0,"✓",""))</f>
        <v/>
      </c>
      <c r="L147" s="57">
        <f>IF(OR($A147="",L$24=""),"",IF(COUNTIFS('AFA Rates'!$A$5:$A$504,$A147,'AFA Rates'!$B$5:$B$504,L$24)&gt;0,"✓",""))</f>
        <v/>
      </c>
      <c r="M147" s="57">
        <f>IF(OR($A147="",M$24=""),"",IF(COUNTIFS('AFA Rates'!$A$5:$A$504,$A147,'AFA Rates'!$B$5:$B$504,M$24)&gt;0,"✓",""))</f>
        <v/>
      </c>
    </row>
    <row r="148">
      <c r="A148" s="63">
        <f>IFERROR(INDEX(Firms!$A$5:$A$504,MATCH(124,Firms!$S$5:$S$504,0)),"")</f>
        <v/>
      </c>
      <c r="B148" s="57">
        <f>IF($A148="","",INDEX(Firms!$B$5:$B$504,MATCH(124,Firms!$S$5:$S$504,0)))</f>
        <v/>
      </c>
      <c r="C148" s="57">
        <f>IF($A148="","",COUNTIF('AFA Rates'!$A$5:$A$504,$A148))</f>
        <v/>
      </c>
      <c r="D148" s="57">
        <f>IF(OR($A148="",D$24=""),"",IF(COUNTIFS('AFA Rates'!$A$5:$A$504,$A148,'AFA Rates'!$B$5:$B$504,D$24)&gt;0,"✓",""))</f>
        <v/>
      </c>
      <c r="E148" s="57">
        <f>IF(OR($A148="",E$24=""),"",IF(COUNTIFS('AFA Rates'!$A$5:$A$504,$A148,'AFA Rates'!$B$5:$B$504,E$24)&gt;0,"✓",""))</f>
        <v/>
      </c>
      <c r="F148" s="57">
        <f>IF(OR($A148="",F$24=""),"",IF(COUNTIFS('AFA Rates'!$A$5:$A$504,$A148,'AFA Rates'!$B$5:$B$504,F$24)&gt;0,"✓",""))</f>
        <v/>
      </c>
      <c r="G148" s="57">
        <f>IF(OR($A148="",G$24=""),"",IF(COUNTIFS('AFA Rates'!$A$5:$A$504,$A148,'AFA Rates'!$B$5:$B$504,G$24)&gt;0,"✓",""))</f>
        <v/>
      </c>
      <c r="H148" s="57">
        <f>IF(OR($A148="",H$24=""),"",IF(COUNTIFS('AFA Rates'!$A$5:$A$504,$A148,'AFA Rates'!$B$5:$B$504,H$24)&gt;0,"✓",""))</f>
        <v/>
      </c>
      <c r="I148" s="57">
        <f>IF(OR($A148="",I$24=""),"",IF(COUNTIFS('AFA Rates'!$A$5:$A$504,$A148,'AFA Rates'!$B$5:$B$504,I$24)&gt;0,"✓",""))</f>
        <v/>
      </c>
      <c r="J148" s="57">
        <f>IF(OR($A148="",J$24=""),"",IF(COUNTIFS('AFA Rates'!$A$5:$A$504,$A148,'AFA Rates'!$B$5:$B$504,J$24)&gt;0,"✓",""))</f>
        <v/>
      </c>
      <c r="K148" s="57">
        <f>IF(OR($A148="",K$24=""),"",IF(COUNTIFS('AFA Rates'!$A$5:$A$504,$A148,'AFA Rates'!$B$5:$B$504,K$24)&gt;0,"✓",""))</f>
        <v/>
      </c>
      <c r="L148" s="57">
        <f>IF(OR($A148="",L$24=""),"",IF(COUNTIFS('AFA Rates'!$A$5:$A$504,$A148,'AFA Rates'!$B$5:$B$504,L$24)&gt;0,"✓",""))</f>
        <v/>
      </c>
      <c r="M148" s="57">
        <f>IF(OR($A148="",M$24=""),"",IF(COUNTIFS('AFA Rates'!$A$5:$A$504,$A148,'AFA Rates'!$B$5:$B$504,M$24)&gt;0,"✓",""))</f>
        <v/>
      </c>
    </row>
    <row r="149">
      <c r="A149" s="63">
        <f>IFERROR(INDEX(Firms!$A$5:$A$504,MATCH(125,Firms!$S$5:$S$504,0)),"")</f>
        <v/>
      </c>
      <c r="B149" s="57">
        <f>IF($A149="","",INDEX(Firms!$B$5:$B$504,MATCH(125,Firms!$S$5:$S$504,0)))</f>
        <v/>
      </c>
      <c r="C149" s="57">
        <f>IF($A149="","",COUNTIF('AFA Rates'!$A$5:$A$504,$A149))</f>
        <v/>
      </c>
      <c r="D149" s="57">
        <f>IF(OR($A149="",D$24=""),"",IF(COUNTIFS('AFA Rates'!$A$5:$A$504,$A149,'AFA Rates'!$B$5:$B$504,D$24)&gt;0,"✓",""))</f>
        <v/>
      </c>
      <c r="E149" s="57">
        <f>IF(OR($A149="",E$24=""),"",IF(COUNTIFS('AFA Rates'!$A$5:$A$504,$A149,'AFA Rates'!$B$5:$B$504,E$24)&gt;0,"✓",""))</f>
        <v/>
      </c>
      <c r="F149" s="57">
        <f>IF(OR($A149="",F$24=""),"",IF(COUNTIFS('AFA Rates'!$A$5:$A$504,$A149,'AFA Rates'!$B$5:$B$504,F$24)&gt;0,"✓",""))</f>
        <v/>
      </c>
      <c r="G149" s="57">
        <f>IF(OR($A149="",G$24=""),"",IF(COUNTIFS('AFA Rates'!$A$5:$A$504,$A149,'AFA Rates'!$B$5:$B$504,G$24)&gt;0,"✓",""))</f>
        <v/>
      </c>
      <c r="H149" s="57">
        <f>IF(OR($A149="",H$24=""),"",IF(COUNTIFS('AFA Rates'!$A$5:$A$504,$A149,'AFA Rates'!$B$5:$B$504,H$24)&gt;0,"✓",""))</f>
        <v/>
      </c>
      <c r="I149" s="57">
        <f>IF(OR($A149="",I$24=""),"",IF(COUNTIFS('AFA Rates'!$A$5:$A$504,$A149,'AFA Rates'!$B$5:$B$504,I$24)&gt;0,"✓",""))</f>
        <v/>
      </c>
      <c r="J149" s="57">
        <f>IF(OR($A149="",J$24=""),"",IF(COUNTIFS('AFA Rates'!$A$5:$A$504,$A149,'AFA Rates'!$B$5:$B$504,J$24)&gt;0,"✓",""))</f>
        <v/>
      </c>
      <c r="K149" s="57">
        <f>IF(OR($A149="",K$24=""),"",IF(COUNTIFS('AFA Rates'!$A$5:$A$504,$A149,'AFA Rates'!$B$5:$B$504,K$24)&gt;0,"✓",""))</f>
        <v/>
      </c>
      <c r="L149" s="57">
        <f>IF(OR($A149="",L$24=""),"",IF(COUNTIFS('AFA Rates'!$A$5:$A$504,$A149,'AFA Rates'!$B$5:$B$504,L$24)&gt;0,"✓",""))</f>
        <v/>
      </c>
      <c r="M149" s="57">
        <f>IF(OR($A149="",M$24=""),"",IF(COUNTIFS('AFA Rates'!$A$5:$A$504,$A149,'AFA Rates'!$B$5:$B$504,M$24)&gt;0,"✓",""))</f>
        <v/>
      </c>
    </row>
    <row r="150">
      <c r="A150" s="63">
        <f>IFERROR(INDEX(Firms!$A$5:$A$504,MATCH(126,Firms!$S$5:$S$504,0)),"")</f>
        <v/>
      </c>
      <c r="B150" s="57">
        <f>IF($A150="","",INDEX(Firms!$B$5:$B$504,MATCH(126,Firms!$S$5:$S$504,0)))</f>
        <v/>
      </c>
      <c r="C150" s="57">
        <f>IF($A150="","",COUNTIF('AFA Rates'!$A$5:$A$504,$A150))</f>
        <v/>
      </c>
      <c r="D150" s="57">
        <f>IF(OR($A150="",D$24=""),"",IF(COUNTIFS('AFA Rates'!$A$5:$A$504,$A150,'AFA Rates'!$B$5:$B$504,D$24)&gt;0,"✓",""))</f>
        <v/>
      </c>
      <c r="E150" s="57">
        <f>IF(OR($A150="",E$24=""),"",IF(COUNTIFS('AFA Rates'!$A$5:$A$504,$A150,'AFA Rates'!$B$5:$B$504,E$24)&gt;0,"✓",""))</f>
        <v/>
      </c>
      <c r="F150" s="57">
        <f>IF(OR($A150="",F$24=""),"",IF(COUNTIFS('AFA Rates'!$A$5:$A$504,$A150,'AFA Rates'!$B$5:$B$504,F$24)&gt;0,"✓",""))</f>
        <v/>
      </c>
      <c r="G150" s="57">
        <f>IF(OR($A150="",G$24=""),"",IF(COUNTIFS('AFA Rates'!$A$5:$A$504,$A150,'AFA Rates'!$B$5:$B$504,G$24)&gt;0,"✓",""))</f>
        <v/>
      </c>
      <c r="H150" s="57">
        <f>IF(OR($A150="",H$24=""),"",IF(COUNTIFS('AFA Rates'!$A$5:$A$504,$A150,'AFA Rates'!$B$5:$B$504,H$24)&gt;0,"✓",""))</f>
        <v/>
      </c>
      <c r="I150" s="57">
        <f>IF(OR($A150="",I$24=""),"",IF(COUNTIFS('AFA Rates'!$A$5:$A$504,$A150,'AFA Rates'!$B$5:$B$504,I$24)&gt;0,"✓",""))</f>
        <v/>
      </c>
      <c r="J150" s="57">
        <f>IF(OR($A150="",J$24=""),"",IF(COUNTIFS('AFA Rates'!$A$5:$A$504,$A150,'AFA Rates'!$B$5:$B$504,J$24)&gt;0,"✓",""))</f>
        <v/>
      </c>
      <c r="K150" s="57">
        <f>IF(OR($A150="",K$24=""),"",IF(COUNTIFS('AFA Rates'!$A$5:$A$504,$A150,'AFA Rates'!$B$5:$B$504,K$24)&gt;0,"✓",""))</f>
        <v/>
      </c>
      <c r="L150" s="57">
        <f>IF(OR($A150="",L$24=""),"",IF(COUNTIFS('AFA Rates'!$A$5:$A$504,$A150,'AFA Rates'!$B$5:$B$504,L$24)&gt;0,"✓",""))</f>
        <v/>
      </c>
      <c r="M150" s="57">
        <f>IF(OR($A150="",M$24=""),"",IF(COUNTIFS('AFA Rates'!$A$5:$A$504,$A150,'AFA Rates'!$B$5:$B$504,M$24)&gt;0,"✓",""))</f>
        <v/>
      </c>
    </row>
    <row r="151">
      <c r="A151" s="63">
        <f>IFERROR(INDEX(Firms!$A$5:$A$504,MATCH(127,Firms!$S$5:$S$504,0)),"")</f>
        <v/>
      </c>
      <c r="B151" s="57">
        <f>IF($A151="","",INDEX(Firms!$B$5:$B$504,MATCH(127,Firms!$S$5:$S$504,0)))</f>
        <v/>
      </c>
      <c r="C151" s="57">
        <f>IF($A151="","",COUNTIF('AFA Rates'!$A$5:$A$504,$A151))</f>
        <v/>
      </c>
      <c r="D151" s="57">
        <f>IF(OR($A151="",D$24=""),"",IF(COUNTIFS('AFA Rates'!$A$5:$A$504,$A151,'AFA Rates'!$B$5:$B$504,D$24)&gt;0,"✓",""))</f>
        <v/>
      </c>
      <c r="E151" s="57">
        <f>IF(OR($A151="",E$24=""),"",IF(COUNTIFS('AFA Rates'!$A$5:$A$504,$A151,'AFA Rates'!$B$5:$B$504,E$24)&gt;0,"✓",""))</f>
        <v/>
      </c>
      <c r="F151" s="57">
        <f>IF(OR($A151="",F$24=""),"",IF(COUNTIFS('AFA Rates'!$A$5:$A$504,$A151,'AFA Rates'!$B$5:$B$504,F$24)&gt;0,"✓",""))</f>
        <v/>
      </c>
      <c r="G151" s="57">
        <f>IF(OR($A151="",G$24=""),"",IF(COUNTIFS('AFA Rates'!$A$5:$A$504,$A151,'AFA Rates'!$B$5:$B$504,G$24)&gt;0,"✓",""))</f>
        <v/>
      </c>
      <c r="H151" s="57">
        <f>IF(OR($A151="",H$24=""),"",IF(COUNTIFS('AFA Rates'!$A$5:$A$504,$A151,'AFA Rates'!$B$5:$B$504,H$24)&gt;0,"✓",""))</f>
        <v/>
      </c>
      <c r="I151" s="57">
        <f>IF(OR($A151="",I$24=""),"",IF(COUNTIFS('AFA Rates'!$A$5:$A$504,$A151,'AFA Rates'!$B$5:$B$504,I$24)&gt;0,"✓",""))</f>
        <v/>
      </c>
      <c r="J151" s="57">
        <f>IF(OR($A151="",J$24=""),"",IF(COUNTIFS('AFA Rates'!$A$5:$A$504,$A151,'AFA Rates'!$B$5:$B$504,J$24)&gt;0,"✓",""))</f>
        <v/>
      </c>
      <c r="K151" s="57">
        <f>IF(OR($A151="",K$24=""),"",IF(COUNTIFS('AFA Rates'!$A$5:$A$504,$A151,'AFA Rates'!$B$5:$B$504,K$24)&gt;0,"✓",""))</f>
        <v/>
      </c>
      <c r="L151" s="57">
        <f>IF(OR($A151="",L$24=""),"",IF(COUNTIFS('AFA Rates'!$A$5:$A$504,$A151,'AFA Rates'!$B$5:$B$504,L$24)&gt;0,"✓",""))</f>
        <v/>
      </c>
      <c r="M151" s="57">
        <f>IF(OR($A151="",M$24=""),"",IF(COUNTIFS('AFA Rates'!$A$5:$A$504,$A151,'AFA Rates'!$B$5:$B$504,M$24)&gt;0,"✓",""))</f>
        <v/>
      </c>
    </row>
    <row r="152">
      <c r="A152" s="63">
        <f>IFERROR(INDEX(Firms!$A$5:$A$504,MATCH(128,Firms!$S$5:$S$504,0)),"")</f>
        <v/>
      </c>
      <c r="B152" s="57">
        <f>IF($A152="","",INDEX(Firms!$B$5:$B$504,MATCH(128,Firms!$S$5:$S$504,0)))</f>
        <v/>
      </c>
      <c r="C152" s="57">
        <f>IF($A152="","",COUNTIF('AFA Rates'!$A$5:$A$504,$A152))</f>
        <v/>
      </c>
      <c r="D152" s="57">
        <f>IF(OR($A152="",D$24=""),"",IF(COUNTIFS('AFA Rates'!$A$5:$A$504,$A152,'AFA Rates'!$B$5:$B$504,D$24)&gt;0,"✓",""))</f>
        <v/>
      </c>
      <c r="E152" s="57">
        <f>IF(OR($A152="",E$24=""),"",IF(COUNTIFS('AFA Rates'!$A$5:$A$504,$A152,'AFA Rates'!$B$5:$B$504,E$24)&gt;0,"✓",""))</f>
        <v/>
      </c>
      <c r="F152" s="57">
        <f>IF(OR($A152="",F$24=""),"",IF(COUNTIFS('AFA Rates'!$A$5:$A$504,$A152,'AFA Rates'!$B$5:$B$504,F$24)&gt;0,"✓",""))</f>
        <v/>
      </c>
      <c r="G152" s="57">
        <f>IF(OR($A152="",G$24=""),"",IF(COUNTIFS('AFA Rates'!$A$5:$A$504,$A152,'AFA Rates'!$B$5:$B$504,G$24)&gt;0,"✓",""))</f>
        <v/>
      </c>
      <c r="H152" s="57">
        <f>IF(OR($A152="",H$24=""),"",IF(COUNTIFS('AFA Rates'!$A$5:$A$504,$A152,'AFA Rates'!$B$5:$B$504,H$24)&gt;0,"✓",""))</f>
        <v/>
      </c>
      <c r="I152" s="57">
        <f>IF(OR($A152="",I$24=""),"",IF(COUNTIFS('AFA Rates'!$A$5:$A$504,$A152,'AFA Rates'!$B$5:$B$504,I$24)&gt;0,"✓",""))</f>
        <v/>
      </c>
      <c r="J152" s="57">
        <f>IF(OR($A152="",J$24=""),"",IF(COUNTIFS('AFA Rates'!$A$5:$A$504,$A152,'AFA Rates'!$B$5:$B$504,J$24)&gt;0,"✓",""))</f>
        <v/>
      </c>
      <c r="K152" s="57">
        <f>IF(OR($A152="",K$24=""),"",IF(COUNTIFS('AFA Rates'!$A$5:$A$504,$A152,'AFA Rates'!$B$5:$B$504,K$24)&gt;0,"✓",""))</f>
        <v/>
      </c>
      <c r="L152" s="57">
        <f>IF(OR($A152="",L$24=""),"",IF(COUNTIFS('AFA Rates'!$A$5:$A$504,$A152,'AFA Rates'!$B$5:$B$504,L$24)&gt;0,"✓",""))</f>
        <v/>
      </c>
      <c r="M152" s="57">
        <f>IF(OR($A152="",M$24=""),"",IF(COUNTIFS('AFA Rates'!$A$5:$A$504,$A152,'AFA Rates'!$B$5:$B$504,M$24)&gt;0,"✓",""))</f>
        <v/>
      </c>
    </row>
    <row r="153">
      <c r="A153" s="63">
        <f>IFERROR(INDEX(Firms!$A$5:$A$504,MATCH(129,Firms!$S$5:$S$504,0)),"")</f>
        <v/>
      </c>
      <c r="B153" s="57">
        <f>IF($A153="","",INDEX(Firms!$B$5:$B$504,MATCH(129,Firms!$S$5:$S$504,0)))</f>
        <v/>
      </c>
      <c r="C153" s="57">
        <f>IF($A153="","",COUNTIF('AFA Rates'!$A$5:$A$504,$A153))</f>
        <v/>
      </c>
      <c r="D153" s="57">
        <f>IF(OR($A153="",D$24=""),"",IF(COUNTIFS('AFA Rates'!$A$5:$A$504,$A153,'AFA Rates'!$B$5:$B$504,D$24)&gt;0,"✓",""))</f>
        <v/>
      </c>
      <c r="E153" s="57">
        <f>IF(OR($A153="",E$24=""),"",IF(COUNTIFS('AFA Rates'!$A$5:$A$504,$A153,'AFA Rates'!$B$5:$B$504,E$24)&gt;0,"✓",""))</f>
        <v/>
      </c>
      <c r="F153" s="57">
        <f>IF(OR($A153="",F$24=""),"",IF(COUNTIFS('AFA Rates'!$A$5:$A$504,$A153,'AFA Rates'!$B$5:$B$504,F$24)&gt;0,"✓",""))</f>
        <v/>
      </c>
      <c r="G153" s="57">
        <f>IF(OR($A153="",G$24=""),"",IF(COUNTIFS('AFA Rates'!$A$5:$A$504,$A153,'AFA Rates'!$B$5:$B$504,G$24)&gt;0,"✓",""))</f>
        <v/>
      </c>
      <c r="H153" s="57">
        <f>IF(OR($A153="",H$24=""),"",IF(COUNTIFS('AFA Rates'!$A$5:$A$504,$A153,'AFA Rates'!$B$5:$B$504,H$24)&gt;0,"✓",""))</f>
        <v/>
      </c>
      <c r="I153" s="57">
        <f>IF(OR($A153="",I$24=""),"",IF(COUNTIFS('AFA Rates'!$A$5:$A$504,$A153,'AFA Rates'!$B$5:$B$504,I$24)&gt;0,"✓",""))</f>
        <v/>
      </c>
      <c r="J153" s="57">
        <f>IF(OR($A153="",J$24=""),"",IF(COUNTIFS('AFA Rates'!$A$5:$A$504,$A153,'AFA Rates'!$B$5:$B$504,J$24)&gt;0,"✓",""))</f>
        <v/>
      </c>
      <c r="K153" s="57">
        <f>IF(OR($A153="",K$24=""),"",IF(COUNTIFS('AFA Rates'!$A$5:$A$504,$A153,'AFA Rates'!$B$5:$B$504,K$24)&gt;0,"✓",""))</f>
        <v/>
      </c>
      <c r="L153" s="57">
        <f>IF(OR($A153="",L$24=""),"",IF(COUNTIFS('AFA Rates'!$A$5:$A$504,$A153,'AFA Rates'!$B$5:$B$504,L$24)&gt;0,"✓",""))</f>
        <v/>
      </c>
      <c r="M153" s="57">
        <f>IF(OR($A153="",M$24=""),"",IF(COUNTIFS('AFA Rates'!$A$5:$A$504,$A153,'AFA Rates'!$B$5:$B$504,M$24)&gt;0,"✓",""))</f>
        <v/>
      </c>
    </row>
    <row r="154">
      <c r="A154" s="63">
        <f>IFERROR(INDEX(Firms!$A$5:$A$504,MATCH(130,Firms!$S$5:$S$504,0)),"")</f>
        <v/>
      </c>
      <c r="B154" s="57">
        <f>IF($A154="","",INDEX(Firms!$B$5:$B$504,MATCH(130,Firms!$S$5:$S$504,0)))</f>
        <v/>
      </c>
      <c r="C154" s="57">
        <f>IF($A154="","",COUNTIF('AFA Rates'!$A$5:$A$504,$A154))</f>
        <v/>
      </c>
      <c r="D154" s="57">
        <f>IF(OR($A154="",D$24=""),"",IF(COUNTIFS('AFA Rates'!$A$5:$A$504,$A154,'AFA Rates'!$B$5:$B$504,D$24)&gt;0,"✓",""))</f>
        <v/>
      </c>
      <c r="E154" s="57">
        <f>IF(OR($A154="",E$24=""),"",IF(COUNTIFS('AFA Rates'!$A$5:$A$504,$A154,'AFA Rates'!$B$5:$B$504,E$24)&gt;0,"✓",""))</f>
        <v/>
      </c>
      <c r="F154" s="57">
        <f>IF(OR($A154="",F$24=""),"",IF(COUNTIFS('AFA Rates'!$A$5:$A$504,$A154,'AFA Rates'!$B$5:$B$504,F$24)&gt;0,"✓",""))</f>
        <v/>
      </c>
      <c r="G154" s="57">
        <f>IF(OR($A154="",G$24=""),"",IF(COUNTIFS('AFA Rates'!$A$5:$A$504,$A154,'AFA Rates'!$B$5:$B$504,G$24)&gt;0,"✓",""))</f>
        <v/>
      </c>
      <c r="H154" s="57">
        <f>IF(OR($A154="",H$24=""),"",IF(COUNTIFS('AFA Rates'!$A$5:$A$504,$A154,'AFA Rates'!$B$5:$B$504,H$24)&gt;0,"✓",""))</f>
        <v/>
      </c>
      <c r="I154" s="57">
        <f>IF(OR($A154="",I$24=""),"",IF(COUNTIFS('AFA Rates'!$A$5:$A$504,$A154,'AFA Rates'!$B$5:$B$504,I$24)&gt;0,"✓",""))</f>
        <v/>
      </c>
      <c r="J154" s="57">
        <f>IF(OR($A154="",J$24=""),"",IF(COUNTIFS('AFA Rates'!$A$5:$A$504,$A154,'AFA Rates'!$B$5:$B$504,J$24)&gt;0,"✓",""))</f>
        <v/>
      </c>
      <c r="K154" s="57">
        <f>IF(OR($A154="",K$24=""),"",IF(COUNTIFS('AFA Rates'!$A$5:$A$504,$A154,'AFA Rates'!$B$5:$B$504,K$24)&gt;0,"✓",""))</f>
        <v/>
      </c>
      <c r="L154" s="57">
        <f>IF(OR($A154="",L$24=""),"",IF(COUNTIFS('AFA Rates'!$A$5:$A$504,$A154,'AFA Rates'!$B$5:$B$504,L$24)&gt;0,"✓",""))</f>
        <v/>
      </c>
      <c r="M154" s="57">
        <f>IF(OR($A154="",M$24=""),"",IF(COUNTIFS('AFA Rates'!$A$5:$A$504,$A154,'AFA Rates'!$B$5:$B$504,M$24)&gt;0,"✓",""))</f>
        <v/>
      </c>
    </row>
    <row r="155">
      <c r="A155" s="63">
        <f>IFERROR(INDEX(Firms!$A$5:$A$504,MATCH(131,Firms!$S$5:$S$504,0)),"")</f>
        <v/>
      </c>
      <c r="B155" s="57">
        <f>IF($A155="","",INDEX(Firms!$B$5:$B$504,MATCH(131,Firms!$S$5:$S$504,0)))</f>
        <v/>
      </c>
      <c r="C155" s="57">
        <f>IF($A155="","",COUNTIF('AFA Rates'!$A$5:$A$504,$A155))</f>
        <v/>
      </c>
      <c r="D155" s="57">
        <f>IF(OR($A155="",D$24=""),"",IF(COUNTIFS('AFA Rates'!$A$5:$A$504,$A155,'AFA Rates'!$B$5:$B$504,D$24)&gt;0,"✓",""))</f>
        <v/>
      </c>
      <c r="E155" s="57">
        <f>IF(OR($A155="",E$24=""),"",IF(COUNTIFS('AFA Rates'!$A$5:$A$504,$A155,'AFA Rates'!$B$5:$B$504,E$24)&gt;0,"✓",""))</f>
        <v/>
      </c>
      <c r="F155" s="57">
        <f>IF(OR($A155="",F$24=""),"",IF(COUNTIFS('AFA Rates'!$A$5:$A$504,$A155,'AFA Rates'!$B$5:$B$504,F$24)&gt;0,"✓",""))</f>
        <v/>
      </c>
      <c r="G155" s="57">
        <f>IF(OR($A155="",G$24=""),"",IF(COUNTIFS('AFA Rates'!$A$5:$A$504,$A155,'AFA Rates'!$B$5:$B$504,G$24)&gt;0,"✓",""))</f>
        <v/>
      </c>
      <c r="H155" s="57">
        <f>IF(OR($A155="",H$24=""),"",IF(COUNTIFS('AFA Rates'!$A$5:$A$504,$A155,'AFA Rates'!$B$5:$B$504,H$24)&gt;0,"✓",""))</f>
        <v/>
      </c>
      <c r="I155" s="57">
        <f>IF(OR($A155="",I$24=""),"",IF(COUNTIFS('AFA Rates'!$A$5:$A$504,$A155,'AFA Rates'!$B$5:$B$504,I$24)&gt;0,"✓",""))</f>
        <v/>
      </c>
      <c r="J155" s="57">
        <f>IF(OR($A155="",J$24=""),"",IF(COUNTIFS('AFA Rates'!$A$5:$A$504,$A155,'AFA Rates'!$B$5:$B$504,J$24)&gt;0,"✓",""))</f>
        <v/>
      </c>
      <c r="K155" s="57">
        <f>IF(OR($A155="",K$24=""),"",IF(COUNTIFS('AFA Rates'!$A$5:$A$504,$A155,'AFA Rates'!$B$5:$B$504,K$24)&gt;0,"✓",""))</f>
        <v/>
      </c>
      <c r="L155" s="57">
        <f>IF(OR($A155="",L$24=""),"",IF(COUNTIFS('AFA Rates'!$A$5:$A$504,$A155,'AFA Rates'!$B$5:$B$504,L$24)&gt;0,"✓",""))</f>
        <v/>
      </c>
      <c r="M155" s="57">
        <f>IF(OR($A155="",M$24=""),"",IF(COUNTIFS('AFA Rates'!$A$5:$A$504,$A155,'AFA Rates'!$B$5:$B$504,M$24)&gt;0,"✓",""))</f>
        <v/>
      </c>
    </row>
    <row r="156">
      <c r="A156" s="63">
        <f>IFERROR(INDEX(Firms!$A$5:$A$504,MATCH(132,Firms!$S$5:$S$504,0)),"")</f>
        <v/>
      </c>
      <c r="B156" s="57">
        <f>IF($A156="","",INDEX(Firms!$B$5:$B$504,MATCH(132,Firms!$S$5:$S$504,0)))</f>
        <v/>
      </c>
      <c r="C156" s="57">
        <f>IF($A156="","",COUNTIF('AFA Rates'!$A$5:$A$504,$A156))</f>
        <v/>
      </c>
      <c r="D156" s="57">
        <f>IF(OR($A156="",D$24=""),"",IF(COUNTIFS('AFA Rates'!$A$5:$A$504,$A156,'AFA Rates'!$B$5:$B$504,D$24)&gt;0,"✓",""))</f>
        <v/>
      </c>
      <c r="E156" s="57">
        <f>IF(OR($A156="",E$24=""),"",IF(COUNTIFS('AFA Rates'!$A$5:$A$504,$A156,'AFA Rates'!$B$5:$B$504,E$24)&gt;0,"✓",""))</f>
        <v/>
      </c>
      <c r="F156" s="57">
        <f>IF(OR($A156="",F$24=""),"",IF(COUNTIFS('AFA Rates'!$A$5:$A$504,$A156,'AFA Rates'!$B$5:$B$504,F$24)&gt;0,"✓",""))</f>
        <v/>
      </c>
      <c r="G156" s="57">
        <f>IF(OR($A156="",G$24=""),"",IF(COUNTIFS('AFA Rates'!$A$5:$A$504,$A156,'AFA Rates'!$B$5:$B$504,G$24)&gt;0,"✓",""))</f>
        <v/>
      </c>
      <c r="H156" s="57">
        <f>IF(OR($A156="",H$24=""),"",IF(COUNTIFS('AFA Rates'!$A$5:$A$504,$A156,'AFA Rates'!$B$5:$B$504,H$24)&gt;0,"✓",""))</f>
        <v/>
      </c>
      <c r="I156" s="57">
        <f>IF(OR($A156="",I$24=""),"",IF(COUNTIFS('AFA Rates'!$A$5:$A$504,$A156,'AFA Rates'!$B$5:$B$504,I$24)&gt;0,"✓",""))</f>
        <v/>
      </c>
      <c r="J156" s="57">
        <f>IF(OR($A156="",J$24=""),"",IF(COUNTIFS('AFA Rates'!$A$5:$A$504,$A156,'AFA Rates'!$B$5:$B$504,J$24)&gt;0,"✓",""))</f>
        <v/>
      </c>
      <c r="K156" s="57">
        <f>IF(OR($A156="",K$24=""),"",IF(COUNTIFS('AFA Rates'!$A$5:$A$504,$A156,'AFA Rates'!$B$5:$B$504,K$24)&gt;0,"✓",""))</f>
        <v/>
      </c>
      <c r="L156" s="57">
        <f>IF(OR($A156="",L$24=""),"",IF(COUNTIFS('AFA Rates'!$A$5:$A$504,$A156,'AFA Rates'!$B$5:$B$504,L$24)&gt;0,"✓",""))</f>
        <v/>
      </c>
      <c r="M156" s="57">
        <f>IF(OR($A156="",M$24=""),"",IF(COUNTIFS('AFA Rates'!$A$5:$A$504,$A156,'AFA Rates'!$B$5:$B$504,M$24)&gt;0,"✓",""))</f>
        <v/>
      </c>
    </row>
    <row r="157">
      <c r="A157" s="63">
        <f>IFERROR(INDEX(Firms!$A$5:$A$504,MATCH(133,Firms!$S$5:$S$504,0)),"")</f>
        <v/>
      </c>
      <c r="B157" s="57">
        <f>IF($A157="","",INDEX(Firms!$B$5:$B$504,MATCH(133,Firms!$S$5:$S$504,0)))</f>
        <v/>
      </c>
      <c r="C157" s="57">
        <f>IF($A157="","",COUNTIF('AFA Rates'!$A$5:$A$504,$A157))</f>
        <v/>
      </c>
      <c r="D157" s="57">
        <f>IF(OR($A157="",D$24=""),"",IF(COUNTIFS('AFA Rates'!$A$5:$A$504,$A157,'AFA Rates'!$B$5:$B$504,D$24)&gt;0,"✓",""))</f>
        <v/>
      </c>
      <c r="E157" s="57">
        <f>IF(OR($A157="",E$24=""),"",IF(COUNTIFS('AFA Rates'!$A$5:$A$504,$A157,'AFA Rates'!$B$5:$B$504,E$24)&gt;0,"✓",""))</f>
        <v/>
      </c>
      <c r="F157" s="57">
        <f>IF(OR($A157="",F$24=""),"",IF(COUNTIFS('AFA Rates'!$A$5:$A$504,$A157,'AFA Rates'!$B$5:$B$504,F$24)&gt;0,"✓",""))</f>
        <v/>
      </c>
      <c r="G157" s="57">
        <f>IF(OR($A157="",G$24=""),"",IF(COUNTIFS('AFA Rates'!$A$5:$A$504,$A157,'AFA Rates'!$B$5:$B$504,G$24)&gt;0,"✓",""))</f>
        <v/>
      </c>
      <c r="H157" s="57">
        <f>IF(OR($A157="",H$24=""),"",IF(COUNTIFS('AFA Rates'!$A$5:$A$504,$A157,'AFA Rates'!$B$5:$B$504,H$24)&gt;0,"✓",""))</f>
        <v/>
      </c>
      <c r="I157" s="57">
        <f>IF(OR($A157="",I$24=""),"",IF(COUNTIFS('AFA Rates'!$A$5:$A$504,$A157,'AFA Rates'!$B$5:$B$504,I$24)&gt;0,"✓",""))</f>
        <v/>
      </c>
      <c r="J157" s="57">
        <f>IF(OR($A157="",J$24=""),"",IF(COUNTIFS('AFA Rates'!$A$5:$A$504,$A157,'AFA Rates'!$B$5:$B$504,J$24)&gt;0,"✓",""))</f>
        <v/>
      </c>
      <c r="K157" s="57">
        <f>IF(OR($A157="",K$24=""),"",IF(COUNTIFS('AFA Rates'!$A$5:$A$504,$A157,'AFA Rates'!$B$5:$B$504,K$24)&gt;0,"✓",""))</f>
        <v/>
      </c>
      <c r="L157" s="57">
        <f>IF(OR($A157="",L$24=""),"",IF(COUNTIFS('AFA Rates'!$A$5:$A$504,$A157,'AFA Rates'!$B$5:$B$504,L$24)&gt;0,"✓",""))</f>
        <v/>
      </c>
      <c r="M157" s="57">
        <f>IF(OR($A157="",M$24=""),"",IF(COUNTIFS('AFA Rates'!$A$5:$A$504,$A157,'AFA Rates'!$B$5:$B$504,M$24)&gt;0,"✓",""))</f>
        <v/>
      </c>
    </row>
    <row r="158">
      <c r="A158" s="63">
        <f>IFERROR(INDEX(Firms!$A$5:$A$504,MATCH(134,Firms!$S$5:$S$504,0)),"")</f>
        <v/>
      </c>
      <c r="B158" s="57">
        <f>IF($A158="","",INDEX(Firms!$B$5:$B$504,MATCH(134,Firms!$S$5:$S$504,0)))</f>
        <v/>
      </c>
      <c r="C158" s="57">
        <f>IF($A158="","",COUNTIF('AFA Rates'!$A$5:$A$504,$A158))</f>
        <v/>
      </c>
      <c r="D158" s="57">
        <f>IF(OR($A158="",D$24=""),"",IF(COUNTIFS('AFA Rates'!$A$5:$A$504,$A158,'AFA Rates'!$B$5:$B$504,D$24)&gt;0,"✓",""))</f>
        <v/>
      </c>
      <c r="E158" s="57">
        <f>IF(OR($A158="",E$24=""),"",IF(COUNTIFS('AFA Rates'!$A$5:$A$504,$A158,'AFA Rates'!$B$5:$B$504,E$24)&gt;0,"✓",""))</f>
        <v/>
      </c>
      <c r="F158" s="57">
        <f>IF(OR($A158="",F$24=""),"",IF(COUNTIFS('AFA Rates'!$A$5:$A$504,$A158,'AFA Rates'!$B$5:$B$504,F$24)&gt;0,"✓",""))</f>
        <v/>
      </c>
      <c r="G158" s="57">
        <f>IF(OR($A158="",G$24=""),"",IF(COUNTIFS('AFA Rates'!$A$5:$A$504,$A158,'AFA Rates'!$B$5:$B$504,G$24)&gt;0,"✓",""))</f>
        <v/>
      </c>
      <c r="H158" s="57">
        <f>IF(OR($A158="",H$24=""),"",IF(COUNTIFS('AFA Rates'!$A$5:$A$504,$A158,'AFA Rates'!$B$5:$B$504,H$24)&gt;0,"✓",""))</f>
        <v/>
      </c>
      <c r="I158" s="57">
        <f>IF(OR($A158="",I$24=""),"",IF(COUNTIFS('AFA Rates'!$A$5:$A$504,$A158,'AFA Rates'!$B$5:$B$504,I$24)&gt;0,"✓",""))</f>
        <v/>
      </c>
      <c r="J158" s="57">
        <f>IF(OR($A158="",J$24=""),"",IF(COUNTIFS('AFA Rates'!$A$5:$A$504,$A158,'AFA Rates'!$B$5:$B$504,J$24)&gt;0,"✓",""))</f>
        <v/>
      </c>
      <c r="K158" s="57">
        <f>IF(OR($A158="",K$24=""),"",IF(COUNTIFS('AFA Rates'!$A$5:$A$504,$A158,'AFA Rates'!$B$5:$B$504,K$24)&gt;0,"✓",""))</f>
        <v/>
      </c>
      <c r="L158" s="57">
        <f>IF(OR($A158="",L$24=""),"",IF(COUNTIFS('AFA Rates'!$A$5:$A$504,$A158,'AFA Rates'!$B$5:$B$504,L$24)&gt;0,"✓",""))</f>
        <v/>
      </c>
      <c r="M158" s="57">
        <f>IF(OR($A158="",M$24=""),"",IF(COUNTIFS('AFA Rates'!$A$5:$A$504,$A158,'AFA Rates'!$B$5:$B$504,M$24)&gt;0,"✓",""))</f>
        <v/>
      </c>
    </row>
    <row r="159">
      <c r="A159" s="63">
        <f>IFERROR(INDEX(Firms!$A$5:$A$504,MATCH(135,Firms!$S$5:$S$504,0)),"")</f>
        <v/>
      </c>
      <c r="B159" s="57">
        <f>IF($A159="","",INDEX(Firms!$B$5:$B$504,MATCH(135,Firms!$S$5:$S$504,0)))</f>
        <v/>
      </c>
      <c r="C159" s="57">
        <f>IF($A159="","",COUNTIF('AFA Rates'!$A$5:$A$504,$A159))</f>
        <v/>
      </c>
      <c r="D159" s="57">
        <f>IF(OR($A159="",D$24=""),"",IF(COUNTIFS('AFA Rates'!$A$5:$A$504,$A159,'AFA Rates'!$B$5:$B$504,D$24)&gt;0,"✓",""))</f>
        <v/>
      </c>
      <c r="E159" s="57">
        <f>IF(OR($A159="",E$24=""),"",IF(COUNTIFS('AFA Rates'!$A$5:$A$504,$A159,'AFA Rates'!$B$5:$B$504,E$24)&gt;0,"✓",""))</f>
        <v/>
      </c>
      <c r="F159" s="57">
        <f>IF(OR($A159="",F$24=""),"",IF(COUNTIFS('AFA Rates'!$A$5:$A$504,$A159,'AFA Rates'!$B$5:$B$504,F$24)&gt;0,"✓",""))</f>
        <v/>
      </c>
      <c r="G159" s="57">
        <f>IF(OR($A159="",G$24=""),"",IF(COUNTIFS('AFA Rates'!$A$5:$A$504,$A159,'AFA Rates'!$B$5:$B$504,G$24)&gt;0,"✓",""))</f>
        <v/>
      </c>
      <c r="H159" s="57">
        <f>IF(OR($A159="",H$24=""),"",IF(COUNTIFS('AFA Rates'!$A$5:$A$504,$A159,'AFA Rates'!$B$5:$B$504,H$24)&gt;0,"✓",""))</f>
        <v/>
      </c>
      <c r="I159" s="57">
        <f>IF(OR($A159="",I$24=""),"",IF(COUNTIFS('AFA Rates'!$A$5:$A$504,$A159,'AFA Rates'!$B$5:$B$504,I$24)&gt;0,"✓",""))</f>
        <v/>
      </c>
      <c r="J159" s="57">
        <f>IF(OR($A159="",J$24=""),"",IF(COUNTIFS('AFA Rates'!$A$5:$A$504,$A159,'AFA Rates'!$B$5:$B$504,J$24)&gt;0,"✓",""))</f>
        <v/>
      </c>
      <c r="K159" s="57">
        <f>IF(OR($A159="",K$24=""),"",IF(COUNTIFS('AFA Rates'!$A$5:$A$504,$A159,'AFA Rates'!$B$5:$B$504,K$24)&gt;0,"✓",""))</f>
        <v/>
      </c>
      <c r="L159" s="57">
        <f>IF(OR($A159="",L$24=""),"",IF(COUNTIFS('AFA Rates'!$A$5:$A$504,$A159,'AFA Rates'!$B$5:$B$504,L$24)&gt;0,"✓",""))</f>
        <v/>
      </c>
      <c r="M159" s="57">
        <f>IF(OR($A159="",M$24=""),"",IF(COUNTIFS('AFA Rates'!$A$5:$A$504,$A159,'AFA Rates'!$B$5:$B$504,M$24)&gt;0,"✓",""))</f>
        <v/>
      </c>
    </row>
    <row r="160">
      <c r="A160" s="63">
        <f>IFERROR(INDEX(Firms!$A$5:$A$504,MATCH(136,Firms!$S$5:$S$504,0)),"")</f>
        <v/>
      </c>
      <c r="B160" s="57">
        <f>IF($A160="","",INDEX(Firms!$B$5:$B$504,MATCH(136,Firms!$S$5:$S$504,0)))</f>
        <v/>
      </c>
      <c r="C160" s="57">
        <f>IF($A160="","",COUNTIF('AFA Rates'!$A$5:$A$504,$A160))</f>
        <v/>
      </c>
      <c r="D160" s="57">
        <f>IF(OR($A160="",D$24=""),"",IF(COUNTIFS('AFA Rates'!$A$5:$A$504,$A160,'AFA Rates'!$B$5:$B$504,D$24)&gt;0,"✓",""))</f>
        <v/>
      </c>
      <c r="E160" s="57">
        <f>IF(OR($A160="",E$24=""),"",IF(COUNTIFS('AFA Rates'!$A$5:$A$504,$A160,'AFA Rates'!$B$5:$B$504,E$24)&gt;0,"✓",""))</f>
        <v/>
      </c>
      <c r="F160" s="57">
        <f>IF(OR($A160="",F$24=""),"",IF(COUNTIFS('AFA Rates'!$A$5:$A$504,$A160,'AFA Rates'!$B$5:$B$504,F$24)&gt;0,"✓",""))</f>
        <v/>
      </c>
      <c r="G160" s="57">
        <f>IF(OR($A160="",G$24=""),"",IF(COUNTIFS('AFA Rates'!$A$5:$A$504,$A160,'AFA Rates'!$B$5:$B$504,G$24)&gt;0,"✓",""))</f>
        <v/>
      </c>
      <c r="H160" s="57">
        <f>IF(OR($A160="",H$24=""),"",IF(COUNTIFS('AFA Rates'!$A$5:$A$504,$A160,'AFA Rates'!$B$5:$B$504,H$24)&gt;0,"✓",""))</f>
        <v/>
      </c>
      <c r="I160" s="57">
        <f>IF(OR($A160="",I$24=""),"",IF(COUNTIFS('AFA Rates'!$A$5:$A$504,$A160,'AFA Rates'!$B$5:$B$504,I$24)&gt;0,"✓",""))</f>
        <v/>
      </c>
      <c r="J160" s="57">
        <f>IF(OR($A160="",J$24=""),"",IF(COUNTIFS('AFA Rates'!$A$5:$A$504,$A160,'AFA Rates'!$B$5:$B$504,J$24)&gt;0,"✓",""))</f>
        <v/>
      </c>
      <c r="K160" s="57">
        <f>IF(OR($A160="",K$24=""),"",IF(COUNTIFS('AFA Rates'!$A$5:$A$504,$A160,'AFA Rates'!$B$5:$B$504,K$24)&gt;0,"✓",""))</f>
        <v/>
      </c>
      <c r="L160" s="57">
        <f>IF(OR($A160="",L$24=""),"",IF(COUNTIFS('AFA Rates'!$A$5:$A$504,$A160,'AFA Rates'!$B$5:$B$504,L$24)&gt;0,"✓",""))</f>
        <v/>
      </c>
      <c r="M160" s="57">
        <f>IF(OR($A160="",M$24=""),"",IF(COUNTIFS('AFA Rates'!$A$5:$A$504,$A160,'AFA Rates'!$B$5:$B$504,M$24)&gt;0,"✓",""))</f>
        <v/>
      </c>
    </row>
    <row r="161">
      <c r="A161" s="63">
        <f>IFERROR(INDEX(Firms!$A$5:$A$504,MATCH(137,Firms!$S$5:$S$504,0)),"")</f>
        <v/>
      </c>
      <c r="B161" s="57">
        <f>IF($A161="","",INDEX(Firms!$B$5:$B$504,MATCH(137,Firms!$S$5:$S$504,0)))</f>
        <v/>
      </c>
      <c r="C161" s="57">
        <f>IF($A161="","",COUNTIF('AFA Rates'!$A$5:$A$504,$A161))</f>
        <v/>
      </c>
      <c r="D161" s="57">
        <f>IF(OR($A161="",D$24=""),"",IF(COUNTIFS('AFA Rates'!$A$5:$A$504,$A161,'AFA Rates'!$B$5:$B$504,D$24)&gt;0,"✓",""))</f>
        <v/>
      </c>
      <c r="E161" s="57">
        <f>IF(OR($A161="",E$24=""),"",IF(COUNTIFS('AFA Rates'!$A$5:$A$504,$A161,'AFA Rates'!$B$5:$B$504,E$24)&gt;0,"✓",""))</f>
        <v/>
      </c>
      <c r="F161" s="57">
        <f>IF(OR($A161="",F$24=""),"",IF(COUNTIFS('AFA Rates'!$A$5:$A$504,$A161,'AFA Rates'!$B$5:$B$504,F$24)&gt;0,"✓",""))</f>
        <v/>
      </c>
      <c r="G161" s="57">
        <f>IF(OR($A161="",G$24=""),"",IF(COUNTIFS('AFA Rates'!$A$5:$A$504,$A161,'AFA Rates'!$B$5:$B$504,G$24)&gt;0,"✓",""))</f>
        <v/>
      </c>
      <c r="H161" s="57">
        <f>IF(OR($A161="",H$24=""),"",IF(COUNTIFS('AFA Rates'!$A$5:$A$504,$A161,'AFA Rates'!$B$5:$B$504,H$24)&gt;0,"✓",""))</f>
        <v/>
      </c>
      <c r="I161" s="57">
        <f>IF(OR($A161="",I$24=""),"",IF(COUNTIFS('AFA Rates'!$A$5:$A$504,$A161,'AFA Rates'!$B$5:$B$504,I$24)&gt;0,"✓",""))</f>
        <v/>
      </c>
      <c r="J161" s="57">
        <f>IF(OR($A161="",J$24=""),"",IF(COUNTIFS('AFA Rates'!$A$5:$A$504,$A161,'AFA Rates'!$B$5:$B$504,J$24)&gt;0,"✓",""))</f>
        <v/>
      </c>
      <c r="K161" s="57">
        <f>IF(OR($A161="",K$24=""),"",IF(COUNTIFS('AFA Rates'!$A$5:$A$504,$A161,'AFA Rates'!$B$5:$B$504,K$24)&gt;0,"✓",""))</f>
        <v/>
      </c>
      <c r="L161" s="57">
        <f>IF(OR($A161="",L$24=""),"",IF(COUNTIFS('AFA Rates'!$A$5:$A$504,$A161,'AFA Rates'!$B$5:$B$504,L$24)&gt;0,"✓",""))</f>
        <v/>
      </c>
      <c r="M161" s="57">
        <f>IF(OR($A161="",M$24=""),"",IF(COUNTIFS('AFA Rates'!$A$5:$A$504,$A161,'AFA Rates'!$B$5:$B$504,M$24)&gt;0,"✓",""))</f>
        <v/>
      </c>
    </row>
    <row r="162">
      <c r="A162" s="63">
        <f>IFERROR(INDEX(Firms!$A$5:$A$504,MATCH(138,Firms!$S$5:$S$504,0)),"")</f>
        <v/>
      </c>
      <c r="B162" s="57">
        <f>IF($A162="","",INDEX(Firms!$B$5:$B$504,MATCH(138,Firms!$S$5:$S$504,0)))</f>
        <v/>
      </c>
      <c r="C162" s="57">
        <f>IF($A162="","",COUNTIF('AFA Rates'!$A$5:$A$504,$A162))</f>
        <v/>
      </c>
      <c r="D162" s="57">
        <f>IF(OR($A162="",D$24=""),"",IF(COUNTIFS('AFA Rates'!$A$5:$A$504,$A162,'AFA Rates'!$B$5:$B$504,D$24)&gt;0,"✓",""))</f>
        <v/>
      </c>
      <c r="E162" s="57">
        <f>IF(OR($A162="",E$24=""),"",IF(COUNTIFS('AFA Rates'!$A$5:$A$504,$A162,'AFA Rates'!$B$5:$B$504,E$24)&gt;0,"✓",""))</f>
        <v/>
      </c>
      <c r="F162" s="57">
        <f>IF(OR($A162="",F$24=""),"",IF(COUNTIFS('AFA Rates'!$A$5:$A$504,$A162,'AFA Rates'!$B$5:$B$504,F$24)&gt;0,"✓",""))</f>
        <v/>
      </c>
      <c r="G162" s="57">
        <f>IF(OR($A162="",G$24=""),"",IF(COUNTIFS('AFA Rates'!$A$5:$A$504,$A162,'AFA Rates'!$B$5:$B$504,G$24)&gt;0,"✓",""))</f>
        <v/>
      </c>
      <c r="H162" s="57">
        <f>IF(OR($A162="",H$24=""),"",IF(COUNTIFS('AFA Rates'!$A$5:$A$504,$A162,'AFA Rates'!$B$5:$B$504,H$24)&gt;0,"✓",""))</f>
        <v/>
      </c>
      <c r="I162" s="57">
        <f>IF(OR($A162="",I$24=""),"",IF(COUNTIFS('AFA Rates'!$A$5:$A$504,$A162,'AFA Rates'!$B$5:$B$504,I$24)&gt;0,"✓",""))</f>
        <v/>
      </c>
      <c r="J162" s="57">
        <f>IF(OR($A162="",J$24=""),"",IF(COUNTIFS('AFA Rates'!$A$5:$A$504,$A162,'AFA Rates'!$B$5:$B$504,J$24)&gt;0,"✓",""))</f>
        <v/>
      </c>
      <c r="K162" s="57">
        <f>IF(OR($A162="",K$24=""),"",IF(COUNTIFS('AFA Rates'!$A$5:$A$504,$A162,'AFA Rates'!$B$5:$B$504,K$24)&gt;0,"✓",""))</f>
        <v/>
      </c>
      <c r="L162" s="57">
        <f>IF(OR($A162="",L$24=""),"",IF(COUNTIFS('AFA Rates'!$A$5:$A$504,$A162,'AFA Rates'!$B$5:$B$504,L$24)&gt;0,"✓",""))</f>
        <v/>
      </c>
      <c r="M162" s="57">
        <f>IF(OR($A162="",M$24=""),"",IF(COUNTIFS('AFA Rates'!$A$5:$A$504,$A162,'AFA Rates'!$B$5:$B$504,M$24)&gt;0,"✓",""))</f>
        <v/>
      </c>
    </row>
    <row r="163">
      <c r="A163" s="63">
        <f>IFERROR(INDEX(Firms!$A$5:$A$504,MATCH(139,Firms!$S$5:$S$504,0)),"")</f>
        <v/>
      </c>
      <c r="B163" s="57">
        <f>IF($A163="","",INDEX(Firms!$B$5:$B$504,MATCH(139,Firms!$S$5:$S$504,0)))</f>
        <v/>
      </c>
      <c r="C163" s="57">
        <f>IF($A163="","",COUNTIF('AFA Rates'!$A$5:$A$504,$A163))</f>
        <v/>
      </c>
      <c r="D163" s="57">
        <f>IF(OR($A163="",D$24=""),"",IF(COUNTIFS('AFA Rates'!$A$5:$A$504,$A163,'AFA Rates'!$B$5:$B$504,D$24)&gt;0,"✓",""))</f>
        <v/>
      </c>
      <c r="E163" s="57">
        <f>IF(OR($A163="",E$24=""),"",IF(COUNTIFS('AFA Rates'!$A$5:$A$504,$A163,'AFA Rates'!$B$5:$B$504,E$24)&gt;0,"✓",""))</f>
        <v/>
      </c>
      <c r="F163" s="57">
        <f>IF(OR($A163="",F$24=""),"",IF(COUNTIFS('AFA Rates'!$A$5:$A$504,$A163,'AFA Rates'!$B$5:$B$504,F$24)&gt;0,"✓",""))</f>
        <v/>
      </c>
      <c r="G163" s="57">
        <f>IF(OR($A163="",G$24=""),"",IF(COUNTIFS('AFA Rates'!$A$5:$A$504,$A163,'AFA Rates'!$B$5:$B$504,G$24)&gt;0,"✓",""))</f>
        <v/>
      </c>
      <c r="H163" s="57">
        <f>IF(OR($A163="",H$24=""),"",IF(COUNTIFS('AFA Rates'!$A$5:$A$504,$A163,'AFA Rates'!$B$5:$B$504,H$24)&gt;0,"✓",""))</f>
        <v/>
      </c>
      <c r="I163" s="57">
        <f>IF(OR($A163="",I$24=""),"",IF(COUNTIFS('AFA Rates'!$A$5:$A$504,$A163,'AFA Rates'!$B$5:$B$504,I$24)&gt;0,"✓",""))</f>
        <v/>
      </c>
      <c r="J163" s="57">
        <f>IF(OR($A163="",J$24=""),"",IF(COUNTIFS('AFA Rates'!$A$5:$A$504,$A163,'AFA Rates'!$B$5:$B$504,J$24)&gt;0,"✓",""))</f>
        <v/>
      </c>
      <c r="K163" s="57">
        <f>IF(OR($A163="",K$24=""),"",IF(COUNTIFS('AFA Rates'!$A$5:$A$504,$A163,'AFA Rates'!$B$5:$B$504,K$24)&gt;0,"✓",""))</f>
        <v/>
      </c>
      <c r="L163" s="57">
        <f>IF(OR($A163="",L$24=""),"",IF(COUNTIFS('AFA Rates'!$A$5:$A$504,$A163,'AFA Rates'!$B$5:$B$504,L$24)&gt;0,"✓",""))</f>
        <v/>
      </c>
      <c r="M163" s="57">
        <f>IF(OR($A163="",M$24=""),"",IF(COUNTIFS('AFA Rates'!$A$5:$A$504,$A163,'AFA Rates'!$B$5:$B$504,M$24)&gt;0,"✓",""))</f>
        <v/>
      </c>
    </row>
    <row r="164">
      <c r="A164" s="63">
        <f>IFERROR(INDEX(Firms!$A$5:$A$504,MATCH(140,Firms!$S$5:$S$504,0)),"")</f>
        <v/>
      </c>
      <c r="B164" s="57">
        <f>IF($A164="","",INDEX(Firms!$B$5:$B$504,MATCH(140,Firms!$S$5:$S$504,0)))</f>
        <v/>
      </c>
      <c r="C164" s="57">
        <f>IF($A164="","",COUNTIF('AFA Rates'!$A$5:$A$504,$A164))</f>
        <v/>
      </c>
      <c r="D164" s="57">
        <f>IF(OR($A164="",D$24=""),"",IF(COUNTIFS('AFA Rates'!$A$5:$A$504,$A164,'AFA Rates'!$B$5:$B$504,D$24)&gt;0,"✓",""))</f>
        <v/>
      </c>
      <c r="E164" s="57">
        <f>IF(OR($A164="",E$24=""),"",IF(COUNTIFS('AFA Rates'!$A$5:$A$504,$A164,'AFA Rates'!$B$5:$B$504,E$24)&gt;0,"✓",""))</f>
        <v/>
      </c>
      <c r="F164" s="57">
        <f>IF(OR($A164="",F$24=""),"",IF(COUNTIFS('AFA Rates'!$A$5:$A$504,$A164,'AFA Rates'!$B$5:$B$504,F$24)&gt;0,"✓",""))</f>
        <v/>
      </c>
      <c r="G164" s="57">
        <f>IF(OR($A164="",G$24=""),"",IF(COUNTIFS('AFA Rates'!$A$5:$A$504,$A164,'AFA Rates'!$B$5:$B$504,G$24)&gt;0,"✓",""))</f>
        <v/>
      </c>
      <c r="H164" s="57">
        <f>IF(OR($A164="",H$24=""),"",IF(COUNTIFS('AFA Rates'!$A$5:$A$504,$A164,'AFA Rates'!$B$5:$B$504,H$24)&gt;0,"✓",""))</f>
        <v/>
      </c>
      <c r="I164" s="57">
        <f>IF(OR($A164="",I$24=""),"",IF(COUNTIFS('AFA Rates'!$A$5:$A$504,$A164,'AFA Rates'!$B$5:$B$504,I$24)&gt;0,"✓",""))</f>
        <v/>
      </c>
      <c r="J164" s="57">
        <f>IF(OR($A164="",J$24=""),"",IF(COUNTIFS('AFA Rates'!$A$5:$A$504,$A164,'AFA Rates'!$B$5:$B$504,J$24)&gt;0,"✓",""))</f>
        <v/>
      </c>
      <c r="K164" s="57">
        <f>IF(OR($A164="",K$24=""),"",IF(COUNTIFS('AFA Rates'!$A$5:$A$504,$A164,'AFA Rates'!$B$5:$B$504,K$24)&gt;0,"✓",""))</f>
        <v/>
      </c>
      <c r="L164" s="57">
        <f>IF(OR($A164="",L$24=""),"",IF(COUNTIFS('AFA Rates'!$A$5:$A$504,$A164,'AFA Rates'!$B$5:$B$504,L$24)&gt;0,"✓",""))</f>
        <v/>
      </c>
      <c r="M164" s="57">
        <f>IF(OR($A164="",M$24=""),"",IF(COUNTIFS('AFA Rates'!$A$5:$A$504,$A164,'AFA Rates'!$B$5:$B$504,M$24)&gt;0,"✓",""))</f>
        <v/>
      </c>
    </row>
    <row r="165">
      <c r="A165" s="63">
        <f>IFERROR(INDEX(Firms!$A$5:$A$504,MATCH(141,Firms!$S$5:$S$504,0)),"")</f>
        <v/>
      </c>
      <c r="B165" s="57">
        <f>IF($A165="","",INDEX(Firms!$B$5:$B$504,MATCH(141,Firms!$S$5:$S$504,0)))</f>
        <v/>
      </c>
      <c r="C165" s="57">
        <f>IF($A165="","",COUNTIF('AFA Rates'!$A$5:$A$504,$A165))</f>
        <v/>
      </c>
      <c r="D165" s="57">
        <f>IF(OR($A165="",D$24=""),"",IF(COUNTIFS('AFA Rates'!$A$5:$A$504,$A165,'AFA Rates'!$B$5:$B$504,D$24)&gt;0,"✓",""))</f>
        <v/>
      </c>
      <c r="E165" s="57">
        <f>IF(OR($A165="",E$24=""),"",IF(COUNTIFS('AFA Rates'!$A$5:$A$504,$A165,'AFA Rates'!$B$5:$B$504,E$24)&gt;0,"✓",""))</f>
        <v/>
      </c>
      <c r="F165" s="57">
        <f>IF(OR($A165="",F$24=""),"",IF(COUNTIFS('AFA Rates'!$A$5:$A$504,$A165,'AFA Rates'!$B$5:$B$504,F$24)&gt;0,"✓",""))</f>
        <v/>
      </c>
      <c r="G165" s="57">
        <f>IF(OR($A165="",G$24=""),"",IF(COUNTIFS('AFA Rates'!$A$5:$A$504,$A165,'AFA Rates'!$B$5:$B$504,G$24)&gt;0,"✓",""))</f>
        <v/>
      </c>
      <c r="H165" s="57">
        <f>IF(OR($A165="",H$24=""),"",IF(COUNTIFS('AFA Rates'!$A$5:$A$504,$A165,'AFA Rates'!$B$5:$B$504,H$24)&gt;0,"✓",""))</f>
        <v/>
      </c>
      <c r="I165" s="57">
        <f>IF(OR($A165="",I$24=""),"",IF(COUNTIFS('AFA Rates'!$A$5:$A$504,$A165,'AFA Rates'!$B$5:$B$504,I$24)&gt;0,"✓",""))</f>
        <v/>
      </c>
      <c r="J165" s="57">
        <f>IF(OR($A165="",J$24=""),"",IF(COUNTIFS('AFA Rates'!$A$5:$A$504,$A165,'AFA Rates'!$B$5:$B$504,J$24)&gt;0,"✓",""))</f>
        <v/>
      </c>
      <c r="K165" s="57">
        <f>IF(OR($A165="",K$24=""),"",IF(COUNTIFS('AFA Rates'!$A$5:$A$504,$A165,'AFA Rates'!$B$5:$B$504,K$24)&gt;0,"✓",""))</f>
        <v/>
      </c>
      <c r="L165" s="57">
        <f>IF(OR($A165="",L$24=""),"",IF(COUNTIFS('AFA Rates'!$A$5:$A$504,$A165,'AFA Rates'!$B$5:$B$504,L$24)&gt;0,"✓",""))</f>
        <v/>
      </c>
      <c r="M165" s="57">
        <f>IF(OR($A165="",M$24=""),"",IF(COUNTIFS('AFA Rates'!$A$5:$A$504,$A165,'AFA Rates'!$B$5:$B$504,M$24)&gt;0,"✓",""))</f>
        <v/>
      </c>
    </row>
    <row r="166">
      <c r="A166" s="63">
        <f>IFERROR(INDEX(Firms!$A$5:$A$504,MATCH(142,Firms!$S$5:$S$504,0)),"")</f>
        <v/>
      </c>
      <c r="B166" s="57">
        <f>IF($A166="","",INDEX(Firms!$B$5:$B$504,MATCH(142,Firms!$S$5:$S$504,0)))</f>
        <v/>
      </c>
      <c r="C166" s="57">
        <f>IF($A166="","",COUNTIF('AFA Rates'!$A$5:$A$504,$A166))</f>
        <v/>
      </c>
      <c r="D166" s="57">
        <f>IF(OR($A166="",D$24=""),"",IF(COUNTIFS('AFA Rates'!$A$5:$A$504,$A166,'AFA Rates'!$B$5:$B$504,D$24)&gt;0,"✓",""))</f>
        <v/>
      </c>
      <c r="E166" s="57">
        <f>IF(OR($A166="",E$24=""),"",IF(COUNTIFS('AFA Rates'!$A$5:$A$504,$A166,'AFA Rates'!$B$5:$B$504,E$24)&gt;0,"✓",""))</f>
        <v/>
      </c>
      <c r="F166" s="57">
        <f>IF(OR($A166="",F$24=""),"",IF(COUNTIFS('AFA Rates'!$A$5:$A$504,$A166,'AFA Rates'!$B$5:$B$504,F$24)&gt;0,"✓",""))</f>
        <v/>
      </c>
      <c r="G166" s="57">
        <f>IF(OR($A166="",G$24=""),"",IF(COUNTIFS('AFA Rates'!$A$5:$A$504,$A166,'AFA Rates'!$B$5:$B$504,G$24)&gt;0,"✓",""))</f>
        <v/>
      </c>
      <c r="H166" s="57">
        <f>IF(OR($A166="",H$24=""),"",IF(COUNTIFS('AFA Rates'!$A$5:$A$504,$A166,'AFA Rates'!$B$5:$B$504,H$24)&gt;0,"✓",""))</f>
        <v/>
      </c>
      <c r="I166" s="57">
        <f>IF(OR($A166="",I$24=""),"",IF(COUNTIFS('AFA Rates'!$A$5:$A$504,$A166,'AFA Rates'!$B$5:$B$504,I$24)&gt;0,"✓",""))</f>
        <v/>
      </c>
      <c r="J166" s="57">
        <f>IF(OR($A166="",J$24=""),"",IF(COUNTIFS('AFA Rates'!$A$5:$A$504,$A166,'AFA Rates'!$B$5:$B$504,J$24)&gt;0,"✓",""))</f>
        <v/>
      </c>
      <c r="K166" s="57">
        <f>IF(OR($A166="",K$24=""),"",IF(COUNTIFS('AFA Rates'!$A$5:$A$504,$A166,'AFA Rates'!$B$5:$B$504,K$24)&gt;0,"✓",""))</f>
        <v/>
      </c>
      <c r="L166" s="57">
        <f>IF(OR($A166="",L$24=""),"",IF(COUNTIFS('AFA Rates'!$A$5:$A$504,$A166,'AFA Rates'!$B$5:$B$504,L$24)&gt;0,"✓",""))</f>
        <v/>
      </c>
      <c r="M166" s="57">
        <f>IF(OR($A166="",M$24=""),"",IF(COUNTIFS('AFA Rates'!$A$5:$A$504,$A166,'AFA Rates'!$B$5:$B$504,M$24)&gt;0,"✓",""))</f>
        <v/>
      </c>
    </row>
    <row r="167">
      <c r="A167" s="63">
        <f>IFERROR(INDEX(Firms!$A$5:$A$504,MATCH(143,Firms!$S$5:$S$504,0)),"")</f>
        <v/>
      </c>
      <c r="B167" s="57">
        <f>IF($A167="","",INDEX(Firms!$B$5:$B$504,MATCH(143,Firms!$S$5:$S$504,0)))</f>
        <v/>
      </c>
      <c r="C167" s="57">
        <f>IF($A167="","",COUNTIF('AFA Rates'!$A$5:$A$504,$A167))</f>
        <v/>
      </c>
      <c r="D167" s="57">
        <f>IF(OR($A167="",D$24=""),"",IF(COUNTIFS('AFA Rates'!$A$5:$A$504,$A167,'AFA Rates'!$B$5:$B$504,D$24)&gt;0,"✓",""))</f>
        <v/>
      </c>
      <c r="E167" s="57">
        <f>IF(OR($A167="",E$24=""),"",IF(COUNTIFS('AFA Rates'!$A$5:$A$504,$A167,'AFA Rates'!$B$5:$B$504,E$24)&gt;0,"✓",""))</f>
        <v/>
      </c>
      <c r="F167" s="57">
        <f>IF(OR($A167="",F$24=""),"",IF(COUNTIFS('AFA Rates'!$A$5:$A$504,$A167,'AFA Rates'!$B$5:$B$504,F$24)&gt;0,"✓",""))</f>
        <v/>
      </c>
      <c r="G167" s="57">
        <f>IF(OR($A167="",G$24=""),"",IF(COUNTIFS('AFA Rates'!$A$5:$A$504,$A167,'AFA Rates'!$B$5:$B$504,G$24)&gt;0,"✓",""))</f>
        <v/>
      </c>
      <c r="H167" s="57">
        <f>IF(OR($A167="",H$24=""),"",IF(COUNTIFS('AFA Rates'!$A$5:$A$504,$A167,'AFA Rates'!$B$5:$B$504,H$24)&gt;0,"✓",""))</f>
        <v/>
      </c>
      <c r="I167" s="57">
        <f>IF(OR($A167="",I$24=""),"",IF(COUNTIFS('AFA Rates'!$A$5:$A$504,$A167,'AFA Rates'!$B$5:$B$504,I$24)&gt;0,"✓",""))</f>
        <v/>
      </c>
      <c r="J167" s="57">
        <f>IF(OR($A167="",J$24=""),"",IF(COUNTIFS('AFA Rates'!$A$5:$A$504,$A167,'AFA Rates'!$B$5:$B$504,J$24)&gt;0,"✓",""))</f>
        <v/>
      </c>
      <c r="K167" s="57">
        <f>IF(OR($A167="",K$24=""),"",IF(COUNTIFS('AFA Rates'!$A$5:$A$504,$A167,'AFA Rates'!$B$5:$B$504,K$24)&gt;0,"✓",""))</f>
        <v/>
      </c>
      <c r="L167" s="57">
        <f>IF(OR($A167="",L$24=""),"",IF(COUNTIFS('AFA Rates'!$A$5:$A$504,$A167,'AFA Rates'!$B$5:$B$504,L$24)&gt;0,"✓",""))</f>
        <v/>
      </c>
      <c r="M167" s="57">
        <f>IF(OR($A167="",M$24=""),"",IF(COUNTIFS('AFA Rates'!$A$5:$A$504,$A167,'AFA Rates'!$B$5:$B$504,M$24)&gt;0,"✓",""))</f>
        <v/>
      </c>
    </row>
    <row r="168">
      <c r="A168" s="63">
        <f>IFERROR(INDEX(Firms!$A$5:$A$504,MATCH(144,Firms!$S$5:$S$504,0)),"")</f>
        <v/>
      </c>
      <c r="B168" s="57">
        <f>IF($A168="","",INDEX(Firms!$B$5:$B$504,MATCH(144,Firms!$S$5:$S$504,0)))</f>
        <v/>
      </c>
      <c r="C168" s="57">
        <f>IF($A168="","",COUNTIF('AFA Rates'!$A$5:$A$504,$A168))</f>
        <v/>
      </c>
      <c r="D168" s="57">
        <f>IF(OR($A168="",D$24=""),"",IF(COUNTIFS('AFA Rates'!$A$5:$A$504,$A168,'AFA Rates'!$B$5:$B$504,D$24)&gt;0,"✓",""))</f>
        <v/>
      </c>
      <c r="E168" s="57">
        <f>IF(OR($A168="",E$24=""),"",IF(COUNTIFS('AFA Rates'!$A$5:$A$504,$A168,'AFA Rates'!$B$5:$B$504,E$24)&gt;0,"✓",""))</f>
        <v/>
      </c>
      <c r="F168" s="57">
        <f>IF(OR($A168="",F$24=""),"",IF(COUNTIFS('AFA Rates'!$A$5:$A$504,$A168,'AFA Rates'!$B$5:$B$504,F$24)&gt;0,"✓",""))</f>
        <v/>
      </c>
      <c r="G168" s="57">
        <f>IF(OR($A168="",G$24=""),"",IF(COUNTIFS('AFA Rates'!$A$5:$A$504,$A168,'AFA Rates'!$B$5:$B$504,G$24)&gt;0,"✓",""))</f>
        <v/>
      </c>
      <c r="H168" s="57">
        <f>IF(OR($A168="",H$24=""),"",IF(COUNTIFS('AFA Rates'!$A$5:$A$504,$A168,'AFA Rates'!$B$5:$B$504,H$24)&gt;0,"✓",""))</f>
        <v/>
      </c>
      <c r="I168" s="57">
        <f>IF(OR($A168="",I$24=""),"",IF(COUNTIFS('AFA Rates'!$A$5:$A$504,$A168,'AFA Rates'!$B$5:$B$504,I$24)&gt;0,"✓",""))</f>
        <v/>
      </c>
      <c r="J168" s="57">
        <f>IF(OR($A168="",J$24=""),"",IF(COUNTIFS('AFA Rates'!$A$5:$A$504,$A168,'AFA Rates'!$B$5:$B$504,J$24)&gt;0,"✓",""))</f>
        <v/>
      </c>
      <c r="K168" s="57">
        <f>IF(OR($A168="",K$24=""),"",IF(COUNTIFS('AFA Rates'!$A$5:$A$504,$A168,'AFA Rates'!$B$5:$B$504,K$24)&gt;0,"✓",""))</f>
        <v/>
      </c>
      <c r="L168" s="57">
        <f>IF(OR($A168="",L$24=""),"",IF(COUNTIFS('AFA Rates'!$A$5:$A$504,$A168,'AFA Rates'!$B$5:$B$504,L$24)&gt;0,"✓",""))</f>
        <v/>
      </c>
      <c r="M168" s="57">
        <f>IF(OR($A168="",M$24=""),"",IF(COUNTIFS('AFA Rates'!$A$5:$A$504,$A168,'AFA Rates'!$B$5:$B$504,M$24)&gt;0,"✓",""))</f>
        <v/>
      </c>
    </row>
    <row r="169">
      <c r="A169" s="63">
        <f>IFERROR(INDEX(Firms!$A$5:$A$504,MATCH(145,Firms!$S$5:$S$504,0)),"")</f>
        <v/>
      </c>
      <c r="B169" s="57">
        <f>IF($A169="","",INDEX(Firms!$B$5:$B$504,MATCH(145,Firms!$S$5:$S$504,0)))</f>
        <v/>
      </c>
      <c r="C169" s="57">
        <f>IF($A169="","",COUNTIF('AFA Rates'!$A$5:$A$504,$A169))</f>
        <v/>
      </c>
      <c r="D169" s="57">
        <f>IF(OR($A169="",D$24=""),"",IF(COUNTIFS('AFA Rates'!$A$5:$A$504,$A169,'AFA Rates'!$B$5:$B$504,D$24)&gt;0,"✓",""))</f>
        <v/>
      </c>
      <c r="E169" s="57">
        <f>IF(OR($A169="",E$24=""),"",IF(COUNTIFS('AFA Rates'!$A$5:$A$504,$A169,'AFA Rates'!$B$5:$B$504,E$24)&gt;0,"✓",""))</f>
        <v/>
      </c>
      <c r="F169" s="57">
        <f>IF(OR($A169="",F$24=""),"",IF(COUNTIFS('AFA Rates'!$A$5:$A$504,$A169,'AFA Rates'!$B$5:$B$504,F$24)&gt;0,"✓",""))</f>
        <v/>
      </c>
      <c r="G169" s="57">
        <f>IF(OR($A169="",G$24=""),"",IF(COUNTIFS('AFA Rates'!$A$5:$A$504,$A169,'AFA Rates'!$B$5:$B$504,G$24)&gt;0,"✓",""))</f>
        <v/>
      </c>
      <c r="H169" s="57">
        <f>IF(OR($A169="",H$24=""),"",IF(COUNTIFS('AFA Rates'!$A$5:$A$504,$A169,'AFA Rates'!$B$5:$B$504,H$24)&gt;0,"✓",""))</f>
        <v/>
      </c>
      <c r="I169" s="57">
        <f>IF(OR($A169="",I$24=""),"",IF(COUNTIFS('AFA Rates'!$A$5:$A$504,$A169,'AFA Rates'!$B$5:$B$504,I$24)&gt;0,"✓",""))</f>
        <v/>
      </c>
      <c r="J169" s="57">
        <f>IF(OR($A169="",J$24=""),"",IF(COUNTIFS('AFA Rates'!$A$5:$A$504,$A169,'AFA Rates'!$B$5:$B$504,J$24)&gt;0,"✓",""))</f>
        <v/>
      </c>
      <c r="K169" s="57">
        <f>IF(OR($A169="",K$24=""),"",IF(COUNTIFS('AFA Rates'!$A$5:$A$504,$A169,'AFA Rates'!$B$5:$B$504,K$24)&gt;0,"✓",""))</f>
        <v/>
      </c>
      <c r="L169" s="57">
        <f>IF(OR($A169="",L$24=""),"",IF(COUNTIFS('AFA Rates'!$A$5:$A$504,$A169,'AFA Rates'!$B$5:$B$504,L$24)&gt;0,"✓",""))</f>
        <v/>
      </c>
      <c r="M169" s="57">
        <f>IF(OR($A169="",M$24=""),"",IF(COUNTIFS('AFA Rates'!$A$5:$A$504,$A169,'AFA Rates'!$B$5:$B$504,M$24)&gt;0,"✓",""))</f>
        <v/>
      </c>
    </row>
    <row r="170">
      <c r="A170" s="63">
        <f>IFERROR(INDEX(Firms!$A$5:$A$504,MATCH(146,Firms!$S$5:$S$504,0)),"")</f>
        <v/>
      </c>
      <c r="B170" s="57">
        <f>IF($A170="","",INDEX(Firms!$B$5:$B$504,MATCH(146,Firms!$S$5:$S$504,0)))</f>
        <v/>
      </c>
      <c r="C170" s="57">
        <f>IF($A170="","",COUNTIF('AFA Rates'!$A$5:$A$504,$A170))</f>
        <v/>
      </c>
      <c r="D170" s="57">
        <f>IF(OR($A170="",D$24=""),"",IF(COUNTIFS('AFA Rates'!$A$5:$A$504,$A170,'AFA Rates'!$B$5:$B$504,D$24)&gt;0,"✓",""))</f>
        <v/>
      </c>
      <c r="E170" s="57">
        <f>IF(OR($A170="",E$24=""),"",IF(COUNTIFS('AFA Rates'!$A$5:$A$504,$A170,'AFA Rates'!$B$5:$B$504,E$24)&gt;0,"✓",""))</f>
        <v/>
      </c>
      <c r="F170" s="57">
        <f>IF(OR($A170="",F$24=""),"",IF(COUNTIFS('AFA Rates'!$A$5:$A$504,$A170,'AFA Rates'!$B$5:$B$504,F$24)&gt;0,"✓",""))</f>
        <v/>
      </c>
      <c r="G170" s="57">
        <f>IF(OR($A170="",G$24=""),"",IF(COUNTIFS('AFA Rates'!$A$5:$A$504,$A170,'AFA Rates'!$B$5:$B$504,G$24)&gt;0,"✓",""))</f>
        <v/>
      </c>
      <c r="H170" s="57">
        <f>IF(OR($A170="",H$24=""),"",IF(COUNTIFS('AFA Rates'!$A$5:$A$504,$A170,'AFA Rates'!$B$5:$B$504,H$24)&gt;0,"✓",""))</f>
        <v/>
      </c>
      <c r="I170" s="57">
        <f>IF(OR($A170="",I$24=""),"",IF(COUNTIFS('AFA Rates'!$A$5:$A$504,$A170,'AFA Rates'!$B$5:$B$504,I$24)&gt;0,"✓",""))</f>
        <v/>
      </c>
      <c r="J170" s="57">
        <f>IF(OR($A170="",J$24=""),"",IF(COUNTIFS('AFA Rates'!$A$5:$A$504,$A170,'AFA Rates'!$B$5:$B$504,J$24)&gt;0,"✓",""))</f>
        <v/>
      </c>
      <c r="K170" s="57">
        <f>IF(OR($A170="",K$24=""),"",IF(COUNTIFS('AFA Rates'!$A$5:$A$504,$A170,'AFA Rates'!$B$5:$B$504,K$24)&gt;0,"✓",""))</f>
        <v/>
      </c>
      <c r="L170" s="57">
        <f>IF(OR($A170="",L$24=""),"",IF(COUNTIFS('AFA Rates'!$A$5:$A$504,$A170,'AFA Rates'!$B$5:$B$504,L$24)&gt;0,"✓",""))</f>
        <v/>
      </c>
      <c r="M170" s="57">
        <f>IF(OR($A170="",M$24=""),"",IF(COUNTIFS('AFA Rates'!$A$5:$A$504,$A170,'AFA Rates'!$B$5:$B$504,M$24)&gt;0,"✓",""))</f>
        <v/>
      </c>
    </row>
    <row r="171">
      <c r="A171" s="63">
        <f>IFERROR(INDEX(Firms!$A$5:$A$504,MATCH(147,Firms!$S$5:$S$504,0)),"")</f>
        <v/>
      </c>
      <c r="B171" s="57">
        <f>IF($A171="","",INDEX(Firms!$B$5:$B$504,MATCH(147,Firms!$S$5:$S$504,0)))</f>
        <v/>
      </c>
      <c r="C171" s="57">
        <f>IF($A171="","",COUNTIF('AFA Rates'!$A$5:$A$504,$A171))</f>
        <v/>
      </c>
      <c r="D171" s="57">
        <f>IF(OR($A171="",D$24=""),"",IF(COUNTIFS('AFA Rates'!$A$5:$A$504,$A171,'AFA Rates'!$B$5:$B$504,D$24)&gt;0,"✓",""))</f>
        <v/>
      </c>
      <c r="E171" s="57">
        <f>IF(OR($A171="",E$24=""),"",IF(COUNTIFS('AFA Rates'!$A$5:$A$504,$A171,'AFA Rates'!$B$5:$B$504,E$24)&gt;0,"✓",""))</f>
        <v/>
      </c>
      <c r="F171" s="57">
        <f>IF(OR($A171="",F$24=""),"",IF(COUNTIFS('AFA Rates'!$A$5:$A$504,$A171,'AFA Rates'!$B$5:$B$504,F$24)&gt;0,"✓",""))</f>
        <v/>
      </c>
      <c r="G171" s="57">
        <f>IF(OR($A171="",G$24=""),"",IF(COUNTIFS('AFA Rates'!$A$5:$A$504,$A171,'AFA Rates'!$B$5:$B$504,G$24)&gt;0,"✓",""))</f>
        <v/>
      </c>
      <c r="H171" s="57">
        <f>IF(OR($A171="",H$24=""),"",IF(COUNTIFS('AFA Rates'!$A$5:$A$504,$A171,'AFA Rates'!$B$5:$B$504,H$24)&gt;0,"✓",""))</f>
        <v/>
      </c>
      <c r="I171" s="57">
        <f>IF(OR($A171="",I$24=""),"",IF(COUNTIFS('AFA Rates'!$A$5:$A$504,$A171,'AFA Rates'!$B$5:$B$504,I$24)&gt;0,"✓",""))</f>
        <v/>
      </c>
      <c r="J171" s="57">
        <f>IF(OR($A171="",J$24=""),"",IF(COUNTIFS('AFA Rates'!$A$5:$A$504,$A171,'AFA Rates'!$B$5:$B$504,J$24)&gt;0,"✓",""))</f>
        <v/>
      </c>
      <c r="K171" s="57">
        <f>IF(OR($A171="",K$24=""),"",IF(COUNTIFS('AFA Rates'!$A$5:$A$504,$A171,'AFA Rates'!$B$5:$B$504,K$24)&gt;0,"✓",""))</f>
        <v/>
      </c>
      <c r="L171" s="57">
        <f>IF(OR($A171="",L$24=""),"",IF(COUNTIFS('AFA Rates'!$A$5:$A$504,$A171,'AFA Rates'!$B$5:$B$504,L$24)&gt;0,"✓",""))</f>
        <v/>
      </c>
      <c r="M171" s="57">
        <f>IF(OR($A171="",M$24=""),"",IF(COUNTIFS('AFA Rates'!$A$5:$A$504,$A171,'AFA Rates'!$B$5:$B$504,M$24)&gt;0,"✓",""))</f>
        <v/>
      </c>
    </row>
    <row r="172">
      <c r="A172" s="63">
        <f>IFERROR(INDEX(Firms!$A$5:$A$504,MATCH(148,Firms!$S$5:$S$504,0)),"")</f>
        <v/>
      </c>
      <c r="B172" s="57">
        <f>IF($A172="","",INDEX(Firms!$B$5:$B$504,MATCH(148,Firms!$S$5:$S$504,0)))</f>
        <v/>
      </c>
      <c r="C172" s="57">
        <f>IF($A172="","",COUNTIF('AFA Rates'!$A$5:$A$504,$A172))</f>
        <v/>
      </c>
      <c r="D172" s="57">
        <f>IF(OR($A172="",D$24=""),"",IF(COUNTIFS('AFA Rates'!$A$5:$A$504,$A172,'AFA Rates'!$B$5:$B$504,D$24)&gt;0,"✓",""))</f>
        <v/>
      </c>
      <c r="E172" s="57">
        <f>IF(OR($A172="",E$24=""),"",IF(COUNTIFS('AFA Rates'!$A$5:$A$504,$A172,'AFA Rates'!$B$5:$B$504,E$24)&gt;0,"✓",""))</f>
        <v/>
      </c>
      <c r="F172" s="57">
        <f>IF(OR($A172="",F$24=""),"",IF(COUNTIFS('AFA Rates'!$A$5:$A$504,$A172,'AFA Rates'!$B$5:$B$504,F$24)&gt;0,"✓",""))</f>
        <v/>
      </c>
      <c r="G172" s="57">
        <f>IF(OR($A172="",G$24=""),"",IF(COUNTIFS('AFA Rates'!$A$5:$A$504,$A172,'AFA Rates'!$B$5:$B$504,G$24)&gt;0,"✓",""))</f>
        <v/>
      </c>
      <c r="H172" s="57">
        <f>IF(OR($A172="",H$24=""),"",IF(COUNTIFS('AFA Rates'!$A$5:$A$504,$A172,'AFA Rates'!$B$5:$B$504,H$24)&gt;0,"✓",""))</f>
        <v/>
      </c>
      <c r="I172" s="57">
        <f>IF(OR($A172="",I$24=""),"",IF(COUNTIFS('AFA Rates'!$A$5:$A$504,$A172,'AFA Rates'!$B$5:$B$504,I$24)&gt;0,"✓",""))</f>
        <v/>
      </c>
      <c r="J172" s="57">
        <f>IF(OR($A172="",J$24=""),"",IF(COUNTIFS('AFA Rates'!$A$5:$A$504,$A172,'AFA Rates'!$B$5:$B$504,J$24)&gt;0,"✓",""))</f>
        <v/>
      </c>
      <c r="K172" s="57">
        <f>IF(OR($A172="",K$24=""),"",IF(COUNTIFS('AFA Rates'!$A$5:$A$504,$A172,'AFA Rates'!$B$5:$B$504,K$24)&gt;0,"✓",""))</f>
        <v/>
      </c>
      <c r="L172" s="57">
        <f>IF(OR($A172="",L$24=""),"",IF(COUNTIFS('AFA Rates'!$A$5:$A$504,$A172,'AFA Rates'!$B$5:$B$504,L$24)&gt;0,"✓",""))</f>
        <v/>
      </c>
      <c r="M172" s="57">
        <f>IF(OR($A172="",M$24=""),"",IF(COUNTIFS('AFA Rates'!$A$5:$A$504,$A172,'AFA Rates'!$B$5:$B$504,M$24)&gt;0,"✓",""))</f>
        <v/>
      </c>
    </row>
    <row r="173">
      <c r="A173" s="63">
        <f>IFERROR(INDEX(Firms!$A$5:$A$504,MATCH(149,Firms!$S$5:$S$504,0)),"")</f>
        <v/>
      </c>
      <c r="B173" s="57">
        <f>IF($A173="","",INDEX(Firms!$B$5:$B$504,MATCH(149,Firms!$S$5:$S$504,0)))</f>
        <v/>
      </c>
      <c r="C173" s="57">
        <f>IF($A173="","",COUNTIF('AFA Rates'!$A$5:$A$504,$A173))</f>
        <v/>
      </c>
      <c r="D173" s="57">
        <f>IF(OR($A173="",D$24=""),"",IF(COUNTIFS('AFA Rates'!$A$5:$A$504,$A173,'AFA Rates'!$B$5:$B$504,D$24)&gt;0,"✓",""))</f>
        <v/>
      </c>
      <c r="E173" s="57">
        <f>IF(OR($A173="",E$24=""),"",IF(COUNTIFS('AFA Rates'!$A$5:$A$504,$A173,'AFA Rates'!$B$5:$B$504,E$24)&gt;0,"✓",""))</f>
        <v/>
      </c>
      <c r="F173" s="57">
        <f>IF(OR($A173="",F$24=""),"",IF(COUNTIFS('AFA Rates'!$A$5:$A$504,$A173,'AFA Rates'!$B$5:$B$504,F$24)&gt;0,"✓",""))</f>
        <v/>
      </c>
      <c r="G173" s="57">
        <f>IF(OR($A173="",G$24=""),"",IF(COUNTIFS('AFA Rates'!$A$5:$A$504,$A173,'AFA Rates'!$B$5:$B$504,G$24)&gt;0,"✓",""))</f>
        <v/>
      </c>
      <c r="H173" s="57">
        <f>IF(OR($A173="",H$24=""),"",IF(COUNTIFS('AFA Rates'!$A$5:$A$504,$A173,'AFA Rates'!$B$5:$B$504,H$24)&gt;0,"✓",""))</f>
        <v/>
      </c>
      <c r="I173" s="57">
        <f>IF(OR($A173="",I$24=""),"",IF(COUNTIFS('AFA Rates'!$A$5:$A$504,$A173,'AFA Rates'!$B$5:$B$504,I$24)&gt;0,"✓",""))</f>
        <v/>
      </c>
      <c r="J173" s="57">
        <f>IF(OR($A173="",J$24=""),"",IF(COUNTIFS('AFA Rates'!$A$5:$A$504,$A173,'AFA Rates'!$B$5:$B$504,J$24)&gt;0,"✓",""))</f>
        <v/>
      </c>
      <c r="K173" s="57">
        <f>IF(OR($A173="",K$24=""),"",IF(COUNTIFS('AFA Rates'!$A$5:$A$504,$A173,'AFA Rates'!$B$5:$B$504,K$24)&gt;0,"✓",""))</f>
        <v/>
      </c>
      <c r="L173" s="57">
        <f>IF(OR($A173="",L$24=""),"",IF(COUNTIFS('AFA Rates'!$A$5:$A$504,$A173,'AFA Rates'!$B$5:$B$504,L$24)&gt;0,"✓",""))</f>
        <v/>
      </c>
      <c r="M173" s="57">
        <f>IF(OR($A173="",M$24=""),"",IF(COUNTIFS('AFA Rates'!$A$5:$A$504,$A173,'AFA Rates'!$B$5:$B$504,M$24)&gt;0,"✓",""))</f>
        <v/>
      </c>
    </row>
    <row r="174">
      <c r="A174" s="63">
        <f>IFERROR(INDEX(Firms!$A$5:$A$504,MATCH(150,Firms!$S$5:$S$504,0)),"")</f>
        <v/>
      </c>
      <c r="B174" s="57">
        <f>IF($A174="","",INDEX(Firms!$B$5:$B$504,MATCH(150,Firms!$S$5:$S$504,0)))</f>
        <v/>
      </c>
      <c r="C174" s="57">
        <f>IF($A174="","",COUNTIF('AFA Rates'!$A$5:$A$504,$A174))</f>
        <v/>
      </c>
      <c r="D174" s="57">
        <f>IF(OR($A174="",D$24=""),"",IF(COUNTIFS('AFA Rates'!$A$5:$A$504,$A174,'AFA Rates'!$B$5:$B$504,D$24)&gt;0,"✓",""))</f>
        <v/>
      </c>
      <c r="E174" s="57">
        <f>IF(OR($A174="",E$24=""),"",IF(COUNTIFS('AFA Rates'!$A$5:$A$504,$A174,'AFA Rates'!$B$5:$B$504,E$24)&gt;0,"✓",""))</f>
        <v/>
      </c>
      <c r="F174" s="57">
        <f>IF(OR($A174="",F$24=""),"",IF(COUNTIFS('AFA Rates'!$A$5:$A$504,$A174,'AFA Rates'!$B$5:$B$504,F$24)&gt;0,"✓",""))</f>
        <v/>
      </c>
      <c r="G174" s="57">
        <f>IF(OR($A174="",G$24=""),"",IF(COUNTIFS('AFA Rates'!$A$5:$A$504,$A174,'AFA Rates'!$B$5:$B$504,G$24)&gt;0,"✓",""))</f>
        <v/>
      </c>
      <c r="H174" s="57">
        <f>IF(OR($A174="",H$24=""),"",IF(COUNTIFS('AFA Rates'!$A$5:$A$504,$A174,'AFA Rates'!$B$5:$B$504,H$24)&gt;0,"✓",""))</f>
        <v/>
      </c>
      <c r="I174" s="57">
        <f>IF(OR($A174="",I$24=""),"",IF(COUNTIFS('AFA Rates'!$A$5:$A$504,$A174,'AFA Rates'!$B$5:$B$504,I$24)&gt;0,"✓",""))</f>
        <v/>
      </c>
      <c r="J174" s="57">
        <f>IF(OR($A174="",J$24=""),"",IF(COUNTIFS('AFA Rates'!$A$5:$A$504,$A174,'AFA Rates'!$B$5:$B$504,J$24)&gt;0,"✓",""))</f>
        <v/>
      </c>
      <c r="K174" s="57">
        <f>IF(OR($A174="",K$24=""),"",IF(COUNTIFS('AFA Rates'!$A$5:$A$504,$A174,'AFA Rates'!$B$5:$B$504,K$24)&gt;0,"✓",""))</f>
        <v/>
      </c>
      <c r="L174" s="57">
        <f>IF(OR($A174="",L$24=""),"",IF(COUNTIFS('AFA Rates'!$A$5:$A$504,$A174,'AFA Rates'!$B$5:$B$504,L$24)&gt;0,"✓",""))</f>
        <v/>
      </c>
      <c r="M174" s="57">
        <f>IF(OR($A174="",M$24=""),"",IF(COUNTIFS('AFA Rates'!$A$5:$A$504,$A174,'AFA Rates'!$B$5:$B$504,M$24)&gt;0,"✓",""))</f>
        <v/>
      </c>
    </row>
    <row r="175">
      <c r="A175" s="63">
        <f>IFERROR(INDEX(Firms!$A$5:$A$504,MATCH(151,Firms!$S$5:$S$504,0)),"")</f>
        <v/>
      </c>
      <c r="B175" s="57">
        <f>IF($A175="","",INDEX(Firms!$B$5:$B$504,MATCH(151,Firms!$S$5:$S$504,0)))</f>
        <v/>
      </c>
      <c r="C175" s="57">
        <f>IF($A175="","",COUNTIF('AFA Rates'!$A$5:$A$504,$A175))</f>
        <v/>
      </c>
      <c r="D175" s="57">
        <f>IF(OR($A175="",D$24=""),"",IF(COUNTIFS('AFA Rates'!$A$5:$A$504,$A175,'AFA Rates'!$B$5:$B$504,D$24)&gt;0,"✓",""))</f>
        <v/>
      </c>
      <c r="E175" s="57">
        <f>IF(OR($A175="",E$24=""),"",IF(COUNTIFS('AFA Rates'!$A$5:$A$504,$A175,'AFA Rates'!$B$5:$B$504,E$24)&gt;0,"✓",""))</f>
        <v/>
      </c>
      <c r="F175" s="57">
        <f>IF(OR($A175="",F$24=""),"",IF(COUNTIFS('AFA Rates'!$A$5:$A$504,$A175,'AFA Rates'!$B$5:$B$504,F$24)&gt;0,"✓",""))</f>
        <v/>
      </c>
      <c r="G175" s="57">
        <f>IF(OR($A175="",G$24=""),"",IF(COUNTIFS('AFA Rates'!$A$5:$A$504,$A175,'AFA Rates'!$B$5:$B$504,G$24)&gt;0,"✓",""))</f>
        <v/>
      </c>
      <c r="H175" s="57">
        <f>IF(OR($A175="",H$24=""),"",IF(COUNTIFS('AFA Rates'!$A$5:$A$504,$A175,'AFA Rates'!$B$5:$B$504,H$24)&gt;0,"✓",""))</f>
        <v/>
      </c>
      <c r="I175" s="57">
        <f>IF(OR($A175="",I$24=""),"",IF(COUNTIFS('AFA Rates'!$A$5:$A$504,$A175,'AFA Rates'!$B$5:$B$504,I$24)&gt;0,"✓",""))</f>
        <v/>
      </c>
      <c r="J175" s="57">
        <f>IF(OR($A175="",J$24=""),"",IF(COUNTIFS('AFA Rates'!$A$5:$A$504,$A175,'AFA Rates'!$B$5:$B$504,J$24)&gt;0,"✓",""))</f>
        <v/>
      </c>
      <c r="K175" s="57">
        <f>IF(OR($A175="",K$24=""),"",IF(COUNTIFS('AFA Rates'!$A$5:$A$504,$A175,'AFA Rates'!$B$5:$B$504,K$24)&gt;0,"✓",""))</f>
        <v/>
      </c>
      <c r="L175" s="57">
        <f>IF(OR($A175="",L$24=""),"",IF(COUNTIFS('AFA Rates'!$A$5:$A$504,$A175,'AFA Rates'!$B$5:$B$504,L$24)&gt;0,"✓",""))</f>
        <v/>
      </c>
      <c r="M175" s="57">
        <f>IF(OR($A175="",M$24=""),"",IF(COUNTIFS('AFA Rates'!$A$5:$A$504,$A175,'AFA Rates'!$B$5:$B$504,M$24)&gt;0,"✓",""))</f>
        <v/>
      </c>
    </row>
    <row r="176">
      <c r="A176" s="63">
        <f>IFERROR(INDEX(Firms!$A$5:$A$504,MATCH(152,Firms!$S$5:$S$504,0)),"")</f>
        <v/>
      </c>
      <c r="B176" s="57">
        <f>IF($A176="","",INDEX(Firms!$B$5:$B$504,MATCH(152,Firms!$S$5:$S$504,0)))</f>
        <v/>
      </c>
      <c r="C176" s="57">
        <f>IF($A176="","",COUNTIF('AFA Rates'!$A$5:$A$504,$A176))</f>
        <v/>
      </c>
      <c r="D176" s="57">
        <f>IF(OR($A176="",D$24=""),"",IF(COUNTIFS('AFA Rates'!$A$5:$A$504,$A176,'AFA Rates'!$B$5:$B$504,D$24)&gt;0,"✓",""))</f>
        <v/>
      </c>
      <c r="E176" s="57">
        <f>IF(OR($A176="",E$24=""),"",IF(COUNTIFS('AFA Rates'!$A$5:$A$504,$A176,'AFA Rates'!$B$5:$B$504,E$24)&gt;0,"✓",""))</f>
        <v/>
      </c>
      <c r="F176" s="57">
        <f>IF(OR($A176="",F$24=""),"",IF(COUNTIFS('AFA Rates'!$A$5:$A$504,$A176,'AFA Rates'!$B$5:$B$504,F$24)&gt;0,"✓",""))</f>
        <v/>
      </c>
      <c r="G176" s="57">
        <f>IF(OR($A176="",G$24=""),"",IF(COUNTIFS('AFA Rates'!$A$5:$A$504,$A176,'AFA Rates'!$B$5:$B$504,G$24)&gt;0,"✓",""))</f>
        <v/>
      </c>
      <c r="H176" s="57">
        <f>IF(OR($A176="",H$24=""),"",IF(COUNTIFS('AFA Rates'!$A$5:$A$504,$A176,'AFA Rates'!$B$5:$B$504,H$24)&gt;0,"✓",""))</f>
        <v/>
      </c>
      <c r="I176" s="57">
        <f>IF(OR($A176="",I$24=""),"",IF(COUNTIFS('AFA Rates'!$A$5:$A$504,$A176,'AFA Rates'!$B$5:$B$504,I$24)&gt;0,"✓",""))</f>
        <v/>
      </c>
      <c r="J176" s="57">
        <f>IF(OR($A176="",J$24=""),"",IF(COUNTIFS('AFA Rates'!$A$5:$A$504,$A176,'AFA Rates'!$B$5:$B$504,J$24)&gt;0,"✓",""))</f>
        <v/>
      </c>
      <c r="K176" s="57">
        <f>IF(OR($A176="",K$24=""),"",IF(COUNTIFS('AFA Rates'!$A$5:$A$504,$A176,'AFA Rates'!$B$5:$B$504,K$24)&gt;0,"✓",""))</f>
        <v/>
      </c>
      <c r="L176" s="57">
        <f>IF(OR($A176="",L$24=""),"",IF(COUNTIFS('AFA Rates'!$A$5:$A$504,$A176,'AFA Rates'!$B$5:$B$504,L$24)&gt;0,"✓",""))</f>
        <v/>
      </c>
      <c r="M176" s="57">
        <f>IF(OR($A176="",M$24=""),"",IF(COUNTIFS('AFA Rates'!$A$5:$A$504,$A176,'AFA Rates'!$B$5:$B$504,M$24)&gt;0,"✓",""))</f>
        <v/>
      </c>
    </row>
    <row r="177">
      <c r="A177" s="63">
        <f>IFERROR(INDEX(Firms!$A$5:$A$504,MATCH(153,Firms!$S$5:$S$504,0)),"")</f>
        <v/>
      </c>
      <c r="B177" s="57">
        <f>IF($A177="","",INDEX(Firms!$B$5:$B$504,MATCH(153,Firms!$S$5:$S$504,0)))</f>
        <v/>
      </c>
      <c r="C177" s="57">
        <f>IF($A177="","",COUNTIF('AFA Rates'!$A$5:$A$504,$A177))</f>
        <v/>
      </c>
      <c r="D177" s="57">
        <f>IF(OR($A177="",D$24=""),"",IF(COUNTIFS('AFA Rates'!$A$5:$A$504,$A177,'AFA Rates'!$B$5:$B$504,D$24)&gt;0,"✓",""))</f>
        <v/>
      </c>
      <c r="E177" s="57">
        <f>IF(OR($A177="",E$24=""),"",IF(COUNTIFS('AFA Rates'!$A$5:$A$504,$A177,'AFA Rates'!$B$5:$B$504,E$24)&gt;0,"✓",""))</f>
        <v/>
      </c>
      <c r="F177" s="57">
        <f>IF(OR($A177="",F$24=""),"",IF(COUNTIFS('AFA Rates'!$A$5:$A$504,$A177,'AFA Rates'!$B$5:$B$504,F$24)&gt;0,"✓",""))</f>
        <v/>
      </c>
      <c r="G177" s="57">
        <f>IF(OR($A177="",G$24=""),"",IF(COUNTIFS('AFA Rates'!$A$5:$A$504,$A177,'AFA Rates'!$B$5:$B$504,G$24)&gt;0,"✓",""))</f>
        <v/>
      </c>
      <c r="H177" s="57">
        <f>IF(OR($A177="",H$24=""),"",IF(COUNTIFS('AFA Rates'!$A$5:$A$504,$A177,'AFA Rates'!$B$5:$B$504,H$24)&gt;0,"✓",""))</f>
        <v/>
      </c>
      <c r="I177" s="57">
        <f>IF(OR($A177="",I$24=""),"",IF(COUNTIFS('AFA Rates'!$A$5:$A$504,$A177,'AFA Rates'!$B$5:$B$504,I$24)&gt;0,"✓",""))</f>
        <v/>
      </c>
      <c r="J177" s="57">
        <f>IF(OR($A177="",J$24=""),"",IF(COUNTIFS('AFA Rates'!$A$5:$A$504,$A177,'AFA Rates'!$B$5:$B$504,J$24)&gt;0,"✓",""))</f>
        <v/>
      </c>
      <c r="K177" s="57">
        <f>IF(OR($A177="",K$24=""),"",IF(COUNTIFS('AFA Rates'!$A$5:$A$504,$A177,'AFA Rates'!$B$5:$B$504,K$24)&gt;0,"✓",""))</f>
        <v/>
      </c>
      <c r="L177" s="57">
        <f>IF(OR($A177="",L$24=""),"",IF(COUNTIFS('AFA Rates'!$A$5:$A$504,$A177,'AFA Rates'!$B$5:$B$504,L$24)&gt;0,"✓",""))</f>
        <v/>
      </c>
      <c r="M177" s="57">
        <f>IF(OR($A177="",M$24=""),"",IF(COUNTIFS('AFA Rates'!$A$5:$A$504,$A177,'AFA Rates'!$B$5:$B$504,M$24)&gt;0,"✓",""))</f>
        <v/>
      </c>
    </row>
    <row r="178">
      <c r="A178" s="63">
        <f>IFERROR(INDEX(Firms!$A$5:$A$504,MATCH(154,Firms!$S$5:$S$504,0)),"")</f>
        <v/>
      </c>
      <c r="B178" s="57">
        <f>IF($A178="","",INDEX(Firms!$B$5:$B$504,MATCH(154,Firms!$S$5:$S$504,0)))</f>
        <v/>
      </c>
      <c r="C178" s="57">
        <f>IF($A178="","",COUNTIF('AFA Rates'!$A$5:$A$504,$A178))</f>
        <v/>
      </c>
      <c r="D178" s="57">
        <f>IF(OR($A178="",D$24=""),"",IF(COUNTIFS('AFA Rates'!$A$5:$A$504,$A178,'AFA Rates'!$B$5:$B$504,D$24)&gt;0,"✓",""))</f>
        <v/>
      </c>
      <c r="E178" s="57">
        <f>IF(OR($A178="",E$24=""),"",IF(COUNTIFS('AFA Rates'!$A$5:$A$504,$A178,'AFA Rates'!$B$5:$B$504,E$24)&gt;0,"✓",""))</f>
        <v/>
      </c>
      <c r="F178" s="57">
        <f>IF(OR($A178="",F$24=""),"",IF(COUNTIFS('AFA Rates'!$A$5:$A$504,$A178,'AFA Rates'!$B$5:$B$504,F$24)&gt;0,"✓",""))</f>
        <v/>
      </c>
      <c r="G178" s="57">
        <f>IF(OR($A178="",G$24=""),"",IF(COUNTIFS('AFA Rates'!$A$5:$A$504,$A178,'AFA Rates'!$B$5:$B$504,G$24)&gt;0,"✓",""))</f>
        <v/>
      </c>
      <c r="H178" s="57">
        <f>IF(OR($A178="",H$24=""),"",IF(COUNTIFS('AFA Rates'!$A$5:$A$504,$A178,'AFA Rates'!$B$5:$B$504,H$24)&gt;0,"✓",""))</f>
        <v/>
      </c>
      <c r="I178" s="57">
        <f>IF(OR($A178="",I$24=""),"",IF(COUNTIFS('AFA Rates'!$A$5:$A$504,$A178,'AFA Rates'!$B$5:$B$504,I$24)&gt;0,"✓",""))</f>
        <v/>
      </c>
      <c r="J178" s="57">
        <f>IF(OR($A178="",J$24=""),"",IF(COUNTIFS('AFA Rates'!$A$5:$A$504,$A178,'AFA Rates'!$B$5:$B$504,J$24)&gt;0,"✓",""))</f>
        <v/>
      </c>
      <c r="K178" s="57">
        <f>IF(OR($A178="",K$24=""),"",IF(COUNTIFS('AFA Rates'!$A$5:$A$504,$A178,'AFA Rates'!$B$5:$B$504,K$24)&gt;0,"✓",""))</f>
        <v/>
      </c>
      <c r="L178" s="57">
        <f>IF(OR($A178="",L$24=""),"",IF(COUNTIFS('AFA Rates'!$A$5:$A$504,$A178,'AFA Rates'!$B$5:$B$504,L$24)&gt;0,"✓",""))</f>
        <v/>
      </c>
      <c r="M178" s="57">
        <f>IF(OR($A178="",M$24=""),"",IF(COUNTIFS('AFA Rates'!$A$5:$A$504,$A178,'AFA Rates'!$B$5:$B$504,M$24)&gt;0,"✓",""))</f>
        <v/>
      </c>
    </row>
    <row r="179">
      <c r="A179" s="63">
        <f>IFERROR(INDEX(Firms!$A$5:$A$504,MATCH(155,Firms!$S$5:$S$504,0)),"")</f>
        <v/>
      </c>
      <c r="B179" s="57">
        <f>IF($A179="","",INDEX(Firms!$B$5:$B$504,MATCH(155,Firms!$S$5:$S$504,0)))</f>
        <v/>
      </c>
      <c r="C179" s="57">
        <f>IF($A179="","",COUNTIF('AFA Rates'!$A$5:$A$504,$A179))</f>
        <v/>
      </c>
      <c r="D179" s="57">
        <f>IF(OR($A179="",D$24=""),"",IF(COUNTIFS('AFA Rates'!$A$5:$A$504,$A179,'AFA Rates'!$B$5:$B$504,D$24)&gt;0,"✓",""))</f>
        <v/>
      </c>
      <c r="E179" s="57">
        <f>IF(OR($A179="",E$24=""),"",IF(COUNTIFS('AFA Rates'!$A$5:$A$504,$A179,'AFA Rates'!$B$5:$B$504,E$24)&gt;0,"✓",""))</f>
        <v/>
      </c>
      <c r="F179" s="57">
        <f>IF(OR($A179="",F$24=""),"",IF(COUNTIFS('AFA Rates'!$A$5:$A$504,$A179,'AFA Rates'!$B$5:$B$504,F$24)&gt;0,"✓",""))</f>
        <v/>
      </c>
      <c r="G179" s="57">
        <f>IF(OR($A179="",G$24=""),"",IF(COUNTIFS('AFA Rates'!$A$5:$A$504,$A179,'AFA Rates'!$B$5:$B$504,G$24)&gt;0,"✓",""))</f>
        <v/>
      </c>
      <c r="H179" s="57">
        <f>IF(OR($A179="",H$24=""),"",IF(COUNTIFS('AFA Rates'!$A$5:$A$504,$A179,'AFA Rates'!$B$5:$B$504,H$24)&gt;0,"✓",""))</f>
        <v/>
      </c>
      <c r="I179" s="57">
        <f>IF(OR($A179="",I$24=""),"",IF(COUNTIFS('AFA Rates'!$A$5:$A$504,$A179,'AFA Rates'!$B$5:$B$504,I$24)&gt;0,"✓",""))</f>
        <v/>
      </c>
      <c r="J179" s="57">
        <f>IF(OR($A179="",J$24=""),"",IF(COUNTIFS('AFA Rates'!$A$5:$A$504,$A179,'AFA Rates'!$B$5:$B$504,J$24)&gt;0,"✓",""))</f>
        <v/>
      </c>
      <c r="K179" s="57">
        <f>IF(OR($A179="",K$24=""),"",IF(COUNTIFS('AFA Rates'!$A$5:$A$504,$A179,'AFA Rates'!$B$5:$B$504,K$24)&gt;0,"✓",""))</f>
        <v/>
      </c>
      <c r="L179" s="57">
        <f>IF(OR($A179="",L$24=""),"",IF(COUNTIFS('AFA Rates'!$A$5:$A$504,$A179,'AFA Rates'!$B$5:$B$504,L$24)&gt;0,"✓",""))</f>
        <v/>
      </c>
      <c r="M179" s="57">
        <f>IF(OR($A179="",M$24=""),"",IF(COUNTIFS('AFA Rates'!$A$5:$A$504,$A179,'AFA Rates'!$B$5:$B$504,M$24)&gt;0,"✓",""))</f>
        <v/>
      </c>
    </row>
    <row r="180">
      <c r="A180" s="63">
        <f>IFERROR(INDEX(Firms!$A$5:$A$504,MATCH(156,Firms!$S$5:$S$504,0)),"")</f>
        <v/>
      </c>
      <c r="B180" s="57">
        <f>IF($A180="","",INDEX(Firms!$B$5:$B$504,MATCH(156,Firms!$S$5:$S$504,0)))</f>
        <v/>
      </c>
      <c r="C180" s="57">
        <f>IF($A180="","",COUNTIF('AFA Rates'!$A$5:$A$504,$A180))</f>
        <v/>
      </c>
      <c r="D180" s="57">
        <f>IF(OR($A180="",D$24=""),"",IF(COUNTIFS('AFA Rates'!$A$5:$A$504,$A180,'AFA Rates'!$B$5:$B$504,D$24)&gt;0,"✓",""))</f>
        <v/>
      </c>
      <c r="E180" s="57">
        <f>IF(OR($A180="",E$24=""),"",IF(COUNTIFS('AFA Rates'!$A$5:$A$504,$A180,'AFA Rates'!$B$5:$B$504,E$24)&gt;0,"✓",""))</f>
        <v/>
      </c>
      <c r="F180" s="57">
        <f>IF(OR($A180="",F$24=""),"",IF(COUNTIFS('AFA Rates'!$A$5:$A$504,$A180,'AFA Rates'!$B$5:$B$504,F$24)&gt;0,"✓",""))</f>
        <v/>
      </c>
      <c r="G180" s="57">
        <f>IF(OR($A180="",G$24=""),"",IF(COUNTIFS('AFA Rates'!$A$5:$A$504,$A180,'AFA Rates'!$B$5:$B$504,G$24)&gt;0,"✓",""))</f>
        <v/>
      </c>
      <c r="H180" s="57">
        <f>IF(OR($A180="",H$24=""),"",IF(COUNTIFS('AFA Rates'!$A$5:$A$504,$A180,'AFA Rates'!$B$5:$B$504,H$24)&gt;0,"✓",""))</f>
        <v/>
      </c>
      <c r="I180" s="57">
        <f>IF(OR($A180="",I$24=""),"",IF(COUNTIFS('AFA Rates'!$A$5:$A$504,$A180,'AFA Rates'!$B$5:$B$504,I$24)&gt;0,"✓",""))</f>
        <v/>
      </c>
      <c r="J180" s="57">
        <f>IF(OR($A180="",J$24=""),"",IF(COUNTIFS('AFA Rates'!$A$5:$A$504,$A180,'AFA Rates'!$B$5:$B$504,J$24)&gt;0,"✓",""))</f>
        <v/>
      </c>
      <c r="K180" s="57">
        <f>IF(OR($A180="",K$24=""),"",IF(COUNTIFS('AFA Rates'!$A$5:$A$504,$A180,'AFA Rates'!$B$5:$B$504,K$24)&gt;0,"✓",""))</f>
        <v/>
      </c>
      <c r="L180" s="57">
        <f>IF(OR($A180="",L$24=""),"",IF(COUNTIFS('AFA Rates'!$A$5:$A$504,$A180,'AFA Rates'!$B$5:$B$504,L$24)&gt;0,"✓",""))</f>
        <v/>
      </c>
      <c r="M180" s="57">
        <f>IF(OR($A180="",M$24=""),"",IF(COUNTIFS('AFA Rates'!$A$5:$A$504,$A180,'AFA Rates'!$B$5:$B$504,M$24)&gt;0,"✓",""))</f>
        <v/>
      </c>
    </row>
    <row r="181">
      <c r="A181" s="63">
        <f>IFERROR(INDEX(Firms!$A$5:$A$504,MATCH(157,Firms!$S$5:$S$504,0)),"")</f>
        <v/>
      </c>
      <c r="B181" s="57">
        <f>IF($A181="","",INDEX(Firms!$B$5:$B$504,MATCH(157,Firms!$S$5:$S$504,0)))</f>
        <v/>
      </c>
      <c r="C181" s="57">
        <f>IF($A181="","",COUNTIF('AFA Rates'!$A$5:$A$504,$A181))</f>
        <v/>
      </c>
      <c r="D181" s="57">
        <f>IF(OR($A181="",D$24=""),"",IF(COUNTIFS('AFA Rates'!$A$5:$A$504,$A181,'AFA Rates'!$B$5:$B$504,D$24)&gt;0,"✓",""))</f>
        <v/>
      </c>
      <c r="E181" s="57">
        <f>IF(OR($A181="",E$24=""),"",IF(COUNTIFS('AFA Rates'!$A$5:$A$504,$A181,'AFA Rates'!$B$5:$B$504,E$24)&gt;0,"✓",""))</f>
        <v/>
      </c>
      <c r="F181" s="57">
        <f>IF(OR($A181="",F$24=""),"",IF(COUNTIFS('AFA Rates'!$A$5:$A$504,$A181,'AFA Rates'!$B$5:$B$504,F$24)&gt;0,"✓",""))</f>
        <v/>
      </c>
      <c r="G181" s="57">
        <f>IF(OR($A181="",G$24=""),"",IF(COUNTIFS('AFA Rates'!$A$5:$A$504,$A181,'AFA Rates'!$B$5:$B$504,G$24)&gt;0,"✓",""))</f>
        <v/>
      </c>
      <c r="H181" s="57">
        <f>IF(OR($A181="",H$24=""),"",IF(COUNTIFS('AFA Rates'!$A$5:$A$504,$A181,'AFA Rates'!$B$5:$B$504,H$24)&gt;0,"✓",""))</f>
        <v/>
      </c>
      <c r="I181" s="57">
        <f>IF(OR($A181="",I$24=""),"",IF(COUNTIFS('AFA Rates'!$A$5:$A$504,$A181,'AFA Rates'!$B$5:$B$504,I$24)&gt;0,"✓",""))</f>
        <v/>
      </c>
      <c r="J181" s="57">
        <f>IF(OR($A181="",J$24=""),"",IF(COUNTIFS('AFA Rates'!$A$5:$A$504,$A181,'AFA Rates'!$B$5:$B$504,J$24)&gt;0,"✓",""))</f>
        <v/>
      </c>
      <c r="K181" s="57">
        <f>IF(OR($A181="",K$24=""),"",IF(COUNTIFS('AFA Rates'!$A$5:$A$504,$A181,'AFA Rates'!$B$5:$B$504,K$24)&gt;0,"✓",""))</f>
        <v/>
      </c>
      <c r="L181" s="57">
        <f>IF(OR($A181="",L$24=""),"",IF(COUNTIFS('AFA Rates'!$A$5:$A$504,$A181,'AFA Rates'!$B$5:$B$504,L$24)&gt;0,"✓",""))</f>
        <v/>
      </c>
      <c r="M181" s="57">
        <f>IF(OR($A181="",M$24=""),"",IF(COUNTIFS('AFA Rates'!$A$5:$A$504,$A181,'AFA Rates'!$B$5:$B$504,M$24)&gt;0,"✓",""))</f>
        <v/>
      </c>
    </row>
    <row r="182">
      <c r="A182" s="63">
        <f>IFERROR(INDEX(Firms!$A$5:$A$504,MATCH(158,Firms!$S$5:$S$504,0)),"")</f>
        <v/>
      </c>
      <c r="B182" s="57">
        <f>IF($A182="","",INDEX(Firms!$B$5:$B$504,MATCH(158,Firms!$S$5:$S$504,0)))</f>
        <v/>
      </c>
      <c r="C182" s="57">
        <f>IF($A182="","",COUNTIF('AFA Rates'!$A$5:$A$504,$A182))</f>
        <v/>
      </c>
      <c r="D182" s="57">
        <f>IF(OR($A182="",D$24=""),"",IF(COUNTIFS('AFA Rates'!$A$5:$A$504,$A182,'AFA Rates'!$B$5:$B$504,D$24)&gt;0,"✓",""))</f>
        <v/>
      </c>
      <c r="E182" s="57">
        <f>IF(OR($A182="",E$24=""),"",IF(COUNTIFS('AFA Rates'!$A$5:$A$504,$A182,'AFA Rates'!$B$5:$B$504,E$24)&gt;0,"✓",""))</f>
        <v/>
      </c>
      <c r="F182" s="57">
        <f>IF(OR($A182="",F$24=""),"",IF(COUNTIFS('AFA Rates'!$A$5:$A$504,$A182,'AFA Rates'!$B$5:$B$504,F$24)&gt;0,"✓",""))</f>
        <v/>
      </c>
      <c r="G182" s="57">
        <f>IF(OR($A182="",G$24=""),"",IF(COUNTIFS('AFA Rates'!$A$5:$A$504,$A182,'AFA Rates'!$B$5:$B$504,G$24)&gt;0,"✓",""))</f>
        <v/>
      </c>
      <c r="H182" s="57">
        <f>IF(OR($A182="",H$24=""),"",IF(COUNTIFS('AFA Rates'!$A$5:$A$504,$A182,'AFA Rates'!$B$5:$B$504,H$24)&gt;0,"✓",""))</f>
        <v/>
      </c>
      <c r="I182" s="57">
        <f>IF(OR($A182="",I$24=""),"",IF(COUNTIFS('AFA Rates'!$A$5:$A$504,$A182,'AFA Rates'!$B$5:$B$504,I$24)&gt;0,"✓",""))</f>
        <v/>
      </c>
      <c r="J182" s="57">
        <f>IF(OR($A182="",J$24=""),"",IF(COUNTIFS('AFA Rates'!$A$5:$A$504,$A182,'AFA Rates'!$B$5:$B$504,J$24)&gt;0,"✓",""))</f>
        <v/>
      </c>
      <c r="K182" s="57">
        <f>IF(OR($A182="",K$24=""),"",IF(COUNTIFS('AFA Rates'!$A$5:$A$504,$A182,'AFA Rates'!$B$5:$B$504,K$24)&gt;0,"✓",""))</f>
        <v/>
      </c>
      <c r="L182" s="57">
        <f>IF(OR($A182="",L$24=""),"",IF(COUNTIFS('AFA Rates'!$A$5:$A$504,$A182,'AFA Rates'!$B$5:$B$504,L$24)&gt;0,"✓",""))</f>
        <v/>
      </c>
      <c r="M182" s="57">
        <f>IF(OR($A182="",M$24=""),"",IF(COUNTIFS('AFA Rates'!$A$5:$A$504,$A182,'AFA Rates'!$B$5:$B$504,M$24)&gt;0,"✓",""))</f>
        <v/>
      </c>
    </row>
    <row r="183">
      <c r="A183" s="63">
        <f>IFERROR(INDEX(Firms!$A$5:$A$504,MATCH(159,Firms!$S$5:$S$504,0)),"")</f>
        <v/>
      </c>
      <c r="B183" s="57">
        <f>IF($A183="","",INDEX(Firms!$B$5:$B$504,MATCH(159,Firms!$S$5:$S$504,0)))</f>
        <v/>
      </c>
      <c r="C183" s="57">
        <f>IF($A183="","",COUNTIF('AFA Rates'!$A$5:$A$504,$A183))</f>
        <v/>
      </c>
      <c r="D183" s="57">
        <f>IF(OR($A183="",D$24=""),"",IF(COUNTIFS('AFA Rates'!$A$5:$A$504,$A183,'AFA Rates'!$B$5:$B$504,D$24)&gt;0,"✓",""))</f>
        <v/>
      </c>
      <c r="E183" s="57">
        <f>IF(OR($A183="",E$24=""),"",IF(COUNTIFS('AFA Rates'!$A$5:$A$504,$A183,'AFA Rates'!$B$5:$B$504,E$24)&gt;0,"✓",""))</f>
        <v/>
      </c>
      <c r="F183" s="57">
        <f>IF(OR($A183="",F$24=""),"",IF(COUNTIFS('AFA Rates'!$A$5:$A$504,$A183,'AFA Rates'!$B$5:$B$504,F$24)&gt;0,"✓",""))</f>
        <v/>
      </c>
      <c r="G183" s="57">
        <f>IF(OR($A183="",G$24=""),"",IF(COUNTIFS('AFA Rates'!$A$5:$A$504,$A183,'AFA Rates'!$B$5:$B$504,G$24)&gt;0,"✓",""))</f>
        <v/>
      </c>
      <c r="H183" s="57">
        <f>IF(OR($A183="",H$24=""),"",IF(COUNTIFS('AFA Rates'!$A$5:$A$504,$A183,'AFA Rates'!$B$5:$B$504,H$24)&gt;0,"✓",""))</f>
        <v/>
      </c>
      <c r="I183" s="57">
        <f>IF(OR($A183="",I$24=""),"",IF(COUNTIFS('AFA Rates'!$A$5:$A$504,$A183,'AFA Rates'!$B$5:$B$504,I$24)&gt;0,"✓",""))</f>
        <v/>
      </c>
      <c r="J183" s="57">
        <f>IF(OR($A183="",J$24=""),"",IF(COUNTIFS('AFA Rates'!$A$5:$A$504,$A183,'AFA Rates'!$B$5:$B$504,J$24)&gt;0,"✓",""))</f>
        <v/>
      </c>
      <c r="K183" s="57">
        <f>IF(OR($A183="",K$24=""),"",IF(COUNTIFS('AFA Rates'!$A$5:$A$504,$A183,'AFA Rates'!$B$5:$B$504,K$24)&gt;0,"✓",""))</f>
        <v/>
      </c>
      <c r="L183" s="57">
        <f>IF(OR($A183="",L$24=""),"",IF(COUNTIFS('AFA Rates'!$A$5:$A$504,$A183,'AFA Rates'!$B$5:$B$504,L$24)&gt;0,"✓",""))</f>
        <v/>
      </c>
      <c r="M183" s="57">
        <f>IF(OR($A183="",M$24=""),"",IF(COUNTIFS('AFA Rates'!$A$5:$A$504,$A183,'AFA Rates'!$B$5:$B$504,M$24)&gt;0,"✓",""))</f>
        <v/>
      </c>
    </row>
    <row r="184">
      <c r="A184" s="63">
        <f>IFERROR(INDEX(Firms!$A$5:$A$504,MATCH(160,Firms!$S$5:$S$504,0)),"")</f>
        <v/>
      </c>
      <c r="B184" s="57">
        <f>IF($A184="","",INDEX(Firms!$B$5:$B$504,MATCH(160,Firms!$S$5:$S$504,0)))</f>
        <v/>
      </c>
      <c r="C184" s="57">
        <f>IF($A184="","",COUNTIF('AFA Rates'!$A$5:$A$504,$A184))</f>
        <v/>
      </c>
      <c r="D184" s="57">
        <f>IF(OR($A184="",D$24=""),"",IF(COUNTIFS('AFA Rates'!$A$5:$A$504,$A184,'AFA Rates'!$B$5:$B$504,D$24)&gt;0,"✓",""))</f>
        <v/>
      </c>
      <c r="E184" s="57">
        <f>IF(OR($A184="",E$24=""),"",IF(COUNTIFS('AFA Rates'!$A$5:$A$504,$A184,'AFA Rates'!$B$5:$B$504,E$24)&gt;0,"✓",""))</f>
        <v/>
      </c>
      <c r="F184" s="57">
        <f>IF(OR($A184="",F$24=""),"",IF(COUNTIFS('AFA Rates'!$A$5:$A$504,$A184,'AFA Rates'!$B$5:$B$504,F$24)&gt;0,"✓",""))</f>
        <v/>
      </c>
      <c r="G184" s="57">
        <f>IF(OR($A184="",G$24=""),"",IF(COUNTIFS('AFA Rates'!$A$5:$A$504,$A184,'AFA Rates'!$B$5:$B$504,G$24)&gt;0,"✓",""))</f>
        <v/>
      </c>
      <c r="H184" s="57">
        <f>IF(OR($A184="",H$24=""),"",IF(COUNTIFS('AFA Rates'!$A$5:$A$504,$A184,'AFA Rates'!$B$5:$B$504,H$24)&gt;0,"✓",""))</f>
        <v/>
      </c>
      <c r="I184" s="57">
        <f>IF(OR($A184="",I$24=""),"",IF(COUNTIFS('AFA Rates'!$A$5:$A$504,$A184,'AFA Rates'!$B$5:$B$504,I$24)&gt;0,"✓",""))</f>
        <v/>
      </c>
      <c r="J184" s="57">
        <f>IF(OR($A184="",J$24=""),"",IF(COUNTIFS('AFA Rates'!$A$5:$A$504,$A184,'AFA Rates'!$B$5:$B$504,J$24)&gt;0,"✓",""))</f>
        <v/>
      </c>
      <c r="K184" s="57">
        <f>IF(OR($A184="",K$24=""),"",IF(COUNTIFS('AFA Rates'!$A$5:$A$504,$A184,'AFA Rates'!$B$5:$B$504,K$24)&gt;0,"✓",""))</f>
        <v/>
      </c>
      <c r="L184" s="57">
        <f>IF(OR($A184="",L$24=""),"",IF(COUNTIFS('AFA Rates'!$A$5:$A$504,$A184,'AFA Rates'!$B$5:$B$504,L$24)&gt;0,"✓",""))</f>
        <v/>
      </c>
      <c r="M184" s="57">
        <f>IF(OR($A184="",M$24=""),"",IF(COUNTIFS('AFA Rates'!$A$5:$A$504,$A184,'AFA Rates'!$B$5:$B$504,M$24)&gt;0,"✓",""))</f>
        <v/>
      </c>
    </row>
    <row r="185">
      <c r="A185" s="63">
        <f>IFERROR(INDEX(Firms!$A$5:$A$504,MATCH(161,Firms!$S$5:$S$504,0)),"")</f>
        <v/>
      </c>
      <c r="B185" s="57">
        <f>IF($A185="","",INDEX(Firms!$B$5:$B$504,MATCH(161,Firms!$S$5:$S$504,0)))</f>
        <v/>
      </c>
      <c r="C185" s="57">
        <f>IF($A185="","",COUNTIF('AFA Rates'!$A$5:$A$504,$A185))</f>
        <v/>
      </c>
      <c r="D185" s="57">
        <f>IF(OR($A185="",D$24=""),"",IF(COUNTIFS('AFA Rates'!$A$5:$A$504,$A185,'AFA Rates'!$B$5:$B$504,D$24)&gt;0,"✓",""))</f>
        <v/>
      </c>
      <c r="E185" s="57">
        <f>IF(OR($A185="",E$24=""),"",IF(COUNTIFS('AFA Rates'!$A$5:$A$504,$A185,'AFA Rates'!$B$5:$B$504,E$24)&gt;0,"✓",""))</f>
        <v/>
      </c>
      <c r="F185" s="57">
        <f>IF(OR($A185="",F$24=""),"",IF(COUNTIFS('AFA Rates'!$A$5:$A$504,$A185,'AFA Rates'!$B$5:$B$504,F$24)&gt;0,"✓",""))</f>
        <v/>
      </c>
      <c r="G185" s="57">
        <f>IF(OR($A185="",G$24=""),"",IF(COUNTIFS('AFA Rates'!$A$5:$A$504,$A185,'AFA Rates'!$B$5:$B$504,G$24)&gt;0,"✓",""))</f>
        <v/>
      </c>
      <c r="H185" s="57">
        <f>IF(OR($A185="",H$24=""),"",IF(COUNTIFS('AFA Rates'!$A$5:$A$504,$A185,'AFA Rates'!$B$5:$B$504,H$24)&gt;0,"✓",""))</f>
        <v/>
      </c>
      <c r="I185" s="57">
        <f>IF(OR($A185="",I$24=""),"",IF(COUNTIFS('AFA Rates'!$A$5:$A$504,$A185,'AFA Rates'!$B$5:$B$504,I$24)&gt;0,"✓",""))</f>
        <v/>
      </c>
      <c r="J185" s="57">
        <f>IF(OR($A185="",J$24=""),"",IF(COUNTIFS('AFA Rates'!$A$5:$A$504,$A185,'AFA Rates'!$B$5:$B$504,J$24)&gt;0,"✓",""))</f>
        <v/>
      </c>
      <c r="K185" s="57">
        <f>IF(OR($A185="",K$24=""),"",IF(COUNTIFS('AFA Rates'!$A$5:$A$504,$A185,'AFA Rates'!$B$5:$B$504,K$24)&gt;0,"✓",""))</f>
        <v/>
      </c>
      <c r="L185" s="57">
        <f>IF(OR($A185="",L$24=""),"",IF(COUNTIFS('AFA Rates'!$A$5:$A$504,$A185,'AFA Rates'!$B$5:$B$504,L$24)&gt;0,"✓",""))</f>
        <v/>
      </c>
      <c r="M185" s="57">
        <f>IF(OR($A185="",M$24=""),"",IF(COUNTIFS('AFA Rates'!$A$5:$A$504,$A185,'AFA Rates'!$B$5:$B$504,M$24)&gt;0,"✓",""))</f>
        <v/>
      </c>
    </row>
    <row r="186">
      <c r="A186" s="63">
        <f>IFERROR(INDEX(Firms!$A$5:$A$504,MATCH(162,Firms!$S$5:$S$504,0)),"")</f>
        <v/>
      </c>
      <c r="B186" s="57">
        <f>IF($A186="","",INDEX(Firms!$B$5:$B$504,MATCH(162,Firms!$S$5:$S$504,0)))</f>
        <v/>
      </c>
      <c r="C186" s="57">
        <f>IF($A186="","",COUNTIF('AFA Rates'!$A$5:$A$504,$A186))</f>
        <v/>
      </c>
      <c r="D186" s="57">
        <f>IF(OR($A186="",D$24=""),"",IF(COUNTIFS('AFA Rates'!$A$5:$A$504,$A186,'AFA Rates'!$B$5:$B$504,D$24)&gt;0,"✓",""))</f>
        <v/>
      </c>
      <c r="E186" s="57">
        <f>IF(OR($A186="",E$24=""),"",IF(COUNTIFS('AFA Rates'!$A$5:$A$504,$A186,'AFA Rates'!$B$5:$B$504,E$24)&gt;0,"✓",""))</f>
        <v/>
      </c>
      <c r="F186" s="57">
        <f>IF(OR($A186="",F$24=""),"",IF(COUNTIFS('AFA Rates'!$A$5:$A$504,$A186,'AFA Rates'!$B$5:$B$504,F$24)&gt;0,"✓",""))</f>
        <v/>
      </c>
      <c r="G186" s="57">
        <f>IF(OR($A186="",G$24=""),"",IF(COUNTIFS('AFA Rates'!$A$5:$A$504,$A186,'AFA Rates'!$B$5:$B$504,G$24)&gt;0,"✓",""))</f>
        <v/>
      </c>
      <c r="H186" s="57">
        <f>IF(OR($A186="",H$24=""),"",IF(COUNTIFS('AFA Rates'!$A$5:$A$504,$A186,'AFA Rates'!$B$5:$B$504,H$24)&gt;0,"✓",""))</f>
        <v/>
      </c>
      <c r="I186" s="57">
        <f>IF(OR($A186="",I$24=""),"",IF(COUNTIFS('AFA Rates'!$A$5:$A$504,$A186,'AFA Rates'!$B$5:$B$504,I$24)&gt;0,"✓",""))</f>
        <v/>
      </c>
      <c r="J186" s="57">
        <f>IF(OR($A186="",J$24=""),"",IF(COUNTIFS('AFA Rates'!$A$5:$A$504,$A186,'AFA Rates'!$B$5:$B$504,J$24)&gt;0,"✓",""))</f>
        <v/>
      </c>
      <c r="K186" s="57">
        <f>IF(OR($A186="",K$24=""),"",IF(COUNTIFS('AFA Rates'!$A$5:$A$504,$A186,'AFA Rates'!$B$5:$B$504,K$24)&gt;0,"✓",""))</f>
        <v/>
      </c>
      <c r="L186" s="57">
        <f>IF(OR($A186="",L$24=""),"",IF(COUNTIFS('AFA Rates'!$A$5:$A$504,$A186,'AFA Rates'!$B$5:$B$504,L$24)&gt;0,"✓",""))</f>
        <v/>
      </c>
      <c r="M186" s="57">
        <f>IF(OR($A186="",M$24=""),"",IF(COUNTIFS('AFA Rates'!$A$5:$A$504,$A186,'AFA Rates'!$B$5:$B$504,M$24)&gt;0,"✓",""))</f>
        <v/>
      </c>
    </row>
    <row r="187">
      <c r="A187" s="63">
        <f>IFERROR(INDEX(Firms!$A$5:$A$504,MATCH(163,Firms!$S$5:$S$504,0)),"")</f>
        <v/>
      </c>
      <c r="B187" s="57">
        <f>IF($A187="","",INDEX(Firms!$B$5:$B$504,MATCH(163,Firms!$S$5:$S$504,0)))</f>
        <v/>
      </c>
      <c r="C187" s="57">
        <f>IF($A187="","",COUNTIF('AFA Rates'!$A$5:$A$504,$A187))</f>
        <v/>
      </c>
      <c r="D187" s="57">
        <f>IF(OR($A187="",D$24=""),"",IF(COUNTIFS('AFA Rates'!$A$5:$A$504,$A187,'AFA Rates'!$B$5:$B$504,D$24)&gt;0,"✓",""))</f>
        <v/>
      </c>
      <c r="E187" s="57">
        <f>IF(OR($A187="",E$24=""),"",IF(COUNTIFS('AFA Rates'!$A$5:$A$504,$A187,'AFA Rates'!$B$5:$B$504,E$24)&gt;0,"✓",""))</f>
        <v/>
      </c>
      <c r="F187" s="57">
        <f>IF(OR($A187="",F$24=""),"",IF(COUNTIFS('AFA Rates'!$A$5:$A$504,$A187,'AFA Rates'!$B$5:$B$504,F$24)&gt;0,"✓",""))</f>
        <v/>
      </c>
      <c r="G187" s="57">
        <f>IF(OR($A187="",G$24=""),"",IF(COUNTIFS('AFA Rates'!$A$5:$A$504,$A187,'AFA Rates'!$B$5:$B$504,G$24)&gt;0,"✓",""))</f>
        <v/>
      </c>
      <c r="H187" s="57">
        <f>IF(OR($A187="",H$24=""),"",IF(COUNTIFS('AFA Rates'!$A$5:$A$504,$A187,'AFA Rates'!$B$5:$B$504,H$24)&gt;0,"✓",""))</f>
        <v/>
      </c>
      <c r="I187" s="57">
        <f>IF(OR($A187="",I$24=""),"",IF(COUNTIFS('AFA Rates'!$A$5:$A$504,$A187,'AFA Rates'!$B$5:$B$504,I$24)&gt;0,"✓",""))</f>
        <v/>
      </c>
      <c r="J187" s="57">
        <f>IF(OR($A187="",J$24=""),"",IF(COUNTIFS('AFA Rates'!$A$5:$A$504,$A187,'AFA Rates'!$B$5:$B$504,J$24)&gt;0,"✓",""))</f>
        <v/>
      </c>
      <c r="K187" s="57">
        <f>IF(OR($A187="",K$24=""),"",IF(COUNTIFS('AFA Rates'!$A$5:$A$504,$A187,'AFA Rates'!$B$5:$B$504,K$24)&gt;0,"✓",""))</f>
        <v/>
      </c>
      <c r="L187" s="57">
        <f>IF(OR($A187="",L$24=""),"",IF(COUNTIFS('AFA Rates'!$A$5:$A$504,$A187,'AFA Rates'!$B$5:$B$504,L$24)&gt;0,"✓",""))</f>
        <v/>
      </c>
      <c r="M187" s="57">
        <f>IF(OR($A187="",M$24=""),"",IF(COUNTIFS('AFA Rates'!$A$5:$A$504,$A187,'AFA Rates'!$B$5:$B$504,M$24)&gt;0,"✓",""))</f>
        <v/>
      </c>
    </row>
    <row r="188">
      <c r="A188" s="63">
        <f>IFERROR(INDEX(Firms!$A$5:$A$504,MATCH(164,Firms!$S$5:$S$504,0)),"")</f>
        <v/>
      </c>
      <c r="B188" s="57">
        <f>IF($A188="","",INDEX(Firms!$B$5:$B$504,MATCH(164,Firms!$S$5:$S$504,0)))</f>
        <v/>
      </c>
      <c r="C188" s="57">
        <f>IF($A188="","",COUNTIF('AFA Rates'!$A$5:$A$504,$A188))</f>
        <v/>
      </c>
      <c r="D188" s="57">
        <f>IF(OR($A188="",D$24=""),"",IF(COUNTIFS('AFA Rates'!$A$5:$A$504,$A188,'AFA Rates'!$B$5:$B$504,D$24)&gt;0,"✓",""))</f>
        <v/>
      </c>
      <c r="E188" s="57">
        <f>IF(OR($A188="",E$24=""),"",IF(COUNTIFS('AFA Rates'!$A$5:$A$504,$A188,'AFA Rates'!$B$5:$B$504,E$24)&gt;0,"✓",""))</f>
        <v/>
      </c>
      <c r="F188" s="57">
        <f>IF(OR($A188="",F$24=""),"",IF(COUNTIFS('AFA Rates'!$A$5:$A$504,$A188,'AFA Rates'!$B$5:$B$504,F$24)&gt;0,"✓",""))</f>
        <v/>
      </c>
      <c r="G188" s="57">
        <f>IF(OR($A188="",G$24=""),"",IF(COUNTIFS('AFA Rates'!$A$5:$A$504,$A188,'AFA Rates'!$B$5:$B$504,G$24)&gt;0,"✓",""))</f>
        <v/>
      </c>
      <c r="H188" s="57">
        <f>IF(OR($A188="",H$24=""),"",IF(COUNTIFS('AFA Rates'!$A$5:$A$504,$A188,'AFA Rates'!$B$5:$B$504,H$24)&gt;0,"✓",""))</f>
        <v/>
      </c>
      <c r="I188" s="57">
        <f>IF(OR($A188="",I$24=""),"",IF(COUNTIFS('AFA Rates'!$A$5:$A$504,$A188,'AFA Rates'!$B$5:$B$504,I$24)&gt;0,"✓",""))</f>
        <v/>
      </c>
      <c r="J188" s="57">
        <f>IF(OR($A188="",J$24=""),"",IF(COUNTIFS('AFA Rates'!$A$5:$A$504,$A188,'AFA Rates'!$B$5:$B$504,J$24)&gt;0,"✓",""))</f>
        <v/>
      </c>
      <c r="K188" s="57">
        <f>IF(OR($A188="",K$24=""),"",IF(COUNTIFS('AFA Rates'!$A$5:$A$504,$A188,'AFA Rates'!$B$5:$B$504,K$24)&gt;0,"✓",""))</f>
        <v/>
      </c>
      <c r="L188" s="57">
        <f>IF(OR($A188="",L$24=""),"",IF(COUNTIFS('AFA Rates'!$A$5:$A$504,$A188,'AFA Rates'!$B$5:$B$504,L$24)&gt;0,"✓",""))</f>
        <v/>
      </c>
      <c r="M188" s="57">
        <f>IF(OR($A188="",M$24=""),"",IF(COUNTIFS('AFA Rates'!$A$5:$A$504,$A188,'AFA Rates'!$B$5:$B$504,M$24)&gt;0,"✓",""))</f>
        <v/>
      </c>
    </row>
    <row r="189">
      <c r="A189" s="63">
        <f>IFERROR(INDEX(Firms!$A$5:$A$504,MATCH(165,Firms!$S$5:$S$504,0)),"")</f>
        <v/>
      </c>
      <c r="B189" s="57">
        <f>IF($A189="","",INDEX(Firms!$B$5:$B$504,MATCH(165,Firms!$S$5:$S$504,0)))</f>
        <v/>
      </c>
      <c r="C189" s="57">
        <f>IF($A189="","",COUNTIF('AFA Rates'!$A$5:$A$504,$A189))</f>
        <v/>
      </c>
      <c r="D189" s="57">
        <f>IF(OR($A189="",D$24=""),"",IF(COUNTIFS('AFA Rates'!$A$5:$A$504,$A189,'AFA Rates'!$B$5:$B$504,D$24)&gt;0,"✓",""))</f>
        <v/>
      </c>
      <c r="E189" s="57">
        <f>IF(OR($A189="",E$24=""),"",IF(COUNTIFS('AFA Rates'!$A$5:$A$504,$A189,'AFA Rates'!$B$5:$B$504,E$24)&gt;0,"✓",""))</f>
        <v/>
      </c>
      <c r="F189" s="57">
        <f>IF(OR($A189="",F$24=""),"",IF(COUNTIFS('AFA Rates'!$A$5:$A$504,$A189,'AFA Rates'!$B$5:$B$504,F$24)&gt;0,"✓",""))</f>
        <v/>
      </c>
      <c r="G189" s="57">
        <f>IF(OR($A189="",G$24=""),"",IF(COUNTIFS('AFA Rates'!$A$5:$A$504,$A189,'AFA Rates'!$B$5:$B$504,G$24)&gt;0,"✓",""))</f>
        <v/>
      </c>
      <c r="H189" s="57">
        <f>IF(OR($A189="",H$24=""),"",IF(COUNTIFS('AFA Rates'!$A$5:$A$504,$A189,'AFA Rates'!$B$5:$B$504,H$24)&gt;0,"✓",""))</f>
        <v/>
      </c>
      <c r="I189" s="57">
        <f>IF(OR($A189="",I$24=""),"",IF(COUNTIFS('AFA Rates'!$A$5:$A$504,$A189,'AFA Rates'!$B$5:$B$504,I$24)&gt;0,"✓",""))</f>
        <v/>
      </c>
      <c r="J189" s="57">
        <f>IF(OR($A189="",J$24=""),"",IF(COUNTIFS('AFA Rates'!$A$5:$A$504,$A189,'AFA Rates'!$B$5:$B$504,J$24)&gt;0,"✓",""))</f>
        <v/>
      </c>
      <c r="K189" s="57">
        <f>IF(OR($A189="",K$24=""),"",IF(COUNTIFS('AFA Rates'!$A$5:$A$504,$A189,'AFA Rates'!$B$5:$B$504,K$24)&gt;0,"✓",""))</f>
        <v/>
      </c>
      <c r="L189" s="57">
        <f>IF(OR($A189="",L$24=""),"",IF(COUNTIFS('AFA Rates'!$A$5:$A$504,$A189,'AFA Rates'!$B$5:$B$504,L$24)&gt;0,"✓",""))</f>
        <v/>
      </c>
      <c r="M189" s="57">
        <f>IF(OR($A189="",M$24=""),"",IF(COUNTIFS('AFA Rates'!$A$5:$A$504,$A189,'AFA Rates'!$B$5:$B$504,M$24)&gt;0,"✓",""))</f>
        <v/>
      </c>
    </row>
    <row r="190">
      <c r="A190" s="63">
        <f>IFERROR(INDEX(Firms!$A$5:$A$504,MATCH(166,Firms!$S$5:$S$504,0)),"")</f>
        <v/>
      </c>
      <c r="B190" s="57">
        <f>IF($A190="","",INDEX(Firms!$B$5:$B$504,MATCH(166,Firms!$S$5:$S$504,0)))</f>
        <v/>
      </c>
      <c r="C190" s="57">
        <f>IF($A190="","",COUNTIF('AFA Rates'!$A$5:$A$504,$A190))</f>
        <v/>
      </c>
      <c r="D190" s="57">
        <f>IF(OR($A190="",D$24=""),"",IF(COUNTIFS('AFA Rates'!$A$5:$A$504,$A190,'AFA Rates'!$B$5:$B$504,D$24)&gt;0,"✓",""))</f>
        <v/>
      </c>
      <c r="E190" s="57">
        <f>IF(OR($A190="",E$24=""),"",IF(COUNTIFS('AFA Rates'!$A$5:$A$504,$A190,'AFA Rates'!$B$5:$B$504,E$24)&gt;0,"✓",""))</f>
        <v/>
      </c>
      <c r="F190" s="57">
        <f>IF(OR($A190="",F$24=""),"",IF(COUNTIFS('AFA Rates'!$A$5:$A$504,$A190,'AFA Rates'!$B$5:$B$504,F$24)&gt;0,"✓",""))</f>
        <v/>
      </c>
      <c r="G190" s="57">
        <f>IF(OR($A190="",G$24=""),"",IF(COUNTIFS('AFA Rates'!$A$5:$A$504,$A190,'AFA Rates'!$B$5:$B$504,G$24)&gt;0,"✓",""))</f>
        <v/>
      </c>
      <c r="H190" s="57">
        <f>IF(OR($A190="",H$24=""),"",IF(COUNTIFS('AFA Rates'!$A$5:$A$504,$A190,'AFA Rates'!$B$5:$B$504,H$24)&gt;0,"✓",""))</f>
        <v/>
      </c>
      <c r="I190" s="57">
        <f>IF(OR($A190="",I$24=""),"",IF(COUNTIFS('AFA Rates'!$A$5:$A$504,$A190,'AFA Rates'!$B$5:$B$504,I$24)&gt;0,"✓",""))</f>
        <v/>
      </c>
      <c r="J190" s="57">
        <f>IF(OR($A190="",J$24=""),"",IF(COUNTIFS('AFA Rates'!$A$5:$A$504,$A190,'AFA Rates'!$B$5:$B$504,J$24)&gt;0,"✓",""))</f>
        <v/>
      </c>
      <c r="K190" s="57">
        <f>IF(OR($A190="",K$24=""),"",IF(COUNTIFS('AFA Rates'!$A$5:$A$504,$A190,'AFA Rates'!$B$5:$B$504,K$24)&gt;0,"✓",""))</f>
        <v/>
      </c>
      <c r="L190" s="57">
        <f>IF(OR($A190="",L$24=""),"",IF(COUNTIFS('AFA Rates'!$A$5:$A$504,$A190,'AFA Rates'!$B$5:$B$504,L$24)&gt;0,"✓",""))</f>
        <v/>
      </c>
      <c r="M190" s="57">
        <f>IF(OR($A190="",M$24=""),"",IF(COUNTIFS('AFA Rates'!$A$5:$A$504,$A190,'AFA Rates'!$B$5:$B$504,M$24)&gt;0,"✓",""))</f>
        <v/>
      </c>
    </row>
    <row r="191">
      <c r="A191" s="63">
        <f>IFERROR(INDEX(Firms!$A$5:$A$504,MATCH(167,Firms!$S$5:$S$504,0)),"")</f>
        <v/>
      </c>
      <c r="B191" s="57">
        <f>IF($A191="","",INDEX(Firms!$B$5:$B$504,MATCH(167,Firms!$S$5:$S$504,0)))</f>
        <v/>
      </c>
      <c r="C191" s="57">
        <f>IF($A191="","",COUNTIF('AFA Rates'!$A$5:$A$504,$A191))</f>
        <v/>
      </c>
      <c r="D191" s="57">
        <f>IF(OR($A191="",D$24=""),"",IF(COUNTIFS('AFA Rates'!$A$5:$A$504,$A191,'AFA Rates'!$B$5:$B$504,D$24)&gt;0,"✓",""))</f>
        <v/>
      </c>
      <c r="E191" s="57">
        <f>IF(OR($A191="",E$24=""),"",IF(COUNTIFS('AFA Rates'!$A$5:$A$504,$A191,'AFA Rates'!$B$5:$B$504,E$24)&gt;0,"✓",""))</f>
        <v/>
      </c>
      <c r="F191" s="57">
        <f>IF(OR($A191="",F$24=""),"",IF(COUNTIFS('AFA Rates'!$A$5:$A$504,$A191,'AFA Rates'!$B$5:$B$504,F$24)&gt;0,"✓",""))</f>
        <v/>
      </c>
      <c r="G191" s="57">
        <f>IF(OR($A191="",G$24=""),"",IF(COUNTIFS('AFA Rates'!$A$5:$A$504,$A191,'AFA Rates'!$B$5:$B$504,G$24)&gt;0,"✓",""))</f>
        <v/>
      </c>
      <c r="H191" s="57">
        <f>IF(OR($A191="",H$24=""),"",IF(COUNTIFS('AFA Rates'!$A$5:$A$504,$A191,'AFA Rates'!$B$5:$B$504,H$24)&gt;0,"✓",""))</f>
        <v/>
      </c>
      <c r="I191" s="57">
        <f>IF(OR($A191="",I$24=""),"",IF(COUNTIFS('AFA Rates'!$A$5:$A$504,$A191,'AFA Rates'!$B$5:$B$504,I$24)&gt;0,"✓",""))</f>
        <v/>
      </c>
      <c r="J191" s="57">
        <f>IF(OR($A191="",J$24=""),"",IF(COUNTIFS('AFA Rates'!$A$5:$A$504,$A191,'AFA Rates'!$B$5:$B$504,J$24)&gt;0,"✓",""))</f>
        <v/>
      </c>
      <c r="K191" s="57">
        <f>IF(OR($A191="",K$24=""),"",IF(COUNTIFS('AFA Rates'!$A$5:$A$504,$A191,'AFA Rates'!$B$5:$B$504,K$24)&gt;0,"✓",""))</f>
        <v/>
      </c>
      <c r="L191" s="57">
        <f>IF(OR($A191="",L$24=""),"",IF(COUNTIFS('AFA Rates'!$A$5:$A$504,$A191,'AFA Rates'!$B$5:$B$504,L$24)&gt;0,"✓",""))</f>
        <v/>
      </c>
      <c r="M191" s="57">
        <f>IF(OR($A191="",M$24=""),"",IF(COUNTIFS('AFA Rates'!$A$5:$A$504,$A191,'AFA Rates'!$B$5:$B$504,M$24)&gt;0,"✓",""))</f>
        <v/>
      </c>
    </row>
    <row r="192">
      <c r="A192" s="63">
        <f>IFERROR(INDEX(Firms!$A$5:$A$504,MATCH(168,Firms!$S$5:$S$504,0)),"")</f>
        <v/>
      </c>
      <c r="B192" s="57">
        <f>IF($A192="","",INDEX(Firms!$B$5:$B$504,MATCH(168,Firms!$S$5:$S$504,0)))</f>
        <v/>
      </c>
      <c r="C192" s="57">
        <f>IF($A192="","",COUNTIF('AFA Rates'!$A$5:$A$504,$A192))</f>
        <v/>
      </c>
      <c r="D192" s="57">
        <f>IF(OR($A192="",D$24=""),"",IF(COUNTIFS('AFA Rates'!$A$5:$A$504,$A192,'AFA Rates'!$B$5:$B$504,D$24)&gt;0,"✓",""))</f>
        <v/>
      </c>
      <c r="E192" s="57">
        <f>IF(OR($A192="",E$24=""),"",IF(COUNTIFS('AFA Rates'!$A$5:$A$504,$A192,'AFA Rates'!$B$5:$B$504,E$24)&gt;0,"✓",""))</f>
        <v/>
      </c>
      <c r="F192" s="57">
        <f>IF(OR($A192="",F$24=""),"",IF(COUNTIFS('AFA Rates'!$A$5:$A$504,$A192,'AFA Rates'!$B$5:$B$504,F$24)&gt;0,"✓",""))</f>
        <v/>
      </c>
      <c r="G192" s="57">
        <f>IF(OR($A192="",G$24=""),"",IF(COUNTIFS('AFA Rates'!$A$5:$A$504,$A192,'AFA Rates'!$B$5:$B$504,G$24)&gt;0,"✓",""))</f>
        <v/>
      </c>
      <c r="H192" s="57">
        <f>IF(OR($A192="",H$24=""),"",IF(COUNTIFS('AFA Rates'!$A$5:$A$504,$A192,'AFA Rates'!$B$5:$B$504,H$24)&gt;0,"✓",""))</f>
        <v/>
      </c>
      <c r="I192" s="57">
        <f>IF(OR($A192="",I$24=""),"",IF(COUNTIFS('AFA Rates'!$A$5:$A$504,$A192,'AFA Rates'!$B$5:$B$504,I$24)&gt;0,"✓",""))</f>
        <v/>
      </c>
      <c r="J192" s="57">
        <f>IF(OR($A192="",J$24=""),"",IF(COUNTIFS('AFA Rates'!$A$5:$A$504,$A192,'AFA Rates'!$B$5:$B$504,J$24)&gt;0,"✓",""))</f>
        <v/>
      </c>
      <c r="K192" s="57">
        <f>IF(OR($A192="",K$24=""),"",IF(COUNTIFS('AFA Rates'!$A$5:$A$504,$A192,'AFA Rates'!$B$5:$B$504,K$24)&gt;0,"✓",""))</f>
        <v/>
      </c>
      <c r="L192" s="57">
        <f>IF(OR($A192="",L$24=""),"",IF(COUNTIFS('AFA Rates'!$A$5:$A$504,$A192,'AFA Rates'!$B$5:$B$504,L$24)&gt;0,"✓",""))</f>
        <v/>
      </c>
      <c r="M192" s="57">
        <f>IF(OR($A192="",M$24=""),"",IF(COUNTIFS('AFA Rates'!$A$5:$A$504,$A192,'AFA Rates'!$B$5:$B$504,M$24)&gt;0,"✓",""))</f>
        <v/>
      </c>
    </row>
    <row r="193">
      <c r="A193" s="63">
        <f>IFERROR(INDEX(Firms!$A$5:$A$504,MATCH(169,Firms!$S$5:$S$504,0)),"")</f>
        <v/>
      </c>
      <c r="B193" s="57">
        <f>IF($A193="","",INDEX(Firms!$B$5:$B$504,MATCH(169,Firms!$S$5:$S$504,0)))</f>
        <v/>
      </c>
      <c r="C193" s="57">
        <f>IF($A193="","",COUNTIF('AFA Rates'!$A$5:$A$504,$A193))</f>
        <v/>
      </c>
      <c r="D193" s="57">
        <f>IF(OR($A193="",D$24=""),"",IF(COUNTIFS('AFA Rates'!$A$5:$A$504,$A193,'AFA Rates'!$B$5:$B$504,D$24)&gt;0,"✓",""))</f>
        <v/>
      </c>
      <c r="E193" s="57">
        <f>IF(OR($A193="",E$24=""),"",IF(COUNTIFS('AFA Rates'!$A$5:$A$504,$A193,'AFA Rates'!$B$5:$B$504,E$24)&gt;0,"✓",""))</f>
        <v/>
      </c>
      <c r="F193" s="57">
        <f>IF(OR($A193="",F$24=""),"",IF(COUNTIFS('AFA Rates'!$A$5:$A$504,$A193,'AFA Rates'!$B$5:$B$504,F$24)&gt;0,"✓",""))</f>
        <v/>
      </c>
      <c r="G193" s="57">
        <f>IF(OR($A193="",G$24=""),"",IF(COUNTIFS('AFA Rates'!$A$5:$A$504,$A193,'AFA Rates'!$B$5:$B$504,G$24)&gt;0,"✓",""))</f>
        <v/>
      </c>
      <c r="H193" s="57">
        <f>IF(OR($A193="",H$24=""),"",IF(COUNTIFS('AFA Rates'!$A$5:$A$504,$A193,'AFA Rates'!$B$5:$B$504,H$24)&gt;0,"✓",""))</f>
        <v/>
      </c>
      <c r="I193" s="57">
        <f>IF(OR($A193="",I$24=""),"",IF(COUNTIFS('AFA Rates'!$A$5:$A$504,$A193,'AFA Rates'!$B$5:$B$504,I$24)&gt;0,"✓",""))</f>
        <v/>
      </c>
      <c r="J193" s="57">
        <f>IF(OR($A193="",J$24=""),"",IF(COUNTIFS('AFA Rates'!$A$5:$A$504,$A193,'AFA Rates'!$B$5:$B$504,J$24)&gt;0,"✓",""))</f>
        <v/>
      </c>
      <c r="K193" s="57">
        <f>IF(OR($A193="",K$24=""),"",IF(COUNTIFS('AFA Rates'!$A$5:$A$504,$A193,'AFA Rates'!$B$5:$B$504,K$24)&gt;0,"✓",""))</f>
        <v/>
      </c>
      <c r="L193" s="57">
        <f>IF(OR($A193="",L$24=""),"",IF(COUNTIFS('AFA Rates'!$A$5:$A$504,$A193,'AFA Rates'!$B$5:$B$504,L$24)&gt;0,"✓",""))</f>
        <v/>
      </c>
      <c r="M193" s="57">
        <f>IF(OR($A193="",M$24=""),"",IF(COUNTIFS('AFA Rates'!$A$5:$A$504,$A193,'AFA Rates'!$B$5:$B$504,M$24)&gt;0,"✓",""))</f>
        <v/>
      </c>
    </row>
    <row r="194">
      <c r="A194" s="63">
        <f>IFERROR(INDEX(Firms!$A$5:$A$504,MATCH(170,Firms!$S$5:$S$504,0)),"")</f>
        <v/>
      </c>
      <c r="B194" s="57">
        <f>IF($A194="","",INDEX(Firms!$B$5:$B$504,MATCH(170,Firms!$S$5:$S$504,0)))</f>
        <v/>
      </c>
      <c r="C194" s="57">
        <f>IF($A194="","",COUNTIF('AFA Rates'!$A$5:$A$504,$A194))</f>
        <v/>
      </c>
      <c r="D194" s="57">
        <f>IF(OR($A194="",D$24=""),"",IF(COUNTIFS('AFA Rates'!$A$5:$A$504,$A194,'AFA Rates'!$B$5:$B$504,D$24)&gt;0,"✓",""))</f>
        <v/>
      </c>
      <c r="E194" s="57">
        <f>IF(OR($A194="",E$24=""),"",IF(COUNTIFS('AFA Rates'!$A$5:$A$504,$A194,'AFA Rates'!$B$5:$B$504,E$24)&gt;0,"✓",""))</f>
        <v/>
      </c>
      <c r="F194" s="57">
        <f>IF(OR($A194="",F$24=""),"",IF(COUNTIFS('AFA Rates'!$A$5:$A$504,$A194,'AFA Rates'!$B$5:$B$504,F$24)&gt;0,"✓",""))</f>
        <v/>
      </c>
      <c r="G194" s="57">
        <f>IF(OR($A194="",G$24=""),"",IF(COUNTIFS('AFA Rates'!$A$5:$A$504,$A194,'AFA Rates'!$B$5:$B$504,G$24)&gt;0,"✓",""))</f>
        <v/>
      </c>
      <c r="H194" s="57">
        <f>IF(OR($A194="",H$24=""),"",IF(COUNTIFS('AFA Rates'!$A$5:$A$504,$A194,'AFA Rates'!$B$5:$B$504,H$24)&gt;0,"✓",""))</f>
        <v/>
      </c>
      <c r="I194" s="57">
        <f>IF(OR($A194="",I$24=""),"",IF(COUNTIFS('AFA Rates'!$A$5:$A$504,$A194,'AFA Rates'!$B$5:$B$504,I$24)&gt;0,"✓",""))</f>
        <v/>
      </c>
      <c r="J194" s="57">
        <f>IF(OR($A194="",J$24=""),"",IF(COUNTIFS('AFA Rates'!$A$5:$A$504,$A194,'AFA Rates'!$B$5:$B$504,J$24)&gt;0,"✓",""))</f>
        <v/>
      </c>
      <c r="K194" s="57">
        <f>IF(OR($A194="",K$24=""),"",IF(COUNTIFS('AFA Rates'!$A$5:$A$504,$A194,'AFA Rates'!$B$5:$B$504,K$24)&gt;0,"✓",""))</f>
        <v/>
      </c>
      <c r="L194" s="57">
        <f>IF(OR($A194="",L$24=""),"",IF(COUNTIFS('AFA Rates'!$A$5:$A$504,$A194,'AFA Rates'!$B$5:$B$504,L$24)&gt;0,"✓",""))</f>
        <v/>
      </c>
      <c r="M194" s="57">
        <f>IF(OR($A194="",M$24=""),"",IF(COUNTIFS('AFA Rates'!$A$5:$A$504,$A194,'AFA Rates'!$B$5:$B$504,M$24)&gt;0,"✓",""))</f>
        <v/>
      </c>
    </row>
    <row r="195">
      <c r="A195" s="63">
        <f>IFERROR(INDEX(Firms!$A$5:$A$504,MATCH(171,Firms!$S$5:$S$504,0)),"")</f>
        <v/>
      </c>
      <c r="B195" s="57">
        <f>IF($A195="","",INDEX(Firms!$B$5:$B$504,MATCH(171,Firms!$S$5:$S$504,0)))</f>
        <v/>
      </c>
      <c r="C195" s="57">
        <f>IF($A195="","",COUNTIF('AFA Rates'!$A$5:$A$504,$A195))</f>
        <v/>
      </c>
      <c r="D195" s="57">
        <f>IF(OR($A195="",D$24=""),"",IF(COUNTIFS('AFA Rates'!$A$5:$A$504,$A195,'AFA Rates'!$B$5:$B$504,D$24)&gt;0,"✓",""))</f>
        <v/>
      </c>
      <c r="E195" s="57">
        <f>IF(OR($A195="",E$24=""),"",IF(COUNTIFS('AFA Rates'!$A$5:$A$504,$A195,'AFA Rates'!$B$5:$B$504,E$24)&gt;0,"✓",""))</f>
        <v/>
      </c>
      <c r="F195" s="57">
        <f>IF(OR($A195="",F$24=""),"",IF(COUNTIFS('AFA Rates'!$A$5:$A$504,$A195,'AFA Rates'!$B$5:$B$504,F$24)&gt;0,"✓",""))</f>
        <v/>
      </c>
      <c r="G195" s="57">
        <f>IF(OR($A195="",G$24=""),"",IF(COUNTIFS('AFA Rates'!$A$5:$A$504,$A195,'AFA Rates'!$B$5:$B$504,G$24)&gt;0,"✓",""))</f>
        <v/>
      </c>
      <c r="H195" s="57">
        <f>IF(OR($A195="",H$24=""),"",IF(COUNTIFS('AFA Rates'!$A$5:$A$504,$A195,'AFA Rates'!$B$5:$B$504,H$24)&gt;0,"✓",""))</f>
        <v/>
      </c>
      <c r="I195" s="57">
        <f>IF(OR($A195="",I$24=""),"",IF(COUNTIFS('AFA Rates'!$A$5:$A$504,$A195,'AFA Rates'!$B$5:$B$504,I$24)&gt;0,"✓",""))</f>
        <v/>
      </c>
      <c r="J195" s="57">
        <f>IF(OR($A195="",J$24=""),"",IF(COUNTIFS('AFA Rates'!$A$5:$A$504,$A195,'AFA Rates'!$B$5:$B$504,J$24)&gt;0,"✓",""))</f>
        <v/>
      </c>
      <c r="K195" s="57">
        <f>IF(OR($A195="",K$24=""),"",IF(COUNTIFS('AFA Rates'!$A$5:$A$504,$A195,'AFA Rates'!$B$5:$B$504,K$24)&gt;0,"✓",""))</f>
        <v/>
      </c>
      <c r="L195" s="57">
        <f>IF(OR($A195="",L$24=""),"",IF(COUNTIFS('AFA Rates'!$A$5:$A$504,$A195,'AFA Rates'!$B$5:$B$504,L$24)&gt;0,"✓",""))</f>
        <v/>
      </c>
      <c r="M195" s="57">
        <f>IF(OR($A195="",M$24=""),"",IF(COUNTIFS('AFA Rates'!$A$5:$A$504,$A195,'AFA Rates'!$B$5:$B$504,M$24)&gt;0,"✓",""))</f>
        <v/>
      </c>
    </row>
    <row r="196">
      <c r="A196" s="63">
        <f>IFERROR(INDEX(Firms!$A$5:$A$504,MATCH(172,Firms!$S$5:$S$504,0)),"")</f>
        <v/>
      </c>
      <c r="B196" s="57">
        <f>IF($A196="","",INDEX(Firms!$B$5:$B$504,MATCH(172,Firms!$S$5:$S$504,0)))</f>
        <v/>
      </c>
      <c r="C196" s="57">
        <f>IF($A196="","",COUNTIF('AFA Rates'!$A$5:$A$504,$A196))</f>
        <v/>
      </c>
      <c r="D196" s="57">
        <f>IF(OR($A196="",D$24=""),"",IF(COUNTIFS('AFA Rates'!$A$5:$A$504,$A196,'AFA Rates'!$B$5:$B$504,D$24)&gt;0,"✓",""))</f>
        <v/>
      </c>
      <c r="E196" s="57">
        <f>IF(OR($A196="",E$24=""),"",IF(COUNTIFS('AFA Rates'!$A$5:$A$504,$A196,'AFA Rates'!$B$5:$B$504,E$24)&gt;0,"✓",""))</f>
        <v/>
      </c>
      <c r="F196" s="57">
        <f>IF(OR($A196="",F$24=""),"",IF(COUNTIFS('AFA Rates'!$A$5:$A$504,$A196,'AFA Rates'!$B$5:$B$504,F$24)&gt;0,"✓",""))</f>
        <v/>
      </c>
      <c r="G196" s="57">
        <f>IF(OR($A196="",G$24=""),"",IF(COUNTIFS('AFA Rates'!$A$5:$A$504,$A196,'AFA Rates'!$B$5:$B$504,G$24)&gt;0,"✓",""))</f>
        <v/>
      </c>
      <c r="H196" s="57">
        <f>IF(OR($A196="",H$24=""),"",IF(COUNTIFS('AFA Rates'!$A$5:$A$504,$A196,'AFA Rates'!$B$5:$B$504,H$24)&gt;0,"✓",""))</f>
        <v/>
      </c>
      <c r="I196" s="57">
        <f>IF(OR($A196="",I$24=""),"",IF(COUNTIFS('AFA Rates'!$A$5:$A$504,$A196,'AFA Rates'!$B$5:$B$504,I$24)&gt;0,"✓",""))</f>
        <v/>
      </c>
      <c r="J196" s="57">
        <f>IF(OR($A196="",J$24=""),"",IF(COUNTIFS('AFA Rates'!$A$5:$A$504,$A196,'AFA Rates'!$B$5:$B$504,J$24)&gt;0,"✓",""))</f>
        <v/>
      </c>
      <c r="K196" s="57">
        <f>IF(OR($A196="",K$24=""),"",IF(COUNTIFS('AFA Rates'!$A$5:$A$504,$A196,'AFA Rates'!$B$5:$B$504,K$24)&gt;0,"✓",""))</f>
        <v/>
      </c>
      <c r="L196" s="57">
        <f>IF(OR($A196="",L$24=""),"",IF(COUNTIFS('AFA Rates'!$A$5:$A$504,$A196,'AFA Rates'!$B$5:$B$504,L$24)&gt;0,"✓",""))</f>
        <v/>
      </c>
      <c r="M196" s="57">
        <f>IF(OR($A196="",M$24=""),"",IF(COUNTIFS('AFA Rates'!$A$5:$A$504,$A196,'AFA Rates'!$B$5:$B$504,M$24)&gt;0,"✓",""))</f>
        <v/>
      </c>
    </row>
    <row r="197">
      <c r="A197" s="63">
        <f>IFERROR(INDEX(Firms!$A$5:$A$504,MATCH(173,Firms!$S$5:$S$504,0)),"")</f>
        <v/>
      </c>
      <c r="B197" s="57">
        <f>IF($A197="","",INDEX(Firms!$B$5:$B$504,MATCH(173,Firms!$S$5:$S$504,0)))</f>
        <v/>
      </c>
      <c r="C197" s="57">
        <f>IF($A197="","",COUNTIF('AFA Rates'!$A$5:$A$504,$A197))</f>
        <v/>
      </c>
      <c r="D197" s="57">
        <f>IF(OR($A197="",D$24=""),"",IF(COUNTIFS('AFA Rates'!$A$5:$A$504,$A197,'AFA Rates'!$B$5:$B$504,D$24)&gt;0,"✓",""))</f>
        <v/>
      </c>
      <c r="E197" s="57">
        <f>IF(OR($A197="",E$24=""),"",IF(COUNTIFS('AFA Rates'!$A$5:$A$504,$A197,'AFA Rates'!$B$5:$B$504,E$24)&gt;0,"✓",""))</f>
        <v/>
      </c>
      <c r="F197" s="57">
        <f>IF(OR($A197="",F$24=""),"",IF(COUNTIFS('AFA Rates'!$A$5:$A$504,$A197,'AFA Rates'!$B$5:$B$504,F$24)&gt;0,"✓",""))</f>
        <v/>
      </c>
      <c r="G197" s="57">
        <f>IF(OR($A197="",G$24=""),"",IF(COUNTIFS('AFA Rates'!$A$5:$A$504,$A197,'AFA Rates'!$B$5:$B$504,G$24)&gt;0,"✓",""))</f>
        <v/>
      </c>
      <c r="H197" s="57">
        <f>IF(OR($A197="",H$24=""),"",IF(COUNTIFS('AFA Rates'!$A$5:$A$504,$A197,'AFA Rates'!$B$5:$B$504,H$24)&gt;0,"✓",""))</f>
        <v/>
      </c>
      <c r="I197" s="57">
        <f>IF(OR($A197="",I$24=""),"",IF(COUNTIFS('AFA Rates'!$A$5:$A$504,$A197,'AFA Rates'!$B$5:$B$504,I$24)&gt;0,"✓",""))</f>
        <v/>
      </c>
      <c r="J197" s="57">
        <f>IF(OR($A197="",J$24=""),"",IF(COUNTIFS('AFA Rates'!$A$5:$A$504,$A197,'AFA Rates'!$B$5:$B$504,J$24)&gt;0,"✓",""))</f>
        <v/>
      </c>
      <c r="K197" s="57">
        <f>IF(OR($A197="",K$24=""),"",IF(COUNTIFS('AFA Rates'!$A$5:$A$504,$A197,'AFA Rates'!$B$5:$B$504,K$24)&gt;0,"✓",""))</f>
        <v/>
      </c>
      <c r="L197" s="57">
        <f>IF(OR($A197="",L$24=""),"",IF(COUNTIFS('AFA Rates'!$A$5:$A$504,$A197,'AFA Rates'!$B$5:$B$504,L$24)&gt;0,"✓",""))</f>
        <v/>
      </c>
      <c r="M197" s="57">
        <f>IF(OR($A197="",M$24=""),"",IF(COUNTIFS('AFA Rates'!$A$5:$A$504,$A197,'AFA Rates'!$B$5:$B$504,M$24)&gt;0,"✓",""))</f>
        <v/>
      </c>
    </row>
    <row r="198">
      <c r="A198" s="63">
        <f>IFERROR(INDEX(Firms!$A$5:$A$504,MATCH(174,Firms!$S$5:$S$504,0)),"")</f>
        <v/>
      </c>
      <c r="B198" s="57">
        <f>IF($A198="","",INDEX(Firms!$B$5:$B$504,MATCH(174,Firms!$S$5:$S$504,0)))</f>
        <v/>
      </c>
      <c r="C198" s="57">
        <f>IF($A198="","",COUNTIF('AFA Rates'!$A$5:$A$504,$A198))</f>
        <v/>
      </c>
      <c r="D198" s="57">
        <f>IF(OR($A198="",D$24=""),"",IF(COUNTIFS('AFA Rates'!$A$5:$A$504,$A198,'AFA Rates'!$B$5:$B$504,D$24)&gt;0,"✓",""))</f>
        <v/>
      </c>
      <c r="E198" s="57">
        <f>IF(OR($A198="",E$24=""),"",IF(COUNTIFS('AFA Rates'!$A$5:$A$504,$A198,'AFA Rates'!$B$5:$B$504,E$24)&gt;0,"✓",""))</f>
        <v/>
      </c>
      <c r="F198" s="57">
        <f>IF(OR($A198="",F$24=""),"",IF(COUNTIFS('AFA Rates'!$A$5:$A$504,$A198,'AFA Rates'!$B$5:$B$504,F$24)&gt;0,"✓",""))</f>
        <v/>
      </c>
      <c r="G198" s="57">
        <f>IF(OR($A198="",G$24=""),"",IF(COUNTIFS('AFA Rates'!$A$5:$A$504,$A198,'AFA Rates'!$B$5:$B$504,G$24)&gt;0,"✓",""))</f>
        <v/>
      </c>
      <c r="H198" s="57">
        <f>IF(OR($A198="",H$24=""),"",IF(COUNTIFS('AFA Rates'!$A$5:$A$504,$A198,'AFA Rates'!$B$5:$B$504,H$24)&gt;0,"✓",""))</f>
        <v/>
      </c>
      <c r="I198" s="57">
        <f>IF(OR($A198="",I$24=""),"",IF(COUNTIFS('AFA Rates'!$A$5:$A$504,$A198,'AFA Rates'!$B$5:$B$504,I$24)&gt;0,"✓",""))</f>
        <v/>
      </c>
      <c r="J198" s="57">
        <f>IF(OR($A198="",J$24=""),"",IF(COUNTIFS('AFA Rates'!$A$5:$A$504,$A198,'AFA Rates'!$B$5:$B$504,J$24)&gt;0,"✓",""))</f>
        <v/>
      </c>
      <c r="K198" s="57">
        <f>IF(OR($A198="",K$24=""),"",IF(COUNTIFS('AFA Rates'!$A$5:$A$504,$A198,'AFA Rates'!$B$5:$B$504,K$24)&gt;0,"✓",""))</f>
        <v/>
      </c>
      <c r="L198" s="57">
        <f>IF(OR($A198="",L$24=""),"",IF(COUNTIFS('AFA Rates'!$A$5:$A$504,$A198,'AFA Rates'!$B$5:$B$504,L$24)&gt;0,"✓",""))</f>
        <v/>
      </c>
      <c r="M198" s="57">
        <f>IF(OR($A198="",M$24=""),"",IF(COUNTIFS('AFA Rates'!$A$5:$A$504,$A198,'AFA Rates'!$B$5:$B$504,M$24)&gt;0,"✓",""))</f>
        <v/>
      </c>
    </row>
    <row r="199">
      <c r="A199" s="63">
        <f>IFERROR(INDEX(Firms!$A$5:$A$504,MATCH(175,Firms!$S$5:$S$504,0)),"")</f>
        <v/>
      </c>
      <c r="B199" s="57">
        <f>IF($A199="","",INDEX(Firms!$B$5:$B$504,MATCH(175,Firms!$S$5:$S$504,0)))</f>
        <v/>
      </c>
      <c r="C199" s="57">
        <f>IF($A199="","",COUNTIF('AFA Rates'!$A$5:$A$504,$A199))</f>
        <v/>
      </c>
      <c r="D199" s="57">
        <f>IF(OR($A199="",D$24=""),"",IF(COUNTIFS('AFA Rates'!$A$5:$A$504,$A199,'AFA Rates'!$B$5:$B$504,D$24)&gt;0,"✓",""))</f>
        <v/>
      </c>
      <c r="E199" s="57">
        <f>IF(OR($A199="",E$24=""),"",IF(COUNTIFS('AFA Rates'!$A$5:$A$504,$A199,'AFA Rates'!$B$5:$B$504,E$24)&gt;0,"✓",""))</f>
        <v/>
      </c>
      <c r="F199" s="57">
        <f>IF(OR($A199="",F$24=""),"",IF(COUNTIFS('AFA Rates'!$A$5:$A$504,$A199,'AFA Rates'!$B$5:$B$504,F$24)&gt;0,"✓",""))</f>
        <v/>
      </c>
      <c r="G199" s="57">
        <f>IF(OR($A199="",G$24=""),"",IF(COUNTIFS('AFA Rates'!$A$5:$A$504,$A199,'AFA Rates'!$B$5:$B$504,G$24)&gt;0,"✓",""))</f>
        <v/>
      </c>
      <c r="H199" s="57">
        <f>IF(OR($A199="",H$24=""),"",IF(COUNTIFS('AFA Rates'!$A$5:$A$504,$A199,'AFA Rates'!$B$5:$B$504,H$24)&gt;0,"✓",""))</f>
        <v/>
      </c>
      <c r="I199" s="57">
        <f>IF(OR($A199="",I$24=""),"",IF(COUNTIFS('AFA Rates'!$A$5:$A$504,$A199,'AFA Rates'!$B$5:$B$504,I$24)&gt;0,"✓",""))</f>
        <v/>
      </c>
      <c r="J199" s="57">
        <f>IF(OR($A199="",J$24=""),"",IF(COUNTIFS('AFA Rates'!$A$5:$A$504,$A199,'AFA Rates'!$B$5:$B$504,J$24)&gt;0,"✓",""))</f>
        <v/>
      </c>
      <c r="K199" s="57">
        <f>IF(OR($A199="",K$24=""),"",IF(COUNTIFS('AFA Rates'!$A$5:$A$504,$A199,'AFA Rates'!$B$5:$B$504,K$24)&gt;0,"✓",""))</f>
        <v/>
      </c>
      <c r="L199" s="57">
        <f>IF(OR($A199="",L$24=""),"",IF(COUNTIFS('AFA Rates'!$A$5:$A$504,$A199,'AFA Rates'!$B$5:$B$504,L$24)&gt;0,"✓",""))</f>
        <v/>
      </c>
      <c r="M199" s="57">
        <f>IF(OR($A199="",M$24=""),"",IF(COUNTIFS('AFA Rates'!$A$5:$A$504,$A199,'AFA Rates'!$B$5:$B$504,M$24)&gt;0,"✓",""))</f>
        <v/>
      </c>
    </row>
    <row r="200">
      <c r="A200" s="63">
        <f>IFERROR(INDEX(Firms!$A$5:$A$504,MATCH(176,Firms!$S$5:$S$504,0)),"")</f>
        <v/>
      </c>
      <c r="B200" s="57">
        <f>IF($A200="","",INDEX(Firms!$B$5:$B$504,MATCH(176,Firms!$S$5:$S$504,0)))</f>
        <v/>
      </c>
      <c r="C200" s="57">
        <f>IF($A200="","",COUNTIF('AFA Rates'!$A$5:$A$504,$A200))</f>
        <v/>
      </c>
      <c r="D200" s="57">
        <f>IF(OR($A200="",D$24=""),"",IF(COUNTIFS('AFA Rates'!$A$5:$A$504,$A200,'AFA Rates'!$B$5:$B$504,D$24)&gt;0,"✓",""))</f>
        <v/>
      </c>
      <c r="E200" s="57">
        <f>IF(OR($A200="",E$24=""),"",IF(COUNTIFS('AFA Rates'!$A$5:$A$504,$A200,'AFA Rates'!$B$5:$B$504,E$24)&gt;0,"✓",""))</f>
        <v/>
      </c>
      <c r="F200" s="57">
        <f>IF(OR($A200="",F$24=""),"",IF(COUNTIFS('AFA Rates'!$A$5:$A$504,$A200,'AFA Rates'!$B$5:$B$504,F$24)&gt;0,"✓",""))</f>
        <v/>
      </c>
      <c r="G200" s="57">
        <f>IF(OR($A200="",G$24=""),"",IF(COUNTIFS('AFA Rates'!$A$5:$A$504,$A200,'AFA Rates'!$B$5:$B$504,G$24)&gt;0,"✓",""))</f>
        <v/>
      </c>
      <c r="H200" s="57">
        <f>IF(OR($A200="",H$24=""),"",IF(COUNTIFS('AFA Rates'!$A$5:$A$504,$A200,'AFA Rates'!$B$5:$B$504,H$24)&gt;0,"✓",""))</f>
        <v/>
      </c>
      <c r="I200" s="57">
        <f>IF(OR($A200="",I$24=""),"",IF(COUNTIFS('AFA Rates'!$A$5:$A$504,$A200,'AFA Rates'!$B$5:$B$504,I$24)&gt;0,"✓",""))</f>
        <v/>
      </c>
      <c r="J200" s="57">
        <f>IF(OR($A200="",J$24=""),"",IF(COUNTIFS('AFA Rates'!$A$5:$A$504,$A200,'AFA Rates'!$B$5:$B$504,J$24)&gt;0,"✓",""))</f>
        <v/>
      </c>
      <c r="K200" s="57">
        <f>IF(OR($A200="",K$24=""),"",IF(COUNTIFS('AFA Rates'!$A$5:$A$504,$A200,'AFA Rates'!$B$5:$B$504,K$24)&gt;0,"✓",""))</f>
        <v/>
      </c>
      <c r="L200" s="57">
        <f>IF(OR($A200="",L$24=""),"",IF(COUNTIFS('AFA Rates'!$A$5:$A$504,$A200,'AFA Rates'!$B$5:$B$504,L$24)&gt;0,"✓",""))</f>
        <v/>
      </c>
      <c r="M200" s="57">
        <f>IF(OR($A200="",M$24=""),"",IF(COUNTIFS('AFA Rates'!$A$5:$A$504,$A200,'AFA Rates'!$B$5:$B$504,M$24)&gt;0,"✓",""))</f>
        <v/>
      </c>
    </row>
    <row r="201">
      <c r="A201" s="63">
        <f>IFERROR(INDEX(Firms!$A$5:$A$504,MATCH(177,Firms!$S$5:$S$504,0)),"")</f>
        <v/>
      </c>
      <c r="B201" s="57">
        <f>IF($A201="","",INDEX(Firms!$B$5:$B$504,MATCH(177,Firms!$S$5:$S$504,0)))</f>
        <v/>
      </c>
      <c r="C201" s="57">
        <f>IF($A201="","",COUNTIF('AFA Rates'!$A$5:$A$504,$A201))</f>
        <v/>
      </c>
      <c r="D201" s="57">
        <f>IF(OR($A201="",D$24=""),"",IF(COUNTIFS('AFA Rates'!$A$5:$A$504,$A201,'AFA Rates'!$B$5:$B$504,D$24)&gt;0,"✓",""))</f>
        <v/>
      </c>
      <c r="E201" s="57">
        <f>IF(OR($A201="",E$24=""),"",IF(COUNTIFS('AFA Rates'!$A$5:$A$504,$A201,'AFA Rates'!$B$5:$B$504,E$24)&gt;0,"✓",""))</f>
        <v/>
      </c>
      <c r="F201" s="57">
        <f>IF(OR($A201="",F$24=""),"",IF(COUNTIFS('AFA Rates'!$A$5:$A$504,$A201,'AFA Rates'!$B$5:$B$504,F$24)&gt;0,"✓",""))</f>
        <v/>
      </c>
      <c r="G201" s="57">
        <f>IF(OR($A201="",G$24=""),"",IF(COUNTIFS('AFA Rates'!$A$5:$A$504,$A201,'AFA Rates'!$B$5:$B$504,G$24)&gt;0,"✓",""))</f>
        <v/>
      </c>
      <c r="H201" s="57">
        <f>IF(OR($A201="",H$24=""),"",IF(COUNTIFS('AFA Rates'!$A$5:$A$504,$A201,'AFA Rates'!$B$5:$B$504,H$24)&gt;0,"✓",""))</f>
        <v/>
      </c>
      <c r="I201" s="57">
        <f>IF(OR($A201="",I$24=""),"",IF(COUNTIFS('AFA Rates'!$A$5:$A$504,$A201,'AFA Rates'!$B$5:$B$504,I$24)&gt;0,"✓",""))</f>
        <v/>
      </c>
      <c r="J201" s="57">
        <f>IF(OR($A201="",J$24=""),"",IF(COUNTIFS('AFA Rates'!$A$5:$A$504,$A201,'AFA Rates'!$B$5:$B$504,J$24)&gt;0,"✓",""))</f>
        <v/>
      </c>
      <c r="K201" s="57">
        <f>IF(OR($A201="",K$24=""),"",IF(COUNTIFS('AFA Rates'!$A$5:$A$504,$A201,'AFA Rates'!$B$5:$B$504,K$24)&gt;0,"✓",""))</f>
        <v/>
      </c>
      <c r="L201" s="57">
        <f>IF(OR($A201="",L$24=""),"",IF(COUNTIFS('AFA Rates'!$A$5:$A$504,$A201,'AFA Rates'!$B$5:$B$504,L$24)&gt;0,"✓",""))</f>
        <v/>
      </c>
      <c r="M201" s="57">
        <f>IF(OR($A201="",M$24=""),"",IF(COUNTIFS('AFA Rates'!$A$5:$A$504,$A201,'AFA Rates'!$B$5:$B$504,M$24)&gt;0,"✓",""))</f>
        <v/>
      </c>
    </row>
    <row r="202">
      <c r="A202" s="63">
        <f>IFERROR(INDEX(Firms!$A$5:$A$504,MATCH(178,Firms!$S$5:$S$504,0)),"")</f>
        <v/>
      </c>
      <c r="B202" s="57">
        <f>IF($A202="","",INDEX(Firms!$B$5:$B$504,MATCH(178,Firms!$S$5:$S$504,0)))</f>
        <v/>
      </c>
      <c r="C202" s="57">
        <f>IF($A202="","",COUNTIF('AFA Rates'!$A$5:$A$504,$A202))</f>
        <v/>
      </c>
      <c r="D202" s="57">
        <f>IF(OR($A202="",D$24=""),"",IF(COUNTIFS('AFA Rates'!$A$5:$A$504,$A202,'AFA Rates'!$B$5:$B$504,D$24)&gt;0,"✓",""))</f>
        <v/>
      </c>
      <c r="E202" s="57">
        <f>IF(OR($A202="",E$24=""),"",IF(COUNTIFS('AFA Rates'!$A$5:$A$504,$A202,'AFA Rates'!$B$5:$B$504,E$24)&gt;0,"✓",""))</f>
        <v/>
      </c>
      <c r="F202" s="57">
        <f>IF(OR($A202="",F$24=""),"",IF(COUNTIFS('AFA Rates'!$A$5:$A$504,$A202,'AFA Rates'!$B$5:$B$504,F$24)&gt;0,"✓",""))</f>
        <v/>
      </c>
      <c r="G202" s="57">
        <f>IF(OR($A202="",G$24=""),"",IF(COUNTIFS('AFA Rates'!$A$5:$A$504,$A202,'AFA Rates'!$B$5:$B$504,G$24)&gt;0,"✓",""))</f>
        <v/>
      </c>
      <c r="H202" s="57">
        <f>IF(OR($A202="",H$24=""),"",IF(COUNTIFS('AFA Rates'!$A$5:$A$504,$A202,'AFA Rates'!$B$5:$B$504,H$24)&gt;0,"✓",""))</f>
        <v/>
      </c>
      <c r="I202" s="57">
        <f>IF(OR($A202="",I$24=""),"",IF(COUNTIFS('AFA Rates'!$A$5:$A$504,$A202,'AFA Rates'!$B$5:$B$504,I$24)&gt;0,"✓",""))</f>
        <v/>
      </c>
      <c r="J202" s="57">
        <f>IF(OR($A202="",J$24=""),"",IF(COUNTIFS('AFA Rates'!$A$5:$A$504,$A202,'AFA Rates'!$B$5:$B$504,J$24)&gt;0,"✓",""))</f>
        <v/>
      </c>
      <c r="K202" s="57">
        <f>IF(OR($A202="",K$24=""),"",IF(COUNTIFS('AFA Rates'!$A$5:$A$504,$A202,'AFA Rates'!$B$5:$B$504,K$24)&gt;0,"✓",""))</f>
        <v/>
      </c>
      <c r="L202" s="57">
        <f>IF(OR($A202="",L$24=""),"",IF(COUNTIFS('AFA Rates'!$A$5:$A$504,$A202,'AFA Rates'!$B$5:$B$504,L$24)&gt;0,"✓",""))</f>
        <v/>
      </c>
      <c r="M202" s="57">
        <f>IF(OR($A202="",M$24=""),"",IF(COUNTIFS('AFA Rates'!$A$5:$A$504,$A202,'AFA Rates'!$B$5:$B$504,M$24)&gt;0,"✓",""))</f>
        <v/>
      </c>
    </row>
    <row r="203">
      <c r="A203" s="63">
        <f>IFERROR(INDEX(Firms!$A$5:$A$504,MATCH(179,Firms!$S$5:$S$504,0)),"")</f>
        <v/>
      </c>
      <c r="B203" s="57">
        <f>IF($A203="","",INDEX(Firms!$B$5:$B$504,MATCH(179,Firms!$S$5:$S$504,0)))</f>
        <v/>
      </c>
      <c r="C203" s="57">
        <f>IF($A203="","",COUNTIF('AFA Rates'!$A$5:$A$504,$A203))</f>
        <v/>
      </c>
      <c r="D203" s="57">
        <f>IF(OR($A203="",D$24=""),"",IF(COUNTIFS('AFA Rates'!$A$5:$A$504,$A203,'AFA Rates'!$B$5:$B$504,D$24)&gt;0,"✓",""))</f>
        <v/>
      </c>
      <c r="E203" s="57">
        <f>IF(OR($A203="",E$24=""),"",IF(COUNTIFS('AFA Rates'!$A$5:$A$504,$A203,'AFA Rates'!$B$5:$B$504,E$24)&gt;0,"✓",""))</f>
        <v/>
      </c>
      <c r="F203" s="57">
        <f>IF(OR($A203="",F$24=""),"",IF(COUNTIFS('AFA Rates'!$A$5:$A$504,$A203,'AFA Rates'!$B$5:$B$504,F$24)&gt;0,"✓",""))</f>
        <v/>
      </c>
      <c r="G203" s="57">
        <f>IF(OR($A203="",G$24=""),"",IF(COUNTIFS('AFA Rates'!$A$5:$A$504,$A203,'AFA Rates'!$B$5:$B$504,G$24)&gt;0,"✓",""))</f>
        <v/>
      </c>
      <c r="H203" s="57">
        <f>IF(OR($A203="",H$24=""),"",IF(COUNTIFS('AFA Rates'!$A$5:$A$504,$A203,'AFA Rates'!$B$5:$B$504,H$24)&gt;0,"✓",""))</f>
        <v/>
      </c>
      <c r="I203" s="57">
        <f>IF(OR($A203="",I$24=""),"",IF(COUNTIFS('AFA Rates'!$A$5:$A$504,$A203,'AFA Rates'!$B$5:$B$504,I$24)&gt;0,"✓",""))</f>
        <v/>
      </c>
      <c r="J203" s="57">
        <f>IF(OR($A203="",J$24=""),"",IF(COUNTIFS('AFA Rates'!$A$5:$A$504,$A203,'AFA Rates'!$B$5:$B$504,J$24)&gt;0,"✓",""))</f>
        <v/>
      </c>
      <c r="K203" s="57">
        <f>IF(OR($A203="",K$24=""),"",IF(COUNTIFS('AFA Rates'!$A$5:$A$504,$A203,'AFA Rates'!$B$5:$B$504,K$24)&gt;0,"✓",""))</f>
        <v/>
      </c>
      <c r="L203" s="57">
        <f>IF(OR($A203="",L$24=""),"",IF(COUNTIFS('AFA Rates'!$A$5:$A$504,$A203,'AFA Rates'!$B$5:$B$504,L$24)&gt;0,"✓",""))</f>
        <v/>
      </c>
      <c r="M203" s="57">
        <f>IF(OR($A203="",M$24=""),"",IF(COUNTIFS('AFA Rates'!$A$5:$A$504,$A203,'AFA Rates'!$B$5:$B$504,M$24)&gt;0,"✓",""))</f>
        <v/>
      </c>
    </row>
    <row r="204">
      <c r="A204" s="63">
        <f>IFERROR(INDEX(Firms!$A$5:$A$504,MATCH(180,Firms!$S$5:$S$504,0)),"")</f>
        <v/>
      </c>
      <c r="B204" s="57">
        <f>IF($A204="","",INDEX(Firms!$B$5:$B$504,MATCH(180,Firms!$S$5:$S$504,0)))</f>
        <v/>
      </c>
      <c r="C204" s="57">
        <f>IF($A204="","",COUNTIF('AFA Rates'!$A$5:$A$504,$A204))</f>
        <v/>
      </c>
      <c r="D204" s="57">
        <f>IF(OR($A204="",D$24=""),"",IF(COUNTIFS('AFA Rates'!$A$5:$A$504,$A204,'AFA Rates'!$B$5:$B$504,D$24)&gt;0,"✓",""))</f>
        <v/>
      </c>
      <c r="E204" s="57">
        <f>IF(OR($A204="",E$24=""),"",IF(COUNTIFS('AFA Rates'!$A$5:$A$504,$A204,'AFA Rates'!$B$5:$B$504,E$24)&gt;0,"✓",""))</f>
        <v/>
      </c>
      <c r="F204" s="57">
        <f>IF(OR($A204="",F$24=""),"",IF(COUNTIFS('AFA Rates'!$A$5:$A$504,$A204,'AFA Rates'!$B$5:$B$504,F$24)&gt;0,"✓",""))</f>
        <v/>
      </c>
      <c r="G204" s="57">
        <f>IF(OR($A204="",G$24=""),"",IF(COUNTIFS('AFA Rates'!$A$5:$A$504,$A204,'AFA Rates'!$B$5:$B$504,G$24)&gt;0,"✓",""))</f>
        <v/>
      </c>
      <c r="H204" s="57">
        <f>IF(OR($A204="",H$24=""),"",IF(COUNTIFS('AFA Rates'!$A$5:$A$504,$A204,'AFA Rates'!$B$5:$B$504,H$24)&gt;0,"✓",""))</f>
        <v/>
      </c>
      <c r="I204" s="57">
        <f>IF(OR($A204="",I$24=""),"",IF(COUNTIFS('AFA Rates'!$A$5:$A$504,$A204,'AFA Rates'!$B$5:$B$504,I$24)&gt;0,"✓",""))</f>
        <v/>
      </c>
      <c r="J204" s="57">
        <f>IF(OR($A204="",J$24=""),"",IF(COUNTIFS('AFA Rates'!$A$5:$A$504,$A204,'AFA Rates'!$B$5:$B$504,J$24)&gt;0,"✓",""))</f>
        <v/>
      </c>
      <c r="K204" s="57">
        <f>IF(OR($A204="",K$24=""),"",IF(COUNTIFS('AFA Rates'!$A$5:$A$504,$A204,'AFA Rates'!$B$5:$B$504,K$24)&gt;0,"✓",""))</f>
        <v/>
      </c>
      <c r="L204" s="57">
        <f>IF(OR($A204="",L$24=""),"",IF(COUNTIFS('AFA Rates'!$A$5:$A$504,$A204,'AFA Rates'!$B$5:$B$504,L$24)&gt;0,"✓",""))</f>
        <v/>
      </c>
      <c r="M204" s="57">
        <f>IF(OR($A204="",M$24=""),"",IF(COUNTIFS('AFA Rates'!$A$5:$A$504,$A204,'AFA Rates'!$B$5:$B$504,M$24)&gt;0,"✓",""))</f>
        <v/>
      </c>
    </row>
    <row r="205">
      <c r="A205" s="63">
        <f>IFERROR(INDEX(Firms!$A$5:$A$504,MATCH(181,Firms!$S$5:$S$504,0)),"")</f>
        <v/>
      </c>
      <c r="B205" s="57">
        <f>IF($A205="","",INDEX(Firms!$B$5:$B$504,MATCH(181,Firms!$S$5:$S$504,0)))</f>
        <v/>
      </c>
      <c r="C205" s="57">
        <f>IF($A205="","",COUNTIF('AFA Rates'!$A$5:$A$504,$A205))</f>
        <v/>
      </c>
      <c r="D205" s="57">
        <f>IF(OR($A205="",D$24=""),"",IF(COUNTIFS('AFA Rates'!$A$5:$A$504,$A205,'AFA Rates'!$B$5:$B$504,D$24)&gt;0,"✓",""))</f>
        <v/>
      </c>
      <c r="E205" s="57">
        <f>IF(OR($A205="",E$24=""),"",IF(COUNTIFS('AFA Rates'!$A$5:$A$504,$A205,'AFA Rates'!$B$5:$B$504,E$24)&gt;0,"✓",""))</f>
        <v/>
      </c>
      <c r="F205" s="57">
        <f>IF(OR($A205="",F$24=""),"",IF(COUNTIFS('AFA Rates'!$A$5:$A$504,$A205,'AFA Rates'!$B$5:$B$504,F$24)&gt;0,"✓",""))</f>
        <v/>
      </c>
      <c r="G205" s="57">
        <f>IF(OR($A205="",G$24=""),"",IF(COUNTIFS('AFA Rates'!$A$5:$A$504,$A205,'AFA Rates'!$B$5:$B$504,G$24)&gt;0,"✓",""))</f>
        <v/>
      </c>
      <c r="H205" s="57">
        <f>IF(OR($A205="",H$24=""),"",IF(COUNTIFS('AFA Rates'!$A$5:$A$504,$A205,'AFA Rates'!$B$5:$B$504,H$24)&gt;0,"✓",""))</f>
        <v/>
      </c>
      <c r="I205" s="57">
        <f>IF(OR($A205="",I$24=""),"",IF(COUNTIFS('AFA Rates'!$A$5:$A$504,$A205,'AFA Rates'!$B$5:$B$504,I$24)&gt;0,"✓",""))</f>
        <v/>
      </c>
      <c r="J205" s="57">
        <f>IF(OR($A205="",J$24=""),"",IF(COUNTIFS('AFA Rates'!$A$5:$A$504,$A205,'AFA Rates'!$B$5:$B$504,J$24)&gt;0,"✓",""))</f>
        <v/>
      </c>
      <c r="K205" s="57">
        <f>IF(OR($A205="",K$24=""),"",IF(COUNTIFS('AFA Rates'!$A$5:$A$504,$A205,'AFA Rates'!$B$5:$B$504,K$24)&gt;0,"✓",""))</f>
        <v/>
      </c>
      <c r="L205" s="57">
        <f>IF(OR($A205="",L$24=""),"",IF(COUNTIFS('AFA Rates'!$A$5:$A$504,$A205,'AFA Rates'!$B$5:$B$504,L$24)&gt;0,"✓",""))</f>
        <v/>
      </c>
      <c r="M205" s="57">
        <f>IF(OR($A205="",M$24=""),"",IF(COUNTIFS('AFA Rates'!$A$5:$A$504,$A205,'AFA Rates'!$B$5:$B$504,M$24)&gt;0,"✓",""))</f>
        <v/>
      </c>
    </row>
    <row r="206">
      <c r="A206" s="63">
        <f>IFERROR(INDEX(Firms!$A$5:$A$504,MATCH(182,Firms!$S$5:$S$504,0)),"")</f>
        <v/>
      </c>
      <c r="B206" s="57">
        <f>IF($A206="","",INDEX(Firms!$B$5:$B$504,MATCH(182,Firms!$S$5:$S$504,0)))</f>
        <v/>
      </c>
      <c r="C206" s="57">
        <f>IF($A206="","",COUNTIF('AFA Rates'!$A$5:$A$504,$A206))</f>
        <v/>
      </c>
      <c r="D206" s="57">
        <f>IF(OR($A206="",D$24=""),"",IF(COUNTIFS('AFA Rates'!$A$5:$A$504,$A206,'AFA Rates'!$B$5:$B$504,D$24)&gt;0,"✓",""))</f>
        <v/>
      </c>
      <c r="E206" s="57">
        <f>IF(OR($A206="",E$24=""),"",IF(COUNTIFS('AFA Rates'!$A$5:$A$504,$A206,'AFA Rates'!$B$5:$B$504,E$24)&gt;0,"✓",""))</f>
        <v/>
      </c>
      <c r="F206" s="57">
        <f>IF(OR($A206="",F$24=""),"",IF(COUNTIFS('AFA Rates'!$A$5:$A$504,$A206,'AFA Rates'!$B$5:$B$504,F$24)&gt;0,"✓",""))</f>
        <v/>
      </c>
      <c r="G206" s="57">
        <f>IF(OR($A206="",G$24=""),"",IF(COUNTIFS('AFA Rates'!$A$5:$A$504,$A206,'AFA Rates'!$B$5:$B$504,G$24)&gt;0,"✓",""))</f>
        <v/>
      </c>
      <c r="H206" s="57">
        <f>IF(OR($A206="",H$24=""),"",IF(COUNTIFS('AFA Rates'!$A$5:$A$504,$A206,'AFA Rates'!$B$5:$B$504,H$24)&gt;0,"✓",""))</f>
        <v/>
      </c>
      <c r="I206" s="57">
        <f>IF(OR($A206="",I$24=""),"",IF(COUNTIFS('AFA Rates'!$A$5:$A$504,$A206,'AFA Rates'!$B$5:$B$504,I$24)&gt;0,"✓",""))</f>
        <v/>
      </c>
      <c r="J206" s="57">
        <f>IF(OR($A206="",J$24=""),"",IF(COUNTIFS('AFA Rates'!$A$5:$A$504,$A206,'AFA Rates'!$B$5:$B$504,J$24)&gt;0,"✓",""))</f>
        <v/>
      </c>
      <c r="K206" s="57">
        <f>IF(OR($A206="",K$24=""),"",IF(COUNTIFS('AFA Rates'!$A$5:$A$504,$A206,'AFA Rates'!$B$5:$B$504,K$24)&gt;0,"✓",""))</f>
        <v/>
      </c>
      <c r="L206" s="57">
        <f>IF(OR($A206="",L$24=""),"",IF(COUNTIFS('AFA Rates'!$A$5:$A$504,$A206,'AFA Rates'!$B$5:$B$504,L$24)&gt;0,"✓",""))</f>
        <v/>
      </c>
      <c r="M206" s="57">
        <f>IF(OR($A206="",M$24=""),"",IF(COUNTIFS('AFA Rates'!$A$5:$A$504,$A206,'AFA Rates'!$B$5:$B$504,M$24)&gt;0,"✓",""))</f>
        <v/>
      </c>
    </row>
    <row r="207">
      <c r="A207" s="63">
        <f>IFERROR(INDEX(Firms!$A$5:$A$504,MATCH(183,Firms!$S$5:$S$504,0)),"")</f>
        <v/>
      </c>
      <c r="B207" s="57">
        <f>IF($A207="","",INDEX(Firms!$B$5:$B$504,MATCH(183,Firms!$S$5:$S$504,0)))</f>
        <v/>
      </c>
      <c r="C207" s="57">
        <f>IF($A207="","",COUNTIF('AFA Rates'!$A$5:$A$504,$A207))</f>
        <v/>
      </c>
      <c r="D207" s="57">
        <f>IF(OR($A207="",D$24=""),"",IF(COUNTIFS('AFA Rates'!$A$5:$A$504,$A207,'AFA Rates'!$B$5:$B$504,D$24)&gt;0,"✓",""))</f>
        <v/>
      </c>
      <c r="E207" s="57">
        <f>IF(OR($A207="",E$24=""),"",IF(COUNTIFS('AFA Rates'!$A$5:$A$504,$A207,'AFA Rates'!$B$5:$B$504,E$24)&gt;0,"✓",""))</f>
        <v/>
      </c>
      <c r="F207" s="57">
        <f>IF(OR($A207="",F$24=""),"",IF(COUNTIFS('AFA Rates'!$A$5:$A$504,$A207,'AFA Rates'!$B$5:$B$504,F$24)&gt;0,"✓",""))</f>
        <v/>
      </c>
      <c r="G207" s="57">
        <f>IF(OR($A207="",G$24=""),"",IF(COUNTIFS('AFA Rates'!$A$5:$A$504,$A207,'AFA Rates'!$B$5:$B$504,G$24)&gt;0,"✓",""))</f>
        <v/>
      </c>
      <c r="H207" s="57">
        <f>IF(OR($A207="",H$24=""),"",IF(COUNTIFS('AFA Rates'!$A$5:$A$504,$A207,'AFA Rates'!$B$5:$B$504,H$24)&gt;0,"✓",""))</f>
        <v/>
      </c>
      <c r="I207" s="57">
        <f>IF(OR($A207="",I$24=""),"",IF(COUNTIFS('AFA Rates'!$A$5:$A$504,$A207,'AFA Rates'!$B$5:$B$504,I$24)&gt;0,"✓",""))</f>
        <v/>
      </c>
      <c r="J207" s="57">
        <f>IF(OR($A207="",J$24=""),"",IF(COUNTIFS('AFA Rates'!$A$5:$A$504,$A207,'AFA Rates'!$B$5:$B$504,J$24)&gt;0,"✓",""))</f>
        <v/>
      </c>
      <c r="K207" s="57">
        <f>IF(OR($A207="",K$24=""),"",IF(COUNTIFS('AFA Rates'!$A$5:$A$504,$A207,'AFA Rates'!$B$5:$B$504,K$24)&gt;0,"✓",""))</f>
        <v/>
      </c>
      <c r="L207" s="57">
        <f>IF(OR($A207="",L$24=""),"",IF(COUNTIFS('AFA Rates'!$A$5:$A$504,$A207,'AFA Rates'!$B$5:$B$504,L$24)&gt;0,"✓",""))</f>
        <v/>
      </c>
      <c r="M207" s="57">
        <f>IF(OR($A207="",M$24=""),"",IF(COUNTIFS('AFA Rates'!$A$5:$A$504,$A207,'AFA Rates'!$B$5:$B$504,M$24)&gt;0,"✓",""))</f>
        <v/>
      </c>
    </row>
    <row r="208">
      <c r="A208" s="63">
        <f>IFERROR(INDEX(Firms!$A$5:$A$504,MATCH(184,Firms!$S$5:$S$504,0)),"")</f>
        <v/>
      </c>
      <c r="B208" s="57">
        <f>IF($A208="","",INDEX(Firms!$B$5:$B$504,MATCH(184,Firms!$S$5:$S$504,0)))</f>
        <v/>
      </c>
      <c r="C208" s="57">
        <f>IF($A208="","",COUNTIF('AFA Rates'!$A$5:$A$504,$A208))</f>
        <v/>
      </c>
      <c r="D208" s="57">
        <f>IF(OR($A208="",D$24=""),"",IF(COUNTIFS('AFA Rates'!$A$5:$A$504,$A208,'AFA Rates'!$B$5:$B$504,D$24)&gt;0,"✓",""))</f>
        <v/>
      </c>
      <c r="E208" s="57">
        <f>IF(OR($A208="",E$24=""),"",IF(COUNTIFS('AFA Rates'!$A$5:$A$504,$A208,'AFA Rates'!$B$5:$B$504,E$24)&gt;0,"✓",""))</f>
        <v/>
      </c>
      <c r="F208" s="57">
        <f>IF(OR($A208="",F$24=""),"",IF(COUNTIFS('AFA Rates'!$A$5:$A$504,$A208,'AFA Rates'!$B$5:$B$504,F$24)&gt;0,"✓",""))</f>
        <v/>
      </c>
      <c r="G208" s="57">
        <f>IF(OR($A208="",G$24=""),"",IF(COUNTIFS('AFA Rates'!$A$5:$A$504,$A208,'AFA Rates'!$B$5:$B$504,G$24)&gt;0,"✓",""))</f>
        <v/>
      </c>
      <c r="H208" s="57">
        <f>IF(OR($A208="",H$24=""),"",IF(COUNTIFS('AFA Rates'!$A$5:$A$504,$A208,'AFA Rates'!$B$5:$B$504,H$24)&gt;0,"✓",""))</f>
        <v/>
      </c>
      <c r="I208" s="57">
        <f>IF(OR($A208="",I$24=""),"",IF(COUNTIFS('AFA Rates'!$A$5:$A$504,$A208,'AFA Rates'!$B$5:$B$504,I$24)&gt;0,"✓",""))</f>
        <v/>
      </c>
      <c r="J208" s="57">
        <f>IF(OR($A208="",J$24=""),"",IF(COUNTIFS('AFA Rates'!$A$5:$A$504,$A208,'AFA Rates'!$B$5:$B$504,J$24)&gt;0,"✓",""))</f>
        <v/>
      </c>
      <c r="K208" s="57">
        <f>IF(OR($A208="",K$24=""),"",IF(COUNTIFS('AFA Rates'!$A$5:$A$504,$A208,'AFA Rates'!$B$5:$B$504,K$24)&gt;0,"✓",""))</f>
        <v/>
      </c>
      <c r="L208" s="57">
        <f>IF(OR($A208="",L$24=""),"",IF(COUNTIFS('AFA Rates'!$A$5:$A$504,$A208,'AFA Rates'!$B$5:$B$504,L$24)&gt;0,"✓",""))</f>
        <v/>
      </c>
      <c r="M208" s="57">
        <f>IF(OR($A208="",M$24=""),"",IF(COUNTIFS('AFA Rates'!$A$5:$A$504,$A208,'AFA Rates'!$B$5:$B$504,M$24)&gt;0,"✓",""))</f>
        <v/>
      </c>
    </row>
    <row r="209">
      <c r="A209" s="63">
        <f>IFERROR(INDEX(Firms!$A$5:$A$504,MATCH(185,Firms!$S$5:$S$504,0)),"")</f>
        <v/>
      </c>
      <c r="B209" s="57">
        <f>IF($A209="","",INDEX(Firms!$B$5:$B$504,MATCH(185,Firms!$S$5:$S$504,0)))</f>
        <v/>
      </c>
      <c r="C209" s="57">
        <f>IF($A209="","",COUNTIF('AFA Rates'!$A$5:$A$504,$A209))</f>
        <v/>
      </c>
      <c r="D209" s="57">
        <f>IF(OR($A209="",D$24=""),"",IF(COUNTIFS('AFA Rates'!$A$5:$A$504,$A209,'AFA Rates'!$B$5:$B$504,D$24)&gt;0,"✓",""))</f>
        <v/>
      </c>
      <c r="E209" s="57">
        <f>IF(OR($A209="",E$24=""),"",IF(COUNTIFS('AFA Rates'!$A$5:$A$504,$A209,'AFA Rates'!$B$5:$B$504,E$24)&gt;0,"✓",""))</f>
        <v/>
      </c>
      <c r="F209" s="57">
        <f>IF(OR($A209="",F$24=""),"",IF(COUNTIFS('AFA Rates'!$A$5:$A$504,$A209,'AFA Rates'!$B$5:$B$504,F$24)&gt;0,"✓",""))</f>
        <v/>
      </c>
      <c r="G209" s="57">
        <f>IF(OR($A209="",G$24=""),"",IF(COUNTIFS('AFA Rates'!$A$5:$A$504,$A209,'AFA Rates'!$B$5:$B$504,G$24)&gt;0,"✓",""))</f>
        <v/>
      </c>
      <c r="H209" s="57">
        <f>IF(OR($A209="",H$24=""),"",IF(COUNTIFS('AFA Rates'!$A$5:$A$504,$A209,'AFA Rates'!$B$5:$B$504,H$24)&gt;0,"✓",""))</f>
        <v/>
      </c>
      <c r="I209" s="57">
        <f>IF(OR($A209="",I$24=""),"",IF(COUNTIFS('AFA Rates'!$A$5:$A$504,$A209,'AFA Rates'!$B$5:$B$504,I$24)&gt;0,"✓",""))</f>
        <v/>
      </c>
      <c r="J209" s="57">
        <f>IF(OR($A209="",J$24=""),"",IF(COUNTIFS('AFA Rates'!$A$5:$A$504,$A209,'AFA Rates'!$B$5:$B$504,J$24)&gt;0,"✓",""))</f>
        <v/>
      </c>
      <c r="K209" s="57">
        <f>IF(OR($A209="",K$24=""),"",IF(COUNTIFS('AFA Rates'!$A$5:$A$504,$A209,'AFA Rates'!$B$5:$B$504,K$24)&gt;0,"✓",""))</f>
        <v/>
      </c>
      <c r="L209" s="57">
        <f>IF(OR($A209="",L$24=""),"",IF(COUNTIFS('AFA Rates'!$A$5:$A$504,$A209,'AFA Rates'!$B$5:$B$504,L$24)&gt;0,"✓",""))</f>
        <v/>
      </c>
      <c r="M209" s="57">
        <f>IF(OR($A209="",M$24=""),"",IF(COUNTIFS('AFA Rates'!$A$5:$A$504,$A209,'AFA Rates'!$B$5:$B$504,M$24)&gt;0,"✓",""))</f>
        <v/>
      </c>
    </row>
    <row r="210">
      <c r="A210" s="63">
        <f>IFERROR(INDEX(Firms!$A$5:$A$504,MATCH(186,Firms!$S$5:$S$504,0)),"")</f>
        <v/>
      </c>
      <c r="B210" s="57">
        <f>IF($A210="","",INDEX(Firms!$B$5:$B$504,MATCH(186,Firms!$S$5:$S$504,0)))</f>
        <v/>
      </c>
      <c r="C210" s="57">
        <f>IF($A210="","",COUNTIF('AFA Rates'!$A$5:$A$504,$A210))</f>
        <v/>
      </c>
      <c r="D210" s="57">
        <f>IF(OR($A210="",D$24=""),"",IF(COUNTIFS('AFA Rates'!$A$5:$A$504,$A210,'AFA Rates'!$B$5:$B$504,D$24)&gt;0,"✓",""))</f>
        <v/>
      </c>
      <c r="E210" s="57">
        <f>IF(OR($A210="",E$24=""),"",IF(COUNTIFS('AFA Rates'!$A$5:$A$504,$A210,'AFA Rates'!$B$5:$B$504,E$24)&gt;0,"✓",""))</f>
        <v/>
      </c>
      <c r="F210" s="57">
        <f>IF(OR($A210="",F$24=""),"",IF(COUNTIFS('AFA Rates'!$A$5:$A$504,$A210,'AFA Rates'!$B$5:$B$504,F$24)&gt;0,"✓",""))</f>
        <v/>
      </c>
      <c r="G210" s="57">
        <f>IF(OR($A210="",G$24=""),"",IF(COUNTIFS('AFA Rates'!$A$5:$A$504,$A210,'AFA Rates'!$B$5:$B$504,G$24)&gt;0,"✓",""))</f>
        <v/>
      </c>
      <c r="H210" s="57">
        <f>IF(OR($A210="",H$24=""),"",IF(COUNTIFS('AFA Rates'!$A$5:$A$504,$A210,'AFA Rates'!$B$5:$B$504,H$24)&gt;0,"✓",""))</f>
        <v/>
      </c>
      <c r="I210" s="57">
        <f>IF(OR($A210="",I$24=""),"",IF(COUNTIFS('AFA Rates'!$A$5:$A$504,$A210,'AFA Rates'!$B$5:$B$504,I$24)&gt;0,"✓",""))</f>
        <v/>
      </c>
      <c r="J210" s="57">
        <f>IF(OR($A210="",J$24=""),"",IF(COUNTIFS('AFA Rates'!$A$5:$A$504,$A210,'AFA Rates'!$B$5:$B$504,J$24)&gt;0,"✓",""))</f>
        <v/>
      </c>
      <c r="K210" s="57">
        <f>IF(OR($A210="",K$24=""),"",IF(COUNTIFS('AFA Rates'!$A$5:$A$504,$A210,'AFA Rates'!$B$5:$B$504,K$24)&gt;0,"✓",""))</f>
        <v/>
      </c>
      <c r="L210" s="57">
        <f>IF(OR($A210="",L$24=""),"",IF(COUNTIFS('AFA Rates'!$A$5:$A$504,$A210,'AFA Rates'!$B$5:$B$504,L$24)&gt;0,"✓",""))</f>
        <v/>
      </c>
      <c r="M210" s="57">
        <f>IF(OR($A210="",M$24=""),"",IF(COUNTIFS('AFA Rates'!$A$5:$A$504,$A210,'AFA Rates'!$B$5:$B$504,M$24)&gt;0,"✓",""))</f>
        <v/>
      </c>
    </row>
    <row r="211">
      <c r="A211" s="63">
        <f>IFERROR(INDEX(Firms!$A$5:$A$504,MATCH(187,Firms!$S$5:$S$504,0)),"")</f>
        <v/>
      </c>
      <c r="B211" s="57">
        <f>IF($A211="","",INDEX(Firms!$B$5:$B$504,MATCH(187,Firms!$S$5:$S$504,0)))</f>
        <v/>
      </c>
      <c r="C211" s="57">
        <f>IF($A211="","",COUNTIF('AFA Rates'!$A$5:$A$504,$A211))</f>
        <v/>
      </c>
      <c r="D211" s="57">
        <f>IF(OR($A211="",D$24=""),"",IF(COUNTIFS('AFA Rates'!$A$5:$A$504,$A211,'AFA Rates'!$B$5:$B$504,D$24)&gt;0,"✓",""))</f>
        <v/>
      </c>
      <c r="E211" s="57">
        <f>IF(OR($A211="",E$24=""),"",IF(COUNTIFS('AFA Rates'!$A$5:$A$504,$A211,'AFA Rates'!$B$5:$B$504,E$24)&gt;0,"✓",""))</f>
        <v/>
      </c>
      <c r="F211" s="57">
        <f>IF(OR($A211="",F$24=""),"",IF(COUNTIFS('AFA Rates'!$A$5:$A$504,$A211,'AFA Rates'!$B$5:$B$504,F$24)&gt;0,"✓",""))</f>
        <v/>
      </c>
      <c r="G211" s="57">
        <f>IF(OR($A211="",G$24=""),"",IF(COUNTIFS('AFA Rates'!$A$5:$A$504,$A211,'AFA Rates'!$B$5:$B$504,G$24)&gt;0,"✓",""))</f>
        <v/>
      </c>
      <c r="H211" s="57">
        <f>IF(OR($A211="",H$24=""),"",IF(COUNTIFS('AFA Rates'!$A$5:$A$504,$A211,'AFA Rates'!$B$5:$B$504,H$24)&gt;0,"✓",""))</f>
        <v/>
      </c>
      <c r="I211" s="57">
        <f>IF(OR($A211="",I$24=""),"",IF(COUNTIFS('AFA Rates'!$A$5:$A$504,$A211,'AFA Rates'!$B$5:$B$504,I$24)&gt;0,"✓",""))</f>
        <v/>
      </c>
      <c r="J211" s="57">
        <f>IF(OR($A211="",J$24=""),"",IF(COUNTIFS('AFA Rates'!$A$5:$A$504,$A211,'AFA Rates'!$B$5:$B$504,J$24)&gt;0,"✓",""))</f>
        <v/>
      </c>
      <c r="K211" s="57">
        <f>IF(OR($A211="",K$24=""),"",IF(COUNTIFS('AFA Rates'!$A$5:$A$504,$A211,'AFA Rates'!$B$5:$B$504,K$24)&gt;0,"✓",""))</f>
        <v/>
      </c>
      <c r="L211" s="57">
        <f>IF(OR($A211="",L$24=""),"",IF(COUNTIFS('AFA Rates'!$A$5:$A$504,$A211,'AFA Rates'!$B$5:$B$504,L$24)&gt;0,"✓",""))</f>
        <v/>
      </c>
      <c r="M211" s="57">
        <f>IF(OR($A211="",M$24=""),"",IF(COUNTIFS('AFA Rates'!$A$5:$A$504,$A211,'AFA Rates'!$B$5:$B$504,M$24)&gt;0,"✓",""))</f>
        <v/>
      </c>
    </row>
    <row r="212">
      <c r="A212" s="63">
        <f>IFERROR(INDEX(Firms!$A$5:$A$504,MATCH(188,Firms!$S$5:$S$504,0)),"")</f>
        <v/>
      </c>
      <c r="B212" s="57">
        <f>IF($A212="","",INDEX(Firms!$B$5:$B$504,MATCH(188,Firms!$S$5:$S$504,0)))</f>
        <v/>
      </c>
      <c r="C212" s="57">
        <f>IF($A212="","",COUNTIF('AFA Rates'!$A$5:$A$504,$A212))</f>
        <v/>
      </c>
      <c r="D212" s="57">
        <f>IF(OR($A212="",D$24=""),"",IF(COUNTIFS('AFA Rates'!$A$5:$A$504,$A212,'AFA Rates'!$B$5:$B$504,D$24)&gt;0,"✓",""))</f>
        <v/>
      </c>
      <c r="E212" s="57">
        <f>IF(OR($A212="",E$24=""),"",IF(COUNTIFS('AFA Rates'!$A$5:$A$504,$A212,'AFA Rates'!$B$5:$B$504,E$24)&gt;0,"✓",""))</f>
        <v/>
      </c>
      <c r="F212" s="57">
        <f>IF(OR($A212="",F$24=""),"",IF(COUNTIFS('AFA Rates'!$A$5:$A$504,$A212,'AFA Rates'!$B$5:$B$504,F$24)&gt;0,"✓",""))</f>
        <v/>
      </c>
      <c r="G212" s="57">
        <f>IF(OR($A212="",G$24=""),"",IF(COUNTIFS('AFA Rates'!$A$5:$A$504,$A212,'AFA Rates'!$B$5:$B$504,G$24)&gt;0,"✓",""))</f>
        <v/>
      </c>
      <c r="H212" s="57">
        <f>IF(OR($A212="",H$24=""),"",IF(COUNTIFS('AFA Rates'!$A$5:$A$504,$A212,'AFA Rates'!$B$5:$B$504,H$24)&gt;0,"✓",""))</f>
        <v/>
      </c>
      <c r="I212" s="57">
        <f>IF(OR($A212="",I$24=""),"",IF(COUNTIFS('AFA Rates'!$A$5:$A$504,$A212,'AFA Rates'!$B$5:$B$504,I$24)&gt;0,"✓",""))</f>
        <v/>
      </c>
      <c r="J212" s="57">
        <f>IF(OR($A212="",J$24=""),"",IF(COUNTIFS('AFA Rates'!$A$5:$A$504,$A212,'AFA Rates'!$B$5:$B$504,J$24)&gt;0,"✓",""))</f>
        <v/>
      </c>
      <c r="K212" s="57">
        <f>IF(OR($A212="",K$24=""),"",IF(COUNTIFS('AFA Rates'!$A$5:$A$504,$A212,'AFA Rates'!$B$5:$B$504,K$24)&gt;0,"✓",""))</f>
        <v/>
      </c>
      <c r="L212" s="57">
        <f>IF(OR($A212="",L$24=""),"",IF(COUNTIFS('AFA Rates'!$A$5:$A$504,$A212,'AFA Rates'!$B$5:$B$504,L$24)&gt;0,"✓",""))</f>
        <v/>
      </c>
      <c r="M212" s="57">
        <f>IF(OR($A212="",M$24=""),"",IF(COUNTIFS('AFA Rates'!$A$5:$A$504,$A212,'AFA Rates'!$B$5:$B$504,M$24)&gt;0,"✓",""))</f>
        <v/>
      </c>
    </row>
    <row r="213">
      <c r="A213" s="63">
        <f>IFERROR(INDEX(Firms!$A$5:$A$504,MATCH(189,Firms!$S$5:$S$504,0)),"")</f>
        <v/>
      </c>
      <c r="B213" s="57">
        <f>IF($A213="","",INDEX(Firms!$B$5:$B$504,MATCH(189,Firms!$S$5:$S$504,0)))</f>
        <v/>
      </c>
      <c r="C213" s="57">
        <f>IF($A213="","",COUNTIF('AFA Rates'!$A$5:$A$504,$A213))</f>
        <v/>
      </c>
      <c r="D213" s="57">
        <f>IF(OR($A213="",D$24=""),"",IF(COUNTIFS('AFA Rates'!$A$5:$A$504,$A213,'AFA Rates'!$B$5:$B$504,D$24)&gt;0,"✓",""))</f>
        <v/>
      </c>
      <c r="E213" s="57">
        <f>IF(OR($A213="",E$24=""),"",IF(COUNTIFS('AFA Rates'!$A$5:$A$504,$A213,'AFA Rates'!$B$5:$B$504,E$24)&gt;0,"✓",""))</f>
        <v/>
      </c>
      <c r="F213" s="57">
        <f>IF(OR($A213="",F$24=""),"",IF(COUNTIFS('AFA Rates'!$A$5:$A$504,$A213,'AFA Rates'!$B$5:$B$504,F$24)&gt;0,"✓",""))</f>
        <v/>
      </c>
      <c r="G213" s="57">
        <f>IF(OR($A213="",G$24=""),"",IF(COUNTIFS('AFA Rates'!$A$5:$A$504,$A213,'AFA Rates'!$B$5:$B$504,G$24)&gt;0,"✓",""))</f>
        <v/>
      </c>
      <c r="H213" s="57">
        <f>IF(OR($A213="",H$24=""),"",IF(COUNTIFS('AFA Rates'!$A$5:$A$504,$A213,'AFA Rates'!$B$5:$B$504,H$24)&gt;0,"✓",""))</f>
        <v/>
      </c>
      <c r="I213" s="57">
        <f>IF(OR($A213="",I$24=""),"",IF(COUNTIFS('AFA Rates'!$A$5:$A$504,$A213,'AFA Rates'!$B$5:$B$504,I$24)&gt;0,"✓",""))</f>
        <v/>
      </c>
      <c r="J213" s="57">
        <f>IF(OR($A213="",J$24=""),"",IF(COUNTIFS('AFA Rates'!$A$5:$A$504,$A213,'AFA Rates'!$B$5:$B$504,J$24)&gt;0,"✓",""))</f>
        <v/>
      </c>
      <c r="K213" s="57">
        <f>IF(OR($A213="",K$24=""),"",IF(COUNTIFS('AFA Rates'!$A$5:$A$504,$A213,'AFA Rates'!$B$5:$B$504,K$24)&gt;0,"✓",""))</f>
        <v/>
      </c>
      <c r="L213" s="57">
        <f>IF(OR($A213="",L$24=""),"",IF(COUNTIFS('AFA Rates'!$A$5:$A$504,$A213,'AFA Rates'!$B$5:$B$504,L$24)&gt;0,"✓",""))</f>
        <v/>
      </c>
      <c r="M213" s="57">
        <f>IF(OR($A213="",M$24=""),"",IF(COUNTIFS('AFA Rates'!$A$5:$A$504,$A213,'AFA Rates'!$B$5:$B$504,M$24)&gt;0,"✓",""))</f>
        <v/>
      </c>
    </row>
    <row r="214">
      <c r="A214" s="63">
        <f>IFERROR(INDEX(Firms!$A$5:$A$504,MATCH(190,Firms!$S$5:$S$504,0)),"")</f>
        <v/>
      </c>
      <c r="B214" s="57">
        <f>IF($A214="","",INDEX(Firms!$B$5:$B$504,MATCH(190,Firms!$S$5:$S$504,0)))</f>
        <v/>
      </c>
      <c r="C214" s="57">
        <f>IF($A214="","",COUNTIF('AFA Rates'!$A$5:$A$504,$A214))</f>
        <v/>
      </c>
      <c r="D214" s="57">
        <f>IF(OR($A214="",D$24=""),"",IF(COUNTIFS('AFA Rates'!$A$5:$A$504,$A214,'AFA Rates'!$B$5:$B$504,D$24)&gt;0,"✓",""))</f>
        <v/>
      </c>
      <c r="E214" s="57">
        <f>IF(OR($A214="",E$24=""),"",IF(COUNTIFS('AFA Rates'!$A$5:$A$504,$A214,'AFA Rates'!$B$5:$B$504,E$24)&gt;0,"✓",""))</f>
        <v/>
      </c>
      <c r="F214" s="57">
        <f>IF(OR($A214="",F$24=""),"",IF(COUNTIFS('AFA Rates'!$A$5:$A$504,$A214,'AFA Rates'!$B$5:$B$504,F$24)&gt;0,"✓",""))</f>
        <v/>
      </c>
      <c r="G214" s="57">
        <f>IF(OR($A214="",G$24=""),"",IF(COUNTIFS('AFA Rates'!$A$5:$A$504,$A214,'AFA Rates'!$B$5:$B$504,G$24)&gt;0,"✓",""))</f>
        <v/>
      </c>
      <c r="H214" s="57">
        <f>IF(OR($A214="",H$24=""),"",IF(COUNTIFS('AFA Rates'!$A$5:$A$504,$A214,'AFA Rates'!$B$5:$B$504,H$24)&gt;0,"✓",""))</f>
        <v/>
      </c>
      <c r="I214" s="57">
        <f>IF(OR($A214="",I$24=""),"",IF(COUNTIFS('AFA Rates'!$A$5:$A$504,$A214,'AFA Rates'!$B$5:$B$504,I$24)&gt;0,"✓",""))</f>
        <v/>
      </c>
      <c r="J214" s="57">
        <f>IF(OR($A214="",J$24=""),"",IF(COUNTIFS('AFA Rates'!$A$5:$A$504,$A214,'AFA Rates'!$B$5:$B$504,J$24)&gt;0,"✓",""))</f>
        <v/>
      </c>
      <c r="K214" s="57">
        <f>IF(OR($A214="",K$24=""),"",IF(COUNTIFS('AFA Rates'!$A$5:$A$504,$A214,'AFA Rates'!$B$5:$B$504,K$24)&gt;0,"✓",""))</f>
        <v/>
      </c>
      <c r="L214" s="57">
        <f>IF(OR($A214="",L$24=""),"",IF(COUNTIFS('AFA Rates'!$A$5:$A$504,$A214,'AFA Rates'!$B$5:$B$504,L$24)&gt;0,"✓",""))</f>
        <v/>
      </c>
      <c r="M214" s="57">
        <f>IF(OR($A214="",M$24=""),"",IF(COUNTIFS('AFA Rates'!$A$5:$A$504,$A214,'AFA Rates'!$B$5:$B$504,M$24)&gt;0,"✓",""))</f>
        <v/>
      </c>
    </row>
    <row r="215">
      <c r="A215" s="63">
        <f>IFERROR(INDEX(Firms!$A$5:$A$504,MATCH(191,Firms!$S$5:$S$504,0)),"")</f>
        <v/>
      </c>
      <c r="B215" s="57">
        <f>IF($A215="","",INDEX(Firms!$B$5:$B$504,MATCH(191,Firms!$S$5:$S$504,0)))</f>
        <v/>
      </c>
      <c r="C215" s="57">
        <f>IF($A215="","",COUNTIF('AFA Rates'!$A$5:$A$504,$A215))</f>
        <v/>
      </c>
      <c r="D215" s="57">
        <f>IF(OR($A215="",D$24=""),"",IF(COUNTIFS('AFA Rates'!$A$5:$A$504,$A215,'AFA Rates'!$B$5:$B$504,D$24)&gt;0,"✓",""))</f>
        <v/>
      </c>
      <c r="E215" s="57">
        <f>IF(OR($A215="",E$24=""),"",IF(COUNTIFS('AFA Rates'!$A$5:$A$504,$A215,'AFA Rates'!$B$5:$B$504,E$24)&gt;0,"✓",""))</f>
        <v/>
      </c>
      <c r="F215" s="57">
        <f>IF(OR($A215="",F$24=""),"",IF(COUNTIFS('AFA Rates'!$A$5:$A$504,$A215,'AFA Rates'!$B$5:$B$504,F$24)&gt;0,"✓",""))</f>
        <v/>
      </c>
      <c r="G215" s="57">
        <f>IF(OR($A215="",G$24=""),"",IF(COUNTIFS('AFA Rates'!$A$5:$A$504,$A215,'AFA Rates'!$B$5:$B$504,G$24)&gt;0,"✓",""))</f>
        <v/>
      </c>
      <c r="H215" s="57">
        <f>IF(OR($A215="",H$24=""),"",IF(COUNTIFS('AFA Rates'!$A$5:$A$504,$A215,'AFA Rates'!$B$5:$B$504,H$24)&gt;0,"✓",""))</f>
        <v/>
      </c>
      <c r="I215" s="57">
        <f>IF(OR($A215="",I$24=""),"",IF(COUNTIFS('AFA Rates'!$A$5:$A$504,$A215,'AFA Rates'!$B$5:$B$504,I$24)&gt;0,"✓",""))</f>
        <v/>
      </c>
      <c r="J215" s="57">
        <f>IF(OR($A215="",J$24=""),"",IF(COUNTIFS('AFA Rates'!$A$5:$A$504,$A215,'AFA Rates'!$B$5:$B$504,J$24)&gt;0,"✓",""))</f>
        <v/>
      </c>
      <c r="K215" s="57">
        <f>IF(OR($A215="",K$24=""),"",IF(COUNTIFS('AFA Rates'!$A$5:$A$504,$A215,'AFA Rates'!$B$5:$B$504,K$24)&gt;0,"✓",""))</f>
        <v/>
      </c>
      <c r="L215" s="57">
        <f>IF(OR($A215="",L$24=""),"",IF(COUNTIFS('AFA Rates'!$A$5:$A$504,$A215,'AFA Rates'!$B$5:$B$504,L$24)&gt;0,"✓",""))</f>
        <v/>
      </c>
      <c r="M215" s="57">
        <f>IF(OR($A215="",M$24=""),"",IF(COUNTIFS('AFA Rates'!$A$5:$A$504,$A215,'AFA Rates'!$B$5:$B$504,M$24)&gt;0,"✓",""))</f>
        <v/>
      </c>
    </row>
    <row r="216">
      <c r="A216" s="63">
        <f>IFERROR(INDEX(Firms!$A$5:$A$504,MATCH(192,Firms!$S$5:$S$504,0)),"")</f>
        <v/>
      </c>
      <c r="B216" s="57">
        <f>IF($A216="","",INDEX(Firms!$B$5:$B$504,MATCH(192,Firms!$S$5:$S$504,0)))</f>
        <v/>
      </c>
      <c r="C216" s="57">
        <f>IF($A216="","",COUNTIF('AFA Rates'!$A$5:$A$504,$A216))</f>
        <v/>
      </c>
      <c r="D216" s="57">
        <f>IF(OR($A216="",D$24=""),"",IF(COUNTIFS('AFA Rates'!$A$5:$A$504,$A216,'AFA Rates'!$B$5:$B$504,D$24)&gt;0,"✓",""))</f>
        <v/>
      </c>
      <c r="E216" s="57">
        <f>IF(OR($A216="",E$24=""),"",IF(COUNTIFS('AFA Rates'!$A$5:$A$504,$A216,'AFA Rates'!$B$5:$B$504,E$24)&gt;0,"✓",""))</f>
        <v/>
      </c>
      <c r="F216" s="57">
        <f>IF(OR($A216="",F$24=""),"",IF(COUNTIFS('AFA Rates'!$A$5:$A$504,$A216,'AFA Rates'!$B$5:$B$504,F$24)&gt;0,"✓",""))</f>
        <v/>
      </c>
      <c r="G216" s="57">
        <f>IF(OR($A216="",G$24=""),"",IF(COUNTIFS('AFA Rates'!$A$5:$A$504,$A216,'AFA Rates'!$B$5:$B$504,G$24)&gt;0,"✓",""))</f>
        <v/>
      </c>
      <c r="H216" s="57">
        <f>IF(OR($A216="",H$24=""),"",IF(COUNTIFS('AFA Rates'!$A$5:$A$504,$A216,'AFA Rates'!$B$5:$B$504,H$24)&gt;0,"✓",""))</f>
        <v/>
      </c>
      <c r="I216" s="57">
        <f>IF(OR($A216="",I$24=""),"",IF(COUNTIFS('AFA Rates'!$A$5:$A$504,$A216,'AFA Rates'!$B$5:$B$504,I$24)&gt;0,"✓",""))</f>
        <v/>
      </c>
      <c r="J216" s="57">
        <f>IF(OR($A216="",J$24=""),"",IF(COUNTIFS('AFA Rates'!$A$5:$A$504,$A216,'AFA Rates'!$B$5:$B$504,J$24)&gt;0,"✓",""))</f>
        <v/>
      </c>
      <c r="K216" s="57">
        <f>IF(OR($A216="",K$24=""),"",IF(COUNTIFS('AFA Rates'!$A$5:$A$504,$A216,'AFA Rates'!$B$5:$B$504,K$24)&gt;0,"✓",""))</f>
        <v/>
      </c>
      <c r="L216" s="57">
        <f>IF(OR($A216="",L$24=""),"",IF(COUNTIFS('AFA Rates'!$A$5:$A$504,$A216,'AFA Rates'!$B$5:$B$504,L$24)&gt;0,"✓",""))</f>
        <v/>
      </c>
      <c r="M216" s="57">
        <f>IF(OR($A216="",M$24=""),"",IF(COUNTIFS('AFA Rates'!$A$5:$A$504,$A216,'AFA Rates'!$B$5:$B$504,M$24)&gt;0,"✓",""))</f>
        <v/>
      </c>
    </row>
    <row r="217">
      <c r="A217" s="63">
        <f>IFERROR(INDEX(Firms!$A$5:$A$504,MATCH(193,Firms!$S$5:$S$504,0)),"")</f>
        <v/>
      </c>
      <c r="B217" s="57">
        <f>IF($A217="","",INDEX(Firms!$B$5:$B$504,MATCH(193,Firms!$S$5:$S$504,0)))</f>
        <v/>
      </c>
      <c r="C217" s="57">
        <f>IF($A217="","",COUNTIF('AFA Rates'!$A$5:$A$504,$A217))</f>
        <v/>
      </c>
      <c r="D217" s="57">
        <f>IF(OR($A217="",D$24=""),"",IF(COUNTIFS('AFA Rates'!$A$5:$A$504,$A217,'AFA Rates'!$B$5:$B$504,D$24)&gt;0,"✓",""))</f>
        <v/>
      </c>
      <c r="E217" s="57">
        <f>IF(OR($A217="",E$24=""),"",IF(COUNTIFS('AFA Rates'!$A$5:$A$504,$A217,'AFA Rates'!$B$5:$B$504,E$24)&gt;0,"✓",""))</f>
        <v/>
      </c>
      <c r="F217" s="57">
        <f>IF(OR($A217="",F$24=""),"",IF(COUNTIFS('AFA Rates'!$A$5:$A$504,$A217,'AFA Rates'!$B$5:$B$504,F$24)&gt;0,"✓",""))</f>
        <v/>
      </c>
      <c r="G217" s="57">
        <f>IF(OR($A217="",G$24=""),"",IF(COUNTIFS('AFA Rates'!$A$5:$A$504,$A217,'AFA Rates'!$B$5:$B$504,G$24)&gt;0,"✓",""))</f>
        <v/>
      </c>
      <c r="H217" s="57">
        <f>IF(OR($A217="",H$24=""),"",IF(COUNTIFS('AFA Rates'!$A$5:$A$504,$A217,'AFA Rates'!$B$5:$B$504,H$24)&gt;0,"✓",""))</f>
        <v/>
      </c>
      <c r="I217" s="57">
        <f>IF(OR($A217="",I$24=""),"",IF(COUNTIFS('AFA Rates'!$A$5:$A$504,$A217,'AFA Rates'!$B$5:$B$504,I$24)&gt;0,"✓",""))</f>
        <v/>
      </c>
      <c r="J217" s="57">
        <f>IF(OR($A217="",J$24=""),"",IF(COUNTIFS('AFA Rates'!$A$5:$A$504,$A217,'AFA Rates'!$B$5:$B$504,J$24)&gt;0,"✓",""))</f>
        <v/>
      </c>
      <c r="K217" s="57">
        <f>IF(OR($A217="",K$24=""),"",IF(COUNTIFS('AFA Rates'!$A$5:$A$504,$A217,'AFA Rates'!$B$5:$B$504,K$24)&gt;0,"✓",""))</f>
        <v/>
      </c>
      <c r="L217" s="57">
        <f>IF(OR($A217="",L$24=""),"",IF(COUNTIFS('AFA Rates'!$A$5:$A$504,$A217,'AFA Rates'!$B$5:$B$504,L$24)&gt;0,"✓",""))</f>
        <v/>
      </c>
      <c r="M217" s="57">
        <f>IF(OR($A217="",M$24=""),"",IF(COUNTIFS('AFA Rates'!$A$5:$A$504,$A217,'AFA Rates'!$B$5:$B$504,M$24)&gt;0,"✓",""))</f>
        <v/>
      </c>
    </row>
    <row r="218">
      <c r="A218" s="63">
        <f>IFERROR(INDEX(Firms!$A$5:$A$504,MATCH(194,Firms!$S$5:$S$504,0)),"")</f>
        <v/>
      </c>
      <c r="B218" s="57">
        <f>IF($A218="","",INDEX(Firms!$B$5:$B$504,MATCH(194,Firms!$S$5:$S$504,0)))</f>
        <v/>
      </c>
      <c r="C218" s="57">
        <f>IF($A218="","",COUNTIF('AFA Rates'!$A$5:$A$504,$A218))</f>
        <v/>
      </c>
      <c r="D218" s="57">
        <f>IF(OR($A218="",D$24=""),"",IF(COUNTIFS('AFA Rates'!$A$5:$A$504,$A218,'AFA Rates'!$B$5:$B$504,D$24)&gt;0,"✓",""))</f>
        <v/>
      </c>
      <c r="E218" s="57">
        <f>IF(OR($A218="",E$24=""),"",IF(COUNTIFS('AFA Rates'!$A$5:$A$504,$A218,'AFA Rates'!$B$5:$B$504,E$24)&gt;0,"✓",""))</f>
        <v/>
      </c>
      <c r="F218" s="57">
        <f>IF(OR($A218="",F$24=""),"",IF(COUNTIFS('AFA Rates'!$A$5:$A$504,$A218,'AFA Rates'!$B$5:$B$504,F$24)&gt;0,"✓",""))</f>
        <v/>
      </c>
      <c r="G218" s="57">
        <f>IF(OR($A218="",G$24=""),"",IF(COUNTIFS('AFA Rates'!$A$5:$A$504,$A218,'AFA Rates'!$B$5:$B$504,G$24)&gt;0,"✓",""))</f>
        <v/>
      </c>
      <c r="H218" s="57">
        <f>IF(OR($A218="",H$24=""),"",IF(COUNTIFS('AFA Rates'!$A$5:$A$504,$A218,'AFA Rates'!$B$5:$B$504,H$24)&gt;0,"✓",""))</f>
        <v/>
      </c>
      <c r="I218" s="57">
        <f>IF(OR($A218="",I$24=""),"",IF(COUNTIFS('AFA Rates'!$A$5:$A$504,$A218,'AFA Rates'!$B$5:$B$504,I$24)&gt;0,"✓",""))</f>
        <v/>
      </c>
      <c r="J218" s="57">
        <f>IF(OR($A218="",J$24=""),"",IF(COUNTIFS('AFA Rates'!$A$5:$A$504,$A218,'AFA Rates'!$B$5:$B$504,J$24)&gt;0,"✓",""))</f>
        <v/>
      </c>
      <c r="K218" s="57">
        <f>IF(OR($A218="",K$24=""),"",IF(COUNTIFS('AFA Rates'!$A$5:$A$504,$A218,'AFA Rates'!$B$5:$B$504,K$24)&gt;0,"✓",""))</f>
        <v/>
      </c>
      <c r="L218" s="57">
        <f>IF(OR($A218="",L$24=""),"",IF(COUNTIFS('AFA Rates'!$A$5:$A$504,$A218,'AFA Rates'!$B$5:$B$504,L$24)&gt;0,"✓",""))</f>
        <v/>
      </c>
      <c r="M218" s="57">
        <f>IF(OR($A218="",M$24=""),"",IF(COUNTIFS('AFA Rates'!$A$5:$A$504,$A218,'AFA Rates'!$B$5:$B$504,M$24)&gt;0,"✓",""))</f>
        <v/>
      </c>
    </row>
    <row r="219">
      <c r="A219" s="63">
        <f>IFERROR(INDEX(Firms!$A$5:$A$504,MATCH(195,Firms!$S$5:$S$504,0)),"")</f>
        <v/>
      </c>
      <c r="B219" s="57">
        <f>IF($A219="","",INDEX(Firms!$B$5:$B$504,MATCH(195,Firms!$S$5:$S$504,0)))</f>
        <v/>
      </c>
      <c r="C219" s="57">
        <f>IF($A219="","",COUNTIF('AFA Rates'!$A$5:$A$504,$A219))</f>
        <v/>
      </c>
      <c r="D219" s="57">
        <f>IF(OR($A219="",D$24=""),"",IF(COUNTIFS('AFA Rates'!$A$5:$A$504,$A219,'AFA Rates'!$B$5:$B$504,D$24)&gt;0,"✓",""))</f>
        <v/>
      </c>
      <c r="E219" s="57">
        <f>IF(OR($A219="",E$24=""),"",IF(COUNTIFS('AFA Rates'!$A$5:$A$504,$A219,'AFA Rates'!$B$5:$B$504,E$24)&gt;0,"✓",""))</f>
        <v/>
      </c>
      <c r="F219" s="57">
        <f>IF(OR($A219="",F$24=""),"",IF(COUNTIFS('AFA Rates'!$A$5:$A$504,$A219,'AFA Rates'!$B$5:$B$504,F$24)&gt;0,"✓",""))</f>
        <v/>
      </c>
      <c r="G219" s="57">
        <f>IF(OR($A219="",G$24=""),"",IF(COUNTIFS('AFA Rates'!$A$5:$A$504,$A219,'AFA Rates'!$B$5:$B$504,G$24)&gt;0,"✓",""))</f>
        <v/>
      </c>
      <c r="H219" s="57">
        <f>IF(OR($A219="",H$24=""),"",IF(COUNTIFS('AFA Rates'!$A$5:$A$504,$A219,'AFA Rates'!$B$5:$B$504,H$24)&gt;0,"✓",""))</f>
        <v/>
      </c>
      <c r="I219" s="57">
        <f>IF(OR($A219="",I$24=""),"",IF(COUNTIFS('AFA Rates'!$A$5:$A$504,$A219,'AFA Rates'!$B$5:$B$504,I$24)&gt;0,"✓",""))</f>
        <v/>
      </c>
      <c r="J219" s="57">
        <f>IF(OR($A219="",J$24=""),"",IF(COUNTIFS('AFA Rates'!$A$5:$A$504,$A219,'AFA Rates'!$B$5:$B$504,J$24)&gt;0,"✓",""))</f>
        <v/>
      </c>
      <c r="K219" s="57">
        <f>IF(OR($A219="",K$24=""),"",IF(COUNTIFS('AFA Rates'!$A$5:$A$504,$A219,'AFA Rates'!$B$5:$B$504,K$24)&gt;0,"✓",""))</f>
        <v/>
      </c>
      <c r="L219" s="57">
        <f>IF(OR($A219="",L$24=""),"",IF(COUNTIFS('AFA Rates'!$A$5:$A$504,$A219,'AFA Rates'!$B$5:$B$504,L$24)&gt;0,"✓",""))</f>
        <v/>
      </c>
      <c r="M219" s="57">
        <f>IF(OR($A219="",M$24=""),"",IF(COUNTIFS('AFA Rates'!$A$5:$A$504,$A219,'AFA Rates'!$B$5:$B$504,M$24)&gt;0,"✓",""))</f>
        <v/>
      </c>
    </row>
    <row r="220">
      <c r="A220" s="63">
        <f>IFERROR(INDEX(Firms!$A$5:$A$504,MATCH(196,Firms!$S$5:$S$504,0)),"")</f>
        <v/>
      </c>
      <c r="B220" s="57">
        <f>IF($A220="","",INDEX(Firms!$B$5:$B$504,MATCH(196,Firms!$S$5:$S$504,0)))</f>
        <v/>
      </c>
      <c r="C220" s="57">
        <f>IF($A220="","",COUNTIF('AFA Rates'!$A$5:$A$504,$A220))</f>
        <v/>
      </c>
      <c r="D220" s="57">
        <f>IF(OR($A220="",D$24=""),"",IF(COUNTIFS('AFA Rates'!$A$5:$A$504,$A220,'AFA Rates'!$B$5:$B$504,D$24)&gt;0,"✓",""))</f>
        <v/>
      </c>
      <c r="E220" s="57">
        <f>IF(OR($A220="",E$24=""),"",IF(COUNTIFS('AFA Rates'!$A$5:$A$504,$A220,'AFA Rates'!$B$5:$B$504,E$24)&gt;0,"✓",""))</f>
        <v/>
      </c>
      <c r="F220" s="57">
        <f>IF(OR($A220="",F$24=""),"",IF(COUNTIFS('AFA Rates'!$A$5:$A$504,$A220,'AFA Rates'!$B$5:$B$504,F$24)&gt;0,"✓",""))</f>
        <v/>
      </c>
      <c r="G220" s="57">
        <f>IF(OR($A220="",G$24=""),"",IF(COUNTIFS('AFA Rates'!$A$5:$A$504,$A220,'AFA Rates'!$B$5:$B$504,G$24)&gt;0,"✓",""))</f>
        <v/>
      </c>
      <c r="H220" s="57">
        <f>IF(OR($A220="",H$24=""),"",IF(COUNTIFS('AFA Rates'!$A$5:$A$504,$A220,'AFA Rates'!$B$5:$B$504,H$24)&gt;0,"✓",""))</f>
        <v/>
      </c>
      <c r="I220" s="57">
        <f>IF(OR($A220="",I$24=""),"",IF(COUNTIFS('AFA Rates'!$A$5:$A$504,$A220,'AFA Rates'!$B$5:$B$504,I$24)&gt;0,"✓",""))</f>
        <v/>
      </c>
      <c r="J220" s="57">
        <f>IF(OR($A220="",J$24=""),"",IF(COUNTIFS('AFA Rates'!$A$5:$A$504,$A220,'AFA Rates'!$B$5:$B$504,J$24)&gt;0,"✓",""))</f>
        <v/>
      </c>
      <c r="K220" s="57">
        <f>IF(OR($A220="",K$24=""),"",IF(COUNTIFS('AFA Rates'!$A$5:$A$504,$A220,'AFA Rates'!$B$5:$B$504,K$24)&gt;0,"✓",""))</f>
        <v/>
      </c>
      <c r="L220" s="57">
        <f>IF(OR($A220="",L$24=""),"",IF(COUNTIFS('AFA Rates'!$A$5:$A$504,$A220,'AFA Rates'!$B$5:$B$504,L$24)&gt;0,"✓",""))</f>
        <v/>
      </c>
      <c r="M220" s="57">
        <f>IF(OR($A220="",M$24=""),"",IF(COUNTIFS('AFA Rates'!$A$5:$A$504,$A220,'AFA Rates'!$B$5:$B$504,M$24)&gt;0,"✓",""))</f>
        <v/>
      </c>
    </row>
    <row r="221">
      <c r="A221" s="63">
        <f>IFERROR(INDEX(Firms!$A$5:$A$504,MATCH(197,Firms!$S$5:$S$504,0)),"")</f>
        <v/>
      </c>
      <c r="B221" s="57">
        <f>IF($A221="","",INDEX(Firms!$B$5:$B$504,MATCH(197,Firms!$S$5:$S$504,0)))</f>
        <v/>
      </c>
      <c r="C221" s="57">
        <f>IF($A221="","",COUNTIF('AFA Rates'!$A$5:$A$504,$A221))</f>
        <v/>
      </c>
      <c r="D221" s="57">
        <f>IF(OR($A221="",D$24=""),"",IF(COUNTIFS('AFA Rates'!$A$5:$A$504,$A221,'AFA Rates'!$B$5:$B$504,D$24)&gt;0,"✓",""))</f>
        <v/>
      </c>
      <c r="E221" s="57">
        <f>IF(OR($A221="",E$24=""),"",IF(COUNTIFS('AFA Rates'!$A$5:$A$504,$A221,'AFA Rates'!$B$5:$B$504,E$24)&gt;0,"✓",""))</f>
        <v/>
      </c>
      <c r="F221" s="57">
        <f>IF(OR($A221="",F$24=""),"",IF(COUNTIFS('AFA Rates'!$A$5:$A$504,$A221,'AFA Rates'!$B$5:$B$504,F$24)&gt;0,"✓",""))</f>
        <v/>
      </c>
      <c r="G221" s="57">
        <f>IF(OR($A221="",G$24=""),"",IF(COUNTIFS('AFA Rates'!$A$5:$A$504,$A221,'AFA Rates'!$B$5:$B$504,G$24)&gt;0,"✓",""))</f>
        <v/>
      </c>
      <c r="H221" s="57">
        <f>IF(OR($A221="",H$24=""),"",IF(COUNTIFS('AFA Rates'!$A$5:$A$504,$A221,'AFA Rates'!$B$5:$B$504,H$24)&gt;0,"✓",""))</f>
        <v/>
      </c>
      <c r="I221" s="57">
        <f>IF(OR($A221="",I$24=""),"",IF(COUNTIFS('AFA Rates'!$A$5:$A$504,$A221,'AFA Rates'!$B$5:$B$504,I$24)&gt;0,"✓",""))</f>
        <v/>
      </c>
      <c r="J221" s="57">
        <f>IF(OR($A221="",J$24=""),"",IF(COUNTIFS('AFA Rates'!$A$5:$A$504,$A221,'AFA Rates'!$B$5:$B$504,J$24)&gt;0,"✓",""))</f>
        <v/>
      </c>
      <c r="K221" s="57">
        <f>IF(OR($A221="",K$24=""),"",IF(COUNTIFS('AFA Rates'!$A$5:$A$504,$A221,'AFA Rates'!$B$5:$B$504,K$24)&gt;0,"✓",""))</f>
        <v/>
      </c>
      <c r="L221" s="57">
        <f>IF(OR($A221="",L$24=""),"",IF(COUNTIFS('AFA Rates'!$A$5:$A$504,$A221,'AFA Rates'!$B$5:$B$504,L$24)&gt;0,"✓",""))</f>
        <v/>
      </c>
      <c r="M221" s="57">
        <f>IF(OR($A221="",M$24=""),"",IF(COUNTIFS('AFA Rates'!$A$5:$A$504,$A221,'AFA Rates'!$B$5:$B$504,M$24)&gt;0,"✓",""))</f>
        <v/>
      </c>
    </row>
    <row r="222">
      <c r="A222" s="63">
        <f>IFERROR(INDEX(Firms!$A$5:$A$504,MATCH(198,Firms!$S$5:$S$504,0)),"")</f>
        <v/>
      </c>
      <c r="B222" s="57">
        <f>IF($A222="","",INDEX(Firms!$B$5:$B$504,MATCH(198,Firms!$S$5:$S$504,0)))</f>
        <v/>
      </c>
      <c r="C222" s="57">
        <f>IF($A222="","",COUNTIF('AFA Rates'!$A$5:$A$504,$A222))</f>
        <v/>
      </c>
      <c r="D222" s="57">
        <f>IF(OR($A222="",D$24=""),"",IF(COUNTIFS('AFA Rates'!$A$5:$A$504,$A222,'AFA Rates'!$B$5:$B$504,D$24)&gt;0,"✓",""))</f>
        <v/>
      </c>
      <c r="E222" s="57">
        <f>IF(OR($A222="",E$24=""),"",IF(COUNTIFS('AFA Rates'!$A$5:$A$504,$A222,'AFA Rates'!$B$5:$B$504,E$24)&gt;0,"✓",""))</f>
        <v/>
      </c>
      <c r="F222" s="57">
        <f>IF(OR($A222="",F$24=""),"",IF(COUNTIFS('AFA Rates'!$A$5:$A$504,$A222,'AFA Rates'!$B$5:$B$504,F$24)&gt;0,"✓",""))</f>
        <v/>
      </c>
      <c r="G222" s="57">
        <f>IF(OR($A222="",G$24=""),"",IF(COUNTIFS('AFA Rates'!$A$5:$A$504,$A222,'AFA Rates'!$B$5:$B$504,G$24)&gt;0,"✓",""))</f>
        <v/>
      </c>
      <c r="H222" s="57">
        <f>IF(OR($A222="",H$24=""),"",IF(COUNTIFS('AFA Rates'!$A$5:$A$504,$A222,'AFA Rates'!$B$5:$B$504,H$24)&gt;0,"✓",""))</f>
        <v/>
      </c>
      <c r="I222" s="57">
        <f>IF(OR($A222="",I$24=""),"",IF(COUNTIFS('AFA Rates'!$A$5:$A$504,$A222,'AFA Rates'!$B$5:$B$504,I$24)&gt;0,"✓",""))</f>
        <v/>
      </c>
      <c r="J222" s="57">
        <f>IF(OR($A222="",J$24=""),"",IF(COUNTIFS('AFA Rates'!$A$5:$A$504,$A222,'AFA Rates'!$B$5:$B$504,J$24)&gt;0,"✓",""))</f>
        <v/>
      </c>
      <c r="K222" s="57">
        <f>IF(OR($A222="",K$24=""),"",IF(COUNTIFS('AFA Rates'!$A$5:$A$504,$A222,'AFA Rates'!$B$5:$B$504,K$24)&gt;0,"✓",""))</f>
        <v/>
      </c>
      <c r="L222" s="57">
        <f>IF(OR($A222="",L$24=""),"",IF(COUNTIFS('AFA Rates'!$A$5:$A$504,$A222,'AFA Rates'!$B$5:$B$504,L$24)&gt;0,"✓",""))</f>
        <v/>
      </c>
      <c r="M222" s="57">
        <f>IF(OR($A222="",M$24=""),"",IF(COUNTIFS('AFA Rates'!$A$5:$A$504,$A222,'AFA Rates'!$B$5:$B$504,M$24)&gt;0,"✓",""))</f>
        <v/>
      </c>
    </row>
    <row r="223">
      <c r="A223" s="63">
        <f>IFERROR(INDEX(Firms!$A$5:$A$504,MATCH(199,Firms!$S$5:$S$504,0)),"")</f>
        <v/>
      </c>
      <c r="B223" s="57">
        <f>IF($A223="","",INDEX(Firms!$B$5:$B$504,MATCH(199,Firms!$S$5:$S$504,0)))</f>
        <v/>
      </c>
      <c r="C223" s="57">
        <f>IF($A223="","",COUNTIF('AFA Rates'!$A$5:$A$504,$A223))</f>
        <v/>
      </c>
      <c r="D223" s="57">
        <f>IF(OR($A223="",D$24=""),"",IF(COUNTIFS('AFA Rates'!$A$5:$A$504,$A223,'AFA Rates'!$B$5:$B$504,D$24)&gt;0,"✓",""))</f>
        <v/>
      </c>
      <c r="E223" s="57">
        <f>IF(OR($A223="",E$24=""),"",IF(COUNTIFS('AFA Rates'!$A$5:$A$504,$A223,'AFA Rates'!$B$5:$B$504,E$24)&gt;0,"✓",""))</f>
        <v/>
      </c>
      <c r="F223" s="57">
        <f>IF(OR($A223="",F$24=""),"",IF(COUNTIFS('AFA Rates'!$A$5:$A$504,$A223,'AFA Rates'!$B$5:$B$504,F$24)&gt;0,"✓",""))</f>
        <v/>
      </c>
      <c r="G223" s="57">
        <f>IF(OR($A223="",G$24=""),"",IF(COUNTIFS('AFA Rates'!$A$5:$A$504,$A223,'AFA Rates'!$B$5:$B$504,G$24)&gt;0,"✓",""))</f>
        <v/>
      </c>
      <c r="H223" s="57">
        <f>IF(OR($A223="",H$24=""),"",IF(COUNTIFS('AFA Rates'!$A$5:$A$504,$A223,'AFA Rates'!$B$5:$B$504,H$24)&gt;0,"✓",""))</f>
        <v/>
      </c>
      <c r="I223" s="57">
        <f>IF(OR($A223="",I$24=""),"",IF(COUNTIFS('AFA Rates'!$A$5:$A$504,$A223,'AFA Rates'!$B$5:$B$504,I$24)&gt;0,"✓",""))</f>
        <v/>
      </c>
      <c r="J223" s="57">
        <f>IF(OR($A223="",J$24=""),"",IF(COUNTIFS('AFA Rates'!$A$5:$A$504,$A223,'AFA Rates'!$B$5:$B$504,J$24)&gt;0,"✓",""))</f>
        <v/>
      </c>
      <c r="K223" s="57">
        <f>IF(OR($A223="",K$24=""),"",IF(COUNTIFS('AFA Rates'!$A$5:$A$504,$A223,'AFA Rates'!$B$5:$B$504,K$24)&gt;0,"✓",""))</f>
        <v/>
      </c>
      <c r="L223" s="57">
        <f>IF(OR($A223="",L$24=""),"",IF(COUNTIFS('AFA Rates'!$A$5:$A$504,$A223,'AFA Rates'!$B$5:$B$504,L$24)&gt;0,"✓",""))</f>
        <v/>
      </c>
      <c r="M223" s="57">
        <f>IF(OR($A223="",M$24=""),"",IF(COUNTIFS('AFA Rates'!$A$5:$A$504,$A223,'AFA Rates'!$B$5:$B$504,M$24)&gt;0,"✓",""))</f>
        <v/>
      </c>
    </row>
    <row r="224">
      <c r="A224" s="63">
        <f>IFERROR(INDEX(Firms!$A$5:$A$504,MATCH(200,Firms!$S$5:$S$504,0)),"")</f>
        <v/>
      </c>
      <c r="B224" s="57">
        <f>IF($A224="","",INDEX(Firms!$B$5:$B$504,MATCH(200,Firms!$S$5:$S$504,0)))</f>
        <v/>
      </c>
      <c r="C224" s="57">
        <f>IF($A224="","",COUNTIF('AFA Rates'!$A$5:$A$504,$A224))</f>
        <v/>
      </c>
      <c r="D224" s="57">
        <f>IF(OR($A224="",D$24=""),"",IF(COUNTIFS('AFA Rates'!$A$5:$A$504,$A224,'AFA Rates'!$B$5:$B$504,D$24)&gt;0,"✓",""))</f>
        <v/>
      </c>
      <c r="E224" s="57">
        <f>IF(OR($A224="",E$24=""),"",IF(COUNTIFS('AFA Rates'!$A$5:$A$504,$A224,'AFA Rates'!$B$5:$B$504,E$24)&gt;0,"✓",""))</f>
        <v/>
      </c>
      <c r="F224" s="57">
        <f>IF(OR($A224="",F$24=""),"",IF(COUNTIFS('AFA Rates'!$A$5:$A$504,$A224,'AFA Rates'!$B$5:$B$504,F$24)&gt;0,"✓",""))</f>
        <v/>
      </c>
      <c r="G224" s="57">
        <f>IF(OR($A224="",G$24=""),"",IF(COUNTIFS('AFA Rates'!$A$5:$A$504,$A224,'AFA Rates'!$B$5:$B$504,G$24)&gt;0,"✓",""))</f>
        <v/>
      </c>
      <c r="H224" s="57">
        <f>IF(OR($A224="",H$24=""),"",IF(COUNTIFS('AFA Rates'!$A$5:$A$504,$A224,'AFA Rates'!$B$5:$B$504,H$24)&gt;0,"✓",""))</f>
        <v/>
      </c>
      <c r="I224" s="57">
        <f>IF(OR($A224="",I$24=""),"",IF(COUNTIFS('AFA Rates'!$A$5:$A$504,$A224,'AFA Rates'!$B$5:$B$504,I$24)&gt;0,"✓",""))</f>
        <v/>
      </c>
      <c r="J224" s="57">
        <f>IF(OR($A224="",J$24=""),"",IF(COUNTIFS('AFA Rates'!$A$5:$A$504,$A224,'AFA Rates'!$B$5:$B$504,J$24)&gt;0,"✓",""))</f>
        <v/>
      </c>
      <c r="K224" s="57">
        <f>IF(OR($A224="",K$24=""),"",IF(COUNTIFS('AFA Rates'!$A$5:$A$504,$A224,'AFA Rates'!$B$5:$B$504,K$24)&gt;0,"✓",""))</f>
        <v/>
      </c>
      <c r="L224" s="57">
        <f>IF(OR($A224="",L$24=""),"",IF(COUNTIFS('AFA Rates'!$A$5:$A$504,$A224,'AFA Rates'!$B$5:$B$504,L$24)&gt;0,"✓",""))</f>
        <v/>
      </c>
      <c r="M224" s="57">
        <f>IF(OR($A224="",M$24=""),"",IF(COUNTIFS('AFA Rates'!$A$5:$A$504,$A224,'AFA Rates'!$B$5:$B$504,M$24)&gt;0,"✓",""))</f>
        <v/>
      </c>
    </row>
  </sheetData>
  <mergeCells count="26">
    <mergeCell ref="D20:E20"/>
    <mergeCell ref="D10:E10"/>
    <mergeCell ref="I6:J6"/>
    <mergeCell ref="D19:E19"/>
    <mergeCell ref="I11:J11"/>
    <mergeCell ref="D6:E6"/>
    <mergeCell ref="D11:E11"/>
    <mergeCell ref="D13:E13"/>
    <mergeCell ref="I7:J7"/>
    <mergeCell ref="D17:E17"/>
    <mergeCell ref="D16:E16"/>
    <mergeCell ref="I12:J12"/>
    <mergeCell ref="D7:E7"/>
    <mergeCell ref="I5:J5"/>
    <mergeCell ref="D18:E18"/>
    <mergeCell ref="I8:J8"/>
    <mergeCell ref="I14:J14"/>
    <mergeCell ref="D9:E9"/>
    <mergeCell ref="D12:E12"/>
    <mergeCell ref="D8:E8"/>
    <mergeCell ref="D15:E15"/>
    <mergeCell ref="I10:J10"/>
    <mergeCell ref="D5:E5"/>
    <mergeCell ref="D14:E14"/>
    <mergeCell ref="I13:J13"/>
    <mergeCell ref="I9:J9"/>
  </mergeCells>
  <conditionalFormatting sqref="D6:G20">
    <cfRule type="expression" priority="1" dxfId="9">
      <formula>$D6&lt;&gt;""</formula>
    </cfRule>
  </conditionalFormatting>
  <conditionalFormatting sqref="I6:K14">
    <cfRule type="expression" priority="2" dxfId="10">
      <formula>$I6&lt;&gt;""</formula>
    </cfRule>
  </conditionalFormatting>
  <conditionalFormatting sqref="A25:M224">
    <cfRule type="expression" priority="3" dxfId="11">
      <formula>$A25&lt;&gt;""</formula>
    </cfRule>
  </conditionalFormatting>
  <conditionalFormatting sqref="D25:M224">
    <cfRule type="cellIs" priority="4" operator="equal" dxfId="1">
      <formula>"✓"</formula>
    </cfRule>
  </conditionalFormatting>
  <conditionalFormatting sqref="B25:B224">
    <cfRule type="cellIs" priority="5" operator="equal" dxfId="0">
      <formula>"Paused"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/>
  </sheetPr>
  <dimension ref="A1:G55"/>
  <sheetViews>
    <sheetView showGridLines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24" customWidth="1" min="3" max="3"/>
    <col width="3" customWidth="1" min="4" max="4"/>
    <col width="14" customWidth="1" min="5" max="5"/>
    <col width="3" customWidth="1" min="6" max="6"/>
    <col width="24" customWidth="1" min="7" max="7"/>
  </cols>
  <sheetData>
    <row r="1" ht="34" customHeight="1">
      <c r="A1" s="47" t="inlineStr">
        <is>
          <t>Lists &amp; Dropdown Options</t>
        </is>
      </c>
    </row>
    <row r="2" ht="22" customHeight="1">
      <c r="A2" s="48" t="inlineStr">
        <is>
          <t>Edit the yellow cells to change what appears in dropdowns. Add new AFA types in the next empty yellow cell.</t>
        </is>
      </c>
    </row>
    <row r="4" ht="30" customHeight="1">
      <c r="A4" s="49" t="inlineStr">
        <is>
          <t>AFA Types (editable)</t>
        </is>
      </c>
      <c r="C4" s="49" t="inlineStr">
        <is>
          <t>Cyber Status (editable)</t>
        </is>
      </c>
      <c r="E4" s="49" t="inlineStr">
        <is>
          <t>Firm Status</t>
        </is>
      </c>
      <c r="G4" s="49" t="inlineStr">
        <is>
          <t>U.S. States (reference)</t>
        </is>
      </c>
    </row>
    <row r="5">
      <c r="A5" s="73" t="inlineStr">
        <is>
          <t>Commercial Auto</t>
        </is>
      </c>
      <c r="C5" s="73" t="inlineStr">
        <is>
          <t>Compliant</t>
        </is>
      </c>
      <c r="E5" s="74" t="inlineStr">
        <is>
          <t>Active</t>
        </is>
      </c>
      <c r="G5" s="75" t="inlineStr">
        <is>
          <t>AL - Alabama</t>
        </is>
      </c>
    </row>
    <row r="6">
      <c r="A6" s="73" t="inlineStr">
        <is>
          <t>Commercial Trucking</t>
        </is>
      </c>
      <c r="C6" s="73" t="inlineStr">
        <is>
          <t>Pending Review</t>
        </is>
      </c>
      <c r="E6" s="74" t="inlineStr">
        <is>
          <t>Paused</t>
        </is>
      </c>
      <c r="G6" s="75" t="inlineStr">
        <is>
          <t>AK - Alaska</t>
        </is>
      </c>
    </row>
    <row r="7">
      <c r="A7" s="73" t="inlineStr">
        <is>
          <t>Bad Faith</t>
        </is>
      </c>
      <c r="C7" s="73" t="inlineStr">
        <is>
          <t>Non-Compliant</t>
        </is>
      </c>
      <c r="G7" s="75" t="inlineStr">
        <is>
          <t>AZ - Arizona</t>
        </is>
      </c>
    </row>
    <row r="8">
      <c r="A8" s="73" t="inlineStr">
        <is>
          <t>Company Counsel</t>
        </is>
      </c>
      <c r="C8" s="73" t="inlineStr">
        <is>
          <t>Expired</t>
        </is>
      </c>
      <c r="E8" s="76" t="inlineStr">
        <is>
          <t>Fixed — the workbook logic relies on these two values.</t>
        </is>
      </c>
      <c r="G8" s="75" t="inlineStr">
        <is>
          <t>AR - Arkansas</t>
        </is>
      </c>
    </row>
    <row r="9">
      <c r="A9" s="73" t="inlineStr">
        <is>
          <t>Appellate</t>
        </is>
      </c>
      <c r="C9" s="73" t="inlineStr">
        <is>
          <t>Not Assessed</t>
        </is>
      </c>
      <c r="G9" s="75" t="inlineStr">
        <is>
          <t>CA - California</t>
        </is>
      </c>
    </row>
    <row r="10">
      <c r="A10" s="73" t="n"/>
      <c r="C10" s="73" t="n"/>
      <c r="G10" s="75" t="inlineStr">
        <is>
          <t>CO - Colorado</t>
        </is>
      </c>
    </row>
    <row r="11">
      <c r="A11" s="73" t="n"/>
      <c r="C11" s="73" t="n"/>
      <c r="G11" s="75" t="inlineStr">
        <is>
          <t>CT - Connecticut</t>
        </is>
      </c>
    </row>
    <row r="12">
      <c r="A12" s="73" t="n"/>
      <c r="C12" s="73" t="n"/>
      <c r="G12" s="75" t="inlineStr">
        <is>
          <t>DE - Delaware</t>
        </is>
      </c>
    </row>
    <row r="13">
      <c r="A13" s="73" t="n"/>
      <c r="C13" s="73" t="n"/>
      <c r="G13" s="75" t="inlineStr">
        <is>
          <t>DC - District of Columbia</t>
        </is>
      </c>
    </row>
    <row r="14">
      <c r="A14" s="73" t="n"/>
      <c r="C14" s="73" t="n"/>
      <c r="G14" s="75" t="inlineStr">
        <is>
          <t>FL - Florida</t>
        </is>
      </c>
    </row>
    <row r="15">
      <c r="A15" s="73" t="n"/>
      <c r="C15" s="73" t="n"/>
      <c r="G15" s="75" t="inlineStr">
        <is>
          <t>GA - Georgia</t>
        </is>
      </c>
    </row>
    <row r="16">
      <c r="A16" s="73" t="n"/>
      <c r="C16" s="73" t="n"/>
      <c r="G16" s="75" t="inlineStr">
        <is>
          <t>HI - Hawaii</t>
        </is>
      </c>
    </row>
    <row r="17">
      <c r="A17" s="73" t="n"/>
      <c r="C17" s="73" t="n"/>
      <c r="G17" s="75" t="inlineStr">
        <is>
          <t>ID - Idaho</t>
        </is>
      </c>
    </row>
    <row r="18">
      <c r="A18" s="73" t="n"/>
      <c r="C18" s="73" t="n"/>
      <c r="G18" s="75" t="inlineStr">
        <is>
          <t>IL - Illinois</t>
        </is>
      </c>
    </row>
    <row r="19">
      <c r="A19" s="73" t="n"/>
      <c r="C19" s="73" t="n"/>
      <c r="G19" s="75" t="inlineStr">
        <is>
          <t>IN - Indiana</t>
        </is>
      </c>
    </row>
    <row r="20">
      <c r="A20" s="73" t="n"/>
      <c r="G20" s="75" t="inlineStr">
        <is>
          <t>IA - Iowa</t>
        </is>
      </c>
    </row>
    <row r="21">
      <c r="A21" s="73" t="n"/>
      <c r="G21" s="75" t="inlineStr">
        <is>
          <t>KS - Kansas</t>
        </is>
      </c>
    </row>
    <row r="22">
      <c r="A22" s="73" t="n"/>
      <c r="G22" s="75" t="inlineStr">
        <is>
          <t>KY - Kentucky</t>
        </is>
      </c>
    </row>
    <row r="23">
      <c r="A23" s="73" t="n"/>
      <c r="G23" s="75" t="inlineStr">
        <is>
          <t>LA - Louisiana</t>
        </is>
      </c>
    </row>
    <row r="24">
      <c r="A24" s="73" t="n"/>
      <c r="G24" s="75" t="inlineStr">
        <is>
          <t>ME - Maine</t>
        </is>
      </c>
    </row>
    <row r="25">
      <c r="A25" s="73" t="n"/>
      <c r="G25" s="75" t="inlineStr">
        <is>
          <t>MD - Maryland</t>
        </is>
      </c>
    </row>
    <row r="26">
      <c r="A26" s="73" t="n"/>
      <c r="G26" s="75" t="inlineStr">
        <is>
          <t>MA - Massachusetts</t>
        </is>
      </c>
    </row>
    <row r="27">
      <c r="A27" s="73" t="n"/>
      <c r="G27" s="75" t="inlineStr">
        <is>
          <t>MI - Michigan</t>
        </is>
      </c>
    </row>
    <row r="28">
      <c r="A28" s="73" t="n"/>
      <c r="G28" s="75" t="inlineStr">
        <is>
          <t>MN - Minnesota</t>
        </is>
      </c>
    </row>
    <row r="29">
      <c r="A29" s="73" t="n"/>
      <c r="G29" s="75" t="inlineStr">
        <is>
          <t>MS - Mississippi</t>
        </is>
      </c>
    </row>
    <row r="30">
      <c r="A30" s="73" t="n"/>
      <c r="G30" s="75" t="inlineStr">
        <is>
          <t>MO - Missouri</t>
        </is>
      </c>
    </row>
    <row r="31">
      <c r="A31" s="73" t="n"/>
      <c r="G31" s="75" t="inlineStr">
        <is>
          <t>MT - Montana</t>
        </is>
      </c>
    </row>
    <row r="32">
      <c r="A32" s="73" t="n"/>
      <c r="G32" s="75" t="inlineStr">
        <is>
          <t>NE - Nebraska</t>
        </is>
      </c>
    </row>
    <row r="33">
      <c r="A33" s="73" t="n"/>
      <c r="G33" s="75" t="inlineStr">
        <is>
          <t>NV - Nevada</t>
        </is>
      </c>
    </row>
    <row r="34">
      <c r="A34" s="73" t="n"/>
      <c r="G34" s="75" t="inlineStr">
        <is>
          <t>NH - New Hampshire</t>
        </is>
      </c>
    </row>
    <row r="35">
      <c r="G35" s="75" t="inlineStr">
        <is>
          <t>NJ - New Jersey</t>
        </is>
      </c>
    </row>
    <row r="36">
      <c r="G36" s="75" t="inlineStr">
        <is>
          <t>NM - New Mexico</t>
        </is>
      </c>
    </row>
    <row r="37">
      <c r="G37" s="75" t="inlineStr">
        <is>
          <t>NY - New York</t>
        </is>
      </c>
    </row>
    <row r="38">
      <c r="G38" s="75" t="inlineStr">
        <is>
          <t>NC - North Carolina</t>
        </is>
      </c>
    </row>
    <row r="39">
      <c r="G39" s="75" t="inlineStr">
        <is>
          <t>ND - North Dakota</t>
        </is>
      </c>
    </row>
    <row r="40">
      <c r="G40" s="75" t="inlineStr">
        <is>
          <t>OH - Ohio</t>
        </is>
      </c>
    </row>
    <row r="41">
      <c r="G41" s="75" t="inlineStr">
        <is>
          <t>OK - Oklahoma</t>
        </is>
      </c>
    </row>
    <row r="42">
      <c r="G42" s="75" t="inlineStr">
        <is>
          <t>OR - Oregon</t>
        </is>
      </c>
    </row>
    <row r="43">
      <c r="G43" s="75" t="inlineStr">
        <is>
          <t>PA - Pennsylvania</t>
        </is>
      </c>
    </row>
    <row r="44">
      <c r="G44" s="75" t="inlineStr">
        <is>
          <t>RI - Rhode Island</t>
        </is>
      </c>
    </row>
    <row r="45">
      <c r="G45" s="75" t="inlineStr">
        <is>
          <t>SC - South Carolina</t>
        </is>
      </c>
    </row>
    <row r="46">
      <c r="G46" s="75" t="inlineStr">
        <is>
          <t>SD - South Dakota</t>
        </is>
      </c>
    </row>
    <row r="47">
      <c r="G47" s="75" t="inlineStr">
        <is>
          <t>TN - Tennessee</t>
        </is>
      </c>
    </row>
    <row r="48">
      <c r="G48" s="75" t="inlineStr">
        <is>
          <t>TX - Texas</t>
        </is>
      </c>
    </row>
    <row r="49">
      <c r="G49" s="75" t="inlineStr">
        <is>
          <t>UT - Utah</t>
        </is>
      </c>
    </row>
    <row r="50">
      <c r="G50" s="75" t="inlineStr">
        <is>
          <t>VT - Vermont</t>
        </is>
      </c>
    </row>
    <row r="51">
      <c r="G51" s="75" t="inlineStr">
        <is>
          <t>VA - Virginia</t>
        </is>
      </c>
    </row>
    <row r="52">
      <c r="G52" s="75" t="inlineStr">
        <is>
          <t>WA - Washington</t>
        </is>
      </c>
    </row>
    <row r="53">
      <c r="G53" s="75" t="inlineStr">
        <is>
          <t>WV - West Virginia</t>
        </is>
      </c>
    </row>
    <row r="54">
      <c r="G54" s="75" t="inlineStr">
        <is>
          <t>WI - Wisconsin</t>
        </is>
      </c>
    </row>
    <row r="55">
      <c r="G55" s="75" t="inlineStr">
        <is>
          <t>WY - Wyoming</t>
        </is>
      </c>
    </row>
  </sheetData>
  <mergeCells count="1">
    <mergeCell ref="E8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2026-10-12T14:35:07Z</dcterms:created>
  <dcterms:modified xmlns:dcterms="http://purl.org/dc/terms/" xmlns:xsi="http://www.w3.org/2001/XMLSchema-instance" xsi:type="dcterms:W3CDTF">2026-10-12T14:35:08Z</dcterms:modified>
</cp:coreProperties>
</file>