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ome" sheetId="1" state="visible" r:id="rId1"/>
    <sheet xmlns:r="http://schemas.openxmlformats.org/officeDocument/2006/relationships" name="Firm Search" sheetId="2" state="visible" r:id="rId2"/>
    <sheet xmlns:r="http://schemas.openxmlformats.org/officeDocument/2006/relationships" name="Firms" sheetId="3" state="visible" r:id="rId3"/>
    <sheet xmlns:r="http://schemas.openxmlformats.org/officeDocument/2006/relationships" name="AFA Rates" sheetId="4" state="visible" r:id="rId4"/>
    <sheet xmlns:r="http://schemas.openxmlformats.org/officeDocument/2006/relationships" name="Do Not Use" sheetId="5" state="visible" r:id="rId5"/>
    <sheet xmlns:r="http://schemas.openxmlformats.org/officeDocument/2006/relationships" name="Summary" sheetId="6" state="visible" r:id="rId6"/>
    <sheet xmlns:r="http://schemas.openxmlformats.org/officeDocument/2006/relationships" name="Lists" sheetId="7" state="visible" r:id="rId7"/>
  </sheets>
  <definedNames>
    <definedName name="AFA_Types">OFFSET(Lists!$A$5,0,0,MAX(1,COUNTA(Lists!$A$5:$A$34)),1)</definedName>
    <definedName name="AFA_Types_All">Lists!$A$5:$A$34</definedName>
    <definedName name="Cyber_List">OFFSET(Lists!$C$5,0,0,MAX(1,COUNTA(Lists!$C$5:$C$19)),1)</definedName>
    <definedName name="Status_List">Lists!$E$5:$E$6</definedName>
    <definedName name="Firm_List">OFFSET(Firms!$A$5,0,0,MAX(1,COUNTA(Firms!$A$5:$A$1004)),1)</definedName>
    <definedName name="_xlnm._FilterDatabase" localSheetId="2" hidden="1">'Firms'!$A$4:$Q$1004</definedName>
    <definedName name="_xlnm._FilterDatabase" localSheetId="3" hidden="1">'AFA Rates'!$A$4:$M$1004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—&quot;"/>
    <numFmt numFmtId="165" formatCode="mm/dd/yyyy"/>
  </numFmts>
  <fonts count="39">
    <font>
      <name val="Calibri"/>
      <family val="2"/>
      <color theme="1"/>
      <sz val="11"/>
      <scheme val="minor"/>
    </font>
    <font>
      <name val="Arial"/>
      <b val="1"/>
      <strike val="0"/>
      <color rgb="001F3A5F"/>
      <sz val="18"/>
    </font>
    <font>
      <name val="Arial"/>
      <i val="1"/>
      <strike val="0"/>
      <color rgb="006B7280"/>
      <sz val="10"/>
    </font>
    <font>
      <name val="Arial"/>
      <b val="1"/>
      <strike val="0"/>
      <color rgb="00FFFFFF"/>
      <sz val="10"/>
    </font>
    <font>
      <name val="Arial"/>
      <strike val="0"/>
      <color rgb="00222222"/>
      <sz val="10"/>
    </font>
    <font>
      <name val="Arial"/>
      <strike val="0"/>
      <color rgb="004B5563"/>
      <sz val="10"/>
    </font>
    <font>
      <name val="Arial"/>
      <i val="1"/>
      <strike val="0"/>
      <color rgb="006B7280"/>
      <sz val="9"/>
    </font>
    <font>
      <name val="Arial"/>
      <b val="1"/>
      <strike val="0"/>
      <color rgb="00A23B52"/>
      <sz val="11"/>
    </font>
    <font>
      <name val="Arial"/>
      <b val="1"/>
      <strike val="0"/>
      <color rgb="006B5B95"/>
      <sz val="20"/>
    </font>
    <font>
      <name val="Arial"/>
      <i val="1"/>
      <strike val="0"/>
      <color rgb="006B5B95"/>
      <sz val="10"/>
    </font>
    <font>
      <name val="Arial"/>
      <b val="1"/>
      <strike val="0"/>
      <color rgb="006B5B95"/>
      <sz val="12"/>
    </font>
    <font>
      <name val="Arial"/>
      <b val="1"/>
      <strike val="0"/>
      <color rgb="00333333"/>
      <sz val="13"/>
    </font>
    <font>
      <name val="Arial"/>
      <i val="1"/>
      <strike val="0"/>
      <color rgb="009C8FC4"/>
      <sz val="10"/>
    </font>
    <font>
      <name val="Arial"/>
      <b val="1"/>
      <strike val="0"/>
      <color rgb="006B7280"/>
      <sz val="10"/>
    </font>
    <font>
      <name val="Arial"/>
      <b val="1"/>
      <strike val="0"/>
      <color rgb="001F3A5F"/>
      <sz val="13"/>
    </font>
    <font>
      <name val="Arial"/>
      <i val="1"/>
      <strike val="0"/>
      <color rgb="00A0522D"/>
      <sz val="9"/>
    </font>
    <font>
      <name val="Arial"/>
      <b val="1"/>
      <strike val="0"/>
      <color rgb="00555555"/>
      <sz val="13"/>
    </font>
    <font>
      <name val="Arial"/>
      <b val="1"/>
      <strike val="0"/>
      <color rgb="002E5C8A"/>
      <sz val="11"/>
    </font>
    <font>
      <name val="Arial"/>
      <b val="1"/>
      <strike val="0"/>
      <color rgb="002E5C8A"/>
      <sz val="10"/>
    </font>
    <font>
      <name val="Arial"/>
      <b val="1"/>
      <strike val="0"/>
      <color rgb="002F7D5B"/>
      <sz val="11"/>
    </font>
    <font>
      <name val="Arial"/>
      <b val="1"/>
      <strike val="0"/>
      <color rgb="002F7D5B"/>
      <sz val="9"/>
    </font>
    <font>
      <name val="Arial"/>
      <b val="1"/>
      <strike val="0"/>
      <color rgb="00222222"/>
      <sz val="11"/>
    </font>
    <font>
      <name val="Arial"/>
      <strike val="0"/>
      <color rgb="00222222"/>
      <sz val="11"/>
    </font>
    <font>
      <name val="Arial"/>
      <b val="1"/>
      <strike val="0"/>
      <color rgb="00A0522D"/>
      <sz val="11"/>
    </font>
    <font>
      <name val="Arial"/>
      <b val="1"/>
      <strike val="0"/>
      <color rgb="00A0522D"/>
      <sz val="9"/>
    </font>
    <font>
      <name val="Arial"/>
      <b val="1"/>
      <strike val="0"/>
      <color rgb="00A0522D"/>
      <sz val="10"/>
    </font>
    <font>
      <name val="Arial"/>
      <i val="1"/>
      <strike val="0"/>
      <color rgb="00A0522D"/>
      <sz val="10"/>
    </font>
    <font>
      <name val="Arial"/>
      <b val="1"/>
      <strike val="0"/>
      <color rgb="001F3A5F"/>
      <sz val="11"/>
    </font>
    <font>
      <name val="Arial"/>
      <b val="1"/>
      <strike val="0"/>
      <color rgb="001F3A5F"/>
      <sz val="14"/>
    </font>
    <font>
      <name val="Arial"/>
      <b val="1"/>
      <strike val="0"/>
      <color rgb="002F7D5B"/>
      <sz val="14"/>
    </font>
    <font>
      <name val="Arial"/>
      <b val="1"/>
      <strike val="0"/>
      <color rgb="00A23B52"/>
      <sz val="14"/>
    </font>
    <font>
      <name val="Arial"/>
      <b val="1"/>
      <strike val="0"/>
      <color rgb="006B5B95"/>
      <sz val="11"/>
    </font>
    <font>
      <name val="Arial"/>
      <b val="1"/>
      <strike val="0"/>
      <color rgb="006B5B95"/>
      <sz val="14"/>
    </font>
    <font>
      <name val="Arial"/>
      <b val="1"/>
      <strike val="0"/>
      <color rgb="008A6D1B"/>
      <sz val="11"/>
    </font>
    <font>
      <name val="Arial"/>
      <b val="1"/>
      <strike val="0"/>
      <color rgb="008A6D1B"/>
      <sz val="14"/>
    </font>
    <font>
      <name val="Arial"/>
      <b val="1"/>
      <strike val="0"/>
      <color rgb="00FFFFFF"/>
      <sz val="9"/>
    </font>
    <font>
      <name val="Arial"/>
      <b val="1"/>
      <strike val="0"/>
      <color rgb="001F3A5F"/>
      <sz val="22"/>
    </font>
    <font>
      <name val="Arial"/>
      <i val="1"/>
      <strike val="0"/>
      <color rgb="006B7280"/>
      <sz val="11"/>
    </font>
    <font>
      <name val="Arial"/>
      <b val="1"/>
      <strike val="0"/>
      <color rgb="0044546A"/>
      <sz val="10"/>
    </font>
  </fonts>
  <fills count="21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2B3"/>
        <bgColor rgb="00FFF2B3"/>
      </patternFill>
    </fill>
    <fill>
      <patternFill patternType="solid">
        <fgColor rgb="00EEF1F5"/>
        <bgColor rgb="00EEF1F5"/>
      </patternFill>
    </fill>
    <fill>
      <patternFill patternType="solid">
        <fgColor rgb="0044546A"/>
        <bgColor rgb="0044546A"/>
      </patternFill>
    </fill>
    <fill>
      <patternFill patternType="solid">
        <fgColor rgb="00A23B52"/>
        <bgColor rgb="00A23B52"/>
      </patternFill>
    </fill>
    <fill>
      <patternFill patternType="solid">
        <fgColor rgb="00E8E1F7"/>
        <bgColor rgb="00E8E1F7"/>
      </patternFill>
    </fill>
    <fill>
      <patternFill patternType="solid">
        <fgColor rgb="00FFFFFF"/>
        <bgColor rgb="00FFFFFF"/>
      </patternFill>
    </fill>
    <fill>
      <patternFill patternType="solid">
        <fgColor rgb="00F3F4F6"/>
        <bgColor rgb="00F3F4F6"/>
      </patternFill>
    </fill>
    <fill>
      <patternFill patternType="solid">
        <fgColor rgb="00DCEBFA"/>
        <bgColor rgb="00DCEBFA"/>
      </patternFill>
    </fill>
    <fill>
      <patternFill patternType="solid">
        <fgColor rgb="00EEF5FD"/>
        <bgColor rgb="00EEF5FD"/>
      </patternFill>
    </fill>
    <fill>
      <patternFill patternType="solid">
        <fgColor rgb="00DDF3E8"/>
        <bgColor rgb="00DDF3E8"/>
      </patternFill>
    </fill>
    <fill>
      <patternFill patternType="solid">
        <fgColor rgb="00EAF8F1"/>
        <bgColor rgb="00EAF8F1"/>
      </patternFill>
    </fill>
    <fill>
      <patternFill patternType="solid">
        <fgColor rgb="00FDE6D6"/>
        <bgColor rgb="00FDE6D6"/>
      </patternFill>
    </fill>
    <fill>
      <patternFill patternType="solid">
        <fgColor rgb="00FEF1E8"/>
        <bgColor rgb="00FEF1E8"/>
      </patternFill>
    </fill>
    <fill>
      <patternFill patternType="solid">
        <fgColor rgb="00FADDE1"/>
        <bgColor rgb="00FADDE1"/>
      </patternFill>
    </fill>
    <fill>
      <patternFill patternType="solid">
        <fgColor rgb="00FFF6D5"/>
        <bgColor rgb="00FFF6D5"/>
      </patternFill>
    </fill>
    <fill>
      <patternFill patternType="solid">
        <fgColor rgb="006B5B95"/>
        <bgColor rgb="006B5B95"/>
      </patternFill>
    </fill>
    <fill>
      <patternFill patternType="solid">
        <fgColor rgb="00EDEDED"/>
        <bgColor rgb="00EDEDED"/>
      </patternFill>
    </fill>
    <fill>
      <patternFill patternType="solid">
        <fgColor rgb="00FFC7CE"/>
        <bgColor rgb="00FFC7CE"/>
      </patternFill>
    </fill>
  </fills>
  <borders count="5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medium">
        <color rgb="00B9A7E6"/>
      </left>
      <top style="medium">
        <color rgb="00B9A7E6"/>
      </top>
      <bottom style="medium">
        <color rgb="00B9A7E6"/>
      </bottom>
    </border>
    <border>
      <top style="medium">
        <color rgb="00B9A7E6"/>
      </top>
      <bottom style="medium">
        <color rgb="00B9A7E6"/>
      </bottom>
    </border>
    <border>
      <right style="medium">
        <color rgb="00B9A7E6"/>
      </right>
      <top style="medium">
        <color rgb="00B9A7E6"/>
      </top>
      <bottom style="medium">
        <color rgb="00B9A7E6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27" fillId="0" borderId="0" pivotButton="0" quotePrefix="0" xfId="0"/>
    <xf numFmtId="0" fontId="27" fillId="7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27" fillId="1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16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left" vertical="center"/>
    </xf>
    <xf numFmtId="0" fontId="27" fillId="19" borderId="1" applyAlignment="1" pivotButton="0" quotePrefix="0" xfId="0">
      <alignment horizontal="left" vertical="center"/>
    </xf>
    <xf numFmtId="0" fontId="38" fillId="9" borderId="1" applyAlignment="1" pivotButton="0" quotePrefix="0" xfId="0">
      <alignment horizontal="left" vertical="center"/>
    </xf>
    <xf numFmtId="0" fontId="4" fillId="8" borderId="1" pivotButton="0" quotePrefix="0" xfId="0"/>
    <xf numFmtId="0" fontId="4" fillId="0" borderId="1" pivotButton="0" quotePrefix="0" xfId="0"/>
    <xf numFmtId="0" fontId="4" fillId="4" borderId="1" pivotButton="0" quotePrefix="0" xfId="0"/>
    <xf numFmtId="0" fontId="4" fillId="3" borderId="1" pivotButton="0" quotePrefix="0" xfId="0"/>
    <xf numFmtId="0" fontId="4" fillId="20" borderId="1" pivotButton="0" quotePrefix="0" xfId="0"/>
    <xf numFmtId="0" fontId="6" fillId="0" borderId="0" pivotButton="0" quotePrefix="0" xfId="0"/>
    <xf numFmtId="0" fontId="8" fillId="7" borderId="0" applyAlignment="1" pivotButton="0" quotePrefix="0" xfId="0">
      <alignment horizontal="left" vertical="center"/>
    </xf>
    <xf numFmtId="0" fontId="0" fillId="7" borderId="0" pivotButton="0" quotePrefix="0" xfId="0"/>
    <xf numFmtId="0" fontId="9" fillId="7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8" borderId="2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horizontal="left" vertical="center" wrapText="1"/>
    </xf>
    <xf numFmtId="0" fontId="16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7" fillId="10" borderId="0" pivotButton="0" quotePrefix="0" xfId="0"/>
    <xf numFmtId="0" fontId="0" fillId="10" borderId="0" pivotButton="0" quotePrefix="0" xfId="0"/>
    <xf numFmtId="0" fontId="18" fillId="11" borderId="1" applyAlignment="1" pivotButton="0" quotePrefix="0" xfId="0">
      <alignment horizontal="left" vertical="center"/>
    </xf>
    <xf numFmtId="0" fontId="0" fillId="0" borderId="1" pivotButton="0" quotePrefix="0" xfId="0"/>
    <xf numFmtId="165" fontId="4" fillId="0" borderId="1" applyAlignment="1" pivotButton="0" quotePrefix="0" xfId="0">
      <alignment horizontal="left" vertical="center" wrapText="1"/>
    </xf>
    <xf numFmtId="0" fontId="19" fillId="12" borderId="0" pivotButton="0" quotePrefix="0" xfId="0"/>
    <xf numFmtId="0" fontId="0" fillId="12" borderId="0" pivotButton="0" quotePrefix="0" xfId="0"/>
    <xf numFmtId="0" fontId="20" fillId="13" borderId="1" applyAlignment="1" pivotButton="0" quotePrefix="0" xfId="0">
      <alignment horizontal="center" vertical="center" wrapText="1"/>
    </xf>
    <xf numFmtId="164" fontId="21" fillId="0" borderId="1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center" wrapText="1"/>
    </xf>
    <xf numFmtId="0" fontId="23" fillId="14" borderId="0" pivotButton="0" quotePrefix="0" xfId="0"/>
    <xf numFmtId="0" fontId="0" fillId="14" borderId="0" pivotButton="0" quotePrefix="0" xfId="0"/>
    <xf numFmtId="0" fontId="24" fillId="15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3" fillId="6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165" fontId="4" fillId="0" borderId="0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19" fillId="12" borderId="1" applyAlignment="1" pivotButton="0" quotePrefix="0" xfId="0">
      <alignment horizontal="left" vertical="center"/>
    </xf>
    <xf numFmtId="0" fontId="29" fillId="1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7" fillId="16" borderId="1" applyAlignment="1" pivotButton="0" quotePrefix="0" xfId="0">
      <alignment horizontal="left" vertical="center"/>
    </xf>
    <xf numFmtId="0" fontId="30" fillId="16" borderId="1" applyAlignment="1" pivotButton="0" quotePrefix="0" xfId="0">
      <alignment horizontal="center" vertical="center" wrapText="1"/>
    </xf>
    <xf numFmtId="0" fontId="31" fillId="7" borderId="1" applyAlignment="1" pivotButton="0" quotePrefix="0" xfId="0">
      <alignment horizontal="left" vertical="center"/>
    </xf>
    <xf numFmtId="0" fontId="32" fillId="7" borderId="1" applyAlignment="1" pivotButton="0" quotePrefix="0" xfId="0">
      <alignment horizontal="center" vertical="center" wrapText="1"/>
    </xf>
    <xf numFmtId="0" fontId="33" fillId="17" borderId="1" applyAlignment="1" pivotButton="0" quotePrefix="0" xfId="0">
      <alignment horizontal="left" vertical="center"/>
    </xf>
    <xf numFmtId="0" fontId="34" fillId="17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5" fillId="18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12">
    <dxf>
      <font>
        <b val="1"/>
        <color rgb="00A23B52"/>
      </font>
      <fill>
        <patternFill patternType="solid">
          <fgColor rgb="00FADDE1"/>
          <bgColor rgb="00FADDE1"/>
        </patternFill>
      </fill>
    </dxf>
    <dxf>
      <font>
        <b val="1"/>
        <color rgb="002F7D5B"/>
      </font>
      <fill>
        <patternFill patternType="solid">
          <fgColor rgb="00DDF3E8"/>
          <bgColor rgb="00DDF3E8"/>
        </patternFill>
      </fill>
    </dxf>
    <dxf>
      <fill>
        <patternFill patternType="solid">
          <fgColor rgb="00FFFAF6"/>
          <bgColor rgb="00FFFAF6"/>
        </patternFill>
      </fill>
      <border>
        <left style="thin">
          <color rgb="00D9DEE7"/>
        </left>
        <right style="thin">
          <color rgb="00D9DEE7"/>
        </right>
        <top style="thin">
          <color rgb="00D9DEE7"/>
        </top>
        <bottom style="thin">
          <color rgb="00D9DEE7"/>
        </bottom>
      </border>
    </dxf>
    <dxf>
      <font>
        <strike val="1"/>
        <color rgb="00A23B52"/>
      </font>
      <fill>
        <patternFill patternType="solid">
          <fgColor rgb="00FADDE1"/>
          <bgColor rgb="00FADDE1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CA3AF"/>
      </font>
      <fill>
        <patternFill patternType="solid">
          <fgColor rgb="00FDF0F2"/>
          <bgColor rgb="00FDF0F2"/>
        </patternFill>
      </fill>
    </dxf>
    <dxf>
      <font>
        <b val="1"/>
        <color rgb="006B5B95"/>
      </font>
      <fill>
        <patternFill patternType="solid">
          <fgColor rgb="00E8E1F7"/>
          <bgColor rgb="00E8E1F7"/>
        </patternFill>
      </fill>
    </dxf>
    <dxf>
      <fill>
        <patternFill patternType="solid">
          <fgColor rgb="00F5F7FA"/>
          <bgColor rgb="00F5F7FA"/>
        </patternFill>
      </fill>
    </dxf>
    <dxf>
      <fill>
        <patternFill patternType="solid">
          <fgColor rgb="00FDF0F2"/>
          <bgColor rgb="00FDF0F2"/>
        </patternFill>
      </fill>
      <border>
        <left style="thin">
          <color rgb="00D9DEE7"/>
        </left>
        <right style="thin">
          <color rgb="00D9DEE7"/>
        </right>
        <top style="thin">
          <color rgb="00D9DEE7"/>
        </top>
        <bottom style="thin">
          <color rgb="00D9DEE7"/>
        </bottom>
      </border>
    </dxf>
    <dxf>
      <fill>
        <patternFill patternType="solid">
          <fgColor rgb="00F7F4FD"/>
          <bgColor rgb="00F7F4FD"/>
        </patternFill>
      </fill>
      <border>
        <left style="thin">
          <color rgb="00D9DEE7"/>
        </left>
        <right style="thin">
          <color rgb="00D9DEE7"/>
        </right>
        <top style="thin">
          <color rgb="00D9DEE7"/>
        </top>
        <bottom style="thin">
          <color rgb="00D9DEE7"/>
        </bottom>
      </border>
    </dxf>
    <dxf>
      <fill>
        <patternFill patternType="solid">
          <fgColor rgb="00F2F7FD"/>
          <bgColor rgb="00F2F7FD"/>
        </patternFill>
      </fill>
      <border>
        <left style="thin">
          <color rgb="00D9DEE7"/>
        </left>
        <right style="thin">
          <color rgb="00D9DEE7"/>
        </right>
        <top style="thin">
          <color rgb="00D9DEE7"/>
        </top>
        <bottom style="thin">
          <color rgb="00D9DEE7"/>
        </bottom>
      </border>
    </dxf>
    <dxf>
      <fill>
        <patternFill patternType="solid">
          <fgColor rgb="00FBFAFE"/>
          <bgColor rgb="00FBFAFE"/>
        </patternFill>
      </fill>
      <border>
        <left style="thin">
          <color rgb="00D9DEE7"/>
        </left>
        <right style="thin">
          <color rgb="00D9DEE7"/>
        </right>
        <top style="thin">
          <color rgb="00D9DEE7"/>
        </top>
        <bottom style="thin">
          <color rgb="00D9DEE7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B2:C27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0" customWidth="1" min="3" max="3"/>
  </cols>
  <sheetData>
    <row r="2" ht="40" customHeight="1">
      <c r="B2" s="1" t="inlineStr">
        <is>
          <t>Outside Counsel Rate &amp; Panel Tracker</t>
        </is>
      </c>
    </row>
    <row r="3">
      <c r="B3" s="2" t="inlineStr">
        <is>
          <t>Approved firms, hourly rates, AFAs, cyber status, and paused firms — in one place.</t>
        </is>
      </c>
    </row>
    <row r="5">
      <c r="B5" s="3" t="inlineStr">
        <is>
          <t>TABS</t>
        </is>
      </c>
    </row>
    <row r="6" ht="30" customHeight="1">
      <c r="B6" s="4">
        <f>HYPERLINK("#'Firm Search'!A1","Firm Search  ›")</f>
        <v/>
      </c>
      <c r="C6" s="5" t="inlineStr">
        <is>
          <t>Start here. Type a firm name → see its status, states, cyber status, notes, standard rates and every AFA rate.</t>
        </is>
      </c>
    </row>
    <row r="7" ht="30" customHeight="1">
      <c r="B7" s="6">
        <f>HYPERLINK("#'Firms'!A1","Firms  ›")</f>
        <v/>
      </c>
      <c r="C7" s="5" t="inlineStr">
        <is>
          <t>Master list. One row per firm: Status, Approved States, 8 standard rates, Cyber Status, pause info, Notes.</t>
        </is>
      </c>
    </row>
    <row r="8" ht="30" customHeight="1">
      <c r="B8" s="7">
        <f>HYPERLINK("#'AFA Rates'!A1","AFA Rates  ›")</f>
        <v/>
      </c>
      <c r="C8" s="5" t="inlineStr">
        <is>
          <t>One row per firm per AFA type, with the AFA rate for every role. Firm &amp; AFA type are dropdowns.</t>
        </is>
      </c>
    </row>
    <row r="9" ht="30" customHeight="1">
      <c r="B9" s="8">
        <f>HYPERLINK("#'Do Not Use'!A1","Do Not Use  ›")</f>
        <v/>
      </c>
      <c r="C9" s="5" t="inlineStr">
        <is>
          <t>Automatic list of every firm whose Status is “Paused”. Nothing to type here.</t>
        </is>
      </c>
    </row>
    <row r="10" ht="30" customHeight="1">
      <c r="B10" s="9">
        <f>HYPERLINK("#'Summary'!A1","Summary  ›")</f>
        <v/>
      </c>
      <c r="C10" s="5" t="inlineStr">
        <is>
          <t>Automatic reporting counts: total / active / paused firms, firms with AFAs, AFA types, cyber status.</t>
        </is>
      </c>
    </row>
    <row r="11" ht="30" customHeight="1">
      <c r="B11" s="10">
        <f>HYPERLINK("#'Lists'!A1","Lists  ›")</f>
        <v/>
      </c>
      <c r="C11" s="5" t="inlineStr">
        <is>
          <t>Edit dropdown options. Add new AFA types (or cyber statuses) in the next empty yellow cell.</t>
        </is>
      </c>
    </row>
    <row r="13">
      <c r="B13" s="3" t="inlineStr">
        <is>
          <t>HOW TO…</t>
        </is>
      </c>
    </row>
    <row r="14" ht="34" customHeight="1">
      <c r="B14" s="11" t="inlineStr">
        <is>
          <t>Add a firm</t>
        </is>
      </c>
      <c r="C14" s="5" t="inlineStr">
        <is>
          <t>Firms tab → type in the next empty row. Fill Status, States, rates, Cyber Status, Notes.</t>
        </is>
      </c>
    </row>
    <row r="15" ht="34" customHeight="1">
      <c r="B15" s="11" t="inlineStr">
        <is>
          <t>Add an AFA</t>
        </is>
      </c>
      <c r="C15" s="5" t="inlineStr">
        <is>
          <t>AFA Rates tab → next empty row → pick the Firm and AFA Type from the dropdowns → enter the AFA rates. The Firms tab flips “AFA on File?” to Yes automatically.</t>
        </is>
      </c>
    </row>
    <row r="16" ht="34" customHeight="1">
      <c r="B16" s="11" t="inlineStr">
        <is>
          <t>Add a new AFA type</t>
        </is>
      </c>
      <c r="C16" s="5" t="inlineStr">
        <is>
          <t>Lists tab → type it in the next empty yellow cell under AFA Types. It appears in every dropdown, the Search tab and the Summary right away.</t>
        </is>
      </c>
    </row>
    <row r="17" ht="34" customHeight="1">
      <c r="B17" s="11" t="inlineStr">
        <is>
          <t>Pause a firm</t>
        </is>
      </c>
      <c r="C17" s="5" t="inlineStr">
        <is>
          <t>Firms tab → change Status to “Paused” and (optional) add Date Paused + Pause Reason. It appears on Do Not Use, is struck through on Firms, and Search shows a red DO NOT USE banner.</t>
        </is>
      </c>
    </row>
    <row r="18" ht="34" customHeight="1">
      <c r="B18" s="11" t="inlineStr">
        <is>
          <t>Reinstate a firm</t>
        </is>
      </c>
      <c r="C18" s="5" t="inlineStr">
        <is>
          <t>Firms tab → change Status back to “Active”. It drops off Do Not Use automatically.</t>
        </is>
      </c>
    </row>
    <row r="19" ht="34" customHeight="1">
      <c r="B19" s="11" t="inlineStr">
        <is>
          <t>Remove sample data</t>
        </is>
      </c>
      <c r="C19" s="5" t="inlineStr">
        <is>
          <t>The 4 firms starting “Sample:” are examples only. Delete their rows on Firms and AFA Rates (select the cells → Delete key) before going live.</t>
        </is>
      </c>
    </row>
    <row r="21">
      <c r="B21" s="3" t="inlineStr">
        <is>
          <t>LEGEND</t>
        </is>
      </c>
    </row>
    <row r="22">
      <c r="B22" s="12" t="inlineStr">
        <is>
          <t>White cell</t>
        </is>
      </c>
      <c r="C22" s="13" t="inlineStr">
        <is>
          <t>You type here.</t>
        </is>
      </c>
    </row>
    <row r="23">
      <c r="B23" s="14" t="inlineStr">
        <is>
          <t>Gray cell / slate header</t>
        </is>
      </c>
      <c r="C23" s="13" t="inlineStr">
        <is>
          <t>Automatic formula — don’t type over it.</t>
        </is>
      </c>
    </row>
    <row r="24">
      <c r="B24" s="15" t="inlineStr">
        <is>
          <t>Yellow cell</t>
        </is>
      </c>
      <c r="C24" s="13" t="inlineStr">
        <is>
          <t>Editable dropdown options (Lists tab).</t>
        </is>
      </c>
    </row>
    <row r="25">
      <c r="B25" s="16" t="inlineStr">
        <is>
          <t>Red name</t>
        </is>
      </c>
      <c r="C25" s="13" t="inlineStr">
        <is>
          <t>Duplicate firm name, or duplicate firm + AFA type.</t>
        </is>
      </c>
    </row>
    <row r="27">
      <c r="B27" s="17" t="inlineStr">
        <is>
          <t>Capacity: 1,000 firms, 1,000 AFA rows, 30 AFA types. Rates are hourly, in USD.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B8F0"/>
    <outlinePr summaryBelow="1" summaryRight="1"/>
    <pageSetUpPr fitToPage="1"/>
  </sheetPr>
  <dimension ref="B2:M38"/>
  <sheetViews>
    <sheetView showGridLines="0" zoomScale="11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3" customWidth="1" min="11" max="11"/>
    <col hidden="1" width="6" customWidth="1" min="12" max="12"/>
    <col hidden="1" width="13" customWidth="1" min="13" max="13"/>
  </cols>
  <sheetData>
    <row r="1" ht="12" customHeight="1"/>
    <row r="2" ht="40" customHeight="1">
      <c r="B2" s="18" t="inlineStr">
        <is>
          <t>🔎  Firm Search</t>
        </is>
      </c>
      <c r="C2" s="19" t="n"/>
      <c r="D2" s="19" t="n"/>
      <c r="E2" s="19" t="n"/>
      <c r="F2" s="19" t="n"/>
      <c r="G2" s="19" t="n"/>
      <c r="H2" s="19" t="n"/>
      <c r="I2" s="19" t="n"/>
      <c r="J2" s="19" t="n"/>
    </row>
    <row r="3">
      <c r="B3" s="20" t="inlineStr">
        <is>
          <t>Type a firm name (or part of one) in the box below, or click the box and use the ▼ dropdown.</t>
        </is>
      </c>
      <c r="C3" s="19" t="n"/>
      <c r="D3" s="19" t="n"/>
      <c r="E3" s="19" t="n"/>
      <c r="F3" s="19" t="n"/>
      <c r="G3" s="19" t="n"/>
      <c r="H3" s="19" t="n"/>
      <c r="I3" s="19" t="n"/>
      <c r="J3" s="19" t="n"/>
    </row>
    <row r="5" ht="30" customHeight="1">
      <c r="B5" s="21" t="inlineStr">
        <is>
          <t>Search for a firm:</t>
        </is>
      </c>
      <c r="C5" s="22" t="inlineStr">
        <is>
          <t>Brookstone</t>
        </is>
      </c>
      <c r="D5" s="23" t="n"/>
      <c r="E5" s="23" t="n"/>
      <c r="F5" s="23" t="n"/>
      <c r="G5" s="24" t="n"/>
      <c r="H5" s="25" t="inlineStr">
        <is>
          <t>◄ type here</t>
        </is>
      </c>
    </row>
    <row r="7">
      <c r="B7" s="26" t="inlineStr">
        <is>
          <t>Showing results for:</t>
        </is>
      </c>
      <c r="C7" s="27">
        <f>IF($C$5="","",IFERROR(INDEX(Firms!$A$5:$A$1004,MATCH($C$5,Firms!$A$5:$A$1004,0)),IFERROR(INDEX(Firms!$A$5:$A$1004,MATCH("*"&amp;$C$5&amp;"*",Firms!$A$5:$A$1004,0)),"No matching firm found")))</f>
        <v/>
      </c>
      <c r="H7" s="28">
        <f>IF($C$5="","",IF(COUNTIF(Firms!$A$5:$A$1004,"*"&amp;$C$5&amp;"*")&gt;1,COUNTIF(Firms!$A$5:$A$1004,"*"&amp;$C$5&amp;"*")&amp;" firms match — showing the first. Be more specific or use ▼.",""))</f>
        <v/>
      </c>
      <c r="M7">
        <f>IFERROR(MATCH($C$7,Firms!$A$5:$A$1004,0),"")</f>
        <v/>
      </c>
    </row>
    <row r="9" ht="30" customHeight="1">
      <c r="B9" s="29">
        <f>IF($M$7="",IF($C$5="","Enter a firm name above to see its details.","No firm matches that search — check spelling."),IF(INDEX(Firms!$B$5:$B$1004,$M$7)="Paused","⛔  DO NOT USE — this firm is PAUSED"&amp;IF(INDEX(Firms!$P$5:$P$1004,$M$7)&lt;&gt;"",": "&amp;INDEX(Firms!$P$5:$P$1004,$M$7),""),"✓  ACTIVE — approved for use"))</f>
        <v/>
      </c>
      <c r="C9" s="30" t="n"/>
      <c r="D9" s="30" t="n"/>
      <c r="E9" s="30" t="n"/>
      <c r="F9" s="30" t="n"/>
      <c r="G9" s="30" t="n"/>
      <c r="H9" s="30" t="n"/>
      <c r="I9" s="30" t="n"/>
      <c r="J9" s="30" t="n"/>
    </row>
    <row r="11">
      <c r="B11" s="31" t="inlineStr">
        <is>
          <t>FIRM PROFILE</t>
        </is>
      </c>
      <c r="C11" s="32" t="n"/>
      <c r="D11" s="32" t="n"/>
      <c r="E11" s="32" t="n"/>
      <c r="F11" s="32" t="n"/>
      <c r="G11" s="32" t="n"/>
      <c r="H11" s="32" t="n"/>
      <c r="I11" s="32" t="n"/>
      <c r="J11" s="32" t="n"/>
    </row>
    <row r="12" ht="22" customHeight="1">
      <c r="B12" s="33" t="inlineStr">
        <is>
          <t>Status</t>
        </is>
      </c>
      <c r="C12" s="5">
        <f>IF($M$7="","",IF(INDEX(Firms!$B$5:$B$1004,$M$7)="","—",INDEX(Firms!$B$5:$B$1004,$M$7)))</f>
        <v/>
      </c>
      <c r="D12" s="34" t="n"/>
      <c r="E12" s="34" t="n"/>
      <c r="F12" s="34" t="n"/>
      <c r="G12" s="34" t="n"/>
      <c r="H12" s="34" t="n"/>
      <c r="I12" s="34" t="n"/>
      <c r="J12" s="34" t="n"/>
    </row>
    <row r="13" ht="22" customHeight="1">
      <c r="B13" s="33" t="inlineStr">
        <is>
          <t>Approved States</t>
        </is>
      </c>
      <c r="C13" s="5">
        <f>IF($M$7="","",IF(INDEX(Firms!$C$5:$C$1004,$M$7)="","—",INDEX(Firms!$C$5:$C$1004,$M$7)))</f>
        <v/>
      </c>
      <c r="D13" s="34" t="n"/>
      <c r="E13" s="34" t="n"/>
      <c r="F13" s="34" t="n"/>
      <c r="G13" s="34" t="n"/>
      <c r="H13" s="34" t="n"/>
      <c r="I13" s="34" t="n"/>
      <c r="J13" s="34" t="n"/>
    </row>
    <row r="14" ht="22" customHeight="1">
      <c r="B14" s="33" t="inlineStr">
        <is>
          <t>Cyber Status</t>
        </is>
      </c>
      <c r="C14" s="5">
        <f>IF($M$7="","",IF(INDEX(Firms!$L$5:$L$1004,$M$7)="","—",INDEX(Firms!$L$5:$L$1004,$M$7)))</f>
        <v/>
      </c>
      <c r="D14" s="34" t="n"/>
      <c r="E14" s="34" t="n"/>
      <c r="F14" s="34" t="n"/>
      <c r="G14" s="34" t="n"/>
      <c r="H14" s="34" t="n"/>
      <c r="I14" s="34" t="n"/>
      <c r="J14" s="34" t="n"/>
    </row>
    <row r="15" ht="22" customHeight="1">
      <c r="B15" s="33" t="inlineStr">
        <is>
          <t>AFA on File?</t>
        </is>
      </c>
      <c r="C15" s="5">
        <f>IF($M$7="","",INDEX(Firms!$M$5:$M$1004,$M$7)&amp;IF(INDEX(Firms!$N$5:$N$1004,$M$7)&gt;0," — "&amp;INDEX(Firms!$N$5:$N$1004,$M$7)&amp;" AFA type(s)",""))</f>
        <v/>
      </c>
      <c r="D15" s="34" t="n"/>
      <c r="E15" s="34" t="n"/>
      <c r="F15" s="34" t="n"/>
      <c r="G15" s="34" t="n"/>
      <c r="H15" s="34" t="n"/>
      <c r="I15" s="34" t="n"/>
      <c r="J15" s="34" t="n"/>
    </row>
    <row r="16" ht="22" customHeight="1">
      <c r="B16" s="33" t="inlineStr">
        <is>
          <t>Date Paused</t>
        </is>
      </c>
      <c r="C16" s="35">
        <f>IF($M$7="","",IF(INDEX(Firms!$O$5:$O$1004,$M$7)="","—",INDEX(Firms!$O$5:$O$1004,$M$7)))</f>
        <v/>
      </c>
      <c r="D16" s="34" t="n"/>
      <c r="E16" s="34" t="n"/>
      <c r="F16" s="34" t="n"/>
      <c r="G16" s="34" t="n"/>
      <c r="H16" s="34" t="n"/>
      <c r="I16" s="34" t="n"/>
      <c r="J16" s="34" t="n"/>
    </row>
    <row r="17" ht="40" customHeight="1">
      <c r="B17" s="33" t="inlineStr">
        <is>
          <t>Notes</t>
        </is>
      </c>
      <c r="C17" s="5">
        <f>IF($M$7="","",IF(INDEX(Firms!$Q$5:$Q$1004,$M$7)="","—",INDEX(Firms!$Q$5:$Q$1004,$M$7)))</f>
        <v/>
      </c>
      <c r="D17" s="34" t="n"/>
      <c r="E17" s="34" t="n"/>
      <c r="F17" s="34" t="n"/>
      <c r="G17" s="34" t="n"/>
      <c r="H17" s="34" t="n"/>
      <c r="I17" s="34" t="n"/>
      <c r="J17" s="34" t="n"/>
    </row>
    <row r="19">
      <c r="B19" s="36" t="inlineStr">
        <is>
          <t>STANDARD HOURLY RATES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</row>
    <row r="20" ht="32" customHeight="1">
      <c r="B20" s="38" t="inlineStr">
        <is>
          <t>Rate Type</t>
        </is>
      </c>
      <c r="C20" s="38" t="inlineStr">
        <is>
          <t>Counsel</t>
        </is>
      </c>
      <c r="D20" s="38" t="inlineStr">
        <is>
          <t>Senior Partner</t>
        </is>
      </c>
      <c r="E20" s="38" t="inlineStr">
        <is>
          <t>Junior Partner</t>
        </is>
      </c>
      <c r="F20" s="38" t="inlineStr">
        <is>
          <t>Partner</t>
        </is>
      </c>
      <c r="G20" s="38" t="inlineStr">
        <is>
          <t>Senior Associate</t>
        </is>
      </c>
      <c r="H20" s="38" t="inlineStr">
        <is>
          <t>Junior Associate</t>
        </is>
      </c>
      <c r="I20" s="38" t="inlineStr">
        <is>
          <t>Associate</t>
        </is>
      </c>
      <c r="J20" s="38" t="inlineStr">
        <is>
          <t>Paralegal</t>
        </is>
      </c>
    </row>
    <row r="21" ht="24" customHeight="1">
      <c r="B21" s="39" t="inlineStr">
        <is>
          <t>Standard</t>
        </is>
      </c>
      <c r="C21" s="40">
        <f>IF($M$7="","",IF(INDEX(Firms!$D$5:$D$1004,$M$7)="","—",INDEX(Firms!$D$5:$D$1004,$M$7)))</f>
        <v/>
      </c>
      <c r="D21" s="40">
        <f>IF($M$7="","",IF(INDEX(Firms!$E$5:$E$1004,$M$7)="","—",INDEX(Firms!$E$5:$E$1004,$M$7)))</f>
        <v/>
      </c>
      <c r="E21" s="40">
        <f>IF($M$7="","",IF(INDEX(Firms!$F$5:$F$1004,$M$7)="","—",INDEX(Firms!$F$5:$F$1004,$M$7)))</f>
        <v/>
      </c>
      <c r="F21" s="40">
        <f>IF($M$7="","",IF(INDEX(Firms!$G$5:$G$1004,$M$7)="","—",INDEX(Firms!$G$5:$G$1004,$M$7)))</f>
        <v/>
      </c>
      <c r="G21" s="40">
        <f>IF($M$7="","",IF(INDEX(Firms!$H$5:$H$1004,$M$7)="","—",INDEX(Firms!$H$5:$H$1004,$M$7)))</f>
        <v/>
      </c>
      <c r="H21" s="40">
        <f>IF($M$7="","",IF(INDEX(Firms!$I$5:$I$1004,$M$7)="","—",INDEX(Firms!$I$5:$I$1004,$M$7)))</f>
        <v/>
      </c>
      <c r="I21" s="40">
        <f>IF($M$7="","",IF(INDEX(Firms!$J$5:$J$1004,$M$7)="","—",INDEX(Firms!$J$5:$J$1004,$M$7)))</f>
        <v/>
      </c>
      <c r="J21" s="40">
        <f>IF($M$7="","",IF(INDEX(Firms!$K$5:$K$1004,$M$7)="","—",INDEX(Firms!$K$5:$K$1004,$M$7)))</f>
        <v/>
      </c>
    </row>
    <row r="24">
      <c r="B24" s="41" t="inlineStr">
        <is>
          <t>AFA RATES (Alternative Fee Arrangements)</t>
        </is>
      </c>
      <c r="C24" s="42" t="n"/>
      <c r="D24" s="42" t="n"/>
      <c r="E24" s="42" t="n"/>
      <c r="F24" s="42" t="n"/>
      <c r="G24" s="42" t="n"/>
      <c r="H24" s="42" t="n"/>
      <c r="I24" s="42" t="n"/>
      <c r="J24" s="42" t="n"/>
    </row>
    <row r="25" ht="32" customHeight="1">
      <c r="B25" s="43" t="inlineStr">
        <is>
          <t>AFA Type</t>
        </is>
      </c>
      <c r="C25" s="43" t="inlineStr">
        <is>
          <t>Counsel</t>
        </is>
      </c>
      <c r="D25" s="43" t="inlineStr">
        <is>
          <t>Senior Partner</t>
        </is>
      </c>
      <c r="E25" s="43" t="inlineStr">
        <is>
          <t>Junior Partner</t>
        </is>
      </c>
      <c r="F25" s="43" t="inlineStr">
        <is>
          <t>Partner</t>
        </is>
      </c>
      <c r="G25" s="43" t="inlineStr">
        <is>
          <t>Senior Associate</t>
        </is>
      </c>
      <c r="H25" s="43" t="inlineStr">
        <is>
          <t>Junior Associate</t>
        </is>
      </c>
      <c r="I25" s="43" t="inlineStr">
        <is>
          <t>Associate</t>
        </is>
      </c>
      <c r="J25" s="43" t="inlineStr">
        <is>
          <t>Paralegal</t>
        </is>
      </c>
    </row>
    <row r="26">
      <c r="B26" s="44">
        <f>IFERROR(INDEX('AFA Rates'!$B$5:$B$1004,MATCH($L26,'AFA Rates'!$N$5:$N$1004,0))&amp;"","")</f>
        <v/>
      </c>
      <c r="C26" s="45">
        <f>IF($B26="","",IFERROR(IF(INDEX('AFA Rates'!$C$5:$C$1004,MATCH($L26,'AFA Rates'!$N$5:$N$1004,0))="","—",INDEX('AFA Rates'!$C$5:$C$1004,MATCH($L26,'AFA Rates'!$N$5:$N$1004,0))),""))</f>
        <v/>
      </c>
      <c r="D26" s="45">
        <f>IF($B26="","",IFERROR(IF(INDEX('AFA Rates'!$D$5:$D$1004,MATCH($L26,'AFA Rates'!$N$5:$N$1004,0))="","—",INDEX('AFA Rates'!$D$5:$D$1004,MATCH($L26,'AFA Rates'!$N$5:$N$1004,0))),""))</f>
        <v/>
      </c>
      <c r="E26" s="45">
        <f>IF($B26="","",IFERROR(IF(INDEX('AFA Rates'!$E$5:$E$1004,MATCH($L26,'AFA Rates'!$N$5:$N$1004,0))="","—",INDEX('AFA Rates'!$E$5:$E$1004,MATCH($L26,'AFA Rates'!$N$5:$N$1004,0))),""))</f>
        <v/>
      </c>
      <c r="F26" s="45">
        <f>IF($B26="","",IFERROR(IF(INDEX('AFA Rates'!$F$5:$F$1004,MATCH($L26,'AFA Rates'!$N$5:$N$1004,0))="","—",INDEX('AFA Rates'!$F$5:$F$1004,MATCH($L26,'AFA Rates'!$N$5:$N$1004,0))),""))</f>
        <v/>
      </c>
      <c r="G26" s="45">
        <f>IF($B26="","",IFERROR(IF(INDEX('AFA Rates'!$G$5:$G$1004,MATCH($L26,'AFA Rates'!$N$5:$N$1004,0))="","—",INDEX('AFA Rates'!$G$5:$G$1004,MATCH($L26,'AFA Rates'!$N$5:$N$1004,0))),""))</f>
        <v/>
      </c>
      <c r="H26" s="45">
        <f>IF($B26="","",IFERROR(IF(INDEX('AFA Rates'!$H$5:$H$1004,MATCH($L26,'AFA Rates'!$N$5:$N$1004,0))="","—",INDEX('AFA Rates'!$H$5:$H$1004,MATCH($L26,'AFA Rates'!$N$5:$N$1004,0))),""))</f>
        <v/>
      </c>
      <c r="I26" s="45">
        <f>IF($B26="","",IFERROR(IF(INDEX('AFA Rates'!$I$5:$I$1004,MATCH($L26,'AFA Rates'!$N$5:$N$1004,0))="","—",INDEX('AFA Rates'!$I$5:$I$1004,MATCH($L26,'AFA Rates'!$N$5:$N$1004,0))),""))</f>
        <v/>
      </c>
      <c r="J26" s="45">
        <f>IF($B26="","",IFERROR(IF(INDEX('AFA Rates'!$J$5:$J$1004,MATCH($L26,'AFA Rates'!$N$5:$N$1004,0))="","—",INDEX('AFA Rates'!$J$5:$J$1004,MATCH($L26,'AFA Rates'!$N$5:$N$1004,0))),""))</f>
        <v/>
      </c>
      <c r="L26" t="n">
        <v>1</v>
      </c>
    </row>
    <row r="27">
      <c r="B27" s="44">
        <f>IFERROR(INDEX('AFA Rates'!$B$5:$B$1004,MATCH($L27,'AFA Rates'!$N$5:$N$1004,0))&amp;"","")</f>
        <v/>
      </c>
      <c r="C27" s="45">
        <f>IF($B27="","",IFERROR(IF(INDEX('AFA Rates'!$C$5:$C$1004,MATCH($L27,'AFA Rates'!$N$5:$N$1004,0))="","—",INDEX('AFA Rates'!$C$5:$C$1004,MATCH($L27,'AFA Rates'!$N$5:$N$1004,0))),""))</f>
        <v/>
      </c>
      <c r="D27" s="45">
        <f>IF($B27="","",IFERROR(IF(INDEX('AFA Rates'!$D$5:$D$1004,MATCH($L27,'AFA Rates'!$N$5:$N$1004,0))="","—",INDEX('AFA Rates'!$D$5:$D$1004,MATCH($L27,'AFA Rates'!$N$5:$N$1004,0))),""))</f>
        <v/>
      </c>
      <c r="E27" s="45">
        <f>IF($B27="","",IFERROR(IF(INDEX('AFA Rates'!$E$5:$E$1004,MATCH($L27,'AFA Rates'!$N$5:$N$1004,0))="","—",INDEX('AFA Rates'!$E$5:$E$1004,MATCH($L27,'AFA Rates'!$N$5:$N$1004,0))),""))</f>
        <v/>
      </c>
      <c r="F27" s="45">
        <f>IF($B27="","",IFERROR(IF(INDEX('AFA Rates'!$F$5:$F$1004,MATCH($L27,'AFA Rates'!$N$5:$N$1004,0))="","—",INDEX('AFA Rates'!$F$5:$F$1004,MATCH($L27,'AFA Rates'!$N$5:$N$1004,0))),""))</f>
        <v/>
      </c>
      <c r="G27" s="45">
        <f>IF($B27="","",IFERROR(IF(INDEX('AFA Rates'!$G$5:$G$1004,MATCH($L27,'AFA Rates'!$N$5:$N$1004,0))="","—",INDEX('AFA Rates'!$G$5:$G$1004,MATCH($L27,'AFA Rates'!$N$5:$N$1004,0))),""))</f>
        <v/>
      </c>
      <c r="H27" s="45">
        <f>IF($B27="","",IFERROR(IF(INDEX('AFA Rates'!$H$5:$H$1004,MATCH($L27,'AFA Rates'!$N$5:$N$1004,0))="","—",INDEX('AFA Rates'!$H$5:$H$1004,MATCH($L27,'AFA Rates'!$N$5:$N$1004,0))),""))</f>
        <v/>
      </c>
      <c r="I27" s="45">
        <f>IF($B27="","",IFERROR(IF(INDEX('AFA Rates'!$I$5:$I$1004,MATCH($L27,'AFA Rates'!$N$5:$N$1004,0))="","—",INDEX('AFA Rates'!$I$5:$I$1004,MATCH($L27,'AFA Rates'!$N$5:$N$1004,0))),""))</f>
        <v/>
      </c>
      <c r="J27" s="45">
        <f>IF($B27="","",IFERROR(IF(INDEX('AFA Rates'!$J$5:$J$1004,MATCH($L27,'AFA Rates'!$N$5:$N$1004,0))="","—",INDEX('AFA Rates'!$J$5:$J$1004,MATCH($L27,'AFA Rates'!$N$5:$N$1004,0))),""))</f>
        <v/>
      </c>
      <c r="L27" t="n">
        <v>2</v>
      </c>
    </row>
    <row r="28">
      <c r="B28" s="44">
        <f>IFERROR(INDEX('AFA Rates'!$B$5:$B$1004,MATCH($L28,'AFA Rates'!$N$5:$N$1004,0))&amp;"","")</f>
        <v/>
      </c>
      <c r="C28" s="45">
        <f>IF($B28="","",IFERROR(IF(INDEX('AFA Rates'!$C$5:$C$1004,MATCH($L28,'AFA Rates'!$N$5:$N$1004,0))="","—",INDEX('AFA Rates'!$C$5:$C$1004,MATCH($L28,'AFA Rates'!$N$5:$N$1004,0))),""))</f>
        <v/>
      </c>
      <c r="D28" s="45">
        <f>IF($B28="","",IFERROR(IF(INDEX('AFA Rates'!$D$5:$D$1004,MATCH($L28,'AFA Rates'!$N$5:$N$1004,0))="","—",INDEX('AFA Rates'!$D$5:$D$1004,MATCH($L28,'AFA Rates'!$N$5:$N$1004,0))),""))</f>
        <v/>
      </c>
      <c r="E28" s="45">
        <f>IF($B28="","",IFERROR(IF(INDEX('AFA Rates'!$E$5:$E$1004,MATCH($L28,'AFA Rates'!$N$5:$N$1004,0))="","—",INDEX('AFA Rates'!$E$5:$E$1004,MATCH($L28,'AFA Rates'!$N$5:$N$1004,0))),""))</f>
        <v/>
      </c>
      <c r="F28" s="45">
        <f>IF($B28="","",IFERROR(IF(INDEX('AFA Rates'!$F$5:$F$1004,MATCH($L28,'AFA Rates'!$N$5:$N$1004,0))="","—",INDEX('AFA Rates'!$F$5:$F$1004,MATCH($L28,'AFA Rates'!$N$5:$N$1004,0))),""))</f>
        <v/>
      </c>
      <c r="G28" s="45">
        <f>IF($B28="","",IFERROR(IF(INDEX('AFA Rates'!$G$5:$G$1004,MATCH($L28,'AFA Rates'!$N$5:$N$1004,0))="","—",INDEX('AFA Rates'!$G$5:$G$1004,MATCH($L28,'AFA Rates'!$N$5:$N$1004,0))),""))</f>
        <v/>
      </c>
      <c r="H28" s="45">
        <f>IF($B28="","",IFERROR(IF(INDEX('AFA Rates'!$H$5:$H$1004,MATCH($L28,'AFA Rates'!$N$5:$N$1004,0))="","—",INDEX('AFA Rates'!$H$5:$H$1004,MATCH($L28,'AFA Rates'!$N$5:$N$1004,0))),""))</f>
        <v/>
      </c>
      <c r="I28" s="45">
        <f>IF($B28="","",IFERROR(IF(INDEX('AFA Rates'!$I$5:$I$1004,MATCH($L28,'AFA Rates'!$N$5:$N$1004,0))="","—",INDEX('AFA Rates'!$I$5:$I$1004,MATCH($L28,'AFA Rates'!$N$5:$N$1004,0))),""))</f>
        <v/>
      </c>
      <c r="J28" s="45">
        <f>IF($B28="","",IFERROR(IF(INDEX('AFA Rates'!$J$5:$J$1004,MATCH($L28,'AFA Rates'!$N$5:$N$1004,0))="","—",INDEX('AFA Rates'!$J$5:$J$1004,MATCH($L28,'AFA Rates'!$N$5:$N$1004,0))),""))</f>
        <v/>
      </c>
      <c r="L28" t="n">
        <v>3</v>
      </c>
    </row>
    <row r="29">
      <c r="B29" s="44">
        <f>IFERROR(INDEX('AFA Rates'!$B$5:$B$1004,MATCH($L29,'AFA Rates'!$N$5:$N$1004,0))&amp;"","")</f>
        <v/>
      </c>
      <c r="C29" s="45">
        <f>IF($B29="","",IFERROR(IF(INDEX('AFA Rates'!$C$5:$C$1004,MATCH($L29,'AFA Rates'!$N$5:$N$1004,0))="","—",INDEX('AFA Rates'!$C$5:$C$1004,MATCH($L29,'AFA Rates'!$N$5:$N$1004,0))),""))</f>
        <v/>
      </c>
      <c r="D29" s="45">
        <f>IF($B29="","",IFERROR(IF(INDEX('AFA Rates'!$D$5:$D$1004,MATCH($L29,'AFA Rates'!$N$5:$N$1004,0))="","—",INDEX('AFA Rates'!$D$5:$D$1004,MATCH($L29,'AFA Rates'!$N$5:$N$1004,0))),""))</f>
        <v/>
      </c>
      <c r="E29" s="45">
        <f>IF($B29="","",IFERROR(IF(INDEX('AFA Rates'!$E$5:$E$1004,MATCH($L29,'AFA Rates'!$N$5:$N$1004,0))="","—",INDEX('AFA Rates'!$E$5:$E$1004,MATCH($L29,'AFA Rates'!$N$5:$N$1004,0))),""))</f>
        <v/>
      </c>
      <c r="F29" s="45">
        <f>IF($B29="","",IFERROR(IF(INDEX('AFA Rates'!$F$5:$F$1004,MATCH($L29,'AFA Rates'!$N$5:$N$1004,0))="","—",INDEX('AFA Rates'!$F$5:$F$1004,MATCH($L29,'AFA Rates'!$N$5:$N$1004,0))),""))</f>
        <v/>
      </c>
      <c r="G29" s="45">
        <f>IF($B29="","",IFERROR(IF(INDEX('AFA Rates'!$G$5:$G$1004,MATCH($L29,'AFA Rates'!$N$5:$N$1004,0))="","—",INDEX('AFA Rates'!$G$5:$G$1004,MATCH($L29,'AFA Rates'!$N$5:$N$1004,0))),""))</f>
        <v/>
      </c>
      <c r="H29" s="45">
        <f>IF($B29="","",IFERROR(IF(INDEX('AFA Rates'!$H$5:$H$1004,MATCH($L29,'AFA Rates'!$N$5:$N$1004,0))="","—",INDEX('AFA Rates'!$H$5:$H$1004,MATCH($L29,'AFA Rates'!$N$5:$N$1004,0))),""))</f>
        <v/>
      </c>
      <c r="I29" s="45">
        <f>IF($B29="","",IFERROR(IF(INDEX('AFA Rates'!$I$5:$I$1004,MATCH($L29,'AFA Rates'!$N$5:$N$1004,0))="","—",INDEX('AFA Rates'!$I$5:$I$1004,MATCH($L29,'AFA Rates'!$N$5:$N$1004,0))),""))</f>
        <v/>
      </c>
      <c r="J29" s="45">
        <f>IF($B29="","",IFERROR(IF(INDEX('AFA Rates'!$J$5:$J$1004,MATCH($L29,'AFA Rates'!$N$5:$N$1004,0))="","—",INDEX('AFA Rates'!$J$5:$J$1004,MATCH($L29,'AFA Rates'!$N$5:$N$1004,0))),""))</f>
        <v/>
      </c>
      <c r="L29" t="n">
        <v>4</v>
      </c>
    </row>
    <row r="30">
      <c r="B30" s="44">
        <f>IFERROR(INDEX('AFA Rates'!$B$5:$B$1004,MATCH($L30,'AFA Rates'!$N$5:$N$1004,0))&amp;"","")</f>
        <v/>
      </c>
      <c r="C30" s="45">
        <f>IF($B30="","",IFERROR(IF(INDEX('AFA Rates'!$C$5:$C$1004,MATCH($L30,'AFA Rates'!$N$5:$N$1004,0))="","—",INDEX('AFA Rates'!$C$5:$C$1004,MATCH($L30,'AFA Rates'!$N$5:$N$1004,0))),""))</f>
        <v/>
      </c>
      <c r="D30" s="45">
        <f>IF($B30="","",IFERROR(IF(INDEX('AFA Rates'!$D$5:$D$1004,MATCH($L30,'AFA Rates'!$N$5:$N$1004,0))="","—",INDEX('AFA Rates'!$D$5:$D$1004,MATCH($L30,'AFA Rates'!$N$5:$N$1004,0))),""))</f>
        <v/>
      </c>
      <c r="E30" s="45">
        <f>IF($B30="","",IFERROR(IF(INDEX('AFA Rates'!$E$5:$E$1004,MATCH($L30,'AFA Rates'!$N$5:$N$1004,0))="","—",INDEX('AFA Rates'!$E$5:$E$1004,MATCH($L30,'AFA Rates'!$N$5:$N$1004,0))),""))</f>
        <v/>
      </c>
      <c r="F30" s="45">
        <f>IF($B30="","",IFERROR(IF(INDEX('AFA Rates'!$F$5:$F$1004,MATCH($L30,'AFA Rates'!$N$5:$N$1004,0))="","—",INDEX('AFA Rates'!$F$5:$F$1004,MATCH($L30,'AFA Rates'!$N$5:$N$1004,0))),""))</f>
        <v/>
      </c>
      <c r="G30" s="45">
        <f>IF($B30="","",IFERROR(IF(INDEX('AFA Rates'!$G$5:$G$1004,MATCH($L30,'AFA Rates'!$N$5:$N$1004,0))="","—",INDEX('AFA Rates'!$G$5:$G$1004,MATCH($L30,'AFA Rates'!$N$5:$N$1004,0))),""))</f>
        <v/>
      </c>
      <c r="H30" s="45">
        <f>IF($B30="","",IFERROR(IF(INDEX('AFA Rates'!$H$5:$H$1004,MATCH($L30,'AFA Rates'!$N$5:$N$1004,0))="","—",INDEX('AFA Rates'!$H$5:$H$1004,MATCH($L30,'AFA Rates'!$N$5:$N$1004,0))),""))</f>
        <v/>
      </c>
      <c r="I30" s="45">
        <f>IF($B30="","",IFERROR(IF(INDEX('AFA Rates'!$I$5:$I$1004,MATCH($L30,'AFA Rates'!$N$5:$N$1004,0))="","—",INDEX('AFA Rates'!$I$5:$I$1004,MATCH($L30,'AFA Rates'!$N$5:$N$1004,0))),""))</f>
        <v/>
      </c>
      <c r="J30" s="45">
        <f>IF($B30="","",IFERROR(IF(INDEX('AFA Rates'!$J$5:$J$1004,MATCH($L30,'AFA Rates'!$N$5:$N$1004,0))="","—",INDEX('AFA Rates'!$J$5:$J$1004,MATCH($L30,'AFA Rates'!$N$5:$N$1004,0))),""))</f>
        <v/>
      </c>
      <c r="L30" t="n">
        <v>5</v>
      </c>
    </row>
    <row r="31">
      <c r="B31" s="44">
        <f>IFERROR(INDEX('AFA Rates'!$B$5:$B$1004,MATCH($L31,'AFA Rates'!$N$5:$N$1004,0))&amp;"","")</f>
        <v/>
      </c>
      <c r="C31" s="45">
        <f>IF($B31="","",IFERROR(IF(INDEX('AFA Rates'!$C$5:$C$1004,MATCH($L31,'AFA Rates'!$N$5:$N$1004,0))="","—",INDEX('AFA Rates'!$C$5:$C$1004,MATCH($L31,'AFA Rates'!$N$5:$N$1004,0))),""))</f>
        <v/>
      </c>
      <c r="D31" s="45">
        <f>IF($B31="","",IFERROR(IF(INDEX('AFA Rates'!$D$5:$D$1004,MATCH($L31,'AFA Rates'!$N$5:$N$1004,0))="","—",INDEX('AFA Rates'!$D$5:$D$1004,MATCH($L31,'AFA Rates'!$N$5:$N$1004,0))),""))</f>
        <v/>
      </c>
      <c r="E31" s="45">
        <f>IF($B31="","",IFERROR(IF(INDEX('AFA Rates'!$E$5:$E$1004,MATCH($L31,'AFA Rates'!$N$5:$N$1004,0))="","—",INDEX('AFA Rates'!$E$5:$E$1004,MATCH($L31,'AFA Rates'!$N$5:$N$1004,0))),""))</f>
        <v/>
      </c>
      <c r="F31" s="45">
        <f>IF($B31="","",IFERROR(IF(INDEX('AFA Rates'!$F$5:$F$1004,MATCH($L31,'AFA Rates'!$N$5:$N$1004,0))="","—",INDEX('AFA Rates'!$F$5:$F$1004,MATCH($L31,'AFA Rates'!$N$5:$N$1004,0))),""))</f>
        <v/>
      </c>
      <c r="G31" s="45">
        <f>IF($B31="","",IFERROR(IF(INDEX('AFA Rates'!$G$5:$G$1004,MATCH($L31,'AFA Rates'!$N$5:$N$1004,0))="","—",INDEX('AFA Rates'!$G$5:$G$1004,MATCH($L31,'AFA Rates'!$N$5:$N$1004,0))),""))</f>
        <v/>
      </c>
      <c r="H31" s="45">
        <f>IF($B31="","",IFERROR(IF(INDEX('AFA Rates'!$H$5:$H$1004,MATCH($L31,'AFA Rates'!$N$5:$N$1004,0))="","—",INDEX('AFA Rates'!$H$5:$H$1004,MATCH($L31,'AFA Rates'!$N$5:$N$1004,0))),""))</f>
        <v/>
      </c>
      <c r="I31" s="45">
        <f>IF($B31="","",IFERROR(IF(INDEX('AFA Rates'!$I$5:$I$1004,MATCH($L31,'AFA Rates'!$N$5:$N$1004,0))="","—",INDEX('AFA Rates'!$I$5:$I$1004,MATCH($L31,'AFA Rates'!$N$5:$N$1004,0))),""))</f>
        <v/>
      </c>
      <c r="J31" s="45">
        <f>IF($B31="","",IFERROR(IF(INDEX('AFA Rates'!$J$5:$J$1004,MATCH($L31,'AFA Rates'!$N$5:$N$1004,0))="","—",INDEX('AFA Rates'!$J$5:$J$1004,MATCH($L31,'AFA Rates'!$N$5:$N$1004,0))),""))</f>
        <v/>
      </c>
      <c r="L31" t="n">
        <v>6</v>
      </c>
    </row>
    <row r="32">
      <c r="B32" s="44">
        <f>IFERROR(INDEX('AFA Rates'!$B$5:$B$1004,MATCH($L32,'AFA Rates'!$N$5:$N$1004,0))&amp;"","")</f>
        <v/>
      </c>
      <c r="C32" s="45">
        <f>IF($B32="","",IFERROR(IF(INDEX('AFA Rates'!$C$5:$C$1004,MATCH($L32,'AFA Rates'!$N$5:$N$1004,0))="","—",INDEX('AFA Rates'!$C$5:$C$1004,MATCH($L32,'AFA Rates'!$N$5:$N$1004,0))),""))</f>
        <v/>
      </c>
      <c r="D32" s="45">
        <f>IF($B32="","",IFERROR(IF(INDEX('AFA Rates'!$D$5:$D$1004,MATCH($L32,'AFA Rates'!$N$5:$N$1004,0))="","—",INDEX('AFA Rates'!$D$5:$D$1004,MATCH($L32,'AFA Rates'!$N$5:$N$1004,0))),""))</f>
        <v/>
      </c>
      <c r="E32" s="45">
        <f>IF($B32="","",IFERROR(IF(INDEX('AFA Rates'!$E$5:$E$1004,MATCH($L32,'AFA Rates'!$N$5:$N$1004,0))="","—",INDEX('AFA Rates'!$E$5:$E$1004,MATCH($L32,'AFA Rates'!$N$5:$N$1004,0))),""))</f>
        <v/>
      </c>
      <c r="F32" s="45">
        <f>IF($B32="","",IFERROR(IF(INDEX('AFA Rates'!$F$5:$F$1004,MATCH($L32,'AFA Rates'!$N$5:$N$1004,0))="","—",INDEX('AFA Rates'!$F$5:$F$1004,MATCH($L32,'AFA Rates'!$N$5:$N$1004,0))),""))</f>
        <v/>
      </c>
      <c r="G32" s="45">
        <f>IF($B32="","",IFERROR(IF(INDEX('AFA Rates'!$G$5:$G$1004,MATCH($L32,'AFA Rates'!$N$5:$N$1004,0))="","—",INDEX('AFA Rates'!$G$5:$G$1004,MATCH($L32,'AFA Rates'!$N$5:$N$1004,0))),""))</f>
        <v/>
      </c>
      <c r="H32" s="45">
        <f>IF($B32="","",IFERROR(IF(INDEX('AFA Rates'!$H$5:$H$1004,MATCH($L32,'AFA Rates'!$N$5:$N$1004,0))="","—",INDEX('AFA Rates'!$H$5:$H$1004,MATCH($L32,'AFA Rates'!$N$5:$N$1004,0))),""))</f>
        <v/>
      </c>
      <c r="I32" s="45">
        <f>IF($B32="","",IFERROR(IF(INDEX('AFA Rates'!$I$5:$I$1004,MATCH($L32,'AFA Rates'!$N$5:$N$1004,0))="","—",INDEX('AFA Rates'!$I$5:$I$1004,MATCH($L32,'AFA Rates'!$N$5:$N$1004,0))),""))</f>
        <v/>
      </c>
      <c r="J32" s="45">
        <f>IF($B32="","",IFERROR(IF(INDEX('AFA Rates'!$J$5:$J$1004,MATCH($L32,'AFA Rates'!$N$5:$N$1004,0))="","—",INDEX('AFA Rates'!$J$5:$J$1004,MATCH($L32,'AFA Rates'!$N$5:$N$1004,0))),""))</f>
        <v/>
      </c>
      <c r="L32" t="n">
        <v>7</v>
      </c>
    </row>
    <row r="33">
      <c r="B33" s="44">
        <f>IFERROR(INDEX('AFA Rates'!$B$5:$B$1004,MATCH($L33,'AFA Rates'!$N$5:$N$1004,0))&amp;"","")</f>
        <v/>
      </c>
      <c r="C33" s="45">
        <f>IF($B33="","",IFERROR(IF(INDEX('AFA Rates'!$C$5:$C$1004,MATCH($L33,'AFA Rates'!$N$5:$N$1004,0))="","—",INDEX('AFA Rates'!$C$5:$C$1004,MATCH($L33,'AFA Rates'!$N$5:$N$1004,0))),""))</f>
        <v/>
      </c>
      <c r="D33" s="45">
        <f>IF($B33="","",IFERROR(IF(INDEX('AFA Rates'!$D$5:$D$1004,MATCH($L33,'AFA Rates'!$N$5:$N$1004,0))="","—",INDEX('AFA Rates'!$D$5:$D$1004,MATCH($L33,'AFA Rates'!$N$5:$N$1004,0))),""))</f>
        <v/>
      </c>
      <c r="E33" s="45">
        <f>IF($B33="","",IFERROR(IF(INDEX('AFA Rates'!$E$5:$E$1004,MATCH($L33,'AFA Rates'!$N$5:$N$1004,0))="","—",INDEX('AFA Rates'!$E$5:$E$1004,MATCH($L33,'AFA Rates'!$N$5:$N$1004,0))),""))</f>
        <v/>
      </c>
      <c r="F33" s="45">
        <f>IF($B33="","",IFERROR(IF(INDEX('AFA Rates'!$F$5:$F$1004,MATCH($L33,'AFA Rates'!$N$5:$N$1004,0))="","—",INDEX('AFA Rates'!$F$5:$F$1004,MATCH($L33,'AFA Rates'!$N$5:$N$1004,0))),""))</f>
        <v/>
      </c>
      <c r="G33" s="45">
        <f>IF($B33="","",IFERROR(IF(INDEX('AFA Rates'!$G$5:$G$1004,MATCH($L33,'AFA Rates'!$N$5:$N$1004,0))="","—",INDEX('AFA Rates'!$G$5:$G$1004,MATCH($L33,'AFA Rates'!$N$5:$N$1004,0))),""))</f>
        <v/>
      </c>
      <c r="H33" s="45">
        <f>IF($B33="","",IFERROR(IF(INDEX('AFA Rates'!$H$5:$H$1004,MATCH($L33,'AFA Rates'!$N$5:$N$1004,0))="","—",INDEX('AFA Rates'!$H$5:$H$1004,MATCH($L33,'AFA Rates'!$N$5:$N$1004,0))),""))</f>
        <v/>
      </c>
      <c r="I33" s="45">
        <f>IF($B33="","",IFERROR(IF(INDEX('AFA Rates'!$I$5:$I$1004,MATCH($L33,'AFA Rates'!$N$5:$N$1004,0))="","—",INDEX('AFA Rates'!$I$5:$I$1004,MATCH($L33,'AFA Rates'!$N$5:$N$1004,0))),""))</f>
        <v/>
      </c>
      <c r="J33" s="45">
        <f>IF($B33="","",IFERROR(IF(INDEX('AFA Rates'!$J$5:$J$1004,MATCH($L33,'AFA Rates'!$N$5:$N$1004,0))="","—",INDEX('AFA Rates'!$J$5:$J$1004,MATCH($L33,'AFA Rates'!$N$5:$N$1004,0))),""))</f>
        <v/>
      </c>
      <c r="L33" t="n">
        <v>8</v>
      </c>
    </row>
    <row r="34">
      <c r="B34" s="44">
        <f>IFERROR(INDEX('AFA Rates'!$B$5:$B$1004,MATCH($L34,'AFA Rates'!$N$5:$N$1004,0))&amp;"","")</f>
        <v/>
      </c>
      <c r="C34" s="45">
        <f>IF($B34="","",IFERROR(IF(INDEX('AFA Rates'!$C$5:$C$1004,MATCH($L34,'AFA Rates'!$N$5:$N$1004,0))="","—",INDEX('AFA Rates'!$C$5:$C$1004,MATCH($L34,'AFA Rates'!$N$5:$N$1004,0))),""))</f>
        <v/>
      </c>
      <c r="D34" s="45">
        <f>IF($B34="","",IFERROR(IF(INDEX('AFA Rates'!$D$5:$D$1004,MATCH($L34,'AFA Rates'!$N$5:$N$1004,0))="","—",INDEX('AFA Rates'!$D$5:$D$1004,MATCH($L34,'AFA Rates'!$N$5:$N$1004,0))),""))</f>
        <v/>
      </c>
      <c r="E34" s="45">
        <f>IF($B34="","",IFERROR(IF(INDEX('AFA Rates'!$E$5:$E$1004,MATCH($L34,'AFA Rates'!$N$5:$N$1004,0))="","—",INDEX('AFA Rates'!$E$5:$E$1004,MATCH($L34,'AFA Rates'!$N$5:$N$1004,0))),""))</f>
        <v/>
      </c>
      <c r="F34" s="45">
        <f>IF($B34="","",IFERROR(IF(INDEX('AFA Rates'!$F$5:$F$1004,MATCH($L34,'AFA Rates'!$N$5:$N$1004,0))="","—",INDEX('AFA Rates'!$F$5:$F$1004,MATCH($L34,'AFA Rates'!$N$5:$N$1004,0))),""))</f>
        <v/>
      </c>
      <c r="G34" s="45">
        <f>IF($B34="","",IFERROR(IF(INDEX('AFA Rates'!$G$5:$G$1004,MATCH($L34,'AFA Rates'!$N$5:$N$1004,0))="","—",INDEX('AFA Rates'!$G$5:$G$1004,MATCH($L34,'AFA Rates'!$N$5:$N$1004,0))),""))</f>
        <v/>
      </c>
      <c r="H34" s="45">
        <f>IF($B34="","",IFERROR(IF(INDEX('AFA Rates'!$H$5:$H$1004,MATCH($L34,'AFA Rates'!$N$5:$N$1004,0))="","—",INDEX('AFA Rates'!$H$5:$H$1004,MATCH($L34,'AFA Rates'!$N$5:$N$1004,0))),""))</f>
        <v/>
      </c>
      <c r="I34" s="45">
        <f>IF($B34="","",IFERROR(IF(INDEX('AFA Rates'!$I$5:$I$1004,MATCH($L34,'AFA Rates'!$N$5:$N$1004,0))="","—",INDEX('AFA Rates'!$I$5:$I$1004,MATCH($L34,'AFA Rates'!$N$5:$N$1004,0))),""))</f>
        <v/>
      </c>
      <c r="J34" s="45">
        <f>IF($B34="","",IFERROR(IF(INDEX('AFA Rates'!$J$5:$J$1004,MATCH($L34,'AFA Rates'!$N$5:$N$1004,0))="","—",INDEX('AFA Rates'!$J$5:$J$1004,MATCH($L34,'AFA Rates'!$N$5:$N$1004,0))),""))</f>
        <v/>
      </c>
      <c r="L34" t="n">
        <v>9</v>
      </c>
    </row>
    <row r="35">
      <c r="B35" s="44">
        <f>IFERROR(INDEX('AFA Rates'!$B$5:$B$1004,MATCH($L35,'AFA Rates'!$N$5:$N$1004,0))&amp;"","")</f>
        <v/>
      </c>
      <c r="C35" s="45">
        <f>IF($B35="","",IFERROR(IF(INDEX('AFA Rates'!$C$5:$C$1004,MATCH($L35,'AFA Rates'!$N$5:$N$1004,0))="","—",INDEX('AFA Rates'!$C$5:$C$1004,MATCH($L35,'AFA Rates'!$N$5:$N$1004,0))),""))</f>
        <v/>
      </c>
      <c r="D35" s="45">
        <f>IF($B35="","",IFERROR(IF(INDEX('AFA Rates'!$D$5:$D$1004,MATCH($L35,'AFA Rates'!$N$5:$N$1004,0))="","—",INDEX('AFA Rates'!$D$5:$D$1004,MATCH($L35,'AFA Rates'!$N$5:$N$1004,0))),""))</f>
        <v/>
      </c>
      <c r="E35" s="45">
        <f>IF($B35="","",IFERROR(IF(INDEX('AFA Rates'!$E$5:$E$1004,MATCH($L35,'AFA Rates'!$N$5:$N$1004,0))="","—",INDEX('AFA Rates'!$E$5:$E$1004,MATCH($L35,'AFA Rates'!$N$5:$N$1004,0))),""))</f>
        <v/>
      </c>
      <c r="F35" s="45">
        <f>IF($B35="","",IFERROR(IF(INDEX('AFA Rates'!$F$5:$F$1004,MATCH($L35,'AFA Rates'!$N$5:$N$1004,0))="","—",INDEX('AFA Rates'!$F$5:$F$1004,MATCH($L35,'AFA Rates'!$N$5:$N$1004,0))),""))</f>
        <v/>
      </c>
      <c r="G35" s="45">
        <f>IF($B35="","",IFERROR(IF(INDEX('AFA Rates'!$G$5:$G$1004,MATCH($L35,'AFA Rates'!$N$5:$N$1004,0))="","—",INDEX('AFA Rates'!$G$5:$G$1004,MATCH($L35,'AFA Rates'!$N$5:$N$1004,0))),""))</f>
        <v/>
      </c>
      <c r="H35" s="45">
        <f>IF($B35="","",IFERROR(IF(INDEX('AFA Rates'!$H$5:$H$1004,MATCH($L35,'AFA Rates'!$N$5:$N$1004,0))="","—",INDEX('AFA Rates'!$H$5:$H$1004,MATCH($L35,'AFA Rates'!$N$5:$N$1004,0))),""))</f>
        <v/>
      </c>
      <c r="I35" s="45">
        <f>IF($B35="","",IFERROR(IF(INDEX('AFA Rates'!$I$5:$I$1004,MATCH($L35,'AFA Rates'!$N$5:$N$1004,0))="","—",INDEX('AFA Rates'!$I$5:$I$1004,MATCH($L35,'AFA Rates'!$N$5:$N$1004,0))),""))</f>
        <v/>
      </c>
      <c r="J35" s="45">
        <f>IF($B35="","",IFERROR(IF(INDEX('AFA Rates'!$J$5:$J$1004,MATCH($L35,'AFA Rates'!$N$5:$N$1004,0))="","—",INDEX('AFA Rates'!$J$5:$J$1004,MATCH($L35,'AFA Rates'!$N$5:$N$1004,0))),""))</f>
        <v/>
      </c>
      <c r="L35" t="n">
        <v>10</v>
      </c>
    </row>
    <row r="36">
      <c r="B36" s="44">
        <f>IFERROR(INDEX('AFA Rates'!$B$5:$B$1004,MATCH($L36,'AFA Rates'!$N$5:$N$1004,0))&amp;"","")</f>
        <v/>
      </c>
      <c r="C36" s="45">
        <f>IF($B36="","",IFERROR(IF(INDEX('AFA Rates'!$C$5:$C$1004,MATCH($L36,'AFA Rates'!$N$5:$N$1004,0))="","—",INDEX('AFA Rates'!$C$5:$C$1004,MATCH($L36,'AFA Rates'!$N$5:$N$1004,0))),""))</f>
        <v/>
      </c>
      <c r="D36" s="45">
        <f>IF($B36="","",IFERROR(IF(INDEX('AFA Rates'!$D$5:$D$1004,MATCH($L36,'AFA Rates'!$N$5:$N$1004,0))="","—",INDEX('AFA Rates'!$D$5:$D$1004,MATCH($L36,'AFA Rates'!$N$5:$N$1004,0))),""))</f>
        <v/>
      </c>
      <c r="E36" s="45">
        <f>IF($B36="","",IFERROR(IF(INDEX('AFA Rates'!$E$5:$E$1004,MATCH($L36,'AFA Rates'!$N$5:$N$1004,0))="","—",INDEX('AFA Rates'!$E$5:$E$1004,MATCH($L36,'AFA Rates'!$N$5:$N$1004,0))),""))</f>
        <v/>
      </c>
      <c r="F36" s="45">
        <f>IF($B36="","",IFERROR(IF(INDEX('AFA Rates'!$F$5:$F$1004,MATCH($L36,'AFA Rates'!$N$5:$N$1004,0))="","—",INDEX('AFA Rates'!$F$5:$F$1004,MATCH($L36,'AFA Rates'!$N$5:$N$1004,0))),""))</f>
        <v/>
      </c>
      <c r="G36" s="45">
        <f>IF($B36="","",IFERROR(IF(INDEX('AFA Rates'!$G$5:$G$1004,MATCH($L36,'AFA Rates'!$N$5:$N$1004,0))="","—",INDEX('AFA Rates'!$G$5:$G$1004,MATCH($L36,'AFA Rates'!$N$5:$N$1004,0))),""))</f>
        <v/>
      </c>
      <c r="H36" s="45">
        <f>IF($B36="","",IFERROR(IF(INDEX('AFA Rates'!$H$5:$H$1004,MATCH($L36,'AFA Rates'!$N$5:$N$1004,0))="","—",INDEX('AFA Rates'!$H$5:$H$1004,MATCH($L36,'AFA Rates'!$N$5:$N$1004,0))),""))</f>
        <v/>
      </c>
      <c r="I36" s="45">
        <f>IF($B36="","",IFERROR(IF(INDEX('AFA Rates'!$I$5:$I$1004,MATCH($L36,'AFA Rates'!$N$5:$N$1004,0))="","—",INDEX('AFA Rates'!$I$5:$I$1004,MATCH($L36,'AFA Rates'!$N$5:$N$1004,0))),""))</f>
        <v/>
      </c>
      <c r="J36" s="45">
        <f>IF($B36="","",IFERROR(IF(INDEX('AFA Rates'!$J$5:$J$1004,MATCH($L36,'AFA Rates'!$N$5:$N$1004,0))="","—",INDEX('AFA Rates'!$J$5:$J$1004,MATCH($L36,'AFA Rates'!$N$5:$N$1004,0))),""))</f>
        <v/>
      </c>
      <c r="L36" t="n">
        <v>11</v>
      </c>
    </row>
    <row r="37">
      <c r="B37" s="44">
        <f>IFERROR(INDEX('AFA Rates'!$B$5:$B$1004,MATCH($L37,'AFA Rates'!$N$5:$N$1004,0))&amp;"","")</f>
        <v/>
      </c>
      <c r="C37" s="45">
        <f>IF($B37="","",IFERROR(IF(INDEX('AFA Rates'!$C$5:$C$1004,MATCH($L37,'AFA Rates'!$N$5:$N$1004,0))="","—",INDEX('AFA Rates'!$C$5:$C$1004,MATCH($L37,'AFA Rates'!$N$5:$N$1004,0))),""))</f>
        <v/>
      </c>
      <c r="D37" s="45">
        <f>IF($B37="","",IFERROR(IF(INDEX('AFA Rates'!$D$5:$D$1004,MATCH($L37,'AFA Rates'!$N$5:$N$1004,0))="","—",INDEX('AFA Rates'!$D$5:$D$1004,MATCH($L37,'AFA Rates'!$N$5:$N$1004,0))),""))</f>
        <v/>
      </c>
      <c r="E37" s="45">
        <f>IF($B37="","",IFERROR(IF(INDEX('AFA Rates'!$E$5:$E$1004,MATCH($L37,'AFA Rates'!$N$5:$N$1004,0))="","—",INDEX('AFA Rates'!$E$5:$E$1004,MATCH($L37,'AFA Rates'!$N$5:$N$1004,0))),""))</f>
        <v/>
      </c>
      <c r="F37" s="45">
        <f>IF($B37="","",IFERROR(IF(INDEX('AFA Rates'!$F$5:$F$1004,MATCH($L37,'AFA Rates'!$N$5:$N$1004,0))="","—",INDEX('AFA Rates'!$F$5:$F$1004,MATCH($L37,'AFA Rates'!$N$5:$N$1004,0))),""))</f>
        <v/>
      </c>
      <c r="G37" s="45">
        <f>IF($B37="","",IFERROR(IF(INDEX('AFA Rates'!$G$5:$G$1004,MATCH($L37,'AFA Rates'!$N$5:$N$1004,0))="","—",INDEX('AFA Rates'!$G$5:$G$1004,MATCH($L37,'AFA Rates'!$N$5:$N$1004,0))),""))</f>
        <v/>
      </c>
      <c r="H37" s="45">
        <f>IF($B37="","",IFERROR(IF(INDEX('AFA Rates'!$H$5:$H$1004,MATCH($L37,'AFA Rates'!$N$5:$N$1004,0))="","—",INDEX('AFA Rates'!$H$5:$H$1004,MATCH($L37,'AFA Rates'!$N$5:$N$1004,0))),""))</f>
        <v/>
      </c>
      <c r="I37" s="45">
        <f>IF($B37="","",IFERROR(IF(INDEX('AFA Rates'!$I$5:$I$1004,MATCH($L37,'AFA Rates'!$N$5:$N$1004,0))="","—",INDEX('AFA Rates'!$I$5:$I$1004,MATCH($L37,'AFA Rates'!$N$5:$N$1004,0))),""))</f>
        <v/>
      </c>
      <c r="J37" s="45">
        <f>IF($B37="","",IFERROR(IF(INDEX('AFA Rates'!$J$5:$J$1004,MATCH($L37,'AFA Rates'!$N$5:$N$1004,0))="","—",INDEX('AFA Rates'!$J$5:$J$1004,MATCH($L37,'AFA Rates'!$N$5:$N$1004,0))),""))</f>
        <v/>
      </c>
      <c r="L37" t="n">
        <v>12</v>
      </c>
    </row>
    <row r="38">
      <c r="B38" s="46">
        <f>IF($M$7="","",IF(INDEX(Firms!$N$5:$N$1004,$M$7)=0,"No AFA on file for this firm — standard rates apply.",""))</f>
        <v/>
      </c>
    </row>
  </sheetData>
  <mergeCells count="16">
    <mergeCell ref="B11:J11"/>
    <mergeCell ref="C7:G7"/>
    <mergeCell ref="B3:J3"/>
    <mergeCell ref="C12:J12"/>
    <mergeCell ref="C17:J17"/>
    <mergeCell ref="B19:J19"/>
    <mergeCell ref="B24:J24"/>
    <mergeCell ref="B38:J38"/>
    <mergeCell ref="C15:J15"/>
    <mergeCell ref="C16:J16"/>
    <mergeCell ref="C5:G5"/>
    <mergeCell ref="B9:J9"/>
    <mergeCell ref="C14:J14"/>
    <mergeCell ref="C13:J13"/>
    <mergeCell ref="H7:J7"/>
    <mergeCell ref="B2:J2"/>
  </mergeCells>
  <conditionalFormatting sqref="B9:J9">
    <cfRule type="expression" priority="1" dxfId="0">
      <formula>LEFT($B$9,1)="⛔"</formula>
    </cfRule>
    <cfRule type="expression" priority="2" dxfId="1">
      <formula>LEFT($B$9,1)="✓"</formula>
    </cfRule>
  </conditionalFormatting>
  <conditionalFormatting sqref="B26:J37">
    <cfRule type="expression" priority="3" dxfId="2">
      <formula>$B26&lt;&gt;""</formula>
    </cfRule>
  </conditionalFormatting>
  <dataValidations count="1">
    <dataValidation sqref="C5" showDropDown="0" showInputMessage="0" showErrorMessage="0" allowBlank="1" promptTitle="Firm Search" prompt="Type a full or partial firm name, or pick from the list." type="list">
      <formula1>=Firm_List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9CC3E6"/>
    <outlinePr summaryBelow="1" summaryRight="1"/>
    <pageSetUpPr fitToPage="1"/>
  </sheetPr>
  <dimension ref="A1:S1004"/>
  <sheetViews>
    <sheetView showGridLines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2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6" customWidth="1" min="12" max="12"/>
    <col width="13" customWidth="1" min="13" max="13"/>
    <col width="12" customWidth="1" min="14" max="14"/>
    <col width="13" customWidth="1" min="15" max="15"/>
    <col width="28" customWidth="1" min="16" max="16"/>
    <col width="44" customWidth="1" min="17" max="17"/>
    <col hidden="1" width="6" customWidth="1" min="18" max="18"/>
    <col hidden="1" width="6" customWidth="1" min="19" max="19"/>
  </cols>
  <sheetData>
    <row r="1" ht="34" customHeight="1">
      <c r="A1" s="47" t="inlineStr">
        <is>
          <t>Approved Firms — Master List</t>
        </is>
      </c>
    </row>
    <row r="2" ht="22" customHeight="1">
      <c r="A2" s="48" t="inlineStr">
        <is>
          <t>One row per firm. White cells = you type. Gray cells = automatic. Set Status to “Paused” and the firm appears on the Do Not Use tab automatically.</t>
        </is>
      </c>
    </row>
    <row r="3">
      <c r="A3" s="17" t="inlineStr">
        <is>
          <t>Tip: list Approved States as 2-letter codes separated by commas (e.g. CA, NV, AZ). Duplicate firm names turn red.</t>
        </is>
      </c>
    </row>
    <row r="4" ht="36" customHeight="1">
      <c r="A4" s="49" t="inlineStr">
        <is>
          <t>Firm Name</t>
        </is>
      </c>
      <c r="B4" s="49" t="inlineStr">
        <is>
          <t>Status</t>
        </is>
      </c>
      <c r="C4" s="49" t="inlineStr">
        <is>
          <t>Approved States</t>
        </is>
      </c>
      <c r="D4" s="49" t="inlineStr">
        <is>
          <t>Counsel
Rate</t>
        </is>
      </c>
      <c r="E4" s="49" t="inlineStr">
        <is>
          <t>Senior Partner
Rate</t>
        </is>
      </c>
      <c r="F4" s="49" t="inlineStr">
        <is>
          <t>Junior Partner
Rate</t>
        </is>
      </c>
      <c r="G4" s="49" t="inlineStr">
        <is>
          <t>Partner
Rate</t>
        </is>
      </c>
      <c r="H4" s="49" t="inlineStr">
        <is>
          <t>Senior Associate
Rate</t>
        </is>
      </c>
      <c r="I4" s="49" t="inlineStr">
        <is>
          <t>Junior Associate
Rate</t>
        </is>
      </c>
      <c r="J4" s="49" t="inlineStr">
        <is>
          <t>Associate
Rate</t>
        </is>
      </c>
      <c r="K4" s="49" t="inlineStr">
        <is>
          <t>Paralegal
Rate</t>
        </is>
      </c>
      <c r="L4" s="49" t="inlineStr">
        <is>
          <t>Cyber Status</t>
        </is>
      </c>
      <c r="M4" s="50" t="inlineStr">
        <is>
          <t>AFA on File?
(auto)</t>
        </is>
      </c>
      <c r="N4" s="50" t="inlineStr">
        <is>
          <t># AFA Types
(auto)</t>
        </is>
      </c>
      <c r="O4" s="49" t="inlineStr">
        <is>
          <t>Date Paused</t>
        </is>
      </c>
      <c r="P4" s="49" t="inlineStr">
        <is>
          <t>Pause Reason</t>
        </is>
      </c>
      <c r="Q4" s="49" t="inlineStr">
        <is>
          <t>Notes</t>
        </is>
      </c>
      <c r="R4" s="50" t="inlineStr">
        <is>
          <t>_dnu</t>
        </is>
      </c>
      <c r="S4" s="50" t="inlineStr">
        <is>
          <t>_afa</t>
        </is>
      </c>
    </row>
    <row r="5">
      <c r="A5" s="5" t="inlineStr">
        <is>
          <t>Sample: Alder &amp; Pine LLP</t>
        </is>
      </c>
      <c r="B5" s="51" t="inlineStr">
        <is>
          <t>Active</t>
        </is>
      </c>
      <c r="C5" s="5" t="inlineStr">
        <is>
          <t>CA, NV, AZ</t>
        </is>
      </c>
      <c r="D5" s="52" t="n">
        <v>475</v>
      </c>
      <c r="E5" s="52" t="n">
        <v>625</v>
      </c>
      <c r="F5" s="52" t="n">
        <v>425</v>
      </c>
      <c r="G5" s="52" t="n">
        <v>525</v>
      </c>
      <c r="H5" s="52" t="n">
        <v>395</v>
      </c>
      <c r="I5" s="52" t="n">
        <v>295</v>
      </c>
      <c r="J5" s="52" t="n">
        <v>345</v>
      </c>
      <c r="K5" s="52" t="n">
        <v>165</v>
      </c>
      <c r="L5" s="51" t="inlineStr">
        <is>
          <t>Compliant</t>
        </is>
      </c>
      <c r="M5" s="53">
        <f>IF(A5="","",IF(COUNTIF('AFA Rates'!$A$5:$A$1004,A5)&gt;0,"Yes","No"))</f>
        <v/>
      </c>
      <c r="N5" s="53">
        <f>IF(A5="","",COUNTIF('AFA Rates'!$A$5:$A$1004,A5))</f>
        <v/>
      </c>
      <c r="O5" s="54" t="n"/>
      <c r="P5" s="5" t="n"/>
      <c r="Q5" s="5" t="inlineStr">
        <is>
          <t>Sample row — replace with a real firm. Strong in coastal CA venues.</t>
        </is>
      </c>
      <c r="R5">
        <f>IF(AND(A5&lt;&gt;"",B5="Paused"),COUNTIFS($A$5:A5,"&lt;&gt;",$B$5:B5,"Paused"),"")</f>
        <v/>
      </c>
      <c r="S5">
        <f>IF(M5="Yes",COUNTIF($M$5:M5,"Yes"),"")</f>
        <v/>
      </c>
    </row>
    <row r="6">
      <c r="A6" s="5" t="inlineStr">
        <is>
          <t>Sample: Brookstone Legal Group</t>
        </is>
      </c>
      <c r="B6" s="51" t="inlineStr">
        <is>
          <t>Active</t>
        </is>
      </c>
      <c r="C6" s="5" t="inlineStr">
        <is>
          <t>TX, OK, LA, AR</t>
        </is>
      </c>
      <c r="D6" s="52" t="n">
        <v>425</v>
      </c>
      <c r="E6" s="52" t="n">
        <v>575</v>
      </c>
      <c r="F6" s="52" t="n">
        <v>395</v>
      </c>
      <c r="G6" s="52" t="n">
        <v>495</v>
      </c>
      <c r="H6" s="52" t="n">
        <v>350</v>
      </c>
      <c r="I6" s="52" t="n">
        <v>260</v>
      </c>
      <c r="J6" s="52" t="n">
        <v>310</v>
      </c>
      <c r="K6" s="52" t="n">
        <v>150</v>
      </c>
      <c r="L6" s="51" t="inlineStr">
        <is>
          <t>Compliant</t>
        </is>
      </c>
      <c r="M6" s="53">
        <f>IF(A6="","",IF(COUNTIF('AFA Rates'!$A$5:$A$1004,A6)&gt;0,"Yes","No"))</f>
        <v/>
      </c>
      <c r="N6" s="53">
        <f>IF(A6="","",COUNTIF('AFA Rates'!$A$5:$A$1004,A6))</f>
        <v/>
      </c>
      <c r="O6" s="54" t="n"/>
      <c r="P6" s="5" t="n"/>
      <c r="Q6" s="5" t="inlineStr">
        <is>
          <t>Sample row — trucking &amp; bad-faith panel.</t>
        </is>
      </c>
      <c r="R6">
        <f>IF(AND(A6&lt;&gt;"",B6="Paused"),COUNTIFS($A$5:A6,"&lt;&gt;",$B$5:B6,"Paused"),"")</f>
        <v/>
      </c>
      <c r="S6">
        <f>IF(M6="Yes",COUNTIF($M$5:M6,"Yes"),"")</f>
        <v/>
      </c>
    </row>
    <row r="7">
      <c r="A7" s="5" t="inlineStr">
        <is>
          <t>Sample: Cedar Ridge Partners</t>
        </is>
      </c>
      <c r="B7" s="51" t="inlineStr">
        <is>
          <t>Paused</t>
        </is>
      </c>
      <c r="C7" s="5" t="inlineStr">
        <is>
          <t>FL, GA, AL</t>
        </is>
      </c>
      <c r="D7" s="52" t="n">
        <v>400</v>
      </c>
      <c r="E7" s="52" t="n">
        <v>550</v>
      </c>
      <c r="F7" s="52" t="n">
        <v>375</v>
      </c>
      <c r="G7" s="52" t="n">
        <v>450</v>
      </c>
      <c r="H7" s="52" t="n">
        <v>325</v>
      </c>
      <c r="I7" s="52" t="n">
        <v>245</v>
      </c>
      <c r="J7" s="52" t="n">
        <v>285</v>
      </c>
      <c r="K7" s="52" t="n">
        <v>140</v>
      </c>
      <c r="L7" s="51" t="inlineStr">
        <is>
          <t>Non-Compliant</t>
        </is>
      </c>
      <c r="M7" s="53">
        <f>IF(A7="","",IF(COUNTIF('AFA Rates'!$A$5:$A$1004,A7)&gt;0,"Yes","No"))</f>
        <v/>
      </c>
      <c r="N7" s="53">
        <f>IF(A7="","",COUNTIF('AFA Rates'!$A$5:$A$1004,A7))</f>
        <v/>
      </c>
      <c r="O7" s="54" t="n">
        <v>46266</v>
      </c>
      <c r="P7" s="5" t="inlineStr">
        <is>
          <t>Cyber assessment failed; under review</t>
        </is>
      </c>
      <c r="Q7" s="5" t="inlineStr">
        <is>
          <t>Sample row — paused example.</t>
        </is>
      </c>
      <c r="R7">
        <f>IF(AND(A7&lt;&gt;"",B7="Paused"),COUNTIFS($A$5:A7,"&lt;&gt;",$B$5:B7,"Paused"),"")</f>
        <v/>
      </c>
      <c r="S7">
        <f>IF(M7="Yes",COUNTIF($M$5:M7,"Yes"),"")</f>
        <v/>
      </c>
    </row>
    <row r="8">
      <c r="A8" s="5" t="inlineStr">
        <is>
          <t>Sample: Dunmore Whitfield PC</t>
        </is>
      </c>
      <c r="B8" s="51" t="inlineStr">
        <is>
          <t>Active</t>
        </is>
      </c>
      <c r="C8" s="5" t="inlineStr">
        <is>
          <t>NY, NJ, CT, PA</t>
        </is>
      </c>
      <c r="D8" s="52" t="n">
        <v>550</v>
      </c>
      <c r="E8" s="52" t="n">
        <v>725</v>
      </c>
      <c r="F8" s="52" t="n">
        <v>495</v>
      </c>
      <c r="G8" s="52" t="n">
        <v>625</v>
      </c>
      <c r="H8" s="52" t="n">
        <v>450</v>
      </c>
      <c r="I8" s="52" t="n">
        <v>325</v>
      </c>
      <c r="J8" s="52" t="n">
        <v>395</v>
      </c>
      <c r="K8" s="52" t="n">
        <v>185</v>
      </c>
      <c r="L8" s="51" t="inlineStr">
        <is>
          <t>Pending Review</t>
        </is>
      </c>
      <c r="M8" s="53">
        <f>IF(A8="","",IF(COUNTIF('AFA Rates'!$A$5:$A$1004,A8)&gt;0,"Yes","No"))</f>
        <v/>
      </c>
      <c r="N8" s="53">
        <f>IF(A8="","",COUNTIF('AFA Rates'!$A$5:$A$1004,A8))</f>
        <v/>
      </c>
      <c r="O8" s="54" t="n"/>
      <c r="P8" s="5" t="n"/>
      <c r="Q8" s="5" t="inlineStr">
        <is>
          <t>Sample row — appellate specialists.</t>
        </is>
      </c>
      <c r="R8">
        <f>IF(AND(A8&lt;&gt;"",B8="Paused"),COUNTIFS($A$5:A8,"&lt;&gt;",$B$5:B8,"Paused"),"")</f>
        <v/>
      </c>
      <c r="S8">
        <f>IF(M8="Yes",COUNTIF($M$5:M8,"Yes"),"")</f>
        <v/>
      </c>
    </row>
    <row r="9">
      <c r="A9" s="5" t="n"/>
      <c r="B9" s="51" t="n"/>
      <c r="C9" s="5" t="n"/>
      <c r="D9" s="52" t="n"/>
      <c r="E9" s="52" t="n"/>
      <c r="F9" s="52" t="n"/>
      <c r="G9" s="52" t="n"/>
      <c r="H9" s="52" t="n"/>
      <c r="I9" s="52" t="n"/>
      <c r="J9" s="52" t="n"/>
      <c r="K9" s="52" t="n"/>
      <c r="L9" s="51" t="n"/>
      <c r="M9" s="53">
        <f>IF(A9="","",IF(COUNTIF('AFA Rates'!$A$5:$A$1004,A9)&gt;0,"Yes","No"))</f>
        <v/>
      </c>
      <c r="N9" s="53">
        <f>IF(A9="","",COUNTIF('AFA Rates'!$A$5:$A$1004,A9))</f>
        <v/>
      </c>
      <c r="O9" s="54" t="n"/>
      <c r="P9" s="5" t="n"/>
      <c r="Q9" s="5" t="n"/>
      <c r="R9">
        <f>IF(AND(A9&lt;&gt;"",B9="Paused"),COUNTIFS($A$5:A9,"&lt;&gt;",$B$5:B9,"Paused"),"")</f>
        <v/>
      </c>
      <c r="S9">
        <f>IF(M9="Yes",COUNTIF($M$5:M9,"Yes"),"")</f>
        <v/>
      </c>
    </row>
    <row r="10">
      <c r="A10" s="5" t="n"/>
      <c r="B10" s="51" t="n"/>
      <c r="C10" s="5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1" t="n"/>
      <c r="M10" s="53">
        <f>IF(A10="","",IF(COUNTIF('AFA Rates'!$A$5:$A$1004,A10)&gt;0,"Yes","No"))</f>
        <v/>
      </c>
      <c r="N10" s="53">
        <f>IF(A10="","",COUNTIF('AFA Rates'!$A$5:$A$1004,A10))</f>
        <v/>
      </c>
      <c r="O10" s="54" t="n"/>
      <c r="P10" s="5" t="n"/>
      <c r="Q10" s="5" t="n"/>
      <c r="R10">
        <f>IF(AND(A10&lt;&gt;"",B10="Paused"),COUNTIFS($A$5:A10,"&lt;&gt;",$B$5:B10,"Paused"),"")</f>
        <v/>
      </c>
      <c r="S10">
        <f>IF(M10="Yes",COUNTIF($M$5:M10,"Yes"),"")</f>
        <v/>
      </c>
    </row>
    <row r="11">
      <c r="A11" s="5" t="n"/>
      <c r="B11" s="51" t="n"/>
      <c r="C11" s="5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1" t="n"/>
      <c r="M11" s="53">
        <f>IF(A11="","",IF(COUNTIF('AFA Rates'!$A$5:$A$1004,A11)&gt;0,"Yes","No"))</f>
        <v/>
      </c>
      <c r="N11" s="53">
        <f>IF(A11="","",COUNTIF('AFA Rates'!$A$5:$A$1004,A11))</f>
        <v/>
      </c>
      <c r="O11" s="54" t="n"/>
      <c r="P11" s="5" t="n"/>
      <c r="Q11" s="5" t="n"/>
      <c r="R11">
        <f>IF(AND(A11&lt;&gt;"",B11="Paused"),COUNTIFS($A$5:A11,"&lt;&gt;",$B$5:B11,"Paused"),"")</f>
        <v/>
      </c>
      <c r="S11">
        <f>IF(M11="Yes",COUNTIF($M$5:M11,"Yes"),"")</f>
        <v/>
      </c>
    </row>
    <row r="12">
      <c r="A12" s="5" t="n"/>
      <c r="B12" s="51" t="n"/>
      <c r="C12" s="5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1" t="n"/>
      <c r="M12" s="53">
        <f>IF(A12="","",IF(COUNTIF('AFA Rates'!$A$5:$A$1004,A12)&gt;0,"Yes","No"))</f>
        <v/>
      </c>
      <c r="N12" s="53">
        <f>IF(A12="","",COUNTIF('AFA Rates'!$A$5:$A$1004,A12))</f>
        <v/>
      </c>
      <c r="O12" s="54" t="n"/>
      <c r="P12" s="5" t="n"/>
      <c r="Q12" s="5" t="n"/>
      <c r="R12">
        <f>IF(AND(A12&lt;&gt;"",B12="Paused"),COUNTIFS($A$5:A12,"&lt;&gt;",$B$5:B12,"Paused"),"")</f>
        <v/>
      </c>
      <c r="S12">
        <f>IF(M12="Yes",COUNTIF($M$5:M12,"Yes"),"")</f>
        <v/>
      </c>
    </row>
    <row r="13">
      <c r="A13" s="5" t="n"/>
      <c r="B13" s="51" t="n"/>
      <c r="C13" s="5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1" t="n"/>
      <c r="M13" s="53">
        <f>IF(A13="","",IF(COUNTIF('AFA Rates'!$A$5:$A$1004,A13)&gt;0,"Yes","No"))</f>
        <v/>
      </c>
      <c r="N13" s="53">
        <f>IF(A13="","",COUNTIF('AFA Rates'!$A$5:$A$1004,A13))</f>
        <v/>
      </c>
      <c r="O13" s="54" t="n"/>
      <c r="P13" s="5" t="n"/>
      <c r="Q13" s="5" t="n"/>
      <c r="R13">
        <f>IF(AND(A13&lt;&gt;"",B13="Paused"),COUNTIFS($A$5:A13,"&lt;&gt;",$B$5:B13,"Paused"),"")</f>
        <v/>
      </c>
      <c r="S13">
        <f>IF(M13="Yes",COUNTIF($M$5:M13,"Yes"),"")</f>
        <v/>
      </c>
    </row>
    <row r="14">
      <c r="A14" s="5" t="n"/>
      <c r="B14" s="51" t="n"/>
      <c r="C14" s="5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1" t="n"/>
      <c r="M14" s="53">
        <f>IF(A14="","",IF(COUNTIF('AFA Rates'!$A$5:$A$1004,A14)&gt;0,"Yes","No"))</f>
        <v/>
      </c>
      <c r="N14" s="53">
        <f>IF(A14="","",COUNTIF('AFA Rates'!$A$5:$A$1004,A14))</f>
        <v/>
      </c>
      <c r="O14" s="54" t="n"/>
      <c r="P14" s="5" t="n"/>
      <c r="Q14" s="5" t="n"/>
      <c r="R14">
        <f>IF(AND(A14&lt;&gt;"",B14="Paused"),COUNTIFS($A$5:A14,"&lt;&gt;",$B$5:B14,"Paused"),"")</f>
        <v/>
      </c>
      <c r="S14">
        <f>IF(M14="Yes",COUNTIF($M$5:M14,"Yes"),"")</f>
        <v/>
      </c>
    </row>
    <row r="15">
      <c r="A15" s="5" t="n"/>
      <c r="B15" s="51" t="n"/>
      <c r="C15" s="5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1" t="n"/>
      <c r="M15" s="53">
        <f>IF(A15="","",IF(COUNTIF('AFA Rates'!$A$5:$A$1004,A15)&gt;0,"Yes","No"))</f>
        <v/>
      </c>
      <c r="N15" s="53">
        <f>IF(A15="","",COUNTIF('AFA Rates'!$A$5:$A$1004,A15))</f>
        <v/>
      </c>
      <c r="O15" s="54" t="n"/>
      <c r="P15" s="5" t="n"/>
      <c r="Q15" s="5" t="n"/>
      <c r="R15">
        <f>IF(AND(A15&lt;&gt;"",B15="Paused"),COUNTIFS($A$5:A15,"&lt;&gt;",$B$5:B15,"Paused"),"")</f>
        <v/>
      </c>
      <c r="S15">
        <f>IF(M15="Yes",COUNTIF($M$5:M15,"Yes"),"")</f>
        <v/>
      </c>
    </row>
    <row r="16">
      <c r="A16" s="5" t="n"/>
      <c r="B16" s="51" t="n"/>
      <c r="C16" s="5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1" t="n"/>
      <c r="M16" s="53">
        <f>IF(A16="","",IF(COUNTIF('AFA Rates'!$A$5:$A$1004,A16)&gt;0,"Yes","No"))</f>
        <v/>
      </c>
      <c r="N16" s="53">
        <f>IF(A16="","",COUNTIF('AFA Rates'!$A$5:$A$1004,A16))</f>
        <v/>
      </c>
      <c r="O16" s="54" t="n"/>
      <c r="P16" s="5" t="n"/>
      <c r="Q16" s="5" t="n"/>
      <c r="R16">
        <f>IF(AND(A16&lt;&gt;"",B16="Paused"),COUNTIFS($A$5:A16,"&lt;&gt;",$B$5:B16,"Paused"),"")</f>
        <v/>
      </c>
      <c r="S16">
        <f>IF(M16="Yes",COUNTIF($M$5:M16,"Yes"),"")</f>
        <v/>
      </c>
    </row>
    <row r="17">
      <c r="A17" s="5" t="n"/>
      <c r="B17" s="51" t="n"/>
      <c r="C17" s="5" t="n"/>
      <c r="D17" s="52" t="n"/>
      <c r="E17" s="52" t="n"/>
      <c r="F17" s="52" t="n"/>
      <c r="G17" s="52" t="n"/>
      <c r="H17" s="52" t="n"/>
      <c r="I17" s="52" t="n"/>
      <c r="J17" s="52" t="n"/>
      <c r="K17" s="52" t="n"/>
      <c r="L17" s="51" t="n"/>
      <c r="M17" s="53">
        <f>IF(A17="","",IF(COUNTIF('AFA Rates'!$A$5:$A$1004,A17)&gt;0,"Yes","No"))</f>
        <v/>
      </c>
      <c r="N17" s="53">
        <f>IF(A17="","",COUNTIF('AFA Rates'!$A$5:$A$1004,A17))</f>
        <v/>
      </c>
      <c r="O17" s="54" t="n"/>
      <c r="P17" s="5" t="n"/>
      <c r="Q17" s="5" t="n"/>
      <c r="R17">
        <f>IF(AND(A17&lt;&gt;"",B17="Paused"),COUNTIFS($A$5:A17,"&lt;&gt;",$B$5:B17,"Paused"),"")</f>
        <v/>
      </c>
      <c r="S17">
        <f>IF(M17="Yes",COUNTIF($M$5:M17,"Yes"),"")</f>
        <v/>
      </c>
    </row>
    <row r="18">
      <c r="A18" s="5" t="n"/>
      <c r="B18" s="51" t="n"/>
      <c r="C18" s="5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1" t="n"/>
      <c r="M18" s="53">
        <f>IF(A18="","",IF(COUNTIF('AFA Rates'!$A$5:$A$1004,A18)&gt;0,"Yes","No"))</f>
        <v/>
      </c>
      <c r="N18" s="53">
        <f>IF(A18="","",COUNTIF('AFA Rates'!$A$5:$A$1004,A18))</f>
        <v/>
      </c>
      <c r="O18" s="54" t="n"/>
      <c r="P18" s="5" t="n"/>
      <c r="Q18" s="5" t="n"/>
      <c r="R18">
        <f>IF(AND(A18&lt;&gt;"",B18="Paused"),COUNTIFS($A$5:A18,"&lt;&gt;",$B$5:B18,"Paused"),"")</f>
        <v/>
      </c>
      <c r="S18">
        <f>IF(M18="Yes",COUNTIF($M$5:M18,"Yes"),"")</f>
        <v/>
      </c>
    </row>
    <row r="19">
      <c r="A19" s="5" t="n"/>
      <c r="B19" s="51" t="n"/>
      <c r="C19" s="5" t="n"/>
      <c r="D19" s="52" t="n"/>
      <c r="E19" s="52" t="n"/>
      <c r="F19" s="52" t="n"/>
      <c r="G19" s="52" t="n"/>
      <c r="H19" s="52" t="n"/>
      <c r="I19" s="52" t="n"/>
      <c r="J19" s="52" t="n"/>
      <c r="K19" s="52" t="n"/>
      <c r="L19" s="51" t="n"/>
      <c r="M19" s="53">
        <f>IF(A19="","",IF(COUNTIF('AFA Rates'!$A$5:$A$1004,A19)&gt;0,"Yes","No"))</f>
        <v/>
      </c>
      <c r="N19" s="53">
        <f>IF(A19="","",COUNTIF('AFA Rates'!$A$5:$A$1004,A19))</f>
        <v/>
      </c>
      <c r="O19" s="54" t="n"/>
      <c r="P19" s="5" t="n"/>
      <c r="Q19" s="5" t="n"/>
      <c r="R19">
        <f>IF(AND(A19&lt;&gt;"",B19="Paused"),COUNTIFS($A$5:A19,"&lt;&gt;",$B$5:B19,"Paused"),"")</f>
        <v/>
      </c>
      <c r="S19">
        <f>IF(M19="Yes",COUNTIF($M$5:M19,"Yes"),"")</f>
        <v/>
      </c>
    </row>
    <row r="20">
      <c r="A20" s="5" t="n"/>
      <c r="B20" s="51" t="n"/>
      <c r="C20" s="5" t="n"/>
      <c r="D20" s="52" t="n"/>
      <c r="E20" s="52" t="n"/>
      <c r="F20" s="52" t="n"/>
      <c r="G20" s="52" t="n"/>
      <c r="H20" s="52" t="n"/>
      <c r="I20" s="52" t="n"/>
      <c r="J20" s="52" t="n"/>
      <c r="K20" s="52" t="n"/>
      <c r="L20" s="51" t="n"/>
      <c r="M20" s="53">
        <f>IF(A20="","",IF(COUNTIF('AFA Rates'!$A$5:$A$1004,A20)&gt;0,"Yes","No"))</f>
        <v/>
      </c>
      <c r="N20" s="53">
        <f>IF(A20="","",COUNTIF('AFA Rates'!$A$5:$A$1004,A20))</f>
        <v/>
      </c>
      <c r="O20" s="54" t="n"/>
      <c r="P20" s="5" t="n"/>
      <c r="Q20" s="5" t="n"/>
      <c r="R20">
        <f>IF(AND(A20&lt;&gt;"",B20="Paused"),COUNTIFS($A$5:A20,"&lt;&gt;",$B$5:B20,"Paused"),"")</f>
        <v/>
      </c>
      <c r="S20">
        <f>IF(M20="Yes",COUNTIF($M$5:M20,"Yes"),"")</f>
        <v/>
      </c>
    </row>
    <row r="21">
      <c r="A21" s="5" t="n"/>
      <c r="B21" s="51" t="n"/>
      <c r="C21" s="5" t="n"/>
      <c r="D21" s="52" t="n"/>
      <c r="E21" s="52" t="n"/>
      <c r="F21" s="52" t="n"/>
      <c r="G21" s="52" t="n"/>
      <c r="H21" s="52" t="n"/>
      <c r="I21" s="52" t="n"/>
      <c r="J21" s="52" t="n"/>
      <c r="K21" s="52" t="n"/>
      <c r="L21" s="51" t="n"/>
      <c r="M21" s="53">
        <f>IF(A21="","",IF(COUNTIF('AFA Rates'!$A$5:$A$1004,A21)&gt;0,"Yes","No"))</f>
        <v/>
      </c>
      <c r="N21" s="53">
        <f>IF(A21="","",COUNTIF('AFA Rates'!$A$5:$A$1004,A21))</f>
        <v/>
      </c>
      <c r="O21" s="54" t="n"/>
      <c r="P21" s="5" t="n"/>
      <c r="Q21" s="5" t="n"/>
      <c r="R21">
        <f>IF(AND(A21&lt;&gt;"",B21="Paused"),COUNTIFS($A$5:A21,"&lt;&gt;",$B$5:B21,"Paused"),"")</f>
        <v/>
      </c>
      <c r="S21">
        <f>IF(M21="Yes",COUNTIF($M$5:M21,"Yes"),"")</f>
        <v/>
      </c>
    </row>
    <row r="22">
      <c r="A22" s="5" t="n"/>
      <c r="B22" s="51" t="n"/>
      <c r="C22" s="5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1" t="n"/>
      <c r="M22" s="53">
        <f>IF(A22="","",IF(COUNTIF('AFA Rates'!$A$5:$A$1004,A22)&gt;0,"Yes","No"))</f>
        <v/>
      </c>
      <c r="N22" s="53">
        <f>IF(A22="","",COUNTIF('AFA Rates'!$A$5:$A$1004,A22))</f>
        <v/>
      </c>
      <c r="O22" s="54" t="n"/>
      <c r="P22" s="5" t="n"/>
      <c r="Q22" s="5" t="n"/>
      <c r="R22">
        <f>IF(AND(A22&lt;&gt;"",B22="Paused"),COUNTIFS($A$5:A22,"&lt;&gt;",$B$5:B22,"Paused"),"")</f>
        <v/>
      </c>
      <c r="S22">
        <f>IF(M22="Yes",COUNTIF($M$5:M22,"Yes"),"")</f>
        <v/>
      </c>
    </row>
    <row r="23">
      <c r="A23" s="5" t="n"/>
      <c r="B23" s="51" t="n"/>
      <c r="C23" s="5" t="n"/>
      <c r="D23" s="52" t="n"/>
      <c r="E23" s="52" t="n"/>
      <c r="F23" s="52" t="n"/>
      <c r="G23" s="52" t="n"/>
      <c r="H23" s="52" t="n"/>
      <c r="I23" s="52" t="n"/>
      <c r="J23" s="52" t="n"/>
      <c r="K23" s="52" t="n"/>
      <c r="L23" s="51" t="n"/>
      <c r="M23" s="53">
        <f>IF(A23="","",IF(COUNTIF('AFA Rates'!$A$5:$A$1004,A23)&gt;0,"Yes","No"))</f>
        <v/>
      </c>
      <c r="N23" s="53">
        <f>IF(A23="","",COUNTIF('AFA Rates'!$A$5:$A$1004,A23))</f>
        <v/>
      </c>
      <c r="O23" s="54" t="n"/>
      <c r="P23" s="5" t="n"/>
      <c r="Q23" s="5" t="n"/>
      <c r="R23">
        <f>IF(AND(A23&lt;&gt;"",B23="Paused"),COUNTIFS($A$5:A23,"&lt;&gt;",$B$5:B23,"Paused"),"")</f>
        <v/>
      </c>
      <c r="S23">
        <f>IF(M23="Yes",COUNTIF($M$5:M23,"Yes"),"")</f>
        <v/>
      </c>
    </row>
    <row r="24">
      <c r="A24" s="5" t="n"/>
      <c r="B24" s="51" t="n"/>
      <c r="C24" s="5" t="n"/>
      <c r="D24" s="52" t="n"/>
      <c r="E24" s="52" t="n"/>
      <c r="F24" s="52" t="n"/>
      <c r="G24" s="52" t="n"/>
      <c r="H24" s="52" t="n"/>
      <c r="I24" s="52" t="n"/>
      <c r="J24" s="52" t="n"/>
      <c r="K24" s="52" t="n"/>
      <c r="L24" s="51" t="n"/>
      <c r="M24" s="53">
        <f>IF(A24="","",IF(COUNTIF('AFA Rates'!$A$5:$A$1004,A24)&gt;0,"Yes","No"))</f>
        <v/>
      </c>
      <c r="N24" s="53">
        <f>IF(A24="","",COUNTIF('AFA Rates'!$A$5:$A$1004,A24))</f>
        <v/>
      </c>
      <c r="O24" s="54" t="n"/>
      <c r="P24" s="5" t="n"/>
      <c r="Q24" s="5" t="n"/>
      <c r="R24">
        <f>IF(AND(A24&lt;&gt;"",B24="Paused"),COUNTIFS($A$5:A24,"&lt;&gt;",$B$5:B24,"Paused"),"")</f>
        <v/>
      </c>
      <c r="S24">
        <f>IF(M24="Yes",COUNTIF($M$5:M24,"Yes"),"")</f>
        <v/>
      </c>
    </row>
    <row r="25">
      <c r="A25" s="5" t="n"/>
      <c r="B25" s="51" t="n"/>
      <c r="C25" s="5" t="n"/>
      <c r="D25" s="52" t="n"/>
      <c r="E25" s="52" t="n"/>
      <c r="F25" s="52" t="n"/>
      <c r="G25" s="52" t="n"/>
      <c r="H25" s="52" t="n"/>
      <c r="I25" s="52" t="n"/>
      <c r="J25" s="52" t="n"/>
      <c r="K25" s="52" t="n"/>
      <c r="L25" s="51" t="n"/>
      <c r="M25" s="53">
        <f>IF(A25="","",IF(COUNTIF('AFA Rates'!$A$5:$A$1004,A25)&gt;0,"Yes","No"))</f>
        <v/>
      </c>
      <c r="N25" s="53">
        <f>IF(A25="","",COUNTIF('AFA Rates'!$A$5:$A$1004,A25))</f>
        <v/>
      </c>
      <c r="O25" s="54" t="n"/>
      <c r="P25" s="5" t="n"/>
      <c r="Q25" s="5" t="n"/>
      <c r="R25">
        <f>IF(AND(A25&lt;&gt;"",B25="Paused"),COUNTIFS($A$5:A25,"&lt;&gt;",$B$5:B25,"Paused"),"")</f>
        <v/>
      </c>
      <c r="S25">
        <f>IF(M25="Yes",COUNTIF($M$5:M25,"Yes"),"")</f>
        <v/>
      </c>
    </row>
    <row r="26">
      <c r="A26" s="5" t="n"/>
      <c r="B26" s="51" t="n"/>
      <c r="C26" s="5" t="n"/>
      <c r="D26" s="52" t="n"/>
      <c r="E26" s="52" t="n"/>
      <c r="F26" s="52" t="n"/>
      <c r="G26" s="52" t="n"/>
      <c r="H26" s="52" t="n"/>
      <c r="I26" s="52" t="n"/>
      <c r="J26" s="52" t="n"/>
      <c r="K26" s="52" t="n"/>
      <c r="L26" s="51" t="n"/>
      <c r="M26" s="53">
        <f>IF(A26="","",IF(COUNTIF('AFA Rates'!$A$5:$A$1004,A26)&gt;0,"Yes","No"))</f>
        <v/>
      </c>
      <c r="N26" s="53">
        <f>IF(A26="","",COUNTIF('AFA Rates'!$A$5:$A$1004,A26))</f>
        <v/>
      </c>
      <c r="O26" s="54" t="n"/>
      <c r="P26" s="5" t="n"/>
      <c r="Q26" s="5" t="n"/>
      <c r="R26">
        <f>IF(AND(A26&lt;&gt;"",B26="Paused"),COUNTIFS($A$5:A26,"&lt;&gt;",$B$5:B26,"Paused"),"")</f>
        <v/>
      </c>
      <c r="S26">
        <f>IF(M26="Yes",COUNTIF($M$5:M26,"Yes"),"")</f>
        <v/>
      </c>
    </row>
    <row r="27">
      <c r="A27" s="5" t="n"/>
      <c r="B27" s="51" t="n"/>
      <c r="C27" s="5" t="n"/>
      <c r="D27" s="52" t="n"/>
      <c r="E27" s="52" t="n"/>
      <c r="F27" s="52" t="n"/>
      <c r="G27" s="52" t="n"/>
      <c r="H27" s="52" t="n"/>
      <c r="I27" s="52" t="n"/>
      <c r="J27" s="52" t="n"/>
      <c r="K27" s="52" t="n"/>
      <c r="L27" s="51" t="n"/>
      <c r="M27" s="53">
        <f>IF(A27="","",IF(COUNTIF('AFA Rates'!$A$5:$A$1004,A27)&gt;0,"Yes","No"))</f>
        <v/>
      </c>
      <c r="N27" s="53">
        <f>IF(A27="","",COUNTIF('AFA Rates'!$A$5:$A$1004,A27))</f>
        <v/>
      </c>
      <c r="O27" s="54" t="n"/>
      <c r="P27" s="5" t="n"/>
      <c r="Q27" s="5" t="n"/>
      <c r="R27">
        <f>IF(AND(A27&lt;&gt;"",B27="Paused"),COUNTIFS($A$5:A27,"&lt;&gt;",$B$5:B27,"Paused"),"")</f>
        <v/>
      </c>
      <c r="S27">
        <f>IF(M27="Yes",COUNTIF($M$5:M27,"Yes"),"")</f>
        <v/>
      </c>
    </row>
    <row r="28">
      <c r="A28" s="5" t="n"/>
      <c r="B28" s="51" t="n"/>
      <c r="C28" s="5" t="n"/>
      <c r="D28" s="52" t="n"/>
      <c r="E28" s="52" t="n"/>
      <c r="F28" s="52" t="n"/>
      <c r="G28" s="52" t="n"/>
      <c r="H28" s="52" t="n"/>
      <c r="I28" s="52" t="n"/>
      <c r="J28" s="52" t="n"/>
      <c r="K28" s="52" t="n"/>
      <c r="L28" s="51" t="n"/>
      <c r="M28" s="53">
        <f>IF(A28="","",IF(COUNTIF('AFA Rates'!$A$5:$A$1004,A28)&gt;0,"Yes","No"))</f>
        <v/>
      </c>
      <c r="N28" s="53">
        <f>IF(A28="","",COUNTIF('AFA Rates'!$A$5:$A$1004,A28))</f>
        <v/>
      </c>
      <c r="O28" s="54" t="n"/>
      <c r="P28" s="5" t="n"/>
      <c r="Q28" s="5" t="n"/>
      <c r="R28">
        <f>IF(AND(A28&lt;&gt;"",B28="Paused"),COUNTIFS($A$5:A28,"&lt;&gt;",$B$5:B28,"Paused"),"")</f>
        <v/>
      </c>
      <c r="S28">
        <f>IF(M28="Yes",COUNTIF($M$5:M28,"Yes"),"")</f>
        <v/>
      </c>
    </row>
    <row r="29">
      <c r="A29" s="5" t="n"/>
      <c r="B29" s="51" t="n"/>
      <c r="C29" s="5" t="n"/>
      <c r="D29" s="52" t="n"/>
      <c r="E29" s="52" t="n"/>
      <c r="F29" s="52" t="n"/>
      <c r="G29" s="52" t="n"/>
      <c r="H29" s="52" t="n"/>
      <c r="I29" s="52" t="n"/>
      <c r="J29" s="52" t="n"/>
      <c r="K29" s="52" t="n"/>
      <c r="L29" s="51" t="n"/>
      <c r="M29" s="53">
        <f>IF(A29="","",IF(COUNTIF('AFA Rates'!$A$5:$A$1004,A29)&gt;0,"Yes","No"))</f>
        <v/>
      </c>
      <c r="N29" s="53">
        <f>IF(A29="","",COUNTIF('AFA Rates'!$A$5:$A$1004,A29))</f>
        <v/>
      </c>
      <c r="O29" s="54" t="n"/>
      <c r="P29" s="5" t="n"/>
      <c r="Q29" s="5" t="n"/>
      <c r="R29">
        <f>IF(AND(A29&lt;&gt;"",B29="Paused"),COUNTIFS($A$5:A29,"&lt;&gt;",$B$5:B29,"Paused"),"")</f>
        <v/>
      </c>
      <c r="S29">
        <f>IF(M29="Yes",COUNTIF($M$5:M29,"Yes"),"")</f>
        <v/>
      </c>
    </row>
    <row r="30">
      <c r="A30" s="5" t="n"/>
      <c r="B30" s="51" t="n"/>
      <c r="C30" s="5" t="n"/>
      <c r="D30" s="52" t="n"/>
      <c r="E30" s="52" t="n"/>
      <c r="F30" s="52" t="n"/>
      <c r="G30" s="52" t="n"/>
      <c r="H30" s="52" t="n"/>
      <c r="I30" s="52" t="n"/>
      <c r="J30" s="52" t="n"/>
      <c r="K30" s="52" t="n"/>
      <c r="L30" s="51" t="n"/>
      <c r="M30" s="53">
        <f>IF(A30="","",IF(COUNTIF('AFA Rates'!$A$5:$A$1004,A30)&gt;0,"Yes","No"))</f>
        <v/>
      </c>
      <c r="N30" s="53">
        <f>IF(A30="","",COUNTIF('AFA Rates'!$A$5:$A$1004,A30))</f>
        <v/>
      </c>
      <c r="O30" s="54" t="n"/>
      <c r="P30" s="5" t="n"/>
      <c r="Q30" s="5" t="n"/>
      <c r="R30">
        <f>IF(AND(A30&lt;&gt;"",B30="Paused"),COUNTIFS($A$5:A30,"&lt;&gt;",$B$5:B30,"Paused"),"")</f>
        <v/>
      </c>
      <c r="S30">
        <f>IF(M30="Yes",COUNTIF($M$5:M30,"Yes"),"")</f>
        <v/>
      </c>
    </row>
    <row r="31">
      <c r="A31" s="5" t="n"/>
      <c r="B31" s="51" t="n"/>
      <c r="C31" s="5" t="n"/>
      <c r="D31" s="52" t="n"/>
      <c r="E31" s="52" t="n"/>
      <c r="F31" s="52" t="n"/>
      <c r="G31" s="52" t="n"/>
      <c r="H31" s="52" t="n"/>
      <c r="I31" s="52" t="n"/>
      <c r="J31" s="52" t="n"/>
      <c r="K31" s="52" t="n"/>
      <c r="L31" s="51" t="n"/>
      <c r="M31" s="53">
        <f>IF(A31="","",IF(COUNTIF('AFA Rates'!$A$5:$A$1004,A31)&gt;0,"Yes","No"))</f>
        <v/>
      </c>
      <c r="N31" s="53">
        <f>IF(A31="","",COUNTIF('AFA Rates'!$A$5:$A$1004,A31))</f>
        <v/>
      </c>
      <c r="O31" s="54" t="n"/>
      <c r="P31" s="5" t="n"/>
      <c r="Q31" s="5" t="n"/>
      <c r="R31">
        <f>IF(AND(A31&lt;&gt;"",B31="Paused"),COUNTIFS($A$5:A31,"&lt;&gt;",$B$5:B31,"Paused"),"")</f>
        <v/>
      </c>
      <c r="S31">
        <f>IF(M31="Yes",COUNTIF($M$5:M31,"Yes"),"")</f>
        <v/>
      </c>
    </row>
    <row r="32">
      <c r="A32" s="5" t="n"/>
      <c r="B32" s="51" t="n"/>
      <c r="C32" s="5" t="n"/>
      <c r="D32" s="52" t="n"/>
      <c r="E32" s="52" t="n"/>
      <c r="F32" s="52" t="n"/>
      <c r="G32" s="52" t="n"/>
      <c r="H32" s="52" t="n"/>
      <c r="I32" s="52" t="n"/>
      <c r="J32" s="52" t="n"/>
      <c r="K32" s="52" t="n"/>
      <c r="L32" s="51" t="n"/>
      <c r="M32" s="53">
        <f>IF(A32="","",IF(COUNTIF('AFA Rates'!$A$5:$A$1004,A32)&gt;0,"Yes","No"))</f>
        <v/>
      </c>
      <c r="N32" s="53">
        <f>IF(A32="","",COUNTIF('AFA Rates'!$A$5:$A$1004,A32))</f>
        <v/>
      </c>
      <c r="O32" s="54" t="n"/>
      <c r="P32" s="5" t="n"/>
      <c r="Q32" s="5" t="n"/>
      <c r="R32">
        <f>IF(AND(A32&lt;&gt;"",B32="Paused"),COUNTIFS($A$5:A32,"&lt;&gt;",$B$5:B32,"Paused"),"")</f>
        <v/>
      </c>
      <c r="S32">
        <f>IF(M32="Yes",COUNTIF($M$5:M32,"Yes"),"")</f>
        <v/>
      </c>
    </row>
    <row r="33">
      <c r="A33" s="5" t="n"/>
      <c r="B33" s="51" t="n"/>
      <c r="C33" s="5" t="n"/>
      <c r="D33" s="52" t="n"/>
      <c r="E33" s="52" t="n"/>
      <c r="F33" s="52" t="n"/>
      <c r="G33" s="52" t="n"/>
      <c r="H33" s="52" t="n"/>
      <c r="I33" s="52" t="n"/>
      <c r="J33" s="52" t="n"/>
      <c r="K33" s="52" t="n"/>
      <c r="L33" s="51" t="n"/>
      <c r="M33" s="53">
        <f>IF(A33="","",IF(COUNTIF('AFA Rates'!$A$5:$A$1004,A33)&gt;0,"Yes","No"))</f>
        <v/>
      </c>
      <c r="N33" s="53">
        <f>IF(A33="","",COUNTIF('AFA Rates'!$A$5:$A$1004,A33))</f>
        <v/>
      </c>
      <c r="O33" s="54" t="n"/>
      <c r="P33" s="5" t="n"/>
      <c r="Q33" s="5" t="n"/>
      <c r="R33">
        <f>IF(AND(A33&lt;&gt;"",B33="Paused"),COUNTIFS($A$5:A33,"&lt;&gt;",$B$5:B33,"Paused"),"")</f>
        <v/>
      </c>
      <c r="S33">
        <f>IF(M33="Yes",COUNTIF($M$5:M33,"Yes"),"")</f>
        <v/>
      </c>
    </row>
    <row r="34">
      <c r="A34" s="5" t="n"/>
      <c r="B34" s="51" t="n"/>
      <c r="C34" s="5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1" t="n"/>
      <c r="M34" s="53">
        <f>IF(A34="","",IF(COUNTIF('AFA Rates'!$A$5:$A$1004,A34)&gt;0,"Yes","No"))</f>
        <v/>
      </c>
      <c r="N34" s="53">
        <f>IF(A34="","",COUNTIF('AFA Rates'!$A$5:$A$1004,A34))</f>
        <v/>
      </c>
      <c r="O34" s="54" t="n"/>
      <c r="P34" s="5" t="n"/>
      <c r="Q34" s="5" t="n"/>
      <c r="R34">
        <f>IF(AND(A34&lt;&gt;"",B34="Paused"),COUNTIFS($A$5:A34,"&lt;&gt;",$B$5:B34,"Paused"),"")</f>
        <v/>
      </c>
      <c r="S34">
        <f>IF(M34="Yes",COUNTIF($M$5:M34,"Yes"),"")</f>
        <v/>
      </c>
    </row>
    <row r="35">
      <c r="A35" s="5" t="n"/>
      <c r="B35" s="51" t="n"/>
      <c r="C35" s="5" t="n"/>
      <c r="D35" s="52" t="n"/>
      <c r="E35" s="52" t="n"/>
      <c r="F35" s="52" t="n"/>
      <c r="G35" s="52" t="n"/>
      <c r="H35" s="52" t="n"/>
      <c r="I35" s="52" t="n"/>
      <c r="J35" s="52" t="n"/>
      <c r="K35" s="52" t="n"/>
      <c r="L35" s="51" t="n"/>
      <c r="M35" s="53">
        <f>IF(A35="","",IF(COUNTIF('AFA Rates'!$A$5:$A$1004,A35)&gt;0,"Yes","No"))</f>
        <v/>
      </c>
      <c r="N35" s="53">
        <f>IF(A35="","",COUNTIF('AFA Rates'!$A$5:$A$1004,A35))</f>
        <v/>
      </c>
      <c r="O35" s="54" t="n"/>
      <c r="P35" s="5" t="n"/>
      <c r="Q35" s="5" t="n"/>
      <c r="R35">
        <f>IF(AND(A35&lt;&gt;"",B35="Paused"),COUNTIFS($A$5:A35,"&lt;&gt;",$B$5:B35,"Paused"),"")</f>
        <v/>
      </c>
      <c r="S35">
        <f>IF(M35="Yes",COUNTIF($M$5:M35,"Yes"),"")</f>
        <v/>
      </c>
    </row>
    <row r="36">
      <c r="A36" s="5" t="n"/>
      <c r="B36" s="51" t="n"/>
      <c r="C36" s="5" t="n"/>
      <c r="D36" s="52" t="n"/>
      <c r="E36" s="52" t="n"/>
      <c r="F36" s="52" t="n"/>
      <c r="G36" s="52" t="n"/>
      <c r="H36" s="52" t="n"/>
      <c r="I36" s="52" t="n"/>
      <c r="J36" s="52" t="n"/>
      <c r="K36" s="52" t="n"/>
      <c r="L36" s="51" t="n"/>
      <c r="M36" s="53">
        <f>IF(A36="","",IF(COUNTIF('AFA Rates'!$A$5:$A$1004,A36)&gt;0,"Yes","No"))</f>
        <v/>
      </c>
      <c r="N36" s="53">
        <f>IF(A36="","",COUNTIF('AFA Rates'!$A$5:$A$1004,A36))</f>
        <v/>
      </c>
      <c r="O36" s="54" t="n"/>
      <c r="P36" s="5" t="n"/>
      <c r="Q36" s="5" t="n"/>
      <c r="R36">
        <f>IF(AND(A36&lt;&gt;"",B36="Paused"),COUNTIFS($A$5:A36,"&lt;&gt;",$B$5:B36,"Paused"),"")</f>
        <v/>
      </c>
      <c r="S36">
        <f>IF(M36="Yes",COUNTIF($M$5:M36,"Yes"),"")</f>
        <v/>
      </c>
    </row>
    <row r="37">
      <c r="A37" s="5" t="n"/>
      <c r="B37" s="51" t="n"/>
      <c r="C37" s="5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1" t="n"/>
      <c r="M37" s="53">
        <f>IF(A37="","",IF(COUNTIF('AFA Rates'!$A$5:$A$1004,A37)&gt;0,"Yes","No"))</f>
        <v/>
      </c>
      <c r="N37" s="53">
        <f>IF(A37="","",COUNTIF('AFA Rates'!$A$5:$A$1004,A37))</f>
        <v/>
      </c>
      <c r="O37" s="54" t="n"/>
      <c r="P37" s="5" t="n"/>
      <c r="Q37" s="5" t="n"/>
      <c r="R37">
        <f>IF(AND(A37&lt;&gt;"",B37="Paused"),COUNTIFS($A$5:A37,"&lt;&gt;",$B$5:B37,"Paused"),"")</f>
        <v/>
      </c>
      <c r="S37">
        <f>IF(M37="Yes",COUNTIF($M$5:M37,"Yes"),"")</f>
        <v/>
      </c>
    </row>
    <row r="38">
      <c r="A38" s="5" t="n"/>
      <c r="B38" s="51" t="n"/>
      <c r="C38" s="5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1" t="n"/>
      <c r="M38" s="53">
        <f>IF(A38="","",IF(COUNTIF('AFA Rates'!$A$5:$A$1004,A38)&gt;0,"Yes","No"))</f>
        <v/>
      </c>
      <c r="N38" s="53">
        <f>IF(A38="","",COUNTIF('AFA Rates'!$A$5:$A$1004,A38))</f>
        <v/>
      </c>
      <c r="O38" s="54" t="n"/>
      <c r="P38" s="5" t="n"/>
      <c r="Q38" s="5" t="n"/>
      <c r="R38">
        <f>IF(AND(A38&lt;&gt;"",B38="Paused"),COUNTIFS($A$5:A38,"&lt;&gt;",$B$5:B38,"Paused"),"")</f>
        <v/>
      </c>
      <c r="S38">
        <f>IF(M38="Yes",COUNTIF($M$5:M38,"Yes"),"")</f>
        <v/>
      </c>
    </row>
    <row r="39">
      <c r="A39" s="5" t="n"/>
      <c r="B39" s="51" t="n"/>
      <c r="C39" s="5" t="n"/>
      <c r="D39" s="52" t="n"/>
      <c r="E39" s="52" t="n"/>
      <c r="F39" s="52" t="n"/>
      <c r="G39" s="52" t="n"/>
      <c r="H39" s="52" t="n"/>
      <c r="I39" s="52" t="n"/>
      <c r="J39" s="52" t="n"/>
      <c r="K39" s="52" t="n"/>
      <c r="L39" s="51" t="n"/>
      <c r="M39" s="53">
        <f>IF(A39="","",IF(COUNTIF('AFA Rates'!$A$5:$A$1004,A39)&gt;0,"Yes","No"))</f>
        <v/>
      </c>
      <c r="N39" s="53">
        <f>IF(A39="","",COUNTIF('AFA Rates'!$A$5:$A$1004,A39))</f>
        <v/>
      </c>
      <c r="O39" s="54" t="n"/>
      <c r="P39" s="5" t="n"/>
      <c r="Q39" s="5" t="n"/>
      <c r="R39">
        <f>IF(AND(A39&lt;&gt;"",B39="Paused"),COUNTIFS($A$5:A39,"&lt;&gt;",$B$5:B39,"Paused"),"")</f>
        <v/>
      </c>
      <c r="S39">
        <f>IF(M39="Yes",COUNTIF($M$5:M39,"Yes"),"")</f>
        <v/>
      </c>
    </row>
    <row r="40">
      <c r="A40" s="5" t="n"/>
      <c r="B40" s="51" t="n"/>
      <c r="C40" s="5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1" t="n"/>
      <c r="M40" s="53">
        <f>IF(A40="","",IF(COUNTIF('AFA Rates'!$A$5:$A$1004,A40)&gt;0,"Yes","No"))</f>
        <v/>
      </c>
      <c r="N40" s="53">
        <f>IF(A40="","",COUNTIF('AFA Rates'!$A$5:$A$1004,A40))</f>
        <v/>
      </c>
      <c r="O40" s="54" t="n"/>
      <c r="P40" s="5" t="n"/>
      <c r="Q40" s="5" t="n"/>
      <c r="R40">
        <f>IF(AND(A40&lt;&gt;"",B40="Paused"),COUNTIFS($A$5:A40,"&lt;&gt;",$B$5:B40,"Paused"),"")</f>
        <v/>
      </c>
      <c r="S40">
        <f>IF(M40="Yes",COUNTIF($M$5:M40,"Yes"),"")</f>
        <v/>
      </c>
    </row>
    <row r="41">
      <c r="A41" s="5" t="n"/>
      <c r="B41" s="51" t="n"/>
      <c r="C41" s="5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1" t="n"/>
      <c r="M41" s="53">
        <f>IF(A41="","",IF(COUNTIF('AFA Rates'!$A$5:$A$1004,A41)&gt;0,"Yes","No"))</f>
        <v/>
      </c>
      <c r="N41" s="53">
        <f>IF(A41="","",COUNTIF('AFA Rates'!$A$5:$A$1004,A41))</f>
        <v/>
      </c>
      <c r="O41" s="54" t="n"/>
      <c r="P41" s="5" t="n"/>
      <c r="Q41" s="5" t="n"/>
      <c r="R41">
        <f>IF(AND(A41&lt;&gt;"",B41="Paused"),COUNTIFS($A$5:A41,"&lt;&gt;",$B$5:B41,"Paused"),"")</f>
        <v/>
      </c>
      <c r="S41">
        <f>IF(M41="Yes",COUNTIF($M$5:M41,"Yes"),"")</f>
        <v/>
      </c>
    </row>
    <row r="42">
      <c r="A42" s="5" t="n"/>
      <c r="B42" s="51" t="n"/>
      <c r="C42" s="5" t="n"/>
      <c r="D42" s="52" t="n"/>
      <c r="E42" s="52" t="n"/>
      <c r="F42" s="52" t="n"/>
      <c r="G42" s="52" t="n"/>
      <c r="H42" s="52" t="n"/>
      <c r="I42" s="52" t="n"/>
      <c r="J42" s="52" t="n"/>
      <c r="K42" s="52" t="n"/>
      <c r="L42" s="51" t="n"/>
      <c r="M42" s="53">
        <f>IF(A42="","",IF(COUNTIF('AFA Rates'!$A$5:$A$1004,A42)&gt;0,"Yes","No"))</f>
        <v/>
      </c>
      <c r="N42" s="53">
        <f>IF(A42="","",COUNTIF('AFA Rates'!$A$5:$A$1004,A42))</f>
        <v/>
      </c>
      <c r="O42" s="54" t="n"/>
      <c r="P42" s="5" t="n"/>
      <c r="Q42" s="5" t="n"/>
      <c r="R42">
        <f>IF(AND(A42&lt;&gt;"",B42="Paused"),COUNTIFS($A$5:A42,"&lt;&gt;",$B$5:B42,"Paused"),"")</f>
        <v/>
      </c>
      <c r="S42">
        <f>IF(M42="Yes",COUNTIF($M$5:M42,"Yes"),"")</f>
        <v/>
      </c>
    </row>
    <row r="43">
      <c r="A43" s="5" t="n"/>
      <c r="B43" s="51" t="n"/>
      <c r="C43" s="5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1" t="n"/>
      <c r="M43" s="53">
        <f>IF(A43="","",IF(COUNTIF('AFA Rates'!$A$5:$A$1004,A43)&gt;0,"Yes","No"))</f>
        <v/>
      </c>
      <c r="N43" s="53">
        <f>IF(A43="","",COUNTIF('AFA Rates'!$A$5:$A$1004,A43))</f>
        <v/>
      </c>
      <c r="O43" s="54" t="n"/>
      <c r="P43" s="5" t="n"/>
      <c r="Q43" s="5" t="n"/>
      <c r="R43">
        <f>IF(AND(A43&lt;&gt;"",B43="Paused"),COUNTIFS($A$5:A43,"&lt;&gt;",$B$5:B43,"Paused"),"")</f>
        <v/>
      </c>
      <c r="S43">
        <f>IF(M43="Yes",COUNTIF($M$5:M43,"Yes"),"")</f>
        <v/>
      </c>
    </row>
    <row r="44">
      <c r="A44" s="5" t="n"/>
      <c r="B44" s="51" t="n"/>
      <c r="C44" s="5" t="n"/>
      <c r="D44" s="52" t="n"/>
      <c r="E44" s="52" t="n"/>
      <c r="F44" s="52" t="n"/>
      <c r="G44" s="52" t="n"/>
      <c r="H44" s="52" t="n"/>
      <c r="I44" s="52" t="n"/>
      <c r="J44" s="52" t="n"/>
      <c r="K44" s="52" t="n"/>
      <c r="L44" s="51" t="n"/>
      <c r="M44" s="53">
        <f>IF(A44="","",IF(COUNTIF('AFA Rates'!$A$5:$A$1004,A44)&gt;0,"Yes","No"))</f>
        <v/>
      </c>
      <c r="N44" s="53">
        <f>IF(A44="","",COUNTIF('AFA Rates'!$A$5:$A$1004,A44))</f>
        <v/>
      </c>
      <c r="O44" s="54" t="n"/>
      <c r="P44" s="5" t="n"/>
      <c r="Q44" s="5" t="n"/>
      <c r="R44">
        <f>IF(AND(A44&lt;&gt;"",B44="Paused"),COUNTIFS($A$5:A44,"&lt;&gt;",$B$5:B44,"Paused"),"")</f>
        <v/>
      </c>
      <c r="S44">
        <f>IF(M44="Yes",COUNTIF($M$5:M44,"Yes"),"")</f>
        <v/>
      </c>
    </row>
    <row r="45">
      <c r="A45" s="5" t="n"/>
      <c r="B45" s="51" t="n"/>
      <c r="C45" s="5" t="n"/>
      <c r="D45" s="52" t="n"/>
      <c r="E45" s="52" t="n"/>
      <c r="F45" s="52" t="n"/>
      <c r="G45" s="52" t="n"/>
      <c r="H45" s="52" t="n"/>
      <c r="I45" s="52" t="n"/>
      <c r="J45" s="52" t="n"/>
      <c r="K45" s="52" t="n"/>
      <c r="L45" s="51" t="n"/>
      <c r="M45" s="53">
        <f>IF(A45="","",IF(COUNTIF('AFA Rates'!$A$5:$A$1004,A45)&gt;0,"Yes","No"))</f>
        <v/>
      </c>
      <c r="N45" s="53">
        <f>IF(A45="","",COUNTIF('AFA Rates'!$A$5:$A$1004,A45))</f>
        <v/>
      </c>
      <c r="O45" s="54" t="n"/>
      <c r="P45" s="5" t="n"/>
      <c r="Q45" s="5" t="n"/>
      <c r="R45">
        <f>IF(AND(A45&lt;&gt;"",B45="Paused"),COUNTIFS($A$5:A45,"&lt;&gt;",$B$5:B45,"Paused"),"")</f>
        <v/>
      </c>
      <c r="S45">
        <f>IF(M45="Yes",COUNTIF($M$5:M45,"Yes"),"")</f>
        <v/>
      </c>
    </row>
    <row r="46">
      <c r="A46" s="5" t="n"/>
      <c r="B46" s="51" t="n"/>
      <c r="C46" s="5" t="n"/>
      <c r="D46" s="52" t="n"/>
      <c r="E46" s="52" t="n"/>
      <c r="F46" s="52" t="n"/>
      <c r="G46" s="52" t="n"/>
      <c r="H46" s="52" t="n"/>
      <c r="I46" s="52" t="n"/>
      <c r="J46" s="52" t="n"/>
      <c r="K46" s="52" t="n"/>
      <c r="L46" s="51" t="n"/>
      <c r="M46" s="53">
        <f>IF(A46="","",IF(COUNTIF('AFA Rates'!$A$5:$A$1004,A46)&gt;0,"Yes","No"))</f>
        <v/>
      </c>
      <c r="N46" s="53">
        <f>IF(A46="","",COUNTIF('AFA Rates'!$A$5:$A$1004,A46))</f>
        <v/>
      </c>
      <c r="O46" s="54" t="n"/>
      <c r="P46" s="5" t="n"/>
      <c r="Q46" s="5" t="n"/>
      <c r="R46">
        <f>IF(AND(A46&lt;&gt;"",B46="Paused"),COUNTIFS($A$5:A46,"&lt;&gt;",$B$5:B46,"Paused"),"")</f>
        <v/>
      </c>
      <c r="S46">
        <f>IF(M46="Yes",COUNTIF($M$5:M46,"Yes"),"")</f>
        <v/>
      </c>
    </row>
    <row r="47">
      <c r="A47" s="5" t="n"/>
      <c r="B47" s="51" t="n"/>
      <c r="C47" s="5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1" t="n"/>
      <c r="M47" s="53">
        <f>IF(A47="","",IF(COUNTIF('AFA Rates'!$A$5:$A$1004,A47)&gt;0,"Yes","No"))</f>
        <v/>
      </c>
      <c r="N47" s="53">
        <f>IF(A47="","",COUNTIF('AFA Rates'!$A$5:$A$1004,A47))</f>
        <v/>
      </c>
      <c r="O47" s="54" t="n"/>
      <c r="P47" s="5" t="n"/>
      <c r="Q47" s="5" t="n"/>
      <c r="R47">
        <f>IF(AND(A47&lt;&gt;"",B47="Paused"),COUNTIFS($A$5:A47,"&lt;&gt;",$B$5:B47,"Paused"),"")</f>
        <v/>
      </c>
      <c r="S47">
        <f>IF(M47="Yes",COUNTIF($M$5:M47,"Yes"),"")</f>
        <v/>
      </c>
    </row>
    <row r="48">
      <c r="A48" s="5" t="n"/>
      <c r="B48" s="51" t="n"/>
      <c r="C48" s="5" t="n"/>
      <c r="D48" s="52" t="n"/>
      <c r="E48" s="52" t="n"/>
      <c r="F48" s="52" t="n"/>
      <c r="G48" s="52" t="n"/>
      <c r="H48" s="52" t="n"/>
      <c r="I48" s="52" t="n"/>
      <c r="J48" s="52" t="n"/>
      <c r="K48" s="52" t="n"/>
      <c r="L48" s="51" t="n"/>
      <c r="M48" s="53">
        <f>IF(A48="","",IF(COUNTIF('AFA Rates'!$A$5:$A$1004,A48)&gt;0,"Yes","No"))</f>
        <v/>
      </c>
      <c r="N48" s="53">
        <f>IF(A48="","",COUNTIF('AFA Rates'!$A$5:$A$1004,A48))</f>
        <v/>
      </c>
      <c r="O48" s="54" t="n"/>
      <c r="P48" s="5" t="n"/>
      <c r="Q48" s="5" t="n"/>
      <c r="R48">
        <f>IF(AND(A48&lt;&gt;"",B48="Paused"),COUNTIFS($A$5:A48,"&lt;&gt;",$B$5:B48,"Paused"),"")</f>
        <v/>
      </c>
      <c r="S48">
        <f>IF(M48="Yes",COUNTIF($M$5:M48,"Yes"),"")</f>
        <v/>
      </c>
    </row>
    <row r="49">
      <c r="A49" s="5" t="n"/>
      <c r="B49" s="51" t="n"/>
      <c r="C49" s="5" t="n"/>
      <c r="D49" s="52" t="n"/>
      <c r="E49" s="52" t="n"/>
      <c r="F49" s="52" t="n"/>
      <c r="G49" s="52" t="n"/>
      <c r="H49" s="52" t="n"/>
      <c r="I49" s="52" t="n"/>
      <c r="J49" s="52" t="n"/>
      <c r="K49" s="52" t="n"/>
      <c r="L49" s="51" t="n"/>
      <c r="M49" s="53">
        <f>IF(A49="","",IF(COUNTIF('AFA Rates'!$A$5:$A$1004,A49)&gt;0,"Yes","No"))</f>
        <v/>
      </c>
      <c r="N49" s="53">
        <f>IF(A49="","",COUNTIF('AFA Rates'!$A$5:$A$1004,A49))</f>
        <v/>
      </c>
      <c r="O49" s="54" t="n"/>
      <c r="P49" s="5" t="n"/>
      <c r="Q49" s="5" t="n"/>
      <c r="R49">
        <f>IF(AND(A49&lt;&gt;"",B49="Paused"),COUNTIFS($A$5:A49,"&lt;&gt;",$B$5:B49,"Paused"),"")</f>
        <v/>
      </c>
      <c r="S49">
        <f>IF(M49="Yes",COUNTIF($M$5:M49,"Yes"),"")</f>
        <v/>
      </c>
    </row>
    <row r="50">
      <c r="A50" s="5" t="n"/>
      <c r="B50" s="51" t="n"/>
      <c r="C50" s="5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1" t="n"/>
      <c r="M50" s="53">
        <f>IF(A50="","",IF(COUNTIF('AFA Rates'!$A$5:$A$1004,A50)&gt;0,"Yes","No"))</f>
        <v/>
      </c>
      <c r="N50" s="53">
        <f>IF(A50="","",COUNTIF('AFA Rates'!$A$5:$A$1004,A50))</f>
        <v/>
      </c>
      <c r="O50" s="54" t="n"/>
      <c r="P50" s="5" t="n"/>
      <c r="Q50" s="5" t="n"/>
      <c r="R50">
        <f>IF(AND(A50&lt;&gt;"",B50="Paused"),COUNTIFS($A$5:A50,"&lt;&gt;",$B$5:B50,"Paused"),"")</f>
        <v/>
      </c>
      <c r="S50">
        <f>IF(M50="Yes",COUNTIF($M$5:M50,"Yes"),"")</f>
        <v/>
      </c>
    </row>
    <row r="51">
      <c r="A51" s="5" t="n"/>
      <c r="B51" s="51" t="n"/>
      <c r="C51" s="5" t="n"/>
      <c r="D51" s="52" t="n"/>
      <c r="E51" s="52" t="n"/>
      <c r="F51" s="52" t="n"/>
      <c r="G51" s="52" t="n"/>
      <c r="H51" s="52" t="n"/>
      <c r="I51" s="52" t="n"/>
      <c r="J51" s="52" t="n"/>
      <c r="K51" s="52" t="n"/>
      <c r="L51" s="51" t="n"/>
      <c r="M51" s="53">
        <f>IF(A51="","",IF(COUNTIF('AFA Rates'!$A$5:$A$1004,A51)&gt;0,"Yes","No"))</f>
        <v/>
      </c>
      <c r="N51" s="53">
        <f>IF(A51="","",COUNTIF('AFA Rates'!$A$5:$A$1004,A51))</f>
        <v/>
      </c>
      <c r="O51" s="54" t="n"/>
      <c r="P51" s="5" t="n"/>
      <c r="Q51" s="5" t="n"/>
      <c r="R51">
        <f>IF(AND(A51&lt;&gt;"",B51="Paused"),COUNTIFS($A$5:A51,"&lt;&gt;",$B$5:B51,"Paused"),"")</f>
        <v/>
      </c>
      <c r="S51">
        <f>IF(M51="Yes",COUNTIF($M$5:M51,"Yes"),"")</f>
        <v/>
      </c>
    </row>
    <row r="52">
      <c r="A52" s="5" t="n"/>
      <c r="B52" s="51" t="n"/>
      <c r="C52" s="5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1" t="n"/>
      <c r="M52" s="53">
        <f>IF(A52="","",IF(COUNTIF('AFA Rates'!$A$5:$A$1004,A52)&gt;0,"Yes","No"))</f>
        <v/>
      </c>
      <c r="N52" s="53">
        <f>IF(A52="","",COUNTIF('AFA Rates'!$A$5:$A$1004,A52))</f>
        <v/>
      </c>
      <c r="O52" s="54" t="n"/>
      <c r="P52" s="5" t="n"/>
      <c r="Q52" s="5" t="n"/>
      <c r="R52">
        <f>IF(AND(A52&lt;&gt;"",B52="Paused"),COUNTIFS($A$5:A52,"&lt;&gt;",$B$5:B52,"Paused"),"")</f>
        <v/>
      </c>
      <c r="S52">
        <f>IF(M52="Yes",COUNTIF($M$5:M52,"Yes"),"")</f>
        <v/>
      </c>
    </row>
    <row r="53">
      <c r="A53" s="5" t="n"/>
      <c r="B53" s="51" t="n"/>
      <c r="C53" s="5" t="n"/>
      <c r="D53" s="52" t="n"/>
      <c r="E53" s="52" t="n"/>
      <c r="F53" s="52" t="n"/>
      <c r="G53" s="52" t="n"/>
      <c r="H53" s="52" t="n"/>
      <c r="I53" s="52" t="n"/>
      <c r="J53" s="52" t="n"/>
      <c r="K53" s="52" t="n"/>
      <c r="L53" s="51" t="n"/>
      <c r="M53" s="53">
        <f>IF(A53="","",IF(COUNTIF('AFA Rates'!$A$5:$A$1004,A53)&gt;0,"Yes","No"))</f>
        <v/>
      </c>
      <c r="N53" s="53">
        <f>IF(A53="","",COUNTIF('AFA Rates'!$A$5:$A$1004,A53))</f>
        <v/>
      </c>
      <c r="O53" s="54" t="n"/>
      <c r="P53" s="5" t="n"/>
      <c r="Q53" s="5" t="n"/>
      <c r="R53">
        <f>IF(AND(A53&lt;&gt;"",B53="Paused"),COUNTIFS($A$5:A53,"&lt;&gt;",$B$5:B53,"Paused"),"")</f>
        <v/>
      </c>
      <c r="S53">
        <f>IF(M53="Yes",COUNTIF($M$5:M53,"Yes"),"")</f>
        <v/>
      </c>
    </row>
    <row r="54">
      <c r="A54" s="5" t="n"/>
      <c r="B54" s="51" t="n"/>
      <c r="C54" s="5" t="n"/>
      <c r="D54" s="52" t="n"/>
      <c r="E54" s="52" t="n"/>
      <c r="F54" s="52" t="n"/>
      <c r="G54" s="52" t="n"/>
      <c r="H54" s="52" t="n"/>
      <c r="I54" s="52" t="n"/>
      <c r="J54" s="52" t="n"/>
      <c r="K54" s="52" t="n"/>
      <c r="L54" s="51" t="n"/>
      <c r="M54" s="53">
        <f>IF(A54="","",IF(COUNTIF('AFA Rates'!$A$5:$A$1004,A54)&gt;0,"Yes","No"))</f>
        <v/>
      </c>
      <c r="N54" s="53">
        <f>IF(A54="","",COUNTIF('AFA Rates'!$A$5:$A$1004,A54))</f>
        <v/>
      </c>
      <c r="O54" s="54" t="n"/>
      <c r="P54" s="5" t="n"/>
      <c r="Q54" s="5" t="n"/>
      <c r="R54">
        <f>IF(AND(A54&lt;&gt;"",B54="Paused"),COUNTIFS($A$5:A54,"&lt;&gt;",$B$5:B54,"Paused"),"")</f>
        <v/>
      </c>
      <c r="S54">
        <f>IF(M54="Yes",COUNTIF($M$5:M54,"Yes"),"")</f>
        <v/>
      </c>
    </row>
    <row r="55">
      <c r="A55" s="5" t="n"/>
      <c r="B55" s="51" t="n"/>
      <c r="C55" s="5" t="n"/>
      <c r="D55" s="52" t="n"/>
      <c r="E55" s="52" t="n"/>
      <c r="F55" s="52" t="n"/>
      <c r="G55" s="52" t="n"/>
      <c r="H55" s="52" t="n"/>
      <c r="I55" s="52" t="n"/>
      <c r="J55" s="52" t="n"/>
      <c r="K55" s="52" t="n"/>
      <c r="L55" s="51" t="n"/>
      <c r="M55" s="53">
        <f>IF(A55="","",IF(COUNTIF('AFA Rates'!$A$5:$A$1004,A55)&gt;0,"Yes","No"))</f>
        <v/>
      </c>
      <c r="N55" s="53">
        <f>IF(A55="","",COUNTIF('AFA Rates'!$A$5:$A$1004,A55))</f>
        <v/>
      </c>
      <c r="O55" s="54" t="n"/>
      <c r="P55" s="5" t="n"/>
      <c r="Q55" s="5" t="n"/>
      <c r="R55">
        <f>IF(AND(A55&lt;&gt;"",B55="Paused"),COUNTIFS($A$5:A55,"&lt;&gt;",$B$5:B55,"Paused"),"")</f>
        <v/>
      </c>
      <c r="S55">
        <f>IF(M55="Yes",COUNTIF($M$5:M55,"Yes"),"")</f>
        <v/>
      </c>
    </row>
    <row r="56">
      <c r="A56" s="5" t="n"/>
      <c r="B56" s="51" t="n"/>
      <c r="C56" s="5" t="n"/>
      <c r="D56" s="52" t="n"/>
      <c r="E56" s="52" t="n"/>
      <c r="F56" s="52" t="n"/>
      <c r="G56" s="52" t="n"/>
      <c r="H56" s="52" t="n"/>
      <c r="I56" s="52" t="n"/>
      <c r="J56" s="52" t="n"/>
      <c r="K56" s="52" t="n"/>
      <c r="L56" s="51" t="n"/>
      <c r="M56" s="53">
        <f>IF(A56="","",IF(COUNTIF('AFA Rates'!$A$5:$A$1004,A56)&gt;0,"Yes","No"))</f>
        <v/>
      </c>
      <c r="N56" s="53">
        <f>IF(A56="","",COUNTIF('AFA Rates'!$A$5:$A$1004,A56))</f>
        <v/>
      </c>
      <c r="O56" s="54" t="n"/>
      <c r="P56" s="5" t="n"/>
      <c r="Q56" s="5" t="n"/>
      <c r="R56">
        <f>IF(AND(A56&lt;&gt;"",B56="Paused"),COUNTIFS($A$5:A56,"&lt;&gt;",$B$5:B56,"Paused"),"")</f>
        <v/>
      </c>
      <c r="S56">
        <f>IF(M56="Yes",COUNTIF($M$5:M56,"Yes"),"")</f>
        <v/>
      </c>
    </row>
    <row r="57">
      <c r="A57" s="5" t="n"/>
      <c r="B57" s="51" t="n"/>
      <c r="C57" s="5" t="n"/>
      <c r="D57" s="52" t="n"/>
      <c r="E57" s="52" t="n"/>
      <c r="F57" s="52" t="n"/>
      <c r="G57" s="52" t="n"/>
      <c r="H57" s="52" t="n"/>
      <c r="I57" s="52" t="n"/>
      <c r="J57" s="52" t="n"/>
      <c r="K57" s="52" t="n"/>
      <c r="L57" s="51" t="n"/>
      <c r="M57" s="53">
        <f>IF(A57="","",IF(COUNTIF('AFA Rates'!$A$5:$A$1004,A57)&gt;0,"Yes","No"))</f>
        <v/>
      </c>
      <c r="N57" s="53">
        <f>IF(A57="","",COUNTIF('AFA Rates'!$A$5:$A$1004,A57))</f>
        <v/>
      </c>
      <c r="O57" s="54" t="n"/>
      <c r="P57" s="5" t="n"/>
      <c r="Q57" s="5" t="n"/>
      <c r="R57">
        <f>IF(AND(A57&lt;&gt;"",B57="Paused"),COUNTIFS($A$5:A57,"&lt;&gt;",$B$5:B57,"Paused"),"")</f>
        <v/>
      </c>
      <c r="S57">
        <f>IF(M57="Yes",COUNTIF($M$5:M57,"Yes"),"")</f>
        <v/>
      </c>
    </row>
    <row r="58">
      <c r="A58" s="5" t="n"/>
      <c r="B58" s="51" t="n"/>
      <c r="C58" s="5" t="n"/>
      <c r="D58" s="52" t="n"/>
      <c r="E58" s="52" t="n"/>
      <c r="F58" s="52" t="n"/>
      <c r="G58" s="52" t="n"/>
      <c r="H58" s="52" t="n"/>
      <c r="I58" s="52" t="n"/>
      <c r="J58" s="52" t="n"/>
      <c r="K58" s="52" t="n"/>
      <c r="L58" s="51" t="n"/>
      <c r="M58" s="53">
        <f>IF(A58="","",IF(COUNTIF('AFA Rates'!$A$5:$A$1004,A58)&gt;0,"Yes","No"))</f>
        <v/>
      </c>
      <c r="N58" s="53">
        <f>IF(A58="","",COUNTIF('AFA Rates'!$A$5:$A$1004,A58))</f>
        <v/>
      </c>
      <c r="O58" s="54" t="n"/>
      <c r="P58" s="5" t="n"/>
      <c r="Q58" s="5" t="n"/>
      <c r="R58">
        <f>IF(AND(A58&lt;&gt;"",B58="Paused"),COUNTIFS($A$5:A58,"&lt;&gt;",$B$5:B58,"Paused"),"")</f>
        <v/>
      </c>
      <c r="S58">
        <f>IF(M58="Yes",COUNTIF($M$5:M58,"Yes"),"")</f>
        <v/>
      </c>
    </row>
    <row r="59">
      <c r="A59" s="5" t="n"/>
      <c r="B59" s="51" t="n"/>
      <c r="C59" s="5" t="n"/>
      <c r="D59" s="52" t="n"/>
      <c r="E59" s="52" t="n"/>
      <c r="F59" s="52" t="n"/>
      <c r="G59" s="52" t="n"/>
      <c r="H59" s="52" t="n"/>
      <c r="I59" s="52" t="n"/>
      <c r="J59" s="52" t="n"/>
      <c r="K59" s="52" t="n"/>
      <c r="L59" s="51" t="n"/>
      <c r="M59" s="53">
        <f>IF(A59="","",IF(COUNTIF('AFA Rates'!$A$5:$A$1004,A59)&gt;0,"Yes","No"))</f>
        <v/>
      </c>
      <c r="N59" s="53">
        <f>IF(A59="","",COUNTIF('AFA Rates'!$A$5:$A$1004,A59))</f>
        <v/>
      </c>
      <c r="O59" s="54" t="n"/>
      <c r="P59" s="5" t="n"/>
      <c r="Q59" s="5" t="n"/>
      <c r="R59">
        <f>IF(AND(A59&lt;&gt;"",B59="Paused"),COUNTIFS($A$5:A59,"&lt;&gt;",$B$5:B59,"Paused"),"")</f>
        <v/>
      </c>
      <c r="S59">
        <f>IF(M59="Yes",COUNTIF($M$5:M59,"Yes"),"")</f>
        <v/>
      </c>
    </row>
    <row r="60">
      <c r="A60" s="5" t="n"/>
      <c r="B60" s="51" t="n"/>
      <c r="C60" s="5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1" t="n"/>
      <c r="M60" s="53">
        <f>IF(A60="","",IF(COUNTIF('AFA Rates'!$A$5:$A$1004,A60)&gt;0,"Yes","No"))</f>
        <v/>
      </c>
      <c r="N60" s="53">
        <f>IF(A60="","",COUNTIF('AFA Rates'!$A$5:$A$1004,A60))</f>
        <v/>
      </c>
      <c r="O60" s="54" t="n"/>
      <c r="P60" s="5" t="n"/>
      <c r="Q60" s="5" t="n"/>
      <c r="R60">
        <f>IF(AND(A60&lt;&gt;"",B60="Paused"),COUNTIFS($A$5:A60,"&lt;&gt;",$B$5:B60,"Paused"),"")</f>
        <v/>
      </c>
      <c r="S60">
        <f>IF(M60="Yes",COUNTIF($M$5:M60,"Yes"),"")</f>
        <v/>
      </c>
    </row>
    <row r="61">
      <c r="A61" s="5" t="n"/>
      <c r="B61" s="51" t="n"/>
      <c r="C61" s="5" t="n"/>
      <c r="D61" s="52" t="n"/>
      <c r="E61" s="52" t="n"/>
      <c r="F61" s="52" t="n"/>
      <c r="G61" s="52" t="n"/>
      <c r="H61" s="52" t="n"/>
      <c r="I61" s="52" t="n"/>
      <c r="J61" s="52" t="n"/>
      <c r="K61" s="52" t="n"/>
      <c r="L61" s="51" t="n"/>
      <c r="M61" s="53">
        <f>IF(A61="","",IF(COUNTIF('AFA Rates'!$A$5:$A$1004,A61)&gt;0,"Yes","No"))</f>
        <v/>
      </c>
      <c r="N61" s="53">
        <f>IF(A61="","",COUNTIF('AFA Rates'!$A$5:$A$1004,A61))</f>
        <v/>
      </c>
      <c r="O61" s="54" t="n"/>
      <c r="P61" s="5" t="n"/>
      <c r="Q61" s="5" t="n"/>
      <c r="R61">
        <f>IF(AND(A61&lt;&gt;"",B61="Paused"),COUNTIFS($A$5:A61,"&lt;&gt;",$B$5:B61,"Paused"),"")</f>
        <v/>
      </c>
      <c r="S61">
        <f>IF(M61="Yes",COUNTIF($M$5:M61,"Yes"),"")</f>
        <v/>
      </c>
    </row>
    <row r="62">
      <c r="A62" s="5" t="n"/>
      <c r="B62" s="51" t="n"/>
      <c r="C62" s="5" t="n"/>
      <c r="D62" s="52" t="n"/>
      <c r="E62" s="52" t="n"/>
      <c r="F62" s="52" t="n"/>
      <c r="G62" s="52" t="n"/>
      <c r="H62" s="52" t="n"/>
      <c r="I62" s="52" t="n"/>
      <c r="J62" s="52" t="n"/>
      <c r="K62" s="52" t="n"/>
      <c r="L62" s="51" t="n"/>
      <c r="M62" s="53">
        <f>IF(A62="","",IF(COUNTIF('AFA Rates'!$A$5:$A$1004,A62)&gt;0,"Yes","No"))</f>
        <v/>
      </c>
      <c r="N62" s="53">
        <f>IF(A62="","",COUNTIF('AFA Rates'!$A$5:$A$1004,A62))</f>
        <v/>
      </c>
      <c r="O62" s="54" t="n"/>
      <c r="P62" s="5" t="n"/>
      <c r="Q62" s="5" t="n"/>
      <c r="R62">
        <f>IF(AND(A62&lt;&gt;"",B62="Paused"),COUNTIFS($A$5:A62,"&lt;&gt;",$B$5:B62,"Paused"),"")</f>
        <v/>
      </c>
      <c r="S62">
        <f>IF(M62="Yes",COUNTIF($M$5:M62,"Yes"),"")</f>
        <v/>
      </c>
    </row>
    <row r="63">
      <c r="A63" s="5" t="n"/>
      <c r="B63" s="51" t="n"/>
      <c r="C63" s="5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1" t="n"/>
      <c r="M63" s="53">
        <f>IF(A63="","",IF(COUNTIF('AFA Rates'!$A$5:$A$1004,A63)&gt;0,"Yes","No"))</f>
        <v/>
      </c>
      <c r="N63" s="53">
        <f>IF(A63="","",COUNTIF('AFA Rates'!$A$5:$A$1004,A63))</f>
        <v/>
      </c>
      <c r="O63" s="54" t="n"/>
      <c r="P63" s="5" t="n"/>
      <c r="Q63" s="5" t="n"/>
      <c r="R63">
        <f>IF(AND(A63&lt;&gt;"",B63="Paused"),COUNTIFS($A$5:A63,"&lt;&gt;",$B$5:B63,"Paused"),"")</f>
        <v/>
      </c>
      <c r="S63">
        <f>IF(M63="Yes",COUNTIF($M$5:M63,"Yes"),"")</f>
        <v/>
      </c>
    </row>
    <row r="64">
      <c r="A64" s="5" t="n"/>
      <c r="B64" s="51" t="n"/>
      <c r="C64" s="5" t="n"/>
      <c r="D64" s="52" t="n"/>
      <c r="E64" s="52" t="n"/>
      <c r="F64" s="52" t="n"/>
      <c r="G64" s="52" t="n"/>
      <c r="H64" s="52" t="n"/>
      <c r="I64" s="52" t="n"/>
      <c r="J64" s="52" t="n"/>
      <c r="K64" s="52" t="n"/>
      <c r="L64" s="51" t="n"/>
      <c r="M64" s="53">
        <f>IF(A64="","",IF(COUNTIF('AFA Rates'!$A$5:$A$1004,A64)&gt;0,"Yes","No"))</f>
        <v/>
      </c>
      <c r="N64" s="53">
        <f>IF(A64="","",COUNTIF('AFA Rates'!$A$5:$A$1004,A64))</f>
        <v/>
      </c>
      <c r="O64" s="54" t="n"/>
      <c r="P64" s="5" t="n"/>
      <c r="Q64" s="5" t="n"/>
      <c r="R64">
        <f>IF(AND(A64&lt;&gt;"",B64="Paused"),COUNTIFS($A$5:A64,"&lt;&gt;",$B$5:B64,"Paused"),"")</f>
        <v/>
      </c>
      <c r="S64">
        <f>IF(M64="Yes",COUNTIF($M$5:M64,"Yes"),"")</f>
        <v/>
      </c>
    </row>
    <row r="65">
      <c r="A65" s="5" t="n"/>
      <c r="B65" s="51" t="n"/>
      <c r="C65" s="5" t="n"/>
      <c r="D65" s="52" t="n"/>
      <c r="E65" s="52" t="n"/>
      <c r="F65" s="52" t="n"/>
      <c r="G65" s="52" t="n"/>
      <c r="H65" s="52" t="n"/>
      <c r="I65" s="52" t="n"/>
      <c r="J65" s="52" t="n"/>
      <c r="K65" s="52" t="n"/>
      <c r="L65" s="51" t="n"/>
      <c r="M65" s="53">
        <f>IF(A65="","",IF(COUNTIF('AFA Rates'!$A$5:$A$1004,A65)&gt;0,"Yes","No"))</f>
        <v/>
      </c>
      <c r="N65" s="53">
        <f>IF(A65="","",COUNTIF('AFA Rates'!$A$5:$A$1004,A65))</f>
        <v/>
      </c>
      <c r="O65" s="54" t="n"/>
      <c r="P65" s="5" t="n"/>
      <c r="Q65" s="5" t="n"/>
      <c r="R65">
        <f>IF(AND(A65&lt;&gt;"",B65="Paused"),COUNTIFS($A$5:A65,"&lt;&gt;",$B$5:B65,"Paused"),"")</f>
        <v/>
      </c>
      <c r="S65">
        <f>IF(M65="Yes",COUNTIF($M$5:M65,"Yes"),"")</f>
        <v/>
      </c>
    </row>
    <row r="66">
      <c r="A66" s="5" t="n"/>
      <c r="B66" s="51" t="n"/>
      <c r="C66" s="5" t="n"/>
      <c r="D66" s="52" t="n"/>
      <c r="E66" s="52" t="n"/>
      <c r="F66" s="52" t="n"/>
      <c r="G66" s="52" t="n"/>
      <c r="H66" s="52" t="n"/>
      <c r="I66" s="52" t="n"/>
      <c r="J66" s="52" t="n"/>
      <c r="K66" s="52" t="n"/>
      <c r="L66" s="51" t="n"/>
      <c r="M66" s="53">
        <f>IF(A66="","",IF(COUNTIF('AFA Rates'!$A$5:$A$1004,A66)&gt;0,"Yes","No"))</f>
        <v/>
      </c>
      <c r="N66" s="53">
        <f>IF(A66="","",COUNTIF('AFA Rates'!$A$5:$A$1004,A66))</f>
        <v/>
      </c>
      <c r="O66" s="54" t="n"/>
      <c r="P66" s="5" t="n"/>
      <c r="Q66" s="5" t="n"/>
      <c r="R66">
        <f>IF(AND(A66&lt;&gt;"",B66="Paused"),COUNTIFS($A$5:A66,"&lt;&gt;",$B$5:B66,"Paused"),"")</f>
        <v/>
      </c>
      <c r="S66">
        <f>IF(M66="Yes",COUNTIF($M$5:M66,"Yes"),"")</f>
        <v/>
      </c>
    </row>
    <row r="67">
      <c r="A67" s="5" t="n"/>
      <c r="B67" s="51" t="n"/>
      <c r="C67" s="5" t="n"/>
      <c r="D67" s="52" t="n"/>
      <c r="E67" s="52" t="n"/>
      <c r="F67" s="52" t="n"/>
      <c r="G67" s="52" t="n"/>
      <c r="H67" s="52" t="n"/>
      <c r="I67" s="52" t="n"/>
      <c r="J67" s="52" t="n"/>
      <c r="K67" s="52" t="n"/>
      <c r="L67" s="51" t="n"/>
      <c r="M67" s="53">
        <f>IF(A67="","",IF(COUNTIF('AFA Rates'!$A$5:$A$1004,A67)&gt;0,"Yes","No"))</f>
        <v/>
      </c>
      <c r="N67" s="53">
        <f>IF(A67="","",COUNTIF('AFA Rates'!$A$5:$A$1004,A67))</f>
        <v/>
      </c>
      <c r="O67" s="54" t="n"/>
      <c r="P67" s="5" t="n"/>
      <c r="Q67" s="5" t="n"/>
      <c r="R67">
        <f>IF(AND(A67&lt;&gt;"",B67="Paused"),COUNTIFS($A$5:A67,"&lt;&gt;",$B$5:B67,"Paused"),"")</f>
        <v/>
      </c>
      <c r="S67">
        <f>IF(M67="Yes",COUNTIF($M$5:M67,"Yes"),"")</f>
        <v/>
      </c>
    </row>
    <row r="68">
      <c r="A68" s="5" t="n"/>
      <c r="B68" s="51" t="n"/>
      <c r="C68" s="5" t="n"/>
      <c r="D68" s="52" t="n"/>
      <c r="E68" s="52" t="n"/>
      <c r="F68" s="52" t="n"/>
      <c r="G68" s="52" t="n"/>
      <c r="H68" s="52" t="n"/>
      <c r="I68" s="52" t="n"/>
      <c r="J68" s="52" t="n"/>
      <c r="K68" s="52" t="n"/>
      <c r="L68" s="51" t="n"/>
      <c r="M68" s="53">
        <f>IF(A68="","",IF(COUNTIF('AFA Rates'!$A$5:$A$1004,A68)&gt;0,"Yes","No"))</f>
        <v/>
      </c>
      <c r="N68" s="53">
        <f>IF(A68="","",COUNTIF('AFA Rates'!$A$5:$A$1004,A68))</f>
        <v/>
      </c>
      <c r="O68" s="54" t="n"/>
      <c r="P68" s="5" t="n"/>
      <c r="Q68" s="5" t="n"/>
      <c r="R68">
        <f>IF(AND(A68&lt;&gt;"",B68="Paused"),COUNTIFS($A$5:A68,"&lt;&gt;",$B$5:B68,"Paused"),"")</f>
        <v/>
      </c>
      <c r="S68">
        <f>IF(M68="Yes",COUNTIF($M$5:M68,"Yes"),"")</f>
        <v/>
      </c>
    </row>
    <row r="69">
      <c r="A69" s="5" t="n"/>
      <c r="B69" s="51" t="n"/>
      <c r="C69" s="5" t="n"/>
      <c r="D69" s="52" t="n"/>
      <c r="E69" s="52" t="n"/>
      <c r="F69" s="52" t="n"/>
      <c r="G69" s="52" t="n"/>
      <c r="H69" s="52" t="n"/>
      <c r="I69" s="52" t="n"/>
      <c r="J69" s="52" t="n"/>
      <c r="K69" s="52" t="n"/>
      <c r="L69" s="51" t="n"/>
      <c r="M69" s="53">
        <f>IF(A69="","",IF(COUNTIF('AFA Rates'!$A$5:$A$1004,A69)&gt;0,"Yes","No"))</f>
        <v/>
      </c>
      <c r="N69" s="53">
        <f>IF(A69="","",COUNTIF('AFA Rates'!$A$5:$A$1004,A69))</f>
        <v/>
      </c>
      <c r="O69" s="54" t="n"/>
      <c r="P69" s="5" t="n"/>
      <c r="Q69" s="5" t="n"/>
      <c r="R69">
        <f>IF(AND(A69&lt;&gt;"",B69="Paused"),COUNTIFS($A$5:A69,"&lt;&gt;",$B$5:B69,"Paused"),"")</f>
        <v/>
      </c>
      <c r="S69">
        <f>IF(M69="Yes",COUNTIF($M$5:M69,"Yes"),"")</f>
        <v/>
      </c>
    </row>
    <row r="70">
      <c r="A70" s="5" t="n"/>
      <c r="B70" s="51" t="n"/>
      <c r="C70" s="5" t="n"/>
      <c r="D70" s="52" t="n"/>
      <c r="E70" s="52" t="n"/>
      <c r="F70" s="52" t="n"/>
      <c r="G70" s="52" t="n"/>
      <c r="H70" s="52" t="n"/>
      <c r="I70" s="52" t="n"/>
      <c r="J70" s="52" t="n"/>
      <c r="K70" s="52" t="n"/>
      <c r="L70" s="51" t="n"/>
      <c r="M70" s="53">
        <f>IF(A70="","",IF(COUNTIF('AFA Rates'!$A$5:$A$1004,A70)&gt;0,"Yes","No"))</f>
        <v/>
      </c>
      <c r="N70" s="53">
        <f>IF(A70="","",COUNTIF('AFA Rates'!$A$5:$A$1004,A70))</f>
        <v/>
      </c>
      <c r="O70" s="54" t="n"/>
      <c r="P70" s="5" t="n"/>
      <c r="Q70" s="5" t="n"/>
      <c r="R70">
        <f>IF(AND(A70&lt;&gt;"",B70="Paused"),COUNTIFS($A$5:A70,"&lt;&gt;",$B$5:B70,"Paused"),"")</f>
        <v/>
      </c>
      <c r="S70">
        <f>IF(M70="Yes",COUNTIF($M$5:M70,"Yes"),"")</f>
        <v/>
      </c>
    </row>
    <row r="71">
      <c r="A71" s="5" t="n"/>
      <c r="B71" s="51" t="n"/>
      <c r="C71" s="5" t="n"/>
      <c r="D71" s="52" t="n"/>
      <c r="E71" s="52" t="n"/>
      <c r="F71" s="52" t="n"/>
      <c r="G71" s="52" t="n"/>
      <c r="H71" s="52" t="n"/>
      <c r="I71" s="52" t="n"/>
      <c r="J71" s="52" t="n"/>
      <c r="K71" s="52" t="n"/>
      <c r="L71" s="51" t="n"/>
      <c r="M71" s="53">
        <f>IF(A71="","",IF(COUNTIF('AFA Rates'!$A$5:$A$1004,A71)&gt;0,"Yes","No"))</f>
        <v/>
      </c>
      <c r="N71" s="53">
        <f>IF(A71="","",COUNTIF('AFA Rates'!$A$5:$A$1004,A71))</f>
        <v/>
      </c>
      <c r="O71" s="54" t="n"/>
      <c r="P71" s="5" t="n"/>
      <c r="Q71" s="5" t="n"/>
      <c r="R71">
        <f>IF(AND(A71&lt;&gt;"",B71="Paused"),COUNTIFS($A$5:A71,"&lt;&gt;",$B$5:B71,"Paused"),"")</f>
        <v/>
      </c>
      <c r="S71">
        <f>IF(M71="Yes",COUNTIF($M$5:M71,"Yes"),"")</f>
        <v/>
      </c>
    </row>
    <row r="72">
      <c r="A72" s="5" t="n"/>
      <c r="B72" s="51" t="n"/>
      <c r="C72" s="5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1" t="n"/>
      <c r="M72" s="53">
        <f>IF(A72="","",IF(COUNTIF('AFA Rates'!$A$5:$A$1004,A72)&gt;0,"Yes","No"))</f>
        <v/>
      </c>
      <c r="N72" s="53">
        <f>IF(A72="","",COUNTIF('AFA Rates'!$A$5:$A$1004,A72))</f>
        <v/>
      </c>
      <c r="O72" s="54" t="n"/>
      <c r="P72" s="5" t="n"/>
      <c r="Q72" s="5" t="n"/>
      <c r="R72">
        <f>IF(AND(A72&lt;&gt;"",B72="Paused"),COUNTIFS($A$5:A72,"&lt;&gt;",$B$5:B72,"Paused"),"")</f>
        <v/>
      </c>
      <c r="S72">
        <f>IF(M72="Yes",COUNTIF($M$5:M72,"Yes"),"")</f>
        <v/>
      </c>
    </row>
    <row r="73">
      <c r="A73" s="5" t="n"/>
      <c r="B73" s="51" t="n"/>
      <c r="C73" s="5" t="n"/>
      <c r="D73" s="52" t="n"/>
      <c r="E73" s="52" t="n"/>
      <c r="F73" s="52" t="n"/>
      <c r="G73" s="52" t="n"/>
      <c r="H73" s="52" t="n"/>
      <c r="I73" s="52" t="n"/>
      <c r="J73" s="52" t="n"/>
      <c r="K73" s="52" t="n"/>
      <c r="L73" s="51" t="n"/>
      <c r="M73" s="53">
        <f>IF(A73="","",IF(COUNTIF('AFA Rates'!$A$5:$A$1004,A73)&gt;0,"Yes","No"))</f>
        <v/>
      </c>
      <c r="N73" s="53">
        <f>IF(A73="","",COUNTIF('AFA Rates'!$A$5:$A$1004,A73))</f>
        <v/>
      </c>
      <c r="O73" s="54" t="n"/>
      <c r="P73" s="5" t="n"/>
      <c r="Q73" s="5" t="n"/>
      <c r="R73">
        <f>IF(AND(A73&lt;&gt;"",B73="Paused"),COUNTIFS($A$5:A73,"&lt;&gt;",$B$5:B73,"Paused"),"")</f>
        <v/>
      </c>
      <c r="S73">
        <f>IF(M73="Yes",COUNTIF($M$5:M73,"Yes"),"")</f>
        <v/>
      </c>
    </row>
    <row r="74">
      <c r="A74" s="5" t="n"/>
      <c r="B74" s="51" t="n"/>
      <c r="C74" s="5" t="n"/>
      <c r="D74" s="52" t="n"/>
      <c r="E74" s="52" t="n"/>
      <c r="F74" s="52" t="n"/>
      <c r="G74" s="52" t="n"/>
      <c r="H74" s="52" t="n"/>
      <c r="I74" s="52" t="n"/>
      <c r="J74" s="52" t="n"/>
      <c r="K74" s="52" t="n"/>
      <c r="L74" s="51" t="n"/>
      <c r="M74" s="53">
        <f>IF(A74="","",IF(COUNTIF('AFA Rates'!$A$5:$A$1004,A74)&gt;0,"Yes","No"))</f>
        <v/>
      </c>
      <c r="N74" s="53">
        <f>IF(A74="","",COUNTIF('AFA Rates'!$A$5:$A$1004,A74))</f>
        <v/>
      </c>
      <c r="O74" s="54" t="n"/>
      <c r="P74" s="5" t="n"/>
      <c r="Q74" s="5" t="n"/>
      <c r="R74">
        <f>IF(AND(A74&lt;&gt;"",B74="Paused"),COUNTIFS($A$5:A74,"&lt;&gt;",$B$5:B74,"Paused"),"")</f>
        <v/>
      </c>
      <c r="S74">
        <f>IF(M74="Yes",COUNTIF($M$5:M74,"Yes"),"")</f>
        <v/>
      </c>
    </row>
    <row r="75">
      <c r="A75" s="5" t="n"/>
      <c r="B75" s="51" t="n"/>
      <c r="C75" s="5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1" t="n"/>
      <c r="M75" s="53">
        <f>IF(A75="","",IF(COUNTIF('AFA Rates'!$A$5:$A$1004,A75)&gt;0,"Yes","No"))</f>
        <v/>
      </c>
      <c r="N75" s="53">
        <f>IF(A75="","",COUNTIF('AFA Rates'!$A$5:$A$1004,A75))</f>
        <v/>
      </c>
      <c r="O75" s="54" t="n"/>
      <c r="P75" s="5" t="n"/>
      <c r="Q75" s="5" t="n"/>
      <c r="R75">
        <f>IF(AND(A75&lt;&gt;"",B75="Paused"),COUNTIFS($A$5:A75,"&lt;&gt;",$B$5:B75,"Paused"),"")</f>
        <v/>
      </c>
      <c r="S75">
        <f>IF(M75="Yes",COUNTIF($M$5:M75,"Yes"),"")</f>
        <v/>
      </c>
    </row>
    <row r="76">
      <c r="A76" s="5" t="n"/>
      <c r="B76" s="51" t="n"/>
      <c r="C76" s="5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1" t="n"/>
      <c r="M76" s="53">
        <f>IF(A76="","",IF(COUNTIF('AFA Rates'!$A$5:$A$1004,A76)&gt;0,"Yes","No"))</f>
        <v/>
      </c>
      <c r="N76" s="53">
        <f>IF(A76="","",COUNTIF('AFA Rates'!$A$5:$A$1004,A76))</f>
        <v/>
      </c>
      <c r="O76" s="54" t="n"/>
      <c r="P76" s="5" t="n"/>
      <c r="Q76" s="5" t="n"/>
      <c r="R76">
        <f>IF(AND(A76&lt;&gt;"",B76="Paused"),COUNTIFS($A$5:A76,"&lt;&gt;",$B$5:B76,"Paused"),"")</f>
        <v/>
      </c>
      <c r="S76">
        <f>IF(M76="Yes",COUNTIF($M$5:M76,"Yes"),"")</f>
        <v/>
      </c>
    </row>
    <row r="77">
      <c r="A77" s="5" t="n"/>
      <c r="B77" s="51" t="n"/>
      <c r="C77" s="5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1" t="n"/>
      <c r="M77" s="53">
        <f>IF(A77="","",IF(COUNTIF('AFA Rates'!$A$5:$A$1004,A77)&gt;0,"Yes","No"))</f>
        <v/>
      </c>
      <c r="N77" s="53">
        <f>IF(A77="","",COUNTIF('AFA Rates'!$A$5:$A$1004,A77))</f>
        <v/>
      </c>
      <c r="O77" s="54" t="n"/>
      <c r="P77" s="5" t="n"/>
      <c r="Q77" s="5" t="n"/>
      <c r="R77">
        <f>IF(AND(A77&lt;&gt;"",B77="Paused"),COUNTIFS($A$5:A77,"&lt;&gt;",$B$5:B77,"Paused"),"")</f>
        <v/>
      </c>
      <c r="S77">
        <f>IF(M77="Yes",COUNTIF($M$5:M77,"Yes"),"")</f>
        <v/>
      </c>
    </row>
    <row r="78">
      <c r="A78" s="5" t="n"/>
      <c r="B78" s="51" t="n"/>
      <c r="C78" s="5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1" t="n"/>
      <c r="M78" s="53">
        <f>IF(A78="","",IF(COUNTIF('AFA Rates'!$A$5:$A$1004,A78)&gt;0,"Yes","No"))</f>
        <v/>
      </c>
      <c r="N78" s="53">
        <f>IF(A78="","",COUNTIF('AFA Rates'!$A$5:$A$1004,A78))</f>
        <v/>
      </c>
      <c r="O78" s="54" t="n"/>
      <c r="P78" s="5" t="n"/>
      <c r="Q78" s="5" t="n"/>
      <c r="R78">
        <f>IF(AND(A78&lt;&gt;"",B78="Paused"),COUNTIFS($A$5:A78,"&lt;&gt;",$B$5:B78,"Paused"),"")</f>
        <v/>
      </c>
      <c r="S78">
        <f>IF(M78="Yes",COUNTIF($M$5:M78,"Yes"),"")</f>
        <v/>
      </c>
    </row>
    <row r="79">
      <c r="A79" s="5" t="n"/>
      <c r="B79" s="51" t="n"/>
      <c r="C79" s="5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1" t="n"/>
      <c r="M79" s="53">
        <f>IF(A79="","",IF(COUNTIF('AFA Rates'!$A$5:$A$1004,A79)&gt;0,"Yes","No"))</f>
        <v/>
      </c>
      <c r="N79" s="53">
        <f>IF(A79="","",COUNTIF('AFA Rates'!$A$5:$A$1004,A79))</f>
        <v/>
      </c>
      <c r="O79" s="54" t="n"/>
      <c r="P79" s="5" t="n"/>
      <c r="Q79" s="5" t="n"/>
      <c r="R79">
        <f>IF(AND(A79&lt;&gt;"",B79="Paused"),COUNTIFS($A$5:A79,"&lt;&gt;",$B$5:B79,"Paused"),"")</f>
        <v/>
      </c>
      <c r="S79">
        <f>IF(M79="Yes",COUNTIF($M$5:M79,"Yes"),"")</f>
        <v/>
      </c>
    </row>
    <row r="80">
      <c r="A80" s="5" t="n"/>
      <c r="B80" s="51" t="n"/>
      <c r="C80" s="5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1" t="n"/>
      <c r="M80" s="53">
        <f>IF(A80="","",IF(COUNTIF('AFA Rates'!$A$5:$A$1004,A80)&gt;0,"Yes","No"))</f>
        <v/>
      </c>
      <c r="N80" s="53">
        <f>IF(A80="","",COUNTIF('AFA Rates'!$A$5:$A$1004,A80))</f>
        <v/>
      </c>
      <c r="O80" s="54" t="n"/>
      <c r="P80" s="5" t="n"/>
      <c r="Q80" s="5" t="n"/>
      <c r="R80">
        <f>IF(AND(A80&lt;&gt;"",B80="Paused"),COUNTIFS($A$5:A80,"&lt;&gt;",$B$5:B80,"Paused"),"")</f>
        <v/>
      </c>
      <c r="S80">
        <f>IF(M80="Yes",COUNTIF($M$5:M80,"Yes"),"")</f>
        <v/>
      </c>
    </row>
    <row r="81">
      <c r="A81" s="5" t="n"/>
      <c r="B81" s="51" t="n"/>
      <c r="C81" s="5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1" t="n"/>
      <c r="M81" s="53">
        <f>IF(A81="","",IF(COUNTIF('AFA Rates'!$A$5:$A$1004,A81)&gt;0,"Yes","No"))</f>
        <v/>
      </c>
      <c r="N81" s="53">
        <f>IF(A81="","",COUNTIF('AFA Rates'!$A$5:$A$1004,A81))</f>
        <v/>
      </c>
      <c r="O81" s="54" t="n"/>
      <c r="P81" s="5" t="n"/>
      <c r="Q81" s="5" t="n"/>
      <c r="R81">
        <f>IF(AND(A81&lt;&gt;"",B81="Paused"),COUNTIFS($A$5:A81,"&lt;&gt;",$B$5:B81,"Paused"),"")</f>
        <v/>
      </c>
      <c r="S81">
        <f>IF(M81="Yes",COUNTIF($M$5:M81,"Yes"),"")</f>
        <v/>
      </c>
    </row>
    <row r="82">
      <c r="A82" s="5" t="n"/>
      <c r="B82" s="51" t="n"/>
      <c r="C82" s="5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1" t="n"/>
      <c r="M82" s="53">
        <f>IF(A82="","",IF(COUNTIF('AFA Rates'!$A$5:$A$1004,A82)&gt;0,"Yes","No"))</f>
        <v/>
      </c>
      <c r="N82" s="53">
        <f>IF(A82="","",COUNTIF('AFA Rates'!$A$5:$A$1004,A82))</f>
        <v/>
      </c>
      <c r="O82" s="54" t="n"/>
      <c r="P82" s="5" t="n"/>
      <c r="Q82" s="5" t="n"/>
      <c r="R82">
        <f>IF(AND(A82&lt;&gt;"",B82="Paused"),COUNTIFS($A$5:A82,"&lt;&gt;",$B$5:B82,"Paused"),"")</f>
        <v/>
      </c>
      <c r="S82">
        <f>IF(M82="Yes",COUNTIF($M$5:M82,"Yes"),"")</f>
        <v/>
      </c>
    </row>
    <row r="83">
      <c r="A83" s="5" t="n"/>
      <c r="B83" s="51" t="n"/>
      <c r="C83" s="5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1" t="n"/>
      <c r="M83" s="53">
        <f>IF(A83="","",IF(COUNTIF('AFA Rates'!$A$5:$A$1004,A83)&gt;0,"Yes","No"))</f>
        <v/>
      </c>
      <c r="N83" s="53">
        <f>IF(A83="","",COUNTIF('AFA Rates'!$A$5:$A$1004,A83))</f>
        <v/>
      </c>
      <c r="O83" s="54" t="n"/>
      <c r="P83" s="5" t="n"/>
      <c r="Q83" s="5" t="n"/>
      <c r="R83">
        <f>IF(AND(A83&lt;&gt;"",B83="Paused"),COUNTIFS($A$5:A83,"&lt;&gt;",$B$5:B83,"Paused"),"")</f>
        <v/>
      </c>
      <c r="S83">
        <f>IF(M83="Yes",COUNTIF($M$5:M83,"Yes"),"")</f>
        <v/>
      </c>
    </row>
    <row r="84">
      <c r="A84" s="5" t="n"/>
      <c r="B84" s="51" t="n"/>
      <c r="C84" s="5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1" t="n"/>
      <c r="M84" s="53">
        <f>IF(A84="","",IF(COUNTIF('AFA Rates'!$A$5:$A$1004,A84)&gt;0,"Yes","No"))</f>
        <v/>
      </c>
      <c r="N84" s="53">
        <f>IF(A84="","",COUNTIF('AFA Rates'!$A$5:$A$1004,A84))</f>
        <v/>
      </c>
      <c r="O84" s="54" t="n"/>
      <c r="P84" s="5" t="n"/>
      <c r="Q84" s="5" t="n"/>
      <c r="R84">
        <f>IF(AND(A84&lt;&gt;"",B84="Paused"),COUNTIFS($A$5:A84,"&lt;&gt;",$B$5:B84,"Paused"),"")</f>
        <v/>
      </c>
      <c r="S84">
        <f>IF(M84="Yes",COUNTIF($M$5:M84,"Yes"),"")</f>
        <v/>
      </c>
    </row>
    <row r="85">
      <c r="A85" s="5" t="n"/>
      <c r="B85" s="51" t="n"/>
      <c r="C85" s="5" t="n"/>
      <c r="D85" s="52" t="n"/>
      <c r="E85" s="52" t="n"/>
      <c r="F85" s="52" t="n"/>
      <c r="G85" s="52" t="n"/>
      <c r="H85" s="52" t="n"/>
      <c r="I85" s="52" t="n"/>
      <c r="J85" s="52" t="n"/>
      <c r="K85" s="52" t="n"/>
      <c r="L85" s="51" t="n"/>
      <c r="M85" s="53">
        <f>IF(A85="","",IF(COUNTIF('AFA Rates'!$A$5:$A$1004,A85)&gt;0,"Yes","No"))</f>
        <v/>
      </c>
      <c r="N85" s="53">
        <f>IF(A85="","",COUNTIF('AFA Rates'!$A$5:$A$1004,A85))</f>
        <v/>
      </c>
      <c r="O85" s="54" t="n"/>
      <c r="P85" s="5" t="n"/>
      <c r="Q85" s="5" t="n"/>
      <c r="R85">
        <f>IF(AND(A85&lt;&gt;"",B85="Paused"),COUNTIFS($A$5:A85,"&lt;&gt;",$B$5:B85,"Paused"),"")</f>
        <v/>
      </c>
      <c r="S85">
        <f>IF(M85="Yes",COUNTIF($M$5:M85,"Yes"),"")</f>
        <v/>
      </c>
    </row>
    <row r="86">
      <c r="A86" s="5" t="n"/>
      <c r="B86" s="51" t="n"/>
      <c r="C86" s="5" t="n"/>
      <c r="D86" s="52" t="n"/>
      <c r="E86" s="52" t="n"/>
      <c r="F86" s="52" t="n"/>
      <c r="G86" s="52" t="n"/>
      <c r="H86" s="52" t="n"/>
      <c r="I86" s="52" t="n"/>
      <c r="J86" s="52" t="n"/>
      <c r="K86" s="52" t="n"/>
      <c r="L86" s="51" t="n"/>
      <c r="M86" s="53">
        <f>IF(A86="","",IF(COUNTIF('AFA Rates'!$A$5:$A$1004,A86)&gt;0,"Yes","No"))</f>
        <v/>
      </c>
      <c r="N86" s="53">
        <f>IF(A86="","",COUNTIF('AFA Rates'!$A$5:$A$1004,A86))</f>
        <v/>
      </c>
      <c r="O86" s="54" t="n"/>
      <c r="P86" s="5" t="n"/>
      <c r="Q86" s="5" t="n"/>
      <c r="R86">
        <f>IF(AND(A86&lt;&gt;"",B86="Paused"),COUNTIFS($A$5:A86,"&lt;&gt;",$B$5:B86,"Paused"),"")</f>
        <v/>
      </c>
      <c r="S86">
        <f>IF(M86="Yes",COUNTIF($M$5:M86,"Yes"),"")</f>
        <v/>
      </c>
    </row>
    <row r="87">
      <c r="A87" s="5" t="n"/>
      <c r="B87" s="51" t="n"/>
      <c r="C87" s="5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1" t="n"/>
      <c r="M87" s="53">
        <f>IF(A87="","",IF(COUNTIF('AFA Rates'!$A$5:$A$1004,A87)&gt;0,"Yes","No"))</f>
        <v/>
      </c>
      <c r="N87" s="53">
        <f>IF(A87="","",COUNTIF('AFA Rates'!$A$5:$A$1004,A87))</f>
        <v/>
      </c>
      <c r="O87" s="54" t="n"/>
      <c r="P87" s="5" t="n"/>
      <c r="Q87" s="5" t="n"/>
      <c r="R87">
        <f>IF(AND(A87&lt;&gt;"",B87="Paused"),COUNTIFS($A$5:A87,"&lt;&gt;",$B$5:B87,"Paused"),"")</f>
        <v/>
      </c>
      <c r="S87">
        <f>IF(M87="Yes",COUNTIF($M$5:M87,"Yes"),"")</f>
        <v/>
      </c>
    </row>
    <row r="88">
      <c r="A88" s="5" t="n"/>
      <c r="B88" s="51" t="n"/>
      <c r="C88" s="5" t="n"/>
      <c r="D88" s="52" t="n"/>
      <c r="E88" s="52" t="n"/>
      <c r="F88" s="52" t="n"/>
      <c r="G88" s="52" t="n"/>
      <c r="H88" s="52" t="n"/>
      <c r="I88" s="52" t="n"/>
      <c r="J88" s="52" t="n"/>
      <c r="K88" s="52" t="n"/>
      <c r="L88" s="51" t="n"/>
      <c r="M88" s="53">
        <f>IF(A88="","",IF(COUNTIF('AFA Rates'!$A$5:$A$1004,A88)&gt;0,"Yes","No"))</f>
        <v/>
      </c>
      <c r="N88" s="53">
        <f>IF(A88="","",COUNTIF('AFA Rates'!$A$5:$A$1004,A88))</f>
        <v/>
      </c>
      <c r="O88" s="54" t="n"/>
      <c r="P88" s="5" t="n"/>
      <c r="Q88" s="5" t="n"/>
      <c r="R88">
        <f>IF(AND(A88&lt;&gt;"",B88="Paused"),COUNTIFS($A$5:A88,"&lt;&gt;",$B$5:B88,"Paused"),"")</f>
        <v/>
      </c>
      <c r="S88">
        <f>IF(M88="Yes",COUNTIF($M$5:M88,"Yes"),"")</f>
        <v/>
      </c>
    </row>
    <row r="89">
      <c r="A89" s="5" t="n"/>
      <c r="B89" s="51" t="n"/>
      <c r="C89" s="5" t="n"/>
      <c r="D89" s="52" t="n"/>
      <c r="E89" s="52" t="n"/>
      <c r="F89" s="52" t="n"/>
      <c r="G89" s="52" t="n"/>
      <c r="H89" s="52" t="n"/>
      <c r="I89" s="52" t="n"/>
      <c r="J89" s="52" t="n"/>
      <c r="K89" s="52" t="n"/>
      <c r="L89" s="51" t="n"/>
      <c r="M89" s="53">
        <f>IF(A89="","",IF(COUNTIF('AFA Rates'!$A$5:$A$1004,A89)&gt;0,"Yes","No"))</f>
        <v/>
      </c>
      <c r="N89" s="53">
        <f>IF(A89="","",COUNTIF('AFA Rates'!$A$5:$A$1004,A89))</f>
        <v/>
      </c>
      <c r="O89" s="54" t="n"/>
      <c r="P89" s="5" t="n"/>
      <c r="Q89" s="5" t="n"/>
      <c r="R89">
        <f>IF(AND(A89&lt;&gt;"",B89="Paused"),COUNTIFS($A$5:A89,"&lt;&gt;",$B$5:B89,"Paused"),"")</f>
        <v/>
      </c>
      <c r="S89">
        <f>IF(M89="Yes",COUNTIF($M$5:M89,"Yes"),"")</f>
        <v/>
      </c>
    </row>
    <row r="90">
      <c r="A90" s="5" t="n"/>
      <c r="B90" s="51" t="n"/>
      <c r="C90" s="5" t="n"/>
      <c r="D90" s="52" t="n"/>
      <c r="E90" s="52" t="n"/>
      <c r="F90" s="52" t="n"/>
      <c r="G90" s="52" t="n"/>
      <c r="H90" s="52" t="n"/>
      <c r="I90" s="52" t="n"/>
      <c r="J90" s="52" t="n"/>
      <c r="K90" s="52" t="n"/>
      <c r="L90" s="51" t="n"/>
      <c r="M90" s="53">
        <f>IF(A90="","",IF(COUNTIF('AFA Rates'!$A$5:$A$1004,A90)&gt;0,"Yes","No"))</f>
        <v/>
      </c>
      <c r="N90" s="53">
        <f>IF(A90="","",COUNTIF('AFA Rates'!$A$5:$A$1004,A90))</f>
        <v/>
      </c>
      <c r="O90" s="54" t="n"/>
      <c r="P90" s="5" t="n"/>
      <c r="Q90" s="5" t="n"/>
      <c r="R90">
        <f>IF(AND(A90&lt;&gt;"",B90="Paused"),COUNTIFS($A$5:A90,"&lt;&gt;",$B$5:B90,"Paused"),"")</f>
        <v/>
      </c>
      <c r="S90">
        <f>IF(M90="Yes",COUNTIF($M$5:M90,"Yes"),"")</f>
        <v/>
      </c>
    </row>
    <row r="91">
      <c r="A91" s="5" t="n"/>
      <c r="B91" s="51" t="n"/>
      <c r="C91" s="5" t="n"/>
      <c r="D91" s="52" t="n"/>
      <c r="E91" s="52" t="n"/>
      <c r="F91" s="52" t="n"/>
      <c r="G91" s="52" t="n"/>
      <c r="H91" s="52" t="n"/>
      <c r="I91" s="52" t="n"/>
      <c r="J91" s="52" t="n"/>
      <c r="K91" s="52" t="n"/>
      <c r="L91" s="51" t="n"/>
      <c r="M91" s="53">
        <f>IF(A91="","",IF(COUNTIF('AFA Rates'!$A$5:$A$1004,A91)&gt;0,"Yes","No"))</f>
        <v/>
      </c>
      <c r="N91" s="53">
        <f>IF(A91="","",COUNTIF('AFA Rates'!$A$5:$A$1004,A91))</f>
        <v/>
      </c>
      <c r="O91" s="54" t="n"/>
      <c r="P91" s="5" t="n"/>
      <c r="Q91" s="5" t="n"/>
      <c r="R91">
        <f>IF(AND(A91&lt;&gt;"",B91="Paused"),COUNTIFS($A$5:A91,"&lt;&gt;",$B$5:B91,"Paused"),"")</f>
        <v/>
      </c>
      <c r="S91">
        <f>IF(M91="Yes",COUNTIF($M$5:M91,"Yes"),"")</f>
        <v/>
      </c>
    </row>
    <row r="92">
      <c r="A92" s="5" t="n"/>
      <c r="B92" s="51" t="n"/>
      <c r="C92" s="5" t="n"/>
      <c r="D92" s="52" t="n"/>
      <c r="E92" s="52" t="n"/>
      <c r="F92" s="52" t="n"/>
      <c r="G92" s="52" t="n"/>
      <c r="H92" s="52" t="n"/>
      <c r="I92" s="52" t="n"/>
      <c r="J92" s="52" t="n"/>
      <c r="K92" s="52" t="n"/>
      <c r="L92" s="51" t="n"/>
      <c r="M92" s="53">
        <f>IF(A92="","",IF(COUNTIF('AFA Rates'!$A$5:$A$1004,A92)&gt;0,"Yes","No"))</f>
        <v/>
      </c>
      <c r="N92" s="53">
        <f>IF(A92="","",COUNTIF('AFA Rates'!$A$5:$A$1004,A92))</f>
        <v/>
      </c>
      <c r="O92" s="54" t="n"/>
      <c r="P92" s="5" t="n"/>
      <c r="Q92" s="5" t="n"/>
      <c r="R92">
        <f>IF(AND(A92&lt;&gt;"",B92="Paused"),COUNTIFS($A$5:A92,"&lt;&gt;",$B$5:B92,"Paused"),"")</f>
        <v/>
      </c>
      <c r="S92">
        <f>IF(M92="Yes",COUNTIF($M$5:M92,"Yes"),"")</f>
        <v/>
      </c>
    </row>
    <row r="93">
      <c r="A93" s="5" t="n"/>
      <c r="B93" s="51" t="n"/>
      <c r="C93" s="5" t="n"/>
      <c r="D93" s="52" t="n"/>
      <c r="E93" s="52" t="n"/>
      <c r="F93" s="52" t="n"/>
      <c r="G93" s="52" t="n"/>
      <c r="H93" s="52" t="n"/>
      <c r="I93" s="52" t="n"/>
      <c r="J93" s="52" t="n"/>
      <c r="K93" s="52" t="n"/>
      <c r="L93" s="51" t="n"/>
      <c r="M93" s="53">
        <f>IF(A93="","",IF(COUNTIF('AFA Rates'!$A$5:$A$1004,A93)&gt;0,"Yes","No"))</f>
        <v/>
      </c>
      <c r="N93" s="53">
        <f>IF(A93="","",COUNTIF('AFA Rates'!$A$5:$A$1004,A93))</f>
        <v/>
      </c>
      <c r="O93" s="54" t="n"/>
      <c r="P93" s="5" t="n"/>
      <c r="Q93" s="5" t="n"/>
      <c r="R93">
        <f>IF(AND(A93&lt;&gt;"",B93="Paused"),COUNTIFS($A$5:A93,"&lt;&gt;",$B$5:B93,"Paused"),"")</f>
        <v/>
      </c>
      <c r="S93">
        <f>IF(M93="Yes",COUNTIF($M$5:M93,"Yes"),"")</f>
        <v/>
      </c>
    </row>
    <row r="94">
      <c r="A94" s="5" t="n"/>
      <c r="B94" s="51" t="n"/>
      <c r="C94" s="5" t="n"/>
      <c r="D94" s="52" t="n"/>
      <c r="E94" s="52" t="n"/>
      <c r="F94" s="52" t="n"/>
      <c r="G94" s="52" t="n"/>
      <c r="H94" s="52" t="n"/>
      <c r="I94" s="52" t="n"/>
      <c r="J94" s="52" t="n"/>
      <c r="K94" s="52" t="n"/>
      <c r="L94" s="51" t="n"/>
      <c r="M94" s="53">
        <f>IF(A94="","",IF(COUNTIF('AFA Rates'!$A$5:$A$1004,A94)&gt;0,"Yes","No"))</f>
        <v/>
      </c>
      <c r="N94" s="53">
        <f>IF(A94="","",COUNTIF('AFA Rates'!$A$5:$A$1004,A94))</f>
        <v/>
      </c>
      <c r="O94" s="54" t="n"/>
      <c r="P94" s="5" t="n"/>
      <c r="Q94" s="5" t="n"/>
      <c r="R94">
        <f>IF(AND(A94&lt;&gt;"",B94="Paused"),COUNTIFS($A$5:A94,"&lt;&gt;",$B$5:B94,"Paused"),"")</f>
        <v/>
      </c>
      <c r="S94">
        <f>IF(M94="Yes",COUNTIF($M$5:M94,"Yes"),"")</f>
        <v/>
      </c>
    </row>
    <row r="95">
      <c r="A95" s="5" t="n"/>
      <c r="B95" s="51" t="n"/>
      <c r="C95" s="5" t="n"/>
      <c r="D95" s="52" t="n"/>
      <c r="E95" s="52" t="n"/>
      <c r="F95" s="52" t="n"/>
      <c r="G95" s="52" t="n"/>
      <c r="H95" s="52" t="n"/>
      <c r="I95" s="52" t="n"/>
      <c r="J95" s="52" t="n"/>
      <c r="K95" s="52" t="n"/>
      <c r="L95" s="51" t="n"/>
      <c r="M95" s="53">
        <f>IF(A95="","",IF(COUNTIF('AFA Rates'!$A$5:$A$1004,A95)&gt;0,"Yes","No"))</f>
        <v/>
      </c>
      <c r="N95" s="53">
        <f>IF(A95="","",COUNTIF('AFA Rates'!$A$5:$A$1004,A95))</f>
        <v/>
      </c>
      <c r="O95" s="54" t="n"/>
      <c r="P95" s="5" t="n"/>
      <c r="Q95" s="5" t="n"/>
      <c r="R95">
        <f>IF(AND(A95&lt;&gt;"",B95="Paused"),COUNTIFS($A$5:A95,"&lt;&gt;",$B$5:B95,"Paused"),"")</f>
        <v/>
      </c>
      <c r="S95">
        <f>IF(M95="Yes",COUNTIF($M$5:M95,"Yes"),"")</f>
        <v/>
      </c>
    </row>
    <row r="96">
      <c r="A96" s="5" t="n"/>
      <c r="B96" s="51" t="n"/>
      <c r="C96" s="5" t="n"/>
      <c r="D96" s="52" t="n"/>
      <c r="E96" s="52" t="n"/>
      <c r="F96" s="52" t="n"/>
      <c r="G96" s="52" t="n"/>
      <c r="H96" s="52" t="n"/>
      <c r="I96" s="52" t="n"/>
      <c r="J96" s="52" t="n"/>
      <c r="K96" s="52" t="n"/>
      <c r="L96" s="51" t="n"/>
      <c r="M96" s="53">
        <f>IF(A96="","",IF(COUNTIF('AFA Rates'!$A$5:$A$1004,A96)&gt;0,"Yes","No"))</f>
        <v/>
      </c>
      <c r="N96" s="53">
        <f>IF(A96="","",COUNTIF('AFA Rates'!$A$5:$A$1004,A96))</f>
        <v/>
      </c>
      <c r="O96" s="54" t="n"/>
      <c r="P96" s="5" t="n"/>
      <c r="Q96" s="5" t="n"/>
      <c r="R96">
        <f>IF(AND(A96&lt;&gt;"",B96="Paused"),COUNTIFS($A$5:A96,"&lt;&gt;",$B$5:B96,"Paused"),"")</f>
        <v/>
      </c>
      <c r="S96">
        <f>IF(M96="Yes",COUNTIF($M$5:M96,"Yes"),"")</f>
        <v/>
      </c>
    </row>
    <row r="97">
      <c r="A97" s="5" t="n"/>
      <c r="B97" s="51" t="n"/>
      <c r="C97" s="5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1" t="n"/>
      <c r="M97" s="53">
        <f>IF(A97="","",IF(COUNTIF('AFA Rates'!$A$5:$A$1004,A97)&gt;0,"Yes","No"))</f>
        <v/>
      </c>
      <c r="N97" s="53">
        <f>IF(A97="","",COUNTIF('AFA Rates'!$A$5:$A$1004,A97))</f>
        <v/>
      </c>
      <c r="O97" s="54" t="n"/>
      <c r="P97" s="5" t="n"/>
      <c r="Q97" s="5" t="n"/>
      <c r="R97">
        <f>IF(AND(A97&lt;&gt;"",B97="Paused"),COUNTIFS($A$5:A97,"&lt;&gt;",$B$5:B97,"Paused"),"")</f>
        <v/>
      </c>
      <c r="S97">
        <f>IF(M97="Yes",COUNTIF($M$5:M97,"Yes"),"")</f>
        <v/>
      </c>
    </row>
    <row r="98">
      <c r="A98" s="5" t="n"/>
      <c r="B98" s="51" t="n"/>
      <c r="C98" s="5" t="n"/>
      <c r="D98" s="52" t="n"/>
      <c r="E98" s="52" t="n"/>
      <c r="F98" s="52" t="n"/>
      <c r="G98" s="52" t="n"/>
      <c r="H98" s="52" t="n"/>
      <c r="I98" s="52" t="n"/>
      <c r="J98" s="52" t="n"/>
      <c r="K98" s="52" t="n"/>
      <c r="L98" s="51" t="n"/>
      <c r="M98" s="53">
        <f>IF(A98="","",IF(COUNTIF('AFA Rates'!$A$5:$A$1004,A98)&gt;0,"Yes","No"))</f>
        <v/>
      </c>
      <c r="N98" s="53">
        <f>IF(A98="","",COUNTIF('AFA Rates'!$A$5:$A$1004,A98))</f>
        <v/>
      </c>
      <c r="O98" s="54" t="n"/>
      <c r="P98" s="5" t="n"/>
      <c r="Q98" s="5" t="n"/>
      <c r="R98">
        <f>IF(AND(A98&lt;&gt;"",B98="Paused"),COUNTIFS($A$5:A98,"&lt;&gt;",$B$5:B98,"Paused"),"")</f>
        <v/>
      </c>
      <c r="S98">
        <f>IF(M98="Yes",COUNTIF($M$5:M98,"Yes"),"")</f>
        <v/>
      </c>
    </row>
    <row r="99">
      <c r="A99" s="5" t="n"/>
      <c r="B99" s="51" t="n"/>
      <c r="C99" s="5" t="n"/>
      <c r="D99" s="52" t="n"/>
      <c r="E99" s="52" t="n"/>
      <c r="F99" s="52" t="n"/>
      <c r="G99" s="52" t="n"/>
      <c r="H99" s="52" t="n"/>
      <c r="I99" s="52" t="n"/>
      <c r="J99" s="52" t="n"/>
      <c r="K99" s="52" t="n"/>
      <c r="L99" s="51" t="n"/>
      <c r="M99" s="53">
        <f>IF(A99="","",IF(COUNTIF('AFA Rates'!$A$5:$A$1004,A99)&gt;0,"Yes","No"))</f>
        <v/>
      </c>
      <c r="N99" s="53">
        <f>IF(A99="","",COUNTIF('AFA Rates'!$A$5:$A$1004,A99))</f>
        <v/>
      </c>
      <c r="O99" s="54" t="n"/>
      <c r="P99" s="5" t="n"/>
      <c r="Q99" s="5" t="n"/>
      <c r="R99">
        <f>IF(AND(A99&lt;&gt;"",B99="Paused"),COUNTIFS($A$5:A99,"&lt;&gt;",$B$5:B99,"Paused"),"")</f>
        <v/>
      </c>
      <c r="S99">
        <f>IF(M99="Yes",COUNTIF($M$5:M99,"Yes"),"")</f>
        <v/>
      </c>
    </row>
    <row r="100">
      <c r="A100" s="5" t="n"/>
      <c r="B100" s="51" t="n"/>
      <c r="C100" s="5" t="n"/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1" t="n"/>
      <c r="M100" s="53">
        <f>IF(A100="","",IF(COUNTIF('AFA Rates'!$A$5:$A$1004,A100)&gt;0,"Yes","No"))</f>
        <v/>
      </c>
      <c r="N100" s="53">
        <f>IF(A100="","",COUNTIF('AFA Rates'!$A$5:$A$1004,A100))</f>
        <v/>
      </c>
      <c r="O100" s="54" t="n"/>
      <c r="P100" s="5" t="n"/>
      <c r="Q100" s="5" t="n"/>
      <c r="R100">
        <f>IF(AND(A100&lt;&gt;"",B100="Paused"),COUNTIFS($A$5:A100,"&lt;&gt;",$B$5:B100,"Paused"),"")</f>
        <v/>
      </c>
      <c r="S100">
        <f>IF(M100="Yes",COUNTIF($M$5:M100,"Yes"),"")</f>
        <v/>
      </c>
    </row>
    <row r="101">
      <c r="A101" s="5" t="n"/>
      <c r="B101" s="51" t="n"/>
      <c r="C101" s="5" t="n"/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1" t="n"/>
      <c r="M101" s="53">
        <f>IF(A101="","",IF(COUNTIF('AFA Rates'!$A$5:$A$1004,A101)&gt;0,"Yes","No"))</f>
        <v/>
      </c>
      <c r="N101" s="53">
        <f>IF(A101="","",COUNTIF('AFA Rates'!$A$5:$A$1004,A101))</f>
        <v/>
      </c>
      <c r="O101" s="54" t="n"/>
      <c r="P101" s="5" t="n"/>
      <c r="Q101" s="5" t="n"/>
      <c r="R101">
        <f>IF(AND(A101&lt;&gt;"",B101="Paused"),COUNTIFS($A$5:A101,"&lt;&gt;",$B$5:B101,"Paused"),"")</f>
        <v/>
      </c>
      <c r="S101">
        <f>IF(M101="Yes",COUNTIF($M$5:M101,"Yes"),"")</f>
        <v/>
      </c>
    </row>
    <row r="102">
      <c r="A102" s="5" t="n"/>
      <c r="B102" s="51" t="n"/>
      <c r="C102" s="5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1" t="n"/>
      <c r="M102" s="53">
        <f>IF(A102="","",IF(COUNTIF('AFA Rates'!$A$5:$A$1004,A102)&gt;0,"Yes","No"))</f>
        <v/>
      </c>
      <c r="N102" s="53">
        <f>IF(A102="","",COUNTIF('AFA Rates'!$A$5:$A$1004,A102))</f>
        <v/>
      </c>
      <c r="O102" s="54" t="n"/>
      <c r="P102" s="5" t="n"/>
      <c r="Q102" s="5" t="n"/>
      <c r="R102">
        <f>IF(AND(A102&lt;&gt;"",B102="Paused"),COUNTIFS($A$5:A102,"&lt;&gt;",$B$5:B102,"Paused"),"")</f>
        <v/>
      </c>
      <c r="S102">
        <f>IF(M102="Yes",COUNTIF($M$5:M102,"Yes"),"")</f>
        <v/>
      </c>
    </row>
    <row r="103">
      <c r="A103" s="5" t="n"/>
      <c r="B103" s="51" t="n"/>
      <c r="C103" s="5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1" t="n"/>
      <c r="M103" s="53">
        <f>IF(A103="","",IF(COUNTIF('AFA Rates'!$A$5:$A$1004,A103)&gt;0,"Yes","No"))</f>
        <v/>
      </c>
      <c r="N103" s="53">
        <f>IF(A103="","",COUNTIF('AFA Rates'!$A$5:$A$1004,A103))</f>
        <v/>
      </c>
      <c r="O103" s="54" t="n"/>
      <c r="P103" s="5" t="n"/>
      <c r="Q103" s="5" t="n"/>
      <c r="R103">
        <f>IF(AND(A103&lt;&gt;"",B103="Paused"),COUNTIFS($A$5:A103,"&lt;&gt;",$B$5:B103,"Paused"),"")</f>
        <v/>
      </c>
      <c r="S103">
        <f>IF(M103="Yes",COUNTIF($M$5:M103,"Yes"),"")</f>
        <v/>
      </c>
    </row>
    <row r="104">
      <c r="A104" s="5" t="n"/>
      <c r="B104" s="51" t="n"/>
      <c r="C104" s="5" t="n"/>
      <c r="D104" s="52" t="n"/>
      <c r="E104" s="52" t="n"/>
      <c r="F104" s="52" t="n"/>
      <c r="G104" s="52" t="n"/>
      <c r="H104" s="52" t="n"/>
      <c r="I104" s="52" t="n"/>
      <c r="J104" s="52" t="n"/>
      <c r="K104" s="52" t="n"/>
      <c r="L104" s="51" t="n"/>
      <c r="M104" s="53">
        <f>IF(A104="","",IF(COUNTIF('AFA Rates'!$A$5:$A$1004,A104)&gt;0,"Yes","No"))</f>
        <v/>
      </c>
      <c r="N104" s="53">
        <f>IF(A104="","",COUNTIF('AFA Rates'!$A$5:$A$1004,A104))</f>
        <v/>
      </c>
      <c r="O104" s="54" t="n"/>
      <c r="P104" s="5" t="n"/>
      <c r="Q104" s="5" t="n"/>
      <c r="R104">
        <f>IF(AND(A104&lt;&gt;"",B104="Paused"),COUNTIFS($A$5:A104,"&lt;&gt;",$B$5:B104,"Paused"),"")</f>
        <v/>
      </c>
      <c r="S104">
        <f>IF(M104="Yes",COUNTIF($M$5:M104,"Yes"),"")</f>
        <v/>
      </c>
    </row>
    <row r="105">
      <c r="A105" s="5" t="n"/>
      <c r="B105" s="51" t="n"/>
      <c r="C105" s="5" t="n"/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1" t="n"/>
      <c r="M105" s="53">
        <f>IF(A105="","",IF(COUNTIF('AFA Rates'!$A$5:$A$1004,A105)&gt;0,"Yes","No"))</f>
        <v/>
      </c>
      <c r="N105" s="53">
        <f>IF(A105="","",COUNTIF('AFA Rates'!$A$5:$A$1004,A105))</f>
        <v/>
      </c>
      <c r="O105" s="54" t="n"/>
      <c r="P105" s="5" t="n"/>
      <c r="Q105" s="5" t="n"/>
      <c r="R105">
        <f>IF(AND(A105&lt;&gt;"",B105="Paused"),COUNTIFS($A$5:A105,"&lt;&gt;",$B$5:B105,"Paused"),"")</f>
        <v/>
      </c>
      <c r="S105">
        <f>IF(M105="Yes",COUNTIF($M$5:M105,"Yes"),"")</f>
        <v/>
      </c>
    </row>
    <row r="106">
      <c r="A106" s="5" t="n"/>
      <c r="B106" s="51" t="n"/>
      <c r="C106" s="5" t="n"/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1" t="n"/>
      <c r="M106" s="53">
        <f>IF(A106="","",IF(COUNTIF('AFA Rates'!$A$5:$A$1004,A106)&gt;0,"Yes","No"))</f>
        <v/>
      </c>
      <c r="N106" s="53">
        <f>IF(A106="","",COUNTIF('AFA Rates'!$A$5:$A$1004,A106))</f>
        <v/>
      </c>
      <c r="O106" s="54" t="n"/>
      <c r="P106" s="5" t="n"/>
      <c r="Q106" s="5" t="n"/>
      <c r="R106">
        <f>IF(AND(A106&lt;&gt;"",B106="Paused"),COUNTIFS($A$5:A106,"&lt;&gt;",$B$5:B106,"Paused"),"")</f>
        <v/>
      </c>
      <c r="S106">
        <f>IF(M106="Yes",COUNTIF($M$5:M106,"Yes"),"")</f>
        <v/>
      </c>
    </row>
    <row r="107">
      <c r="A107" s="5" t="n"/>
      <c r="B107" s="51" t="n"/>
      <c r="C107" s="5" t="n"/>
      <c r="D107" s="52" t="n"/>
      <c r="E107" s="52" t="n"/>
      <c r="F107" s="52" t="n"/>
      <c r="G107" s="52" t="n"/>
      <c r="H107" s="52" t="n"/>
      <c r="I107" s="52" t="n"/>
      <c r="J107" s="52" t="n"/>
      <c r="K107" s="52" t="n"/>
      <c r="L107" s="51" t="n"/>
      <c r="M107" s="53">
        <f>IF(A107="","",IF(COUNTIF('AFA Rates'!$A$5:$A$1004,A107)&gt;0,"Yes","No"))</f>
        <v/>
      </c>
      <c r="N107" s="53">
        <f>IF(A107="","",COUNTIF('AFA Rates'!$A$5:$A$1004,A107))</f>
        <v/>
      </c>
      <c r="O107" s="54" t="n"/>
      <c r="P107" s="5" t="n"/>
      <c r="Q107" s="5" t="n"/>
      <c r="R107">
        <f>IF(AND(A107&lt;&gt;"",B107="Paused"),COUNTIFS($A$5:A107,"&lt;&gt;",$B$5:B107,"Paused"),"")</f>
        <v/>
      </c>
      <c r="S107">
        <f>IF(M107="Yes",COUNTIF($M$5:M107,"Yes"),"")</f>
        <v/>
      </c>
    </row>
    <row r="108">
      <c r="A108" s="5" t="n"/>
      <c r="B108" s="51" t="n"/>
      <c r="C108" s="5" t="n"/>
      <c r="D108" s="52" t="n"/>
      <c r="E108" s="52" t="n"/>
      <c r="F108" s="52" t="n"/>
      <c r="G108" s="52" t="n"/>
      <c r="H108" s="52" t="n"/>
      <c r="I108" s="52" t="n"/>
      <c r="J108" s="52" t="n"/>
      <c r="K108" s="52" t="n"/>
      <c r="L108" s="51" t="n"/>
      <c r="M108" s="53">
        <f>IF(A108="","",IF(COUNTIF('AFA Rates'!$A$5:$A$1004,A108)&gt;0,"Yes","No"))</f>
        <v/>
      </c>
      <c r="N108" s="53">
        <f>IF(A108="","",COUNTIF('AFA Rates'!$A$5:$A$1004,A108))</f>
        <v/>
      </c>
      <c r="O108" s="54" t="n"/>
      <c r="P108" s="5" t="n"/>
      <c r="Q108" s="5" t="n"/>
      <c r="R108">
        <f>IF(AND(A108&lt;&gt;"",B108="Paused"),COUNTIFS($A$5:A108,"&lt;&gt;",$B$5:B108,"Paused"),"")</f>
        <v/>
      </c>
      <c r="S108">
        <f>IF(M108="Yes",COUNTIF($M$5:M108,"Yes"),"")</f>
        <v/>
      </c>
    </row>
    <row r="109">
      <c r="A109" s="5" t="n"/>
      <c r="B109" s="51" t="n"/>
      <c r="C109" s="5" t="n"/>
      <c r="D109" s="52" t="n"/>
      <c r="E109" s="52" t="n"/>
      <c r="F109" s="52" t="n"/>
      <c r="G109" s="52" t="n"/>
      <c r="H109" s="52" t="n"/>
      <c r="I109" s="52" t="n"/>
      <c r="J109" s="52" t="n"/>
      <c r="K109" s="52" t="n"/>
      <c r="L109" s="51" t="n"/>
      <c r="M109" s="53">
        <f>IF(A109="","",IF(COUNTIF('AFA Rates'!$A$5:$A$1004,A109)&gt;0,"Yes","No"))</f>
        <v/>
      </c>
      <c r="N109" s="53">
        <f>IF(A109="","",COUNTIF('AFA Rates'!$A$5:$A$1004,A109))</f>
        <v/>
      </c>
      <c r="O109" s="54" t="n"/>
      <c r="P109" s="5" t="n"/>
      <c r="Q109" s="5" t="n"/>
      <c r="R109">
        <f>IF(AND(A109&lt;&gt;"",B109="Paused"),COUNTIFS($A$5:A109,"&lt;&gt;",$B$5:B109,"Paused"),"")</f>
        <v/>
      </c>
      <c r="S109">
        <f>IF(M109="Yes",COUNTIF($M$5:M109,"Yes"),"")</f>
        <v/>
      </c>
    </row>
    <row r="110">
      <c r="A110" s="5" t="n"/>
      <c r="B110" s="51" t="n"/>
      <c r="C110" s="5" t="n"/>
      <c r="D110" s="52" t="n"/>
      <c r="E110" s="52" t="n"/>
      <c r="F110" s="52" t="n"/>
      <c r="G110" s="52" t="n"/>
      <c r="H110" s="52" t="n"/>
      <c r="I110" s="52" t="n"/>
      <c r="J110" s="52" t="n"/>
      <c r="K110" s="52" t="n"/>
      <c r="L110" s="51" t="n"/>
      <c r="M110" s="53">
        <f>IF(A110="","",IF(COUNTIF('AFA Rates'!$A$5:$A$1004,A110)&gt;0,"Yes","No"))</f>
        <v/>
      </c>
      <c r="N110" s="53">
        <f>IF(A110="","",COUNTIF('AFA Rates'!$A$5:$A$1004,A110))</f>
        <v/>
      </c>
      <c r="O110" s="54" t="n"/>
      <c r="P110" s="5" t="n"/>
      <c r="Q110" s="5" t="n"/>
      <c r="R110">
        <f>IF(AND(A110&lt;&gt;"",B110="Paused"),COUNTIFS($A$5:A110,"&lt;&gt;",$B$5:B110,"Paused"),"")</f>
        <v/>
      </c>
      <c r="S110">
        <f>IF(M110="Yes",COUNTIF($M$5:M110,"Yes"),"")</f>
        <v/>
      </c>
    </row>
    <row r="111">
      <c r="A111" s="5" t="n"/>
      <c r="B111" s="51" t="n"/>
      <c r="C111" s="5" t="n"/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1" t="n"/>
      <c r="M111" s="53">
        <f>IF(A111="","",IF(COUNTIF('AFA Rates'!$A$5:$A$1004,A111)&gt;0,"Yes","No"))</f>
        <v/>
      </c>
      <c r="N111" s="53">
        <f>IF(A111="","",COUNTIF('AFA Rates'!$A$5:$A$1004,A111))</f>
        <v/>
      </c>
      <c r="O111" s="54" t="n"/>
      <c r="P111" s="5" t="n"/>
      <c r="Q111" s="5" t="n"/>
      <c r="R111">
        <f>IF(AND(A111&lt;&gt;"",B111="Paused"),COUNTIFS($A$5:A111,"&lt;&gt;",$B$5:B111,"Paused"),"")</f>
        <v/>
      </c>
      <c r="S111">
        <f>IF(M111="Yes",COUNTIF($M$5:M111,"Yes"),"")</f>
        <v/>
      </c>
    </row>
    <row r="112">
      <c r="A112" s="5" t="n"/>
      <c r="B112" s="51" t="n"/>
      <c r="C112" s="5" t="n"/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1" t="n"/>
      <c r="M112" s="53">
        <f>IF(A112="","",IF(COUNTIF('AFA Rates'!$A$5:$A$1004,A112)&gt;0,"Yes","No"))</f>
        <v/>
      </c>
      <c r="N112" s="53">
        <f>IF(A112="","",COUNTIF('AFA Rates'!$A$5:$A$1004,A112))</f>
        <v/>
      </c>
      <c r="O112" s="54" t="n"/>
      <c r="P112" s="5" t="n"/>
      <c r="Q112" s="5" t="n"/>
      <c r="R112">
        <f>IF(AND(A112&lt;&gt;"",B112="Paused"),COUNTIFS($A$5:A112,"&lt;&gt;",$B$5:B112,"Paused"),"")</f>
        <v/>
      </c>
      <c r="S112">
        <f>IF(M112="Yes",COUNTIF($M$5:M112,"Yes"),"")</f>
        <v/>
      </c>
    </row>
    <row r="113">
      <c r="A113" s="5" t="n"/>
      <c r="B113" s="51" t="n"/>
      <c r="C113" s="5" t="n"/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1" t="n"/>
      <c r="M113" s="53">
        <f>IF(A113="","",IF(COUNTIF('AFA Rates'!$A$5:$A$1004,A113)&gt;0,"Yes","No"))</f>
        <v/>
      </c>
      <c r="N113" s="53">
        <f>IF(A113="","",COUNTIF('AFA Rates'!$A$5:$A$1004,A113))</f>
        <v/>
      </c>
      <c r="O113" s="54" t="n"/>
      <c r="P113" s="5" t="n"/>
      <c r="Q113" s="5" t="n"/>
      <c r="R113">
        <f>IF(AND(A113&lt;&gt;"",B113="Paused"),COUNTIFS($A$5:A113,"&lt;&gt;",$B$5:B113,"Paused"),"")</f>
        <v/>
      </c>
      <c r="S113">
        <f>IF(M113="Yes",COUNTIF($M$5:M113,"Yes"),"")</f>
        <v/>
      </c>
    </row>
    <row r="114">
      <c r="A114" s="5" t="n"/>
      <c r="B114" s="51" t="n"/>
      <c r="C114" s="5" t="n"/>
      <c r="D114" s="52" t="n"/>
      <c r="E114" s="52" t="n"/>
      <c r="F114" s="52" t="n"/>
      <c r="G114" s="52" t="n"/>
      <c r="H114" s="52" t="n"/>
      <c r="I114" s="52" t="n"/>
      <c r="J114" s="52" t="n"/>
      <c r="K114" s="52" t="n"/>
      <c r="L114" s="51" t="n"/>
      <c r="M114" s="53">
        <f>IF(A114="","",IF(COUNTIF('AFA Rates'!$A$5:$A$1004,A114)&gt;0,"Yes","No"))</f>
        <v/>
      </c>
      <c r="N114" s="53">
        <f>IF(A114="","",COUNTIF('AFA Rates'!$A$5:$A$1004,A114))</f>
        <v/>
      </c>
      <c r="O114" s="54" t="n"/>
      <c r="P114" s="5" t="n"/>
      <c r="Q114" s="5" t="n"/>
      <c r="R114">
        <f>IF(AND(A114&lt;&gt;"",B114="Paused"),COUNTIFS($A$5:A114,"&lt;&gt;",$B$5:B114,"Paused"),"")</f>
        <v/>
      </c>
      <c r="S114">
        <f>IF(M114="Yes",COUNTIF($M$5:M114,"Yes"),"")</f>
        <v/>
      </c>
    </row>
    <row r="115">
      <c r="A115" s="5" t="n"/>
      <c r="B115" s="51" t="n"/>
      <c r="C115" s="5" t="n"/>
      <c r="D115" s="52" t="n"/>
      <c r="E115" s="52" t="n"/>
      <c r="F115" s="52" t="n"/>
      <c r="G115" s="52" t="n"/>
      <c r="H115" s="52" t="n"/>
      <c r="I115" s="52" t="n"/>
      <c r="J115" s="52" t="n"/>
      <c r="K115" s="52" t="n"/>
      <c r="L115" s="51" t="n"/>
      <c r="M115" s="53">
        <f>IF(A115="","",IF(COUNTIF('AFA Rates'!$A$5:$A$1004,A115)&gt;0,"Yes","No"))</f>
        <v/>
      </c>
      <c r="N115" s="53">
        <f>IF(A115="","",COUNTIF('AFA Rates'!$A$5:$A$1004,A115))</f>
        <v/>
      </c>
      <c r="O115" s="54" t="n"/>
      <c r="P115" s="5" t="n"/>
      <c r="Q115" s="5" t="n"/>
      <c r="R115">
        <f>IF(AND(A115&lt;&gt;"",B115="Paused"),COUNTIFS($A$5:A115,"&lt;&gt;",$B$5:B115,"Paused"),"")</f>
        <v/>
      </c>
      <c r="S115">
        <f>IF(M115="Yes",COUNTIF($M$5:M115,"Yes"),"")</f>
        <v/>
      </c>
    </row>
    <row r="116">
      <c r="A116" s="5" t="n"/>
      <c r="B116" s="51" t="n"/>
      <c r="C116" s="5" t="n"/>
      <c r="D116" s="52" t="n"/>
      <c r="E116" s="52" t="n"/>
      <c r="F116" s="52" t="n"/>
      <c r="G116" s="52" t="n"/>
      <c r="H116" s="52" t="n"/>
      <c r="I116" s="52" t="n"/>
      <c r="J116" s="52" t="n"/>
      <c r="K116" s="52" t="n"/>
      <c r="L116" s="51" t="n"/>
      <c r="M116" s="53">
        <f>IF(A116="","",IF(COUNTIF('AFA Rates'!$A$5:$A$1004,A116)&gt;0,"Yes","No"))</f>
        <v/>
      </c>
      <c r="N116" s="53">
        <f>IF(A116="","",COUNTIF('AFA Rates'!$A$5:$A$1004,A116))</f>
        <v/>
      </c>
      <c r="O116" s="54" t="n"/>
      <c r="P116" s="5" t="n"/>
      <c r="Q116" s="5" t="n"/>
      <c r="R116">
        <f>IF(AND(A116&lt;&gt;"",B116="Paused"),COUNTIFS($A$5:A116,"&lt;&gt;",$B$5:B116,"Paused"),"")</f>
        <v/>
      </c>
      <c r="S116">
        <f>IF(M116="Yes",COUNTIF($M$5:M116,"Yes"),"")</f>
        <v/>
      </c>
    </row>
    <row r="117">
      <c r="A117" s="5" t="n"/>
      <c r="B117" s="51" t="n"/>
      <c r="C117" s="5" t="n"/>
      <c r="D117" s="52" t="n"/>
      <c r="E117" s="52" t="n"/>
      <c r="F117" s="52" t="n"/>
      <c r="G117" s="52" t="n"/>
      <c r="H117" s="52" t="n"/>
      <c r="I117" s="52" t="n"/>
      <c r="J117" s="52" t="n"/>
      <c r="K117" s="52" t="n"/>
      <c r="L117" s="51" t="n"/>
      <c r="M117" s="53">
        <f>IF(A117="","",IF(COUNTIF('AFA Rates'!$A$5:$A$1004,A117)&gt;0,"Yes","No"))</f>
        <v/>
      </c>
      <c r="N117" s="53">
        <f>IF(A117="","",COUNTIF('AFA Rates'!$A$5:$A$1004,A117))</f>
        <v/>
      </c>
      <c r="O117" s="54" t="n"/>
      <c r="P117" s="5" t="n"/>
      <c r="Q117" s="5" t="n"/>
      <c r="R117">
        <f>IF(AND(A117&lt;&gt;"",B117="Paused"),COUNTIFS($A$5:A117,"&lt;&gt;",$B$5:B117,"Paused"),"")</f>
        <v/>
      </c>
      <c r="S117">
        <f>IF(M117="Yes",COUNTIF($M$5:M117,"Yes"),"")</f>
        <v/>
      </c>
    </row>
    <row r="118">
      <c r="A118" s="5" t="n"/>
      <c r="B118" s="51" t="n"/>
      <c r="C118" s="5" t="n"/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1" t="n"/>
      <c r="M118" s="53">
        <f>IF(A118="","",IF(COUNTIF('AFA Rates'!$A$5:$A$1004,A118)&gt;0,"Yes","No"))</f>
        <v/>
      </c>
      <c r="N118" s="53">
        <f>IF(A118="","",COUNTIF('AFA Rates'!$A$5:$A$1004,A118))</f>
        <v/>
      </c>
      <c r="O118" s="54" t="n"/>
      <c r="P118" s="5" t="n"/>
      <c r="Q118" s="5" t="n"/>
      <c r="R118">
        <f>IF(AND(A118&lt;&gt;"",B118="Paused"),COUNTIFS($A$5:A118,"&lt;&gt;",$B$5:B118,"Paused"),"")</f>
        <v/>
      </c>
      <c r="S118">
        <f>IF(M118="Yes",COUNTIF($M$5:M118,"Yes"),"")</f>
        <v/>
      </c>
    </row>
    <row r="119">
      <c r="A119" s="5" t="n"/>
      <c r="B119" s="51" t="n"/>
      <c r="C119" s="5" t="n"/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1" t="n"/>
      <c r="M119" s="53">
        <f>IF(A119="","",IF(COUNTIF('AFA Rates'!$A$5:$A$1004,A119)&gt;0,"Yes","No"))</f>
        <v/>
      </c>
      <c r="N119" s="53">
        <f>IF(A119="","",COUNTIF('AFA Rates'!$A$5:$A$1004,A119))</f>
        <v/>
      </c>
      <c r="O119" s="54" t="n"/>
      <c r="P119" s="5" t="n"/>
      <c r="Q119" s="5" t="n"/>
      <c r="R119">
        <f>IF(AND(A119&lt;&gt;"",B119="Paused"),COUNTIFS($A$5:A119,"&lt;&gt;",$B$5:B119,"Paused"),"")</f>
        <v/>
      </c>
      <c r="S119">
        <f>IF(M119="Yes",COUNTIF($M$5:M119,"Yes"),"")</f>
        <v/>
      </c>
    </row>
    <row r="120">
      <c r="A120" s="5" t="n"/>
      <c r="B120" s="51" t="n"/>
      <c r="C120" s="5" t="n"/>
      <c r="D120" s="52" t="n"/>
      <c r="E120" s="52" t="n"/>
      <c r="F120" s="52" t="n"/>
      <c r="G120" s="52" t="n"/>
      <c r="H120" s="52" t="n"/>
      <c r="I120" s="52" t="n"/>
      <c r="J120" s="52" t="n"/>
      <c r="K120" s="52" t="n"/>
      <c r="L120" s="51" t="n"/>
      <c r="M120" s="53">
        <f>IF(A120="","",IF(COUNTIF('AFA Rates'!$A$5:$A$1004,A120)&gt;0,"Yes","No"))</f>
        <v/>
      </c>
      <c r="N120" s="53">
        <f>IF(A120="","",COUNTIF('AFA Rates'!$A$5:$A$1004,A120))</f>
        <v/>
      </c>
      <c r="O120" s="54" t="n"/>
      <c r="P120" s="5" t="n"/>
      <c r="Q120" s="5" t="n"/>
      <c r="R120">
        <f>IF(AND(A120&lt;&gt;"",B120="Paused"),COUNTIFS($A$5:A120,"&lt;&gt;",$B$5:B120,"Paused"),"")</f>
        <v/>
      </c>
      <c r="S120">
        <f>IF(M120="Yes",COUNTIF($M$5:M120,"Yes"),"")</f>
        <v/>
      </c>
    </row>
    <row r="121">
      <c r="A121" s="5" t="n"/>
      <c r="B121" s="51" t="n"/>
      <c r="C121" s="5" t="n"/>
      <c r="D121" s="52" t="n"/>
      <c r="E121" s="52" t="n"/>
      <c r="F121" s="52" t="n"/>
      <c r="G121" s="52" t="n"/>
      <c r="H121" s="52" t="n"/>
      <c r="I121" s="52" t="n"/>
      <c r="J121" s="52" t="n"/>
      <c r="K121" s="52" t="n"/>
      <c r="L121" s="51" t="n"/>
      <c r="M121" s="53">
        <f>IF(A121="","",IF(COUNTIF('AFA Rates'!$A$5:$A$1004,A121)&gt;0,"Yes","No"))</f>
        <v/>
      </c>
      <c r="N121" s="53">
        <f>IF(A121="","",COUNTIF('AFA Rates'!$A$5:$A$1004,A121))</f>
        <v/>
      </c>
      <c r="O121" s="54" t="n"/>
      <c r="P121" s="5" t="n"/>
      <c r="Q121" s="5" t="n"/>
      <c r="R121">
        <f>IF(AND(A121&lt;&gt;"",B121="Paused"),COUNTIFS($A$5:A121,"&lt;&gt;",$B$5:B121,"Paused"),"")</f>
        <v/>
      </c>
      <c r="S121">
        <f>IF(M121="Yes",COUNTIF($M$5:M121,"Yes"),"")</f>
        <v/>
      </c>
    </row>
    <row r="122">
      <c r="A122" s="5" t="n"/>
      <c r="B122" s="51" t="n"/>
      <c r="C122" s="5" t="n"/>
      <c r="D122" s="52" t="n"/>
      <c r="E122" s="52" t="n"/>
      <c r="F122" s="52" t="n"/>
      <c r="G122" s="52" t="n"/>
      <c r="H122" s="52" t="n"/>
      <c r="I122" s="52" t="n"/>
      <c r="J122" s="52" t="n"/>
      <c r="K122" s="52" t="n"/>
      <c r="L122" s="51" t="n"/>
      <c r="M122" s="53">
        <f>IF(A122="","",IF(COUNTIF('AFA Rates'!$A$5:$A$1004,A122)&gt;0,"Yes","No"))</f>
        <v/>
      </c>
      <c r="N122" s="53">
        <f>IF(A122="","",COUNTIF('AFA Rates'!$A$5:$A$1004,A122))</f>
        <v/>
      </c>
      <c r="O122" s="54" t="n"/>
      <c r="P122" s="5" t="n"/>
      <c r="Q122" s="5" t="n"/>
      <c r="R122">
        <f>IF(AND(A122&lt;&gt;"",B122="Paused"),COUNTIFS($A$5:A122,"&lt;&gt;",$B$5:B122,"Paused"),"")</f>
        <v/>
      </c>
      <c r="S122">
        <f>IF(M122="Yes",COUNTIF($M$5:M122,"Yes"),"")</f>
        <v/>
      </c>
    </row>
    <row r="123">
      <c r="A123" s="5" t="n"/>
      <c r="B123" s="51" t="n"/>
      <c r="C123" s="5" t="n"/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1" t="n"/>
      <c r="M123" s="53">
        <f>IF(A123="","",IF(COUNTIF('AFA Rates'!$A$5:$A$1004,A123)&gt;0,"Yes","No"))</f>
        <v/>
      </c>
      <c r="N123" s="53">
        <f>IF(A123="","",COUNTIF('AFA Rates'!$A$5:$A$1004,A123))</f>
        <v/>
      </c>
      <c r="O123" s="54" t="n"/>
      <c r="P123" s="5" t="n"/>
      <c r="Q123" s="5" t="n"/>
      <c r="R123">
        <f>IF(AND(A123&lt;&gt;"",B123="Paused"),COUNTIFS($A$5:A123,"&lt;&gt;",$B$5:B123,"Paused"),"")</f>
        <v/>
      </c>
      <c r="S123">
        <f>IF(M123="Yes",COUNTIF($M$5:M123,"Yes"),"")</f>
        <v/>
      </c>
    </row>
    <row r="124">
      <c r="A124" s="5" t="n"/>
      <c r="B124" s="51" t="n"/>
      <c r="C124" s="5" t="n"/>
      <c r="D124" s="52" t="n"/>
      <c r="E124" s="52" t="n"/>
      <c r="F124" s="52" t="n"/>
      <c r="G124" s="52" t="n"/>
      <c r="H124" s="52" t="n"/>
      <c r="I124" s="52" t="n"/>
      <c r="J124" s="52" t="n"/>
      <c r="K124" s="52" t="n"/>
      <c r="L124" s="51" t="n"/>
      <c r="M124" s="53">
        <f>IF(A124="","",IF(COUNTIF('AFA Rates'!$A$5:$A$1004,A124)&gt;0,"Yes","No"))</f>
        <v/>
      </c>
      <c r="N124" s="53">
        <f>IF(A124="","",COUNTIF('AFA Rates'!$A$5:$A$1004,A124))</f>
        <v/>
      </c>
      <c r="O124" s="54" t="n"/>
      <c r="P124" s="5" t="n"/>
      <c r="Q124" s="5" t="n"/>
      <c r="R124">
        <f>IF(AND(A124&lt;&gt;"",B124="Paused"),COUNTIFS($A$5:A124,"&lt;&gt;",$B$5:B124,"Paused"),"")</f>
        <v/>
      </c>
      <c r="S124">
        <f>IF(M124="Yes",COUNTIF($M$5:M124,"Yes"),"")</f>
        <v/>
      </c>
    </row>
    <row r="125">
      <c r="A125" s="5" t="n"/>
      <c r="B125" s="51" t="n"/>
      <c r="C125" s="5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1" t="n"/>
      <c r="M125" s="53">
        <f>IF(A125="","",IF(COUNTIF('AFA Rates'!$A$5:$A$1004,A125)&gt;0,"Yes","No"))</f>
        <v/>
      </c>
      <c r="N125" s="53">
        <f>IF(A125="","",COUNTIF('AFA Rates'!$A$5:$A$1004,A125))</f>
        <v/>
      </c>
      <c r="O125" s="54" t="n"/>
      <c r="P125" s="5" t="n"/>
      <c r="Q125" s="5" t="n"/>
      <c r="R125">
        <f>IF(AND(A125&lt;&gt;"",B125="Paused"),COUNTIFS($A$5:A125,"&lt;&gt;",$B$5:B125,"Paused"),"")</f>
        <v/>
      </c>
      <c r="S125">
        <f>IF(M125="Yes",COUNTIF($M$5:M125,"Yes"),"")</f>
        <v/>
      </c>
    </row>
    <row r="126">
      <c r="A126" s="5" t="n"/>
      <c r="B126" s="51" t="n"/>
      <c r="C126" s="5" t="n"/>
      <c r="D126" s="52" t="n"/>
      <c r="E126" s="52" t="n"/>
      <c r="F126" s="52" t="n"/>
      <c r="G126" s="52" t="n"/>
      <c r="H126" s="52" t="n"/>
      <c r="I126" s="52" t="n"/>
      <c r="J126" s="52" t="n"/>
      <c r="K126" s="52" t="n"/>
      <c r="L126" s="51" t="n"/>
      <c r="M126" s="53">
        <f>IF(A126="","",IF(COUNTIF('AFA Rates'!$A$5:$A$1004,A126)&gt;0,"Yes","No"))</f>
        <v/>
      </c>
      <c r="N126" s="53">
        <f>IF(A126="","",COUNTIF('AFA Rates'!$A$5:$A$1004,A126))</f>
        <v/>
      </c>
      <c r="O126" s="54" t="n"/>
      <c r="P126" s="5" t="n"/>
      <c r="Q126" s="5" t="n"/>
      <c r="R126">
        <f>IF(AND(A126&lt;&gt;"",B126="Paused"),COUNTIFS($A$5:A126,"&lt;&gt;",$B$5:B126,"Paused"),"")</f>
        <v/>
      </c>
      <c r="S126">
        <f>IF(M126="Yes",COUNTIF($M$5:M126,"Yes"),"")</f>
        <v/>
      </c>
    </row>
    <row r="127">
      <c r="A127" s="5" t="n"/>
      <c r="B127" s="51" t="n"/>
      <c r="C127" s="5" t="n"/>
      <c r="D127" s="52" t="n"/>
      <c r="E127" s="52" t="n"/>
      <c r="F127" s="52" t="n"/>
      <c r="G127" s="52" t="n"/>
      <c r="H127" s="52" t="n"/>
      <c r="I127" s="52" t="n"/>
      <c r="J127" s="52" t="n"/>
      <c r="K127" s="52" t="n"/>
      <c r="L127" s="51" t="n"/>
      <c r="M127" s="53">
        <f>IF(A127="","",IF(COUNTIF('AFA Rates'!$A$5:$A$1004,A127)&gt;0,"Yes","No"))</f>
        <v/>
      </c>
      <c r="N127" s="53">
        <f>IF(A127="","",COUNTIF('AFA Rates'!$A$5:$A$1004,A127))</f>
        <v/>
      </c>
      <c r="O127" s="54" t="n"/>
      <c r="P127" s="5" t="n"/>
      <c r="Q127" s="5" t="n"/>
      <c r="R127">
        <f>IF(AND(A127&lt;&gt;"",B127="Paused"),COUNTIFS($A$5:A127,"&lt;&gt;",$B$5:B127,"Paused"),"")</f>
        <v/>
      </c>
      <c r="S127">
        <f>IF(M127="Yes",COUNTIF($M$5:M127,"Yes"),"")</f>
        <v/>
      </c>
    </row>
    <row r="128">
      <c r="A128" s="5" t="n"/>
      <c r="B128" s="51" t="n"/>
      <c r="C128" s="5" t="n"/>
      <c r="D128" s="52" t="n"/>
      <c r="E128" s="52" t="n"/>
      <c r="F128" s="52" t="n"/>
      <c r="G128" s="52" t="n"/>
      <c r="H128" s="52" t="n"/>
      <c r="I128" s="52" t="n"/>
      <c r="J128" s="52" t="n"/>
      <c r="K128" s="52" t="n"/>
      <c r="L128" s="51" t="n"/>
      <c r="M128" s="53">
        <f>IF(A128="","",IF(COUNTIF('AFA Rates'!$A$5:$A$1004,A128)&gt;0,"Yes","No"))</f>
        <v/>
      </c>
      <c r="N128" s="53">
        <f>IF(A128="","",COUNTIF('AFA Rates'!$A$5:$A$1004,A128))</f>
        <v/>
      </c>
      <c r="O128" s="54" t="n"/>
      <c r="P128" s="5" t="n"/>
      <c r="Q128" s="5" t="n"/>
      <c r="R128">
        <f>IF(AND(A128&lt;&gt;"",B128="Paused"),COUNTIFS($A$5:A128,"&lt;&gt;",$B$5:B128,"Paused"),"")</f>
        <v/>
      </c>
      <c r="S128">
        <f>IF(M128="Yes",COUNTIF($M$5:M128,"Yes"),"")</f>
        <v/>
      </c>
    </row>
    <row r="129">
      <c r="A129" s="5" t="n"/>
      <c r="B129" s="51" t="n"/>
      <c r="C129" s="5" t="n"/>
      <c r="D129" s="52" t="n"/>
      <c r="E129" s="52" t="n"/>
      <c r="F129" s="52" t="n"/>
      <c r="G129" s="52" t="n"/>
      <c r="H129" s="52" t="n"/>
      <c r="I129" s="52" t="n"/>
      <c r="J129" s="52" t="n"/>
      <c r="K129" s="52" t="n"/>
      <c r="L129" s="51" t="n"/>
      <c r="M129" s="53">
        <f>IF(A129="","",IF(COUNTIF('AFA Rates'!$A$5:$A$1004,A129)&gt;0,"Yes","No"))</f>
        <v/>
      </c>
      <c r="N129" s="53">
        <f>IF(A129="","",COUNTIF('AFA Rates'!$A$5:$A$1004,A129))</f>
        <v/>
      </c>
      <c r="O129" s="54" t="n"/>
      <c r="P129" s="5" t="n"/>
      <c r="Q129" s="5" t="n"/>
      <c r="R129">
        <f>IF(AND(A129&lt;&gt;"",B129="Paused"),COUNTIFS($A$5:A129,"&lt;&gt;",$B$5:B129,"Paused"),"")</f>
        <v/>
      </c>
      <c r="S129">
        <f>IF(M129="Yes",COUNTIF($M$5:M129,"Yes"),"")</f>
        <v/>
      </c>
    </row>
    <row r="130">
      <c r="A130" s="5" t="n"/>
      <c r="B130" s="51" t="n"/>
      <c r="C130" s="5" t="n"/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1" t="n"/>
      <c r="M130" s="53">
        <f>IF(A130="","",IF(COUNTIF('AFA Rates'!$A$5:$A$1004,A130)&gt;0,"Yes","No"))</f>
        <v/>
      </c>
      <c r="N130" s="53">
        <f>IF(A130="","",COUNTIF('AFA Rates'!$A$5:$A$1004,A130))</f>
        <v/>
      </c>
      <c r="O130" s="54" t="n"/>
      <c r="P130" s="5" t="n"/>
      <c r="Q130" s="5" t="n"/>
      <c r="R130">
        <f>IF(AND(A130&lt;&gt;"",B130="Paused"),COUNTIFS($A$5:A130,"&lt;&gt;",$B$5:B130,"Paused"),"")</f>
        <v/>
      </c>
      <c r="S130">
        <f>IF(M130="Yes",COUNTIF($M$5:M130,"Yes"),"")</f>
        <v/>
      </c>
    </row>
    <row r="131">
      <c r="A131" s="5" t="n"/>
      <c r="B131" s="51" t="n"/>
      <c r="C131" s="5" t="n"/>
      <c r="D131" s="52" t="n"/>
      <c r="E131" s="52" t="n"/>
      <c r="F131" s="52" t="n"/>
      <c r="G131" s="52" t="n"/>
      <c r="H131" s="52" t="n"/>
      <c r="I131" s="52" t="n"/>
      <c r="J131" s="52" t="n"/>
      <c r="K131" s="52" t="n"/>
      <c r="L131" s="51" t="n"/>
      <c r="M131" s="53">
        <f>IF(A131="","",IF(COUNTIF('AFA Rates'!$A$5:$A$1004,A131)&gt;0,"Yes","No"))</f>
        <v/>
      </c>
      <c r="N131" s="53">
        <f>IF(A131="","",COUNTIF('AFA Rates'!$A$5:$A$1004,A131))</f>
        <v/>
      </c>
      <c r="O131" s="54" t="n"/>
      <c r="P131" s="5" t="n"/>
      <c r="Q131" s="5" t="n"/>
      <c r="R131">
        <f>IF(AND(A131&lt;&gt;"",B131="Paused"),COUNTIFS($A$5:A131,"&lt;&gt;",$B$5:B131,"Paused"),"")</f>
        <v/>
      </c>
      <c r="S131">
        <f>IF(M131="Yes",COUNTIF($M$5:M131,"Yes"),"")</f>
        <v/>
      </c>
    </row>
    <row r="132">
      <c r="A132" s="5" t="n"/>
      <c r="B132" s="51" t="n"/>
      <c r="C132" s="5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1" t="n"/>
      <c r="M132" s="53">
        <f>IF(A132="","",IF(COUNTIF('AFA Rates'!$A$5:$A$1004,A132)&gt;0,"Yes","No"))</f>
        <v/>
      </c>
      <c r="N132" s="53">
        <f>IF(A132="","",COUNTIF('AFA Rates'!$A$5:$A$1004,A132))</f>
        <v/>
      </c>
      <c r="O132" s="54" t="n"/>
      <c r="P132" s="5" t="n"/>
      <c r="Q132" s="5" t="n"/>
      <c r="R132">
        <f>IF(AND(A132&lt;&gt;"",B132="Paused"),COUNTIFS($A$5:A132,"&lt;&gt;",$B$5:B132,"Paused"),"")</f>
        <v/>
      </c>
      <c r="S132">
        <f>IF(M132="Yes",COUNTIF($M$5:M132,"Yes"),"")</f>
        <v/>
      </c>
    </row>
    <row r="133">
      <c r="A133" s="5" t="n"/>
      <c r="B133" s="51" t="n"/>
      <c r="C133" s="5" t="n"/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1" t="n"/>
      <c r="M133" s="53">
        <f>IF(A133="","",IF(COUNTIF('AFA Rates'!$A$5:$A$1004,A133)&gt;0,"Yes","No"))</f>
        <v/>
      </c>
      <c r="N133" s="53">
        <f>IF(A133="","",COUNTIF('AFA Rates'!$A$5:$A$1004,A133))</f>
        <v/>
      </c>
      <c r="O133" s="54" t="n"/>
      <c r="P133" s="5" t="n"/>
      <c r="Q133" s="5" t="n"/>
      <c r="R133">
        <f>IF(AND(A133&lt;&gt;"",B133="Paused"),COUNTIFS($A$5:A133,"&lt;&gt;",$B$5:B133,"Paused"),"")</f>
        <v/>
      </c>
      <c r="S133">
        <f>IF(M133="Yes",COUNTIF($M$5:M133,"Yes"),"")</f>
        <v/>
      </c>
    </row>
    <row r="134">
      <c r="A134" s="5" t="n"/>
      <c r="B134" s="51" t="n"/>
      <c r="C134" s="5" t="n"/>
      <c r="D134" s="52" t="n"/>
      <c r="E134" s="52" t="n"/>
      <c r="F134" s="52" t="n"/>
      <c r="G134" s="52" t="n"/>
      <c r="H134" s="52" t="n"/>
      <c r="I134" s="52" t="n"/>
      <c r="J134" s="52" t="n"/>
      <c r="K134" s="52" t="n"/>
      <c r="L134" s="51" t="n"/>
      <c r="M134" s="53">
        <f>IF(A134="","",IF(COUNTIF('AFA Rates'!$A$5:$A$1004,A134)&gt;0,"Yes","No"))</f>
        <v/>
      </c>
      <c r="N134" s="53">
        <f>IF(A134="","",COUNTIF('AFA Rates'!$A$5:$A$1004,A134))</f>
        <v/>
      </c>
      <c r="O134" s="54" t="n"/>
      <c r="P134" s="5" t="n"/>
      <c r="Q134" s="5" t="n"/>
      <c r="R134">
        <f>IF(AND(A134&lt;&gt;"",B134="Paused"),COUNTIFS($A$5:A134,"&lt;&gt;",$B$5:B134,"Paused"),"")</f>
        <v/>
      </c>
      <c r="S134">
        <f>IF(M134="Yes",COUNTIF($M$5:M134,"Yes"),"")</f>
        <v/>
      </c>
    </row>
    <row r="135">
      <c r="A135" s="5" t="n"/>
      <c r="B135" s="51" t="n"/>
      <c r="C135" s="5" t="n"/>
      <c r="D135" s="52" t="n"/>
      <c r="E135" s="52" t="n"/>
      <c r="F135" s="52" t="n"/>
      <c r="G135" s="52" t="n"/>
      <c r="H135" s="52" t="n"/>
      <c r="I135" s="52" t="n"/>
      <c r="J135" s="52" t="n"/>
      <c r="K135" s="52" t="n"/>
      <c r="L135" s="51" t="n"/>
      <c r="M135" s="53">
        <f>IF(A135="","",IF(COUNTIF('AFA Rates'!$A$5:$A$1004,A135)&gt;0,"Yes","No"))</f>
        <v/>
      </c>
      <c r="N135" s="53">
        <f>IF(A135="","",COUNTIF('AFA Rates'!$A$5:$A$1004,A135))</f>
        <v/>
      </c>
      <c r="O135" s="54" t="n"/>
      <c r="P135" s="5" t="n"/>
      <c r="Q135" s="5" t="n"/>
      <c r="R135">
        <f>IF(AND(A135&lt;&gt;"",B135="Paused"),COUNTIFS($A$5:A135,"&lt;&gt;",$B$5:B135,"Paused"),"")</f>
        <v/>
      </c>
      <c r="S135">
        <f>IF(M135="Yes",COUNTIF($M$5:M135,"Yes"),"")</f>
        <v/>
      </c>
    </row>
    <row r="136">
      <c r="A136" s="5" t="n"/>
      <c r="B136" s="51" t="n"/>
      <c r="C136" s="5" t="n"/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1" t="n"/>
      <c r="M136" s="53">
        <f>IF(A136="","",IF(COUNTIF('AFA Rates'!$A$5:$A$1004,A136)&gt;0,"Yes","No"))</f>
        <v/>
      </c>
      <c r="N136" s="53">
        <f>IF(A136="","",COUNTIF('AFA Rates'!$A$5:$A$1004,A136))</f>
        <v/>
      </c>
      <c r="O136" s="54" t="n"/>
      <c r="P136" s="5" t="n"/>
      <c r="Q136" s="5" t="n"/>
      <c r="R136">
        <f>IF(AND(A136&lt;&gt;"",B136="Paused"),COUNTIFS($A$5:A136,"&lt;&gt;",$B$5:B136,"Paused"),"")</f>
        <v/>
      </c>
      <c r="S136">
        <f>IF(M136="Yes",COUNTIF($M$5:M136,"Yes"),"")</f>
        <v/>
      </c>
    </row>
    <row r="137">
      <c r="A137" s="5" t="n"/>
      <c r="B137" s="51" t="n"/>
      <c r="C137" s="5" t="n"/>
      <c r="D137" s="52" t="n"/>
      <c r="E137" s="52" t="n"/>
      <c r="F137" s="52" t="n"/>
      <c r="G137" s="52" t="n"/>
      <c r="H137" s="52" t="n"/>
      <c r="I137" s="52" t="n"/>
      <c r="J137" s="52" t="n"/>
      <c r="K137" s="52" t="n"/>
      <c r="L137" s="51" t="n"/>
      <c r="M137" s="53">
        <f>IF(A137="","",IF(COUNTIF('AFA Rates'!$A$5:$A$1004,A137)&gt;0,"Yes","No"))</f>
        <v/>
      </c>
      <c r="N137" s="53">
        <f>IF(A137="","",COUNTIF('AFA Rates'!$A$5:$A$1004,A137))</f>
        <v/>
      </c>
      <c r="O137" s="54" t="n"/>
      <c r="P137" s="5" t="n"/>
      <c r="Q137" s="5" t="n"/>
      <c r="R137">
        <f>IF(AND(A137&lt;&gt;"",B137="Paused"),COUNTIFS($A$5:A137,"&lt;&gt;",$B$5:B137,"Paused"),"")</f>
        <v/>
      </c>
      <c r="S137">
        <f>IF(M137="Yes",COUNTIF($M$5:M137,"Yes"),"")</f>
        <v/>
      </c>
    </row>
    <row r="138">
      <c r="A138" s="5" t="n"/>
      <c r="B138" s="51" t="n"/>
      <c r="C138" s="5" t="n"/>
      <c r="D138" s="52" t="n"/>
      <c r="E138" s="52" t="n"/>
      <c r="F138" s="52" t="n"/>
      <c r="G138" s="52" t="n"/>
      <c r="H138" s="52" t="n"/>
      <c r="I138" s="52" t="n"/>
      <c r="J138" s="52" t="n"/>
      <c r="K138" s="52" t="n"/>
      <c r="L138" s="51" t="n"/>
      <c r="M138" s="53">
        <f>IF(A138="","",IF(COUNTIF('AFA Rates'!$A$5:$A$1004,A138)&gt;0,"Yes","No"))</f>
        <v/>
      </c>
      <c r="N138" s="53">
        <f>IF(A138="","",COUNTIF('AFA Rates'!$A$5:$A$1004,A138))</f>
        <v/>
      </c>
      <c r="O138" s="54" t="n"/>
      <c r="P138" s="5" t="n"/>
      <c r="Q138" s="5" t="n"/>
      <c r="R138">
        <f>IF(AND(A138&lt;&gt;"",B138="Paused"),COUNTIFS($A$5:A138,"&lt;&gt;",$B$5:B138,"Paused"),"")</f>
        <v/>
      </c>
      <c r="S138">
        <f>IF(M138="Yes",COUNTIF($M$5:M138,"Yes"),"")</f>
        <v/>
      </c>
    </row>
    <row r="139">
      <c r="A139" s="5" t="n"/>
      <c r="B139" s="51" t="n"/>
      <c r="C139" s="5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1" t="n"/>
      <c r="M139" s="53">
        <f>IF(A139="","",IF(COUNTIF('AFA Rates'!$A$5:$A$1004,A139)&gt;0,"Yes","No"))</f>
        <v/>
      </c>
      <c r="N139" s="53">
        <f>IF(A139="","",COUNTIF('AFA Rates'!$A$5:$A$1004,A139))</f>
        <v/>
      </c>
      <c r="O139" s="54" t="n"/>
      <c r="P139" s="5" t="n"/>
      <c r="Q139" s="5" t="n"/>
      <c r="R139">
        <f>IF(AND(A139&lt;&gt;"",B139="Paused"),COUNTIFS($A$5:A139,"&lt;&gt;",$B$5:B139,"Paused"),"")</f>
        <v/>
      </c>
      <c r="S139">
        <f>IF(M139="Yes",COUNTIF($M$5:M139,"Yes"),"")</f>
        <v/>
      </c>
    </row>
    <row r="140">
      <c r="A140" s="5" t="n"/>
      <c r="B140" s="51" t="n"/>
      <c r="C140" s="5" t="n"/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1" t="n"/>
      <c r="M140" s="53">
        <f>IF(A140="","",IF(COUNTIF('AFA Rates'!$A$5:$A$1004,A140)&gt;0,"Yes","No"))</f>
        <v/>
      </c>
      <c r="N140" s="53">
        <f>IF(A140="","",COUNTIF('AFA Rates'!$A$5:$A$1004,A140))</f>
        <v/>
      </c>
      <c r="O140" s="54" t="n"/>
      <c r="P140" s="5" t="n"/>
      <c r="Q140" s="5" t="n"/>
      <c r="R140">
        <f>IF(AND(A140&lt;&gt;"",B140="Paused"),COUNTIFS($A$5:A140,"&lt;&gt;",$B$5:B140,"Paused"),"")</f>
        <v/>
      </c>
      <c r="S140">
        <f>IF(M140="Yes",COUNTIF($M$5:M140,"Yes"),"")</f>
        <v/>
      </c>
    </row>
    <row r="141">
      <c r="A141" s="5" t="n"/>
      <c r="B141" s="51" t="n"/>
      <c r="C141" s="5" t="n"/>
      <c r="D141" s="52" t="n"/>
      <c r="E141" s="52" t="n"/>
      <c r="F141" s="52" t="n"/>
      <c r="G141" s="52" t="n"/>
      <c r="H141" s="52" t="n"/>
      <c r="I141" s="52" t="n"/>
      <c r="J141" s="52" t="n"/>
      <c r="K141" s="52" t="n"/>
      <c r="L141" s="51" t="n"/>
      <c r="M141" s="53">
        <f>IF(A141="","",IF(COUNTIF('AFA Rates'!$A$5:$A$1004,A141)&gt;0,"Yes","No"))</f>
        <v/>
      </c>
      <c r="N141" s="53">
        <f>IF(A141="","",COUNTIF('AFA Rates'!$A$5:$A$1004,A141))</f>
        <v/>
      </c>
      <c r="O141" s="54" t="n"/>
      <c r="P141" s="5" t="n"/>
      <c r="Q141" s="5" t="n"/>
      <c r="R141">
        <f>IF(AND(A141&lt;&gt;"",B141="Paused"),COUNTIFS($A$5:A141,"&lt;&gt;",$B$5:B141,"Paused"),"")</f>
        <v/>
      </c>
      <c r="S141">
        <f>IF(M141="Yes",COUNTIF($M$5:M141,"Yes"),"")</f>
        <v/>
      </c>
    </row>
    <row r="142">
      <c r="A142" s="5" t="n"/>
      <c r="B142" s="51" t="n"/>
      <c r="C142" s="5" t="n"/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1" t="n"/>
      <c r="M142" s="53">
        <f>IF(A142="","",IF(COUNTIF('AFA Rates'!$A$5:$A$1004,A142)&gt;0,"Yes","No"))</f>
        <v/>
      </c>
      <c r="N142" s="53">
        <f>IF(A142="","",COUNTIF('AFA Rates'!$A$5:$A$1004,A142))</f>
        <v/>
      </c>
      <c r="O142" s="54" t="n"/>
      <c r="P142" s="5" t="n"/>
      <c r="Q142" s="5" t="n"/>
      <c r="R142">
        <f>IF(AND(A142&lt;&gt;"",B142="Paused"),COUNTIFS($A$5:A142,"&lt;&gt;",$B$5:B142,"Paused"),"")</f>
        <v/>
      </c>
      <c r="S142">
        <f>IF(M142="Yes",COUNTIF($M$5:M142,"Yes"),"")</f>
        <v/>
      </c>
    </row>
    <row r="143">
      <c r="A143" s="5" t="n"/>
      <c r="B143" s="51" t="n"/>
      <c r="C143" s="5" t="n"/>
      <c r="D143" s="52" t="n"/>
      <c r="E143" s="52" t="n"/>
      <c r="F143" s="52" t="n"/>
      <c r="G143" s="52" t="n"/>
      <c r="H143" s="52" t="n"/>
      <c r="I143" s="52" t="n"/>
      <c r="J143" s="52" t="n"/>
      <c r="K143" s="52" t="n"/>
      <c r="L143" s="51" t="n"/>
      <c r="M143" s="53">
        <f>IF(A143="","",IF(COUNTIF('AFA Rates'!$A$5:$A$1004,A143)&gt;0,"Yes","No"))</f>
        <v/>
      </c>
      <c r="N143" s="53">
        <f>IF(A143="","",COUNTIF('AFA Rates'!$A$5:$A$1004,A143))</f>
        <v/>
      </c>
      <c r="O143" s="54" t="n"/>
      <c r="P143" s="5" t="n"/>
      <c r="Q143" s="5" t="n"/>
      <c r="R143">
        <f>IF(AND(A143&lt;&gt;"",B143="Paused"),COUNTIFS($A$5:A143,"&lt;&gt;",$B$5:B143,"Paused"),"")</f>
        <v/>
      </c>
      <c r="S143">
        <f>IF(M143="Yes",COUNTIF($M$5:M143,"Yes"),"")</f>
        <v/>
      </c>
    </row>
    <row r="144">
      <c r="A144" s="5" t="n"/>
      <c r="B144" s="51" t="n"/>
      <c r="C144" s="5" t="n"/>
      <c r="D144" s="52" t="n"/>
      <c r="E144" s="52" t="n"/>
      <c r="F144" s="52" t="n"/>
      <c r="G144" s="52" t="n"/>
      <c r="H144" s="52" t="n"/>
      <c r="I144" s="52" t="n"/>
      <c r="J144" s="52" t="n"/>
      <c r="K144" s="52" t="n"/>
      <c r="L144" s="51" t="n"/>
      <c r="M144" s="53">
        <f>IF(A144="","",IF(COUNTIF('AFA Rates'!$A$5:$A$1004,A144)&gt;0,"Yes","No"))</f>
        <v/>
      </c>
      <c r="N144" s="53">
        <f>IF(A144="","",COUNTIF('AFA Rates'!$A$5:$A$1004,A144))</f>
        <v/>
      </c>
      <c r="O144" s="54" t="n"/>
      <c r="P144" s="5" t="n"/>
      <c r="Q144" s="5" t="n"/>
      <c r="R144">
        <f>IF(AND(A144&lt;&gt;"",B144="Paused"),COUNTIFS($A$5:A144,"&lt;&gt;",$B$5:B144,"Paused"),"")</f>
        <v/>
      </c>
      <c r="S144">
        <f>IF(M144="Yes",COUNTIF($M$5:M144,"Yes"),"")</f>
        <v/>
      </c>
    </row>
    <row r="145">
      <c r="A145" s="5" t="n"/>
      <c r="B145" s="51" t="n"/>
      <c r="C145" s="5" t="n"/>
      <c r="D145" s="52" t="n"/>
      <c r="E145" s="52" t="n"/>
      <c r="F145" s="52" t="n"/>
      <c r="G145" s="52" t="n"/>
      <c r="H145" s="52" t="n"/>
      <c r="I145" s="52" t="n"/>
      <c r="J145" s="52" t="n"/>
      <c r="K145" s="52" t="n"/>
      <c r="L145" s="51" t="n"/>
      <c r="M145" s="53">
        <f>IF(A145="","",IF(COUNTIF('AFA Rates'!$A$5:$A$1004,A145)&gt;0,"Yes","No"))</f>
        <v/>
      </c>
      <c r="N145" s="53">
        <f>IF(A145="","",COUNTIF('AFA Rates'!$A$5:$A$1004,A145))</f>
        <v/>
      </c>
      <c r="O145" s="54" t="n"/>
      <c r="P145" s="5" t="n"/>
      <c r="Q145" s="5" t="n"/>
      <c r="R145">
        <f>IF(AND(A145&lt;&gt;"",B145="Paused"),COUNTIFS($A$5:A145,"&lt;&gt;",$B$5:B145,"Paused"),"")</f>
        <v/>
      </c>
      <c r="S145">
        <f>IF(M145="Yes",COUNTIF($M$5:M145,"Yes"),"")</f>
        <v/>
      </c>
    </row>
    <row r="146">
      <c r="A146" s="5" t="n"/>
      <c r="B146" s="51" t="n"/>
      <c r="C146" s="5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1" t="n"/>
      <c r="M146" s="53">
        <f>IF(A146="","",IF(COUNTIF('AFA Rates'!$A$5:$A$1004,A146)&gt;0,"Yes","No"))</f>
        <v/>
      </c>
      <c r="N146" s="53">
        <f>IF(A146="","",COUNTIF('AFA Rates'!$A$5:$A$1004,A146))</f>
        <v/>
      </c>
      <c r="O146" s="54" t="n"/>
      <c r="P146" s="5" t="n"/>
      <c r="Q146" s="5" t="n"/>
      <c r="R146">
        <f>IF(AND(A146&lt;&gt;"",B146="Paused"),COUNTIFS($A$5:A146,"&lt;&gt;",$B$5:B146,"Paused"),"")</f>
        <v/>
      </c>
      <c r="S146">
        <f>IF(M146="Yes",COUNTIF($M$5:M146,"Yes"),"")</f>
        <v/>
      </c>
    </row>
    <row r="147">
      <c r="A147" s="5" t="n"/>
      <c r="B147" s="51" t="n"/>
      <c r="C147" s="5" t="n"/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1" t="n"/>
      <c r="M147" s="53">
        <f>IF(A147="","",IF(COUNTIF('AFA Rates'!$A$5:$A$1004,A147)&gt;0,"Yes","No"))</f>
        <v/>
      </c>
      <c r="N147" s="53">
        <f>IF(A147="","",COUNTIF('AFA Rates'!$A$5:$A$1004,A147))</f>
        <v/>
      </c>
      <c r="O147" s="54" t="n"/>
      <c r="P147" s="5" t="n"/>
      <c r="Q147" s="5" t="n"/>
      <c r="R147">
        <f>IF(AND(A147&lt;&gt;"",B147="Paused"),COUNTIFS($A$5:A147,"&lt;&gt;",$B$5:B147,"Paused"),"")</f>
        <v/>
      </c>
      <c r="S147">
        <f>IF(M147="Yes",COUNTIF($M$5:M147,"Yes"),"")</f>
        <v/>
      </c>
    </row>
    <row r="148">
      <c r="A148" s="5" t="n"/>
      <c r="B148" s="51" t="n"/>
      <c r="C148" s="5" t="n"/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1" t="n"/>
      <c r="M148" s="53">
        <f>IF(A148="","",IF(COUNTIF('AFA Rates'!$A$5:$A$1004,A148)&gt;0,"Yes","No"))</f>
        <v/>
      </c>
      <c r="N148" s="53">
        <f>IF(A148="","",COUNTIF('AFA Rates'!$A$5:$A$1004,A148))</f>
        <v/>
      </c>
      <c r="O148" s="54" t="n"/>
      <c r="P148" s="5" t="n"/>
      <c r="Q148" s="5" t="n"/>
      <c r="R148">
        <f>IF(AND(A148&lt;&gt;"",B148="Paused"),COUNTIFS($A$5:A148,"&lt;&gt;",$B$5:B148,"Paused"),"")</f>
        <v/>
      </c>
      <c r="S148">
        <f>IF(M148="Yes",COUNTIF($M$5:M148,"Yes"),"")</f>
        <v/>
      </c>
    </row>
    <row r="149">
      <c r="A149" s="5" t="n"/>
      <c r="B149" s="51" t="n"/>
      <c r="C149" s="5" t="n"/>
      <c r="D149" s="52" t="n"/>
      <c r="E149" s="52" t="n"/>
      <c r="F149" s="52" t="n"/>
      <c r="G149" s="52" t="n"/>
      <c r="H149" s="52" t="n"/>
      <c r="I149" s="52" t="n"/>
      <c r="J149" s="52" t="n"/>
      <c r="K149" s="52" t="n"/>
      <c r="L149" s="51" t="n"/>
      <c r="M149" s="53">
        <f>IF(A149="","",IF(COUNTIF('AFA Rates'!$A$5:$A$1004,A149)&gt;0,"Yes","No"))</f>
        <v/>
      </c>
      <c r="N149" s="53">
        <f>IF(A149="","",COUNTIF('AFA Rates'!$A$5:$A$1004,A149))</f>
        <v/>
      </c>
      <c r="O149" s="54" t="n"/>
      <c r="P149" s="5" t="n"/>
      <c r="Q149" s="5" t="n"/>
      <c r="R149">
        <f>IF(AND(A149&lt;&gt;"",B149="Paused"),COUNTIFS($A$5:A149,"&lt;&gt;",$B$5:B149,"Paused"),"")</f>
        <v/>
      </c>
      <c r="S149">
        <f>IF(M149="Yes",COUNTIF($M$5:M149,"Yes"),"")</f>
        <v/>
      </c>
    </row>
    <row r="150">
      <c r="A150" s="5" t="n"/>
      <c r="B150" s="51" t="n"/>
      <c r="C150" s="5" t="n"/>
      <c r="D150" s="52" t="n"/>
      <c r="E150" s="52" t="n"/>
      <c r="F150" s="52" t="n"/>
      <c r="G150" s="52" t="n"/>
      <c r="H150" s="52" t="n"/>
      <c r="I150" s="52" t="n"/>
      <c r="J150" s="52" t="n"/>
      <c r="K150" s="52" t="n"/>
      <c r="L150" s="51" t="n"/>
      <c r="M150" s="53">
        <f>IF(A150="","",IF(COUNTIF('AFA Rates'!$A$5:$A$1004,A150)&gt;0,"Yes","No"))</f>
        <v/>
      </c>
      <c r="N150" s="53">
        <f>IF(A150="","",COUNTIF('AFA Rates'!$A$5:$A$1004,A150))</f>
        <v/>
      </c>
      <c r="O150" s="54" t="n"/>
      <c r="P150" s="5" t="n"/>
      <c r="Q150" s="5" t="n"/>
      <c r="R150">
        <f>IF(AND(A150&lt;&gt;"",B150="Paused"),COUNTIFS($A$5:A150,"&lt;&gt;",$B$5:B150,"Paused"),"")</f>
        <v/>
      </c>
      <c r="S150">
        <f>IF(M150="Yes",COUNTIF($M$5:M150,"Yes"),"")</f>
        <v/>
      </c>
    </row>
    <row r="151">
      <c r="A151" s="5" t="n"/>
      <c r="B151" s="51" t="n"/>
      <c r="C151" s="5" t="n"/>
      <c r="D151" s="52" t="n"/>
      <c r="E151" s="52" t="n"/>
      <c r="F151" s="52" t="n"/>
      <c r="G151" s="52" t="n"/>
      <c r="H151" s="52" t="n"/>
      <c r="I151" s="52" t="n"/>
      <c r="J151" s="52" t="n"/>
      <c r="K151" s="52" t="n"/>
      <c r="L151" s="51" t="n"/>
      <c r="M151" s="53">
        <f>IF(A151="","",IF(COUNTIF('AFA Rates'!$A$5:$A$1004,A151)&gt;0,"Yes","No"))</f>
        <v/>
      </c>
      <c r="N151" s="53">
        <f>IF(A151="","",COUNTIF('AFA Rates'!$A$5:$A$1004,A151))</f>
        <v/>
      </c>
      <c r="O151" s="54" t="n"/>
      <c r="P151" s="5" t="n"/>
      <c r="Q151" s="5" t="n"/>
      <c r="R151">
        <f>IF(AND(A151&lt;&gt;"",B151="Paused"),COUNTIFS($A$5:A151,"&lt;&gt;",$B$5:B151,"Paused"),"")</f>
        <v/>
      </c>
      <c r="S151">
        <f>IF(M151="Yes",COUNTIF($M$5:M151,"Yes"),"")</f>
        <v/>
      </c>
    </row>
    <row r="152">
      <c r="A152" s="5" t="n"/>
      <c r="B152" s="51" t="n"/>
      <c r="C152" s="5" t="n"/>
      <c r="D152" s="52" t="n"/>
      <c r="E152" s="52" t="n"/>
      <c r="F152" s="52" t="n"/>
      <c r="G152" s="52" t="n"/>
      <c r="H152" s="52" t="n"/>
      <c r="I152" s="52" t="n"/>
      <c r="J152" s="52" t="n"/>
      <c r="K152" s="52" t="n"/>
      <c r="L152" s="51" t="n"/>
      <c r="M152" s="53">
        <f>IF(A152="","",IF(COUNTIF('AFA Rates'!$A$5:$A$1004,A152)&gt;0,"Yes","No"))</f>
        <v/>
      </c>
      <c r="N152" s="53">
        <f>IF(A152="","",COUNTIF('AFA Rates'!$A$5:$A$1004,A152))</f>
        <v/>
      </c>
      <c r="O152" s="54" t="n"/>
      <c r="P152" s="5" t="n"/>
      <c r="Q152" s="5" t="n"/>
      <c r="R152">
        <f>IF(AND(A152&lt;&gt;"",B152="Paused"),COUNTIFS($A$5:A152,"&lt;&gt;",$B$5:B152,"Paused"),"")</f>
        <v/>
      </c>
      <c r="S152">
        <f>IF(M152="Yes",COUNTIF($M$5:M152,"Yes"),"")</f>
        <v/>
      </c>
    </row>
    <row r="153">
      <c r="A153" s="5" t="n"/>
      <c r="B153" s="51" t="n"/>
      <c r="C153" s="5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1" t="n"/>
      <c r="M153" s="53">
        <f>IF(A153="","",IF(COUNTIF('AFA Rates'!$A$5:$A$1004,A153)&gt;0,"Yes","No"))</f>
        <v/>
      </c>
      <c r="N153" s="53">
        <f>IF(A153="","",COUNTIF('AFA Rates'!$A$5:$A$1004,A153))</f>
        <v/>
      </c>
      <c r="O153" s="54" t="n"/>
      <c r="P153" s="5" t="n"/>
      <c r="Q153" s="5" t="n"/>
      <c r="R153">
        <f>IF(AND(A153&lt;&gt;"",B153="Paused"),COUNTIFS($A$5:A153,"&lt;&gt;",$B$5:B153,"Paused"),"")</f>
        <v/>
      </c>
      <c r="S153">
        <f>IF(M153="Yes",COUNTIF($M$5:M153,"Yes"),"")</f>
        <v/>
      </c>
    </row>
    <row r="154">
      <c r="A154" s="5" t="n"/>
      <c r="B154" s="51" t="n"/>
      <c r="C154" s="5" t="n"/>
      <c r="D154" s="52" t="n"/>
      <c r="E154" s="52" t="n"/>
      <c r="F154" s="52" t="n"/>
      <c r="G154" s="52" t="n"/>
      <c r="H154" s="52" t="n"/>
      <c r="I154" s="52" t="n"/>
      <c r="J154" s="52" t="n"/>
      <c r="K154" s="52" t="n"/>
      <c r="L154" s="51" t="n"/>
      <c r="M154" s="53">
        <f>IF(A154="","",IF(COUNTIF('AFA Rates'!$A$5:$A$1004,A154)&gt;0,"Yes","No"))</f>
        <v/>
      </c>
      <c r="N154" s="53">
        <f>IF(A154="","",COUNTIF('AFA Rates'!$A$5:$A$1004,A154))</f>
        <v/>
      </c>
      <c r="O154" s="54" t="n"/>
      <c r="P154" s="5" t="n"/>
      <c r="Q154" s="5" t="n"/>
      <c r="R154">
        <f>IF(AND(A154&lt;&gt;"",B154="Paused"),COUNTIFS($A$5:A154,"&lt;&gt;",$B$5:B154,"Paused"),"")</f>
        <v/>
      </c>
      <c r="S154">
        <f>IF(M154="Yes",COUNTIF($M$5:M154,"Yes"),"")</f>
        <v/>
      </c>
    </row>
    <row r="155">
      <c r="A155" s="5" t="n"/>
      <c r="B155" s="51" t="n"/>
      <c r="C155" s="5" t="n"/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1" t="n"/>
      <c r="M155" s="53">
        <f>IF(A155="","",IF(COUNTIF('AFA Rates'!$A$5:$A$1004,A155)&gt;0,"Yes","No"))</f>
        <v/>
      </c>
      <c r="N155" s="53">
        <f>IF(A155="","",COUNTIF('AFA Rates'!$A$5:$A$1004,A155))</f>
        <v/>
      </c>
      <c r="O155" s="54" t="n"/>
      <c r="P155" s="5" t="n"/>
      <c r="Q155" s="5" t="n"/>
      <c r="R155">
        <f>IF(AND(A155&lt;&gt;"",B155="Paused"),COUNTIFS($A$5:A155,"&lt;&gt;",$B$5:B155,"Paused"),"")</f>
        <v/>
      </c>
      <c r="S155">
        <f>IF(M155="Yes",COUNTIF($M$5:M155,"Yes"),"")</f>
        <v/>
      </c>
    </row>
    <row r="156">
      <c r="A156" s="5" t="n"/>
      <c r="B156" s="51" t="n"/>
      <c r="C156" s="5" t="n"/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1" t="n"/>
      <c r="M156" s="53">
        <f>IF(A156="","",IF(COUNTIF('AFA Rates'!$A$5:$A$1004,A156)&gt;0,"Yes","No"))</f>
        <v/>
      </c>
      <c r="N156" s="53">
        <f>IF(A156="","",COUNTIF('AFA Rates'!$A$5:$A$1004,A156))</f>
        <v/>
      </c>
      <c r="O156" s="54" t="n"/>
      <c r="P156" s="5" t="n"/>
      <c r="Q156" s="5" t="n"/>
      <c r="R156">
        <f>IF(AND(A156&lt;&gt;"",B156="Paused"),COUNTIFS($A$5:A156,"&lt;&gt;",$B$5:B156,"Paused"),"")</f>
        <v/>
      </c>
      <c r="S156">
        <f>IF(M156="Yes",COUNTIF($M$5:M156,"Yes"),"")</f>
        <v/>
      </c>
    </row>
    <row r="157">
      <c r="A157" s="5" t="n"/>
      <c r="B157" s="51" t="n"/>
      <c r="C157" s="5" t="n"/>
      <c r="D157" s="52" t="n"/>
      <c r="E157" s="52" t="n"/>
      <c r="F157" s="52" t="n"/>
      <c r="G157" s="52" t="n"/>
      <c r="H157" s="52" t="n"/>
      <c r="I157" s="52" t="n"/>
      <c r="J157" s="52" t="n"/>
      <c r="K157" s="52" t="n"/>
      <c r="L157" s="51" t="n"/>
      <c r="M157" s="53">
        <f>IF(A157="","",IF(COUNTIF('AFA Rates'!$A$5:$A$1004,A157)&gt;0,"Yes","No"))</f>
        <v/>
      </c>
      <c r="N157" s="53">
        <f>IF(A157="","",COUNTIF('AFA Rates'!$A$5:$A$1004,A157))</f>
        <v/>
      </c>
      <c r="O157" s="54" t="n"/>
      <c r="P157" s="5" t="n"/>
      <c r="Q157" s="5" t="n"/>
      <c r="R157">
        <f>IF(AND(A157&lt;&gt;"",B157="Paused"),COUNTIFS($A$5:A157,"&lt;&gt;",$B$5:B157,"Paused"),"")</f>
        <v/>
      </c>
      <c r="S157">
        <f>IF(M157="Yes",COUNTIF($M$5:M157,"Yes"),"")</f>
        <v/>
      </c>
    </row>
    <row r="158">
      <c r="A158" s="5" t="n"/>
      <c r="B158" s="51" t="n"/>
      <c r="C158" s="5" t="n"/>
      <c r="D158" s="52" t="n"/>
      <c r="E158" s="52" t="n"/>
      <c r="F158" s="52" t="n"/>
      <c r="G158" s="52" t="n"/>
      <c r="H158" s="52" t="n"/>
      <c r="I158" s="52" t="n"/>
      <c r="J158" s="52" t="n"/>
      <c r="K158" s="52" t="n"/>
      <c r="L158" s="51" t="n"/>
      <c r="M158" s="53">
        <f>IF(A158="","",IF(COUNTIF('AFA Rates'!$A$5:$A$1004,A158)&gt;0,"Yes","No"))</f>
        <v/>
      </c>
      <c r="N158" s="53">
        <f>IF(A158="","",COUNTIF('AFA Rates'!$A$5:$A$1004,A158))</f>
        <v/>
      </c>
      <c r="O158" s="54" t="n"/>
      <c r="P158" s="5" t="n"/>
      <c r="Q158" s="5" t="n"/>
      <c r="R158">
        <f>IF(AND(A158&lt;&gt;"",B158="Paused"),COUNTIFS($A$5:A158,"&lt;&gt;",$B$5:B158,"Paused"),"")</f>
        <v/>
      </c>
      <c r="S158">
        <f>IF(M158="Yes",COUNTIF($M$5:M158,"Yes"),"")</f>
        <v/>
      </c>
    </row>
    <row r="159">
      <c r="A159" s="5" t="n"/>
      <c r="B159" s="51" t="n"/>
      <c r="C159" s="5" t="n"/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1" t="n"/>
      <c r="M159" s="53">
        <f>IF(A159="","",IF(COUNTIF('AFA Rates'!$A$5:$A$1004,A159)&gt;0,"Yes","No"))</f>
        <v/>
      </c>
      <c r="N159" s="53">
        <f>IF(A159="","",COUNTIF('AFA Rates'!$A$5:$A$1004,A159))</f>
        <v/>
      </c>
      <c r="O159" s="54" t="n"/>
      <c r="P159" s="5" t="n"/>
      <c r="Q159" s="5" t="n"/>
      <c r="R159">
        <f>IF(AND(A159&lt;&gt;"",B159="Paused"),COUNTIFS($A$5:A159,"&lt;&gt;",$B$5:B159,"Paused"),"")</f>
        <v/>
      </c>
      <c r="S159">
        <f>IF(M159="Yes",COUNTIF($M$5:M159,"Yes"),"")</f>
        <v/>
      </c>
    </row>
    <row r="160">
      <c r="A160" s="5" t="n"/>
      <c r="B160" s="51" t="n"/>
      <c r="C160" s="5" t="n"/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1" t="n"/>
      <c r="M160" s="53">
        <f>IF(A160="","",IF(COUNTIF('AFA Rates'!$A$5:$A$1004,A160)&gt;0,"Yes","No"))</f>
        <v/>
      </c>
      <c r="N160" s="53">
        <f>IF(A160="","",COUNTIF('AFA Rates'!$A$5:$A$1004,A160))</f>
        <v/>
      </c>
      <c r="O160" s="54" t="n"/>
      <c r="P160" s="5" t="n"/>
      <c r="Q160" s="5" t="n"/>
      <c r="R160">
        <f>IF(AND(A160&lt;&gt;"",B160="Paused"),COUNTIFS($A$5:A160,"&lt;&gt;",$B$5:B160,"Paused"),"")</f>
        <v/>
      </c>
      <c r="S160">
        <f>IF(M160="Yes",COUNTIF($M$5:M160,"Yes"),"")</f>
        <v/>
      </c>
    </row>
    <row r="161">
      <c r="A161" s="5" t="n"/>
      <c r="B161" s="51" t="n"/>
      <c r="C161" s="5" t="n"/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1" t="n"/>
      <c r="M161" s="53">
        <f>IF(A161="","",IF(COUNTIF('AFA Rates'!$A$5:$A$1004,A161)&gt;0,"Yes","No"))</f>
        <v/>
      </c>
      <c r="N161" s="53">
        <f>IF(A161="","",COUNTIF('AFA Rates'!$A$5:$A$1004,A161))</f>
        <v/>
      </c>
      <c r="O161" s="54" t="n"/>
      <c r="P161" s="5" t="n"/>
      <c r="Q161" s="5" t="n"/>
      <c r="R161">
        <f>IF(AND(A161&lt;&gt;"",B161="Paused"),COUNTIFS($A$5:A161,"&lt;&gt;",$B$5:B161,"Paused"),"")</f>
        <v/>
      </c>
      <c r="S161">
        <f>IF(M161="Yes",COUNTIF($M$5:M161,"Yes"),"")</f>
        <v/>
      </c>
    </row>
    <row r="162">
      <c r="A162" s="5" t="n"/>
      <c r="B162" s="51" t="n"/>
      <c r="C162" s="5" t="n"/>
      <c r="D162" s="52" t="n"/>
      <c r="E162" s="52" t="n"/>
      <c r="F162" s="52" t="n"/>
      <c r="G162" s="52" t="n"/>
      <c r="H162" s="52" t="n"/>
      <c r="I162" s="52" t="n"/>
      <c r="J162" s="52" t="n"/>
      <c r="K162" s="52" t="n"/>
      <c r="L162" s="51" t="n"/>
      <c r="M162" s="53">
        <f>IF(A162="","",IF(COUNTIF('AFA Rates'!$A$5:$A$1004,A162)&gt;0,"Yes","No"))</f>
        <v/>
      </c>
      <c r="N162" s="53">
        <f>IF(A162="","",COUNTIF('AFA Rates'!$A$5:$A$1004,A162))</f>
        <v/>
      </c>
      <c r="O162" s="54" t="n"/>
      <c r="P162" s="5" t="n"/>
      <c r="Q162" s="5" t="n"/>
      <c r="R162">
        <f>IF(AND(A162&lt;&gt;"",B162="Paused"),COUNTIFS($A$5:A162,"&lt;&gt;",$B$5:B162,"Paused"),"")</f>
        <v/>
      </c>
      <c r="S162">
        <f>IF(M162="Yes",COUNTIF($M$5:M162,"Yes"),"")</f>
        <v/>
      </c>
    </row>
    <row r="163">
      <c r="A163" s="5" t="n"/>
      <c r="B163" s="51" t="n"/>
      <c r="C163" s="5" t="n"/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1" t="n"/>
      <c r="M163" s="53">
        <f>IF(A163="","",IF(COUNTIF('AFA Rates'!$A$5:$A$1004,A163)&gt;0,"Yes","No"))</f>
        <v/>
      </c>
      <c r="N163" s="53">
        <f>IF(A163="","",COUNTIF('AFA Rates'!$A$5:$A$1004,A163))</f>
        <v/>
      </c>
      <c r="O163" s="54" t="n"/>
      <c r="P163" s="5" t="n"/>
      <c r="Q163" s="5" t="n"/>
      <c r="R163">
        <f>IF(AND(A163&lt;&gt;"",B163="Paused"),COUNTIFS($A$5:A163,"&lt;&gt;",$B$5:B163,"Paused"),"")</f>
        <v/>
      </c>
      <c r="S163">
        <f>IF(M163="Yes",COUNTIF($M$5:M163,"Yes"),"")</f>
        <v/>
      </c>
    </row>
    <row r="164">
      <c r="A164" s="5" t="n"/>
      <c r="B164" s="51" t="n"/>
      <c r="C164" s="5" t="n"/>
      <c r="D164" s="52" t="n"/>
      <c r="E164" s="52" t="n"/>
      <c r="F164" s="52" t="n"/>
      <c r="G164" s="52" t="n"/>
      <c r="H164" s="52" t="n"/>
      <c r="I164" s="52" t="n"/>
      <c r="J164" s="52" t="n"/>
      <c r="K164" s="52" t="n"/>
      <c r="L164" s="51" t="n"/>
      <c r="M164" s="53">
        <f>IF(A164="","",IF(COUNTIF('AFA Rates'!$A$5:$A$1004,A164)&gt;0,"Yes","No"))</f>
        <v/>
      </c>
      <c r="N164" s="53">
        <f>IF(A164="","",COUNTIF('AFA Rates'!$A$5:$A$1004,A164))</f>
        <v/>
      </c>
      <c r="O164" s="54" t="n"/>
      <c r="P164" s="5" t="n"/>
      <c r="Q164" s="5" t="n"/>
      <c r="R164">
        <f>IF(AND(A164&lt;&gt;"",B164="Paused"),COUNTIFS($A$5:A164,"&lt;&gt;",$B$5:B164,"Paused"),"")</f>
        <v/>
      </c>
      <c r="S164">
        <f>IF(M164="Yes",COUNTIF($M$5:M164,"Yes"),"")</f>
        <v/>
      </c>
    </row>
    <row r="165">
      <c r="A165" s="5" t="n"/>
      <c r="B165" s="51" t="n"/>
      <c r="C165" s="5" t="n"/>
      <c r="D165" s="52" t="n"/>
      <c r="E165" s="52" t="n"/>
      <c r="F165" s="52" t="n"/>
      <c r="G165" s="52" t="n"/>
      <c r="H165" s="52" t="n"/>
      <c r="I165" s="52" t="n"/>
      <c r="J165" s="52" t="n"/>
      <c r="K165" s="52" t="n"/>
      <c r="L165" s="51" t="n"/>
      <c r="M165" s="53">
        <f>IF(A165="","",IF(COUNTIF('AFA Rates'!$A$5:$A$1004,A165)&gt;0,"Yes","No"))</f>
        <v/>
      </c>
      <c r="N165" s="53">
        <f>IF(A165="","",COUNTIF('AFA Rates'!$A$5:$A$1004,A165))</f>
        <v/>
      </c>
      <c r="O165" s="54" t="n"/>
      <c r="P165" s="5" t="n"/>
      <c r="Q165" s="5" t="n"/>
      <c r="R165">
        <f>IF(AND(A165&lt;&gt;"",B165="Paused"),COUNTIFS($A$5:A165,"&lt;&gt;",$B$5:B165,"Paused"),"")</f>
        <v/>
      </c>
      <c r="S165">
        <f>IF(M165="Yes",COUNTIF($M$5:M165,"Yes"),"")</f>
        <v/>
      </c>
    </row>
    <row r="166">
      <c r="A166" s="5" t="n"/>
      <c r="B166" s="51" t="n"/>
      <c r="C166" s="5" t="n"/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1" t="n"/>
      <c r="M166" s="53">
        <f>IF(A166="","",IF(COUNTIF('AFA Rates'!$A$5:$A$1004,A166)&gt;0,"Yes","No"))</f>
        <v/>
      </c>
      <c r="N166" s="53">
        <f>IF(A166="","",COUNTIF('AFA Rates'!$A$5:$A$1004,A166))</f>
        <v/>
      </c>
      <c r="O166" s="54" t="n"/>
      <c r="P166" s="5" t="n"/>
      <c r="Q166" s="5" t="n"/>
      <c r="R166">
        <f>IF(AND(A166&lt;&gt;"",B166="Paused"),COUNTIFS($A$5:A166,"&lt;&gt;",$B$5:B166,"Paused"),"")</f>
        <v/>
      </c>
      <c r="S166">
        <f>IF(M166="Yes",COUNTIF($M$5:M166,"Yes"),"")</f>
        <v/>
      </c>
    </row>
    <row r="167">
      <c r="A167" s="5" t="n"/>
      <c r="B167" s="51" t="n"/>
      <c r="C167" s="5" t="n"/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1" t="n"/>
      <c r="M167" s="53">
        <f>IF(A167="","",IF(COUNTIF('AFA Rates'!$A$5:$A$1004,A167)&gt;0,"Yes","No"))</f>
        <v/>
      </c>
      <c r="N167" s="53">
        <f>IF(A167="","",COUNTIF('AFA Rates'!$A$5:$A$1004,A167))</f>
        <v/>
      </c>
      <c r="O167" s="54" t="n"/>
      <c r="P167" s="5" t="n"/>
      <c r="Q167" s="5" t="n"/>
      <c r="R167">
        <f>IF(AND(A167&lt;&gt;"",B167="Paused"),COUNTIFS($A$5:A167,"&lt;&gt;",$B$5:B167,"Paused"),"")</f>
        <v/>
      </c>
      <c r="S167">
        <f>IF(M167="Yes",COUNTIF($M$5:M167,"Yes"),"")</f>
        <v/>
      </c>
    </row>
    <row r="168">
      <c r="A168" s="5" t="n"/>
      <c r="B168" s="51" t="n"/>
      <c r="C168" s="5" t="n"/>
      <c r="D168" s="52" t="n"/>
      <c r="E168" s="52" t="n"/>
      <c r="F168" s="52" t="n"/>
      <c r="G168" s="52" t="n"/>
      <c r="H168" s="52" t="n"/>
      <c r="I168" s="52" t="n"/>
      <c r="J168" s="52" t="n"/>
      <c r="K168" s="52" t="n"/>
      <c r="L168" s="51" t="n"/>
      <c r="M168" s="53">
        <f>IF(A168="","",IF(COUNTIF('AFA Rates'!$A$5:$A$1004,A168)&gt;0,"Yes","No"))</f>
        <v/>
      </c>
      <c r="N168" s="53">
        <f>IF(A168="","",COUNTIF('AFA Rates'!$A$5:$A$1004,A168))</f>
        <v/>
      </c>
      <c r="O168" s="54" t="n"/>
      <c r="P168" s="5" t="n"/>
      <c r="Q168" s="5" t="n"/>
      <c r="R168">
        <f>IF(AND(A168&lt;&gt;"",B168="Paused"),COUNTIFS($A$5:A168,"&lt;&gt;",$B$5:B168,"Paused"),"")</f>
        <v/>
      </c>
      <c r="S168">
        <f>IF(M168="Yes",COUNTIF($M$5:M168,"Yes"),"")</f>
        <v/>
      </c>
    </row>
    <row r="169">
      <c r="A169" s="5" t="n"/>
      <c r="B169" s="51" t="n"/>
      <c r="C169" s="5" t="n"/>
      <c r="D169" s="52" t="n"/>
      <c r="E169" s="52" t="n"/>
      <c r="F169" s="52" t="n"/>
      <c r="G169" s="52" t="n"/>
      <c r="H169" s="52" t="n"/>
      <c r="I169" s="52" t="n"/>
      <c r="J169" s="52" t="n"/>
      <c r="K169" s="52" t="n"/>
      <c r="L169" s="51" t="n"/>
      <c r="M169" s="53">
        <f>IF(A169="","",IF(COUNTIF('AFA Rates'!$A$5:$A$1004,A169)&gt;0,"Yes","No"))</f>
        <v/>
      </c>
      <c r="N169" s="53">
        <f>IF(A169="","",COUNTIF('AFA Rates'!$A$5:$A$1004,A169))</f>
        <v/>
      </c>
      <c r="O169" s="54" t="n"/>
      <c r="P169" s="5" t="n"/>
      <c r="Q169" s="5" t="n"/>
      <c r="R169">
        <f>IF(AND(A169&lt;&gt;"",B169="Paused"),COUNTIFS($A$5:A169,"&lt;&gt;",$B$5:B169,"Paused"),"")</f>
        <v/>
      </c>
      <c r="S169">
        <f>IF(M169="Yes",COUNTIF($M$5:M169,"Yes"),"")</f>
        <v/>
      </c>
    </row>
    <row r="170">
      <c r="A170" s="5" t="n"/>
      <c r="B170" s="51" t="n"/>
      <c r="C170" s="5" t="n"/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1" t="n"/>
      <c r="M170" s="53">
        <f>IF(A170="","",IF(COUNTIF('AFA Rates'!$A$5:$A$1004,A170)&gt;0,"Yes","No"))</f>
        <v/>
      </c>
      <c r="N170" s="53">
        <f>IF(A170="","",COUNTIF('AFA Rates'!$A$5:$A$1004,A170))</f>
        <v/>
      </c>
      <c r="O170" s="54" t="n"/>
      <c r="P170" s="5" t="n"/>
      <c r="Q170" s="5" t="n"/>
      <c r="R170">
        <f>IF(AND(A170&lt;&gt;"",B170="Paused"),COUNTIFS($A$5:A170,"&lt;&gt;",$B$5:B170,"Paused"),"")</f>
        <v/>
      </c>
      <c r="S170">
        <f>IF(M170="Yes",COUNTIF($M$5:M170,"Yes"),"")</f>
        <v/>
      </c>
    </row>
    <row r="171">
      <c r="A171" s="5" t="n"/>
      <c r="B171" s="51" t="n"/>
      <c r="C171" s="5" t="n"/>
      <c r="D171" s="52" t="n"/>
      <c r="E171" s="52" t="n"/>
      <c r="F171" s="52" t="n"/>
      <c r="G171" s="52" t="n"/>
      <c r="H171" s="52" t="n"/>
      <c r="I171" s="52" t="n"/>
      <c r="J171" s="52" t="n"/>
      <c r="K171" s="52" t="n"/>
      <c r="L171" s="51" t="n"/>
      <c r="M171" s="53">
        <f>IF(A171="","",IF(COUNTIF('AFA Rates'!$A$5:$A$1004,A171)&gt;0,"Yes","No"))</f>
        <v/>
      </c>
      <c r="N171" s="53">
        <f>IF(A171="","",COUNTIF('AFA Rates'!$A$5:$A$1004,A171))</f>
        <v/>
      </c>
      <c r="O171" s="54" t="n"/>
      <c r="P171" s="5" t="n"/>
      <c r="Q171" s="5" t="n"/>
      <c r="R171">
        <f>IF(AND(A171&lt;&gt;"",B171="Paused"),COUNTIFS($A$5:A171,"&lt;&gt;",$B$5:B171,"Paused"),"")</f>
        <v/>
      </c>
      <c r="S171">
        <f>IF(M171="Yes",COUNTIF($M$5:M171,"Yes"),"")</f>
        <v/>
      </c>
    </row>
    <row r="172">
      <c r="A172" s="5" t="n"/>
      <c r="B172" s="51" t="n"/>
      <c r="C172" s="5" t="n"/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1" t="n"/>
      <c r="M172" s="53">
        <f>IF(A172="","",IF(COUNTIF('AFA Rates'!$A$5:$A$1004,A172)&gt;0,"Yes","No"))</f>
        <v/>
      </c>
      <c r="N172" s="53">
        <f>IF(A172="","",COUNTIF('AFA Rates'!$A$5:$A$1004,A172))</f>
        <v/>
      </c>
      <c r="O172" s="54" t="n"/>
      <c r="P172" s="5" t="n"/>
      <c r="Q172" s="5" t="n"/>
      <c r="R172">
        <f>IF(AND(A172&lt;&gt;"",B172="Paused"),COUNTIFS($A$5:A172,"&lt;&gt;",$B$5:B172,"Paused"),"")</f>
        <v/>
      </c>
      <c r="S172">
        <f>IF(M172="Yes",COUNTIF($M$5:M172,"Yes"),"")</f>
        <v/>
      </c>
    </row>
    <row r="173">
      <c r="A173" s="5" t="n"/>
      <c r="B173" s="51" t="n"/>
      <c r="C173" s="5" t="n"/>
      <c r="D173" s="52" t="n"/>
      <c r="E173" s="52" t="n"/>
      <c r="F173" s="52" t="n"/>
      <c r="G173" s="52" t="n"/>
      <c r="H173" s="52" t="n"/>
      <c r="I173" s="52" t="n"/>
      <c r="J173" s="52" t="n"/>
      <c r="K173" s="52" t="n"/>
      <c r="L173" s="51" t="n"/>
      <c r="M173" s="53">
        <f>IF(A173="","",IF(COUNTIF('AFA Rates'!$A$5:$A$1004,A173)&gt;0,"Yes","No"))</f>
        <v/>
      </c>
      <c r="N173" s="53">
        <f>IF(A173="","",COUNTIF('AFA Rates'!$A$5:$A$1004,A173))</f>
        <v/>
      </c>
      <c r="O173" s="54" t="n"/>
      <c r="P173" s="5" t="n"/>
      <c r="Q173" s="5" t="n"/>
      <c r="R173">
        <f>IF(AND(A173&lt;&gt;"",B173="Paused"),COUNTIFS($A$5:A173,"&lt;&gt;",$B$5:B173,"Paused"),"")</f>
        <v/>
      </c>
      <c r="S173">
        <f>IF(M173="Yes",COUNTIF($M$5:M173,"Yes"),"")</f>
        <v/>
      </c>
    </row>
    <row r="174">
      <c r="A174" s="5" t="n"/>
      <c r="B174" s="51" t="n"/>
      <c r="C174" s="5" t="n"/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1" t="n"/>
      <c r="M174" s="53">
        <f>IF(A174="","",IF(COUNTIF('AFA Rates'!$A$5:$A$1004,A174)&gt;0,"Yes","No"))</f>
        <v/>
      </c>
      <c r="N174" s="53">
        <f>IF(A174="","",COUNTIF('AFA Rates'!$A$5:$A$1004,A174))</f>
        <v/>
      </c>
      <c r="O174" s="54" t="n"/>
      <c r="P174" s="5" t="n"/>
      <c r="Q174" s="5" t="n"/>
      <c r="R174">
        <f>IF(AND(A174&lt;&gt;"",B174="Paused"),COUNTIFS($A$5:A174,"&lt;&gt;",$B$5:B174,"Paused"),"")</f>
        <v/>
      </c>
      <c r="S174">
        <f>IF(M174="Yes",COUNTIF($M$5:M174,"Yes"),"")</f>
        <v/>
      </c>
    </row>
    <row r="175">
      <c r="A175" s="5" t="n"/>
      <c r="B175" s="51" t="n"/>
      <c r="C175" s="5" t="n"/>
      <c r="D175" s="52" t="n"/>
      <c r="E175" s="52" t="n"/>
      <c r="F175" s="52" t="n"/>
      <c r="G175" s="52" t="n"/>
      <c r="H175" s="52" t="n"/>
      <c r="I175" s="52" t="n"/>
      <c r="J175" s="52" t="n"/>
      <c r="K175" s="52" t="n"/>
      <c r="L175" s="51" t="n"/>
      <c r="M175" s="53">
        <f>IF(A175="","",IF(COUNTIF('AFA Rates'!$A$5:$A$1004,A175)&gt;0,"Yes","No"))</f>
        <v/>
      </c>
      <c r="N175" s="53">
        <f>IF(A175="","",COUNTIF('AFA Rates'!$A$5:$A$1004,A175))</f>
        <v/>
      </c>
      <c r="O175" s="54" t="n"/>
      <c r="P175" s="5" t="n"/>
      <c r="Q175" s="5" t="n"/>
      <c r="R175">
        <f>IF(AND(A175&lt;&gt;"",B175="Paused"),COUNTIFS($A$5:A175,"&lt;&gt;",$B$5:B175,"Paused"),"")</f>
        <v/>
      </c>
      <c r="S175">
        <f>IF(M175="Yes",COUNTIF($M$5:M175,"Yes"),"")</f>
        <v/>
      </c>
    </row>
    <row r="176">
      <c r="A176" s="5" t="n"/>
      <c r="B176" s="51" t="n"/>
      <c r="C176" s="5" t="n"/>
      <c r="D176" s="52" t="n"/>
      <c r="E176" s="52" t="n"/>
      <c r="F176" s="52" t="n"/>
      <c r="G176" s="52" t="n"/>
      <c r="H176" s="52" t="n"/>
      <c r="I176" s="52" t="n"/>
      <c r="J176" s="52" t="n"/>
      <c r="K176" s="52" t="n"/>
      <c r="L176" s="51" t="n"/>
      <c r="M176" s="53">
        <f>IF(A176="","",IF(COUNTIF('AFA Rates'!$A$5:$A$1004,A176)&gt;0,"Yes","No"))</f>
        <v/>
      </c>
      <c r="N176" s="53">
        <f>IF(A176="","",COUNTIF('AFA Rates'!$A$5:$A$1004,A176))</f>
        <v/>
      </c>
      <c r="O176" s="54" t="n"/>
      <c r="P176" s="5" t="n"/>
      <c r="Q176" s="5" t="n"/>
      <c r="R176">
        <f>IF(AND(A176&lt;&gt;"",B176="Paused"),COUNTIFS($A$5:A176,"&lt;&gt;",$B$5:B176,"Paused"),"")</f>
        <v/>
      </c>
      <c r="S176">
        <f>IF(M176="Yes",COUNTIF($M$5:M176,"Yes"),"")</f>
        <v/>
      </c>
    </row>
    <row r="177">
      <c r="A177" s="5" t="n"/>
      <c r="B177" s="51" t="n"/>
      <c r="C177" s="5" t="n"/>
      <c r="D177" s="52" t="n"/>
      <c r="E177" s="52" t="n"/>
      <c r="F177" s="52" t="n"/>
      <c r="G177" s="52" t="n"/>
      <c r="H177" s="52" t="n"/>
      <c r="I177" s="52" t="n"/>
      <c r="J177" s="52" t="n"/>
      <c r="K177" s="52" t="n"/>
      <c r="L177" s="51" t="n"/>
      <c r="M177" s="53">
        <f>IF(A177="","",IF(COUNTIF('AFA Rates'!$A$5:$A$1004,A177)&gt;0,"Yes","No"))</f>
        <v/>
      </c>
      <c r="N177" s="53">
        <f>IF(A177="","",COUNTIF('AFA Rates'!$A$5:$A$1004,A177))</f>
        <v/>
      </c>
      <c r="O177" s="54" t="n"/>
      <c r="P177" s="5" t="n"/>
      <c r="Q177" s="5" t="n"/>
      <c r="R177">
        <f>IF(AND(A177&lt;&gt;"",B177="Paused"),COUNTIFS($A$5:A177,"&lt;&gt;",$B$5:B177,"Paused"),"")</f>
        <v/>
      </c>
      <c r="S177">
        <f>IF(M177="Yes",COUNTIF($M$5:M177,"Yes"),"")</f>
        <v/>
      </c>
    </row>
    <row r="178">
      <c r="A178" s="5" t="n"/>
      <c r="B178" s="51" t="n"/>
      <c r="C178" s="5" t="n"/>
      <c r="D178" s="52" t="n"/>
      <c r="E178" s="52" t="n"/>
      <c r="F178" s="52" t="n"/>
      <c r="G178" s="52" t="n"/>
      <c r="H178" s="52" t="n"/>
      <c r="I178" s="52" t="n"/>
      <c r="J178" s="52" t="n"/>
      <c r="K178" s="52" t="n"/>
      <c r="L178" s="51" t="n"/>
      <c r="M178" s="53">
        <f>IF(A178="","",IF(COUNTIF('AFA Rates'!$A$5:$A$1004,A178)&gt;0,"Yes","No"))</f>
        <v/>
      </c>
      <c r="N178" s="53">
        <f>IF(A178="","",COUNTIF('AFA Rates'!$A$5:$A$1004,A178))</f>
        <v/>
      </c>
      <c r="O178" s="54" t="n"/>
      <c r="P178" s="5" t="n"/>
      <c r="Q178" s="5" t="n"/>
      <c r="R178">
        <f>IF(AND(A178&lt;&gt;"",B178="Paused"),COUNTIFS($A$5:A178,"&lt;&gt;",$B$5:B178,"Paused"),"")</f>
        <v/>
      </c>
      <c r="S178">
        <f>IF(M178="Yes",COUNTIF($M$5:M178,"Yes"),"")</f>
        <v/>
      </c>
    </row>
    <row r="179">
      <c r="A179" s="5" t="n"/>
      <c r="B179" s="51" t="n"/>
      <c r="C179" s="5" t="n"/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1" t="n"/>
      <c r="M179" s="53">
        <f>IF(A179="","",IF(COUNTIF('AFA Rates'!$A$5:$A$1004,A179)&gt;0,"Yes","No"))</f>
        <v/>
      </c>
      <c r="N179" s="53">
        <f>IF(A179="","",COUNTIF('AFA Rates'!$A$5:$A$1004,A179))</f>
        <v/>
      </c>
      <c r="O179" s="54" t="n"/>
      <c r="P179" s="5" t="n"/>
      <c r="Q179" s="5" t="n"/>
      <c r="R179">
        <f>IF(AND(A179&lt;&gt;"",B179="Paused"),COUNTIFS($A$5:A179,"&lt;&gt;",$B$5:B179,"Paused"),"")</f>
        <v/>
      </c>
      <c r="S179">
        <f>IF(M179="Yes",COUNTIF($M$5:M179,"Yes"),"")</f>
        <v/>
      </c>
    </row>
    <row r="180">
      <c r="A180" s="5" t="n"/>
      <c r="B180" s="51" t="n"/>
      <c r="C180" s="5" t="n"/>
      <c r="D180" s="52" t="n"/>
      <c r="E180" s="52" t="n"/>
      <c r="F180" s="52" t="n"/>
      <c r="G180" s="52" t="n"/>
      <c r="H180" s="52" t="n"/>
      <c r="I180" s="52" t="n"/>
      <c r="J180" s="52" t="n"/>
      <c r="K180" s="52" t="n"/>
      <c r="L180" s="51" t="n"/>
      <c r="M180" s="53">
        <f>IF(A180="","",IF(COUNTIF('AFA Rates'!$A$5:$A$1004,A180)&gt;0,"Yes","No"))</f>
        <v/>
      </c>
      <c r="N180" s="53">
        <f>IF(A180="","",COUNTIF('AFA Rates'!$A$5:$A$1004,A180))</f>
        <v/>
      </c>
      <c r="O180" s="54" t="n"/>
      <c r="P180" s="5" t="n"/>
      <c r="Q180" s="5" t="n"/>
      <c r="R180">
        <f>IF(AND(A180&lt;&gt;"",B180="Paused"),COUNTIFS($A$5:A180,"&lt;&gt;",$B$5:B180,"Paused"),"")</f>
        <v/>
      </c>
      <c r="S180">
        <f>IF(M180="Yes",COUNTIF($M$5:M180,"Yes"),"")</f>
        <v/>
      </c>
    </row>
    <row r="181">
      <c r="A181" s="5" t="n"/>
      <c r="B181" s="51" t="n"/>
      <c r="C181" s="5" t="n"/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1" t="n"/>
      <c r="M181" s="53">
        <f>IF(A181="","",IF(COUNTIF('AFA Rates'!$A$5:$A$1004,A181)&gt;0,"Yes","No"))</f>
        <v/>
      </c>
      <c r="N181" s="53">
        <f>IF(A181="","",COUNTIF('AFA Rates'!$A$5:$A$1004,A181))</f>
        <v/>
      </c>
      <c r="O181" s="54" t="n"/>
      <c r="P181" s="5" t="n"/>
      <c r="Q181" s="5" t="n"/>
      <c r="R181">
        <f>IF(AND(A181&lt;&gt;"",B181="Paused"),COUNTIFS($A$5:A181,"&lt;&gt;",$B$5:B181,"Paused"),"")</f>
        <v/>
      </c>
      <c r="S181">
        <f>IF(M181="Yes",COUNTIF($M$5:M181,"Yes"),"")</f>
        <v/>
      </c>
    </row>
    <row r="182">
      <c r="A182" s="5" t="n"/>
      <c r="B182" s="51" t="n"/>
      <c r="C182" s="5" t="n"/>
      <c r="D182" s="52" t="n"/>
      <c r="E182" s="52" t="n"/>
      <c r="F182" s="52" t="n"/>
      <c r="G182" s="52" t="n"/>
      <c r="H182" s="52" t="n"/>
      <c r="I182" s="52" t="n"/>
      <c r="J182" s="52" t="n"/>
      <c r="K182" s="52" t="n"/>
      <c r="L182" s="51" t="n"/>
      <c r="M182" s="53">
        <f>IF(A182="","",IF(COUNTIF('AFA Rates'!$A$5:$A$1004,A182)&gt;0,"Yes","No"))</f>
        <v/>
      </c>
      <c r="N182" s="53">
        <f>IF(A182="","",COUNTIF('AFA Rates'!$A$5:$A$1004,A182))</f>
        <v/>
      </c>
      <c r="O182" s="54" t="n"/>
      <c r="P182" s="5" t="n"/>
      <c r="Q182" s="5" t="n"/>
      <c r="R182">
        <f>IF(AND(A182&lt;&gt;"",B182="Paused"),COUNTIFS($A$5:A182,"&lt;&gt;",$B$5:B182,"Paused"),"")</f>
        <v/>
      </c>
      <c r="S182">
        <f>IF(M182="Yes",COUNTIF($M$5:M182,"Yes"),"")</f>
        <v/>
      </c>
    </row>
    <row r="183">
      <c r="A183" s="5" t="n"/>
      <c r="B183" s="51" t="n"/>
      <c r="C183" s="5" t="n"/>
      <c r="D183" s="52" t="n"/>
      <c r="E183" s="52" t="n"/>
      <c r="F183" s="52" t="n"/>
      <c r="G183" s="52" t="n"/>
      <c r="H183" s="52" t="n"/>
      <c r="I183" s="52" t="n"/>
      <c r="J183" s="52" t="n"/>
      <c r="K183" s="52" t="n"/>
      <c r="L183" s="51" t="n"/>
      <c r="M183" s="53">
        <f>IF(A183="","",IF(COUNTIF('AFA Rates'!$A$5:$A$1004,A183)&gt;0,"Yes","No"))</f>
        <v/>
      </c>
      <c r="N183" s="53">
        <f>IF(A183="","",COUNTIF('AFA Rates'!$A$5:$A$1004,A183))</f>
        <v/>
      </c>
      <c r="O183" s="54" t="n"/>
      <c r="P183" s="5" t="n"/>
      <c r="Q183" s="5" t="n"/>
      <c r="R183">
        <f>IF(AND(A183&lt;&gt;"",B183="Paused"),COUNTIFS($A$5:A183,"&lt;&gt;",$B$5:B183,"Paused"),"")</f>
        <v/>
      </c>
      <c r="S183">
        <f>IF(M183="Yes",COUNTIF($M$5:M183,"Yes"),"")</f>
        <v/>
      </c>
    </row>
    <row r="184">
      <c r="A184" s="5" t="n"/>
      <c r="B184" s="51" t="n"/>
      <c r="C184" s="5" t="n"/>
      <c r="D184" s="52" t="n"/>
      <c r="E184" s="52" t="n"/>
      <c r="F184" s="52" t="n"/>
      <c r="G184" s="52" t="n"/>
      <c r="H184" s="52" t="n"/>
      <c r="I184" s="52" t="n"/>
      <c r="J184" s="52" t="n"/>
      <c r="K184" s="52" t="n"/>
      <c r="L184" s="51" t="n"/>
      <c r="M184" s="53">
        <f>IF(A184="","",IF(COUNTIF('AFA Rates'!$A$5:$A$1004,A184)&gt;0,"Yes","No"))</f>
        <v/>
      </c>
      <c r="N184" s="53">
        <f>IF(A184="","",COUNTIF('AFA Rates'!$A$5:$A$1004,A184))</f>
        <v/>
      </c>
      <c r="O184" s="54" t="n"/>
      <c r="P184" s="5" t="n"/>
      <c r="Q184" s="5" t="n"/>
      <c r="R184">
        <f>IF(AND(A184&lt;&gt;"",B184="Paused"),COUNTIFS($A$5:A184,"&lt;&gt;",$B$5:B184,"Paused"),"")</f>
        <v/>
      </c>
      <c r="S184">
        <f>IF(M184="Yes",COUNTIF($M$5:M184,"Yes"),"")</f>
        <v/>
      </c>
    </row>
    <row r="185">
      <c r="A185" s="5" t="n"/>
      <c r="B185" s="51" t="n"/>
      <c r="C185" s="5" t="n"/>
      <c r="D185" s="52" t="n"/>
      <c r="E185" s="52" t="n"/>
      <c r="F185" s="52" t="n"/>
      <c r="G185" s="52" t="n"/>
      <c r="H185" s="52" t="n"/>
      <c r="I185" s="52" t="n"/>
      <c r="J185" s="52" t="n"/>
      <c r="K185" s="52" t="n"/>
      <c r="L185" s="51" t="n"/>
      <c r="M185" s="53">
        <f>IF(A185="","",IF(COUNTIF('AFA Rates'!$A$5:$A$1004,A185)&gt;0,"Yes","No"))</f>
        <v/>
      </c>
      <c r="N185" s="53">
        <f>IF(A185="","",COUNTIF('AFA Rates'!$A$5:$A$1004,A185))</f>
        <v/>
      </c>
      <c r="O185" s="54" t="n"/>
      <c r="P185" s="5" t="n"/>
      <c r="Q185" s="5" t="n"/>
      <c r="R185">
        <f>IF(AND(A185&lt;&gt;"",B185="Paused"),COUNTIFS($A$5:A185,"&lt;&gt;",$B$5:B185,"Paused"),"")</f>
        <v/>
      </c>
      <c r="S185">
        <f>IF(M185="Yes",COUNTIF($M$5:M185,"Yes"),"")</f>
        <v/>
      </c>
    </row>
    <row r="186">
      <c r="A186" s="5" t="n"/>
      <c r="B186" s="51" t="n"/>
      <c r="C186" s="5" t="n"/>
      <c r="D186" s="52" t="n"/>
      <c r="E186" s="52" t="n"/>
      <c r="F186" s="52" t="n"/>
      <c r="G186" s="52" t="n"/>
      <c r="H186" s="52" t="n"/>
      <c r="I186" s="52" t="n"/>
      <c r="J186" s="52" t="n"/>
      <c r="K186" s="52" t="n"/>
      <c r="L186" s="51" t="n"/>
      <c r="M186" s="53">
        <f>IF(A186="","",IF(COUNTIF('AFA Rates'!$A$5:$A$1004,A186)&gt;0,"Yes","No"))</f>
        <v/>
      </c>
      <c r="N186" s="53">
        <f>IF(A186="","",COUNTIF('AFA Rates'!$A$5:$A$1004,A186))</f>
        <v/>
      </c>
      <c r="O186" s="54" t="n"/>
      <c r="P186" s="5" t="n"/>
      <c r="Q186" s="5" t="n"/>
      <c r="R186">
        <f>IF(AND(A186&lt;&gt;"",B186="Paused"),COUNTIFS($A$5:A186,"&lt;&gt;",$B$5:B186,"Paused"),"")</f>
        <v/>
      </c>
      <c r="S186">
        <f>IF(M186="Yes",COUNTIF($M$5:M186,"Yes"),"")</f>
        <v/>
      </c>
    </row>
    <row r="187">
      <c r="A187" s="5" t="n"/>
      <c r="B187" s="51" t="n"/>
      <c r="C187" s="5" t="n"/>
      <c r="D187" s="52" t="n"/>
      <c r="E187" s="52" t="n"/>
      <c r="F187" s="52" t="n"/>
      <c r="G187" s="52" t="n"/>
      <c r="H187" s="52" t="n"/>
      <c r="I187" s="52" t="n"/>
      <c r="J187" s="52" t="n"/>
      <c r="K187" s="52" t="n"/>
      <c r="L187" s="51" t="n"/>
      <c r="M187" s="53">
        <f>IF(A187="","",IF(COUNTIF('AFA Rates'!$A$5:$A$1004,A187)&gt;0,"Yes","No"))</f>
        <v/>
      </c>
      <c r="N187" s="53">
        <f>IF(A187="","",COUNTIF('AFA Rates'!$A$5:$A$1004,A187))</f>
        <v/>
      </c>
      <c r="O187" s="54" t="n"/>
      <c r="P187" s="5" t="n"/>
      <c r="Q187" s="5" t="n"/>
      <c r="R187">
        <f>IF(AND(A187&lt;&gt;"",B187="Paused"),COUNTIFS($A$5:A187,"&lt;&gt;",$B$5:B187,"Paused"),"")</f>
        <v/>
      </c>
      <c r="S187">
        <f>IF(M187="Yes",COUNTIF($M$5:M187,"Yes"),"")</f>
        <v/>
      </c>
    </row>
    <row r="188">
      <c r="A188" s="5" t="n"/>
      <c r="B188" s="51" t="n"/>
      <c r="C188" s="5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1" t="n"/>
      <c r="M188" s="53">
        <f>IF(A188="","",IF(COUNTIF('AFA Rates'!$A$5:$A$1004,A188)&gt;0,"Yes","No"))</f>
        <v/>
      </c>
      <c r="N188" s="53">
        <f>IF(A188="","",COUNTIF('AFA Rates'!$A$5:$A$1004,A188))</f>
        <v/>
      </c>
      <c r="O188" s="54" t="n"/>
      <c r="P188" s="5" t="n"/>
      <c r="Q188" s="5" t="n"/>
      <c r="R188">
        <f>IF(AND(A188&lt;&gt;"",B188="Paused"),COUNTIFS($A$5:A188,"&lt;&gt;",$B$5:B188,"Paused"),"")</f>
        <v/>
      </c>
      <c r="S188">
        <f>IF(M188="Yes",COUNTIF($M$5:M188,"Yes"),"")</f>
        <v/>
      </c>
    </row>
    <row r="189">
      <c r="A189" s="5" t="n"/>
      <c r="B189" s="51" t="n"/>
      <c r="C189" s="5" t="n"/>
      <c r="D189" s="52" t="n"/>
      <c r="E189" s="52" t="n"/>
      <c r="F189" s="52" t="n"/>
      <c r="G189" s="52" t="n"/>
      <c r="H189" s="52" t="n"/>
      <c r="I189" s="52" t="n"/>
      <c r="J189" s="52" t="n"/>
      <c r="K189" s="52" t="n"/>
      <c r="L189" s="51" t="n"/>
      <c r="M189" s="53">
        <f>IF(A189="","",IF(COUNTIF('AFA Rates'!$A$5:$A$1004,A189)&gt;0,"Yes","No"))</f>
        <v/>
      </c>
      <c r="N189" s="53">
        <f>IF(A189="","",COUNTIF('AFA Rates'!$A$5:$A$1004,A189))</f>
        <v/>
      </c>
      <c r="O189" s="54" t="n"/>
      <c r="P189" s="5" t="n"/>
      <c r="Q189" s="5" t="n"/>
      <c r="R189">
        <f>IF(AND(A189&lt;&gt;"",B189="Paused"),COUNTIFS($A$5:A189,"&lt;&gt;",$B$5:B189,"Paused"),"")</f>
        <v/>
      </c>
      <c r="S189">
        <f>IF(M189="Yes",COUNTIF($M$5:M189,"Yes"),"")</f>
        <v/>
      </c>
    </row>
    <row r="190">
      <c r="A190" s="5" t="n"/>
      <c r="B190" s="51" t="n"/>
      <c r="C190" s="5" t="n"/>
      <c r="D190" s="52" t="n"/>
      <c r="E190" s="52" t="n"/>
      <c r="F190" s="52" t="n"/>
      <c r="G190" s="52" t="n"/>
      <c r="H190" s="52" t="n"/>
      <c r="I190" s="52" t="n"/>
      <c r="J190" s="52" t="n"/>
      <c r="K190" s="52" t="n"/>
      <c r="L190" s="51" t="n"/>
      <c r="M190" s="53">
        <f>IF(A190="","",IF(COUNTIF('AFA Rates'!$A$5:$A$1004,A190)&gt;0,"Yes","No"))</f>
        <v/>
      </c>
      <c r="N190" s="53">
        <f>IF(A190="","",COUNTIF('AFA Rates'!$A$5:$A$1004,A190))</f>
        <v/>
      </c>
      <c r="O190" s="54" t="n"/>
      <c r="P190" s="5" t="n"/>
      <c r="Q190" s="5" t="n"/>
      <c r="R190">
        <f>IF(AND(A190&lt;&gt;"",B190="Paused"),COUNTIFS($A$5:A190,"&lt;&gt;",$B$5:B190,"Paused"),"")</f>
        <v/>
      </c>
      <c r="S190">
        <f>IF(M190="Yes",COUNTIF($M$5:M190,"Yes"),"")</f>
        <v/>
      </c>
    </row>
    <row r="191">
      <c r="A191" s="5" t="n"/>
      <c r="B191" s="51" t="n"/>
      <c r="C191" s="5" t="n"/>
      <c r="D191" s="52" t="n"/>
      <c r="E191" s="52" t="n"/>
      <c r="F191" s="52" t="n"/>
      <c r="G191" s="52" t="n"/>
      <c r="H191" s="52" t="n"/>
      <c r="I191" s="52" t="n"/>
      <c r="J191" s="52" t="n"/>
      <c r="K191" s="52" t="n"/>
      <c r="L191" s="51" t="n"/>
      <c r="M191" s="53">
        <f>IF(A191="","",IF(COUNTIF('AFA Rates'!$A$5:$A$1004,A191)&gt;0,"Yes","No"))</f>
        <v/>
      </c>
      <c r="N191" s="53">
        <f>IF(A191="","",COUNTIF('AFA Rates'!$A$5:$A$1004,A191))</f>
        <v/>
      </c>
      <c r="O191" s="54" t="n"/>
      <c r="P191" s="5" t="n"/>
      <c r="Q191" s="5" t="n"/>
      <c r="R191">
        <f>IF(AND(A191&lt;&gt;"",B191="Paused"),COUNTIFS($A$5:A191,"&lt;&gt;",$B$5:B191,"Paused"),"")</f>
        <v/>
      </c>
      <c r="S191">
        <f>IF(M191="Yes",COUNTIF($M$5:M191,"Yes"),"")</f>
        <v/>
      </c>
    </row>
    <row r="192">
      <c r="A192" s="5" t="n"/>
      <c r="B192" s="51" t="n"/>
      <c r="C192" s="5" t="n"/>
      <c r="D192" s="52" t="n"/>
      <c r="E192" s="52" t="n"/>
      <c r="F192" s="52" t="n"/>
      <c r="G192" s="52" t="n"/>
      <c r="H192" s="52" t="n"/>
      <c r="I192" s="52" t="n"/>
      <c r="J192" s="52" t="n"/>
      <c r="K192" s="52" t="n"/>
      <c r="L192" s="51" t="n"/>
      <c r="M192" s="53">
        <f>IF(A192="","",IF(COUNTIF('AFA Rates'!$A$5:$A$1004,A192)&gt;0,"Yes","No"))</f>
        <v/>
      </c>
      <c r="N192" s="53">
        <f>IF(A192="","",COUNTIF('AFA Rates'!$A$5:$A$1004,A192))</f>
        <v/>
      </c>
      <c r="O192" s="54" t="n"/>
      <c r="P192" s="5" t="n"/>
      <c r="Q192" s="5" t="n"/>
      <c r="R192">
        <f>IF(AND(A192&lt;&gt;"",B192="Paused"),COUNTIFS($A$5:A192,"&lt;&gt;",$B$5:B192,"Paused"),"")</f>
        <v/>
      </c>
      <c r="S192">
        <f>IF(M192="Yes",COUNTIF($M$5:M192,"Yes"),"")</f>
        <v/>
      </c>
    </row>
    <row r="193">
      <c r="A193" s="5" t="n"/>
      <c r="B193" s="51" t="n"/>
      <c r="C193" s="5" t="n"/>
      <c r="D193" s="52" t="n"/>
      <c r="E193" s="52" t="n"/>
      <c r="F193" s="52" t="n"/>
      <c r="G193" s="52" t="n"/>
      <c r="H193" s="52" t="n"/>
      <c r="I193" s="52" t="n"/>
      <c r="J193" s="52" t="n"/>
      <c r="K193" s="52" t="n"/>
      <c r="L193" s="51" t="n"/>
      <c r="M193" s="53">
        <f>IF(A193="","",IF(COUNTIF('AFA Rates'!$A$5:$A$1004,A193)&gt;0,"Yes","No"))</f>
        <v/>
      </c>
      <c r="N193" s="53">
        <f>IF(A193="","",COUNTIF('AFA Rates'!$A$5:$A$1004,A193))</f>
        <v/>
      </c>
      <c r="O193" s="54" t="n"/>
      <c r="P193" s="5" t="n"/>
      <c r="Q193" s="5" t="n"/>
      <c r="R193">
        <f>IF(AND(A193&lt;&gt;"",B193="Paused"),COUNTIFS($A$5:A193,"&lt;&gt;",$B$5:B193,"Paused"),"")</f>
        <v/>
      </c>
      <c r="S193">
        <f>IF(M193="Yes",COUNTIF($M$5:M193,"Yes"),"")</f>
        <v/>
      </c>
    </row>
    <row r="194">
      <c r="A194" s="5" t="n"/>
      <c r="B194" s="51" t="n"/>
      <c r="C194" s="5" t="n"/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1" t="n"/>
      <c r="M194" s="53">
        <f>IF(A194="","",IF(COUNTIF('AFA Rates'!$A$5:$A$1004,A194)&gt;0,"Yes","No"))</f>
        <v/>
      </c>
      <c r="N194" s="53">
        <f>IF(A194="","",COUNTIF('AFA Rates'!$A$5:$A$1004,A194))</f>
        <v/>
      </c>
      <c r="O194" s="54" t="n"/>
      <c r="P194" s="5" t="n"/>
      <c r="Q194" s="5" t="n"/>
      <c r="R194">
        <f>IF(AND(A194&lt;&gt;"",B194="Paused"),COUNTIFS($A$5:A194,"&lt;&gt;",$B$5:B194,"Paused"),"")</f>
        <v/>
      </c>
      <c r="S194">
        <f>IF(M194="Yes",COUNTIF($M$5:M194,"Yes"),"")</f>
        <v/>
      </c>
    </row>
    <row r="195">
      <c r="A195" s="5" t="n"/>
      <c r="B195" s="51" t="n"/>
      <c r="C195" s="5" t="n"/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1" t="n"/>
      <c r="M195" s="53">
        <f>IF(A195="","",IF(COUNTIF('AFA Rates'!$A$5:$A$1004,A195)&gt;0,"Yes","No"))</f>
        <v/>
      </c>
      <c r="N195" s="53">
        <f>IF(A195="","",COUNTIF('AFA Rates'!$A$5:$A$1004,A195))</f>
        <v/>
      </c>
      <c r="O195" s="54" t="n"/>
      <c r="P195" s="5" t="n"/>
      <c r="Q195" s="5" t="n"/>
      <c r="R195">
        <f>IF(AND(A195&lt;&gt;"",B195="Paused"),COUNTIFS($A$5:A195,"&lt;&gt;",$B$5:B195,"Paused"),"")</f>
        <v/>
      </c>
      <c r="S195">
        <f>IF(M195="Yes",COUNTIF($M$5:M195,"Yes"),"")</f>
        <v/>
      </c>
    </row>
    <row r="196">
      <c r="A196" s="5" t="n"/>
      <c r="B196" s="51" t="n"/>
      <c r="C196" s="5" t="n"/>
      <c r="D196" s="52" t="n"/>
      <c r="E196" s="52" t="n"/>
      <c r="F196" s="52" t="n"/>
      <c r="G196" s="52" t="n"/>
      <c r="H196" s="52" t="n"/>
      <c r="I196" s="52" t="n"/>
      <c r="J196" s="52" t="n"/>
      <c r="K196" s="52" t="n"/>
      <c r="L196" s="51" t="n"/>
      <c r="M196" s="53">
        <f>IF(A196="","",IF(COUNTIF('AFA Rates'!$A$5:$A$1004,A196)&gt;0,"Yes","No"))</f>
        <v/>
      </c>
      <c r="N196" s="53">
        <f>IF(A196="","",COUNTIF('AFA Rates'!$A$5:$A$1004,A196))</f>
        <v/>
      </c>
      <c r="O196" s="54" t="n"/>
      <c r="P196" s="5" t="n"/>
      <c r="Q196" s="5" t="n"/>
      <c r="R196">
        <f>IF(AND(A196&lt;&gt;"",B196="Paused"),COUNTIFS($A$5:A196,"&lt;&gt;",$B$5:B196,"Paused"),"")</f>
        <v/>
      </c>
      <c r="S196">
        <f>IF(M196="Yes",COUNTIF($M$5:M196,"Yes"),"")</f>
        <v/>
      </c>
    </row>
    <row r="197">
      <c r="A197" s="5" t="n"/>
      <c r="B197" s="51" t="n"/>
      <c r="C197" s="5" t="n"/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1" t="n"/>
      <c r="M197" s="53">
        <f>IF(A197="","",IF(COUNTIF('AFA Rates'!$A$5:$A$1004,A197)&gt;0,"Yes","No"))</f>
        <v/>
      </c>
      <c r="N197" s="53">
        <f>IF(A197="","",COUNTIF('AFA Rates'!$A$5:$A$1004,A197))</f>
        <v/>
      </c>
      <c r="O197" s="54" t="n"/>
      <c r="P197" s="5" t="n"/>
      <c r="Q197" s="5" t="n"/>
      <c r="R197">
        <f>IF(AND(A197&lt;&gt;"",B197="Paused"),COUNTIFS($A$5:A197,"&lt;&gt;",$B$5:B197,"Paused"),"")</f>
        <v/>
      </c>
      <c r="S197">
        <f>IF(M197="Yes",COUNTIF($M$5:M197,"Yes"),"")</f>
        <v/>
      </c>
    </row>
    <row r="198">
      <c r="A198" s="5" t="n"/>
      <c r="B198" s="51" t="n"/>
      <c r="C198" s="5" t="n"/>
      <c r="D198" s="52" t="n"/>
      <c r="E198" s="52" t="n"/>
      <c r="F198" s="52" t="n"/>
      <c r="G198" s="52" t="n"/>
      <c r="H198" s="52" t="n"/>
      <c r="I198" s="52" t="n"/>
      <c r="J198" s="52" t="n"/>
      <c r="K198" s="52" t="n"/>
      <c r="L198" s="51" t="n"/>
      <c r="M198" s="53">
        <f>IF(A198="","",IF(COUNTIF('AFA Rates'!$A$5:$A$1004,A198)&gt;0,"Yes","No"))</f>
        <v/>
      </c>
      <c r="N198" s="53">
        <f>IF(A198="","",COUNTIF('AFA Rates'!$A$5:$A$1004,A198))</f>
        <v/>
      </c>
      <c r="O198" s="54" t="n"/>
      <c r="P198" s="5" t="n"/>
      <c r="Q198" s="5" t="n"/>
      <c r="R198">
        <f>IF(AND(A198&lt;&gt;"",B198="Paused"),COUNTIFS($A$5:A198,"&lt;&gt;",$B$5:B198,"Paused"),"")</f>
        <v/>
      </c>
      <c r="S198">
        <f>IF(M198="Yes",COUNTIF($M$5:M198,"Yes"),"")</f>
        <v/>
      </c>
    </row>
    <row r="199">
      <c r="A199" s="5" t="n"/>
      <c r="B199" s="51" t="n"/>
      <c r="C199" s="5" t="n"/>
      <c r="D199" s="52" t="n"/>
      <c r="E199" s="52" t="n"/>
      <c r="F199" s="52" t="n"/>
      <c r="G199" s="52" t="n"/>
      <c r="H199" s="52" t="n"/>
      <c r="I199" s="52" t="n"/>
      <c r="J199" s="52" t="n"/>
      <c r="K199" s="52" t="n"/>
      <c r="L199" s="51" t="n"/>
      <c r="M199" s="53">
        <f>IF(A199="","",IF(COUNTIF('AFA Rates'!$A$5:$A$1004,A199)&gt;0,"Yes","No"))</f>
        <v/>
      </c>
      <c r="N199" s="53">
        <f>IF(A199="","",COUNTIF('AFA Rates'!$A$5:$A$1004,A199))</f>
        <v/>
      </c>
      <c r="O199" s="54" t="n"/>
      <c r="P199" s="5" t="n"/>
      <c r="Q199" s="5" t="n"/>
      <c r="R199">
        <f>IF(AND(A199&lt;&gt;"",B199="Paused"),COUNTIFS($A$5:A199,"&lt;&gt;",$B$5:B199,"Paused"),"")</f>
        <v/>
      </c>
      <c r="S199">
        <f>IF(M199="Yes",COUNTIF($M$5:M199,"Yes"),"")</f>
        <v/>
      </c>
    </row>
    <row r="200">
      <c r="A200" s="5" t="n"/>
      <c r="B200" s="51" t="n"/>
      <c r="C200" s="5" t="n"/>
      <c r="D200" s="52" t="n"/>
      <c r="E200" s="52" t="n"/>
      <c r="F200" s="52" t="n"/>
      <c r="G200" s="52" t="n"/>
      <c r="H200" s="52" t="n"/>
      <c r="I200" s="52" t="n"/>
      <c r="J200" s="52" t="n"/>
      <c r="K200" s="52" t="n"/>
      <c r="L200" s="51" t="n"/>
      <c r="M200" s="53">
        <f>IF(A200="","",IF(COUNTIF('AFA Rates'!$A$5:$A$1004,A200)&gt;0,"Yes","No"))</f>
        <v/>
      </c>
      <c r="N200" s="53">
        <f>IF(A200="","",COUNTIF('AFA Rates'!$A$5:$A$1004,A200))</f>
        <v/>
      </c>
      <c r="O200" s="54" t="n"/>
      <c r="P200" s="5" t="n"/>
      <c r="Q200" s="5" t="n"/>
      <c r="R200">
        <f>IF(AND(A200&lt;&gt;"",B200="Paused"),COUNTIFS($A$5:A200,"&lt;&gt;",$B$5:B200,"Paused"),"")</f>
        <v/>
      </c>
      <c r="S200">
        <f>IF(M200="Yes",COUNTIF($M$5:M200,"Yes"),"")</f>
        <v/>
      </c>
    </row>
    <row r="201">
      <c r="A201" s="5" t="n"/>
      <c r="B201" s="51" t="n"/>
      <c r="C201" s="5" t="n"/>
      <c r="D201" s="52" t="n"/>
      <c r="E201" s="52" t="n"/>
      <c r="F201" s="52" t="n"/>
      <c r="G201" s="52" t="n"/>
      <c r="H201" s="52" t="n"/>
      <c r="I201" s="52" t="n"/>
      <c r="J201" s="52" t="n"/>
      <c r="K201" s="52" t="n"/>
      <c r="L201" s="51" t="n"/>
      <c r="M201" s="53">
        <f>IF(A201="","",IF(COUNTIF('AFA Rates'!$A$5:$A$1004,A201)&gt;0,"Yes","No"))</f>
        <v/>
      </c>
      <c r="N201" s="53">
        <f>IF(A201="","",COUNTIF('AFA Rates'!$A$5:$A$1004,A201))</f>
        <v/>
      </c>
      <c r="O201" s="54" t="n"/>
      <c r="P201" s="5" t="n"/>
      <c r="Q201" s="5" t="n"/>
      <c r="R201">
        <f>IF(AND(A201&lt;&gt;"",B201="Paused"),COUNTIFS($A$5:A201,"&lt;&gt;",$B$5:B201,"Paused"),"")</f>
        <v/>
      </c>
      <c r="S201">
        <f>IF(M201="Yes",COUNTIF($M$5:M201,"Yes"),"")</f>
        <v/>
      </c>
    </row>
    <row r="202">
      <c r="A202" s="5" t="n"/>
      <c r="B202" s="51" t="n"/>
      <c r="C202" s="5" t="n"/>
      <c r="D202" s="52" t="n"/>
      <c r="E202" s="52" t="n"/>
      <c r="F202" s="52" t="n"/>
      <c r="G202" s="52" t="n"/>
      <c r="H202" s="52" t="n"/>
      <c r="I202" s="52" t="n"/>
      <c r="J202" s="52" t="n"/>
      <c r="K202" s="52" t="n"/>
      <c r="L202" s="51" t="n"/>
      <c r="M202" s="53">
        <f>IF(A202="","",IF(COUNTIF('AFA Rates'!$A$5:$A$1004,A202)&gt;0,"Yes","No"))</f>
        <v/>
      </c>
      <c r="N202" s="53">
        <f>IF(A202="","",COUNTIF('AFA Rates'!$A$5:$A$1004,A202))</f>
        <v/>
      </c>
      <c r="O202" s="54" t="n"/>
      <c r="P202" s="5" t="n"/>
      <c r="Q202" s="5" t="n"/>
      <c r="R202">
        <f>IF(AND(A202&lt;&gt;"",B202="Paused"),COUNTIFS($A$5:A202,"&lt;&gt;",$B$5:B202,"Paused"),"")</f>
        <v/>
      </c>
      <c r="S202">
        <f>IF(M202="Yes",COUNTIF($M$5:M202,"Yes"),"")</f>
        <v/>
      </c>
    </row>
    <row r="203">
      <c r="A203" s="5" t="n"/>
      <c r="B203" s="51" t="n"/>
      <c r="C203" s="5" t="n"/>
      <c r="D203" s="52" t="n"/>
      <c r="E203" s="52" t="n"/>
      <c r="F203" s="52" t="n"/>
      <c r="G203" s="52" t="n"/>
      <c r="H203" s="52" t="n"/>
      <c r="I203" s="52" t="n"/>
      <c r="J203" s="52" t="n"/>
      <c r="K203" s="52" t="n"/>
      <c r="L203" s="51" t="n"/>
      <c r="M203" s="53">
        <f>IF(A203="","",IF(COUNTIF('AFA Rates'!$A$5:$A$1004,A203)&gt;0,"Yes","No"))</f>
        <v/>
      </c>
      <c r="N203" s="53">
        <f>IF(A203="","",COUNTIF('AFA Rates'!$A$5:$A$1004,A203))</f>
        <v/>
      </c>
      <c r="O203" s="54" t="n"/>
      <c r="P203" s="5" t="n"/>
      <c r="Q203" s="5" t="n"/>
      <c r="R203">
        <f>IF(AND(A203&lt;&gt;"",B203="Paused"),COUNTIFS($A$5:A203,"&lt;&gt;",$B$5:B203,"Paused"),"")</f>
        <v/>
      </c>
      <c r="S203">
        <f>IF(M203="Yes",COUNTIF($M$5:M203,"Yes"),"")</f>
        <v/>
      </c>
    </row>
    <row r="204">
      <c r="A204" s="5" t="n"/>
      <c r="B204" s="51" t="n"/>
      <c r="C204" s="5" t="n"/>
      <c r="D204" s="52" t="n"/>
      <c r="E204" s="52" t="n"/>
      <c r="F204" s="52" t="n"/>
      <c r="G204" s="52" t="n"/>
      <c r="H204" s="52" t="n"/>
      <c r="I204" s="52" t="n"/>
      <c r="J204" s="52" t="n"/>
      <c r="K204" s="52" t="n"/>
      <c r="L204" s="51" t="n"/>
      <c r="M204" s="53">
        <f>IF(A204="","",IF(COUNTIF('AFA Rates'!$A$5:$A$1004,A204)&gt;0,"Yes","No"))</f>
        <v/>
      </c>
      <c r="N204" s="53">
        <f>IF(A204="","",COUNTIF('AFA Rates'!$A$5:$A$1004,A204))</f>
        <v/>
      </c>
      <c r="O204" s="54" t="n"/>
      <c r="P204" s="5" t="n"/>
      <c r="Q204" s="5" t="n"/>
      <c r="R204">
        <f>IF(AND(A204&lt;&gt;"",B204="Paused"),COUNTIFS($A$5:A204,"&lt;&gt;",$B$5:B204,"Paused"),"")</f>
        <v/>
      </c>
      <c r="S204">
        <f>IF(M204="Yes",COUNTIF($M$5:M204,"Yes"),"")</f>
        <v/>
      </c>
    </row>
    <row r="205">
      <c r="A205" s="5" t="n"/>
      <c r="B205" s="51" t="n"/>
      <c r="C205" s="5" t="n"/>
      <c r="D205" s="52" t="n"/>
      <c r="E205" s="52" t="n"/>
      <c r="F205" s="52" t="n"/>
      <c r="G205" s="52" t="n"/>
      <c r="H205" s="52" t="n"/>
      <c r="I205" s="52" t="n"/>
      <c r="J205" s="52" t="n"/>
      <c r="K205" s="52" t="n"/>
      <c r="L205" s="51" t="n"/>
      <c r="M205" s="53">
        <f>IF(A205="","",IF(COUNTIF('AFA Rates'!$A$5:$A$1004,A205)&gt;0,"Yes","No"))</f>
        <v/>
      </c>
      <c r="N205" s="53">
        <f>IF(A205="","",COUNTIF('AFA Rates'!$A$5:$A$1004,A205))</f>
        <v/>
      </c>
      <c r="O205" s="54" t="n"/>
      <c r="P205" s="5" t="n"/>
      <c r="Q205" s="5" t="n"/>
      <c r="R205">
        <f>IF(AND(A205&lt;&gt;"",B205="Paused"),COUNTIFS($A$5:A205,"&lt;&gt;",$B$5:B205,"Paused"),"")</f>
        <v/>
      </c>
      <c r="S205">
        <f>IF(M205="Yes",COUNTIF($M$5:M205,"Yes"),"")</f>
        <v/>
      </c>
    </row>
    <row r="206">
      <c r="A206" s="5" t="n"/>
      <c r="B206" s="51" t="n"/>
      <c r="C206" s="5" t="n"/>
      <c r="D206" s="52" t="n"/>
      <c r="E206" s="52" t="n"/>
      <c r="F206" s="52" t="n"/>
      <c r="G206" s="52" t="n"/>
      <c r="H206" s="52" t="n"/>
      <c r="I206" s="52" t="n"/>
      <c r="J206" s="52" t="n"/>
      <c r="K206" s="52" t="n"/>
      <c r="L206" s="51" t="n"/>
      <c r="M206" s="53">
        <f>IF(A206="","",IF(COUNTIF('AFA Rates'!$A$5:$A$1004,A206)&gt;0,"Yes","No"))</f>
        <v/>
      </c>
      <c r="N206" s="53">
        <f>IF(A206="","",COUNTIF('AFA Rates'!$A$5:$A$1004,A206))</f>
        <v/>
      </c>
      <c r="O206" s="54" t="n"/>
      <c r="P206" s="5" t="n"/>
      <c r="Q206" s="5" t="n"/>
      <c r="R206">
        <f>IF(AND(A206&lt;&gt;"",B206="Paused"),COUNTIFS($A$5:A206,"&lt;&gt;",$B$5:B206,"Paused"),"")</f>
        <v/>
      </c>
      <c r="S206">
        <f>IF(M206="Yes",COUNTIF($M$5:M206,"Yes"),"")</f>
        <v/>
      </c>
    </row>
    <row r="207">
      <c r="A207" s="5" t="n"/>
      <c r="B207" s="51" t="n"/>
      <c r="C207" s="5" t="n"/>
      <c r="D207" s="52" t="n"/>
      <c r="E207" s="52" t="n"/>
      <c r="F207" s="52" t="n"/>
      <c r="G207" s="52" t="n"/>
      <c r="H207" s="52" t="n"/>
      <c r="I207" s="52" t="n"/>
      <c r="J207" s="52" t="n"/>
      <c r="K207" s="52" t="n"/>
      <c r="L207" s="51" t="n"/>
      <c r="M207" s="53">
        <f>IF(A207="","",IF(COUNTIF('AFA Rates'!$A$5:$A$1004,A207)&gt;0,"Yes","No"))</f>
        <v/>
      </c>
      <c r="N207" s="53">
        <f>IF(A207="","",COUNTIF('AFA Rates'!$A$5:$A$1004,A207))</f>
        <v/>
      </c>
      <c r="O207" s="54" t="n"/>
      <c r="P207" s="5" t="n"/>
      <c r="Q207" s="5" t="n"/>
      <c r="R207">
        <f>IF(AND(A207&lt;&gt;"",B207="Paused"),COUNTIFS($A$5:A207,"&lt;&gt;",$B$5:B207,"Paused"),"")</f>
        <v/>
      </c>
      <c r="S207">
        <f>IF(M207="Yes",COUNTIF($M$5:M207,"Yes"),"")</f>
        <v/>
      </c>
    </row>
    <row r="208">
      <c r="A208" s="5" t="n"/>
      <c r="B208" s="51" t="n"/>
      <c r="C208" s="5" t="n"/>
      <c r="D208" s="52" t="n"/>
      <c r="E208" s="52" t="n"/>
      <c r="F208" s="52" t="n"/>
      <c r="G208" s="52" t="n"/>
      <c r="H208" s="52" t="n"/>
      <c r="I208" s="52" t="n"/>
      <c r="J208" s="52" t="n"/>
      <c r="K208" s="52" t="n"/>
      <c r="L208" s="51" t="n"/>
      <c r="M208" s="53">
        <f>IF(A208="","",IF(COUNTIF('AFA Rates'!$A$5:$A$1004,A208)&gt;0,"Yes","No"))</f>
        <v/>
      </c>
      <c r="N208" s="53">
        <f>IF(A208="","",COUNTIF('AFA Rates'!$A$5:$A$1004,A208))</f>
        <v/>
      </c>
      <c r="O208" s="54" t="n"/>
      <c r="P208" s="5" t="n"/>
      <c r="Q208" s="5" t="n"/>
      <c r="R208">
        <f>IF(AND(A208&lt;&gt;"",B208="Paused"),COUNTIFS($A$5:A208,"&lt;&gt;",$B$5:B208,"Paused"),"")</f>
        <v/>
      </c>
      <c r="S208">
        <f>IF(M208="Yes",COUNTIF($M$5:M208,"Yes"),"")</f>
        <v/>
      </c>
    </row>
    <row r="209">
      <c r="A209" s="5" t="n"/>
      <c r="B209" s="51" t="n"/>
      <c r="C209" s="5" t="n"/>
      <c r="D209" s="52" t="n"/>
      <c r="E209" s="52" t="n"/>
      <c r="F209" s="52" t="n"/>
      <c r="G209" s="52" t="n"/>
      <c r="H209" s="52" t="n"/>
      <c r="I209" s="52" t="n"/>
      <c r="J209" s="52" t="n"/>
      <c r="K209" s="52" t="n"/>
      <c r="L209" s="51" t="n"/>
      <c r="M209" s="53">
        <f>IF(A209="","",IF(COUNTIF('AFA Rates'!$A$5:$A$1004,A209)&gt;0,"Yes","No"))</f>
        <v/>
      </c>
      <c r="N209" s="53">
        <f>IF(A209="","",COUNTIF('AFA Rates'!$A$5:$A$1004,A209))</f>
        <v/>
      </c>
      <c r="O209" s="54" t="n"/>
      <c r="P209" s="5" t="n"/>
      <c r="Q209" s="5" t="n"/>
      <c r="R209">
        <f>IF(AND(A209&lt;&gt;"",B209="Paused"),COUNTIFS($A$5:A209,"&lt;&gt;",$B$5:B209,"Paused"),"")</f>
        <v/>
      </c>
      <c r="S209">
        <f>IF(M209="Yes",COUNTIF($M$5:M209,"Yes"),"")</f>
        <v/>
      </c>
    </row>
    <row r="210">
      <c r="A210" s="5" t="n"/>
      <c r="B210" s="51" t="n"/>
      <c r="C210" s="5" t="n"/>
      <c r="D210" s="52" t="n"/>
      <c r="E210" s="52" t="n"/>
      <c r="F210" s="52" t="n"/>
      <c r="G210" s="52" t="n"/>
      <c r="H210" s="52" t="n"/>
      <c r="I210" s="52" t="n"/>
      <c r="J210" s="52" t="n"/>
      <c r="K210" s="52" t="n"/>
      <c r="L210" s="51" t="n"/>
      <c r="M210" s="53">
        <f>IF(A210="","",IF(COUNTIF('AFA Rates'!$A$5:$A$1004,A210)&gt;0,"Yes","No"))</f>
        <v/>
      </c>
      <c r="N210" s="53">
        <f>IF(A210="","",COUNTIF('AFA Rates'!$A$5:$A$1004,A210))</f>
        <v/>
      </c>
      <c r="O210" s="54" t="n"/>
      <c r="P210" s="5" t="n"/>
      <c r="Q210" s="5" t="n"/>
      <c r="R210">
        <f>IF(AND(A210&lt;&gt;"",B210="Paused"),COUNTIFS($A$5:A210,"&lt;&gt;",$B$5:B210,"Paused"),"")</f>
        <v/>
      </c>
      <c r="S210">
        <f>IF(M210="Yes",COUNTIF($M$5:M210,"Yes"),"")</f>
        <v/>
      </c>
    </row>
    <row r="211">
      <c r="A211" s="5" t="n"/>
      <c r="B211" s="51" t="n"/>
      <c r="C211" s="5" t="n"/>
      <c r="D211" s="52" t="n"/>
      <c r="E211" s="52" t="n"/>
      <c r="F211" s="52" t="n"/>
      <c r="G211" s="52" t="n"/>
      <c r="H211" s="52" t="n"/>
      <c r="I211" s="52" t="n"/>
      <c r="J211" s="52" t="n"/>
      <c r="K211" s="52" t="n"/>
      <c r="L211" s="51" t="n"/>
      <c r="M211" s="53">
        <f>IF(A211="","",IF(COUNTIF('AFA Rates'!$A$5:$A$1004,A211)&gt;0,"Yes","No"))</f>
        <v/>
      </c>
      <c r="N211" s="53">
        <f>IF(A211="","",COUNTIF('AFA Rates'!$A$5:$A$1004,A211))</f>
        <v/>
      </c>
      <c r="O211" s="54" t="n"/>
      <c r="P211" s="5" t="n"/>
      <c r="Q211" s="5" t="n"/>
      <c r="R211">
        <f>IF(AND(A211&lt;&gt;"",B211="Paused"),COUNTIFS($A$5:A211,"&lt;&gt;",$B$5:B211,"Paused"),"")</f>
        <v/>
      </c>
      <c r="S211">
        <f>IF(M211="Yes",COUNTIF($M$5:M211,"Yes"),"")</f>
        <v/>
      </c>
    </row>
    <row r="212">
      <c r="A212" s="5" t="n"/>
      <c r="B212" s="51" t="n"/>
      <c r="C212" s="5" t="n"/>
      <c r="D212" s="52" t="n"/>
      <c r="E212" s="52" t="n"/>
      <c r="F212" s="52" t="n"/>
      <c r="G212" s="52" t="n"/>
      <c r="H212" s="52" t="n"/>
      <c r="I212" s="52" t="n"/>
      <c r="J212" s="52" t="n"/>
      <c r="K212" s="52" t="n"/>
      <c r="L212" s="51" t="n"/>
      <c r="M212" s="53">
        <f>IF(A212="","",IF(COUNTIF('AFA Rates'!$A$5:$A$1004,A212)&gt;0,"Yes","No"))</f>
        <v/>
      </c>
      <c r="N212" s="53">
        <f>IF(A212="","",COUNTIF('AFA Rates'!$A$5:$A$1004,A212))</f>
        <v/>
      </c>
      <c r="O212" s="54" t="n"/>
      <c r="P212" s="5" t="n"/>
      <c r="Q212" s="5" t="n"/>
      <c r="R212">
        <f>IF(AND(A212&lt;&gt;"",B212="Paused"),COUNTIFS($A$5:A212,"&lt;&gt;",$B$5:B212,"Paused"),"")</f>
        <v/>
      </c>
      <c r="S212">
        <f>IF(M212="Yes",COUNTIF($M$5:M212,"Yes"),"")</f>
        <v/>
      </c>
    </row>
    <row r="213">
      <c r="A213" s="5" t="n"/>
      <c r="B213" s="51" t="n"/>
      <c r="C213" s="5" t="n"/>
      <c r="D213" s="52" t="n"/>
      <c r="E213" s="52" t="n"/>
      <c r="F213" s="52" t="n"/>
      <c r="G213" s="52" t="n"/>
      <c r="H213" s="52" t="n"/>
      <c r="I213" s="52" t="n"/>
      <c r="J213" s="52" t="n"/>
      <c r="K213" s="52" t="n"/>
      <c r="L213" s="51" t="n"/>
      <c r="M213" s="53">
        <f>IF(A213="","",IF(COUNTIF('AFA Rates'!$A$5:$A$1004,A213)&gt;0,"Yes","No"))</f>
        <v/>
      </c>
      <c r="N213" s="53">
        <f>IF(A213="","",COUNTIF('AFA Rates'!$A$5:$A$1004,A213))</f>
        <v/>
      </c>
      <c r="O213" s="54" t="n"/>
      <c r="P213" s="5" t="n"/>
      <c r="Q213" s="5" t="n"/>
      <c r="R213">
        <f>IF(AND(A213&lt;&gt;"",B213="Paused"),COUNTIFS($A$5:A213,"&lt;&gt;",$B$5:B213,"Paused"),"")</f>
        <v/>
      </c>
      <c r="S213">
        <f>IF(M213="Yes",COUNTIF($M$5:M213,"Yes"),"")</f>
        <v/>
      </c>
    </row>
    <row r="214">
      <c r="A214" s="5" t="n"/>
      <c r="B214" s="51" t="n"/>
      <c r="C214" s="5" t="n"/>
      <c r="D214" s="52" t="n"/>
      <c r="E214" s="52" t="n"/>
      <c r="F214" s="52" t="n"/>
      <c r="G214" s="52" t="n"/>
      <c r="H214" s="52" t="n"/>
      <c r="I214" s="52" t="n"/>
      <c r="J214" s="52" t="n"/>
      <c r="K214" s="52" t="n"/>
      <c r="L214" s="51" t="n"/>
      <c r="M214" s="53">
        <f>IF(A214="","",IF(COUNTIF('AFA Rates'!$A$5:$A$1004,A214)&gt;0,"Yes","No"))</f>
        <v/>
      </c>
      <c r="N214" s="53">
        <f>IF(A214="","",COUNTIF('AFA Rates'!$A$5:$A$1004,A214))</f>
        <v/>
      </c>
      <c r="O214" s="54" t="n"/>
      <c r="P214" s="5" t="n"/>
      <c r="Q214" s="5" t="n"/>
      <c r="R214">
        <f>IF(AND(A214&lt;&gt;"",B214="Paused"),COUNTIFS($A$5:A214,"&lt;&gt;",$B$5:B214,"Paused"),"")</f>
        <v/>
      </c>
      <c r="S214">
        <f>IF(M214="Yes",COUNTIF($M$5:M214,"Yes"),"")</f>
        <v/>
      </c>
    </row>
    <row r="215">
      <c r="A215" s="5" t="n"/>
      <c r="B215" s="51" t="n"/>
      <c r="C215" s="5" t="n"/>
      <c r="D215" s="52" t="n"/>
      <c r="E215" s="52" t="n"/>
      <c r="F215" s="52" t="n"/>
      <c r="G215" s="52" t="n"/>
      <c r="H215" s="52" t="n"/>
      <c r="I215" s="52" t="n"/>
      <c r="J215" s="52" t="n"/>
      <c r="K215" s="52" t="n"/>
      <c r="L215" s="51" t="n"/>
      <c r="M215" s="53">
        <f>IF(A215="","",IF(COUNTIF('AFA Rates'!$A$5:$A$1004,A215)&gt;0,"Yes","No"))</f>
        <v/>
      </c>
      <c r="N215" s="53">
        <f>IF(A215="","",COUNTIF('AFA Rates'!$A$5:$A$1004,A215))</f>
        <v/>
      </c>
      <c r="O215" s="54" t="n"/>
      <c r="P215" s="5" t="n"/>
      <c r="Q215" s="5" t="n"/>
      <c r="R215">
        <f>IF(AND(A215&lt;&gt;"",B215="Paused"),COUNTIFS($A$5:A215,"&lt;&gt;",$B$5:B215,"Paused"),"")</f>
        <v/>
      </c>
      <c r="S215">
        <f>IF(M215="Yes",COUNTIF($M$5:M215,"Yes"),"")</f>
        <v/>
      </c>
    </row>
    <row r="216">
      <c r="A216" s="5" t="n"/>
      <c r="B216" s="51" t="n"/>
      <c r="C216" s="5" t="n"/>
      <c r="D216" s="52" t="n"/>
      <c r="E216" s="52" t="n"/>
      <c r="F216" s="52" t="n"/>
      <c r="G216" s="52" t="n"/>
      <c r="H216" s="52" t="n"/>
      <c r="I216" s="52" t="n"/>
      <c r="J216" s="52" t="n"/>
      <c r="K216" s="52" t="n"/>
      <c r="L216" s="51" t="n"/>
      <c r="M216" s="53">
        <f>IF(A216="","",IF(COUNTIF('AFA Rates'!$A$5:$A$1004,A216)&gt;0,"Yes","No"))</f>
        <v/>
      </c>
      <c r="N216" s="53">
        <f>IF(A216="","",COUNTIF('AFA Rates'!$A$5:$A$1004,A216))</f>
        <v/>
      </c>
      <c r="O216" s="54" t="n"/>
      <c r="P216" s="5" t="n"/>
      <c r="Q216" s="5" t="n"/>
      <c r="R216">
        <f>IF(AND(A216&lt;&gt;"",B216="Paused"),COUNTIFS($A$5:A216,"&lt;&gt;",$B$5:B216,"Paused"),"")</f>
        <v/>
      </c>
      <c r="S216">
        <f>IF(M216="Yes",COUNTIF($M$5:M216,"Yes"),"")</f>
        <v/>
      </c>
    </row>
    <row r="217">
      <c r="A217" s="5" t="n"/>
      <c r="B217" s="51" t="n"/>
      <c r="C217" s="5" t="n"/>
      <c r="D217" s="52" t="n"/>
      <c r="E217" s="52" t="n"/>
      <c r="F217" s="52" t="n"/>
      <c r="G217" s="52" t="n"/>
      <c r="H217" s="52" t="n"/>
      <c r="I217" s="52" t="n"/>
      <c r="J217" s="52" t="n"/>
      <c r="K217" s="52" t="n"/>
      <c r="L217" s="51" t="n"/>
      <c r="M217" s="53">
        <f>IF(A217="","",IF(COUNTIF('AFA Rates'!$A$5:$A$1004,A217)&gt;0,"Yes","No"))</f>
        <v/>
      </c>
      <c r="N217" s="53">
        <f>IF(A217="","",COUNTIF('AFA Rates'!$A$5:$A$1004,A217))</f>
        <v/>
      </c>
      <c r="O217" s="54" t="n"/>
      <c r="P217" s="5" t="n"/>
      <c r="Q217" s="5" t="n"/>
      <c r="R217">
        <f>IF(AND(A217&lt;&gt;"",B217="Paused"),COUNTIFS($A$5:A217,"&lt;&gt;",$B$5:B217,"Paused"),"")</f>
        <v/>
      </c>
      <c r="S217">
        <f>IF(M217="Yes",COUNTIF($M$5:M217,"Yes"),"")</f>
        <v/>
      </c>
    </row>
    <row r="218">
      <c r="A218" s="5" t="n"/>
      <c r="B218" s="51" t="n"/>
      <c r="C218" s="5" t="n"/>
      <c r="D218" s="52" t="n"/>
      <c r="E218" s="52" t="n"/>
      <c r="F218" s="52" t="n"/>
      <c r="G218" s="52" t="n"/>
      <c r="H218" s="52" t="n"/>
      <c r="I218" s="52" t="n"/>
      <c r="J218" s="52" t="n"/>
      <c r="K218" s="52" t="n"/>
      <c r="L218" s="51" t="n"/>
      <c r="M218" s="53">
        <f>IF(A218="","",IF(COUNTIF('AFA Rates'!$A$5:$A$1004,A218)&gt;0,"Yes","No"))</f>
        <v/>
      </c>
      <c r="N218" s="53">
        <f>IF(A218="","",COUNTIF('AFA Rates'!$A$5:$A$1004,A218))</f>
        <v/>
      </c>
      <c r="O218" s="54" t="n"/>
      <c r="P218" s="5" t="n"/>
      <c r="Q218" s="5" t="n"/>
      <c r="R218">
        <f>IF(AND(A218&lt;&gt;"",B218="Paused"),COUNTIFS($A$5:A218,"&lt;&gt;",$B$5:B218,"Paused"),"")</f>
        <v/>
      </c>
      <c r="S218">
        <f>IF(M218="Yes",COUNTIF($M$5:M218,"Yes"),"")</f>
        <v/>
      </c>
    </row>
    <row r="219">
      <c r="A219" s="5" t="n"/>
      <c r="B219" s="51" t="n"/>
      <c r="C219" s="5" t="n"/>
      <c r="D219" s="52" t="n"/>
      <c r="E219" s="52" t="n"/>
      <c r="F219" s="52" t="n"/>
      <c r="G219" s="52" t="n"/>
      <c r="H219" s="52" t="n"/>
      <c r="I219" s="52" t="n"/>
      <c r="J219" s="52" t="n"/>
      <c r="K219" s="52" t="n"/>
      <c r="L219" s="51" t="n"/>
      <c r="M219" s="53">
        <f>IF(A219="","",IF(COUNTIF('AFA Rates'!$A$5:$A$1004,A219)&gt;0,"Yes","No"))</f>
        <v/>
      </c>
      <c r="N219" s="53">
        <f>IF(A219="","",COUNTIF('AFA Rates'!$A$5:$A$1004,A219))</f>
        <v/>
      </c>
      <c r="O219" s="54" t="n"/>
      <c r="P219" s="5" t="n"/>
      <c r="Q219" s="5" t="n"/>
      <c r="R219">
        <f>IF(AND(A219&lt;&gt;"",B219="Paused"),COUNTIFS($A$5:A219,"&lt;&gt;",$B$5:B219,"Paused"),"")</f>
        <v/>
      </c>
      <c r="S219">
        <f>IF(M219="Yes",COUNTIF($M$5:M219,"Yes"),"")</f>
        <v/>
      </c>
    </row>
    <row r="220">
      <c r="A220" s="5" t="n"/>
      <c r="B220" s="51" t="n"/>
      <c r="C220" s="5" t="n"/>
      <c r="D220" s="52" t="n"/>
      <c r="E220" s="52" t="n"/>
      <c r="F220" s="52" t="n"/>
      <c r="G220" s="52" t="n"/>
      <c r="H220" s="52" t="n"/>
      <c r="I220" s="52" t="n"/>
      <c r="J220" s="52" t="n"/>
      <c r="K220" s="52" t="n"/>
      <c r="L220" s="51" t="n"/>
      <c r="M220" s="53">
        <f>IF(A220="","",IF(COUNTIF('AFA Rates'!$A$5:$A$1004,A220)&gt;0,"Yes","No"))</f>
        <v/>
      </c>
      <c r="N220" s="53">
        <f>IF(A220="","",COUNTIF('AFA Rates'!$A$5:$A$1004,A220))</f>
        <v/>
      </c>
      <c r="O220" s="54" t="n"/>
      <c r="P220" s="5" t="n"/>
      <c r="Q220" s="5" t="n"/>
      <c r="R220">
        <f>IF(AND(A220&lt;&gt;"",B220="Paused"),COUNTIFS($A$5:A220,"&lt;&gt;",$B$5:B220,"Paused"),"")</f>
        <v/>
      </c>
      <c r="S220">
        <f>IF(M220="Yes",COUNTIF($M$5:M220,"Yes"),"")</f>
        <v/>
      </c>
    </row>
    <row r="221">
      <c r="A221" s="5" t="n"/>
      <c r="B221" s="51" t="n"/>
      <c r="C221" s="5" t="n"/>
      <c r="D221" s="52" t="n"/>
      <c r="E221" s="52" t="n"/>
      <c r="F221" s="52" t="n"/>
      <c r="G221" s="52" t="n"/>
      <c r="H221" s="52" t="n"/>
      <c r="I221" s="52" t="n"/>
      <c r="J221" s="52" t="n"/>
      <c r="K221" s="52" t="n"/>
      <c r="L221" s="51" t="n"/>
      <c r="M221" s="53">
        <f>IF(A221="","",IF(COUNTIF('AFA Rates'!$A$5:$A$1004,A221)&gt;0,"Yes","No"))</f>
        <v/>
      </c>
      <c r="N221" s="53">
        <f>IF(A221="","",COUNTIF('AFA Rates'!$A$5:$A$1004,A221))</f>
        <v/>
      </c>
      <c r="O221" s="54" t="n"/>
      <c r="P221" s="5" t="n"/>
      <c r="Q221" s="5" t="n"/>
      <c r="R221">
        <f>IF(AND(A221&lt;&gt;"",B221="Paused"),COUNTIFS($A$5:A221,"&lt;&gt;",$B$5:B221,"Paused"),"")</f>
        <v/>
      </c>
      <c r="S221">
        <f>IF(M221="Yes",COUNTIF($M$5:M221,"Yes"),"")</f>
        <v/>
      </c>
    </row>
    <row r="222">
      <c r="A222" s="5" t="n"/>
      <c r="B222" s="51" t="n"/>
      <c r="C222" s="5" t="n"/>
      <c r="D222" s="52" t="n"/>
      <c r="E222" s="52" t="n"/>
      <c r="F222" s="52" t="n"/>
      <c r="G222" s="52" t="n"/>
      <c r="H222" s="52" t="n"/>
      <c r="I222" s="52" t="n"/>
      <c r="J222" s="52" t="n"/>
      <c r="K222" s="52" t="n"/>
      <c r="L222" s="51" t="n"/>
      <c r="M222" s="53">
        <f>IF(A222="","",IF(COUNTIF('AFA Rates'!$A$5:$A$1004,A222)&gt;0,"Yes","No"))</f>
        <v/>
      </c>
      <c r="N222" s="53">
        <f>IF(A222="","",COUNTIF('AFA Rates'!$A$5:$A$1004,A222))</f>
        <v/>
      </c>
      <c r="O222" s="54" t="n"/>
      <c r="P222" s="5" t="n"/>
      <c r="Q222" s="5" t="n"/>
      <c r="R222">
        <f>IF(AND(A222&lt;&gt;"",B222="Paused"),COUNTIFS($A$5:A222,"&lt;&gt;",$B$5:B222,"Paused"),"")</f>
        <v/>
      </c>
      <c r="S222">
        <f>IF(M222="Yes",COUNTIF($M$5:M222,"Yes"),"")</f>
        <v/>
      </c>
    </row>
    <row r="223">
      <c r="A223" s="5" t="n"/>
      <c r="B223" s="51" t="n"/>
      <c r="C223" s="5" t="n"/>
      <c r="D223" s="52" t="n"/>
      <c r="E223" s="52" t="n"/>
      <c r="F223" s="52" t="n"/>
      <c r="G223" s="52" t="n"/>
      <c r="H223" s="52" t="n"/>
      <c r="I223" s="52" t="n"/>
      <c r="J223" s="52" t="n"/>
      <c r="K223" s="52" t="n"/>
      <c r="L223" s="51" t="n"/>
      <c r="M223" s="53">
        <f>IF(A223="","",IF(COUNTIF('AFA Rates'!$A$5:$A$1004,A223)&gt;0,"Yes","No"))</f>
        <v/>
      </c>
      <c r="N223" s="53">
        <f>IF(A223="","",COUNTIF('AFA Rates'!$A$5:$A$1004,A223))</f>
        <v/>
      </c>
      <c r="O223" s="54" t="n"/>
      <c r="P223" s="5" t="n"/>
      <c r="Q223" s="5" t="n"/>
      <c r="R223">
        <f>IF(AND(A223&lt;&gt;"",B223="Paused"),COUNTIFS($A$5:A223,"&lt;&gt;",$B$5:B223,"Paused"),"")</f>
        <v/>
      </c>
      <c r="S223">
        <f>IF(M223="Yes",COUNTIF($M$5:M223,"Yes"),"")</f>
        <v/>
      </c>
    </row>
    <row r="224">
      <c r="A224" s="5" t="n"/>
      <c r="B224" s="51" t="n"/>
      <c r="C224" s="5" t="n"/>
      <c r="D224" s="52" t="n"/>
      <c r="E224" s="52" t="n"/>
      <c r="F224" s="52" t="n"/>
      <c r="G224" s="52" t="n"/>
      <c r="H224" s="52" t="n"/>
      <c r="I224" s="52" t="n"/>
      <c r="J224" s="52" t="n"/>
      <c r="K224" s="52" t="n"/>
      <c r="L224" s="51" t="n"/>
      <c r="M224" s="53">
        <f>IF(A224="","",IF(COUNTIF('AFA Rates'!$A$5:$A$1004,A224)&gt;0,"Yes","No"))</f>
        <v/>
      </c>
      <c r="N224" s="53">
        <f>IF(A224="","",COUNTIF('AFA Rates'!$A$5:$A$1004,A224))</f>
        <v/>
      </c>
      <c r="O224" s="54" t="n"/>
      <c r="P224" s="5" t="n"/>
      <c r="Q224" s="5" t="n"/>
      <c r="R224">
        <f>IF(AND(A224&lt;&gt;"",B224="Paused"),COUNTIFS($A$5:A224,"&lt;&gt;",$B$5:B224,"Paused"),"")</f>
        <v/>
      </c>
      <c r="S224">
        <f>IF(M224="Yes",COUNTIF($M$5:M224,"Yes"),"")</f>
        <v/>
      </c>
    </row>
    <row r="225">
      <c r="A225" s="5" t="n"/>
      <c r="B225" s="51" t="n"/>
      <c r="C225" s="5" t="n"/>
      <c r="D225" s="52" t="n"/>
      <c r="E225" s="52" t="n"/>
      <c r="F225" s="52" t="n"/>
      <c r="G225" s="52" t="n"/>
      <c r="H225" s="52" t="n"/>
      <c r="I225" s="52" t="n"/>
      <c r="J225" s="52" t="n"/>
      <c r="K225" s="52" t="n"/>
      <c r="L225" s="51" t="n"/>
      <c r="M225" s="53">
        <f>IF(A225="","",IF(COUNTIF('AFA Rates'!$A$5:$A$1004,A225)&gt;0,"Yes","No"))</f>
        <v/>
      </c>
      <c r="N225" s="53">
        <f>IF(A225="","",COUNTIF('AFA Rates'!$A$5:$A$1004,A225))</f>
        <v/>
      </c>
      <c r="O225" s="54" t="n"/>
      <c r="P225" s="5" t="n"/>
      <c r="Q225" s="5" t="n"/>
      <c r="R225">
        <f>IF(AND(A225&lt;&gt;"",B225="Paused"),COUNTIFS($A$5:A225,"&lt;&gt;",$B$5:B225,"Paused"),"")</f>
        <v/>
      </c>
      <c r="S225">
        <f>IF(M225="Yes",COUNTIF($M$5:M225,"Yes"),"")</f>
        <v/>
      </c>
    </row>
    <row r="226">
      <c r="A226" s="5" t="n"/>
      <c r="B226" s="51" t="n"/>
      <c r="C226" s="5" t="n"/>
      <c r="D226" s="52" t="n"/>
      <c r="E226" s="52" t="n"/>
      <c r="F226" s="52" t="n"/>
      <c r="G226" s="52" t="n"/>
      <c r="H226" s="52" t="n"/>
      <c r="I226" s="52" t="n"/>
      <c r="J226" s="52" t="n"/>
      <c r="K226" s="52" t="n"/>
      <c r="L226" s="51" t="n"/>
      <c r="M226" s="53">
        <f>IF(A226="","",IF(COUNTIF('AFA Rates'!$A$5:$A$1004,A226)&gt;0,"Yes","No"))</f>
        <v/>
      </c>
      <c r="N226" s="53">
        <f>IF(A226="","",COUNTIF('AFA Rates'!$A$5:$A$1004,A226))</f>
        <v/>
      </c>
      <c r="O226" s="54" t="n"/>
      <c r="P226" s="5" t="n"/>
      <c r="Q226" s="5" t="n"/>
      <c r="R226">
        <f>IF(AND(A226&lt;&gt;"",B226="Paused"),COUNTIFS($A$5:A226,"&lt;&gt;",$B$5:B226,"Paused"),"")</f>
        <v/>
      </c>
      <c r="S226">
        <f>IF(M226="Yes",COUNTIF($M$5:M226,"Yes"),"")</f>
        <v/>
      </c>
    </row>
    <row r="227">
      <c r="A227" s="5" t="n"/>
      <c r="B227" s="51" t="n"/>
      <c r="C227" s="5" t="n"/>
      <c r="D227" s="52" t="n"/>
      <c r="E227" s="52" t="n"/>
      <c r="F227" s="52" t="n"/>
      <c r="G227" s="52" t="n"/>
      <c r="H227" s="52" t="n"/>
      <c r="I227" s="52" t="n"/>
      <c r="J227" s="52" t="n"/>
      <c r="K227" s="52" t="n"/>
      <c r="L227" s="51" t="n"/>
      <c r="M227" s="53">
        <f>IF(A227="","",IF(COUNTIF('AFA Rates'!$A$5:$A$1004,A227)&gt;0,"Yes","No"))</f>
        <v/>
      </c>
      <c r="N227" s="53">
        <f>IF(A227="","",COUNTIF('AFA Rates'!$A$5:$A$1004,A227))</f>
        <v/>
      </c>
      <c r="O227" s="54" t="n"/>
      <c r="P227" s="5" t="n"/>
      <c r="Q227" s="5" t="n"/>
      <c r="R227">
        <f>IF(AND(A227&lt;&gt;"",B227="Paused"),COUNTIFS($A$5:A227,"&lt;&gt;",$B$5:B227,"Paused"),"")</f>
        <v/>
      </c>
      <c r="S227">
        <f>IF(M227="Yes",COUNTIF($M$5:M227,"Yes"),"")</f>
        <v/>
      </c>
    </row>
    <row r="228">
      <c r="A228" s="5" t="n"/>
      <c r="B228" s="51" t="n"/>
      <c r="C228" s="5" t="n"/>
      <c r="D228" s="52" t="n"/>
      <c r="E228" s="52" t="n"/>
      <c r="F228" s="52" t="n"/>
      <c r="G228" s="52" t="n"/>
      <c r="H228" s="52" t="n"/>
      <c r="I228" s="52" t="n"/>
      <c r="J228" s="52" t="n"/>
      <c r="K228" s="52" t="n"/>
      <c r="L228" s="51" t="n"/>
      <c r="M228" s="53">
        <f>IF(A228="","",IF(COUNTIF('AFA Rates'!$A$5:$A$1004,A228)&gt;0,"Yes","No"))</f>
        <v/>
      </c>
      <c r="N228" s="53">
        <f>IF(A228="","",COUNTIF('AFA Rates'!$A$5:$A$1004,A228))</f>
        <v/>
      </c>
      <c r="O228" s="54" t="n"/>
      <c r="P228" s="5" t="n"/>
      <c r="Q228" s="5" t="n"/>
      <c r="R228">
        <f>IF(AND(A228&lt;&gt;"",B228="Paused"),COUNTIFS($A$5:A228,"&lt;&gt;",$B$5:B228,"Paused"),"")</f>
        <v/>
      </c>
      <c r="S228">
        <f>IF(M228="Yes",COUNTIF($M$5:M228,"Yes"),"")</f>
        <v/>
      </c>
    </row>
    <row r="229">
      <c r="A229" s="5" t="n"/>
      <c r="B229" s="51" t="n"/>
      <c r="C229" s="5" t="n"/>
      <c r="D229" s="52" t="n"/>
      <c r="E229" s="52" t="n"/>
      <c r="F229" s="52" t="n"/>
      <c r="G229" s="52" t="n"/>
      <c r="H229" s="52" t="n"/>
      <c r="I229" s="52" t="n"/>
      <c r="J229" s="52" t="n"/>
      <c r="K229" s="52" t="n"/>
      <c r="L229" s="51" t="n"/>
      <c r="M229" s="53">
        <f>IF(A229="","",IF(COUNTIF('AFA Rates'!$A$5:$A$1004,A229)&gt;0,"Yes","No"))</f>
        <v/>
      </c>
      <c r="N229" s="53">
        <f>IF(A229="","",COUNTIF('AFA Rates'!$A$5:$A$1004,A229))</f>
        <v/>
      </c>
      <c r="O229" s="54" t="n"/>
      <c r="P229" s="5" t="n"/>
      <c r="Q229" s="5" t="n"/>
      <c r="R229">
        <f>IF(AND(A229&lt;&gt;"",B229="Paused"),COUNTIFS($A$5:A229,"&lt;&gt;",$B$5:B229,"Paused"),"")</f>
        <v/>
      </c>
      <c r="S229">
        <f>IF(M229="Yes",COUNTIF($M$5:M229,"Yes"),"")</f>
        <v/>
      </c>
    </row>
    <row r="230">
      <c r="A230" s="5" t="n"/>
      <c r="B230" s="51" t="n"/>
      <c r="C230" s="5" t="n"/>
      <c r="D230" s="52" t="n"/>
      <c r="E230" s="52" t="n"/>
      <c r="F230" s="52" t="n"/>
      <c r="G230" s="52" t="n"/>
      <c r="H230" s="52" t="n"/>
      <c r="I230" s="52" t="n"/>
      <c r="J230" s="52" t="n"/>
      <c r="K230" s="52" t="n"/>
      <c r="L230" s="51" t="n"/>
      <c r="M230" s="53">
        <f>IF(A230="","",IF(COUNTIF('AFA Rates'!$A$5:$A$1004,A230)&gt;0,"Yes","No"))</f>
        <v/>
      </c>
      <c r="N230" s="53">
        <f>IF(A230="","",COUNTIF('AFA Rates'!$A$5:$A$1004,A230))</f>
        <v/>
      </c>
      <c r="O230" s="54" t="n"/>
      <c r="P230" s="5" t="n"/>
      <c r="Q230" s="5" t="n"/>
      <c r="R230">
        <f>IF(AND(A230&lt;&gt;"",B230="Paused"),COUNTIFS($A$5:A230,"&lt;&gt;",$B$5:B230,"Paused"),"")</f>
        <v/>
      </c>
      <c r="S230">
        <f>IF(M230="Yes",COUNTIF($M$5:M230,"Yes"),"")</f>
        <v/>
      </c>
    </row>
    <row r="231">
      <c r="A231" s="5" t="n"/>
      <c r="B231" s="51" t="n"/>
      <c r="C231" s="5" t="n"/>
      <c r="D231" s="52" t="n"/>
      <c r="E231" s="52" t="n"/>
      <c r="F231" s="52" t="n"/>
      <c r="G231" s="52" t="n"/>
      <c r="H231" s="52" t="n"/>
      <c r="I231" s="52" t="n"/>
      <c r="J231" s="52" t="n"/>
      <c r="K231" s="52" t="n"/>
      <c r="L231" s="51" t="n"/>
      <c r="M231" s="53">
        <f>IF(A231="","",IF(COUNTIF('AFA Rates'!$A$5:$A$1004,A231)&gt;0,"Yes","No"))</f>
        <v/>
      </c>
      <c r="N231" s="53">
        <f>IF(A231="","",COUNTIF('AFA Rates'!$A$5:$A$1004,A231))</f>
        <v/>
      </c>
      <c r="O231" s="54" t="n"/>
      <c r="P231" s="5" t="n"/>
      <c r="Q231" s="5" t="n"/>
      <c r="R231">
        <f>IF(AND(A231&lt;&gt;"",B231="Paused"),COUNTIFS($A$5:A231,"&lt;&gt;",$B$5:B231,"Paused"),"")</f>
        <v/>
      </c>
      <c r="S231">
        <f>IF(M231="Yes",COUNTIF($M$5:M231,"Yes"),"")</f>
        <v/>
      </c>
    </row>
    <row r="232">
      <c r="A232" s="5" t="n"/>
      <c r="B232" s="51" t="n"/>
      <c r="C232" s="5" t="n"/>
      <c r="D232" s="52" t="n"/>
      <c r="E232" s="52" t="n"/>
      <c r="F232" s="52" t="n"/>
      <c r="G232" s="52" t="n"/>
      <c r="H232" s="52" t="n"/>
      <c r="I232" s="52" t="n"/>
      <c r="J232" s="52" t="n"/>
      <c r="K232" s="52" t="n"/>
      <c r="L232" s="51" t="n"/>
      <c r="M232" s="53">
        <f>IF(A232="","",IF(COUNTIF('AFA Rates'!$A$5:$A$1004,A232)&gt;0,"Yes","No"))</f>
        <v/>
      </c>
      <c r="N232" s="53">
        <f>IF(A232="","",COUNTIF('AFA Rates'!$A$5:$A$1004,A232))</f>
        <v/>
      </c>
      <c r="O232" s="54" t="n"/>
      <c r="P232" s="5" t="n"/>
      <c r="Q232" s="5" t="n"/>
      <c r="R232">
        <f>IF(AND(A232&lt;&gt;"",B232="Paused"),COUNTIFS($A$5:A232,"&lt;&gt;",$B$5:B232,"Paused"),"")</f>
        <v/>
      </c>
      <c r="S232">
        <f>IF(M232="Yes",COUNTIF($M$5:M232,"Yes"),"")</f>
        <v/>
      </c>
    </row>
    <row r="233">
      <c r="A233" s="5" t="n"/>
      <c r="B233" s="51" t="n"/>
      <c r="C233" s="5" t="n"/>
      <c r="D233" s="52" t="n"/>
      <c r="E233" s="52" t="n"/>
      <c r="F233" s="52" t="n"/>
      <c r="G233" s="52" t="n"/>
      <c r="H233" s="52" t="n"/>
      <c r="I233" s="52" t="n"/>
      <c r="J233" s="52" t="n"/>
      <c r="K233" s="52" t="n"/>
      <c r="L233" s="51" t="n"/>
      <c r="M233" s="53">
        <f>IF(A233="","",IF(COUNTIF('AFA Rates'!$A$5:$A$1004,A233)&gt;0,"Yes","No"))</f>
        <v/>
      </c>
      <c r="N233" s="53">
        <f>IF(A233="","",COUNTIF('AFA Rates'!$A$5:$A$1004,A233))</f>
        <v/>
      </c>
      <c r="O233" s="54" t="n"/>
      <c r="P233" s="5" t="n"/>
      <c r="Q233" s="5" t="n"/>
      <c r="R233">
        <f>IF(AND(A233&lt;&gt;"",B233="Paused"),COUNTIFS($A$5:A233,"&lt;&gt;",$B$5:B233,"Paused"),"")</f>
        <v/>
      </c>
      <c r="S233">
        <f>IF(M233="Yes",COUNTIF($M$5:M233,"Yes"),"")</f>
        <v/>
      </c>
    </row>
    <row r="234">
      <c r="A234" s="5" t="n"/>
      <c r="B234" s="51" t="n"/>
      <c r="C234" s="5" t="n"/>
      <c r="D234" s="52" t="n"/>
      <c r="E234" s="52" t="n"/>
      <c r="F234" s="52" t="n"/>
      <c r="G234" s="52" t="n"/>
      <c r="H234" s="52" t="n"/>
      <c r="I234" s="52" t="n"/>
      <c r="J234" s="52" t="n"/>
      <c r="K234" s="52" t="n"/>
      <c r="L234" s="51" t="n"/>
      <c r="M234" s="53">
        <f>IF(A234="","",IF(COUNTIF('AFA Rates'!$A$5:$A$1004,A234)&gt;0,"Yes","No"))</f>
        <v/>
      </c>
      <c r="N234" s="53">
        <f>IF(A234="","",COUNTIF('AFA Rates'!$A$5:$A$1004,A234))</f>
        <v/>
      </c>
      <c r="O234" s="54" t="n"/>
      <c r="P234" s="5" t="n"/>
      <c r="Q234" s="5" t="n"/>
      <c r="R234">
        <f>IF(AND(A234&lt;&gt;"",B234="Paused"),COUNTIFS($A$5:A234,"&lt;&gt;",$B$5:B234,"Paused"),"")</f>
        <v/>
      </c>
      <c r="S234">
        <f>IF(M234="Yes",COUNTIF($M$5:M234,"Yes"),"")</f>
        <v/>
      </c>
    </row>
    <row r="235">
      <c r="A235" s="5" t="n"/>
      <c r="B235" s="51" t="n"/>
      <c r="C235" s="5" t="n"/>
      <c r="D235" s="52" t="n"/>
      <c r="E235" s="52" t="n"/>
      <c r="F235" s="52" t="n"/>
      <c r="G235" s="52" t="n"/>
      <c r="H235" s="52" t="n"/>
      <c r="I235" s="52" t="n"/>
      <c r="J235" s="52" t="n"/>
      <c r="K235" s="52" t="n"/>
      <c r="L235" s="51" t="n"/>
      <c r="M235" s="53">
        <f>IF(A235="","",IF(COUNTIF('AFA Rates'!$A$5:$A$1004,A235)&gt;0,"Yes","No"))</f>
        <v/>
      </c>
      <c r="N235" s="53">
        <f>IF(A235="","",COUNTIF('AFA Rates'!$A$5:$A$1004,A235))</f>
        <v/>
      </c>
      <c r="O235" s="54" t="n"/>
      <c r="P235" s="5" t="n"/>
      <c r="Q235" s="5" t="n"/>
      <c r="R235">
        <f>IF(AND(A235&lt;&gt;"",B235="Paused"),COUNTIFS($A$5:A235,"&lt;&gt;",$B$5:B235,"Paused"),"")</f>
        <v/>
      </c>
      <c r="S235">
        <f>IF(M235="Yes",COUNTIF($M$5:M235,"Yes"),"")</f>
        <v/>
      </c>
    </row>
    <row r="236">
      <c r="A236" s="5" t="n"/>
      <c r="B236" s="51" t="n"/>
      <c r="C236" s="5" t="n"/>
      <c r="D236" s="52" t="n"/>
      <c r="E236" s="52" t="n"/>
      <c r="F236" s="52" t="n"/>
      <c r="G236" s="52" t="n"/>
      <c r="H236" s="52" t="n"/>
      <c r="I236" s="52" t="n"/>
      <c r="J236" s="52" t="n"/>
      <c r="K236" s="52" t="n"/>
      <c r="L236" s="51" t="n"/>
      <c r="M236" s="53">
        <f>IF(A236="","",IF(COUNTIF('AFA Rates'!$A$5:$A$1004,A236)&gt;0,"Yes","No"))</f>
        <v/>
      </c>
      <c r="N236" s="53">
        <f>IF(A236="","",COUNTIF('AFA Rates'!$A$5:$A$1004,A236))</f>
        <v/>
      </c>
      <c r="O236" s="54" t="n"/>
      <c r="P236" s="5" t="n"/>
      <c r="Q236" s="5" t="n"/>
      <c r="R236">
        <f>IF(AND(A236&lt;&gt;"",B236="Paused"),COUNTIFS($A$5:A236,"&lt;&gt;",$B$5:B236,"Paused"),"")</f>
        <v/>
      </c>
      <c r="S236">
        <f>IF(M236="Yes",COUNTIF($M$5:M236,"Yes"),"")</f>
        <v/>
      </c>
    </row>
    <row r="237">
      <c r="A237" s="5" t="n"/>
      <c r="B237" s="51" t="n"/>
      <c r="C237" s="5" t="n"/>
      <c r="D237" s="52" t="n"/>
      <c r="E237" s="52" t="n"/>
      <c r="F237" s="52" t="n"/>
      <c r="G237" s="52" t="n"/>
      <c r="H237" s="52" t="n"/>
      <c r="I237" s="52" t="n"/>
      <c r="J237" s="52" t="n"/>
      <c r="K237" s="52" t="n"/>
      <c r="L237" s="51" t="n"/>
      <c r="M237" s="53">
        <f>IF(A237="","",IF(COUNTIF('AFA Rates'!$A$5:$A$1004,A237)&gt;0,"Yes","No"))</f>
        <v/>
      </c>
      <c r="N237" s="53">
        <f>IF(A237="","",COUNTIF('AFA Rates'!$A$5:$A$1004,A237))</f>
        <v/>
      </c>
      <c r="O237" s="54" t="n"/>
      <c r="P237" s="5" t="n"/>
      <c r="Q237" s="5" t="n"/>
      <c r="R237">
        <f>IF(AND(A237&lt;&gt;"",B237="Paused"),COUNTIFS($A$5:A237,"&lt;&gt;",$B$5:B237,"Paused"),"")</f>
        <v/>
      </c>
      <c r="S237">
        <f>IF(M237="Yes",COUNTIF($M$5:M237,"Yes"),"")</f>
        <v/>
      </c>
    </row>
    <row r="238">
      <c r="A238" s="5" t="n"/>
      <c r="B238" s="51" t="n"/>
      <c r="C238" s="5" t="n"/>
      <c r="D238" s="52" t="n"/>
      <c r="E238" s="52" t="n"/>
      <c r="F238" s="52" t="n"/>
      <c r="G238" s="52" t="n"/>
      <c r="H238" s="52" t="n"/>
      <c r="I238" s="52" t="n"/>
      <c r="J238" s="52" t="n"/>
      <c r="K238" s="52" t="n"/>
      <c r="L238" s="51" t="n"/>
      <c r="M238" s="53">
        <f>IF(A238="","",IF(COUNTIF('AFA Rates'!$A$5:$A$1004,A238)&gt;0,"Yes","No"))</f>
        <v/>
      </c>
      <c r="N238" s="53">
        <f>IF(A238="","",COUNTIF('AFA Rates'!$A$5:$A$1004,A238))</f>
        <v/>
      </c>
      <c r="O238" s="54" t="n"/>
      <c r="P238" s="5" t="n"/>
      <c r="Q238" s="5" t="n"/>
      <c r="R238">
        <f>IF(AND(A238&lt;&gt;"",B238="Paused"),COUNTIFS($A$5:A238,"&lt;&gt;",$B$5:B238,"Paused"),"")</f>
        <v/>
      </c>
      <c r="S238">
        <f>IF(M238="Yes",COUNTIF($M$5:M238,"Yes"),"")</f>
        <v/>
      </c>
    </row>
    <row r="239">
      <c r="A239" s="5" t="n"/>
      <c r="B239" s="51" t="n"/>
      <c r="C239" s="5" t="n"/>
      <c r="D239" s="52" t="n"/>
      <c r="E239" s="52" t="n"/>
      <c r="F239" s="52" t="n"/>
      <c r="G239" s="52" t="n"/>
      <c r="H239" s="52" t="n"/>
      <c r="I239" s="52" t="n"/>
      <c r="J239" s="52" t="n"/>
      <c r="K239" s="52" t="n"/>
      <c r="L239" s="51" t="n"/>
      <c r="M239" s="53">
        <f>IF(A239="","",IF(COUNTIF('AFA Rates'!$A$5:$A$1004,A239)&gt;0,"Yes","No"))</f>
        <v/>
      </c>
      <c r="N239" s="53">
        <f>IF(A239="","",COUNTIF('AFA Rates'!$A$5:$A$1004,A239))</f>
        <v/>
      </c>
      <c r="O239" s="54" t="n"/>
      <c r="P239" s="5" t="n"/>
      <c r="Q239" s="5" t="n"/>
      <c r="R239">
        <f>IF(AND(A239&lt;&gt;"",B239="Paused"),COUNTIFS($A$5:A239,"&lt;&gt;",$B$5:B239,"Paused"),"")</f>
        <v/>
      </c>
      <c r="S239">
        <f>IF(M239="Yes",COUNTIF($M$5:M239,"Yes"),"")</f>
        <v/>
      </c>
    </row>
    <row r="240">
      <c r="A240" s="5" t="n"/>
      <c r="B240" s="51" t="n"/>
      <c r="C240" s="5" t="n"/>
      <c r="D240" s="52" t="n"/>
      <c r="E240" s="52" t="n"/>
      <c r="F240" s="52" t="n"/>
      <c r="G240" s="52" t="n"/>
      <c r="H240" s="52" t="n"/>
      <c r="I240" s="52" t="n"/>
      <c r="J240" s="52" t="n"/>
      <c r="K240" s="52" t="n"/>
      <c r="L240" s="51" t="n"/>
      <c r="M240" s="53">
        <f>IF(A240="","",IF(COUNTIF('AFA Rates'!$A$5:$A$1004,A240)&gt;0,"Yes","No"))</f>
        <v/>
      </c>
      <c r="N240" s="53">
        <f>IF(A240="","",COUNTIF('AFA Rates'!$A$5:$A$1004,A240))</f>
        <v/>
      </c>
      <c r="O240" s="54" t="n"/>
      <c r="P240" s="5" t="n"/>
      <c r="Q240" s="5" t="n"/>
      <c r="R240">
        <f>IF(AND(A240&lt;&gt;"",B240="Paused"),COUNTIFS($A$5:A240,"&lt;&gt;",$B$5:B240,"Paused"),"")</f>
        <v/>
      </c>
      <c r="S240">
        <f>IF(M240="Yes",COUNTIF($M$5:M240,"Yes"),"")</f>
        <v/>
      </c>
    </row>
    <row r="241">
      <c r="A241" s="5" t="n"/>
      <c r="B241" s="51" t="n"/>
      <c r="C241" s="5" t="n"/>
      <c r="D241" s="52" t="n"/>
      <c r="E241" s="52" t="n"/>
      <c r="F241" s="52" t="n"/>
      <c r="G241" s="52" t="n"/>
      <c r="H241" s="52" t="n"/>
      <c r="I241" s="52" t="n"/>
      <c r="J241" s="52" t="n"/>
      <c r="K241" s="52" t="n"/>
      <c r="L241" s="51" t="n"/>
      <c r="M241" s="53">
        <f>IF(A241="","",IF(COUNTIF('AFA Rates'!$A$5:$A$1004,A241)&gt;0,"Yes","No"))</f>
        <v/>
      </c>
      <c r="N241" s="53">
        <f>IF(A241="","",COUNTIF('AFA Rates'!$A$5:$A$1004,A241))</f>
        <v/>
      </c>
      <c r="O241" s="54" t="n"/>
      <c r="P241" s="5" t="n"/>
      <c r="Q241" s="5" t="n"/>
      <c r="R241">
        <f>IF(AND(A241&lt;&gt;"",B241="Paused"),COUNTIFS($A$5:A241,"&lt;&gt;",$B$5:B241,"Paused"),"")</f>
        <v/>
      </c>
      <c r="S241">
        <f>IF(M241="Yes",COUNTIF($M$5:M241,"Yes"),"")</f>
        <v/>
      </c>
    </row>
    <row r="242">
      <c r="A242" s="5" t="n"/>
      <c r="B242" s="51" t="n"/>
      <c r="C242" s="5" t="n"/>
      <c r="D242" s="52" t="n"/>
      <c r="E242" s="52" t="n"/>
      <c r="F242" s="52" t="n"/>
      <c r="G242" s="52" t="n"/>
      <c r="H242" s="52" t="n"/>
      <c r="I242" s="52" t="n"/>
      <c r="J242" s="52" t="n"/>
      <c r="K242" s="52" t="n"/>
      <c r="L242" s="51" t="n"/>
      <c r="M242" s="53">
        <f>IF(A242="","",IF(COUNTIF('AFA Rates'!$A$5:$A$1004,A242)&gt;0,"Yes","No"))</f>
        <v/>
      </c>
      <c r="N242" s="53">
        <f>IF(A242="","",COUNTIF('AFA Rates'!$A$5:$A$1004,A242))</f>
        <v/>
      </c>
      <c r="O242" s="54" t="n"/>
      <c r="P242" s="5" t="n"/>
      <c r="Q242" s="5" t="n"/>
      <c r="R242">
        <f>IF(AND(A242&lt;&gt;"",B242="Paused"),COUNTIFS($A$5:A242,"&lt;&gt;",$B$5:B242,"Paused"),"")</f>
        <v/>
      </c>
      <c r="S242">
        <f>IF(M242="Yes",COUNTIF($M$5:M242,"Yes"),"")</f>
        <v/>
      </c>
    </row>
    <row r="243">
      <c r="A243" s="5" t="n"/>
      <c r="B243" s="51" t="n"/>
      <c r="C243" s="5" t="n"/>
      <c r="D243" s="52" t="n"/>
      <c r="E243" s="52" t="n"/>
      <c r="F243" s="52" t="n"/>
      <c r="G243" s="52" t="n"/>
      <c r="H243" s="52" t="n"/>
      <c r="I243" s="52" t="n"/>
      <c r="J243" s="52" t="n"/>
      <c r="K243" s="52" t="n"/>
      <c r="L243" s="51" t="n"/>
      <c r="M243" s="53">
        <f>IF(A243="","",IF(COUNTIF('AFA Rates'!$A$5:$A$1004,A243)&gt;0,"Yes","No"))</f>
        <v/>
      </c>
      <c r="N243" s="53">
        <f>IF(A243="","",COUNTIF('AFA Rates'!$A$5:$A$1004,A243))</f>
        <v/>
      </c>
      <c r="O243" s="54" t="n"/>
      <c r="P243" s="5" t="n"/>
      <c r="Q243" s="5" t="n"/>
      <c r="R243">
        <f>IF(AND(A243&lt;&gt;"",B243="Paused"),COUNTIFS($A$5:A243,"&lt;&gt;",$B$5:B243,"Paused"),"")</f>
        <v/>
      </c>
      <c r="S243">
        <f>IF(M243="Yes",COUNTIF($M$5:M243,"Yes"),"")</f>
        <v/>
      </c>
    </row>
    <row r="244">
      <c r="A244" s="5" t="n"/>
      <c r="B244" s="51" t="n"/>
      <c r="C244" s="5" t="n"/>
      <c r="D244" s="52" t="n"/>
      <c r="E244" s="52" t="n"/>
      <c r="F244" s="52" t="n"/>
      <c r="G244" s="52" t="n"/>
      <c r="H244" s="52" t="n"/>
      <c r="I244" s="52" t="n"/>
      <c r="J244" s="52" t="n"/>
      <c r="K244" s="52" t="n"/>
      <c r="L244" s="51" t="n"/>
      <c r="M244" s="53">
        <f>IF(A244="","",IF(COUNTIF('AFA Rates'!$A$5:$A$1004,A244)&gt;0,"Yes","No"))</f>
        <v/>
      </c>
      <c r="N244" s="53">
        <f>IF(A244="","",COUNTIF('AFA Rates'!$A$5:$A$1004,A244))</f>
        <v/>
      </c>
      <c r="O244" s="54" t="n"/>
      <c r="P244" s="5" t="n"/>
      <c r="Q244" s="5" t="n"/>
      <c r="R244">
        <f>IF(AND(A244&lt;&gt;"",B244="Paused"),COUNTIFS($A$5:A244,"&lt;&gt;",$B$5:B244,"Paused"),"")</f>
        <v/>
      </c>
      <c r="S244">
        <f>IF(M244="Yes",COUNTIF($M$5:M244,"Yes"),"")</f>
        <v/>
      </c>
    </row>
    <row r="245">
      <c r="A245" s="5" t="n"/>
      <c r="B245" s="51" t="n"/>
      <c r="C245" s="5" t="n"/>
      <c r="D245" s="52" t="n"/>
      <c r="E245" s="52" t="n"/>
      <c r="F245" s="52" t="n"/>
      <c r="G245" s="52" t="n"/>
      <c r="H245" s="52" t="n"/>
      <c r="I245" s="52" t="n"/>
      <c r="J245" s="52" t="n"/>
      <c r="K245" s="52" t="n"/>
      <c r="L245" s="51" t="n"/>
      <c r="M245" s="53">
        <f>IF(A245="","",IF(COUNTIF('AFA Rates'!$A$5:$A$1004,A245)&gt;0,"Yes","No"))</f>
        <v/>
      </c>
      <c r="N245" s="53">
        <f>IF(A245="","",COUNTIF('AFA Rates'!$A$5:$A$1004,A245))</f>
        <v/>
      </c>
      <c r="O245" s="54" t="n"/>
      <c r="P245" s="5" t="n"/>
      <c r="Q245" s="5" t="n"/>
      <c r="R245">
        <f>IF(AND(A245&lt;&gt;"",B245="Paused"),COUNTIFS($A$5:A245,"&lt;&gt;",$B$5:B245,"Paused"),"")</f>
        <v/>
      </c>
      <c r="S245">
        <f>IF(M245="Yes",COUNTIF($M$5:M245,"Yes"),"")</f>
        <v/>
      </c>
    </row>
    <row r="246">
      <c r="A246" s="5" t="n"/>
      <c r="B246" s="51" t="n"/>
      <c r="C246" s="5" t="n"/>
      <c r="D246" s="52" t="n"/>
      <c r="E246" s="52" t="n"/>
      <c r="F246" s="52" t="n"/>
      <c r="G246" s="52" t="n"/>
      <c r="H246" s="52" t="n"/>
      <c r="I246" s="52" t="n"/>
      <c r="J246" s="52" t="n"/>
      <c r="K246" s="52" t="n"/>
      <c r="L246" s="51" t="n"/>
      <c r="M246" s="53">
        <f>IF(A246="","",IF(COUNTIF('AFA Rates'!$A$5:$A$1004,A246)&gt;0,"Yes","No"))</f>
        <v/>
      </c>
      <c r="N246" s="53">
        <f>IF(A246="","",COUNTIF('AFA Rates'!$A$5:$A$1004,A246))</f>
        <v/>
      </c>
      <c r="O246" s="54" t="n"/>
      <c r="P246" s="5" t="n"/>
      <c r="Q246" s="5" t="n"/>
      <c r="R246">
        <f>IF(AND(A246&lt;&gt;"",B246="Paused"),COUNTIFS($A$5:A246,"&lt;&gt;",$B$5:B246,"Paused"),"")</f>
        <v/>
      </c>
      <c r="S246">
        <f>IF(M246="Yes",COUNTIF($M$5:M246,"Yes"),"")</f>
        <v/>
      </c>
    </row>
    <row r="247">
      <c r="A247" s="5" t="n"/>
      <c r="B247" s="51" t="n"/>
      <c r="C247" s="5" t="n"/>
      <c r="D247" s="52" t="n"/>
      <c r="E247" s="52" t="n"/>
      <c r="F247" s="52" t="n"/>
      <c r="G247" s="52" t="n"/>
      <c r="H247" s="52" t="n"/>
      <c r="I247" s="52" t="n"/>
      <c r="J247" s="52" t="n"/>
      <c r="K247" s="52" t="n"/>
      <c r="L247" s="51" t="n"/>
      <c r="M247" s="53">
        <f>IF(A247="","",IF(COUNTIF('AFA Rates'!$A$5:$A$1004,A247)&gt;0,"Yes","No"))</f>
        <v/>
      </c>
      <c r="N247" s="53">
        <f>IF(A247="","",COUNTIF('AFA Rates'!$A$5:$A$1004,A247))</f>
        <v/>
      </c>
      <c r="O247" s="54" t="n"/>
      <c r="P247" s="5" t="n"/>
      <c r="Q247" s="5" t="n"/>
      <c r="R247">
        <f>IF(AND(A247&lt;&gt;"",B247="Paused"),COUNTIFS($A$5:A247,"&lt;&gt;",$B$5:B247,"Paused"),"")</f>
        <v/>
      </c>
      <c r="S247">
        <f>IF(M247="Yes",COUNTIF($M$5:M247,"Yes"),"")</f>
        <v/>
      </c>
    </row>
    <row r="248">
      <c r="A248" s="5" t="n"/>
      <c r="B248" s="51" t="n"/>
      <c r="C248" s="5" t="n"/>
      <c r="D248" s="52" t="n"/>
      <c r="E248" s="52" t="n"/>
      <c r="F248" s="52" t="n"/>
      <c r="G248" s="52" t="n"/>
      <c r="H248" s="52" t="n"/>
      <c r="I248" s="52" t="n"/>
      <c r="J248" s="52" t="n"/>
      <c r="K248" s="52" t="n"/>
      <c r="L248" s="51" t="n"/>
      <c r="M248" s="53">
        <f>IF(A248="","",IF(COUNTIF('AFA Rates'!$A$5:$A$1004,A248)&gt;0,"Yes","No"))</f>
        <v/>
      </c>
      <c r="N248" s="53">
        <f>IF(A248="","",COUNTIF('AFA Rates'!$A$5:$A$1004,A248))</f>
        <v/>
      </c>
      <c r="O248" s="54" t="n"/>
      <c r="P248" s="5" t="n"/>
      <c r="Q248" s="5" t="n"/>
      <c r="R248">
        <f>IF(AND(A248&lt;&gt;"",B248="Paused"),COUNTIFS($A$5:A248,"&lt;&gt;",$B$5:B248,"Paused"),"")</f>
        <v/>
      </c>
      <c r="S248">
        <f>IF(M248="Yes",COUNTIF($M$5:M248,"Yes"),"")</f>
        <v/>
      </c>
    </row>
    <row r="249">
      <c r="A249" s="5" t="n"/>
      <c r="B249" s="51" t="n"/>
      <c r="C249" s="5" t="n"/>
      <c r="D249" s="52" t="n"/>
      <c r="E249" s="52" t="n"/>
      <c r="F249" s="52" t="n"/>
      <c r="G249" s="52" t="n"/>
      <c r="H249" s="52" t="n"/>
      <c r="I249" s="52" t="n"/>
      <c r="J249" s="52" t="n"/>
      <c r="K249" s="52" t="n"/>
      <c r="L249" s="51" t="n"/>
      <c r="M249" s="53">
        <f>IF(A249="","",IF(COUNTIF('AFA Rates'!$A$5:$A$1004,A249)&gt;0,"Yes","No"))</f>
        <v/>
      </c>
      <c r="N249" s="53">
        <f>IF(A249="","",COUNTIF('AFA Rates'!$A$5:$A$1004,A249))</f>
        <v/>
      </c>
      <c r="O249" s="54" t="n"/>
      <c r="P249" s="5" t="n"/>
      <c r="Q249" s="5" t="n"/>
      <c r="R249">
        <f>IF(AND(A249&lt;&gt;"",B249="Paused"),COUNTIFS($A$5:A249,"&lt;&gt;",$B$5:B249,"Paused"),"")</f>
        <v/>
      </c>
      <c r="S249">
        <f>IF(M249="Yes",COUNTIF($M$5:M249,"Yes"),"")</f>
        <v/>
      </c>
    </row>
    <row r="250">
      <c r="A250" s="5" t="n"/>
      <c r="B250" s="51" t="n"/>
      <c r="C250" s="5" t="n"/>
      <c r="D250" s="52" t="n"/>
      <c r="E250" s="52" t="n"/>
      <c r="F250" s="52" t="n"/>
      <c r="G250" s="52" t="n"/>
      <c r="H250" s="52" t="n"/>
      <c r="I250" s="52" t="n"/>
      <c r="J250" s="52" t="n"/>
      <c r="K250" s="52" t="n"/>
      <c r="L250" s="51" t="n"/>
      <c r="M250" s="53">
        <f>IF(A250="","",IF(COUNTIF('AFA Rates'!$A$5:$A$1004,A250)&gt;0,"Yes","No"))</f>
        <v/>
      </c>
      <c r="N250" s="53">
        <f>IF(A250="","",COUNTIF('AFA Rates'!$A$5:$A$1004,A250))</f>
        <v/>
      </c>
      <c r="O250" s="54" t="n"/>
      <c r="P250" s="5" t="n"/>
      <c r="Q250" s="5" t="n"/>
      <c r="R250">
        <f>IF(AND(A250&lt;&gt;"",B250="Paused"),COUNTIFS($A$5:A250,"&lt;&gt;",$B$5:B250,"Paused"),"")</f>
        <v/>
      </c>
      <c r="S250">
        <f>IF(M250="Yes",COUNTIF($M$5:M250,"Yes"),"")</f>
        <v/>
      </c>
    </row>
    <row r="251">
      <c r="A251" s="5" t="n"/>
      <c r="B251" s="51" t="n"/>
      <c r="C251" s="5" t="n"/>
      <c r="D251" s="52" t="n"/>
      <c r="E251" s="52" t="n"/>
      <c r="F251" s="52" t="n"/>
      <c r="G251" s="52" t="n"/>
      <c r="H251" s="52" t="n"/>
      <c r="I251" s="52" t="n"/>
      <c r="J251" s="52" t="n"/>
      <c r="K251" s="52" t="n"/>
      <c r="L251" s="51" t="n"/>
      <c r="M251" s="53">
        <f>IF(A251="","",IF(COUNTIF('AFA Rates'!$A$5:$A$1004,A251)&gt;0,"Yes","No"))</f>
        <v/>
      </c>
      <c r="N251" s="53">
        <f>IF(A251="","",COUNTIF('AFA Rates'!$A$5:$A$1004,A251))</f>
        <v/>
      </c>
      <c r="O251" s="54" t="n"/>
      <c r="P251" s="5" t="n"/>
      <c r="Q251" s="5" t="n"/>
      <c r="R251">
        <f>IF(AND(A251&lt;&gt;"",B251="Paused"),COUNTIFS($A$5:A251,"&lt;&gt;",$B$5:B251,"Paused"),"")</f>
        <v/>
      </c>
      <c r="S251">
        <f>IF(M251="Yes",COUNTIF($M$5:M251,"Yes"),"")</f>
        <v/>
      </c>
    </row>
    <row r="252">
      <c r="A252" s="5" t="n"/>
      <c r="B252" s="51" t="n"/>
      <c r="C252" s="5" t="n"/>
      <c r="D252" s="52" t="n"/>
      <c r="E252" s="52" t="n"/>
      <c r="F252" s="52" t="n"/>
      <c r="G252" s="52" t="n"/>
      <c r="H252" s="52" t="n"/>
      <c r="I252" s="52" t="n"/>
      <c r="J252" s="52" t="n"/>
      <c r="K252" s="52" t="n"/>
      <c r="L252" s="51" t="n"/>
      <c r="M252" s="53">
        <f>IF(A252="","",IF(COUNTIF('AFA Rates'!$A$5:$A$1004,A252)&gt;0,"Yes","No"))</f>
        <v/>
      </c>
      <c r="N252" s="53">
        <f>IF(A252="","",COUNTIF('AFA Rates'!$A$5:$A$1004,A252))</f>
        <v/>
      </c>
      <c r="O252" s="54" t="n"/>
      <c r="P252" s="5" t="n"/>
      <c r="Q252" s="5" t="n"/>
      <c r="R252">
        <f>IF(AND(A252&lt;&gt;"",B252="Paused"),COUNTIFS($A$5:A252,"&lt;&gt;",$B$5:B252,"Paused"),"")</f>
        <v/>
      </c>
      <c r="S252">
        <f>IF(M252="Yes",COUNTIF($M$5:M252,"Yes"),"")</f>
        <v/>
      </c>
    </row>
    <row r="253">
      <c r="A253" s="5" t="n"/>
      <c r="B253" s="51" t="n"/>
      <c r="C253" s="5" t="n"/>
      <c r="D253" s="52" t="n"/>
      <c r="E253" s="52" t="n"/>
      <c r="F253" s="52" t="n"/>
      <c r="G253" s="52" t="n"/>
      <c r="H253" s="52" t="n"/>
      <c r="I253" s="52" t="n"/>
      <c r="J253" s="52" t="n"/>
      <c r="K253" s="52" t="n"/>
      <c r="L253" s="51" t="n"/>
      <c r="M253" s="53">
        <f>IF(A253="","",IF(COUNTIF('AFA Rates'!$A$5:$A$1004,A253)&gt;0,"Yes","No"))</f>
        <v/>
      </c>
      <c r="N253" s="53">
        <f>IF(A253="","",COUNTIF('AFA Rates'!$A$5:$A$1004,A253))</f>
        <v/>
      </c>
      <c r="O253" s="54" t="n"/>
      <c r="P253" s="5" t="n"/>
      <c r="Q253" s="5" t="n"/>
      <c r="R253">
        <f>IF(AND(A253&lt;&gt;"",B253="Paused"),COUNTIFS($A$5:A253,"&lt;&gt;",$B$5:B253,"Paused"),"")</f>
        <v/>
      </c>
      <c r="S253">
        <f>IF(M253="Yes",COUNTIF($M$5:M253,"Yes"),"")</f>
        <v/>
      </c>
    </row>
    <row r="254">
      <c r="A254" s="5" t="n"/>
      <c r="B254" s="51" t="n"/>
      <c r="C254" s="5" t="n"/>
      <c r="D254" s="52" t="n"/>
      <c r="E254" s="52" t="n"/>
      <c r="F254" s="52" t="n"/>
      <c r="G254" s="52" t="n"/>
      <c r="H254" s="52" t="n"/>
      <c r="I254" s="52" t="n"/>
      <c r="J254" s="52" t="n"/>
      <c r="K254" s="52" t="n"/>
      <c r="L254" s="51" t="n"/>
      <c r="M254" s="53">
        <f>IF(A254="","",IF(COUNTIF('AFA Rates'!$A$5:$A$1004,A254)&gt;0,"Yes","No"))</f>
        <v/>
      </c>
      <c r="N254" s="53">
        <f>IF(A254="","",COUNTIF('AFA Rates'!$A$5:$A$1004,A254))</f>
        <v/>
      </c>
      <c r="O254" s="54" t="n"/>
      <c r="P254" s="5" t="n"/>
      <c r="Q254" s="5" t="n"/>
      <c r="R254">
        <f>IF(AND(A254&lt;&gt;"",B254="Paused"),COUNTIFS($A$5:A254,"&lt;&gt;",$B$5:B254,"Paused"),"")</f>
        <v/>
      </c>
      <c r="S254">
        <f>IF(M254="Yes",COUNTIF($M$5:M254,"Yes"),"")</f>
        <v/>
      </c>
    </row>
    <row r="255">
      <c r="A255" s="5" t="n"/>
      <c r="B255" s="51" t="n"/>
      <c r="C255" s="5" t="n"/>
      <c r="D255" s="52" t="n"/>
      <c r="E255" s="52" t="n"/>
      <c r="F255" s="52" t="n"/>
      <c r="G255" s="52" t="n"/>
      <c r="H255" s="52" t="n"/>
      <c r="I255" s="52" t="n"/>
      <c r="J255" s="52" t="n"/>
      <c r="K255" s="52" t="n"/>
      <c r="L255" s="51" t="n"/>
      <c r="M255" s="53">
        <f>IF(A255="","",IF(COUNTIF('AFA Rates'!$A$5:$A$1004,A255)&gt;0,"Yes","No"))</f>
        <v/>
      </c>
      <c r="N255" s="53">
        <f>IF(A255="","",COUNTIF('AFA Rates'!$A$5:$A$1004,A255))</f>
        <v/>
      </c>
      <c r="O255" s="54" t="n"/>
      <c r="P255" s="5" t="n"/>
      <c r="Q255" s="5" t="n"/>
      <c r="R255">
        <f>IF(AND(A255&lt;&gt;"",B255="Paused"),COUNTIFS($A$5:A255,"&lt;&gt;",$B$5:B255,"Paused"),"")</f>
        <v/>
      </c>
      <c r="S255">
        <f>IF(M255="Yes",COUNTIF($M$5:M255,"Yes"),"")</f>
        <v/>
      </c>
    </row>
    <row r="256">
      <c r="A256" s="5" t="n"/>
      <c r="B256" s="51" t="n"/>
      <c r="C256" s="5" t="n"/>
      <c r="D256" s="52" t="n"/>
      <c r="E256" s="52" t="n"/>
      <c r="F256" s="52" t="n"/>
      <c r="G256" s="52" t="n"/>
      <c r="H256" s="52" t="n"/>
      <c r="I256" s="52" t="n"/>
      <c r="J256" s="52" t="n"/>
      <c r="K256" s="52" t="n"/>
      <c r="L256" s="51" t="n"/>
      <c r="M256" s="53">
        <f>IF(A256="","",IF(COUNTIF('AFA Rates'!$A$5:$A$1004,A256)&gt;0,"Yes","No"))</f>
        <v/>
      </c>
      <c r="N256" s="53">
        <f>IF(A256="","",COUNTIF('AFA Rates'!$A$5:$A$1004,A256))</f>
        <v/>
      </c>
      <c r="O256" s="54" t="n"/>
      <c r="P256" s="5" t="n"/>
      <c r="Q256" s="5" t="n"/>
      <c r="R256">
        <f>IF(AND(A256&lt;&gt;"",B256="Paused"),COUNTIFS($A$5:A256,"&lt;&gt;",$B$5:B256,"Paused"),"")</f>
        <v/>
      </c>
      <c r="S256">
        <f>IF(M256="Yes",COUNTIF($M$5:M256,"Yes"),"")</f>
        <v/>
      </c>
    </row>
    <row r="257">
      <c r="A257" s="5" t="n"/>
      <c r="B257" s="51" t="n"/>
      <c r="C257" s="5" t="n"/>
      <c r="D257" s="52" t="n"/>
      <c r="E257" s="52" t="n"/>
      <c r="F257" s="52" t="n"/>
      <c r="G257" s="52" t="n"/>
      <c r="H257" s="52" t="n"/>
      <c r="I257" s="52" t="n"/>
      <c r="J257" s="52" t="n"/>
      <c r="K257" s="52" t="n"/>
      <c r="L257" s="51" t="n"/>
      <c r="M257" s="53">
        <f>IF(A257="","",IF(COUNTIF('AFA Rates'!$A$5:$A$1004,A257)&gt;0,"Yes","No"))</f>
        <v/>
      </c>
      <c r="N257" s="53">
        <f>IF(A257="","",COUNTIF('AFA Rates'!$A$5:$A$1004,A257))</f>
        <v/>
      </c>
      <c r="O257" s="54" t="n"/>
      <c r="P257" s="5" t="n"/>
      <c r="Q257" s="5" t="n"/>
      <c r="R257">
        <f>IF(AND(A257&lt;&gt;"",B257="Paused"),COUNTIFS($A$5:A257,"&lt;&gt;",$B$5:B257,"Paused"),"")</f>
        <v/>
      </c>
      <c r="S257">
        <f>IF(M257="Yes",COUNTIF($M$5:M257,"Yes"),"")</f>
        <v/>
      </c>
    </row>
    <row r="258">
      <c r="A258" s="5" t="n"/>
      <c r="B258" s="51" t="n"/>
      <c r="C258" s="5" t="n"/>
      <c r="D258" s="52" t="n"/>
      <c r="E258" s="52" t="n"/>
      <c r="F258" s="52" t="n"/>
      <c r="G258" s="52" t="n"/>
      <c r="H258" s="52" t="n"/>
      <c r="I258" s="52" t="n"/>
      <c r="J258" s="52" t="n"/>
      <c r="K258" s="52" t="n"/>
      <c r="L258" s="51" t="n"/>
      <c r="M258" s="53">
        <f>IF(A258="","",IF(COUNTIF('AFA Rates'!$A$5:$A$1004,A258)&gt;0,"Yes","No"))</f>
        <v/>
      </c>
      <c r="N258" s="53">
        <f>IF(A258="","",COUNTIF('AFA Rates'!$A$5:$A$1004,A258))</f>
        <v/>
      </c>
      <c r="O258" s="54" t="n"/>
      <c r="P258" s="5" t="n"/>
      <c r="Q258" s="5" t="n"/>
      <c r="R258">
        <f>IF(AND(A258&lt;&gt;"",B258="Paused"),COUNTIFS($A$5:A258,"&lt;&gt;",$B$5:B258,"Paused"),"")</f>
        <v/>
      </c>
      <c r="S258">
        <f>IF(M258="Yes",COUNTIF($M$5:M258,"Yes"),"")</f>
        <v/>
      </c>
    </row>
    <row r="259">
      <c r="A259" s="5" t="n"/>
      <c r="B259" s="51" t="n"/>
      <c r="C259" s="5" t="n"/>
      <c r="D259" s="52" t="n"/>
      <c r="E259" s="52" t="n"/>
      <c r="F259" s="52" t="n"/>
      <c r="G259" s="52" t="n"/>
      <c r="H259" s="52" t="n"/>
      <c r="I259" s="52" t="n"/>
      <c r="J259" s="52" t="n"/>
      <c r="K259" s="52" t="n"/>
      <c r="L259" s="51" t="n"/>
      <c r="M259" s="53">
        <f>IF(A259="","",IF(COUNTIF('AFA Rates'!$A$5:$A$1004,A259)&gt;0,"Yes","No"))</f>
        <v/>
      </c>
      <c r="N259" s="53">
        <f>IF(A259="","",COUNTIF('AFA Rates'!$A$5:$A$1004,A259))</f>
        <v/>
      </c>
      <c r="O259" s="54" t="n"/>
      <c r="P259" s="5" t="n"/>
      <c r="Q259" s="5" t="n"/>
      <c r="R259">
        <f>IF(AND(A259&lt;&gt;"",B259="Paused"),COUNTIFS($A$5:A259,"&lt;&gt;",$B$5:B259,"Paused"),"")</f>
        <v/>
      </c>
      <c r="S259">
        <f>IF(M259="Yes",COUNTIF($M$5:M259,"Yes"),"")</f>
        <v/>
      </c>
    </row>
    <row r="260">
      <c r="A260" s="5" t="n"/>
      <c r="B260" s="51" t="n"/>
      <c r="C260" s="5" t="n"/>
      <c r="D260" s="52" t="n"/>
      <c r="E260" s="52" t="n"/>
      <c r="F260" s="52" t="n"/>
      <c r="G260" s="52" t="n"/>
      <c r="H260" s="52" t="n"/>
      <c r="I260" s="52" t="n"/>
      <c r="J260" s="52" t="n"/>
      <c r="K260" s="52" t="n"/>
      <c r="L260" s="51" t="n"/>
      <c r="M260" s="53">
        <f>IF(A260="","",IF(COUNTIF('AFA Rates'!$A$5:$A$1004,A260)&gt;0,"Yes","No"))</f>
        <v/>
      </c>
      <c r="N260" s="53">
        <f>IF(A260="","",COUNTIF('AFA Rates'!$A$5:$A$1004,A260))</f>
        <v/>
      </c>
      <c r="O260" s="54" t="n"/>
      <c r="P260" s="5" t="n"/>
      <c r="Q260" s="5" t="n"/>
      <c r="R260">
        <f>IF(AND(A260&lt;&gt;"",B260="Paused"),COUNTIFS($A$5:A260,"&lt;&gt;",$B$5:B260,"Paused"),"")</f>
        <v/>
      </c>
      <c r="S260">
        <f>IF(M260="Yes",COUNTIF($M$5:M260,"Yes"),"")</f>
        <v/>
      </c>
    </row>
    <row r="261">
      <c r="A261" s="5" t="n"/>
      <c r="B261" s="51" t="n"/>
      <c r="C261" s="5" t="n"/>
      <c r="D261" s="52" t="n"/>
      <c r="E261" s="52" t="n"/>
      <c r="F261" s="52" t="n"/>
      <c r="G261" s="52" t="n"/>
      <c r="H261" s="52" t="n"/>
      <c r="I261" s="52" t="n"/>
      <c r="J261" s="52" t="n"/>
      <c r="K261" s="52" t="n"/>
      <c r="L261" s="51" t="n"/>
      <c r="M261" s="53">
        <f>IF(A261="","",IF(COUNTIF('AFA Rates'!$A$5:$A$1004,A261)&gt;0,"Yes","No"))</f>
        <v/>
      </c>
      <c r="N261" s="53">
        <f>IF(A261="","",COUNTIF('AFA Rates'!$A$5:$A$1004,A261))</f>
        <v/>
      </c>
      <c r="O261" s="54" t="n"/>
      <c r="P261" s="5" t="n"/>
      <c r="Q261" s="5" t="n"/>
      <c r="R261">
        <f>IF(AND(A261&lt;&gt;"",B261="Paused"),COUNTIFS($A$5:A261,"&lt;&gt;",$B$5:B261,"Paused"),"")</f>
        <v/>
      </c>
      <c r="S261">
        <f>IF(M261="Yes",COUNTIF($M$5:M261,"Yes"),"")</f>
        <v/>
      </c>
    </row>
    <row r="262">
      <c r="A262" s="5" t="n"/>
      <c r="B262" s="51" t="n"/>
      <c r="C262" s="5" t="n"/>
      <c r="D262" s="52" t="n"/>
      <c r="E262" s="52" t="n"/>
      <c r="F262" s="52" t="n"/>
      <c r="G262" s="52" t="n"/>
      <c r="H262" s="52" t="n"/>
      <c r="I262" s="52" t="n"/>
      <c r="J262" s="52" t="n"/>
      <c r="K262" s="52" t="n"/>
      <c r="L262" s="51" t="n"/>
      <c r="M262" s="53">
        <f>IF(A262="","",IF(COUNTIF('AFA Rates'!$A$5:$A$1004,A262)&gt;0,"Yes","No"))</f>
        <v/>
      </c>
      <c r="N262" s="53">
        <f>IF(A262="","",COUNTIF('AFA Rates'!$A$5:$A$1004,A262))</f>
        <v/>
      </c>
      <c r="O262" s="54" t="n"/>
      <c r="P262" s="5" t="n"/>
      <c r="Q262" s="5" t="n"/>
      <c r="R262">
        <f>IF(AND(A262&lt;&gt;"",B262="Paused"),COUNTIFS($A$5:A262,"&lt;&gt;",$B$5:B262,"Paused"),"")</f>
        <v/>
      </c>
      <c r="S262">
        <f>IF(M262="Yes",COUNTIF($M$5:M262,"Yes"),"")</f>
        <v/>
      </c>
    </row>
    <row r="263">
      <c r="A263" s="5" t="n"/>
      <c r="B263" s="51" t="n"/>
      <c r="C263" s="5" t="n"/>
      <c r="D263" s="52" t="n"/>
      <c r="E263" s="52" t="n"/>
      <c r="F263" s="52" t="n"/>
      <c r="G263" s="52" t="n"/>
      <c r="H263" s="52" t="n"/>
      <c r="I263" s="52" t="n"/>
      <c r="J263" s="52" t="n"/>
      <c r="K263" s="52" t="n"/>
      <c r="L263" s="51" t="n"/>
      <c r="M263" s="53">
        <f>IF(A263="","",IF(COUNTIF('AFA Rates'!$A$5:$A$1004,A263)&gt;0,"Yes","No"))</f>
        <v/>
      </c>
      <c r="N263" s="53">
        <f>IF(A263="","",COUNTIF('AFA Rates'!$A$5:$A$1004,A263))</f>
        <v/>
      </c>
      <c r="O263" s="54" t="n"/>
      <c r="P263" s="5" t="n"/>
      <c r="Q263" s="5" t="n"/>
      <c r="R263">
        <f>IF(AND(A263&lt;&gt;"",B263="Paused"),COUNTIFS($A$5:A263,"&lt;&gt;",$B$5:B263,"Paused"),"")</f>
        <v/>
      </c>
      <c r="S263">
        <f>IF(M263="Yes",COUNTIF($M$5:M263,"Yes"),"")</f>
        <v/>
      </c>
    </row>
    <row r="264">
      <c r="A264" s="5" t="n"/>
      <c r="B264" s="51" t="n"/>
      <c r="C264" s="5" t="n"/>
      <c r="D264" s="52" t="n"/>
      <c r="E264" s="52" t="n"/>
      <c r="F264" s="52" t="n"/>
      <c r="G264" s="52" t="n"/>
      <c r="H264" s="52" t="n"/>
      <c r="I264" s="52" t="n"/>
      <c r="J264" s="52" t="n"/>
      <c r="K264" s="52" t="n"/>
      <c r="L264" s="51" t="n"/>
      <c r="M264" s="53">
        <f>IF(A264="","",IF(COUNTIF('AFA Rates'!$A$5:$A$1004,A264)&gt;0,"Yes","No"))</f>
        <v/>
      </c>
      <c r="N264" s="53">
        <f>IF(A264="","",COUNTIF('AFA Rates'!$A$5:$A$1004,A264))</f>
        <v/>
      </c>
      <c r="O264" s="54" t="n"/>
      <c r="P264" s="5" t="n"/>
      <c r="Q264" s="5" t="n"/>
      <c r="R264">
        <f>IF(AND(A264&lt;&gt;"",B264="Paused"),COUNTIFS($A$5:A264,"&lt;&gt;",$B$5:B264,"Paused"),"")</f>
        <v/>
      </c>
      <c r="S264">
        <f>IF(M264="Yes",COUNTIF($M$5:M264,"Yes"),"")</f>
        <v/>
      </c>
    </row>
    <row r="265">
      <c r="A265" s="5" t="n"/>
      <c r="B265" s="51" t="n"/>
      <c r="C265" s="5" t="n"/>
      <c r="D265" s="52" t="n"/>
      <c r="E265" s="52" t="n"/>
      <c r="F265" s="52" t="n"/>
      <c r="G265" s="52" t="n"/>
      <c r="H265" s="52" t="n"/>
      <c r="I265" s="52" t="n"/>
      <c r="J265" s="52" t="n"/>
      <c r="K265" s="52" t="n"/>
      <c r="L265" s="51" t="n"/>
      <c r="M265" s="53">
        <f>IF(A265="","",IF(COUNTIF('AFA Rates'!$A$5:$A$1004,A265)&gt;0,"Yes","No"))</f>
        <v/>
      </c>
      <c r="N265" s="53">
        <f>IF(A265="","",COUNTIF('AFA Rates'!$A$5:$A$1004,A265))</f>
        <v/>
      </c>
      <c r="O265" s="54" t="n"/>
      <c r="P265" s="5" t="n"/>
      <c r="Q265" s="5" t="n"/>
      <c r="R265">
        <f>IF(AND(A265&lt;&gt;"",B265="Paused"),COUNTIFS($A$5:A265,"&lt;&gt;",$B$5:B265,"Paused"),"")</f>
        <v/>
      </c>
      <c r="S265">
        <f>IF(M265="Yes",COUNTIF($M$5:M265,"Yes"),"")</f>
        <v/>
      </c>
    </row>
    <row r="266">
      <c r="A266" s="5" t="n"/>
      <c r="B266" s="51" t="n"/>
      <c r="C266" s="5" t="n"/>
      <c r="D266" s="52" t="n"/>
      <c r="E266" s="52" t="n"/>
      <c r="F266" s="52" t="n"/>
      <c r="G266" s="52" t="n"/>
      <c r="H266" s="52" t="n"/>
      <c r="I266" s="52" t="n"/>
      <c r="J266" s="52" t="n"/>
      <c r="K266" s="52" t="n"/>
      <c r="L266" s="51" t="n"/>
      <c r="M266" s="53">
        <f>IF(A266="","",IF(COUNTIF('AFA Rates'!$A$5:$A$1004,A266)&gt;0,"Yes","No"))</f>
        <v/>
      </c>
      <c r="N266" s="53">
        <f>IF(A266="","",COUNTIF('AFA Rates'!$A$5:$A$1004,A266))</f>
        <v/>
      </c>
      <c r="O266" s="54" t="n"/>
      <c r="P266" s="5" t="n"/>
      <c r="Q266" s="5" t="n"/>
      <c r="R266">
        <f>IF(AND(A266&lt;&gt;"",B266="Paused"),COUNTIFS($A$5:A266,"&lt;&gt;",$B$5:B266,"Paused"),"")</f>
        <v/>
      </c>
      <c r="S266">
        <f>IF(M266="Yes",COUNTIF($M$5:M266,"Yes"),"")</f>
        <v/>
      </c>
    </row>
    <row r="267">
      <c r="A267" s="5" t="n"/>
      <c r="B267" s="51" t="n"/>
      <c r="C267" s="5" t="n"/>
      <c r="D267" s="52" t="n"/>
      <c r="E267" s="52" t="n"/>
      <c r="F267" s="52" t="n"/>
      <c r="G267" s="52" t="n"/>
      <c r="H267" s="52" t="n"/>
      <c r="I267" s="52" t="n"/>
      <c r="J267" s="52" t="n"/>
      <c r="K267" s="52" t="n"/>
      <c r="L267" s="51" t="n"/>
      <c r="M267" s="53">
        <f>IF(A267="","",IF(COUNTIF('AFA Rates'!$A$5:$A$1004,A267)&gt;0,"Yes","No"))</f>
        <v/>
      </c>
      <c r="N267" s="53">
        <f>IF(A267="","",COUNTIF('AFA Rates'!$A$5:$A$1004,A267))</f>
        <v/>
      </c>
      <c r="O267" s="54" t="n"/>
      <c r="P267" s="5" t="n"/>
      <c r="Q267" s="5" t="n"/>
      <c r="R267">
        <f>IF(AND(A267&lt;&gt;"",B267="Paused"),COUNTIFS($A$5:A267,"&lt;&gt;",$B$5:B267,"Paused"),"")</f>
        <v/>
      </c>
      <c r="S267">
        <f>IF(M267="Yes",COUNTIF($M$5:M267,"Yes"),"")</f>
        <v/>
      </c>
    </row>
    <row r="268">
      <c r="A268" s="5" t="n"/>
      <c r="B268" s="51" t="n"/>
      <c r="C268" s="5" t="n"/>
      <c r="D268" s="52" t="n"/>
      <c r="E268" s="52" t="n"/>
      <c r="F268" s="52" t="n"/>
      <c r="G268" s="52" t="n"/>
      <c r="H268" s="52" t="n"/>
      <c r="I268" s="52" t="n"/>
      <c r="J268" s="52" t="n"/>
      <c r="K268" s="52" t="n"/>
      <c r="L268" s="51" t="n"/>
      <c r="M268" s="53">
        <f>IF(A268="","",IF(COUNTIF('AFA Rates'!$A$5:$A$1004,A268)&gt;0,"Yes","No"))</f>
        <v/>
      </c>
      <c r="N268" s="53">
        <f>IF(A268="","",COUNTIF('AFA Rates'!$A$5:$A$1004,A268))</f>
        <v/>
      </c>
      <c r="O268" s="54" t="n"/>
      <c r="P268" s="5" t="n"/>
      <c r="Q268" s="5" t="n"/>
      <c r="R268">
        <f>IF(AND(A268&lt;&gt;"",B268="Paused"),COUNTIFS($A$5:A268,"&lt;&gt;",$B$5:B268,"Paused"),"")</f>
        <v/>
      </c>
      <c r="S268">
        <f>IF(M268="Yes",COUNTIF($M$5:M268,"Yes"),"")</f>
        <v/>
      </c>
    </row>
    <row r="269">
      <c r="A269" s="5" t="n"/>
      <c r="B269" s="51" t="n"/>
      <c r="C269" s="5" t="n"/>
      <c r="D269" s="52" t="n"/>
      <c r="E269" s="52" t="n"/>
      <c r="F269" s="52" t="n"/>
      <c r="G269" s="52" t="n"/>
      <c r="H269" s="52" t="n"/>
      <c r="I269" s="52" t="n"/>
      <c r="J269" s="52" t="n"/>
      <c r="K269" s="52" t="n"/>
      <c r="L269" s="51" t="n"/>
      <c r="M269" s="53">
        <f>IF(A269="","",IF(COUNTIF('AFA Rates'!$A$5:$A$1004,A269)&gt;0,"Yes","No"))</f>
        <v/>
      </c>
      <c r="N269" s="53">
        <f>IF(A269="","",COUNTIF('AFA Rates'!$A$5:$A$1004,A269))</f>
        <v/>
      </c>
      <c r="O269" s="54" t="n"/>
      <c r="P269" s="5" t="n"/>
      <c r="Q269" s="5" t="n"/>
      <c r="R269">
        <f>IF(AND(A269&lt;&gt;"",B269="Paused"),COUNTIFS($A$5:A269,"&lt;&gt;",$B$5:B269,"Paused"),"")</f>
        <v/>
      </c>
      <c r="S269">
        <f>IF(M269="Yes",COUNTIF($M$5:M269,"Yes"),"")</f>
        <v/>
      </c>
    </row>
    <row r="270">
      <c r="A270" s="5" t="n"/>
      <c r="B270" s="51" t="n"/>
      <c r="C270" s="5" t="n"/>
      <c r="D270" s="52" t="n"/>
      <c r="E270" s="52" t="n"/>
      <c r="F270" s="52" t="n"/>
      <c r="G270" s="52" t="n"/>
      <c r="H270" s="52" t="n"/>
      <c r="I270" s="52" t="n"/>
      <c r="J270" s="52" t="n"/>
      <c r="K270" s="52" t="n"/>
      <c r="L270" s="51" t="n"/>
      <c r="M270" s="53">
        <f>IF(A270="","",IF(COUNTIF('AFA Rates'!$A$5:$A$1004,A270)&gt;0,"Yes","No"))</f>
        <v/>
      </c>
      <c r="N270" s="53">
        <f>IF(A270="","",COUNTIF('AFA Rates'!$A$5:$A$1004,A270))</f>
        <v/>
      </c>
      <c r="O270" s="54" t="n"/>
      <c r="P270" s="5" t="n"/>
      <c r="Q270" s="5" t="n"/>
      <c r="R270">
        <f>IF(AND(A270&lt;&gt;"",B270="Paused"),COUNTIFS($A$5:A270,"&lt;&gt;",$B$5:B270,"Paused"),"")</f>
        <v/>
      </c>
      <c r="S270">
        <f>IF(M270="Yes",COUNTIF($M$5:M270,"Yes"),"")</f>
        <v/>
      </c>
    </row>
    <row r="271">
      <c r="A271" s="5" t="n"/>
      <c r="B271" s="51" t="n"/>
      <c r="C271" s="5" t="n"/>
      <c r="D271" s="52" t="n"/>
      <c r="E271" s="52" t="n"/>
      <c r="F271" s="52" t="n"/>
      <c r="G271" s="52" t="n"/>
      <c r="H271" s="52" t="n"/>
      <c r="I271" s="52" t="n"/>
      <c r="J271" s="52" t="n"/>
      <c r="K271" s="52" t="n"/>
      <c r="L271" s="51" t="n"/>
      <c r="M271" s="53">
        <f>IF(A271="","",IF(COUNTIF('AFA Rates'!$A$5:$A$1004,A271)&gt;0,"Yes","No"))</f>
        <v/>
      </c>
      <c r="N271" s="53">
        <f>IF(A271="","",COUNTIF('AFA Rates'!$A$5:$A$1004,A271))</f>
        <v/>
      </c>
      <c r="O271" s="54" t="n"/>
      <c r="P271" s="5" t="n"/>
      <c r="Q271" s="5" t="n"/>
      <c r="R271">
        <f>IF(AND(A271&lt;&gt;"",B271="Paused"),COUNTIFS($A$5:A271,"&lt;&gt;",$B$5:B271,"Paused"),"")</f>
        <v/>
      </c>
      <c r="S271">
        <f>IF(M271="Yes",COUNTIF($M$5:M271,"Yes"),"")</f>
        <v/>
      </c>
    </row>
    <row r="272">
      <c r="A272" s="5" t="n"/>
      <c r="B272" s="51" t="n"/>
      <c r="C272" s="5" t="n"/>
      <c r="D272" s="52" t="n"/>
      <c r="E272" s="52" t="n"/>
      <c r="F272" s="52" t="n"/>
      <c r="G272" s="52" t="n"/>
      <c r="H272" s="52" t="n"/>
      <c r="I272" s="52" t="n"/>
      <c r="J272" s="52" t="n"/>
      <c r="K272" s="52" t="n"/>
      <c r="L272" s="51" t="n"/>
      <c r="M272" s="53">
        <f>IF(A272="","",IF(COUNTIF('AFA Rates'!$A$5:$A$1004,A272)&gt;0,"Yes","No"))</f>
        <v/>
      </c>
      <c r="N272" s="53">
        <f>IF(A272="","",COUNTIF('AFA Rates'!$A$5:$A$1004,A272))</f>
        <v/>
      </c>
      <c r="O272" s="54" t="n"/>
      <c r="P272" s="5" t="n"/>
      <c r="Q272" s="5" t="n"/>
      <c r="R272">
        <f>IF(AND(A272&lt;&gt;"",B272="Paused"),COUNTIFS($A$5:A272,"&lt;&gt;",$B$5:B272,"Paused"),"")</f>
        <v/>
      </c>
      <c r="S272">
        <f>IF(M272="Yes",COUNTIF($M$5:M272,"Yes"),"")</f>
        <v/>
      </c>
    </row>
    <row r="273">
      <c r="A273" s="5" t="n"/>
      <c r="B273" s="51" t="n"/>
      <c r="C273" s="5" t="n"/>
      <c r="D273" s="52" t="n"/>
      <c r="E273" s="52" t="n"/>
      <c r="F273" s="52" t="n"/>
      <c r="G273" s="52" t="n"/>
      <c r="H273" s="52" t="n"/>
      <c r="I273" s="52" t="n"/>
      <c r="J273" s="52" t="n"/>
      <c r="K273" s="52" t="n"/>
      <c r="L273" s="51" t="n"/>
      <c r="M273" s="53">
        <f>IF(A273="","",IF(COUNTIF('AFA Rates'!$A$5:$A$1004,A273)&gt;0,"Yes","No"))</f>
        <v/>
      </c>
      <c r="N273" s="53">
        <f>IF(A273="","",COUNTIF('AFA Rates'!$A$5:$A$1004,A273))</f>
        <v/>
      </c>
      <c r="O273" s="54" t="n"/>
      <c r="P273" s="5" t="n"/>
      <c r="Q273" s="5" t="n"/>
      <c r="R273">
        <f>IF(AND(A273&lt;&gt;"",B273="Paused"),COUNTIFS($A$5:A273,"&lt;&gt;",$B$5:B273,"Paused"),"")</f>
        <v/>
      </c>
      <c r="S273">
        <f>IF(M273="Yes",COUNTIF($M$5:M273,"Yes"),"")</f>
        <v/>
      </c>
    </row>
    <row r="274">
      <c r="A274" s="5" t="n"/>
      <c r="B274" s="51" t="n"/>
      <c r="C274" s="5" t="n"/>
      <c r="D274" s="52" t="n"/>
      <c r="E274" s="52" t="n"/>
      <c r="F274" s="52" t="n"/>
      <c r="G274" s="52" t="n"/>
      <c r="H274" s="52" t="n"/>
      <c r="I274" s="52" t="n"/>
      <c r="J274" s="52" t="n"/>
      <c r="K274" s="52" t="n"/>
      <c r="L274" s="51" t="n"/>
      <c r="M274" s="53">
        <f>IF(A274="","",IF(COUNTIF('AFA Rates'!$A$5:$A$1004,A274)&gt;0,"Yes","No"))</f>
        <v/>
      </c>
      <c r="N274" s="53">
        <f>IF(A274="","",COUNTIF('AFA Rates'!$A$5:$A$1004,A274))</f>
        <v/>
      </c>
      <c r="O274" s="54" t="n"/>
      <c r="P274" s="5" t="n"/>
      <c r="Q274" s="5" t="n"/>
      <c r="R274">
        <f>IF(AND(A274&lt;&gt;"",B274="Paused"),COUNTIFS($A$5:A274,"&lt;&gt;",$B$5:B274,"Paused"),"")</f>
        <v/>
      </c>
      <c r="S274">
        <f>IF(M274="Yes",COUNTIF($M$5:M274,"Yes"),"")</f>
        <v/>
      </c>
    </row>
    <row r="275">
      <c r="A275" s="5" t="n"/>
      <c r="B275" s="51" t="n"/>
      <c r="C275" s="5" t="n"/>
      <c r="D275" s="52" t="n"/>
      <c r="E275" s="52" t="n"/>
      <c r="F275" s="52" t="n"/>
      <c r="G275" s="52" t="n"/>
      <c r="H275" s="52" t="n"/>
      <c r="I275" s="52" t="n"/>
      <c r="J275" s="52" t="n"/>
      <c r="K275" s="52" t="n"/>
      <c r="L275" s="51" t="n"/>
      <c r="M275" s="53">
        <f>IF(A275="","",IF(COUNTIF('AFA Rates'!$A$5:$A$1004,A275)&gt;0,"Yes","No"))</f>
        <v/>
      </c>
      <c r="N275" s="53">
        <f>IF(A275="","",COUNTIF('AFA Rates'!$A$5:$A$1004,A275))</f>
        <v/>
      </c>
      <c r="O275" s="54" t="n"/>
      <c r="P275" s="5" t="n"/>
      <c r="Q275" s="5" t="n"/>
      <c r="R275">
        <f>IF(AND(A275&lt;&gt;"",B275="Paused"),COUNTIFS($A$5:A275,"&lt;&gt;",$B$5:B275,"Paused"),"")</f>
        <v/>
      </c>
      <c r="S275">
        <f>IF(M275="Yes",COUNTIF($M$5:M275,"Yes"),"")</f>
        <v/>
      </c>
    </row>
    <row r="276">
      <c r="A276" s="5" t="n"/>
      <c r="B276" s="51" t="n"/>
      <c r="C276" s="5" t="n"/>
      <c r="D276" s="52" t="n"/>
      <c r="E276" s="52" t="n"/>
      <c r="F276" s="52" t="n"/>
      <c r="G276" s="52" t="n"/>
      <c r="H276" s="52" t="n"/>
      <c r="I276" s="52" t="n"/>
      <c r="J276" s="52" t="n"/>
      <c r="K276" s="52" t="n"/>
      <c r="L276" s="51" t="n"/>
      <c r="M276" s="53">
        <f>IF(A276="","",IF(COUNTIF('AFA Rates'!$A$5:$A$1004,A276)&gt;0,"Yes","No"))</f>
        <v/>
      </c>
      <c r="N276" s="53">
        <f>IF(A276="","",COUNTIF('AFA Rates'!$A$5:$A$1004,A276))</f>
        <v/>
      </c>
      <c r="O276" s="54" t="n"/>
      <c r="P276" s="5" t="n"/>
      <c r="Q276" s="5" t="n"/>
      <c r="R276">
        <f>IF(AND(A276&lt;&gt;"",B276="Paused"),COUNTIFS($A$5:A276,"&lt;&gt;",$B$5:B276,"Paused"),"")</f>
        <v/>
      </c>
      <c r="S276">
        <f>IF(M276="Yes",COUNTIF($M$5:M276,"Yes"),"")</f>
        <v/>
      </c>
    </row>
    <row r="277">
      <c r="A277" s="5" t="n"/>
      <c r="B277" s="51" t="n"/>
      <c r="C277" s="5" t="n"/>
      <c r="D277" s="52" t="n"/>
      <c r="E277" s="52" t="n"/>
      <c r="F277" s="52" t="n"/>
      <c r="G277" s="52" t="n"/>
      <c r="H277" s="52" t="n"/>
      <c r="I277" s="52" t="n"/>
      <c r="J277" s="52" t="n"/>
      <c r="K277" s="52" t="n"/>
      <c r="L277" s="51" t="n"/>
      <c r="M277" s="53">
        <f>IF(A277="","",IF(COUNTIF('AFA Rates'!$A$5:$A$1004,A277)&gt;0,"Yes","No"))</f>
        <v/>
      </c>
      <c r="N277" s="53">
        <f>IF(A277="","",COUNTIF('AFA Rates'!$A$5:$A$1004,A277))</f>
        <v/>
      </c>
      <c r="O277" s="54" t="n"/>
      <c r="P277" s="5" t="n"/>
      <c r="Q277" s="5" t="n"/>
      <c r="R277">
        <f>IF(AND(A277&lt;&gt;"",B277="Paused"),COUNTIFS($A$5:A277,"&lt;&gt;",$B$5:B277,"Paused"),"")</f>
        <v/>
      </c>
      <c r="S277">
        <f>IF(M277="Yes",COUNTIF($M$5:M277,"Yes"),"")</f>
        <v/>
      </c>
    </row>
    <row r="278">
      <c r="A278" s="5" t="n"/>
      <c r="B278" s="51" t="n"/>
      <c r="C278" s="5" t="n"/>
      <c r="D278" s="52" t="n"/>
      <c r="E278" s="52" t="n"/>
      <c r="F278" s="52" t="n"/>
      <c r="G278" s="52" t="n"/>
      <c r="H278" s="52" t="n"/>
      <c r="I278" s="52" t="n"/>
      <c r="J278" s="52" t="n"/>
      <c r="K278" s="52" t="n"/>
      <c r="L278" s="51" t="n"/>
      <c r="M278" s="53">
        <f>IF(A278="","",IF(COUNTIF('AFA Rates'!$A$5:$A$1004,A278)&gt;0,"Yes","No"))</f>
        <v/>
      </c>
      <c r="N278" s="53">
        <f>IF(A278="","",COUNTIF('AFA Rates'!$A$5:$A$1004,A278))</f>
        <v/>
      </c>
      <c r="O278" s="54" t="n"/>
      <c r="P278" s="5" t="n"/>
      <c r="Q278" s="5" t="n"/>
      <c r="R278">
        <f>IF(AND(A278&lt;&gt;"",B278="Paused"),COUNTIFS($A$5:A278,"&lt;&gt;",$B$5:B278,"Paused"),"")</f>
        <v/>
      </c>
      <c r="S278">
        <f>IF(M278="Yes",COUNTIF($M$5:M278,"Yes"),"")</f>
        <v/>
      </c>
    </row>
    <row r="279">
      <c r="A279" s="5" t="n"/>
      <c r="B279" s="51" t="n"/>
      <c r="C279" s="5" t="n"/>
      <c r="D279" s="52" t="n"/>
      <c r="E279" s="52" t="n"/>
      <c r="F279" s="52" t="n"/>
      <c r="G279" s="52" t="n"/>
      <c r="H279" s="52" t="n"/>
      <c r="I279" s="52" t="n"/>
      <c r="J279" s="52" t="n"/>
      <c r="K279" s="52" t="n"/>
      <c r="L279" s="51" t="n"/>
      <c r="M279" s="53">
        <f>IF(A279="","",IF(COUNTIF('AFA Rates'!$A$5:$A$1004,A279)&gt;0,"Yes","No"))</f>
        <v/>
      </c>
      <c r="N279" s="53">
        <f>IF(A279="","",COUNTIF('AFA Rates'!$A$5:$A$1004,A279))</f>
        <v/>
      </c>
      <c r="O279" s="54" t="n"/>
      <c r="P279" s="5" t="n"/>
      <c r="Q279" s="5" t="n"/>
      <c r="R279">
        <f>IF(AND(A279&lt;&gt;"",B279="Paused"),COUNTIFS($A$5:A279,"&lt;&gt;",$B$5:B279,"Paused"),"")</f>
        <v/>
      </c>
      <c r="S279">
        <f>IF(M279="Yes",COUNTIF($M$5:M279,"Yes"),"")</f>
        <v/>
      </c>
    </row>
    <row r="280">
      <c r="A280" s="5" t="n"/>
      <c r="B280" s="51" t="n"/>
      <c r="C280" s="5" t="n"/>
      <c r="D280" s="52" t="n"/>
      <c r="E280" s="52" t="n"/>
      <c r="F280" s="52" t="n"/>
      <c r="G280" s="52" t="n"/>
      <c r="H280" s="52" t="n"/>
      <c r="I280" s="52" t="n"/>
      <c r="J280" s="52" t="n"/>
      <c r="K280" s="52" t="n"/>
      <c r="L280" s="51" t="n"/>
      <c r="M280" s="53">
        <f>IF(A280="","",IF(COUNTIF('AFA Rates'!$A$5:$A$1004,A280)&gt;0,"Yes","No"))</f>
        <v/>
      </c>
      <c r="N280" s="53">
        <f>IF(A280="","",COUNTIF('AFA Rates'!$A$5:$A$1004,A280))</f>
        <v/>
      </c>
      <c r="O280" s="54" t="n"/>
      <c r="P280" s="5" t="n"/>
      <c r="Q280" s="5" t="n"/>
      <c r="R280">
        <f>IF(AND(A280&lt;&gt;"",B280="Paused"),COUNTIFS($A$5:A280,"&lt;&gt;",$B$5:B280,"Paused"),"")</f>
        <v/>
      </c>
      <c r="S280">
        <f>IF(M280="Yes",COUNTIF($M$5:M280,"Yes"),"")</f>
        <v/>
      </c>
    </row>
    <row r="281">
      <c r="A281" s="5" t="n"/>
      <c r="B281" s="51" t="n"/>
      <c r="C281" s="5" t="n"/>
      <c r="D281" s="52" t="n"/>
      <c r="E281" s="52" t="n"/>
      <c r="F281" s="52" t="n"/>
      <c r="G281" s="52" t="n"/>
      <c r="H281" s="52" t="n"/>
      <c r="I281" s="52" t="n"/>
      <c r="J281" s="52" t="n"/>
      <c r="K281" s="52" t="n"/>
      <c r="L281" s="51" t="n"/>
      <c r="M281" s="53">
        <f>IF(A281="","",IF(COUNTIF('AFA Rates'!$A$5:$A$1004,A281)&gt;0,"Yes","No"))</f>
        <v/>
      </c>
      <c r="N281" s="53">
        <f>IF(A281="","",COUNTIF('AFA Rates'!$A$5:$A$1004,A281))</f>
        <v/>
      </c>
      <c r="O281" s="54" t="n"/>
      <c r="P281" s="5" t="n"/>
      <c r="Q281" s="5" t="n"/>
      <c r="R281">
        <f>IF(AND(A281&lt;&gt;"",B281="Paused"),COUNTIFS($A$5:A281,"&lt;&gt;",$B$5:B281,"Paused"),"")</f>
        <v/>
      </c>
      <c r="S281">
        <f>IF(M281="Yes",COUNTIF($M$5:M281,"Yes"),"")</f>
        <v/>
      </c>
    </row>
    <row r="282">
      <c r="A282" s="5" t="n"/>
      <c r="B282" s="51" t="n"/>
      <c r="C282" s="5" t="n"/>
      <c r="D282" s="52" t="n"/>
      <c r="E282" s="52" t="n"/>
      <c r="F282" s="52" t="n"/>
      <c r="G282" s="52" t="n"/>
      <c r="H282" s="52" t="n"/>
      <c r="I282" s="52" t="n"/>
      <c r="J282" s="52" t="n"/>
      <c r="K282" s="52" t="n"/>
      <c r="L282" s="51" t="n"/>
      <c r="M282" s="53">
        <f>IF(A282="","",IF(COUNTIF('AFA Rates'!$A$5:$A$1004,A282)&gt;0,"Yes","No"))</f>
        <v/>
      </c>
      <c r="N282" s="53">
        <f>IF(A282="","",COUNTIF('AFA Rates'!$A$5:$A$1004,A282))</f>
        <v/>
      </c>
      <c r="O282" s="54" t="n"/>
      <c r="P282" s="5" t="n"/>
      <c r="Q282" s="5" t="n"/>
      <c r="R282">
        <f>IF(AND(A282&lt;&gt;"",B282="Paused"),COUNTIFS($A$5:A282,"&lt;&gt;",$B$5:B282,"Paused"),"")</f>
        <v/>
      </c>
      <c r="S282">
        <f>IF(M282="Yes",COUNTIF($M$5:M282,"Yes"),"")</f>
        <v/>
      </c>
    </row>
    <row r="283">
      <c r="A283" s="5" t="n"/>
      <c r="B283" s="51" t="n"/>
      <c r="C283" s="5" t="n"/>
      <c r="D283" s="52" t="n"/>
      <c r="E283" s="52" t="n"/>
      <c r="F283" s="52" t="n"/>
      <c r="G283" s="52" t="n"/>
      <c r="H283" s="52" t="n"/>
      <c r="I283" s="52" t="n"/>
      <c r="J283" s="52" t="n"/>
      <c r="K283" s="52" t="n"/>
      <c r="L283" s="51" t="n"/>
      <c r="M283" s="53">
        <f>IF(A283="","",IF(COUNTIF('AFA Rates'!$A$5:$A$1004,A283)&gt;0,"Yes","No"))</f>
        <v/>
      </c>
      <c r="N283" s="53">
        <f>IF(A283="","",COUNTIF('AFA Rates'!$A$5:$A$1004,A283))</f>
        <v/>
      </c>
      <c r="O283" s="54" t="n"/>
      <c r="P283" s="5" t="n"/>
      <c r="Q283" s="5" t="n"/>
      <c r="R283">
        <f>IF(AND(A283&lt;&gt;"",B283="Paused"),COUNTIFS($A$5:A283,"&lt;&gt;",$B$5:B283,"Paused"),"")</f>
        <v/>
      </c>
      <c r="S283">
        <f>IF(M283="Yes",COUNTIF($M$5:M283,"Yes"),"")</f>
        <v/>
      </c>
    </row>
    <row r="284">
      <c r="A284" s="5" t="n"/>
      <c r="B284" s="51" t="n"/>
      <c r="C284" s="5" t="n"/>
      <c r="D284" s="52" t="n"/>
      <c r="E284" s="52" t="n"/>
      <c r="F284" s="52" t="n"/>
      <c r="G284" s="52" t="n"/>
      <c r="H284" s="52" t="n"/>
      <c r="I284" s="52" t="n"/>
      <c r="J284" s="52" t="n"/>
      <c r="K284" s="52" t="n"/>
      <c r="L284" s="51" t="n"/>
      <c r="M284" s="53">
        <f>IF(A284="","",IF(COUNTIF('AFA Rates'!$A$5:$A$1004,A284)&gt;0,"Yes","No"))</f>
        <v/>
      </c>
      <c r="N284" s="53">
        <f>IF(A284="","",COUNTIF('AFA Rates'!$A$5:$A$1004,A284))</f>
        <v/>
      </c>
      <c r="O284" s="54" t="n"/>
      <c r="P284" s="5" t="n"/>
      <c r="Q284" s="5" t="n"/>
      <c r="R284">
        <f>IF(AND(A284&lt;&gt;"",B284="Paused"),COUNTIFS($A$5:A284,"&lt;&gt;",$B$5:B284,"Paused"),"")</f>
        <v/>
      </c>
      <c r="S284">
        <f>IF(M284="Yes",COUNTIF($M$5:M284,"Yes"),"")</f>
        <v/>
      </c>
    </row>
    <row r="285">
      <c r="A285" s="5" t="n"/>
      <c r="B285" s="51" t="n"/>
      <c r="C285" s="5" t="n"/>
      <c r="D285" s="52" t="n"/>
      <c r="E285" s="52" t="n"/>
      <c r="F285" s="52" t="n"/>
      <c r="G285" s="52" t="n"/>
      <c r="H285" s="52" t="n"/>
      <c r="I285" s="52" t="n"/>
      <c r="J285" s="52" t="n"/>
      <c r="K285" s="52" t="n"/>
      <c r="L285" s="51" t="n"/>
      <c r="M285" s="53">
        <f>IF(A285="","",IF(COUNTIF('AFA Rates'!$A$5:$A$1004,A285)&gt;0,"Yes","No"))</f>
        <v/>
      </c>
      <c r="N285" s="53">
        <f>IF(A285="","",COUNTIF('AFA Rates'!$A$5:$A$1004,A285))</f>
        <v/>
      </c>
      <c r="O285" s="54" t="n"/>
      <c r="P285" s="5" t="n"/>
      <c r="Q285" s="5" t="n"/>
      <c r="R285">
        <f>IF(AND(A285&lt;&gt;"",B285="Paused"),COUNTIFS($A$5:A285,"&lt;&gt;",$B$5:B285,"Paused"),"")</f>
        <v/>
      </c>
      <c r="S285">
        <f>IF(M285="Yes",COUNTIF($M$5:M285,"Yes"),"")</f>
        <v/>
      </c>
    </row>
    <row r="286">
      <c r="A286" s="5" t="n"/>
      <c r="B286" s="51" t="n"/>
      <c r="C286" s="5" t="n"/>
      <c r="D286" s="52" t="n"/>
      <c r="E286" s="52" t="n"/>
      <c r="F286" s="52" t="n"/>
      <c r="G286" s="52" t="n"/>
      <c r="H286" s="52" t="n"/>
      <c r="I286" s="52" t="n"/>
      <c r="J286" s="52" t="n"/>
      <c r="K286" s="52" t="n"/>
      <c r="L286" s="51" t="n"/>
      <c r="M286" s="53">
        <f>IF(A286="","",IF(COUNTIF('AFA Rates'!$A$5:$A$1004,A286)&gt;0,"Yes","No"))</f>
        <v/>
      </c>
      <c r="N286" s="53">
        <f>IF(A286="","",COUNTIF('AFA Rates'!$A$5:$A$1004,A286))</f>
        <v/>
      </c>
      <c r="O286" s="54" t="n"/>
      <c r="P286" s="5" t="n"/>
      <c r="Q286" s="5" t="n"/>
      <c r="R286">
        <f>IF(AND(A286&lt;&gt;"",B286="Paused"),COUNTIFS($A$5:A286,"&lt;&gt;",$B$5:B286,"Paused"),"")</f>
        <v/>
      </c>
      <c r="S286">
        <f>IF(M286="Yes",COUNTIF($M$5:M286,"Yes"),"")</f>
        <v/>
      </c>
    </row>
    <row r="287">
      <c r="A287" s="5" t="n"/>
      <c r="B287" s="51" t="n"/>
      <c r="C287" s="5" t="n"/>
      <c r="D287" s="52" t="n"/>
      <c r="E287" s="52" t="n"/>
      <c r="F287" s="52" t="n"/>
      <c r="G287" s="52" t="n"/>
      <c r="H287" s="52" t="n"/>
      <c r="I287" s="52" t="n"/>
      <c r="J287" s="52" t="n"/>
      <c r="K287" s="52" t="n"/>
      <c r="L287" s="51" t="n"/>
      <c r="M287" s="53">
        <f>IF(A287="","",IF(COUNTIF('AFA Rates'!$A$5:$A$1004,A287)&gt;0,"Yes","No"))</f>
        <v/>
      </c>
      <c r="N287" s="53">
        <f>IF(A287="","",COUNTIF('AFA Rates'!$A$5:$A$1004,A287))</f>
        <v/>
      </c>
      <c r="O287" s="54" t="n"/>
      <c r="P287" s="5" t="n"/>
      <c r="Q287" s="5" t="n"/>
      <c r="R287">
        <f>IF(AND(A287&lt;&gt;"",B287="Paused"),COUNTIFS($A$5:A287,"&lt;&gt;",$B$5:B287,"Paused"),"")</f>
        <v/>
      </c>
      <c r="S287">
        <f>IF(M287="Yes",COUNTIF($M$5:M287,"Yes"),"")</f>
        <v/>
      </c>
    </row>
    <row r="288">
      <c r="A288" s="5" t="n"/>
      <c r="B288" s="51" t="n"/>
      <c r="C288" s="5" t="n"/>
      <c r="D288" s="52" t="n"/>
      <c r="E288" s="52" t="n"/>
      <c r="F288" s="52" t="n"/>
      <c r="G288" s="52" t="n"/>
      <c r="H288" s="52" t="n"/>
      <c r="I288" s="52" t="n"/>
      <c r="J288" s="52" t="n"/>
      <c r="K288" s="52" t="n"/>
      <c r="L288" s="51" t="n"/>
      <c r="M288" s="53">
        <f>IF(A288="","",IF(COUNTIF('AFA Rates'!$A$5:$A$1004,A288)&gt;0,"Yes","No"))</f>
        <v/>
      </c>
      <c r="N288" s="53">
        <f>IF(A288="","",COUNTIF('AFA Rates'!$A$5:$A$1004,A288))</f>
        <v/>
      </c>
      <c r="O288" s="54" t="n"/>
      <c r="P288" s="5" t="n"/>
      <c r="Q288" s="5" t="n"/>
      <c r="R288">
        <f>IF(AND(A288&lt;&gt;"",B288="Paused"),COUNTIFS($A$5:A288,"&lt;&gt;",$B$5:B288,"Paused"),"")</f>
        <v/>
      </c>
      <c r="S288">
        <f>IF(M288="Yes",COUNTIF($M$5:M288,"Yes"),"")</f>
        <v/>
      </c>
    </row>
    <row r="289">
      <c r="A289" s="5" t="n"/>
      <c r="B289" s="51" t="n"/>
      <c r="C289" s="5" t="n"/>
      <c r="D289" s="52" t="n"/>
      <c r="E289" s="52" t="n"/>
      <c r="F289" s="52" t="n"/>
      <c r="G289" s="52" t="n"/>
      <c r="H289" s="52" t="n"/>
      <c r="I289" s="52" t="n"/>
      <c r="J289" s="52" t="n"/>
      <c r="K289" s="52" t="n"/>
      <c r="L289" s="51" t="n"/>
      <c r="M289" s="53">
        <f>IF(A289="","",IF(COUNTIF('AFA Rates'!$A$5:$A$1004,A289)&gt;0,"Yes","No"))</f>
        <v/>
      </c>
      <c r="N289" s="53">
        <f>IF(A289="","",COUNTIF('AFA Rates'!$A$5:$A$1004,A289))</f>
        <v/>
      </c>
      <c r="O289" s="54" t="n"/>
      <c r="P289" s="5" t="n"/>
      <c r="Q289" s="5" t="n"/>
      <c r="R289">
        <f>IF(AND(A289&lt;&gt;"",B289="Paused"),COUNTIFS($A$5:A289,"&lt;&gt;",$B$5:B289,"Paused"),"")</f>
        <v/>
      </c>
      <c r="S289">
        <f>IF(M289="Yes",COUNTIF($M$5:M289,"Yes"),"")</f>
        <v/>
      </c>
    </row>
    <row r="290">
      <c r="A290" s="5" t="n"/>
      <c r="B290" s="51" t="n"/>
      <c r="C290" s="5" t="n"/>
      <c r="D290" s="52" t="n"/>
      <c r="E290" s="52" t="n"/>
      <c r="F290" s="52" t="n"/>
      <c r="G290" s="52" t="n"/>
      <c r="H290" s="52" t="n"/>
      <c r="I290" s="52" t="n"/>
      <c r="J290" s="52" t="n"/>
      <c r="K290" s="52" t="n"/>
      <c r="L290" s="51" t="n"/>
      <c r="M290" s="53">
        <f>IF(A290="","",IF(COUNTIF('AFA Rates'!$A$5:$A$1004,A290)&gt;0,"Yes","No"))</f>
        <v/>
      </c>
      <c r="N290" s="53">
        <f>IF(A290="","",COUNTIF('AFA Rates'!$A$5:$A$1004,A290))</f>
        <v/>
      </c>
      <c r="O290" s="54" t="n"/>
      <c r="P290" s="5" t="n"/>
      <c r="Q290" s="5" t="n"/>
      <c r="R290">
        <f>IF(AND(A290&lt;&gt;"",B290="Paused"),COUNTIFS($A$5:A290,"&lt;&gt;",$B$5:B290,"Paused"),"")</f>
        <v/>
      </c>
      <c r="S290">
        <f>IF(M290="Yes",COUNTIF($M$5:M290,"Yes"),"")</f>
        <v/>
      </c>
    </row>
    <row r="291">
      <c r="A291" s="5" t="n"/>
      <c r="B291" s="51" t="n"/>
      <c r="C291" s="5" t="n"/>
      <c r="D291" s="52" t="n"/>
      <c r="E291" s="52" t="n"/>
      <c r="F291" s="52" t="n"/>
      <c r="G291" s="52" t="n"/>
      <c r="H291" s="52" t="n"/>
      <c r="I291" s="52" t="n"/>
      <c r="J291" s="52" t="n"/>
      <c r="K291" s="52" t="n"/>
      <c r="L291" s="51" t="n"/>
      <c r="M291" s="53">
        <f>IF(A291="","",IF(COUNTIF('AFA Rates'!$A$5:$A$1004,A291)&gt;0,"Yes","No"))</f>
        <v/>
      </c>
      <c r="N291" s="53">
        <f>IF(A291="","",COUNTIF('AFA Rates'!$A$5:$A$1004,A291))</f>
        <v/>
      </c>
      <c r="O291" s="54" t="n"/>
      <c r="P291" s="5" t="n"/>
      <c r="Q291" s="5" t="n"/>
      <c r="R291">
        <f>IF(AND(A291&lt;&gt;"",B291="Paused"),COUNTIFS($A$5:A291,"&lt;&gt;",$B$5:B291,"Paused"),"")</f>
        <v/>
      </c>
      <c r="S291">
        <f>IF(M291="Yes",COUNTIF($M$5:M291,"Yes"),"")</f>
        <v/>
      </c>
    </row>
    <row r="292">
      <c r="A292" s="5" t="n"/>
      <c r="B292" s="51" t="n"/>
      <c r="C292" s="5" t="n"/>
      <c r="D292" s="52" t="n"/>
      <c r="E292" s="52" t="n"/>
      <c r="F292" s="52" t="n"/>
      <c r="G292" s="52" t="n"/>
      <c r="H292" s="52" t="n"/>
      <c r="I292" s="52" t="n"/>
      <c r="J292" s="52" t="n"/>
      <c r="K292" s="52" t="n"/>
      <c r="L292" s="51" t="n"/>
      <c r="M292" s="53">
        <f>IF(A292="","",IF(COUNTIF('AFA Rates'!$A$5:$A$1004,A292)&gt;0,"Yes","No"))</f>
        <v/>
      </c>
      <c r="N292" s="53">
        <f>IF(A292="","",COUNTIF('AFA Rates'!$A$5:$A$1004,A292))</f>
        <v/>
      </c>
      <c r="O292" s="54" t="n"/>
      <c r="P292" s="5" t="n"/>
      <c r="Q292" s="5" t="n"/>
      <c r="R292">
        <f>IF(AND(A292&lt;&gt;"",B292="Paused"),COUNTIFS($A$5:A292,"&lt;&gt;",$B$5:B292,"Paused"),"")</f>
        <v/>
      </c>
      <c r="S292">
        <f>IF(M292="Yes",COUNTIF($M$5:M292,"Yes"),"")</f>
        <v/>
      </c>
    </row>
    <row r="293">
      <c r="A293" s="5" t="n"/>
      <c r="B293" s="51" t="n"/>
      <c r="C293" s="5" t="n"/>
      <c r="D293" s="52" t="n"/>
      <c r="E293" s="52" t="n"/>
      <c r="F293" s="52" t="n"/>
      <c r="G293" s="52" t="n"/>
      <c r="H293" s="52" t="n"/>
      <c r="I293" s="52" t="n"/>
      <c r="J293" s="52" t="n"/>
      <c r="K293" s="52" t="n"/>
      <c r="L293" s="51" t="n"/>
      <c r="M293" s="53">
        <f>IF(A293="","",IF(COUNTIF('AFA Rates'!$A$5:$A$1004,A293)&gt;0,"Yes","No"))</f>
        <v/>
      </c>
      <c r="N293" s="53">
        <f>IF(A293="","",COUNTIF('AFA Rates'!$A$5:$A$1004,A293))</f>
        <v/>
      </c>
      <c r="O293" s="54" t="n"/>
      <c r="P293" s="5" t="n"/>
      <c r="Q293" s="5" t="n"/>
      <c r="R293">
        <f>IF(AND(A293&lt;&gt;"",B293="Paused"),COUNTIFS($A$5:A293,"&lt;&gt;",$B$5:B293,"Paused"),"")</f>
        <v/>
      </c>
      <c r="S293">
        <f>IF(M293="Yes",COUNTIF($M$5:M293,"Yes"),"")</f>
        <v/>
      </c>
    </row>
    <row r="294">
      <c r="A294" s="5" t="n"/>
      <c r="B294" s="51" t="n"/>
      <c r="C294" s="5" t="n"/>
      <c r="D294" s="52" t="n"/>
      <c r="E294" s="52" t="n"/>
      <c r="F294" s="52" t="n"/>
      <c r="G294" s="52" t="n"/>
      <c r="H294" s="52" t="n"/>
      <c r="I294" s="52" t="n"/>
      <c r="J294" s="52" t="n"/>
      <c r="K294" s="52" t="n"/>
      <c r="L294" s="51" t="n"/>
      <c r="M294" s="53">
        <f>IF(A294="","",IF(COUNTIF('AFA Rates'!$A$5:$A$1004,A294)&gt;0,"Yes","No"))</f>
        <v/>
      </c>
      <c r="N294" s="53">
        <f>IF(A294="","",COUNTIF('AFA Rates'!$A$5:$A$1004,A294))</f>
        <v/>
      </c>
      <c r="O294" s="54" t="n"/>
      <c r="P294" s="5" t="n"/>
      <c r="Q294" s="5" t="n"/>
      <c r="R294">
        <f>IF(AND(A294&lt;&gt;"",B294="Paused"),COUNTIFS($A$5:A294,"&lt;&gt;",$B$5:B294,"Paused"),"")</f>
        <v/>
      </c>
      <c r="S294">
        <f>IF(M294="Yes",COUNTIF($M$5:M294,"Yes"),"")</f>
        <v/>
      </c>
    </row>
    <row r="295">
      <c r="A295" s="5" t="n"/>
      <c r="B295" s="51" t="n"/>
      <c r="C295" s="5" t="n"/>
      <c r="D295" s="52" t="n"/>
      <c r="E295" s="52" t="n"/>
      <c r="F295" s="52" t="n"/>
      <c r="G295" s="52" t="n"/>
      <c r="H295" s="52" t="n"/>
      <c r="I295" s="52" t="n"/>
      <c r="J295" s="52" t="n"/>
      <c r="K295" s="52" t="n"/>
      <c r="L295" s="51" t="n"/>
      <c r="M295" s="53">
        <f>IF(A295="","",IF(COUNTIF('AFA Rates'!$A$5:$A$1004,A295)&gt;0,"Yes","No"))</f>
        <v/>
      </c>
      <c r="N295" s="53">
        <f>IF(A295="","",COUNTIF('AFA Rates'!$A$5:$A$1004,A295))</f>
        <v/>
      </c>
      <c r="O295" s="54" t="n"/>
      <c r="P295" s="5" t="n"/>
      <c r="Q295" s="5" t="n"/>
      <c r="R295">
        <f>IF(AND(A295&lt;&gt;"",B295="Paused"),COUNTIFS($A$5:A295,"&lt;&gt;",$B$5:B295,"Paused"),"")</f>
        <v/>
      </c>
      <c r="S295">
        <f>IF(M295="Yes",COUNTIF($M$5:M295,"Yes"),"")</f>
        <v/>
      </c>
    </row>
    <row r="296">
      <c r="A296" s="5" t="n"/>
      <c r="B296" s="51" t="n"/>
      <c r="C296" s="5" t="n"/>
      <c r="D296" s="52" t="n"/>
      <c r="E296" s="52" t="n"/>
      <c r="F296" s="52" t="n"/>
      <c r="G296" s="52" t="n"/>
      <c r="H296" s="52" t="n"/>
      <c r="I296" s="52" t="n"/>
      <c r="J296" s="52" t="n"/>
      <c r="K296" s="52" t="n"/>
      <c r="L296" s="51" t="n"/>
      <c r="M296" s="53">
        <f>IF(A296="","",IF(COUNTIF('AFA Rates'!$A$5:$A$1004,A296)&gt;0,"Yes","No"))</f>
        <v/>
      </c>
      <c r="N296" s="53">
        <f>IF(A296="","",COUNTIF('AFA Rates'!$A$5:$A$1004,A296))</f>
        <v/>
      </c>
      <c r="O296" s="54" t="n"/>
      <c r="P296" s="5" t="n"/>
      <c r="Q296" s="5" t="n"/>
      <c r="R296">
        <f>IF(AND(A296&lt;&gt;"",B296="Paused"),COUNTIFS($A$5:A296,"&lt;&gt;",$B$5:B296,"Paused"),"")</f>
        <v/>
      </c>
      <c r="S296">
        <f>IF(M296="Yes",COUNTIF($M$5:M296,"Yes"),"")</f>
        <v/>
      </c>
    </row>
    <row r="297">
      <c r="A297" s="5" t="n"/>
      <c r="B297" s="51" t="n"/>
      <c r="C297" s="5" t="n"/>
      <c r="D297" s="52" t="n"/>
      <c r="E297" s="52" t="n"/>
      <c r="F297" s="52" t="n"/>
      <c r="G297" s="52" t="n"/>
      <c r="H297" s="52" t="n"/>
      <c r="I297" s="52" t="n"/>
      <c r="J297" s="52" t="n"/>
      <c r="K297" s="52" t="n"/>
      <c r="L297" s="51" t="n"/>
      <c r="M297" s="53">
        <f>IF(A297="","",IF(COUNTIF('AFA Rates'!$A$5:$A$1004,A297)&gt;0,"Yes","No"))</f>
        <v/>
      </c>
      <c r="N297" s="53">
        <f>IF(A297="","",COUNTIF('AFA Rates'!$A$5:$A$1004,A297))</f>
        <v/>
      </c>
      <c r="O297" s="54" t="n"/>
      <c r="P297" s="5" t="n"/>
      <c r="Q297" s="5" t="n"/>
      <c r="R297">
        <f>IF(AND(A297&lt;&gt;"",B297="Paused"),COUNTIFS($A$5:A297,"&lt;&gt;",$B$5:B297,"Paused"),"")</f>
        <v/>
      </c>
      <c r="S297">
        <f>IF(M297="Yes",COUNTIF($M$5:M297,"Yes"),"")</f>
        <v/>
      </c>
    </row>
    <row r="298">
      <c r="A298" s="5" t="n"/>
      <c r="B298" s="51" t="n"/>
      <c r="C298" s="5" t="n"/>
      <c r="D298" s="52" t="n"/>
      <c r="E298" s="52" t="n"/>
      <c r="F298" s="52" t="n"/>
      <c r="G298" s="52" t="n"/>
      <c r="H298" s="52" t="n"/>
      <c r="I298" s="52" t="n"/>
      <c r="J298" s="52" t="n"/>
      <c r="K298" s="52" t="n"/>
      <c r="L298" s="51" t="n"/>
      <c r="M298" s="53">
        <f>IF(A298="","",IF(COUNTIF('AFA Rates'!$A$5:$A$1004,A298)&gt;0,"Yes","No"))</f>
        <v/>
      </c>
      <c r="N298" s="53">
        <f>IF(A298="","",COUNTIF('AFA Rates'!$A$5:$A$1004,A298))</f>
        <v/>
      </c>
      <c r="O298" s="54" t="n"/>
      <c r="P298" s="5" t="n"/>
      <c r="Q298" s="5" t="n"/>
      <c r="R298">
        <f>IF(AND(A298&lt;&gt;"",B298="Paused"),COUNTIFS($A$5:A298,"&lt;&gt;",$B$5:B298,"Paused"),"")</f>
        <v/>
      </c>
      <c r="S298">
        <f>IF(M298="Yes",COUNTIF($M$5:M298,"Yes"),"")</f>
        <v/>
      </c>
    </row>
    <row r="299">
      <c r="A299" s="5" t="n"/>
      <c r="B299" s="51" t="n"/>
      <c r="C299" s="5" t="n"/>
      <c r="D299" s="52" t="n"/>
      <c r="E299" s="52" t="n"/>
      <c r="F299" s="52" t="n"/>
      <c r="G299" s="52" t="n"/>
      <c r="H299" s="52" t="n"/>
      <c r="I299" s="52" t="n"/>
      <c r="J299" s="52" t="n"/>
      <c r="K299" s="52" t="n"/>
      <c r="L299" s="51" t="n"/>
      <c r="M299" s="53">
        <f>IF(A299="","",IF(COUNTIF('AFA Rates'!$A$5:$A$1004,A299)&gt;0,"Yes","No"))</f>
        <v/>
      </c>
      <c r="N299" s="53">
        <f>IF(A299="","",COUNTIF('AFA Rates'!$A$5:$A$1004,A299))</f>
        <v/>
      </c>
      <c r="O299" s="54" t="n"/>
      <c r="P299" s="5" t="n"/>
      <c r="Q299" s="5" t="n"/>
      <c r="R299">
        <f>IF(AND(A299&lt;&gt;"",B299="Paused"),COUNTIFS($A$5:A299,"&lt;&gt;",$B$5:B299,"Paused"),"")</f>
        <v/>
      </c>
      <c r="S299">
        <f>IF(M299="Yes",COUNTIF($M$5:M299,"Yes"),"")</f>
        <v/>
      </c>
    </row>
    <row r="300">
      <c r="A300" s="5" t="n"/>
      <c r="B300" s="51" t="n"/>
      <c r="C300" s="5" t="n"/>
      <c r="D300" s="52" t="n"/>
      <c r="E300" s="52" t="n"/>
      <c r="F300" s="52" t="n"/>
      <c r="G300" s="52" t="n"/>
      <c r="H300" s="52" t="n"/>
      <c r="I300" s="52" t="n"/>
      <c r="J300" s="52" t="n"/>
      <c r="K300" s="52" t="n"/>
      <c r="L300" s="51" t="n"/>
      <c r="M300" s="53">
        <f>IF(A300="","",IF(COUNTIF('AFA Rates'!$A$5:$A$1004,A300)&gt;0,"Yes","No"))</f>
        <v/>
      </c>
      <c r="N300" s="53">
        <f>IF(A300="","",COUNTIF('AFA Rates'!$A$5:$A$1004,A300))</f>
        <v/>
      </c>
      <c r="O300" s="54" t="n"/>
      <c r="P300" s="5" t="n"/>
      <c r="Q300" s="5" t="n"/>
      <c r="R300">
        <f>IF(AND(A300&lt;&gt;"",B300="Paused"),COUNTIFS($A$5:A300,"&lt;&gt;",$B$5:B300,"Paused"),"")</f>
        <v/>
      </c>
      <c r="S300">
        <f>IF(M300="Yes",COUNTIF($M$5:M300,"Yes"),"")</f>
        <v/>
      </c>
    </row>
    <row r="301">
      <c r="A301" s="5" t="n"/>
      <c r="B301" s="51" t="n"/>
      <c r="C301" s="5" t="n"/>
      <c r="D301" s="52" t="n"/>
      <c r="E301" s="52" t="n"/>
      <c r="F301" s="52" t="n"/>
      <c r="G301" s="52" t="n"/>
      <c r="H301" s="52" t="n"/>
      <c r="I301" s="52" t="n"/>
      <c r="J301" s="52" t="n"/>
      <c r="K301" s="52" t="n"/>
      <c r="L301" s="51" t="n"/>
      <c r="M301" s="53">
        <f>IF(A301="","",IF(COUNTIF('AFA Rates'!$A$5:$A$1004,A301)&gt;0,"Yes","No"))</f>
        <v/>
      </c>
      <c r="N301" s="53">
        <f>IF(A301="","",COUNTIF('AFA Rates'!$A$5:$A$1004,A301))</f>
        <v/>
      </c>
      <c r="O301" s="54" t="n"/>
      <c r="P301" s="5" t="n"/>
      <c r="Q301" s="5" t="n"/>
      <c r="R301">
        <f>IF(AND(A301&lt;&gt;"",B301="Paused"),COUNTIFS($A$5:A301,"&lt;&gt;",$B$5:B301,"Paused"),"")</f>
        <v/>
      </c>
      <c r="S301">
        <f>IF(M301="Yes",COUNTIF($M$5:M301,"Yes"),"")</f>
        <v/>
      </c>
    </row>
    <row r="302">
      <c r="A302" s="5" t="n"/>
      <c r="B302" s="51" t="n"/>
      <c r="C302" s="5" t="n"/>
      <c r="D302" s="52" t="n"/>
      <c r="E302" s="52" t="n"/>
      <c r="F302" s="52" t="n"/>
      <c r="G302" s="52" t="n"/>
      <c r="H302" s="52" t="n"/>
      <c r="I302" s="52" t="n"/>
      <c r="J302" s="52" t="n"/>
      <c r="K302" s="52" t="n"/>
      <c r="L302" s="51" t="n"/>
      <c r="M302" s="53">
        <f>IF(A302="","",IF(COUNTIF('AFA Rates'!$A$5:$A$1004,A302)&gt;0,"Yes","No"))</f>
        <v/>
      </c>
      <c r="N302" s="53">
        <f>IF(A302="","",COUNTIF('AFA Rates'!$A$5:$A$1004,A302))</f>
        <v/>
      </c>
      <c r="O302" s="54" t="n"/>
      <c r="P302" s="5" t="n"/>
      <c r="Q302" s="5" t="n"/>
      <c r="R302">
        <f>IF(AND(A302&lt;&gt;"",B302="Paused"),COUNTIFS($A$5:A302,"&lt;&gt;",$B$5:B302,"Paused"),"")</f>
        <v/>
      </c>
      <c r="S302">
        <f>IF(M302="Yes",COUNTIF($M$5:M302,"Yes"),"")</f>
        <v/>
      </c>
    </row>
    <row r="303">
      <c r="A303" s="5" t="n"/>
      <c r="B303" s="51" t="n"/>
      <c r="C303" s="5" t="n"/>
      <c r="D303" s="52" t="n"/>
      <c r="E303" s="52" t="n"/>
      <c r="F303" s="52" t="n"/>
      <c r="G303" s="52" t="n"/>
      <c r="H303" s="52" t="n"/>
      <c r="I303" s="52" t="n"/>
      <c r="J303" s="52" t="n"/>
      <c r="K303" s="52" t="n"/>
      <c r="L303" s="51" t="n"/>
      <c r="M303" s="53">
        <f>IF(A303="","",IF(COUNTIF('AFA Rates'!$A$5:$A$1004,A303)&gt;0,"Yes","No"))</f>
        <v/>
      </c>
      <c r="N303" s="53">
        <f>IF(A303="","",COUNTIF('AFA Rates'!$A$5:$A$1004,A303))</f>
        <v/>
      </c>
      <c r="O303" s="54" t="n"/>
      <c r="P303" s="5" t="n"/>
      <c r="Q303" s="5" t="n"/>
      <c r="R303">
        <f>IF(AND(A303&lt;&gt;"",B303="Paused"),COUNTIFS($A$5:A303,"&lt;&gt;",$B$5:B303,"Paused"),"")</f>
        <v/>
      </c>
      <c r="S303">
        <f>IF(M303="Yes",COUNTIF($M$5:M303,"Yes"),"")</f>
        <v/>
      </c>
    </row>
    <row r="304">
      <c r="A304" s="5" t="n"/>
      <c r="B304" s="51" t="n"/>
      <c r="C304" s="5" t="n"/>
      <c r="D304" s="52" t="n"/>
      <c r="E304" s="52" t="n"/>
      <c r="F304" s="52" t="n"/>
      <c r="G304" s="52" t="n"/>
      <c r="H304" s="52" t="n"/>
      <c r="I304" s="52" t="n"/>
      <c r="J304" s="52" t="n"/>
      <c r="K304" s="52" t="n"/>
      <c r="L304" s="51" t="n"/>
      <c r="M304" s="53">
        <f>IF(A304="","",IF(COUNTIF('AFA Rates'!$A$5:$A$1004,A304)&gt;0,"Yes","No"))</f>
        <v/>
      </c>
      <c r="N304" s="53">
        <f>IF(A304="","",COUNTIF('AFA Rates'!$A$5:$A$1004,A304))</f>
        <v/>
      </c>
      <c r="O304" s="54" t="n"/>
      <c r="P304" s="5" t="n"/>
      <c r="Q304" s="5" t="n"/>
      <c r="R304">
        <f>IF(AND(A304&lt;&gt;"",B304="Paused"),COUNTIFS($A$5:A304,"&lt;&gt;",$B$5:B304,"Paused"),"")</f>
        <v/>
      </c>
      <c r="S304">
        <f>IF(M304="Yes",COUNTIF($M$5:M304,"Yes"),"")</f>
        <v/>
      </c>
    </row>
    <row r="305">
      <c r="A305" s="5" t="n"/>
      <c r="B305" s="51" t="n"/>
      <c r="C305" s="5" t="n"/>
      <c r="D305" s="52" t="n"/>
      <c r="E305" s="52" t="n"/>
      <c r="F305" s="52" t="n"/>
      <c r="G305" s="52" t="n"/>
      <c r="H305" s="52" t="n"/>
      <c r="I305" s="52" t="n"/>
      <c r="J305" s="52" t="n"/>
      <c r="K305" s="52" t="n"/>
      <c r="L305" s="51" t="n"/>
      <c r="M305" s="53">
        <f>IF(A305="","",IF(COUNTIF('AFA Rates'!$A$5:$A$1004,A305)&gt;0,"Yes","No"))</f>
        <v/>
      </c>
      <c r="N305" s="53">
        <f>IF(A305="","",COUNTIF('AFA Rates'!$A$5:$A$1004,A305))</f>
        <v/>
      </c>
      <c r="O305" s="54" t="n"/>
      <c r="P305" s="5" t="n"/>
      <c r="Q305" s="5" t="n"/>
      <c r="R305">
        <f>IF(AND(A305&lt;&gt;"",B305="Paused"),COUNTIFS($A$5:A305,"&lt;&gt;",$B$5:B305,"Paused"),"")</f>
        <v/>
      </c>
      <c r="S305">
        <f>IF(M305="Yes",COUNTIF($M$5:M305,"Yes"),"")</f>
        <v/>
      </c>
    </row>
    <row r="306">
      <c r="A306" s="5" t="n"/>
      <c r="B306" s="51" t="n"/>
      <c r="C306" s="5" t="n"/>
      <c r="D306" s="52" t="n"/>
      <c r="E306" s="52" t="n"/>
      <c r="F306" s="52" t="n"/>
      <c r="G306" s="52" t="n"/>
      <c r="H306" s="52" t="n"/>
      <c r="I306" s="52" t="n"/>
      <c r="J306" s="52" t="n"/>
      <c r="K306" s="52" t="n"/>
      <c r="L306" s="51" t="n"/>
      <c r="M306" s="53">
        <f>IF(A306="","",IF(COUNTIF('AFA Rates'!$A$5:$A$1004,A306)&gt;0,"Yes","No"))</f>
        <v/>
      </c>
      <c r="N306" s="53">
        <f>IF(A306="","",COUNTIF('AFA Rates'!$A$5:$A$1004,A306))</f>
        <v/>
      </c>
      <c r="O306" s="54" t="n"/>
      <c r="P306" s="5" t="n"/>
      <c r="Q306" s="5" t="n"/>
      <c r="R306">
        <f>IF(AND(A306&lt;&gt;"",B306="Paused"),COUNTIFS($A$5:A306,"&lt;&gt;",$B$5:B306,"Paused"),"")</f>
        <v/>
      </c>
      <c r="S306">
        <f>IF(M306="Yes",COUNTIF($M$5:M306,"Yes"),"")</f>
        <v/>
      </c>
    </row>
    <row r="307">
      <c r="A307" s="5" t="n"/>
      <c r="B307" s="51" t="n"/>
      <c r="C307" s="5" t="n"/>
      <c r="D307" s="52" t="n"/>
      <c r="E307" s="52" t="n"/>
      <c r="F307" s="52" t="n"/>
      <c r="G307" s="52" t="n"/>
      <c r="H307" s="52" t="n"/>
      <c r="I307" s="52" t="n"/>
      <c r="J307" s="52" t="n"/>
      <c r="K307" s="52" t="n"/>
      <c r="L307" s="51" t="n"/>
      <c r="M307" s="53">
        <f>IF(A307="","",IF(COUNTIF('AFA Rates'!$A$5:$A$1004,A307)&gt;0,"Yes","No"))</f>
        <v/>
      </c>
      <c r="N307" s="53">
        <f>IF(A307="","",COUNTIF('AFA Rates'!$A$5:$A$1004,A307))</f>
        <v/>
      </c>
      <c r="O307" s="54" t="n"/>
      <c r="P307" s="5" t="n"/>
      <c r="Q307" s="5" t="n"/>
      <c r="R307">
        <f>IF(AND(A307&lt;&gt;"",B307="Paused"),COUNTIFS($A$5:A307,"&lt;&gt;",$B$5:B307,"Paused"),"")</f>
        <v/>
      </c>
      <c r="S307">
        <f>IF(M307="Yes",COUNTIF($M$5:M307,"Yes"),"")</f>
        <v/>
      </c>
    </row>
    <row r="308">
      <c r="A308" s="5" t="n"/>
      <c r="B308" s="51" t="n"/>
      <c r="C308" s="5" t="n"/>
      <c r="D308" s="52" t="n"/>
      <c r="E308" s="52" t="n"/>
      <c r="F308" s="52" t="n"/>
      <c r="G308" s="52" t="n"/>
      <c r="H308" s="52" t="n"/>
      <c r="I308" s="52" t="n"/>
      <c r="J308" s="52" t="n"/>
      <c r="K308" s="52" t="n"/>
      <c r="L308" s="51" t="n"/>
      <c r="M308" s="53">
        <f>IF(A308="","",IF(COUNTIF('AFA Rates'!$A$5:$A$1004,A308)&gt;0,"Yes","No"))</f>
        <v/>
      </c>
      <c r="N308" s="53">
        <f>IF(A308="","",COUNTIF('AFA Rates'!$A$5:$A$1004,A308))</f>
        <v/>
      </c>
      <c r="O308" s="54" t="n"/>
      <c r="P308" s="5" t="n"/>
      <c r="Q308" s="5" t="n"/>
      <c r="R308">
        <f>IF(AND(A308&lt;&gt;"",B308="Paused"),COUNTIFS($A$5:A308,"&lt;&gt;",$B$5:B308,"Paused"),"")</f>
        <v/>
      </c>
      <c r="S308">
        <f>IF(M308="Yes",COUNTIF($M$5:M308,"Yes"),"")</f>
        <v/>
      </c>
    </row>
    <row r="309">
      <c r="A309" s="5" t="n"/>
      <c r="B309" s="51" t="n"/>
      <c r="C309" s="5" t="n"/>
      <c r="D309" s="52" t="n"/>
      <c r="E309" s="52" t="n"/>
      <c r="F309" s="52" t="n"/>
      <c r="G309" s="52" t="n"/>
      <c r="H309" s="52" t="n"/>
      <c r="I309" s="52" t="n"/>
      <c r="J309" s="52" t="n"/>
      <c r="K309" s="52" t="n"/>
      <c r="L309" s="51" t="n"/>
      <c r="M309" s="53">
        <f>IF(A309="","",IF(COUNTIF('AFA Rates'!$A$5:$A$1004,A309)&gt;0,"Yes","No"))</f>
        <v/>
      </c>
      <c r="N309" s="53">
        <f>IF(A309="","",COUNTIF('AFA Rates'!$A$5:$A$1004,A309))</f>
        <v/>
      </c>
      <c r="O309" s="54" t="n"/>
      <c r="P309" s="5" t="n"/>
      <c r="Q309" s="5" t="n"/>
      <c r="R309">
        <f>IF(AND(A309&lt;&gt;"",B309="Paused"),COUNTIFS($A$5:A309,"&lt;&gt;",$B$5:B309,"Paused"),"")</f>
        <v/>
      </c>
      <c r="S309">
        <f>IF(M309="Yes",COUNTIF($M$5:M309,"Yes"),"")</f>
        <v/>
      </c>
    </row>
    <row r="310">
      <c r="A310" s="5" t="n"/>
      <c r="B310" s="51" t="n"/>
      <c r="C310" s="5" t="n"/>
      <c r="D310" s="52" t="n"/>
      <c r="E310" s="52" t="n"/>
      <c r="F310" s="52" t="n"/>
      <c r="G310" s="52" t="n"/>
      <c r="H310" s="52" t="n"/>
      <c r="I310" s="52" t="n"/>
      <c r="J310" s="52" t="n"/>
      <c r="K310" s="52" t="n"/>
      <c r="L310" s="51" t="n"/>
      <c r="M310" s="53">
        <f>IF(A310="","",IF(COUNTIF('AFA Rates'!$A$5:$A$1004,A310)&gt;0,"Yes","No"))</f>
        <v/>
      </c>
      <c r="N310" s="53">
        <f>IF(A310="","",COUNTIF('AFA Rates'!$A$5:$A$1004,A310))</f>
        <v/>
      </c>
      <c r="O310" s="54" t="n"/>
      <c r="P310" s="5" t="n"/>
      <c r="Q310" s="5" t="n"/>
      <c r="R310">
        <f>IF(AND(A310&lt;&gt;"",B310="Paused"),COUNTIFS($A$5:A310,"&lt;&gt;",$B$5:B310,"Paused"),"")</f>
        <v/>
      </c>
      <c r="S310">
        <f>IF(M310="Yes",COUNTIF($M$5:M310,"Yes"),"")</f>
        <v/>
      </c>
    </row>
    <row r="311">
      <c r="A311" s="5" t="n"/>
      <c r="B311" s="51" t="n"/>
      <c r="C311" s="5" t="n"/>
      <c r="D311" s="52" t="n"/>
      <c r="E311" s="52" t="n"/>
      <c r="F311" s="52" t="n"/>
      <c r="G311" s="52" t="n"/>
      <c r="H311" s="52" t="n"/>
      <c r="I311" s="52" t="n"/>
      <c r="J311" s="52" t="n"/>
      <c r="K311" s="52" t="n"/>
      <c r="L311" s="51" t="n"/>
      <c r="M311" s="53">
        <f>IF(A311="","",IF(COUNTIF('AFA Rates'!$A$5:$A$1004,A311)&gt;0,"Yes","No"))</f>
        <v/>
      </c>
      <c r="N311" s="53">
        <f>IF(A311="","",COUNTIF('AFA Rates'!$A$5:$A$1004,A311))</f>
        <v/>
      </c>
      <c r="O311" s="54" t="n"/>
      <c r="P311" s="5" t="n"/>
      <c r="Q311" s="5" t="n"/>
      <c r="R311">
        <f>IF(AND(A311&lt;&gt;"",B311="Paused"),COUNTIFS($A$5:A311,"&lt;&gt;",$B$5:B311,"Paused"),"")</f>
        <v/>
      </c>
      <c r="S311">
        <f>IF(M311="Yes",COUNTIF($M$5:M311,"Yes"),"")</f>
        <v/>
      </c>
    </row>
    <row r="312">
      <c r="A312" s="5" t="n"/>
      <c r="B312" s="51" t="n"/>
      <c r="C312" s="5" t="n"/>
      <c r="D312" s="52" t="n"/>
      <c r="E312" s="52" t="n"/>
      <c r="F312" s="52" t="n"/>
      <c r="G312" s="52" t="n"/>
      <c r="H312" s="52" t="n"/>
      <c r="I312" s="52" t="n"/>
      <c r="J312" s="52" t="n"/>
      <c r="K312" s="52" t="n"/>
      <c r="L312" s="51" t="n"/>
      <c r="M312" s="53">
        <f>IF(A312="","",IF(COUNTIF('AFA Rates'!$A$5:$A$1004,A312)&gt;0,"Yes","No"))</f>
        <v/>
      </c>
      <c r="N312" s="53">
        <f>IF(A312="","",COUNTIF('AFA Rates'!$A$5:$A$1004,A312))</f>
        <v/>
      </c>
      <c r="O312" s="54" t="n"/>
      <c r="P312" s="5" t="n"/>
      <c r="Q312" s="5" t="n"/>
      <c r="R312">
        <f>IF(AND(A312&lt;&gt;"",B312="Paused"),COUNTIFS($A$5:A312,"&lt;&gt;",$B$5:B312,"Paused"),"")</f>
        <v/>
      </c>
      <c r="S312">
        <f>IF(M312="Yes",COUNTIF($M$5:M312,"Yes"),"")</f>
        <v/>
      </c>
    </row>
    <row r="313">
      <c r="A313" s="5" t="n"/>
      <c r="B313" s="51" t="n"/>
      <c r="C313" s="5" t="n"/>
      <c r="D313" s="52" t="n"/>
      <c r="E313" s="52" t="n"/>
      <c r="F313" s="52" t="n"/>
      <c r="G313" s="52" t="n"/>
      <c r="H313" s="52" t="n"/>
      <c r="I313" s="52" t="n"/>
      <c r="J313" s="52" t="n"/>
      <c r="K313" s="52" t="n"/>
      <c r="L313" s="51" t="n"/>
      <c r="M313" s="53">
        <f>IF(A313="","",IF(COUNTIF('AFA Rates'!$A$5:$A$1004,A313)&gt;0,"Yes","No"))</f>
        <v/>
      </c>
      <c r="N313" s="53">
        <f>IF(A313="","",COUNTIF('AFA Rates'!$A$5:$A$1004,A313))</f>
        <v/>
      </c>
      <c r="O313" s="54" t="n"/>
      <c r="P313" s="5" t="n"/>
      <c r="Q313" s="5" t="n"/>
      <c r="R313">
        <f>IF(AND(A313&lt;&gt;"",B313="Paused"),COUNTIFS($A$5:A313,"&lt;&gt;",$B$5:B313,"Paused"),"")</f>
        <v/>
      </c>
      <c r="S313">
        <f>IF(M313="Yes",COUNTIF($M$5:M313,"Yes"),"")</f>
        <v/>
      </c>
    </row>
    <row r="314">
      <c r="A314" s="5" t="n"/>
      <c r="B314" s="51" t="n"/>
      <c r="C314" s="5" t="n"/>
      <c r="D314" s="52" t="n"/>
      <c r="E314" s="52" t="n"/>
      <c r="F314" s="52" t="n"/>
      <c r="G314" s="52" t="n"/>
      <c r="H314" s="52" t="n"/>
      <c r="I314" s="52" t="n"/>
      <c r="J314" s="52" t="n"/>
      <c r="K314" s="52" t="n"/>
      <c r="L314" s="51" t="n"/>
      <c r="M314" s="53">
        <f>IF(A314="","",IF(COUNTIF('AFA Rates'!$A$5:$A$1004,A314)&gt;0,"Yes","No"))</f>
        <v/>
      </c>
      <c r="N314" s="53">
        <f>IF(A314="","",COUNTIF('AFA Rates'!$A$5:$A$1004,A314))</f>
        <v/>
      </c>
      <c r="O314" s="54" t="n"/>
      <c r="P314" s="5" t="n"/>
      <c r="Q314" s="5" t="n"/>
      <c r="R314">
        <f>IF(AND(A314&lt;&gt;"",B314="Paused"),COUNTIFS($A$5:A314,"&lt;&gt;",$B$5:B314,"Paused"),"")</f>
        <v/>
      </c>
      <c r="S314">
        <f>IF(M314="Yes",COUNTIF($M$5:M314,"Yes"),"")</f>
        <v/>
      </c>
    </row>
    <row r="315">
      <c r="A315" s="5" t="n"/>
      <c r="B315" s="51" t="n"/>
      <c r="C315" s="5" t="n"/>
      <c r="D315" s="52" t="n"/>
      <c r="E315" s="52" t="n"/>
      <c r="F315" s="52" t="n"/>
      <c r="G315" s="52" t="n"/>
      <c r="H315" s="52" t="n"/>
      <c r="I315" s="52" t="n"/>
      <c r="J315" s="52" t="n"/>
      <c r="K315" s="52" t="n"/>
      <c r="L315" s="51" t="n"/>
      <c r="M315" s="53">
        <f>IF(A315="","",IF(COUNTIF('AFA Rates'!$A$5:$A$1004,A315)&gt;0,"Yes","No"))</f>
        <v/>
      </c>
      <c r="N315" s="53">
        <f>IF(A315="","",COUNTIF('AFA Rates'!$A$5:$A$1004,A315))</f>
        <v/>
      </c>
      <c r="O315" s="54" t="n"/>
      <c r="P315" s="5" t="n"/>
      <c r="Q315" s="5" t="n"/>
      <c r="R315">
        <f>IF(AND(A315&lt;&gt;"",B315="Paused"),COUNTIFS($A$5:A315,"&lt;&gt;",$B$5:B315,"Paused"),"")</f>
        <v/>
      </c>
      <c r="S315">
        <f>IF(M315="Yes",COUNTIF($M$5:M315,"Yes"),"")</f>
        <v/>
      </c>
    </row>
    <row r="316">
      <c r="A316" s="5" t="n"/>
      <c r="B316" s="51" t="n"/>
      <c r="C316" s="5" t="n"/>
      <c r="D316" s="52" t="n"/>
      <c r="E316" s="52" t="n"/>
      <c r="F316" s="52" t="n"/>
      <c r="G316" s="52" t="n"/>
      <c r="H316" s="52" t="n"/>
      <c r="I316" s="52" t="n"/>
      <c r="J316" s="52" t="n"/>
      <c r="K316" s="52" t="n"/>
      <c r="L316" s="51" t="n"/>
      <c r="M316" s="53">
        <f>IF(A316="","",IF(COUNTIF('AFA Rates'!$A$5:$A$1004,A316)&gt;0,"Yes","No"))</f>
        <v/>
      </c>
      <c r="N316" s="53">
        <f>IF(A316="","",COUNTIF('AFA Rates'!$A$5:$A$1004,A316))</f>
        <v/>
      </c>
      <c r="O316" s="54" t="n"/>
      <c r="P316" s="5" t="n"/>
      <c r="Q316" s="5" t="n"/>
      <c r="R316">
        <f>IF(AND(A316&lt;&gt;"",B316="Paused"),COUNTIFS($A$5:A316,"&lt;&gt;",$B$5:B316,"Paused"),"")</f>
        <v/>
      </c>
      <c r="S316">
        <f>IF(M316="Yes",COUNTIF($M$5:M316,"Yes"),"")</f>
        <v/>
      </c>
    </row>
    <row r="317">
      <c r="A317" s="5" t="n"/>
      <c r="B317" s="51" t="n"/>
      <c r="C317" s="5" t="n"/>
      <c r="D317" s="52" t="n"/>
      <c r="E317" s="52" t="n"/>
      <c r="F317" s="52" t="n"/>
      <c r="G317" s="52" t="n"/>
      <c r="H317" s="52" t="n"/>
      <c r="I317" s="52" t="n"/>
      <c r="J317" s="52" t="n"/>
      <c r="K317" s="52" t="n"/>
      <c r="L317" s="51" t="n"/>
      <c r="M317" s="53">
        <f>IF(A317="","",IF(COUNTIF('AFA Rates'!$A$5:$A$1004,A317)&gt;0,"Yes","No"))</f>
        <v/>
      </c>
      <c r="N317" s="53">
        <f>IF(A317="","",COUNTIF('AFA Rates'!$A$5:$A$1004,A317))</f>
        <v/>
      </c>
      <c r="O317" s="54" t="n"/>
      <c r="P317" s="5" t="n"/>
      <c r="Q317" s="5" t="n"/>
      <c r="R317">
        <f>IF(AND(A317&lt;&gt;"",B317="Paused"),COUNTIFS($A$5:A317,"&lt;&gt;",$B$5:B317,"Paused"),"")</f>
        <v/>
      </c>
      <c r="S317">
        <f>IF(M317="Yes",COUNTIF($M$5:M317,"Yes"),"")</f>
        <v/>
      </c>
    </row>
    <row r="318">
      <c r="A318" s="5" t="n"/>
      <c r="B318" s="51" t="n"/>
      <c r="C318" s="5" t="n"/>
      <c r="D318" s="52" t="n"/>
      <c r="E318" s="52" t="n"/>
      <c r="F318" s="52" t="n"/>
      <c r="G318" s="52" t="n"/>
      <c r="H318" s="52" t="n"/>
      <c r="I318" s="52" t="n"/>
      <c r="J318" s="52" t="n"/>
      <c r="K318" s="52" t="n"/>
      <c r="L318" s="51" t="n"/>
      <c r="M318" s="53">
        <f>IF(A318="","",IF(COUNTIF('AFA Rates'!$A$5:$A$1004,A318)&gt;0,"Yes","No"))</f>
        <v/>
      </c>
      <c r="N318" s="53">
        <f>IF(A318="","",COUNTIF('AFA Rates'!$A$5:$A$1004,A318))</f>
        <v/>
      </c>
      <c r="O318" s="54" t="n"/>
      <c r="P318" s="5" t="n"/>
      <c r="Q318" s="5" t="n"/>
      <c r="R318">
        <f>IF(AND(A318&lt;&gt;"",B318="Paused"),COUNTIFS($A$5:A318,"&lt;&gt;",$B$5:B318,"Paused"),"")</f>
        <v/>
      </c>
      <c r="S318">
        <f>IF(M318="Yes",COUNTIF($M$5:M318,"Yes"),"")</f>
        <v/>
      </c>
    </row>
    <row r="319">
      <c r="A319" s="5" t="n"/>
      <c r="B319" s="51" t="n"/>
      <c r="C319" s="5" t="n"/>
      <c r="D319" s="52" t="n"/>
      <c r="E319" s="52" t="n"/>
      <c r="F319" s="52" t="n"/>
      <c r="G319" s="52" t="n"/>
      <c r="H319" s="52" t="n"/>
      <c r="I319" s="52" t="n"/>
      <c r="J319" s="52" t="n"/>
      <c r="K319" s="52" t="n"/>
      <c r="L319" s="51" t="n"/>
      <c r="M319" s="53">
        <f>IF(A319="","",IF(COUNTIF('AFA Rates'!$A$5:$A$1004,A319)&gt;0,"Yes","No"))</f>
        <v/>
      </c>
      <c r="N319" s="53">
        <f>IF(A319="","",COUNTIF('AFA Rates'!$A$5:$A$1004,A319))</f>
        <v/>
      </c>
      <c r="O319" s="54" t="n"/>
      <c r="P319" s="5" t="n"/>
      <c r="Q319" s="5" t="n"/>
      <c r="R319">
        <f>IF(AND(A319&lt;&gt;"",B319="Paused"),COUNTIFS($A$5:A319,"&lt;&gt;",$B$5:B319,"Paused"),"")</f>
        <v/>
      </c>
      <c r="S319">
        <f>IF(M319="Yes",COUNTIF($M$5:M319,"Yes"),"")</f>
        <v/>
      </c>
    </row>
    <row r="320">
      <c r="A320" s="5" t="n"/>
      <c r="B320" s="51" t="n"/>
      <c r="C320" s="5" t="n"/>
      <c r="D320" s="52" t="n"/>
      <c r="E320" s="52" t="n"/>
      <c r="F320" s="52" t="n"/>
      <c r="G320" s="52" t="n"/>
      <c r="H320" s="52" t="n"/>
      <c r="I320" s="52" t="n"/>
      <c r="J320" s="52" t="n"/>
      <c r="K320" s="52" t="n"/>
      <c r="L320" s="51" t="n"/>
      <c r="M320" s="53">
        <f>IF(A320="","",IF(COUNTIF('AFA Rates'!$A$5:$A$1004,A320)&gt;0,"Yes","No"))</f>
        <v/>
      </c>
      <c r="N320" s="53">
        <f>IF(A320="","",COUNTIF('AFA Rates'!$A$5:$A$1004,A320))</f>
        <v/>
      </c>
      <c r="O320" s="54" t="n"/>
      <c r="P320" s="5" t="n"/>
      <c r="Q320" s="5" t="n"/>
      <c r="R320">
        <f>IF(AND(A320&lt;&gt;"",B320="Paused"),COUNTIFS($A$5:A320,"&lt;&gt;",$B$5:B320,"Paused"),"")</f>
        <v/>
      </c>
      <c r="S320">
        <f>IF(M320="Yes",COUNTIF($M$5:M320,"Yes"),"")</f>
        <v/>
      </c>
    </row>
    <row r="321">
      <c r="A321" s="5" t="n"/>
      <c r="B321" s="51" t="n"/>
      <c r="C321" s="5" t="n"/>
      <c r="D321" s="52" t="n"/>
      <c r="E321" s="52" t="n"/>
      <c r="F321" s="52" t="n"/>
      <c r="G321" s="52" t="n"/>
      <c r="H321" s="52" t="n"/>
      <c r="I321" s="52" t="n"/>
      <c r="J321" s="52" t="n"/>
      <c r="K321" s="52" t="n"/>
      <c r="L321" s="51" t="n"/>
      <c r="M321" s="53">
        <f>IF(A321="","",IF(COUNTIF('AFA Rates'!$A$5:$A$1004,A321)&gt;0,"Yes","No"))</f>
        <v/>
      </c>
      <c r="N321" s="53">
        <f>IF(A321="","",COUNTIF('AFA Rates'!$A$5:$A$1004,A321))</f>
        <v/>
      </c>
      <c r="O321" s="54" t="n"/>
      <c r="P321" s="5" t="n"/>
      <c r="Q321" s="5" t="n"/>
      <c r="R321">
        <f>IF(AND(A321&lt;&gt;"",B321="Paused"),COUNTIFS($A$5:A321,"&lt;&gt;",$B$5:B321,"Paused"),"")</f>
        <v/>
      </c>
      <c r="S321">
        <f>IF(M321="Yes",COUNTIF($M$5:M321,"Yes"),"")</f>
        <v/>
      </c>
    </row>
    <row r="322">
      <c r="A322" s="5" t="n"/>
      <c r="B322" s="51" t="n"/>
      <c r="C322" s="5" t="n"/>
      <c r="D322" s="52" t="n"/>
      <c r="E322" s="52" t="n"/>
      <c r="F322" s="52" t="n"/>
      <c r="G322" s="52" t="n"/>
      <c r="H322" s="52" t="n"/>
      <c r="I322" s="52" t="n"/>
      <c r="J322" s="52" t="n"/>
      <c r="K322" s="52" t="n"/>
      <c r="L322" s="51" t="n"/>
      <c r="M322" s="53">
        <f>IF(A322="","",IF(COUNTIF('AFA Rates'!$A$5:$A$1004,A322)&gt;0,"Yes","No"))</f>
        <v/>
      </c>
      <c r="N322" s="53">
        <f>IF(A322="","",COUNTIF('AFA Rates'!$A$5:$A$1004,A322))</f>
        <v/>
      </c>
      <c r="O322" s="54" t="n"/>
      <c r="P322" s="5" t="n"/>
      <c r="Q322" s="5" t="n"/>
      <c r="R322">
        <f>IF(AND(A322&lt;&gt;"",B322="Paused"),COUNTIFS($A$5:A322,"&lt;&gt;",$B$5:B322,"Paused"),"")</f>
        <v/>
      </c>
      <c r="S322">
        <f>IF(M322="Yes",COUNTIF($M$5:M322,"Yes"),"")</f>
        <v/>
      </c>
    </row>
    <row r="323">
      <c r="A323" s="5" t="n"/>
      <c r="B323" s="51" t="n"/>
      <c r="C323" s="5" t="n"/>
      <c r="D323" s="52" t="n"/>
      <c r="E323" s="52" t="n"/>
      <c r="F323" s="52" t="n"/>
      <c r="G323" s="52" t="n"/>
      <c r="H323" s="52" t="n"/>
      <c r="I323" s="52" t="n"/>
      <c r="J323" s="52" t="n"/>
      <c r="K323" s="52" t="n"/>
      <c r="L323" s="51" t="n"/>
      <c r="M323" s="53">
        <f>IF(A323="","",IF(COUNTIF('AFA Rates'!$A$5:$A$1004,A323)&gt;0,"Yes","No"))</f>
        <v/>
      </c>
      <c r="N323" s="53">
        <f>IF(A323="","",COUNTIF('AFA Rates'!$A$5:$A$1004,A323))</f>
        <v/>
      </c>
      <c r="O323" s="54" t="n"/>
      <c r="P323" s="5" t="n"/>
      <c r="Q323" s="5" t="n"/>
      <c r="R323">
        <f>IF(AND(A323&lt;&gt;"",B323="Paused"),COUNTIFS($A$5:A323,"&lt;&gt;",$B$5:B323,"Paused"),"")</f>
        <v/>
      </c>
      <c r="S323">
        <f>IF(M323="Yes",COUNTIF($M$5:M323,"Yes"),"")</f>
        <v/>
      </c>
    </row>
    <row r="324">
      <c r="A324" s="5" t="n"/>
      <c r="B324" s="51" t="n"/>
      <c r="C324" s="5" t="n"/>
      <c r="D324" s="52" t="n"/>
      <c r="E324" s="52" t="n"/>
      <c r="F324" s="52" t="n"/>
      <c r="G324" s="52" t="n"/>
      <c r="H324" s="52" t="n"/>
      <c r="I324" s="52" t="n"/>
      <c r="J324" s="52" t="n"/>
      <c r="K324" s="52" t="n"/>
      <c r="L324" s="51" t="n"/>
      <c r="M324" s="53">
        <f>IF(A324="","",IF(COUNTIF('AFA Rates'!$A$5:$A$1004,A324)&gt;0,"Yes","No"))</f>
        <v/>
      </c>
      <c r="N324" s="53">
        <f>IF(A324="","",COUNTIF('AFA Rates'!$A$5:$A$1004,A324))</f>
        <v/>
      </c>
      <c r="O324" s="54" t="n"/>
      <c r="P324" s="5" t="n"/>
      <c r="Q324" s="5" t="n"/>
      <c r="R324">
        <f>IF(AND(A324&lt;&gt;"",B324="Paused"),COUNTIFS($A$5:A324,"&lt;&gt;",$B$5:B324,"Paused"),"")</f>
        <v/>
      </c>
      <c r="S324">
        <f>IF(M324="Yes",COUNTIF($M$5:M324,"Yes"),"")</f>
        <v/>
      </c>
    </row>
    <row r="325">
      <c r="A325" s="5" t="n"/>
      <c r="B325" s="51" t="n"/>
      <c r="C325" s="5" t="n"/>
      <c r="D325" s="52" t="n"/>
      <c r="E325" s="52" t="n"/>
      <c r="F325" s="52" t="n"/>
      <c r="G325" s="52" t="n"/>
      <c r="H325" s="52" t="n"/>
      <c r="I325" s="52" t="n"/>
      <c r="J325" s="52" t="n"/>
      <c r="K325" s="52" t="n"/>
      <c r="L325" s="51" t="n"/>
      <c r="M325" s="53">
        <f>IF(A325="","",IF(COUNTIF('AFA Rates'!$A$5:$A$1004,A325)&gt;0,"Yes","No"))</f>
        <v/>
      </c>
      <c r="N325" s="53">
        <f>IF(A325="","",COUNTIF('AFA Rates'!$A$5:$A$1004,A325))</f>
        <v/>
      </c>
      <c r="O325" s="54" t="n"/>
      <c r="P325" s="5" t="n"/>
      <c r="Q325" s="5" t="n"/>
      <c r="R325">
        <f>IF(AND(A325&lt;&gt;"",B325="Paused"),COUNTIFS($A$5:A325,"&lt;&gt;",$B$5:B325,"Paused"),"")</f>
        <v/>
      </c>
      <c r="S325">
        <f>IF(M325="Yes",COUNTIF($M$5:M325,"Yes"),"")</f>
        <v/>
      </c>
    </row>
    <row r="326">
      <c r="A326" s="5" t="n"/>
      <c r="B326" s="51" t="n"/>
      <c r="C326" s="5" t="n"/>
      <c r="D326" s="52" t="n"/>
      <c r="E326" s="52" t="n"/>
      <c r="F326" s="52" t="n"/>
      <c r="G326" s="52" t="n"/>
      <c r="H326" s="52" t="n"/>
      <c r="I326" s="52" t="n"/>
      <c r="J326" s="52" t="n"/>
      <c r="K326" s="52" t="n"/>
      <c r="L326" s="51" t="n"/>
      <c r="M326" s="53">
        <f>IF(A326="","",IF(COUNTIF('AFA Rates'!$A$5:$A$1004,A326)&gt;0,"Yes","No"))</f>
        <v/>
      </c>
      <c r="N326" s="53">
        <f>IF(A326="","",COUNTIF('AFA Rates'!$A$5:$A$1004,A326))</f>
        <v/>
      </c>
      <c r="O326" s="54" t="n"/>
      <c r="P326" s="5" t="n"/>
      <c r="Q326" s="5" t="n"/>
      <c r="R326">
        <f>IF(AND(A326&lt;&gt;"",B326="Paused"),COUNTIFS($A$5:A326,"&lt;&gt;",$B$5:B326,"Paused"),"")</f>
        <v/>
      </c>
      <c r="S326">
        <f>IF(M326="Yes",COUNTIF($M$5:M326,"Yes"),"")</f>
        <v/>
      </c>
    </row>
    <row r="327">
      <c r="A327" s="5" t="n"/>
      <c r="B327" s="51" t="n"/>
      <c r="C327" s="5" t="n"/>
      <c r="D327" s="52" t="n"/>
      <c r="E327" s="52" t="n"/>
      <c r="F327" s="52" t="n"/>
      <c r="G327" s="52" t="n"/>
      <c r="H327" s="52" t="n"/>
      <c r="I327" s="52" t="n"/>
      <c r="J327" s="52" t="n"/>
      <c r="K327" s="52" t="n"/>
      <c r="L327" s="51" t="n"/>
      <c r="M327" s="53">
        <f>IF(A327="","",IF(COUNTIF('AFA Rates'!$A$5:$A$1004,A327)&gt;0,"Yes","No"))</f>
        <v/>
      </c>
      <c r="N327" s="53">
        <f>IF(A327="","",COUNTIF('AFA Rates'!$A$5:$A$1004,A327))</f>
        <v/>
      </c>
      <c r="O327" s="54" t="n"/>
      <c r="P327" s="5" t="n"/>
      <c r="Q327" s="5" t="n"/>
      <c r="R327">
        <f>IF(AND(A327&lt;&gt;"",B327="Paused"),COUNTIFS($A$5:A327,"&lt;&gt;",$B$5:B327,"Paused"),"")</f>
        <v/>
      </c>
      <c r="S327">
        <f>IF(M327="Yes",COUNTIF($M$5:M327,"Yes"),"")</f>
        <v/>
      </c>
    </row>
    <row r="328">
      <c r="A328" s="5" t="n"/>
      <c r="B328" s="51" t="n"/>
      <c r="C328" s="5" t="n"/>
      <c r="D328" s="52" t="n"/>
      <c r="E328" s="52" t="n"/>
      <c r="F328" s="52" t="n"/>
      <c r="G328" s="52" t="n"/>
      <c r="H328" s="52" t="n"/>
      <c r="I328" s="52" t="n"/>
      <c r="J328" s="52" t="n"/>
      <c r="K328" s="52" t="n"/>
      <c r="L328" s="51" t="n"/>
      <c r="M328" s="53">
        <f>IF(A328="","",IF(COUNTIF('AFA Rates'!$A$5:$A$1004,A328)&gt;0,"Yes","No"))</f>
        <v/>
      </c>
      <c r="N328" s="53">
        <f>IF(A328="","",COUNTIF('AFA Rates'!$A$5:$A$1004,A328))</f>
        <v/>
      </c>
      <c r="O328" s="54" t="n"/>
      <c r="P328" s="5" t="n"/>
      <c r="Q328" s="5" t="n"/>
      <c r="R328">
        <f>IF(AND(A328&lt;&gt;"",B328="Paused"),COUNTIFS($A$5:A328,"&lt;&gt;",$B$5:B328,"Paused"),"")</f>
        <v/>
      </c>
      <c r="S328">
        <f>IF(M328="Yes",COUNTIF($M$5:M328,"Yes"),"")</f>
        <v/>
      </c>
    </row>
    <row r="329">
      <c r="A329" s="5" t="n"/>
      <c r="B329" s="51" t="n"/>
      <c r="C329" s="5" t="n"/>
      <c r="D329" s="52" t="n"/>
      <c r="E329" s="52" t="n"/>
      <c r="F329" s="52" t="n"/>
      <c r="G329" s="52" t="n"/>
      <c r="H329" s="52" t="n"/>
      <c r="I329" s="52" t="n"/>
      <c r="J329" s="52" t="n"/>
      <c r="K329" s="52" t="n"/>
      <c r="L329" s="51" t="n"/>
      <c r="M329" s="53">
        <f>IF(A329="","",IF(COUNTIF('AFA Rates'!$A$5:$A$1004,A329)&gt;0,"Yes","No"))</f>
        <v/>
      </c>
      <c r="N329" s="53">
        <f>IF(A329="","",COUNTIF('AFA Rates'!$A$5:$A$1004,A329))</f>
        <v/>
      </c>
      <c r="O329" s="54" t="n"/>
      <c r="P329" s="5" t="n"/>
      <c r="Q329" s="5" t="n"/>
      <c r="R329">
        <f>IF(AND(A329&lt;&gt;"",B329="Paused"),COUNTIFS($A$5:A329,"&lt;&gt;",$B$5:B329,"Paused"),"")</f>
        <v/>
      </c>
      <c r="S329">
        <f>IF(M329="Yes",COUNTIF($M$5:M329,"Yes"),"")</f>
        <v/>
      </c>
    </row>
    <row r="330">
      <c r="A330" s="5" t="n"/>
      <c r="B330" s="51" t="n"/>
      <c r="C330" s="5" t="n"/>
      <c r="D330" s="52" t="n"/>
      <c r="E330" s="52" t="n"/>
      <c r="F330" s="52" t="n"/>
      <c r="G330" s="52" t="n"/>
      <c r="H330" s="52" t="n"/>
      <c r="I330" s="52" t="n"/>
      <c r="J330" s="52" t="n"/>
      <c r="K330" s="52" t="n"/>
      <c r="L330" s="51" t="n"/>
      <c r="M330" s="53">
        <f>IF(A330="","",IF(COUNTIF('AFA Rates'!$A$5:$A$1004,A330)&gt;0,"Yes","No"))</f>
        <v/>
      </c>
      <c r="N330" s="53">
        <f>IF(A330="","",COUNTIF('AFA Rates'!$A$5:$A$1004,A330))</f>
        <v/>
      </c>
      <c r="O330" s="54" t="n"/>
      <c r="P330" s="5" t="n"/>
      <c r="Q330" s="5" t="n"/>
      <c r="R330">
        <f>IF(AND(A330&lt;&gt;"",B330="Paused"),COUNTIFS($A$5:A330,"&lt;&gt;",$B$5:B330,"Paused"),"")</f>
        <v/>
      </c>
      <c r="S330">
        <f>IF(M330="Yes",COUNTIF($M$5:M330,"Yes"),"")</f>
        <v/>
      </c>
    </row>
    <row r="331">
      <c r="A331" s="5" t="n"/>
      <c r="B331" s="51" t="n"/>
      <c r="C331" s="5" t="n"/>
      <c r="D331" s="52" t="n"/>
      <c r="E331" s="52" t="n"/>
      <c r="F331" s="52" t="n"/>
      <c r="G331" s="52" t="n"/>
      <c r="H331" s="52" t="n"/>
      <c r="I331" s="52" t="n"/>
      <c r="J331" s="52" t="n"/>
      <c r="K331" s="52" t="n"/>
      <c r="L331" s="51" t="n"/>
      <c r="M331" s="53">
        <f>IF(A331="","",IF(COUNTIF('AFA Rates'!$A$5:$A$1004,A331)&gt;0,"Yes","No"))</f>
        <v/>
      </c>
      <c r="N331" s="53">
        <f>IF(A331="","",COUNTIF('AFA Rates'!$A$5:$A$1004,A331))</f>
        <v/>
      </c>
      <c r="O331" s="54" t="n"/>
      <c r="P331" s="5" t="n"/>
      <c r="Q331" s="5" t="n"/>
      <c r="R331">
        <f>IF(AND(A331&lt;&gt;"",B331="Paused"),COUNTIFS($A$5:A331,"&lt;&gt;",$B$5:B331,"Paused"),"")</f>
        <v/>
      </c>
      <c r="S331">
        <f>IF(M331="Yes",COUNTIF($M$5:M331,"Yes"),"")</f>
        <v/>
      </c>
    </row>
    <row r="332">
      <c r="A332" s="5" t="n"/>
      <c r="B332" s="51" t="n"/>
      <c r="C332" s="5" t="n"/>
      <c r="D332" s="52" t="n"/>
      <c r="E332" s="52" t="n"/>
      <c r="F332" s="52" t="n"/>
      <c r="G332" s="52" t="n"/>
      <c r="H332" s="52" t="n"/>
      <c r="I332" s="52" t="n"/>
      <c r="J332" s="52" t="n"/>
      <c r="K332" s="52" t="n"/>
      <c r="L332" s="51" t="n"/>
      <c r="M332" s="53">
        <f>IF(A332="","",IF(COUNTIF('AFA Rates'!$A$5:$A$1004,A332)&gt;0,"Yes","No"))</f>
        <v/>
      </c>
      <c r="N332" s="53">
        <f>IF(A332="","",COUNTIF('AFA Rates'!$A$5:$A$1004,A332))</f>
        <v/>
      </c>
      <c r="O332" s="54" t="n"/>
      <c r="P332" s="5" t="n"/>
      <c r="Q332" s="5" t="n"/>
      <c r="R332">
        <f>IF(AND(A332&lt;&gt;"",B332="Paused"),COUNTIFS($A$5:A332,"&lt;&gt;",$B$5:B332,"Paused"),"")</f>
        <v/>
      </c>
      <c r="S332">
        <f>IF(M332="Yes",COUNTIF($M$5:M332,"Yes"),"")</f>
        <v/>
      </c>
    </row>
    <row r="333">
      <c r="A333" s="5" t="n"/>
      <c r="B333" s="51" t="n"/>
      <c r="C333" s="5" t="n"/>
      <c r="D333" s="52" t="n"/>
      <c r="E333" s="52" t="n"/>
      <c r="F333" s="52" t="n"/>
      <c r="G333" s="52" t="n"/>
      <c r="H333" s="52" t="n"/>
      <c r="I333" s="52" t="n"/>
      <c r="J333" s="52" t="n"/>
      <c r="K333" s="52" t="n"/>
      <c r="L333" s="51" t="n"/>
      <c r="M333" s="53">
        <f>IF(A333="","",IF(COUNTIF('AFA Rates'!$A$5:$A$1004,A333)&gt;0,"Yes","No"))</f>
        <v/>
      </c>
      <c r="N333" s="53">
        <f>IF(A333="","",COUNTIF('AFA Rates'!$A$5:$A$1004,A333))</f>
        <v/>
      </c>
      <c r="O333" s="54" t="n"/>
      <c r="P333" s="5" t="n"/>
      <c r="Q333" s="5" t="n"/>
      <c r="R333">
        <f>IF(AND(A333&lt;&gt;"",B333="Paused"),COUNTIFS($A$5:A333,"&lt;&gt;",$B$5:B333,"Paused"),"")</f>
        <v/>
      </c>
      <c r="S333">
        <f>IF(M333="Yes",COUNTIF($M$5:M333,"Yes"),"")</f>
        <v/>
      </c>
    </row>
    <row r="334">
      <c r="A334" s="5" t="n"/>
      <c r="B334" s="51" t="n"/>
      <c r="C334" s="5" t="n"/>
      <c r="D334" s="52" t="n"/>
      <c r="E334" s="52" t="n"/>
      <c r="F334" s="52" t="n"/>
      <c r="G334" s="52" t="n"/>
      <c r="H334" s="52" t="n"/>
      <c r="I334" s="52" t="n"/>
      <c r="J334" s="52" t="n"/>
      <c r="K334" s="52" t="n"/>
      <c r="L334" s="51" t="n"/>
      <c r="M334" s="53">
        <f>IF(A334="","",IF(COUNTIF('AFA Rates'!$A$5:$A$1004,A334)&gt;0,"Yes","No"))</f>
        <v/>
      </c>
      <c r="N334" s="53">
        <f>IF(A334="","",COUNTIF('AFA Rates'!$A$5:$A$1004,A334))</f>
        <v/>
      </c>
      <c r="O334" s="54" t="n"/>
      <c r="P334" s="5" t="n"/>
      <c r="Q334" s="5" t="n"/>
      <c r="R334">
        <f>IF(AND(A334&lt;&gt;"",B334="Paused"),COUNTIFS($A$5:A334,"&lt;&gt;",$B$5:B334,"Paused"),"")</f>
        <v/>
      </c>
      <c r="S334">
        <f>IF(M334="Yes",COUNTIF($M$5:M334,"Yes"),"")</f>
        <v/>
      </c>
    </row>
    <row r="335">
      <c r="A335" s="5" t="n"/>
      <c r="B335" s="51" t="n"/>
      <c r="C335" s="5" t="n"/>
      <c r="D335" s="52" t="n"/>
      <c r="E335" s="52" t="n"/>
      <c r="F335" s="52" t="n"/>
      <c r="G335" s="52" t="n"/>
      <c r="H335" s="52" t="n"/>
      <c r="I335" s="52" t="n"/>
      <c r="J335" s="52" t="n"/>
      <c r="K335" s="52" t="n"/>
      <c r="L335" s="51" t="n"/>
      <c r="M335" s="53">
        <f>IF(A335="","",IF(COUNTIF('AFA Rates'!$A$5:$A$1004,A335)&gt;0,"Yes","No"))</f>
        <v/>
      </c>
      <c r="N335" s="53">
        <f>IF(A335="","",COUNTIF('AFA Rates'!$A$5:$A$1004,A335))</f>
        <v/>
      </c>
      <c r="O335" s="54" t="n"/>
      <c r="P335" s="5" t="n"/>
      <c r="Q335" s="5" t="n"/>
      <c r="R335">
        <f>IF(AND(A335&lt;&gt;"",B335="Paused"),COUNTIFS($A$5:A335,"&lt;&gt;",$B$5:B335,"Paused"),"")</f>
        <v/>
      </c>
      <c r="S335">
        <f>IF(M335="Yes",COUNTIF($M$5:M335,"Yes"),"")</f>
        <v/>
      </c>
    </row>
    <row r="336">
      <c r="A336" s="5" t="n"/>
      <c r="B336" s="51" t="n"/>
      <c r="C336" s="5" t="n"/>
      <c r="D336" s="52" t="n"/>
      <c r="E336" s="52" t="n"/>
      <c r="F336" s="52" t="n"/>
      <c r="G336" s="52" t="n"/>
      <c r="H336" s="52" t="n"/>
      <c r="I336" s="52" t="n"/>
      <c r="J336" s="52" t="n"/>
      <c r="K336" s="52" t="n"/>
      <c r="L336" s="51" t="n"/>
      <c r="M336" s="53">
        <f>IF(A336="","",IF(COUNTIF('AFA Rates'!$A$5:$A$1004,A336)&gt;0,"Yes","No"))</f>
        <v/>
      </c>
      <c r="N336" s="53">
        <f>IF(A336="","",COUNTIF('AFA Rates'!$A$5:$A$1004,A336))</f>
        <v/>
      </c>
      <c r="O336" s="54" t="n"/>
      <c r="P336" s="5" t="n"/>
      <c r="Q336" s="5" t="n"/>
      <c r="R336">
        <f>IF(AND(A336&lt;&gt;"",B336="Paused"),COUNTIFS($A$5:A336,"&lt;&gt;",$B$5:B336,"Paused"),"")</f>
        <v/>
      </c>
      <c r="S336">
        <f>IF(M336="Yes",COUNTIF($M$5:M336,"Yes"),"")</f>
        <v/>
      </c>
    </row>
    <row r="337">
      <c r="A337" s="5" t="n"/>
      <c r="B337" s="51" t="n"/>
      <c r="C337" s="5" t="n"/>
      <c r="D337" s="52" t="n"/>
      <c r="E337" s="52" t="n"/>
      <c r="F337" s="52" t="n"/>
      <c r="G337" s="52" t="n"/>
      <c r="H337" s="52" t="n"/>
      <c r="I337" s="52" t="n"/>
      <c r="J337" s="52" t="n"/>
      <c r="K337" s="52" t="n"/>
      <c r="L337" s="51" t="n"/>
      <c r="M337" s="53">
        <f>IF(A337="","",IF(COUNTIF('AFA Rates'!$A$5:$A$1004,A337)&gt;0,"Yes","No"))</f>
        <v/>
      </c>
      <c r="N337" s="53">
        <f>IF(A337="","",COUNTIF('AFA Rates'!$A$5:$A$1004,A337))</f>
        <v/>
      </c>
      <c r="O337" s="54" t="n"/>
      <c r="P337" s="5" t="n"/>
      <c r="Q337" s="5" t="n"/>
      <c r="R337">
        <f>IF(AND(A337&lt;&gt;"",B337="Paused"),COUNTIFS($A$5:A337,"&lt;&gt;",$B$5:B337,"Paused"),"")</f>
        <v/>
      </c>
      <c r="S337">
        <f>IF(M337="Yes",COUNTIF($M$5:M337,"Yes"),"")</f>
        <v/>
      </c>
    </row>
    <row r="338">
      <c r="A338" s="5" t="n"/>
      <c r="B338" s="51" t="n"/>
      <c r="C338" s="5" t="n"/>
      <c r="D338" s="52" t="n"/>
      <c r="E338" s="52" t="n"/>
      <c r="F338" s="52" t="n"/>
      <c r="G338" s="52" t="n"/>
      <c r="H338" s="52" t="n"/>
      <c r="I338" s="52" t="n"/>
      <c r="J338" s="52" t="n"/>
      <c r="K338" s="52" t="n"/>
      <c r="L338" s="51" t="n"/>
      <c r="M338" s="53">
        <f>IF(A338="","",IF(COUNTIF('AFA Rates'!$A$5:$A$1004,A338)&gt;0,"Yes","No"))</f>
        <v/>
      </c>
      <c r="N338" s="53">
        <f>IF(A338="","",COUNTIF('AFA Rates'!$A$5:$A$1004,A338))</f>
        <v/>
      </c>
      <c r="O338" s="54" t="n"/>
      <c r="P338" s="5" t="n"/>
      <c r="Q338" s="5" t="n"/>
      <c r="R338">
        <f>IF(AND(A338&lt;&gt;"",B338="Paused"),COUNTIFS($A$5:A338,"&lt;&gt;",$B$5:B338,"Paused"),"")</f>
        <v/>
      </c>
      <c r="S338">
        <f>IF(M338="Yes",COUNTIF($M$5:M338,"Yes"),"")</f>
        <v/>
      </c>
    </row>
    <row r="339">
      <c r="A339" s="5" t="n"/>
      <c r="B339" s="51" t="n"/>
      <c r="C339" s="5" t="n"/>
      <c r="D339" s="52" t="n"/>
      <c r="E339" s="52" t="n"/>
      <c r="F339" s="52" t="n"/>
      <c r="G339" s="52" t="n"/>
      <c r="H339" s="52" t="n"/>
      <c r="I339" s="52" t="n"/>
      <c r="J339" s="52" t="n"/>
      <c r="K339" s="52" t="n"/>
      <c r="L339" s="51" t="n"/>
      <c r="M339" s="53">
        <f>IF(A339="","",IF(COUNTIF('AFA Rates'!$A$5:$A$1004,A339)&gt;0,"Yes","No"))</f>
        <v/>
      </c>
      <c r="N339" s="53">
        <f>IF(A339="","",COUNTIF('AFA Rates'!$A$5:$A$1004,A339))</f>
        <v/>
      </c>
      <c r="O339" s="54" t="n"/>
      <c r="P339" s="5" t="n"/>
      <c r="Q339" s="5" t="n"/>
      <c r="R339">
        <f>IF(AND(A339&lt;&gt;"",B339="Paused"),COUNTIFS($A$5:A339,"&lt;&gt;",$B$5:B339,"Paused"),"")</f>
        <v/>
      </c>
      <c r="S339">
        <f>IF(M339="Yes",COUNTIF($M$5:M339,"Yes"),"")</f>
        <v/>
      </c>
    </row>
    <row r="340">
      <c r="A340" s="5" t="n"/>
      <c r="B340" s="51" t="n"/>
      <c r="C340" s="5" t="n"/>
      <c r="D340" s="52" t="n"/>
      <c r="E340" s="52" t="n"/>
      <c r="F340" s="52" t="n"/>
      <c r="G340" s="52" t="n"/>
      <c r="H340" s="52" t="n"/>
      <c r="I340" s="52" t="n"/>
      <c r="J340" s="52" t="n"/>
      <c r="K340" s="52" t="n"/>
      <c r="L340" s="51" t="n"/>
      <c r="M340" s="53">
        <f>IF(A340="","",IF(COUNTIF('AFA Rates'!$A$5:$A$1004,A340)&gt;0,"Yes","No"))</f>
        <v/>
      </c>
      <c r="N340" s="53">
        <f>IF(A340="","",COUNTIF('AFA Rates'!$A$5:$A$1004,A340))</f>
        <v/>
      </c>
      <c r="O340" s="54" t="n"/>
      <c r="P340" s="5" t="n"/>
      <c r="Q340" s="5" t="n"/>
      <c r="R340">
        <f>IF(AND(A340&lt;&gt;"",B340="Paused"),COUNTIFS($A$5:A340,"&lt;&gt;",$B$5:B340,"Paused"),"")</f>
        <v/>
      </c>
      <c r="S340">
        <f>IF(M340="Yes",COUNTIF($M$5:M340,"Yes"),"")</f>
        <v/>
      </c>
    </row>
    <row r="341">
      <c r="A341" s="5" t="n"/>
      <c r="B341" s="51" t="n"/>
      <c r="C341" s="5" t="n"/>
      <c r="D341" s="52" t="n"/>
      <c r="E341" s="52" t="n"/>
      <c r="F341" s="52" t="n"/>
      <c r="G341" s="52" t="n"/>
      <c r="H341" s="52" t="n"/>
      <c r="I341" s="52" t="n"/>
      <c r="J341" s="52" t="n"/>
      <c r="K341" s="52" t="n"/>
      <c r="L341" s="51" t="n"/>
      <c r="M341" s="53">
        <f>IF(A341="","",IF(COUNTIF('AFA Rates'!$A$5:$A$1004,A341)&gt;0,"Yes","No"))</f>
        <v/>
      </c>
      <c r="N341" s="53">
        <f>IF(A341="","",COUNTIF('AFA Rates'!$A$5:$A$1004,A341))</f>
        <v/>
      </c>
      <c r="O341" s="54" t="n"/>
      <c r="P341" s="5" t="n"/>
      <c r="Q341" s="5" t="n"/>
      <c r="R341">
        <f>IF(AND(A341&lt;&gt;"",B341="Paused"),COUNTIFS($A$5:A341,"&lt;&gt;",$B$5:B341,"Paused"),"")</f>
        <v/>
      </c>
      <c r="S341">
        <f>IF(M341="Yes",COUNTIF($M$5:M341,"Yes"),"")</f>
        <v/>
      </c>
    </row>
    <row r="342">
      <c r="A342" s="5" t="n"/>
      <c r="B342" s="51" t="n"/>
      <c r="C342" s="5" t="n"/>
      <c r="D342" s="52" t="n"/>
      <c r="E342" s="52" t="n"/>
      <c r="F342" s="52" t="n"/>
      <c r="G342" s="52" t="n"/>
      <c r="H342" s="52" t="n"/>
      <c r="I342" s="52" t="n"/>
      <c r="J342" s="52" t="n"/>
      <c r="K342" s="52" t="n"/>
      <c r="L342" s="51" t="n"/>
      <c r="M342" s="53">
        <f>IF(A342="","",IF(COUNTIF('AFA Rates'!$A$5:$A$1004,A342)&gt;0,"Yes","No"))</f>
        <v/>
      </c>
      <c r="N342" s="53">
        <f>IF(A342="","",COUNTIF('AFA Rates'!$A$5:$A$1004,A342))</f>
        <v/>
      </c>
      <c r="O342" s="54" t="n"/>
      <c r="P342" s="5" t="n"/>
      <c r="Q342" s="5" t="n"/>
      <c r="R342">
        <f>IF(AND(A342&lt;&gt;"",B342="Paused"),COUNTIFS($A$5:A342,"&lt;&gt;",$B$5:B342,"Paused"),"")</f>
        <v/>
      </c>
      <c r="S342">
        <f>IF(M342="Yes",COUNTIF($M$5:M342,"Yes"),"")</f>
        <v/>
      </c>
    </row>
    <row r="343">
      <c r="A343" s="5" t="n"/>
      <c r="B343" s="51" t="n"/>
      <c r="C343" s="5" t="n"/>
      <c r="D343" s="52" t="n"/>
      <c r="E343" s="52" t="n"/>
      <c r="F343" s="52" t="n"/>
      <c r="G343" s="52" t="n"/>
      <c r="H343" s="52" t="n"/>
      <c r="I343" s="52" t="n"/>
      <c r="J343" s="52" t="n"/>
      <c r="K343" s="52" t="n"/>
      <c r="L343" s="51" t="n"/>
      <c r="M343" s="53">
        <f>IF(A343="","",IF(COUNTIF('AFA Rates'!$A$5:$A$1004,A343)&gt;0,"Yes","No"))</f>
        <v/>
      </c>
      <c r="N343" s="53">
        <f>IF(A343="","",COUNTIF('AFA Rates'!$A$5:$A$1004,A343))</f>
        <v/>
      </c>
      <c r="O343" s="54" t="n"/>
      <c r="P343" s="5" t="n"/>
      <c r="Q343" s="5" t="n"/>
      <c r="R343">
        <f>IF(AND(A343&lt;&gt;"",B343="Paused"),COUNTIFS($A$5:A343,"&lt;&gt;",$B$5:B343,"Paused"),"")</f>
        <v/>
      </c>
      <c r="S343">
        <f>IF(M343="Yes",COUNTIF($M$5:M343,"Yes"),"")</f>
        <v/>
      </c>
    </row>
    <row r="344">
      <c r="A344" s="5" t="n"/>
      <c r="B344" s="51" t="n"/>
      <c r="C344" s="5" t="n"/>
      <c r="D344" s="52" t="n"/>
      <c r="E344" s="52" t="n"/>
      <c r="F344" s="52" t="n"/>
      <c r="G344" s="52" t="n"/>
      <c r="H344" s="52" t="n"/>
      <c r="I344" s="52" t="n"/>
      <c r="J344" s="52" t="n"/>
      <c r="K344" s="52" t="n"/>
      <c r="L344" s="51" t="n"/>
      <c r="M344" s="53">
        <f>IF(A344="","",IF(COUNTIF('AFA Rates'!$A$5:$A$1004,A344)&gt;0,"Yes","No"))</f>
        <v/>
      </c>
      <c r="N344" s="53">
        <f>IF(A344="","",COUNTIF('AFA Rates'!$A$5:$A$1004,A344))</f>
        <v/>
      </c>
      <c r="O344" s="54" t="n"/>
      <c r="P344" s="5" t="n"/>
      <c r="Q344" s="5" t="n"/>
      <c r="R344">
        <f>IF(AND(A344&lt;&gt;"",B344="Paused"),COUNTIFS($A$5:A344,"&lt;&gt;",$B$5:B344,"Paused"),"")</f>
        <v/>
      </c>
      <c r="S344">
        <f>IF(M344="Yes",COUNTIF($M$5:M344,"Yes"),"")</f>
        <v/>
      </c>
    </row>
    <row r="345">
      <c r="A345" s="5" t="n"/>
      <c r="B345" s="51" t="n"/>
      <c r="C345" s="5" t="n"/>
      <c r="D345" s="52" t="n"/>
      <c r="E345" s="52" t="n"/>
      <c r="F345" s="52" t="n"/>
      <c r="G345" s="52" t="n"/>
      <c r="H345" s="52" t="n"/>
      <c r="I345" s="52" t="n"/>
      <c r="J345" s="52" t="n"/>
      <c r="K345" s="52" t="n"/>
      <c r="L345" s="51" t="n"/>
      <c r="M345" s="53">
        <f>IF(A345="","",IF(COUNTIF('AFA Rates'!$A$5:$A$1004,A345)&gt;0,"Yes","No"))</f>
        <v/>
      </c>
      <c r="N345" s="53">
        <f>IF(A345="","",COUNTIF('AFA Rates'!$A$5:$A$1004,A345))</f>
        <v/>
      </c>
      <c r="O345" s="54" t="n"/>
      <c r="P345" s="5" t="n"/>
      <c r="Q345" s="5" t="n"/>
      <c r="R345">
        <f>IF(AND(A345&lt;&gt;"",B345="Paused"),COUNTIFS($A$5:A345,"&lt;&gt;",$B$5:B345,"Paused"),"")</f>
        <v/>
      </c>
      <c r="S345">
        <f>IF(M345="Yes",COUNTIF($M$5:M345,"Yes"),"")</f>
        <v/>
      </c>
    </row>
    <row r="346">
      <c r="A346" s="5" t="n"/>
      <c r="B346" s="51" t="n"/>
      <c r="C346" s="5" t="n"/>
      <c r="D346" s="52" t="n"/>
      <c r="E346" s="52" t="n"/>
      <c r="F346" s="52" t="n"/>
      <c r="G346" s="52" t="n"/>
      <c r="H346" s="52" t="n"/>
      <c r="I346" s="52" t="n"/>
      <c r="J346" s="52" t="n"/>
      <c r="K346" s="52" t="n"/>
      <c r="L346" s="51" t="n"/>
      <c r="M346" s="53">
        <f>IF(A346="","",IF(COUNTIF('AFA Rates'!$A$5:$A$1004,A346)&gt;0,"Yes","No"))</f>
        <v/>
      </c>
      <c r="N346" s="53">
        <f>IF(A346="","",COUNTIF('AFA Rates'!$A$5:$A$1004,A346))</f>
        <v/>
      </c>
      <c r="O346" s="54" t="n"/>
      <c r="P346" s="5" t="n"/>
      <c r="Q346" s="5" t="n"/>
      <c r="R346">
        <f>IF(AND(A346&lt;&gt;"",B346="Paused"),COUNTIFS($A$5:A346,"&lt;&gt;",$B$5:B346,"Paused"),"")</f>
        <v/>
      </c>
      <c r="S346">
        <f>IF(M346="Yes",COUNTIF($M$5:M346,"Yes"),"")</f>
        <v/>
      </c>
    </row>
    <row r="347">
      <c r="A347" s="5" t="n"/>
      <c r="B347" s="51" t="n"/>
      <c r="C347" s="5" t="n"/>
      <c r="D347" s="52" t="n"/>
      <c r="E347" s="52" t="n"/>
      <c r="F347" s="52" t="n"/>
      <c r="G347" s="52" t="n"/>
      <c r="H347" s="52" t="n"/>
      <c r="I347" s="52" t="n"/>
      <c r="J347" s="52" t="n"/>
      <c r="K347" s="52" t="n"/>
      <c r="L347" s="51" t="n"/>
      <c r="M347" s="53">
        <f>IF(A347="","",IF(COUNTIF('AFA Rates'!$A$5:$A$1004,A347)&gt;0,"Yes","No"))</f>
        <v/>
      </c>
      <c r="N347" s="53">
        <f>IF(A347="","",COUNTIF('AFA Rates'!$A$5:$A$1004,A347))</f>
        <v/>
      </c>
      <c r="O347" s="54" t="n"/>
      <c r="P347" s="5" t="n"/>
      <c r="Q347" s="5" t="n"/>
      <c r="R347">
        <f>IF(AND(A347&lt;&gt;"",B347="Paused"),COUNTIFS($A$5:A347,"&lt;&gt;",$B$5:B347,"Paused"),"")</f>
        <v/>
      </c>
      <c r="S347">
        <f>IF(M347="Yes",COUNTIF($M$5:M347,"Yes"),"")</f>
        <v/>
      </c>
    </row>
    <row r="348">
      <c r="A348" s="5" t="n"/>
      <c r="B348" s="51" t="n"/>
      <c r="C348" s="5" t="n"/>
      <c r="D348" s="52" t="n"/>
      <c r="E348" s="52" t="n"/>
      <c r="F348" s="52" t="n"/>
      <c r="G348" s="52" t="n"/>
      <c r="H348" s="52" t="n"/>
      <c r="I348" s="52" t="n"/>
      <c r="J348" s="52" t="n"/>
      <c r="K348" s="52" t="n"/>
      <c r="L348" s="51" t="n"/>
      <c r="M348" s="53">
        <f>IF(A348="","",IF(COUNTIF('AFA Rates'!$A$5:$A$1004,A348)&gt;0,"Yes","No"))</f>
        <v/>
      </c>
      <c r="N348" s="53">
        <f>IF(A348="","",COUNTIF('AFA Rates'!$A$5:$A$1004,A348))</f>
        <v/>
      </c>
      <c r="O348" s="54" t="n"/>
      <c r="P348" s="5" t="n"/>
      <c r="Q348" s="5" t="n"/>
      <c r="R348">
        <f>IF(AND(A348&lt;&gt;"",B348="Paused"),COUNTIFS($A$5:A348,"&lt;&gt;",$B$5:B348,"Paused"),"")</f>
        <v/>
      </c>
      <c r="S348">
        <f>IF(M348="Yes",COUNTIF($M$5:M348,"Yes"),"")</f>
        <v/>
      </c>
    </row>
    <row r="349">
      <c r="A349" s="5" t="n"/>
      <c r="B349" s="51" t="n"/>
      <c r="C349" s="5" t="n"/>
      <c r="D349" s="52" t="n"/>
      <c r="E349" s="52" t="n"/>
      <c r="F349" s="52" t="n"/>
      <c r="G349" s="52" t="n"/>
      <c r="H349" s="52" t="n"/>
      <c r="I349" s="52" t="n"/>
      <c r="J349" s="52" t="n"/>
      <c r="K349" s="52" t="n"/>
      <c r="L349" s="51" t="n"/>
      <c r="M349" s="53">
        <f>IF(A349="","",IF(COUNTIF('AFA Rates'!$A$5:$A$1004,A349)&gt;0,"Yes","No"))</f>
        <v/>
      </c>
      <c r="N349" s="53">
        <f>IF(A349="","",COUNTIF('AFA Rates'!$A$5:$A$1004,A349))</f>
        <v/>
      </c>
      <c r="O349" s="54" t="n"/>
      <c r="P349" s="5" t="n"/>
      <c r="Q349" s="5" t="n"/>
      <c r="R349">
        <f>IF(AND(A349&lt;&gt;"",B349="Paused"),COUNTIFS($A$5:A349,"&lt;&gt;",$B$5:B349,"Paused"),"")</f>
        <v/>
      </c>
      <c r="S349">
        <f>IF(M349="Yes",COUNTIF($M$5:M349,"Yes"),"")</f>
        <v/>
      </c>
    </row>
    <row r="350">
      <c r="A350" s="5" t="n"/>
      <c r="B350" s="51" t="n"/>
      <c r="C350" s="5" t="n"/>
      <c r="D350" s="52" t="n"/>
      <c r="E350" s="52" t="n"/>
      <c r="F350" s="52" t="n"/>
      <c r="G350" s="52" t="n"/>
      <c r="H350" s="52" t="n"/>
      <c r="I350" s="52" t="n"/>
      <c r="J350" s="52" t="n"/>
      <c r="K350" s="52" t="n"/>
      <c r="L350" s="51" t="n"/>
      <c r="M350" s="53">
        <f>IF(A350="","",IF(COUNTIF('AFA Rates'!$A$5:$A$1004,A350)&gt;0,"Yes","No"))</f>
        <v/>
      </c>
      <c r="N350" s="53">
        <f>IF(A350="","",COUNTIF('AFA Rates'!$A$5:$A$1004,A350))</f>
        <v/>
      </c>
      <c r="O350" s="54" t="n"/>
      <c r="P350" s="5" t="n"/>
      <c r="Q350" s="5" t="n"/>
      <c r="R350">
        <f>IF(AND(A350&lt;&gt;"",B350="Paused"),COUNTIFS($A$5:A350,"&lt;&gt;",$B$5:B350,"Paused"),"")</f>
        <v/>
      </c>
      <c r="S350">
        <f>IF(M350="Yes",COUNTIF($M$5:M350,"Yes"),"")</f>
        <v/>
      </c>
    </row>
    <row r="351">
      <c r="A351" s="5" t="n"/>
      <c r="B351" s="51" t="n"/>
      <c r="C351" s="5" t="n"/>
      <c r="D351" s="52" t="n"/>
      <c r="E351" s="52" t="n"/>
      <c r="F351" s="52" t="n"/>
      <c r="G351" s="52" t="n"/>
      <c r="H351" s="52" t="n"/>
      <c r="I351" s="52" t="n"/>
      <c r="J351" s="52" t="n"/>
      <c r="K351" s="52" t="n"/>
      <c r="L351" s="51" t="n"/>
      <c r="M351" s="53">
        <f>IF(A351="","",IF(COUNTIF('AFA Rates'!$A$5:$A$1004,A351)&gt;0,"Yes","No"))</f>
        <v/>
      </c>
      <c r="N351" s="53">
        <f>IF(A351="","",COUNTIF('AFA Rates'!$A$5:$A$1004,A351))</f>
        <v/>
      </c>
      <c r="O351" s="54" t="n"/>
      <c r="P351" s="5" t="n"/>
      <c r="Q351" s="5" t="n"/>
      <c r="R351">
        <f>IF(AND(A351&lt;&gt;"",B351="Paused"),COUNTIFS($A$5:A351,"&lt;&gt;",$B$5:B351,"Paused"),"")</f>
        <v/>
      </c>
      <c r="S351">
        <f>IF(M351="Yes",COUNTIF($M$5:M351,"Yes"),"")</f>
        <v/>
      </c>
    </row>
    <row r="352">
      <c r="A352" s="5" t="n"/>
      <c r="B352" s="51" t="n"/>
      <c r="C352" s="5" t="n"/>
      <c r="D352" s="52" t="n"/>
      <c r="E352" s="52" t="n"/>
      <c r="F352" s="52" t="n"/>
      <c r="G352" s="52" t="n"/>
      <c r="H352" s="52" t="n"/>
      <c r="I352" s="52" t="n"/>
      <c r="J352" s="52" t="n"/>
      <c r="K352" s="52" t="n"/>
      <c r="L352" s="51" t="n"/>
      <c r="M352" s="53">
        <f>IF(A352="","",IF(COUNTIF('AFA Rates'!$A$5:$A$1004,A352)&gt;0,"Yes","No"))</f>
        <v/>
      </c>
      <c r="N352" s="53">
        <f>IF(A352="","",COUNTIF('AFA Rates'!$A$5:$A$1004,A352))</f>
        <v/>
      </c>
      <c r="O352" s="54" t="n"/>
      <c r="P352" s="5" t="n"/>
      <c r="Q352" s="5" t="n"/>
      <c r="R352">
        <f>IF(AND(A352&lt;&gt;"",B352="Paused"),COUNTIFS($A$5:A352,"&lt;&gt;",$B$5:B352,"Paused"),"")</f>
        <v/>
      </c>
      <c r="S352">
        <f>IF(M352="Yes",COUNTIF($M$5:M352,"Yes"),"")</f>
        <v/>
      </c>
    </row>
    <row r="353">
      <c r="A353" s="5" t="n"/>
      <c r="B353" s="51" t="n"/>
      <c r="C353" s="5" t="n"/>
      <c r="D353" s="52" t="n"/>
      <c r="E353" s="52" t="n"/>
      <c r="F353" s="52" t="n"/>
      <c r="G353" s="52" t="n"/>
      <c r="H353" s="52" t="n"/>
      <c r="I353" s="52" t="n"/>
      <c r="J353" s="52" t="n"/>
      <c r="K353" s="52" t="n"/>
      <c r="L353" s="51" t="n"/>
      <c r="M353" s="53">
        <f>IF(A353="","",IF(COUNTIF('AFA Rates'!$A$5:$A$1004,A353)&gt;0,"Yes","No"))</f>
        <v/>
      </c>
      <c r="N353" s="53">
        <f>IF(A353="","",COUNTIF('AFA Rates'!$A$5:$A$1004,A353))</f>
        <v/>
      </c>
      <c r="O353" s="54" t="n"/>
      <c r="P353" s="5" t="n"/>
      <c r="Q353" s="5" t="n"/>
      <c r="R353">
        <f>IF(AND(A353&lt;&gt;"",B353="Paused"),COUNTIFS($A$5:A353,"&lt;&gt;",$B$5:B353,"Paused"),"")</f>
        <v/>
      </c>
      <c r="S353">
        <f>IF(M353="Yes",COUNTIF($M$5:M353,"Yes"),"")</f>
        <v/>
      </c>
    </row>
    <row r="354">
      <c r="A354" s="5" t="n"/>
      <c r="B354" s="51" t="n"/>
      <c r="C354" s="5" t="n"/>
      <c r="D354" s="52" t="n"/>
      <c r="E354" s="52" t="n"/>
      <c r="F354" s="52" t="n"/>
      <c r="G354" s="52" t="n"/>
      <c r="H354" s="52" t="n"/>
      <c r="I354" s="52" t="n"/>
      <c r="J354" s="52" t="n"/>
      <c r="K354" s="52" t="n"/>
      <c r="L354" s="51" t="n"/>
      <c r="M354" s="53">
        <f>IF(A354="","",IF(COUNTIF('AFA Rates'!$A$5:$A$1004,A354)&gt;0,"Yes","No"))</f>
        <v/>
      </c>
      <c r="N354" s="53">
        <f>IF(A354="","",COUNTIF('AFA Rates'!$A$5:$A$1004,A354))</f>
        <v/>
      </c>
      <c r="O354" s="54" t="n"/>
      <c r="P354" s="5" t="n"/>
      <c r="Q354" s="5" t="n"/>
      <c r="R354">
        <f>IF(AND(A354&lt;&gt;"",B354="Paused"),COUNTIFS($A$5:A354,"&lt;&gt;",$B$5:B354,"Paused"),"")</f>
        <v/>
      </c>
      <c r="S354">
        <f>IF(M354="Yes",COUNTIF($M$5:M354,"Yes"),"")</f>
        <v/>
      </c>
    </row>
    <row r="355">
      <c r="A355" s="5" t="n"/>
      <c r="B355" s="51" t="n"/>
      <c r="C355" s="5" t="n"/>
      <c r="D355" s="52" t="n"/>
      <c r="E355" s="52" t="n"/>
      <c r="F355" s="52" t="n"/>
      <c r="G355" s="52" t="n"/>
      <c r="H355" s="52" t="n"/>
      <c r="I355" s="52" t="n"/>
      <c r="J355" s="52" t="n"/>
      <c r="K355" s="52" t="n"/>
      <c r="L355" s="51" t="n"/>
      <c r="M355" s="53">
        <f>IF(A355="","",IF(COUNTIF('AFA Rates'!$A$5:$A$1004,A355)&gt;0,"Yes","No"))</f>
        <v/>
      </c>
      <c r="N355" s="53">
        <f>IF(A355="","",COUNTIF('AFA Rates'!$A$5:$A$1004,A355))</f>
        <v/>
      </c>
      <c r="O355" s="54" t="n"/>
      <c r="P355" s="5" t="n"/>
      <c r="Q355" s="5" t="n"/>
      <c r="R355">
        <f>IF(AND(A355&lt;&gt;"",B355="Paused"),COUNTIFS($A$5:A355,"&lt;&gt;",$B$5:B355,"Paused"),"")</f>
        <v/>
      </c>
      <c r="S355">
        <f>IF(M355="Yes",COUNTIF($M$5:M355,"Yes"),"")</f>
        <v/>
      </c>
    </row>
    <row r="356">
      <c r="A356" s="5" t="n"/>
      <c r="B356" s="51" t="n"/>
      <c r="C356" s="5" t="n"/>
      <c r="D356" s="52" t="n"/>
      <c r="E356" s="52" t="n"/>
      <c r="F356" s="52" t="n"/>
      <c r="G356" s="52" t="n"/>
      <c r="H356" s="52" t="n"/>
      <c r="I356" s="52" t="n"/>
      <c r="J356" s="52" t="n"/>
      <c r="K356" s="52" t="n"/>
      <c r="L356" s="51" t="n"/>
      <c r="M356" s="53">
        <f>IF(A356="","",IF(COUNTIF('AFA Rates'!$A$5:$A$1004,A356)&gt;0,"Yes","No"))</f>
        <v/>
      </c>
      <c r="N356" s="53">
        <f>IF(A356="","",COUNTIF('AFA Rates'!$A$5:$A$1004,A356))</f>
        <v/>
      </c>
      <c r="O356" s="54" t="n"/>
      <c r="P356" s="5" t="n"/>
      <c r="Q356" s="5" t="n"/>
      <c r="R356">
        <f>IF(AND(A356&lt;&gt;"",B356="Paused"),COUNTIFS($A$5:A356,"&lt;&gt;",$B$5:B356,"Paused"),"")</f>
        <v/>
      </c>
      <c r="S356">
        <f>IF(M356="Yes",COUNTIF($M$5:M356,"Yes"),"")</f>
        <v/>
      </c>
    </row>
    <row r="357">
      <c r="A357" s="5" t="n"/>
      <c r="B357" s="51" t="n"/>
      <c r="C357" s="5" t="n"/>
      <c r="D357" s="52" t="n"/>
      <c r="E357" s="52" t="n"/>
      <c r="F357" s="52" t="n"/>
      <c r="G357" s="52" t="n"/>
      <c r="H357" s="52" t="n"/>
      <c r="I357" s="52" t="n"/>
      <c r="J357" s="52" t="n"/>
      <c r="K357" s="52" t="n"/>
      <c r="L357" s="51" t="n"/>
      <c r="M357" s="53">
        <f>IF(A357="","",IF(COUNTIF('AFA Rates'!$A$5:$A$1004,A357)&gt;0,"Yes","No"))</f>
        <v/>
      </c>
      <c r="N357" s="53">
        <f>IF(A357="","",COUNTIF('AFA Rates'!$A$5:$A$1004,A357))</f>
        <v/>
      </c>
      <c r="O357" s="54" t="n"/>
      <c r="P357" s="5" t="n"/>
      <c r="Q357" s="5" t="n"/>
      <c r="R357">
        <f>IF(AND(A357&lt;&gt;"",B357="Paused"),COUNTIFS($A$5:A357,"&lt;&gt;",$B$5:B357,"Paused"),"")</f>
        <v/>
      </c>
      <c r="S357">
        <f>IF(M357="Yes",COUNTIF($M$5:M357,"Yes"),"")</f>
        <v/>
      </c>
    </row>
    <row r="358">
      <c r="A358" s="5" t="n"/>
      <c r="B358" s="51" t="n"/>
      <c r="C358" s="5" t="n"/>
      <c r="D358" s="52" t="n"/>
      <c r="E358" s="52" t="n"/>
      <c r="F358" s="52" t="n"/>
      <c r="G358" s="52" t="n"/>
      <c r="H358" s="52" t="n"/>
      <c r="I358" s="52" t="n"/>
      <c r="J358" s="52" t="n"/>
      <c r="K358" s="52" t="n"/>
      <c r="L358" s="51" t="n"/>
      <c r="M358" s="53">
        <f>IF(A358="","",IF(COUNTIF('AFA Rates'!$A$5:$A$1004,A358)&gt;0,"Yes","No"))</f>
        <v/>
      </c>
      <c r="N358" s="53">
        <f>IF(A358="","",COUNTIF('AFA Rates'!$A$5:$A$1004,A358))</f>
        <v/>
      </c>
      <c r="O358" s="54" t="n"/>
      <c r="P358" s="5" t="n"/>
      <c r="Q358" s="5" t="n"/>
      <c r="R358">
        <f>IF(AND(A358&lt;&gt;"",B358="Paused"),COUNTIFS($A$5:A358,"&lt;&gt;",$B$5:B358,"Paused"),"")</f>
        <v/>
      </c>
      <c r="S358">
        <f>IF(M358="Yes",COUNTIF($M$5:M358,"Yes"),"")</f>
        <v/>
      </c>
    </row>
    <row r="359">
      <c r="A359" s="5" t="n"/>
      <c r="B359" s="51" t="n"/>
      <c r="C359" s="5" t="n"/>
      <c r="D359" s="52" t="n"/>
      <c r="E359" s="52" t="n"/>
      <c r="F359" s="52" t="n"/>
      <c r="G359" s="52" t="n"/>
      <c r="H359" s="52" t="n"/>
      <c r="I359" s="52" t="n"/>
      <c r="J359" s="52" t="n"/>
      <c r="K359" s="52" t="n"/>
      <c r="L359" s="51" t="n"/>
      <c r="M359" s="53">
        <f>IF(A359="","",IF(COUNTIF('AFA Rates'!$A$5:$A$1004,A359)&gt;0,"Yes","No"))</f>
        <v/>
      </c>
      <c r="N359" s="53">
        <f>IF(A359="","",COUNTIF('AFA Rates'!$A$5:$A$1004,A359))</f>
        <v/>
      </c>
      <c r="O359" s="54" t="n"/>
      <c r="P359" s="5" t="n"/>
      <c r="Q359" s="5" t="n"/>
      <c r="R359">
        <f>IF(AND(A359&lt;&gt;"",B359="Paused"),COUNTIFS($A$5:A359,"&lt;&gt;",$B$5:B359,"Paused"),"")</f>
        <v/>
      </c>
      <c r="S359">
        <f>IF(M359="Yes",COUNTIF($M$5:M359,"Yes"),"")</f>
        <v/>
      </c>
    </row>
    <row r="360">
      <c r="A360" s="5" t="n"/>
      <c r="B360" s="51" t="n"/>
      <c r="C360" s="5" t="n"/>
      <c r="D360" s="52" t="n"/>
      <c r="E360" s="52" t="n"/>
      <c r="F360" s="52" t="n"/>
      <c r="G360" s="52" t="n"/>
      <c r="H360" s="52" t="n"/>
      <c r="I360" s="52" t="n"/>
      <c r="J360" s="52" t="n"/>
      <c r="K360" s="52" t="n"/>
      <c r="L360" s="51" t="n"/>
      <c r="M360" s="53">
        <f>IF(A360="","",IF(COUNTIF('AFA Rates'!$A$5:$A$1004,A360)&gt;0,"Yes","No"))</f>
        <v/>
      </c>
      <c r="N360" s="53">
        <f>IF(A360="","",COUNTIF('AFA Rates'!$A$5:$A$1004,A360))</f>
        <v/>
      </c>
      <c r="O360" s="54" t="n"/>
      <c r="P360" s="5" t="n"/>
      <c r="Q360" s="5" t="n"/>
      <c r="R360">
        <f>IF(AND(A360&lt;&gt;"",B360="Paused"),COUNTIFS($A$5:A360,"&lt;&gt;",$B$5:B360,"Paused"),"")</f>
        <v/>
      </c>
      <c r="S360">
        <f>IF(M360="Yes",COUNTIF($M$5:M360,"Yes"),"")</f>
        <v/>
      </c>
    </row>
    <row r="361">
      <c r="A361" s="5" t="n"/>
      <c r="B361" s="51" t="n"/>
      <c r="C361" s="5" t="n"/>
      <c r="D361" s="52" t="n"/>
      <c r="E361" s="52" t="n"/>
      <c r="F361" s="52" t="n"/>
      <c r="G361" s="52" t="n"/>
      <c r="H361" s="52" t="n"/>
      <c r="I361" s="52" t="n"/>
      <c r="J361" s="52" t="n"/>
      <c r="K361" s="52" t="n"/>
      <c r="L361" s="51" t="n"/>
      <c r="M361" s="53">
        <f>IF(A361="","",IF(COUNTIF('AFA Rates'!$A$5:$A$1004,A361)&gt;0,"Yes","No"))</f>
        <v/>
      </c>
      <c r="N361" s="53">
        <f>IF(A361="","",COUNTIF('AFA Rates'!$A$5:$A$1004,A361))</f>
        <v/>
      </c>
      <c r="O361" s="54" t="n"/>
      <c r="P361" s="5" t="n"/>
      <c r="Q361" s="5" t="n"/>
      <c r="R361">
        <f>IF(AND(A361&lt;&gt;"",B361="Paused"),COUNTIFS($A$5:A361,"&lt;&gt;",$B$5:B361,"Paused"),"")</f>
        <v/>
      </c>
      <c r="S361">
        <f>IF(M361="Yes",COUNTIF($M$5:M361,"Yes"),"")</f>
        <v/>
      </c>
    </row>
    <row r="362">
      <c r="A362" s="5" t="n"/>
      <c r="B362" s="51" t="n"/>
      <c r="C362" s="5" t="n"/>
      <c r="D362" s="52" t="n"/>
      <c r="E362" s="52" t="n"/>
      <c r="F362" s="52" t="n"/>
      <c r="G362" s="52" t="n"/>
      <c r="H362" s="52" t="n"/>
      <c r="I362" s="52" t="n"/>
      <c r="J362" s="52" t="n"/>
      <c r="K362" s="52" t="n"/>
      <c r="L362" s="51" t="n"/>
      <c r="M362" s="53">
        <f>IF(A362="","",IF(COUNTIF('AFA Rates'!$A$5:$A$1004,A362)&gt;0,"Yes","No"))</f>
        <v/>
      </c>
      <c r="N362" s="53">
        <f>IF(A362="","",COUNTIF('AFA Rates'!$A$5:$A$1004,A362))</f>
        <v/>
      </c>
      <c r="O362" s="54" t="n"/>
      <c r="P362" s="5" t="n"/>
      <c r="Q362" s="5" t="n"/>
      <c r="R362">
        <f>IF(AND(A362&lt;&gt;"",B362="Paused"),COUNTIFS($A$5:A362,"&lt;&gt;",$B$5:B362,"Paused"),"")</f>
        <v/>
      </c>
      <c r="S362">
        <f>IF(M362="Yes",COUNTIF($M$5:M362,"Yes"),"")</f>
        <v/>
      </c>
    </row>
    <row r="363">
      <c r="A363" s="5" t="n"/>
      <c r="B363" s="51" t="n"/>
      <c r="C363" s="5" t="n"/>
      <c r="D363" s="52" t="n"/>
      <c r="E363" s="52" t="n"/>
      <c r="F363" s="52" t="n"/>
      <c r="G363" s="52" t="n"/>
      <c r="H363" s="52" t="n"/>
      <c r="I363" s="52" t="n"/>
      <c r="J363" s="52" t="n"/>
      <c r="K363" s="52" t="n"/>
      <c r="L363" s="51" t="n"/>
      <c r="M363" s="53">
        <f>IF(A363="","",IF(COUNTIF('AFA Rates'!$A$5:$A$1004,A363)&gt;0,"Yes","No"))</f>
        <v/>
      </c>
      <c r="N363" s="53">
        <f>IF(A363="","",COUNTIF('AFA Rates'!$A$5:$A$1004,A363))</f>
        <v/>
      </c>
      <c r="O363" s="54" t="n"/>
      <c r="P363" s="5" t="n"/>
      <c r="Q363" s="5" t="n"/>
      <c r="R363">
        <f>IF(AND(A363&lt;&gt;"",B363="Paused"),COUNTIFS($A$5:A363,"&lt;&gt;",$B$5:B363,"Paused"),"")</f>
        <v/>
      </c>
      <c r="S363">
        <f>IF(M363="Yes",COUNTIF($M$5:M363,"Yes"),"")</f>
        <v/>
      </c>
    </row>
    <row r="364">
      <c r="A364" s="5" t="n"/>
      <c r="B364" s="51" t="n"/>
      <c r="C364" s="5" t="n"/>
      <c r="D364" s="52" t="n"/>
      <c r="E364" s="52" t="n"/>
      <c r="F364" s="52" t="n"/>
      <c r="G364" s="52" t="n"/>
      <c r="H364" s="52" t="n"/>
      <c r="I364" s="52" t="n"/>
      <c r="J364" s="52" t="n"/>
      <c r="K364" s="52" t="n"/>
      <c r="L364" s="51" t="n"/>
      <c r="M364" s="53">
        <f>IF(A364="","",IF(COUNTIF('AFA Rates'!$A$5:$A$1004,A364)&gt;0,"Yes","No"))</f>
        <v/>
      </c>
      <c r="N364" s="53">
        <f>IF(A364="","",COUNTIF('AFA Rates'!$A$5:$A$1004,A364))</f>
        <v/>
      </c>
      <c r="O364" s="54" t="n"/>
      <c r="P364" s="5" t="n"/>
      <c r="Q364" s="5" t="n"/>
      <c r="R364">
        <f>IF(AND(A364&lt;&gt;"",B364="Paused"),COUNTIFS($A$5:A364,"&lt;&gt;",$B$5:B364,"Paused"),"")</f>
        <v/>
      </c>
      <c r="S364">
        <f>IF(M364="Yes",COUNTIF($M$5:M364,"Yes"),"")</f>
        <v/>
      </c>
    </row>
    <row r="365">
      <c r="A365" s="5" t="n"/>
      <c r="B365" s="51" t="n"/>
      <c r="C365" s="5" t="n"/>
      <c r="D365" s="52" t="n"/>
      <c r="E365" s="52" t="n"/>
      <c r="F365" s="52" t="n"/>
      <c r="G365" s="52" t="n"/>
      <c r="H365" s="52" t="n"/>
      <c r="I365" s="52" t="n"/>
      <c r="J365" s="52" t="n"/>
      <c r="K365" s="52" t="n"/>
      <c r="L365" s="51" t="n"/>
      <c r="M365" s="53">
        <f>IF(A365="","",IF(COUNTIF('AFA Rates'!$A$5:$A$1004,A365)&gt;0,"Yes","No"))</f>
        <v/>
      </c>
      <c r="N365" s="53">
        <f>IF(A365="","",COUNTIF('AFA Rates'!$A$5:$A$1004,A365))</f>
        <v/>
      </c>
      <c r="O365" s="54" t="n"/>
      <c r="P365" s="5" t="n"/>
      <c r="Q365" s="5" t="n"/>
      <c r="R365">
        <f>IF(AND(A365&lt;&gt;"",B365="Paused"),COUNTIFS($A$5:A365,"&lt;&gt;",$B$5:B365,"Paused"),"")</f>
        <v/>
      </c>
      <c r="S365">
        <f>IF(M365="Yes",COUNTIF($M$5:M365,"Yes"),"")</f>
        <v/>
      </c>
    </row>
    <row r="366">
      <c r="A366" s="5" t="n"/>
      <c r="B366" s="51" t="n"/>
      <c r="C366" s="5" t="n"/>
      <c r="D366" s="52" t="n"/>
      <c r="E366" s="52" t="n"/>
      <c r="F366" s="52" t="n"/>
      <c r="G366" s="52" t="n"/>
      <c r="H366" s="52" t="n"/>
      <c r="I366" s="52" t="n"/>
      <c r="J366" s="52" t="n"/>
      <c r="K366" s="52" t="n"/>
      <c r="L366" s="51" t="n"/>
      <c r="M366" s="53">
        <f>IF(A366="","",IF(COUNTIF('AFA Rates'!$A$5:$A$1004,A366)&gt;0,"Yes","No"))</f>
        <v/>
      </c>
      <c r="N366" s="53">
        <f>IF(A366="","",COUNTIF('AFA Rates'!$A$5:$A$1004,A366))</f>
        <v/>
      </c>
      <c r="O366" s="54" t="n"/>
      <c r="P366" s="5" t="n"/>
      <c r="Q366" s="5" t="n"/>
      <c r="R366">
        <f>IF(AND(A366&lt;&gt;"",B366="Paused"),COUNTIFS($A$5:A366,"&lt;&gt;",$B$5:B366,"Paused"),"")</f>
        <v/>
      </c>
      <c r="S366">
        <f>IF(M366="Yes",COUNTIF($M$5:M366,"Yes"),"")</f>
        <v/>
      </c>
    </row>
    <row r="367">
      <c r="A367" s="5" t="n"/>
      <c r="B367" s="51" t="n"/>
      <c r="C367" s="5" t="n"/>
      <c r="D367" s="52" t="n"/>
      <c r="E367" s="52" t="n"/>
      <c r="F367" s="52" t="n"/>
      <c r="G367" s="52" t="n"/>
      <c r="H367" s="52" t="n"/>
      <c r="I367" s="52" t="n"/>
      <c r="J367" s="52" t="n"/>
      <c r="K367" s="52" t="n"/>
      <c r="L367" s="51" t="n"/>
      <c r="M367" s="53">
        <f>IF(A367="","",IF(COUNTIF('AFA Rates'!$A$5:$A$1004,A367)&gt;0,"Yes","No"))</f>
        <v/>
      </c>
      <c r="N367" s="53">
        <f>IF(A367="","",COUNTIF('AFA Rates'!$A$5:$A$1004,A367))</f>
        <v/>
      </c>
      <c r="O367" s="54" t="n"/>
      <c r="P367" s="5" t="n"/>
      <c r="Q367" s="5" t="n"/>
      <c r="R367">
        <f>IF(AND(A367&lt;&gt;"",B367="Paused"),COUNTIFS($A$5:A367,"&lt;&gt;",$B$5:B367,"Paused"),"")</f>
        <v/>
      </c>
      <c r="S367">
        <f>IF(M367="Yes",COUNTIF($M$5:M367,"Yes"),"")</f>
        <v/>
      </c>
    </row>
    <row r="368">
      <c r="A368" s="5" t="n"/>
      <c r="B368" s="51" t="n"/>
      <c r="C368" s="5" t="n"/>
      <c r="D368" s="52" t="n"/>
      <c r="E368" s="52" t="n"/>
      <c r="F368" s="52" t="n"/>
      <c r="G368" s="52" t="n"/>
      <c r="H368" s="52" t="n"/>
      <c r="I368" s="52" t="n"/>
      <c r="J368" s="52" t="n"/>
      <c r="K368" s="52" t="n"/>
      <c r="L368" s="51" t="n"/>
      <c r="M368" s="53">
        <f>IF(A368="","",IF(COUNTIF('AFA Rates'!$A$5:$A$1004,A368)&gt;0,"Yes","No"))</f>
        <v/>
      </c>
      <c r="N368" s="53">
        <f>IF(A368="","",COUNTIF('AFA Rates'!$A$5:$A$1004,A368))</f>
        <v/>
      </c>
      <c r="O368" s="54" t="n"/>
      <c r="P368" s="5" t="n"/>
      <c r="Q368" s="5" t="n"/>
      <c r="R368">
        <f>IF(AND(A368&lt;&gt;"",B368="Paused"),COUNTIFS($A$5:A368,"&lt;&gt;",$B$5:B368,"Paused"),"")</f>
        <v/>
      </c>
      <c r="S368">
        <f>IF(M368="Yes",COUNTIF($M$5:M368,"Yes"),"")</f>
        <v/>
      </c>
    </row>
    <row r="369">
      <c r="A369" s="5" t="n"/>
      <c r="B369" s="51" t="n"/>
      <c r="C369" s="5" t="n"/>
      <c r="D369" s="52" t="n"/>
      <c r="E369" s="52" t="n"/>
      <c r="F369" s="52" t="n"/>
      <c r="G369" s="52" t="n"/>
      <c r="H369" s="52" t="n"/>
      <c r="I369" s="52" t="n"/>
      <c r="J369" s="52" t="n"/>
      <c r="K369" s="52" t="n"/>
      <c r="L369" s="51" t="n"/>
      <c r="M369" s="53">
        <f>IF(A369="","",IF(COUNTIF('AFA Rates'!$A$5:$A$1004,A369)&gt;0,"Yes","No"))</f>
        <v/>
      </c>
      <c r="N369" s="53">
        <f>IF(A369="","",COUNTIF('AFA Rates'!$A$5:$A$1004,A369))</f>
        <v/>
      </c>
      <c r="O369" s="54" t="n"/>
      <c r="P369" s="5" t="n"/>
      <c r="Q369" s="5" t="n"/>
      <c r="R369">
        <f>IF(AND(A369&lt;&gt;"",B369="Paused"),COUNTIFS($A$5:A369,"&lt;&gt;",$B$5:B369,"Paused"),"")</f>
        <v/>
      </c>
      <c r="S369">
        <f>IF(M369="Yes",COUNTIF($M$5:M369,"Yes"),"")</f>
        <v/>
      </c>
    </row>
    <row r="370">
      <c r="A370" s="5" t="n"/>
      <c r="B370" s="51" t="n"/>
      <c r="C370" s="5" t="n"/>
      <c r="D370" s="52" t="n"/>
      <c r="E370" s="52" t="n"/>
      <c r="F370" s="52" t="n"/>
      <c r="G370" s="52" t="n"/>
      <c r="H370" s="52" t="n"/>
      <c r="I370" s="52" t="n"/>
      <c r="J370" s="52" t="n"/>
      <c r="K370" s="52" t="n"/>
      <c r="L370" s="51" t="n"/>
      <c r="M370" s="53">
        <f>IF(A370="","",IF(COUNTIF('AFA Rates'!$A$5:$A$1004,A370)&gt;0,"Yes","No"))</f>
        <v/>
      </c>
      <c r="N370" s="53">
        <f>IF(A370="","",COUNTIF('AFA Rates'!$A$5:$A$1004,A370))</f>
        <v/>
      </c>
      <c r="O370" s="54" t="n"/>
      <c r="P370" s="5" t="n"/>
      <c r="Q370" s="5" t="n"/>
      <c r="R370">
        <f>IF(AND(A370&lt;&gt;"",B370="Paused"),COUNTIFS($A$5:A370,"&lt;&gt;",$B$5:B370,"Paused"),"")</f>
        <v/>
      </c>
      <c r="S370">
        <f>IF(M370="Yes",COUNTIF($M$5:M370,"Yes"),"")</f>
        <v/>
      </c>
    </row>
    <row r="371">
      <c r="A371" s="5" t="n"/>
      <c r="B371" s="51" t="n"/>
      <c r="C371" s="5" t="n"/>
      <c r="D371" s="52" t="n"/>
      <c r="E371" s="52" t="n"/>
      <c r="F371" s="52" t="n"/>
      <c r="G371" s="52" t="n"/>
      <c r="H371" s="52" t="n"/>
      <c r="I371" s="52" t="n"/>
      <c r="J371" s="52" t="n"/>
      <c r="K371" s="52" t="n"/>
      <c r="L371" s="51" t="n"/>
      <c r="M371" s="53">
        <f>IF(A371="","",IF(COUNTIF('AFA Rates'!$A$5:$A$1004,A371)&gt;0,"Yes","No"))</f>
        <v/>
      </c>
      <c r="N371" s="53">
        <f>IF(A371="","",COUNTIF('AFA Rates'!$A$5:$A$1004,A371))</f>
        <v/>
      </c>
      <c r="O371" s="54" t="n"/>
      <c r="P371" s="5" t="n"/>
      <c r="Q371" s="5" t="n"/>
      <c r="R371">
        <f>IF(AND(A371&lt;&gt;"",B371="Paused"),COUNTIFS($A$5:A371,"&lt;&gt;",$B$5:B371,"Paused"),"")</f>
        <v/>
      </c>
      <c r="S371">
        <f>IF(M371="Yes",COUNTIF($M$5:M371,"Yes"),"")</f>
        <v/>
      </c>
    </row>
    <row r="372">
      <c r="A372" s="5" t="n"/>
      <c r="B372" s="51" t="n"/>
      <c r="C372" s="5" t="n"/>
      <c r="D372" s="52" t="n"/>
      <c r="E372" s="52" t="n"/>
      <c r="F372" s="52" t="n"/>
      <c r="G372" s="52" t="n"/>
      <c r="H372" s="52" t="n"/>
      <c r="I372" s="52" t="n"/>
      <c r="J372" s="52" t="n"/>
      <c r="K372" s="52" t="n"/>
      <c r="L372" s="51" t="n"/>
      <c r="M372" s="53">
        <f>IF(A372="","",IF(COUNTIF('AFA Rates'!$A$5:$A$1004,A372)&gt;0,"Yes","No"))</f>
        <v/>
      </c>
      <c r="N372" s="53">
        <f>IF(A372="","",COUNTIF('AFA Rates'!$A$5:$A$1004,A372))</f>
        <v/>
      </c>
      <c r="O372" s="54" t="n"/>
      <c r="P372" s="5" t="n"/>
      <c r="Q372" s="5" t="n"/>
      <c r="R372">
        <f>IF(AND(A372&lt;&gt;"",B372="Paused"),COUNTIFS($A$5:A372,"&lt;&gt;",$B$5:B372,"Paused"),"")</f>
        <v/>
      </c>
      <c r="S372">
        <f>IF(M372="Yes",COUNTIF($M$5:M372,"Yes"),"")</f>
        <v/>
      </c>
    </row>
    <row r="373">
      <c r="A373" s="5" t="n"/>
      <c r="B373" s="51" t="n"/>
      <c r="C373" s="5" t="n"/>
      <c r="D373" s="52" t="n"/>
      <c r="E373" s="52" t="n"/>
      <c r="F373" s="52" t="n"/>
      <c r="G373" s="52" t="n"/>
      <c r="H373" s="52" t="n"/>
      <c r="I373" s="52" t="n"/>
      <c r="J373" s="52" t="n"/>
      <c r="K373" s="52" t="n"/>
      <c r="L373" s="51" t="n"/>
      <c r="M373" s="53">
        <f>IF(A373="","",IF(COUNTIF('AFA Rates'!$A$5:$A$1004,A373)&gt;0,"Yes","No"))</f>
        <v/>
      </c>
      <c r="N373" s="53">
        <f>IF(A373="","",COUNTIF('AFA Rates'!$A$5:$A$1004,A373))</f>
        <v/>
      </c>
      <c r="O373" s="54" t="n"/>
      <c r="P373" s="5" t="n"/>
      <c r="Q373" s="5" t="n"/>
      <c r="R373">
        <f>IF(AND(A373&lt;&gt;"",B373="Paused"),COUNTIFS($A$5:A373,"&lt;&gt;",$B$5:B373,"Paused"),"")</f>
        <v/>
      </c>
      <c r="S373">
        <f>IF(M373="Yes",COUNTIF($M$5:M373,"Yes"),"")</f>
        <v/>
      </c>
    </row>
    <row r="374">
      <c r="A374" s="5" t="n"/>
      <c r="B374" s="51" t="n"/>
      <c r="C374" s="5" t="n"/>
      <c r="D374" s="52" t="n"/>
      <c r="E374" s="52" t="n"/>
      <c r="F374" s="52" t="n"/>
      <c r="G374" s="52" t="n"/>
      <c r="H374" s="52" t="n"/>
      <c r="I374" s="52" t="n"/>
      <c r="J374" s="52" t="n"/>
      <c r="K374" s="52" t="n"/>
      <c r="L374" s="51" t="n"/>
      <c r="M374" s="53">
        <f>IF(A374="","",IF(COUNTIF('AFA Rates'!$A$5:$A$1004,A374)&gt;0,"Yes","No"))</f>
        <v/>
      </c>
      <c r="N374" s="53">
        <f>IF(A374="","",COUNTIF('AFA Rates'!$A$5:$A$1004,A374))</f>
        <v/>
      </c>
      <c r="O374" s="54" t="n"/>
      <c r="P374" s="5" t="n"/>
      <c r="Q374" s="5" t="n"/>
      <c r="R374">
        <f>IF(AND(A374&lt;&gt;"",B374="Paused"),COUNTIFS($A$5:A374,"&lt;&gt;",$B$5:B374,"Paused"),"")</f>
        <v/>
      </c>
      <c r="S374">
        <f>IF(M374="Yes",COUNTIF($M$5:M374,"Yes"),"")</f>
        <v/>
      </c>
    </row>
    <row r="375">
      <c r="A375" s="5" t="n"/>
      <c r="B375" s="51" t="n"/>
      <c r="C375" s="5" t="n"/>
      <c r="D375" s="52" t="n"/>
      <c r="E375" s="52" t="n"/>
      <c r="F375" s="52" t="n"/>
      <c r="G375" s="52" t="n"/>
      <c r="H375" s="52" t="n"/>
      <c r="I375" s="52" t="n"/>
      <c r="J375" s="52" t="n"/>
      <c r="K375" s="52" t="n"/>
      <c r="L375" s="51" t="n"/>
      <c r="M375" s="53">
        <f>IF(A375="","",IF(COUNTIF('AFA Rates'!$A$5:$A$1004,A375)&gt;0,"Yes","No"))</f>
        <v/>
      </c>
      <c r="N375" s="53">
        <f>IF(A375="","",COUNTIF('AFA Rates'!$A$5:$A$1004,A375))</f>
        <v/>
      </c>
      <c r="O375" s="54" t="n"/>
      <c r="P375" s="5" t="n"/>
      <c r="Q375" s="5" t="n"/>
      <c r="R375">
        <f>IF(AND(A375&lt;&gt;"",B375="Paused"),COUNTIFS($A$5:A375,"&lt;&gt;",$B$5:B375,"Paused"),"")</f>
        <v/>
      </c>
      <c r="S375">
        <f>IF(M375="Yes",COUNTIF($M$5:M375,"Yes"),"")</f>
        <v/>
      </c>
    </row>
    <row r="376">
      <c r="A376" s="5" t="n"/>
      <c r="B376" s="51" t="n"/>
      <c r="C376" s="5" t="n"/>
      <c r="D376" s="52" t="n"/>
      <c r="E376" s="52" t="n"/>
      <c r="F376" s="52" t="n"/>
      <c r="G376" s="52" t="n"/>
      <c r="H376" s="52" t="n"/>
      <c r="I376" s="52" t="n"/>
      <c r="J376" s="52" t="n"/>
      <c r="K376" s="52" t="n"/>
      <c r="L376" s="51" t="n"/>
      <c r="M376" s="53">
        <f>IF(A376="","",IF(COUNTIF('AFA Rates'!$A$5:$A$1004,A376)&gt;0,"Yes","No"))</f>
        <v/>
      </c>
      <c r="N376" s="53">
        <f>IF(A376="","",COUNTIF('AFA Rates'!$A$5:$A$1004,A376))</f>
        <v/>
      </c>
      <c r="O376" s="54" t="n"/>
      <c r="P376" s="5" t="n"/>
      <c r="Q376" s="5" t="n"/>
      <c r="R376">
        <f>IF(AND(A376&lt;&gt;"",B376="Paused"),COUNTIFS($A$5:A376,"&lt;&gt;",$B$5:B376,"Paused"),"")</f>
        <v/>
      </c>
      <c r="S376">
        <f>IF(M376="Yes",COUNTIF($M$5:M376,"Yes"),"")</f>
        <v/>
      </c>
    </row>
    <row r="377">
      <c r="A377" s="5" t="n"/>
      <c r="B377" s="51" t="n"/>
      <c r="C377" s="5" t="n"/>
      <c r="D377" s="52" t="n"/>
      <c r="E377" s="52" t="n"/>
      <c r="F377" s="52" t="n"/>
      <c r="G377" s="52" t="n"/>
      <c r="H377" s="52" t="n"/>
      <c r="I377" s="52" t="n"/>
      <c r="J377" s="52" t="n"/>
      <c r="K377" s="52" t="n"/>
      <c r="L377" s="51" t="n"/>
      <c r="M377" s="53">
        <f>IF(A377="","",IF(COUNTIF('AFA Rates'!$A$5:$A$1004,A377)&gt;0,"Yes","No"))</f>
        <v/>
      </c>
      <c r="N377" s="53">
        <f>IF(A377="","",COUNTIF('AFA Rates'!$A$5:$A$1004,A377))</f>
        <v/>
      </c>
      <c r="O377" s="54" t="n"/>
      <c r="P377" s="5" t="n"/>
      <c r="Q377" s="5" t="n"/>
      <c r="R377">
        <f>IF(AND(A377&lt;&gt;"",B377="Paused"),COUNTIFS($A$5:A377,"&lt;&gt;",$B$5:B377,"Paused"),"")</f>
        <v/>
      </c>
      <c r="S377">
        <f>IF(M377="Yes",COUNTIF($M$5:M377,"Yes"),"")</f>
        <v/>
      </c>
    </row>
    <row r="378">
      <c r="A378" s="5" t="n"/>
      <c r="B378" s="51" t="n"/>
      <c r="C378" s="5" t="n"/>
      <c r="D378" s="52" t="n"/>
      <c r="E378" s="52" t="n"/>
      <c r="F378" s="52" t="n"/>
      <c r="G378" s="52" t="n"/>
      <c r="H378" s="52" t="n"/>
      <c r="I378" s="52" t="n"/>
      <c r="J378" s="52" t="n"/>
      <c r="K378" s="52" t="n"/>
      <c r="L378" s="51" t="n"/>
      <c r="M378" s="53">
        <f>IF(A378="","",IF(COUNTIF('AFA Rates'!$A$5:$A$1004,A378)&gt;0,"Yes","No"))</f>
        <v/>
      </c>
      <c r="N378" s="53">
        <f>IF(A378="","",COUNTIF('AFA Rates'!$A$5:$A$1004,A378))</f>
        <v/>
      </c>
      <c r="O378" s="54" t="n"/>
      <c r="P378" s="5" t="n"/>
      <c r="Q378" s="5" t="n"/>
      <c r="R378">
        <f>IF(AND(A378&lt;&gt;"",B378="Paused"),COUNTIFS($A$5:A378,"&lt;&gt;",$B$5:B378,"Paused"),"")</f>
        <v/>
      </c>
      <c r="S378">
        <f>IF(M378="Yes",COUNTIF($M$5:M378,"Yes"),"")</f>
        <v/>
      </c>
    </row>
    <row r="379">
      <c r="A379" s="5" t="n"/>
      <c r="B379" s="51" t="n"/>
      <c r="C379" s="5" t="n"/>
      <c r="D379" s="52" t="n"/>
      <c r="E379" s="52" t="n"/>
      <c r="F379" s="52" t="n"/>
      <c r="G379" s="52" t="n"/>
      <c r="H379" s="52" t="n"/>
      <c r="I379" s="52" t="n"/>
      <c r="J379" s="52" t="n"/>
      <c r="K379" s="52" t="n"/>
      <c r="L379" s="51" t="n"/>
      <c r="M379" s="53">
        <f>IF(A379="","",IF(COUNTIF('AFA Rates'!$A$5:$A$1004,A379)&gt;0,"Yes","No"))</f>
        <v/>
      </c>
      <c r="N379" s="53">
        <f>IF(A379="","",COUNTIF('AFA Rates'!$A$5:$A$1004,A379))</f>
        <v/>
      </c>
      <c r="O379" s="54" t="n"/>
      <c r="P379" s="5" t="n"/>
      <c r="Q379" s="5" t="n"/>
      <c r="R379">
        <f>IF(AND(A379&lt;&gt;"",B379="Paused"),COUNTIFS($A$5:A379,"&lt;&gt;",$B$5:B379,"Paused"),"")</f>
        <v/>
      </c>
      <c r="S379">
        <f>IF(M379="Yes",COUNTIF($M$5:M379,"Yes"),"")</f>
        <v/>
      </c>
    </row>
    <row r="380">
      <c r="A380" s="5" t="n"/>
      <c r="B380" s="51" t="n"/>
      <c r="C380" s="5" t="n"/>
      <c r="D380" s="52" t="n"/>
      <c r="E380" s="52" t="n"/>
      <c r="F380" s="52" t="n"/>
      <c r="G380" s="52" t="n"/>
      <c r="H380" s="52" t="n"/>
      <c r="I380" s="52" t="n"/>
      <c r="J380" s="52" t="n"/>
      <c r="K380" s="52" t="n"/>
      <c r="L380" s="51" t="n"/>
      <c r="M380" s="53">
        <f>IF(A380="","",IF(COUNTIF('AFA Rates'!$A$5:$A$1004,A380)&gt;0,"Yes","No"))</f>
        <v/>
      </c>
      <c r="N380" s="53">
        <f>IF(A380="","",COUNTIF('AFA Rates'!$A$5:$A$1004,A380))</f>
        <v/>
      </c>
      <c r="O380" s="54" t="n"/>
      <c r="P380" s="5" t="n"/>
      <c r="Q380" s="5" t="n"/>
      <c r="R380">
        <f>IF(AND(A380&lt;&gt;"",B380="Paused"),COUNTIFS($A$5:A380,"&lt;&gt;",$B$5:B380,"Paused"),"")</f>
        <v/>
      </c>
      <c r="S380">
        <f>IF(M380="Yes",COUNTIF($M$5:M380,"Yes"),"")</f>
        <v/>
      </c>
    </row>
    <row r="381">
      <c r="A381" s="5" t="n"/>
      <c r="B381" s="51" t="n"/>
      <c r="C381" s="5" t="n"/>
      <c r="D381" s="52" t="n"/>
      <c r="E381" s="52" t="n"/>
      <c r="F381" s="52" t="n"/>
      <c r="G381" s="52" t="n"/>
      <c r="H381" s="52" t="n"/>
      <c r="I381" s="52" t="n"/>
      <c r="J381" s="52" t="n"/>
      <c r="K381" s="52" t="n"/>
      <c r="L381" s="51" t="n"/>
      <c r="M381" s="53">
        <f>IF(A381="","",IF(COUNTIF('AFA Rates'!$A$5:$A$1004,A381)&gt;0,"Yes","No"))</f>
        <v/>
      </c>
      <c r="N381" s="53">
        <f>IF(A381="","",COUNTIF('AFA Rates'!$A$5:$A$1004,A381))</f>
        <v/>
      </c>
      <c r="O381" s="54" t="n"/>
      <c r="P381" s="5" t="n"/>
      <c r="Q381" s="5" t="n"/>
      <c r="R381">
        <f>IF(AND(A381&lt;&gt;"",B381="Paused"),COUNTIFS($A$5:A381,"&lt;&gt;",$B$5:B381,"Paused"),"")</f>
        <v/>
      </c>
      <c r="S381">
        <f>IF(M381="Yes",COUNTIF($M$5:M381,"Yes"),"")</f>
        <v/>
      </c>
    </row>
    <row r="382">
      <c r="A382" s="5" t="n"/>
      <c r="B382" s="51" t="n"/>
      <c r="C382" s="5" t="n"/>
      <c r="D382" s="52" t="n"/>
      <c r="E382" s="52" t="n"/>
      <c r="F382" s="52" t="n"/>
      <c r="G382" s="52" t="n"/>
      <c r="H382" s="52" t="n"/>
      <c r="I382" s="52" t="n"/>
      <c r="J382" s="52" t="n"/>
      <c r="K382" s="52" t="n"/>
      <c r="L382" s="51" t="n"/>
      <c r="M382" s="53">
        <f>IF(A382="","",IF(COUNTIF('AFA Rates'!$A$5:$A$1004,A382)&gt;0,"Yes","No"))</f>
        <v/>
      </c>
      <c r="N382" s="53">
        <f>IF(A382="","",COUNTIF('AFA Rates'!$A$5:$A$1004,A382))</f>
        <v/>
      </c>
      <c r="O382" s="54" t="n"/>
      <c r="P382" s="5" t="n"/>
      <c r="Q382" s="5" t="n"/>
      <c r="R382">
        <f>IF(AND(A382&lt;&gt;"",B382="Paused"),COUNTIFS($A$5:A382,"&lt;&gt;",$B$5:B382,"Paused"),"")</f>
        <v/>
      </c>
      <c r="S382">
        <f>IF(M382="Yes",COUNTIF($M$5:M382,"Yes"),"")</f>
        <v/>
      </c>
    </row>
    <row r="383">
      <c r="A383" s="5" t="n"/>
      <c r="B383" s="51" t="n"/>
      <c r="C383" s="5" t="n"/>
      <c r="D383" s="52" t="n"/>
      <c r="E383" s="52" t="n"/>
      <c r="F383" s="52" t="n"/>
      <c r="G383" s="52" t="n"/>
      <c r="H383" s="52" t="n"/>
      <c r="I383" s="52" t="n"/>
      <c r="J383" s="52" t="n"/>
      <c r="K383" s="52" t="n"/>
      <c r="L383" s="51" t="n"/>
      <c r="M383" s="53">
        <f>IF(A383="","",IF(COUNTIF('AFA Rates'!$A$5:$A$1004,A383)&gt;0,"Yes","No"))</f>
        <v/>
      </c>
      <c r="N383" s="53">
        <f>IF(A383="","",COUNTIF('AFA Rates'!$A$5:$A$1004,A383))</f>
        <v/>
      </c>
      <c r="O383" s="54" t="n"/>
      <c r="P383" s="5" t="n"/>
      <c r="Q383" s="5" t="n"/>
      <c r="R383">
        <f>IF(AND(A383&lt;&gt;"",B383="Paused"),COUNTIFS($A$5:A383,"&lt;&gt;",$B$5:B383,"Paused"),"")</f>
        <v/>
      </c>
      <c r="S383">
        <f>IF(M383="Yes",COUNTIF($M$5:M383,"Yes"),"")</f>
        <v/>
      </c>
    </row>
    <row r="384">
      <c r="A384" s="5" t="n"/>
      <c r="B384" s="51" t="n"/>
      <c r="C384" s="5" t="n"/>
      <c r="D384" s="52" t="n"/>
      <c r="E384" s="52" t="n"/>
      <c r="F384" s="52" t="n"/>
      <c r="G384" s="52" t="n"/>
      <c r="H384" s="52" t="n"/>
      <c r="I384" s="52" t="n"/>
      <c r="J384" s="52" t="n"/>
      <c r="K384" s="52" t="n"/>
      <c r="L384" s="51" t="n"/>
      <c r="M384" s="53">
        <f>IF(A384="","",IF(COUNTIF('AFA Rates'!$A$5:$A$1004,A384)&gt;0,"Yes","No"))</f>
        <v/>
      </c>
      <c r="N384" s="53">
        <f>IF(A384="","",COUNTIF('AFA Rates'!$A$5:$A$1004,A384))</f>
        <v/>
      </c>
      <c r="O384" s="54" t="n"/>
      <c r="P384" s="5" t="n"/>
      <c r="Q384" s="5" t="n"/>
      <c r="R384">
        <f>IF(AND(A384&lt;&gt;"",B384="Paused"),COUNTIFS($A$5:A384,"&lt;&gt;",$B$5:B384,"Paused"),"")</f>
        <v/>
      </c>
      <c r="S384">
        <f>IF(M384="Yes",COUNTIF($M$5:M384,"Yes"),"")</f>
        <v/>
      </c>
    </row>
    <row r="385">
      <c r="A385" s="5" t="n"/>
      <c r="B385" s="51" t="n"/>
      <c r="C385" s="5" t="n"/>
      <c r="D385" s="52" t="n"/>
      <c r="E385" s="52" t="n"/>
      <c r="F385" s="52" t="n"/>
      <c r="G385" s="52" t="n"/>
      <c r="H385" s="52" t="n"/>
      <c r="I385" s="52" t="n"/>
      <c r="J385" s="52" t="n"/>
      <c r="K385" s="52" t="n"/>
      <c r="L385" s="51" t="n"/>
      <c r="M385" s="53">
        <f>IF(A385="","",IF(COUNTIF('AFA Rates'!$A$5:$A$1004,A385)&gt;0,"Yes","No"))</f>
        <v/>
      </c>
      <c r="N385" s="53">
        <f>IF(A385="","",COUNTIF('AFA Rates'!$A$5:$A$1004,A385))</f>
        <v/>
      </c>
      <c r="O385" s="54" t="n"/>
      <c r="P385" s="5" t="n"/>
      <c r="Q385" s="5" t="n"/>
      <c r="R385">
        <f>IF(AND(A385&lt;&gt;"",B385="Paused"),COUNTIFS($A$5:A385,"&lt;&gt;",$B$5:B385,"Paused"),"")</f>
        <v/>
      </c>
      <c r="S385">
        <f>IF(M385="Yes",COUNTIF($M$5:M385,"Yes"),"")</f>
        <v/>
      </c>
    </row>
    <row r="386">
      <c r="A386" s="5" t="n"/>
      <c r="B386" s="51" t="n"/>
      <c r="C386" s="5" t="n"/>
      <c r="D386" s="52" t="n"/>
      <c r="E386" s="52" t="n"/>
      <c r="F386" s="52" t="n"/>
      <c r="G386" s="52" t="n"/>
      <c r="H386" s="52" t="n"/>
      <c r="I386" s="52" t="n"/>
      <c r="J386" s="52" t="n"/>
      <c r="K386" s="52" t="n"/>
      <c r="L386" s="51" t="n"/>
      <c r="M386" s="53">
        <f>IF(A386="","",IF(COUNTIF('AFA Rates'!$A$5:$A$1004,A386)&gt;0,"Yes","No"))</f>
        <v/>
      </c>
      <c r="N386" s="53">
        <f>IF(A386="","",COUNTIF('AFA Rates'!$A$5:$A$1004,A386))</f>
        <v/>
      </c>
      <c r="O386" s="54" t="n"/>
      <c r="P386" s="5" t="n"/>
      <c r="Q386" s="5" t="n"/>
      <c r="R386">
        <f>IF(AND(A386&lt;&gt;"",B386="Paused"),COUNTIFS($A$5:A386,"&lt;&gt;",$B$5:B386,"Paused"),"")</f>
        <v/>
      </c>
      <c r="S386">
        <f>IF(M386="Yes",COUNTIF($M$5:M386,"Yes"),"")</f>
        <v/>
      </c>
    </row>
    <row r="387">
      <c r="A387" s="5" t="n"/>
      <c r="B387" s="51" t="n"/>
      <c r="C387" s="5" t="n"/>
      <c r="D387" s="52" t="n"/>
      <c r="E387" s="52" t="n"/>
      <c r="F387" s="52" t="n"/>
      <c r="G387" s="52" t="n"/>
      <c r="H387" s="52" t="n"/>
      <c r="I387" s="52" t="n"/>
      <c r="J387" s="52" t="n"/>
      <c r="K387" s="52" t="n"/>
      <c r="L387" s="51" t="n"/>
      <c r="M387" s="53">
        <f>IF(A387="","",IF(COUNTIF('AFA Rates'!$A$5:$A$1004,A387)&gt;0,"Yes","No"))</f>
        <v/>
      </c>
      <c r="N387" s="53">
        <f>IF(A387="","",COUNTIF('AFA Rates'!$A$5:$A$1004,A387))</f>
        <v/>
      </c>
      <c r="O387" s="54" t="n"/>
      <c r="P387" s="5" t="n"/>
      <c r="Q387" s="5" t="n"/>
      <c r="R387">
        <f>IF(AND(A387&lt;&gt;"",B387="Paused"),COUNTIFS($A$5:A387,"&lt;&gt;",$B$5:B387,"Paused"),"")</f>
        <v/>
      </c>
      <c r="S387">
        <f>IF(M387="Yes",COUNTIF($M$5:M387,"Yes"),"")</f>
        <v/>
      </c>
    </row>
    <row r="388">
      <c r="A388" s="5" t="n"/>
      <c r="B388" s="51" t="n"/>
      <c r="C388" s="5" t="n"/>
      <c r="D388" s="52" t="n"/>
      <c r="E388" s="52" t="n"/>
      <c r="F388" s="52" t="n"/>
      <c r="G388" s="52" t="n"/>
      <c r="H388" s="52" t="n"/>
      <c r="I388" s="52" t="n"/>
      <c r="J388" s="52" t="n"/>
      <c r="K388" s="52" t="n"/>
      <c r="L388" s="51" t="n"/>
      <c r="M388" s="53">
        <f>IF(A388="","",IF(COUNTIF('AFA Rates'!$A$5:$A$1004,A388)&gt;0,"Yes","No"))</f>
        <v/>
      </c>
      <c r="N388" s="53">
        <f>IF(A388="","",COUNTIF('AFA Rates'!$A$5:$A$1004,A388))</f>
        <v/>
      </c>
      <c r="O388" s="54" t="n"/>
      <c r="P388" s="5" t="n"/>
      <c r="Q388" s="5" t="n"/>
      <c r="R388">
        <f>IF(AND(A388&lt;&gt;"",B388="Paused"),COUNTIFS($A$5:A388,"&lt;&gt;",$B$5:B388,"Paused"),"")</f>
        <v/>
      </c>
      <c r="S388">
        <f>IF(M388="Yes",COUNTIF($M$5:M388,"Yes"),"")</f>
        <v/>
      </c>
    </row>
    <row r="389">
      <c r="A389" s="5" t="n"/>
      <c r="B389" s="51" t="n"/>
      <c r="C389" s="5" t="n"/>
      <c r="D389" s="52" t="n"/>
      <c r="E389" s="52" t="n"/>
      <c r="F389" s="52" t="n"/>
      <c r="G389" s="52" t="n"/>
      <c r="H389" s="52" t="n"/>
      <c r="I389" s="52" t="n"/>
      <c r="J389" s="52" t="n"/>
      <c r="K389" s="52" t="n"/>
      <c r="L389" s="51" t="n"/>
      <c r="M389" s="53">
        <f>IF(A389="","",IF(COUNTIF('AFA Rates'!$A$5:$A$1004,A389)&gt;0,"Yes","No"))</f>
        <v/>
      </c>
      <c r="N389" s="53">
        <f>IF(A389="","",COUNTIF('AFA Rates'!$A$5:$A$1004,A389))</f>
        <v/>
      </c>
      <c r="O389" s="54" t="n"/>
      <c r="P389" s="5" t="n"/>
      <c r="Q389" s="5" t="n"/>
      <c r="R389">
        <f>IF(AND(A389&lt;&gt;"",B389="Paused"),COUNTIFS($A$5:A389,"&lt;&gt;",$B$5:B389,"Paused"),"")</f>
        <v/>
      </c>
      <c r="S389">
        <f>IF(M389="Yes",COUNTIF($M$5:M389,"Yes"),"")</f>
        <v/>
      </c>
    </row>
    <row r="390">
      <c r="A390" s="5" t="n"/>
      <c r="B390" s="51" t="n"/>
      <c r="C390" s="5" t="n"/>
      <c r="D390" s="52" t="n"/>
      <c r="E390" s="52" t="n"/>
      <c r="F390" s="52" t="n"/>
      <c r="G390" s="52" t="n"/>
      <c r="H390" s="52" t="n"/>
      <c r="I390" s="52" t="n"/>
      <c r="J390" s="52" t="n"/>
      <c r="K390" s="52" t="n"/>
      <c r="L390" s="51" t="n"/>
      <c r="M390" s="53">
        <f>IF(A390="","",IF(COUNTIF('AFA Rates'!$A$5:$A$1004,A390)&gt;0,"Yes","No"))</f>
        <v/>
      </c>
      <c r="N390" s="53">
        <f>IF(A390="","",COUNTIF('AFA Rates'!$A$5:$A$1004,A390))</f>
        <v/>
      </c>
      <c r="O390" s="54" t="n"/>
      <c r="P390" s="5" t="n"/>
      <c r="Q390" s="5" t="n"/>
      <c r="R390">
        <f>IF(AND(A390&lt;&gt;"",B390="Paused"),COUNTIFS($A$5:A390,"&lt;&gt;",$B$5:B390,"Paused"),"")</f>
        <v/>
      </c>
      <c r="S390">
        <f>IF(M390="Yes",COUNTIF($M$5:M390,"Yes"),"")</f>
        <v/>
      </c>
    </row>
    <row r="391">
      <c r="A391" s="5" t="n"/>
      <c r="B391" s="51" t="n"/>
      <c r="C391" s="5" t="n"/>
      <c r="D391" s="52" t="n"/>
      <c r="E391" s="52" t="n"/>
      <c r="F391" s="52" t="n"/>
      <c r="G391" s="52" t="n"/>
      <c r="H391" s="52" t="n"/>
      <c r="I391" s="52" t="n"/>
      <c r="J391" s="52" t="n"/>
      <c r="K391" s="52" t="n"/>
      <c r="L391" s="51" t="n"/>
      <c r="M391" s="53">
        <f>IF(A391="","",IF(COUNTIF('AFA Rates'!$A$5:$A$1004,A391)&gt;0,"Yes","No"))</f>
        <v/>
      </c>
      <c r="N391" s="53">
        <f>IF(A391="","",COUNTIF('AFA Rates'!$A$5:$A$1004,A391))</f>
        <v/>
      </c>
      <c r="O391" s="54" t="n"/>
      <c r="P391" s="5" t="n"/>
      <c r="Q391" s="5" t="n"/>
      <c r="R391">
        <f>IF(AND(A391&lt;&gt;"",B391="Paused"),COUNTIFS($A$5:A391,"&lt;&gt;",$B$5:B391,"Paused"),"")</f>
        <v/>
      </c>
      <c r="S391">
        <f>IF(M391="Yes",COUNTIF($M$5:M391,"Yes"),"")</f>
        <v/>
      </c>
    </row>
    <row r="392">
      <c r="A392" s="5" t="n"/>
      <c r="B392" s="51" t="n"/>
      <c r="C392" s="5" t="n"/>
      <c r="D392" s="52" t="n"/>
      <c r="E392" s="52" t="n"/>
      <c r="F392" s="52" t="n"/>
      <c r="G392" s="52" t="n"/>
      <c r="H392" s="52" t="n"/>
      <c r="I392" s="52" t="n"/>
      <c r="J392" s="52" t="n"/>
      <c r="K392" s="52" t="n"/>
      <c r="L392" s="51" t="n"/>
      <c r="M392" s="53">
        <f>IF(A392="","",IF(COUNTIF('AFA Rates'!$A$5:$A$1004,A392)&gt;0,"Yes","No"))</f>
        <v/>
      </c>
      <c r="N392" s="53">
        <f>IF(A392="","",COUNTIF('AFA Rates'!$A$5:$A$1004,A392))</f>
        <v/>
      </c>
      <c r="O392" s="54" t="n"/>
      <c r="P392" s="5" t="n"/>
      <c r="Q392" s="5" t="n"/>
      <c r="R392">
        <f>IF(AND(A392&lt;&gt;"",B392="Paused"),COUNTIFS($A$5:A392,"&lt;&gt;",$B$5:B392,"Paused"),"")</f>
        <v/>
      </c>
      <c r="S392">
        <f>IF(M392="Yes",COUNTIF($M$5:M392,"Yes"),"")</f>
        <v/>
      </c>
    </row>
    <row r="393">
      <c r="A393" s="5" t="n"/>
      <c r="B393" s="51" t="n"/>
      <c r="C393" s="5" t="n"/>
      <c r="D393" s="52" t="n"/>
      <c r="E393" s="52" t="n"/>
      <c r="F393" s="52" t="n"/>
      <c r="G393" s="52" t="n"/>
      <c r="H393" s="52" t="n"/>
      <c r="I393" s="52" t="n"/>
      <c r="J393" s="52" t="n"/>
      <c r="K393" s="52" t="n"/>
      <c r="L393" s="51" t="n"/>
      <c r="M393" s="53">
        <f>IF(A393="","",IF(COUNTIF('AFA Rates'!$A$5:$A$1004,A393)&gt;0,"Yes","No"))</f>
        <v/>
      </c>
      <c r="N393" s="53">
        <f>IF(A393="","",COUNTIF('AFA Rates'!$A$5:$A$1004,A393))</f>
        <v/>
      </c>
      <c r="O393" s="54" t="n"/>
      <c r="P393" s="5" t="n"/>
      <c r="Q393" s="5" t="n"/>
      <c r="R393">
        <f>IF(AND(A393&lt;&gt;"",B393="Paused"),COUNTIFS($A$5:A393,"&lt;&gt;",$B$5:B393,"Paused"),"")</f>
        <v/>
      </c>
      <c r="S393">
        <f>IF(M393="Yes",COUNTIF($M$5:M393,"Yes"),"")</f>
        <v/>
      </c>
    </row>
    <row r="394">
      <c r="A394" s="5" t="n"/>
      <c r="B394" s="51" t="n"/>
      <c r="C394" s="5" t="n"/>
      <c r="D394" s="52" t="n"/>
      <c r="E394" s="52" t="n"/>
      <c r="F394" s="52" t="n"/>
      <c r="G394" s="52" t="n"/>
      <c r="H394" s="52" t="n"/>
      <c r="I394" s="52" t="n"/>
      <c r="J394" s="52" t="n"/>
      <c r="K394" s="52" t="n"/>
      <c r="L394" s="51" t="n"/>
      <c r="M394" s="53">
        <f>IF(A394="","",IF(COUNTIF('AFA Rates'!$A$5:$A$1004,A394)&gt;0,"Yes","No"))</f>
        <v/>
      </c>
      <c r="N394" s="53">
        <f>IF(A394="","",COUNTIF('AFA Rates'!$A$5:$A$1004,A394))</f>
        <v/>
      </c>
      <c r="O394" s="54" t="n"/>
      <c r="P394" s="5" t="n"/>
      <c r="Q394" s="5" t="n"/>
      <c r="R394">
        <f>IF(AND(A394&lt;&gt;"",B394="Paused"),COUNTIFS($A$5:A394,"&lt;&gt;",$B$5:B394,"Paused"),"")</f>
        <v/>
      </c>
      <c r="S394">
        <f>IF(M394="Yes",COUNTIF($M$5:M394,"Yes"),"")</f>
        <v/>
      </c>
    </row>
    <row r="395">
      <c r="A395" s="5" t="n"/>
      <c r="B395" s="51" t="n"/>
      <c r="C395" s="5" t="n"/>
      <c r="D395" s="52" t="n"/>
      <c r="E395" s="52" t="n"/>
      <c r="F395" s="52" t="n"/>
      <c r="G395" s="52" t="n"/>
      <c r="H395" s="52" t="n"/>
      <c r="I395" s="52" t="n"/>
      <c r="J395" s="52" t="n"/>
      <c r="K395" s="52" t="n"/>
      <c r="L395" s="51" t="n"/>
      <c r="M395" s="53">
        <f>IF(A395="","",IF(COUNTIF('AFA Rates'!$A$5:$A$1004,A395)&gt;0,"Yes","No"))</f>
        <v/>
      </c>
      <c r="N395" s="53">
        <f>IF(A395="","",COUNTIF('AFA Rates'!$A$5:$A$1004,A395))</f>
        <v/>
      </c>
      <c r="O395" s="54" t="n"/>
      <c r="P395" s="5" t="n"/>
      <c r="Q395" s="5" t="n"/>
      <c r="R395">
        <f>IF(AND(A395&lt;&gt;"",B395="Paused"),COUNTIFS($A$5:A395,"&lt;&gt;",$B$5:B395,"Paused"),"")</f>
        <v/>
      </c>
      <c r="S395">
        <f>IF(M395="Yes",COUNTIF($M$5:M395,"Yes"),"")</f>
        <v/>
      </c>
    </row>
    <row r="396">
      <c r="A396" s="5" t="n"/>
      <c r="B396" s="51" t="n"/>
      <c r="C396" s="5" t="n"/>
      <c r="D396" s="52" t="n"/>
      <c r="E396" s="52" t="n"/>
      <c r="F396" s="52" t="n"/>
      <c r="G396" s="52" t="n"/>
      <c r="H396" s="52" t="n"/>
      <c r="I396" s="52" t="n"/>
      <c r="J396" s="52" t="n"/>
      <c r="K396" s="52" t="n"/>
      <c r="L396" s="51" t="n"/>
      <c r="M396" s="53">
        <f>IF(A396="","",IF(COUNTIF('AFA Rates'!$A$5:$A$1004,A396)&gt;0,"Yes","No"))</f>
        <v/>
      </c>
      <c r="N396" s="53">
        <f>IF(A396="","",COUNTIF('AFA Rates'!$A$5:$A$1004,A396))</f>
        <v/>
      </c>
      <c r="O396" s="54" t="n"/>
      <c r="P396" s="5" t="n"/>
      <c r="Q396" s="5" t="n"/>
      <c r="R396">
        <f>IF(AND(A396&lt;&gt;"",B396="Paused"),COUNTIFS($A$5:A396,"&lt;&gt;",$B$5:B396,"Paused"),"")</f>
        <v/>
      </c>
      <c r="S396">
        <f>IF(M396="Yes",COUNTIF($M$5:M396,"Yes"),"")</f>
        <v/>
      </c>
    </row>
    <row r="397">
      <c r="A397" s="5" t="n"/>
      <c r="B397" s="51" t="n"/>
      <c r="C397" s="5" t="n"/>
      <c r="D397" s="52" t="n"/>
      <c r="E397" s="52" t="n"/>
      <c r="F397" s="52" t="n"/>
      <c r="G397" s="52" t="n"/>
      <c r="H397" s="52" t="n"/>
      <c r="I397" s="52" t="n"/>
      <c r="J397" s="52" t="n"/>
      <c r="K397" s="52" t="n"/>
      <c r="L397" s="51" t="n"/>
      <c r="M397" s="53">
        <f>IF(A397="","",IF(COUNTIF('AFA Rates'!$A$5:$A$1004,A397)&gt;0,"Yes","No"))</f>
        <v/>
      </c>
      <c r="N397" s="53">
        <f>IF(A397="","",COUNTIF('AFA Rates'!$A$5:$A$1004,A397))</f>
        <v/>
      </c>
      <c r="O397" s="54" t="n"/>
      <c r="P397" s="5" t="n"/>
      <c r="Q397" s="5" t="n"/>
      <c r="R397">
        <f>IF(AND(A397&lt;&gt;"",B397="Paused"),COUNTIFS($A$5:A397,"&lt;&gt;",$B$5:B397,"Paused"),"")</f>
        <v/>
      </c>
      <c r="S397">
        <f>IF(M397="Yes",COUNTIF($M$5:M397,"Yes"),"")</f>
        <v/>
      </c>
    </row>
    <row r="398">
      <c r="A398" s="5" t="n"/>
      <c r="B398" s="51" t="n"/>
      <c r="C398" s="5" t="n"/>
      <c r="D398" s="52" t="n"/>
      <c r="E398" s="52" t="n"/>
      <c r="F398" s="52" t="n"/>
      <c r="G398" s="52" t="n"/>
      <c r="H398" s="52" t="n"/>
      <c r="I398" s="52" t="n"/>
      <c r="J398" s="52" t="n"/>
      <c r="K398" s="52" t="n"/>
      <c r="L398" s="51" t="n"/>
      <c r="M398" s="53">
        <f>IF(A398="","",IF(COUNTIF('AFA Rates'!$A$5:$A$1004,A398)&gt;0,"Yes","No"))</f>
        <v/>
      </c>
      <c r="N398" s="53">
        <f>IF(A398="","",COUNTIF('AFA Rates'!$A$5:$A$1004,A398))</f>
        <v/>
      </c>
      <c r="O398" s="54" t="n"/>
      <c r="P398" s="5" t="n"/>
      <c r="Q398" s="5" t="n"/>
      <c r="R398">
        <f>IF(AND(A398&lt;&gt;"",B398="Paused"),COUNTIFS($A$5:A398,"&lt;&gt;",$B$5:B398,"Paused"),"")</f>
        <v/>
      </c>
      <c r="S398">
        <f>IF(M398="Yes",COUNTIF($M$5:M398,"Yes"),"")</f>
        <v/>
      </c>
    </row>
    <row r="399">
      <c r="A399" s="5" t="n"/>
      <c r="B399" s="51" t="n"/>
      <c r="C399" s="5" t="n"/>
      <c r="D399" s="52" t="n"/>
      <c r="E399" s="52" t="n"/>
      <c r="F399" s="52" t="n"/>
      <c r="G399" s="52" t="n"/>
      <c r="H399" s="52" t="n"/>
      <c r="I399" s="52" t="n"/>
      <c r="J399" s="52" t="n"/>
      <c r="K399" s="52" t="n"/>
      <c r="L399" s="51" t="n"/>
      <c r="M399" s="53">
        <f>IF(A399="","",IF(COUNTIF('AFA Rates'!$A$5:$A$1004,A399)&gt;0,"Yes","No"))</f>
        <v/>
      </c>
      <c r="N399" s="53">
        <f>IF(A399="","",COUNTIF('AFA Rates'!$A$5:$A$1004,A399))</f>
        <v/>
      </c>
      <c r="O399" s="54" t="n"/>
      <c r="P399" s="5" t="n"/>
      <c r="Q399" s="5" t="n"/>
      <c r="R399">
        <f>IF(AND(A399&lt;&gt;"",B399="Paused"),COUNTIFS($A$5:A399,"&lt;&gt;",$B$5:B399,"Paused"),"")</f>
        <v/>
      </c>
      <c r="S399">
        <f>IF(M399="Yes",COUNTIF($M$5:M399,"Yes"),"")</f>
        <v/>
      </c>
    </row>
    <row r="400">
      <c r="A400" s="5" t="n"/>
      <c r="B400" s="51" t="n"/>
      <c r="C400" s="5" t="n"/>
      <c r="D400" s="52" t="n"/>
      <c r="E400" s="52" t="n"/>
      <c r="F400" s="52" t="n"/>
      <c r="G400" s="52" t="n"/>
      <c r="H400" s="52" t="n"/>
      <c r="I400" s="52" t="n"/>
      <c r="J400" s="52" t="n"/>
      <c r="K400" s="52" t="n"/>
      <c r="L400" s="51" t="n"/>
      <c r="M400" s="53">
        <f>IF(A400="","",IF(COUNTIF('AFA Rates'!$A$5:$A$1004,A400)&gt;0,"Yes","No"))</f>
        <v/>
      </c>
      <c r="N400" s="53">
        <f>IF(A400="","",COUNTIF('AFA Rates'!$A$5:$A$1004,A400))</f>
        <v/>
      </c>
      <c r="O400" s="54" t="n"/>
      <c r="P400" s="5" t="n"/>
      <c r="Q400" s="5" t="n"/>
      <c r="R400">
        <f>IF(AND(A400&lt;&gt;"",B400="Paused"),COUNTIFS($A$5:A400,"&lt;&gt;",$B$5:B400,"Paused"),"")</f>
        <v/>
      </c>
      <c r="S400">
        <f>IF(M400="Yes",COUNTIF($M$5:M400,"Yes"),"")</f>
        <v/>
      </c>
    </row>
    <row r="401">
      <c r="A401" s="5" t="n"/>
      <c r="B401" s="51" t="n"/>
      <c r="C401" s="5" t="n"/>
      <c r="D401" s="52" t="n"/>
      <c r="E401" s="52" t="n"/>
      <c r="F401" s="52" t="n"/>
      <c r="G401" s="52" t="n"/>
      <c r="H401" s="52" t="n"/>
      <c r="I401" s="52" t="n"/>
      <c r="J401" s="52" t="n"/>
      <c r="K401" s="52" t="n"/>
      <c r="L401" s="51" t="n"/>
      <c r="M401" s="53">
        <f>IF(A401="","",IF(COUNTIF('AFA Rates'!$A$5:$A$1004,A401)&gt;0,"Yes","No"))</f>
        <v/>
      </c>
      <c r="N401" s="53">
        <f>IF(A401="","",COUNTIF('AFA Rates'!$A$5:$A$1004,A401))</f>
        <v/>
      </c>
      <c r="O401" s="54" t="n"/>
      <c r="P401" s="5" t="n"/>
      <c r="Q401" s="5" t="n"/>
      <c r="R401">
        <f>IF(AND(A401&lt;&gt;"",B401="Paused"),COUNTIFS($A$5:A401,"&lt;&gt;",$B$5:B401,"Paused"),"")</f>
        <v/>
      </c>
      <c r="S401">
        <f>IF(M401="Yes",COUNTIF($M$5:M401,"Yes"),"")</f>
        <v/>
      </c>
    </row>
    <row r="402">
      <c r="A402" s="5" t="n"/>
      <c r="B402" s="51" t="n"/>
      <c r="C402" s="5" t="n"/>
      <c r="D402" s="52" t="n"/>
      <c r="E402" s="52" t="n"/>
      <c r="F402" s="52" t="n"/>
      <c r="G402" s="52" t="n"/>
      <c r="H402" s="52" t="n"/>
      <c r="I402" s="52" t="n"/>
      <c r="J402" s="52" t="n"/>
      <c r="K402" s="52" t="n"/>
      <c r="L402" s="51" t="n"/>
      <c r="M402" s="53">
        <f>IF(A402="","",IF(COUNTIF('AFA Rates'!$A$5:$A$1004,A402)&gt;0,"Yes","No"))</f>
        <v/>
      </c>
      <c r="N402" s="53">
        <f>IF(A402="","",COUNTIF('AFA Rates'!$A$5:$A$1004,A402))</f>
        <v/>
      </c>
      <c r="O402" s="54" t="n"/>
      <c r="P402" s="5" t="n"/>
      <c r="Q402" s="5" t="n"/>
      <c r="R402">
        <f>IF(AND(A402&lt;&gt;"",B402="Paused"),COUNTIFS($A$5:A402,"&lt;&gt;",$B$5:B402,"Paused"),"")</f>
        <v/>
      </c>
      <c r="S402">
        <f>IF(M402="Yes",COUNTIF($M$5:M402,"Yes"),"")</f>
        <v/>
      </c>
    </row>
    <row r="403">
      <c r="A403" s="5" t="n"/>
      <c r="B403" s="51" t="n"/>
      <c r="C403" s="5" t="n"/>
      <c r="D403" s="52" t="n"/>
      <c r="E403" s="52" t="n"/>
      <c r="F403" s="52" t="n"/>
      <c r="G403" s="52" t="n"/>
      <c r="H403" s="52" t="n"/>
      <c r="I403" s="52" t="n"/>
      <c r="J403" s="52" t="n"/>
      <c r="K403" s="52" t="n"/>
      <c r="L403" s="51" t="n"/>
      <c r="M403" s="53">
        <f>IF(A403="","",IF(COUNTIF('AFA Rates'!$A$5:$A$1004,A403)&gt;0,"Yes","No"))</f>
        <v/>
      </c>
      <c r="N403" s="53">
        <f>IF(A403="","",COUNTIF('AFA Rates'!$A$5:$A$1004,A403))</f>
        <v/>
      </c>
      <c r="O403" s="54" t="n"/>
      <c r="P403" s="5" t="n"/>
      <c r="Q403" s="5" t="n"/>
      <c r="R403">
        <f>IF(AND(A403&lt;&gt;"",B403="Paused"),COUNTIFS($A$5:A403,"&lt;&gt;",$B$5:B403,"Paused"),"")</f>
        <v/>
      </c>
      <c r="S403">
        <f>IF(M403="Yes",COUNTIF($M$5:M403,"Yes"),"")</f>
        <v/>
      </c>
    </row>
    <row r="404">
      <c r="A404" s="5" t="n"/>
      <c r="B404" s="51" t="n"/>
      <c r="C404" s="5" t="n"/>
      <c r="D404" s="52" t="n"/>
      <c r="E404" s="52" t="n"/>
      <c r="F404" s="52" t="n"/>
      <c r="G404" s="52" t="n"/>
      <c r="H404" s="52" t="n"/>
      <c r="I404" s="52" t="n"/>
      <c r="J404" s="52" t="n"/>
      <c r="K404" s="52" t="n"/>
      <c r="L404" s="51" t="n"/>
      <c r="M404" s="53">
        <f>IF(A404="","",IF(COUNTIF('AFA Rates'!$A$5:$A$1004,A404)&gt;0,"Yes","No"))</f>
        <v/>
      </c>
      <c r="N404" s="53">
        <f>IF(A404="","",COUNTIF('AFA Rates'!$A$5:$A$1004,A404))</f>
        <v/>
      </c>
      <c r="O404" s="54" t="n"/>
      <c r="P404" s="5" t="n"/>
      <c r="Q404" s="5" t="n"/>
      <c r="R404">
        <f>IF(AND(A404&lt;&gt;"",B404="Paused"),COUNTIFS($A$5:A404,"&lt;&gt;",$B$5:B404,"Paused"),"")</f>
        <v/>
      </c>
      <c r="S404">
        <f>IF(M404="Yes",COUNTIF($M$5:M404,"Yes"),"")</f>
        <v/>
      </c>
    </row>
    <row r="405">
      <c r="A405" s="5" t="n"/>
      <c r="B405" s="51" t="n"/>
      <c r="C405" s="5" t="n"/>
      <c r="D405" s="52" t="n"/>
      <c r="E405" s="52" t="n"/>
      <c r="F405" s="52" t="n"/>
      <c r="G405" s="52" t="n"/>
      <c r="H405" s="52" t="n"/>
      <c r="I405" s="52" t="n"/>
      <c r="J405" s="52" t="n"/>
      <c r="K405" s="52" t="n"/>
      <c r="L405" s="51" t="n"/>
      <c r="M405" s="53">
        <f>IF(A405="","",IF(COUNTIF('AFA Rates'!$A$5:$A$1004,A405)&gt;0,"Yes","No"))</f>
        <v/>
      </c>
      <c r="N405" s="53">
        <f>IF(A405="","",COUNTIF('AFA Rates'!$A$5:$A$1004,A405))</f>
        <v/>
      </c>
      <c r="O405" s="54" t="n"/>
      <c r="P405" s="5" t="n"/>
      <c r="Q405" s="5" t="n"/>
      <c r="R405">
        <f>IF(AND(A405&lt;&gt;"",B405="Paused"),COUNTIFS($A$5:A405,"&lt;&gt;",$B$5:B405,"Paused"),"")</f>
        <v/>
      </c>
      <c r="S405">
        <f>IF(M405="Yes",COUNTIF($M$5:M405,"Yes"),"")</f>
        <v/>
      </c>
    </row>
    <row r="406">
      <c r="A406" s="5" t="n"/>
      <c r="B406" s="51" t="n"/>
      <c r="C406" s="5" t="n"/>
      <c r="D406" s="52" t="n"/>
      <c r="E406" s="52" t="n"/>
      <c r="F406" s="52" t="n"/>
      <c r="G406" s="52" t="n"/>
      <c r="H406" s="52" t="n"/>
      <c r="I406" s="52" t="n"/>
      <c r="J406" s="52" t="n"/>
      <c r="K406" s="52" t="n"/>
      <c r="L406" s="51" t="n"/>
      <c r="M406" s="53">
        <f>IF(A406="","",IF(COUNTIF('AFA Rates'!$A$5:$A$1004,A406)&gt;0,"Yes","No"))</f>
        <v/>
      </c>
      <c r="N406" s="53">
        <f>IF(A406="","",COUNTIF('AFA Rates'!$A$5:$A$1004,A406))</f>
        <v/>
      </c>
      <c r="O406" s="54" t="n"/>
      <c r="P406" s="5" t="n"/>
      <c r="Q406" s="5" t="n"/>
      <c r="R406">
        <f>IF(AND(A406&lt;&gt;"",B406="Paused"),COUNTIFS($A$5:A406,"&lt;&gt;",$B$5:B406,"Paused"),"")</f>
        <v/>
      </c>
      <c r="S406">
        <f>IF(M406="Yes",COUNTIF($M$5:M406,"Yes"),"")</f>
        <v/>
      </c>
    </row>
    <row r="407">
      <c r="A407" s="5" t="n"/>
      <c r="B407" s="51" t="n"/>
      <c r="C407" s="5" t="n"/>
      <c r="D407" s="52" t="n"/>
      <c r="E407" s="52" t="n"/>
      <c r="F407" s="52" t="n"/>
      <c r="G407" s="52" t="n"/>
      <c r="H407" s="52" t="n"/>
      <c r="I407" s="52" t="n"/>
      <c r="J407" s="52" t="n"/>
      <c r="K407" s="52" t="n"/>
      <c r="L407" s="51" t="n"/>
      <c r="M407" s="53">
        <f>IF(A407="","",IF(COUNTIF('AFA Rates'!$A$5:$A$1004,A407)&gt;0,"Yes","No"))</f>
        <v/>
      </c>
      <c r="N407" s="53">
        <f>IF(A407="","",COUNTIF('AFA Rates'!$A$5:$A$1004,A407))</f>
        <v/>
      </c>
      <c r="O407" s="54" t="n"/>
      <c r="P407" s="5" t="n"/>
      <c r="Q407" s="5" t="n"/>
      <c r="R407">
        <f>IF(AND(A407&lt;&gt;"",B407="Paused"),COUNTIFS($A$5:A407,"&lt;&gt;",$B$5:B407,"Paused"),"")</f>
        <v/>
      </c>
      <c r="S407">
        <f>IF(M407="Yes",COUNTIF($M$5:M407,"Yes"),"")</f>
        <v/>
      </c>
    </row>
    <row r="408">
      <c r="A408" s="5" t="n"/>
      <c r="B408" s="51" t="n"/>
      <c r="C408" s="5" t="n"/>
      <c r="D408" s="52" t="n"/>
      <c r="E408" s="52" t="n"/>
      <c r="F408" s="52" t="n"/>
      <c r="G408" s="52" t="n"/>
      <c r="H408" s="52" t="n"/>
      <c r="I408" s="52" t="n"/>
      <c r="J408" s="52" t="n"/>
      <c r="K408" s="52" t="n"/>
      <c r="L408" s="51" t="n"/>
      <c r="M408" s="53">
        <f>IF(A408="","",IF(COUNTIF('AFA Rates'!$A$5:$A$1004,A408)&gt;0,"Yes","No"))</f>
        <v/>
      </c>
      <c r="N408" s="53">
        <f>IF(A408="","",COUNTIF('AFA Rates'!$A$5:$A$1004,A408))</f>
        <v/>
      </c>
      <c r="O408" s="54" t="n"/>
      <c r="P408" s="5" t="n"/>
      <c r="Q408" s="5" t="n"/>
      <c r="R408">
        <f>IF(AND(A408&lt;&gt;"",B408="Paused"),COUNTIFS($A$5:A408,"&lt;&gt;",$B$5:B408,"Paused"),"")</f>
        <v/>
      </c>
      <c r="S408">
        <f>IF(M408="Yes",COUNTIF($M$5:M408,"Yes"),"")</f>
        <v/>
      </c>
    </row>
    <row r="409">
      <c r="A409" s="5" t="n"/>
      <c r="B409" s="51" t="n"/>
      <c r="C409" s="5" t="n"/>
      <c r="D409" s="52" t="n"/>
      <c r="E409" s="52" t="n"/>
      <c r="F409" s="52" t="n"/>
      <c r="G409" s="52" t="n"/>
      <c r="H409" s="52" t="n"/>
      <c r="I409" s="52" t="n"/>
      <c r="J409" s="52" t="n"/>
      <c r="K409" s="52" t="n"/>
      <c r="L409" s="51" t="n"/>
      <c r="M409" s="53">
        <f>IF(A409="","",IF(COUNTIF('AFA Rates'!$A$5:$A$1004,A409)&gt;0,"Yes","No"))</f>
        <v/>
      </c>
      <c r="N409" s="53">
        <f>IF(A409="","",COUNTIF('AFA Rates'!$A$5:$A$1004,A409))</f>
        <v/>
      </c>
      <c r="O409" s="54" t="n"/>
      <c r="P409" s="5" t="n"/>
      <c r="Q409" s="5" t="n"/>
      <c r="R409">
        <f>IF(AND(A409&lt;&gt;"",B409="Paused"),COUNTIFS($A$5:A409,"&lt;&gt;",$B$5:B409,"Paused"),"")</f>
        <v/>
      </c>
      <c r="S409">
        <f>IF(M409="Yes",COUNTIF($M$5:M409,"Yes"),"")</f>
        <v/>
      </c>
    </row>
    <row r="410">
      <c r="A410" s="5" t="n"/>
      <c r="B410" s="51" t="n"/>
      <c r="C410" s="5" t="n"/>
      <c r="D410" s="52" t="n"/>
      <c r="E410" s="52" t="n"/>
      <c r="F410" s="52" t="n"/>
      <c r="G410" s="52" t="n"/>
      <c r="H410" s="52" t="n"/>
      <c r="I410" s="52" t="n"/>
      <c r="J410" s="52" t="n"/>
      <c r="K410" s="52" t="n"/>
      <c r="L410" s="51" t="n"/>
      <c r="M410" s="53">
        <f>IF(A410="","",IF(COUNTIF('AFA Rates'!$A$5:$A$1004,A410)&gt;0,"Yes","No"))</f>
        <v/>
      </c>
      <c r="N410" s="53">
        <f>IF(A410="","",COUNTIF('AFA Rates'!$A$5:$A$1004,A410))</f>
        <v/>
      </c>
      <c r="O410" s="54" t="n"/>
      <c r="P410" s="5" t="n"/>
      <c r="Q410" s="5" t="n"/>
      <c r="R410">
        <f>IF(AND(A410&lt;&gt;"",B410="Paused"),COUNTIFS($A$5:A410,"&lt;&gt;",$B$5:B410,"Paused"),"")</f>
        <v/>
      </c>
      <c r="S410">
        <f>IF(M410="Yes",COUNTIF($M$5:M410,"Yes"),"")</f>
        <v/>
      </c>
    </row>
    <row r="411">
      <c r="A411" s="5" t="n"/>
      <c r="B411" s="51" t="n"/>
      <c r="C411" s="5" t="n"/>
      <c r="D411" s="52" t="n"/>
      <c r="E411" s="52" t="n"/>
      <c r="F411" s="52" t="n"/>
      <c r="G411" s="52" t="n"/>
      <c r="H411" s="52" t="n"/>
      <c r="I411" s="52" t="n"/>
      <c r="J411" s="52" t="n"/>
      <c r="K411" s="52" t="n"/>
      <c r="L411" s="51" t="n"/>
      <c r="M411" s="53">
        <f>IF(A411="","",IF(COUNTIF('AFA Rates'!$A$5:$A$1004,A411)&gt;0,"Yes","No"))</f>
        <v/>
      </c>
      <c r="N411" s="53">
        <f>IF(A411="","",COUNTIF('AFA Rates'!$A$5:$A$1004,A411))</f>
        <v/>
      </c>
      <c r="O411" s="54" t="n"/>
      <c r="P411" s="5" t="n"/>
      <c r="Q411" s="5" t="n"/>
      <c r="R411">
        <f>IF(AND(A411&lt;&gt;"",B411="Paused"),COUNTIFS($A$5:A411,"&lt;&gt;",$B$5:B411,"Paused"),"")</f>
        <v/>
      </c>
      <c r="S411">
        <f>IF(M411="Yes",COUNTIF($M$5:M411,"Yes"),"")</f>
        <v/>
      </c>
    </row>
    <row r="412">
      <c r="A412" s="5" t="n"/>
      <c r="B412" s="51" t="n"/>
      <c r="C412" s="5" t="n"/>
      <c r="D412" s="52" t="n"/>
      <c r="E412" s="52" t="n"/>
      <c r="F412" s="52" t="n"/>
      <c r="G412" s="52" t="n"/>
      <c r="H412" s="52" t="n"/>
      <c r="I412" s="52" t="n"/>
      <c r="J412" s="52" t="n"/>
      <c r="K412" s="52" t="n"/>
      <c r="L412" s="51" t="n"/>
      <c r="M412" s="53">
        <f>IF(A412="","",IF(COUNTIF('AFA Rates'!$A$5:$A$1004,A412)&gt;0,"Yes","No"))</f>
        <v/>
      </c>
      <c r="N412" s="53">
        <f>IF(A412="","",COUNTIF('AFA Rates'!$A$5:$A$1004,A412))</f>
        <v/>
      </c>
      <c r="O412" s="54" t="n"/>
      <c r="P412" s="5" t="n"/>
      <c r="Q412" s="5" t="n"/>
      <c r="R412">
        <f>IF(AND(A412&lt;&gt;"",B412="Paused"),COUNTIFS($A$5:A412,"&lt;&gt;",$B$5:B412,"Paused"),"")</f>
        <v/>
      </c>
      <c r="S412">
        <f>IF(M412="Yes",COUNTIF($M$5:M412,"Yes"),"")</f>
        <v/>
      </c>
    </row>
    <row r="413">
      <c r="A413" s="5" t="n"/>
      <c r="B413" s="51" t="n"/>
      <c r="C413" s="5" t="n"/>
      <c r="D413" s="52" t="n"/>
      <c r="E413" s="52" t="n"/>
      <c r="F413" s="52" t="n"/>
      <c r="G413" s="52" t="n"/>
      <c r="H413" s="52" t="n"/>
      <c r="I413" s="52" t="n"/>
      <c r="J413" s="52" t="n"/>
      <c r="K413" s="52" t="n"/>
      <c r="L413" s="51" t="n"/>
      <c r="M413" s="53">
        <f>IF(A413="","",IF(COUNTIF('AFA Rates'!$A$5:$A$1004,A413)&gt;0,"Yes","No"))</f>
        <v/>
      </c>
      <c r="N413" s="53">
        <f>IF(A413="","",COUNTIF('AFA Rates'!$A$5:$A$1004,A413))</f>
        <v/>
      </c>
      <c r="O413" s="54" t="n"/>
      <c r="P413" s="5" t="n"/>
      <c r="Q413" s="5" t="n"/>
      <c r="R413">
        <f>IF(AND(A413&lt;&gt;"",B413="Paused"),COUNTIFS($A$5:A413,"&lt;&gt;",$B$5:B413,"Paused"),"")</f>
        <v/>
      </c>
      <c r="S413">
        <f>IF(M413="Yes",COUNTIF($M$5:M413,"Yes"),"")</f>
        <v/>
      </c>
    </row>
    <row r="414">
      <c r="A414" s="5" t="n"/>
      <c r="B414" s="51" t="n"/>
      <c r="C414" s="5" t="n"/>
      <c r="D414" s="52" t="n"/>
      <c r="E414" s="52" t="n"/>
      <c r="F414" s="52" t="n"/>
      <c r="G414" s="52" t="n"/>
      <c r="H414" s="52" t="n"/>
      <c r="I414" s="52" t="n"/>
      <c r="J414" s="52" t="n"/>
      <c r="K414" s="52" t="n"/>
      <c r="L414" s="51" t="n"/>
      <c r="M414" s="53">
        <f>IF(A414="","",IF(COUNTIF('AFA Rates'!$A$5:$A$1004,A414)&gt;0,"Yes","No"))</f>
        <v/>
      </c>
      <c r="N414" s="53">
        <f>IF(A414="","",COUNTIF('AFA Rates'!$A$5:$A$1004,A414))</f>
        <v/>
      </c>
      <c r="O414" s="54" t="n"/>
      <c r="P414" s="5" t="n"/>
      <c r="Q414" s="5" t="n"/>
      <c r="R414">
        <f>IF(AND(A414&lt;&gt;"",B414="Paused"),COUNTIFS($A$5:A414,"&lt;&gt;",$B$5:B414,"Paused"),"")</f>
        <v/>
      </c>
      <c r="S414">
        <f>IF(M414="Yes",COUNTIF($M$5:M414,"Yes"),"")</f>
        <v/>
      </c>
    </row>
    <row r="415">
      <c r="A415" s="5" t="n"/>
      <c r="B415" s="51" t="n"/>
      <c r="C415" s="5" t="n"/>
      <c r="D415" s="52" t="n"/>
      <c r="E415" s="52" t="n"/>
      <c r="F415" s="52" t="n"/>
      <c r="G415" s="52" t="n"/>
      <c r="H415" s="52" t="n"/>
      <c r="I415" s="52" t="n"/>
      <c r="J415" s="52" t="n"/>
      <c r="K415" s="52" t="n"/>
      <c r="L415" s="51" t="n"/>
      <c r="M415" s="53">
        <f>IF(A415="","",IF(COUNTIF('AFA Rates'!$A$5:$A$1004,A415)&gt;0,"Yes","No"))</f>
        <v/>
      </c>
      <c r="N415" s="53">
        <f>IF(A415="","",COUNTIF('AFA Rates'!$A$5:$A$1004,A415))</f>
        <v/>
      </c>
      <c r="O415" s="54" t="n"/>
      <c r="P415" s="5" t="n"/>
      <c r="Q415" s="5" t="n"/>
      <c r="R415">
        <f>IF(AND(A415&lt;&gt;"",B415="Paused"),COUNTIFS($A$5:A415,"&lt;&gt;",$B$5:B415,"Paused"),"")</f>
        <v/>
      </c>
      <c r="S415">
        <f>IF(M415="Yes",COUNTIF($M$5:M415,"Yes"),"")</f>
        <v/>
      </c>
    </row>
    <row r="416">
      <c r="A416" s="5" t="n"/>
      <c r="B416" s="51" t="n"/>
      <c r="C416" s="5" t="n"/>
      <c r="D416" s="52" t="n"/>
      <c r="E416" s="52" t="n"/>
      <c r="F416" s="52" t="n"/>
      <c r="G416" s="52" t="n"/>
      <c r="H416" s="52" t="n"/>
      <c r="I416" s="52" t="n"/>
      <c r="J416" s="52" t="n"/>
      <c r="K416" s="52" t="n"/>
      <c r="L416" s="51" t="n"/>
      <c r="M416" s="53">
        <f>IF(A416="","",IF(COUNTIF('AFA Rates'!$A$5:$A$1004,A416)&gt;0,"Yes","No"))</f>
        <v/>
      </c>
      <c r="N416" s="53">
        <f>IF(A416="","",COUNTIF('AFA Rates'!$A$5:$A$1004,A416))</f>
        <v/>
      </c>
      <c r="O416" s="54" t="n"/>
      <c r="P416" s="5" t="n"/>
      <c r="Q416" s="5" t="n"/>
      <c r="R416">
        <f>IF(AND(A416&lt;&gt;"",B416="Paused"),COUNTIFS($A$5:A416,"&lt;&gt;",$B$5:B416,"Paused"),"")</f>
        <v/>
      </c>
      <c r="S416">
        <f>IF(M416="Yes",COUNTIF($M$5:M416,"Yes"),"")</f>
        <v/>
      </c>
    </row>
    <row r="417">
      <c r="A417" s="5" t="n"/>
      <c r="B417" s="51" t="n"/>
      <c r="C417" s="5" t="n"/>
      <c r="D417" s="52" t="n"/>
      <c r="E417" s="52" t="n"/>
      <c r="F417" s="52" t="n"/>
      <c r="G417" s="52" t="n"/>
      <c r="H417" s="52" t="n"/>
      <c r="I417" s="52" t="n"/>
      <c r="J417" s="52" t="n"/>
      <c r="K417" s="52" t="n"/>
      <c r="L417" s="51" t="n"/>
      <c r="M417" s="53">
        <f>IF(A417="","",IF(COUNTIF('AFA Rates'!$A$5:$A$1004,A417)&gt;0,"Yes","No"))</f>
        <v/>
      </c>
      <c r="N417" s="53">
        <f>IF(A417="","",COUNTIF('AFA Rates'!$A$5:$A$1004,A417))</f>
        <v/>
      </c>
      <c r="O417" s="54" t="n"/>
      <c r="P417" s="5" t="n"/>
      <c r="Q417" s="5" t="n"/>
      <c r="R417">
        <f>IF(AND(A417&lt;&gt;"",B417="Paused"),COUNTIFS($A$5:A417,"&lt;&gt;",$B$5:B417,"Paused"),"")</f>
        <v/>
      </c>
      <c r="S417">
        <f>IF(M417="Yes",COUNTIF($M$5:M417,"Yes"),"")</f>
        <v/>
      </c>
    </row>
    <row r="418">
      <c r="A418" s="5" t="n"/>
      <c r="B418" s="51" t="n"/>
      <c r="C418" s="5" t="n"/>
      <c r="D418" s="52" t="n"/>
      <c r="E418" s="52" t="n"/>
      <c r="F418" s="52" t="n"/>
      <c r="G418" s="52" t="n"/>
      <c r="H418" s="52" t="n"/>
      <c r="I418" s="52" t="n"/>
      <c r="J418" s="52" t="n"/>
      <c r="K418" s="52" t="n"/>
      <c r="L418" s="51" t="n"/>
      <c r="M418" s="53">
        <f>IF(A418="","",IF(COUNTIF('AFA Rates'!$A$5:$A$1004,A418)&gt;0,"Yes","No"))</f>
        <v/>
      </c>
      <c r="N418" s="53">
        <f>IF(A418="","",COUNTIF('AFA Rates'!$A$5:$A$1004,A418))</f>
        <v/>
      </c>
      <c r="O418" s="54" t="n"/>
      <c r="P418" s="5" t="n"/>
      <c r="Q418" s="5" t="n"/>
      <c r="R418">
        <f>IF(AND(A418&lt;&gt;"",B418="Paused"),COUNTIFS($A$5:A418,"&lt;&gt;",$B$5:B418,"Paused"),"")</f>
        <v/>
      </c>
      <c r="S418">
        <f>IF(M418="Yes",COUNTIF($M$5:M418,"Yes"),"")</f>
        <v/>
      </c>
    </row>
    <row r="419">
      <c r="A419" s="5" t="n"/>
      <c r="B419" s="51" t="n"/>
      <c r="C419" s="5" t="n"/>
      <c r="D419" s="52" t="n"/>
      <c r="E419" s="52" t="n"/>
      <c r="F419" s="52" t="n"/>
      <c r="G419" s="52" t="n"/>
      <c r="H419" s="52" t="n"/>
      <c r="I419" s="52" t="n"/>
      <c r="J419" s="52" t="n"/>
      <c r="K419" s="52" t="n"/>
      <c r="L419" s="51" t="n"/>
      <c r="M419" s="53">
        <f>IF(A419="","",IF(COUNTIF('AFA Rates'!$A$5:$A$1004,A419)&gt;0,"Yes","No"))</f>
        <v/>
      </c>
      <c r="N419" s="53">
        <f>IF(A419="","",COUNTIF('AFA Rates'!$A$5:$A$1004,A419))</f>
        <v/>
      </c>
      <c r="O419" s="54" t="n"/>
      <c r="P419" s="5" t="n"/>
      <c r="Q419" s="5" t="n"/>
      <c r="R419">
        <f>IF(AND(A419&lt;&gt;"",B419="Paused"),COUNTIFS($A$5:A419,"&lt;&gt;",$B$5:B419,"Paused"),"")</f>
        <v/>
      </c>
      <c r="S419">
        <f>IF(M419="Yes",COUNTIF($M$5:M419,"Yes"),"")</f>
        <v/>
      </c>
    </row>
    <row r="420">
      <c r="A420" s="5" t="n"/>
      <c r="B420" s="51" t="n"/>
      <c r="C420" s="5" t="n"/>
      <c r="D420" s="52" t="n"/>
      <c r="E420" s="52" t="n"/>
      <c r="F420" s="52" t="n"/>
      <c r="G420" s="52" t="n"/>
      <c r="H420" s="52" t="n"/>
      <c r="I420" s="52" t="n"/>
      <c r="J420" s="52" t="n"/>
      <c r="K420" s="52" t="n"/>
      <c r="L420" s="51" t="n"/>
      <c r="M420" s="53">
        <f>IF(A420="","",IF(COUNTIF('AFA Rates'!$A$5:$A$1004,A420)&gt;0,"Yes","No"))</f>
        <v/>
      </c>
      <c r="N420" s="53">
        <f>IF(A420="","",COUNTIF('AFA Rates'!$A$5:$A$1004,A420))</f>
        <v/>
      </c>
      <c r="O420" s="54" t="n"/>
      <c r="P420" s="5" t="n"/>
      <c r="Q420" s="5" t="n"/>
      <c r="R420">
        <f>IF(AND(A420&lt;&gt;"",B420="Paused"),COUNTIFS($A$5:A420,"&lt;&gt;",$B$5:B420,"Paused"),"")</f>
        <v/>
      </c>
      <c r="S420">
        <f>IF(M420="Yes",COUNTIF($M$5:M420,"Yes"),"")</f>
        <v/>
      </c>
    </row>
    <row r="421">
      <c r="A421" s="5" t="n"/>
      <c r="B421" s="51" t="n"/>
      <c r="C421" s="5" t="n"/>
      <c r="D421" s="52" t="n"/>
      <c r="E421" s="52" t="n"/>
      <c r="F421" s="52" t="n"/>
      <c r="G421" s="52" t="n"/>
      <c r="H421" s="52" t="n"/>
      <c r="I421" s="52" t="n"/>
      <c r="J421" s="52" t="n"/>
      <c r="K421" s="52" t="n"/>
      <c r="L421" s="51" t="n"/>
      <c r="M421" s="53">
        <f>IF(A421="","",IF(COUNTIF('AFA Rates'!$A$5:$A$1004,A421)&gt;0,"Yes","No"))</f>
        <v/>
      </c>
      <c r="N421" s="53">
        <f>IF(A421="","",COUNTIF('AFA Rates'!$A$5:$A$1004,A421))</f>
        <v/>
      </c>
      <c r="O421" s="54" t="n"/>
      <c r="P421" s="5" t="n"/>
      <c r="Q421" s="5" t="n"/>
      <c r="R421">
        <f>IF(AND(A421&lt;&gt;"",B421="Paused"),COUNTIFS($A$5:A421,"&lt;&gt;",$B$5:B421,"Paused"),"")</f>
        <v/>
      </c>
      <c r="S421">
        <f>IF(M421="Yes",COUNTIF($M$5:M421,"Yes"),"")</f>
        <v/>
      </c>
    </row>
    <row r="422">
      <c r="A422" s="5" t="n"/>
      <c r="B422" s="51" t="n"/>
      <c r="C422" s="5" t="n"/>
      <c r="D422" s="52" t="n"/>
      <c r="E422" s="52" t="n"/>
      <c r="F422" s="52" t="n"/>
      <c r="G422" s="52" t="n"/>
      <c r="H422" s="52" t="n"/>
      <c r="I422" s="52" t="n"/>
      <c r="J422" s="52" t="n"/>
      <c r="K422" s="52" t="n"/>
      <c r="L422" s="51" t="n"/>
      <c r="M422" s="53">
        <f>IF(A422="","",IF(COUNTIF('AFA Rates'!$A$5:$A$1004,A422)&gt;0,"Yes","No"))</f>
        <v/>
      </c>
      <c r="N422" s="53">
        <f>IF(A422="","",COUNTIF('AFA Rates'!$A$5:$A$1004,A422))</f>
        <v/>
      </c>
      <c r="O422" s="54" t="n"/>
      <c r="P422" s="5" t="n"/>
      <c r="Q422" s="5" t="n"/>
      <c r="R422">
        <f>IF(AND(A422&lt;&gt;"",B422="Paused"),COUNTIFS($A$5:A422,"&lt;&gt;",$B$5:B422,"Paused"),"")</f>
        <v/>
      </c>
      <c r="S422">
        <f>IF(M422="Yes",COUNTIF($M$5:M422,"Yes"),"")</f>
        <v/>
      </c>
    </row>
    <row r="423">
      <c r="A423" s="5" t="n"/>
      <c r="B423" s="51" t="n"/>
      <c r="C423" s="5" t="n"/>
      <c r="D423" s="52" t="n"/>
      <c r="E423" s="52" t="n"/>
      <c r="F423" s="52" t="n"/>
      <c r="G423" s="52" t="n"/>
      <c r="H423" s="52" t="n"/>
      <c r="I423" s="52" t="n"/>
      <c r="J423" s="52" t="n"/>
      <c r="K423" s="52" t="n"/>
      <c r="L423" s="51" t="n"/>
      <c r="M423" s="53">
        <f>IF(A423="","",IF(COUNTIF('AFA Rates'!$A$5:$A$1004,A423)&gt;0,"Yes","No"))</f>
        <v/>
      </c>
      <c r="N423" s="53">
        <f>IF(A423="","",COUNTIF('AFA Rates'!$A$5:$A$1004,A423))</f>
        <v/>
      </c>
      <c r="O423" s="54" t="n"/>
      <c r="P423" s="5" t="n"/>
      <c r="Q423" s="5" t="n"/>
      <c r="R423">
        <f>IF(AND(A423&lt;&gt;"",B423="Paused"),COUNTIFS($A$5:A423,"&lt;&gt;",$B$5:B423,"Paused"),"")</f>
        <v/>
      </c>
      <c r="S423">
        <f>IF(M423="Yes",COUNTIF($M$5:M423,"Yes"),"")</f>
        <v/>
      </c>
    </row>
    <row r="424">
      <c r="A424" s="5" t="n"/>
      <c r="B424" s="51" t="n"/>
      <c r="C424" s="5" t="n"/>
      <c r="D424" s="52" t="n"/>
      <c r="E424" s="52" t="n"/>
      <c r="F424" s="52" t="n"/>
      <c r="G424" s="52" t="n"/>
      <c r="H424" s="52" t="n"/>
      <c r="I424" s="52" t="n"/>
      <c r="J424" s="52" t="n"/>
      <c r="K424" s="52" t="n"/>
      <c r="L424" s="51" t="n"/>
      <c r="M424" s="53">
        <f>IF(A424="","",IF(COUNTIF('AFA Rates'!$A$5:$A$1004,A424)&gt;0,"Yes","No"))</f>
        <v/>
      </c>
      <c r="N424" s="53">
        <f>IF(A424="","",COUNTIF('AFA Rates'!$A$5:$A$1004,A424))</f>
        <v/>
      </c>
      <c r="O424" s="54" t="n"/>
      <c r="P424" s="5" t="n"/>
      <c r="Q424" s="5" t="n"/>
      <c r="R424">
        <f>IF(AND(A424&lt;&gt;"",B424="Paused"),COUNTIFS($A$5:A424,"&lt;&gt;",$B$5:B424,"Paused"),"")</f>
        <v/>
      </c>
      <c r="S424">
        <f>IF(M424="Yes",COUNTIF($M$5:M424,"Yes"),"")</f>
        <v/>
      </c>
    </row>
    <row r="425">
      <c r="A425" s="5" t="n"/>
      <c r="B425" s="51" t="n"/>
      <c r="C425" s="5" t="n"/>
      <c r="D425" s="52" t="n"/>
      <c r="E425" s="52" t="n"/>
      <c r="F425" s="52" t="n"/>
      <c r="G425" s="52" t="n"/>
      <c r="H425" s="52" t="n"/>
      <c r="I425" s="52" t="n"/>
      <c r="J425" s="52" t="n"/>
      <c r="K425" s="52" t="n"/>
      <c r="L425" s="51" t="n"/>
      <c r="M425" s="53">
        <f>IF(A425="","",IF(COUNTIF('AFA Rates'!$A$5:$A$1004,A425)&gt;0,"Yes","No"))</f>
        <v/>
      </c>
      <c r="N425" s="53">
        <f>IF(A425="","",COUNTIF('AFA Rates'!$A$5:$A$1004,A425))</f>
        <v/>
      </c>
      <c r="O425" s="54" t="n"/>
      <c r="P425" s="5" t="n"/>
      <c r="Q425" s="5" t="n"/>
      <c r="R425">
        <f>IF(AND(A425&lt;&gt;"",B425="Paused"),COUNTIFS($A$5:A425,"&lt;&gt;",$B$5:B425,"Paused"),"")</f>
        <v/>
      </c>
      <c r="S425">
        <f>IF(M425="Yes",COUNTIF($M$5:M425,"Yes"),"")</f>
        <v/>
      </c>
    </row>
    <row r="426">
      <c r="A426" s="5" t="n"/>
      <c r="B426" s="51" t="n"/>
      <c r="C426" s="5" t="n"/>
      <c r="D426" s="52" t="n"/>
      <c r="E426" s="52" t="n"/>
      <c r="F426" s="52" t="n"/>
      <c r="G426" s="52" t="n"/>
      <c r="H426" s="52" t="n"/>
      <c r="I426" s="52" t="n"/>
      <c r="J426" s="52" t="n"/>
      <c r="K426" s="52" t="n"/>
      <c r="L426" s="51" t="n"/>
      <c r="M426" s="53">
        <f>IF(A426="","",IF(COUNTIF('AFA Rates'!$A$5:$A$1004,A426)&gt;0,"Yes","No"))</f>
        <v/>
      </c>
      <c r="N426" s="53">
        <f>IF(A426="","",COUNTIF('AFA Rates'!$A$5:$A$1004,A426))</f>
        <v/>
      </c>
      <c r="O426" s="54" t="n"/>
      <c r="P426" s="5" t="n"/>
      <c r="Q426" s="5" t="n"/>
      <c r="R426">
        <f>IF(AND(A426&lt;&gt;"",B426="Paused"),COUNTIFS($A$5:A426,"&lt;&gt;",$B$5:B426,"Paused"),"")</f>
        <v/>
      </c>
      <c r="S426">
        <f>IF(M426="Yes",COUNTIF($M$5:M426,"Yes"),"")</f>
        <v/>
      </c>
    </row>
    <row r="427">
      <c r="A427" s="5" t="n"/>
      <c r="B427" s="51" t="n"/>
      <c r="C427" s="5" t="n"/>
      <c r="D427" s="52" t="n"/>
      <c r="E427" s="52" t="n"/>
      <c r="F427" s="52" t="n"/>
      <c r="G427" s="52" t="n"/>
      <c r="H427" s="52" t="n"/>
      <c r="I427" s="52" t="n"/>
      <c r="J427" s="52" t="n"/>
      <c r="K427" s="52" t="n"/>
      <c r="L427" s="51" t="n"/>
      <c r="M427" s="53">
        <f>IF(A427="","",IF(COUNTIF('AFA Rates'!$A$5:$A$1004,A427)&gt;0,"Yes","No"))</f>
        <v/>
      </c>
      <c r="N427" s="53">
        <f>IF(A427="","",COUNTIF('AFA Rates'!$A$5:$A$1004,A427))</f>
        <v/>
      </c>
      <c r="O427" s="54" t="n"/>
      <c r="P427" s="5" t="n"/>
      <c r="Q427" s="5" t="n"/>
      <c r="R427">
        <f>IF(AND(A427&lt;&gt;"",B427="Paused"),COUNTIFS($A$5:A427,"&lt;&gt;",$B$5:B427,"Paused"),"")</f>
        <v/>
      </c>
      <c r="S427">
        <f>IF(M427="Yes",COUNTIF($M$5:M427,"Yes"),"")</f>
        <v/>
      </c>
    </row>
    <row r="428">
      <c r="A428" s="5" t="n"/>
      <c r="B428" s="51" t="n"/>
      <c r="C428" s="5" t="n"/>
      <c r="D428" s="52" t="n"/>
      <c r="E428" s="52" t="n"/>
      <c r="F428" s="52" t="n"/>
      <c r="G428" s="52" t="n"/>
      <c r="H428" s="52" t="n"/>
      <c r="I428" s="52" t="n"/>
      <c r="J428" s="52" t="n"/>
      <c r="K428" s="52" t="n"/>
      <c r="L428" s="51" t="n"/>
      <c r="M428" s="53">
        <f>IF(A428="","",IF(COUNTIF('AFA Rates'!$A$5:$A$1004,A428)&gt;0,"Yes","No"))</f>
        <v/>
      </c>
      <c r="N428" s="53">
        <f>IF(A428="","",COUNTIF('AFA Rates'!$A$5:$A$1004,A428))</f>
        <v/>
      </c>
      <c r="O428" s="54" t="n"/>
      <c r="P428" s="5" t="n"/>
      <c r="Q428" s="5" t="n"/>
      <c r="R428">
        <f>IF(AND(A428&lt;&gt;"",B428="Paused"),COUNTIFS($A$5:A428,"&lt;&gt;",$B$5:B428,"Paused"),"")</f>
        <v/>
      </c>
      <c r="S428">
        <f>IF(M428="Yes",COUNTIF($M$5:M428,"Yes"),"")</f>
        <v/>
      </c>
    </row>
    <row r="429">
      <c r="A429" s="5" t="n"/>
      <c r="B429" s="51" t="n"/>
      <c r="C429" s="5" t="n"/>
      <c r="D429" s="52" t="n"/>
      <c r="E429" s="52" t="n"/>
      <c r="F429" s="52" t="n"/>
      <c r="G429" s="52" t="n"/>
      <c r="H429" s="52" t="n"/>
      <c r="I429" s="52" t="n"/>
      <c r="J429" s="52" t="n"/>
      <c r="K429" s="52" t="n"/>
      <c r="L429" s="51" t="n"/>
      <c r="M429" s="53">
        <f>IF(A429="","",IF(COUNTIF('AFA Rates'!$A$5:$A$1004,A429)&gt;0,"Yes","No"))</f>
        <v/>
      </c>
      <c r="N429" s="53">
        <f>IF(A429="","",COUNTIF('AFA Rates'!$A$5:$A$1004,A429))</f>
        <v/>
      </c>
      <c r="O429" s="54" t="n"/>
      <c r="P429" s="5" t="n"/>
      <c r="Q429" s="5" t="n"/>
      <c r="R429">
        <f>IF(AND(A429&lt;&gt;"",B429="Paused"),COUNTIFS($A$5:A429,"&lt;&gt;",$B$5:B429,"Paused"),"")</f>
        <v/>
      </c>
      <c r="S429">
        <f>IF(M429="Yes",COUNTIF($M$5:M429,"Yes"),"")</f>
        <v/>
      </c>
    </row>
    <row r="430">
      <c r="A430" s="5" t="n"/>
      <c r="B430" s="51" t="n"/>
      <c r="C430" s="5" t="n"/>
      <c r="D430" s="52" t="n"/>
      <c r="E430" s="52" t="n"/>
      <c r="F430" s="52" t="n"/>
      <c r="G430" s="52" t="n"/>
      <c r="H430" s="52" t="n"/>
      <c r="I430" s="52" t="n"/>
      <c r="J430" s="52" t="n"/>
      <c r="K430" s="52" t="n"/>
      <c r="L430" s="51" t="n"/>
      <c r="M430" s="53">
        <f>IF(A430="","",IF(COUNTIF('AFA Rates'!$A$5:$A$1004,A430)&gt;0,"Yes","No"))</f>
        <v/>
      </c>
      <c r="N430" s="53">
        <f>IF(A430="","",COUNTIF('AFA Rates'!$A$5:$A$1004,A430))</f>
        <v/>
      </c>
      <c r="O430" s="54" t="n"/>
      <c r="P430" s="5" t="n"/>
      <c r="Q430" s="5" t="n"/>
      <c r="R430">
        <f>IF(AND(A430&lt;&gt;"",B430="Paused"),COUNTIFS($A$5:A430,"&lt;&gt;",$B$5:B430,"Paused"),"")</f>
        <v/>
      </c>
      <c r="S430">
        <f>IF(M430="Yes",COUNTIF($M$5:M430,"Yes"),"")</f>
        <v/>
      </c>
    </row>
    <row r="431">
      <c r="A431" s="5" t="n"/>
      <c r="B431" s="51" t="n"/>
      <c r="C431" s="5" t="n"/>
      <c r="D431" s="52" t="n"/>
      <c r="E431" s="52" t="n"/>
      <c r="F431" s="52" t="n"/>
      <c r="G431" s="52" t="n"/>
      <c r="H431" s="52" t="n"/>
      <c r="I431" s="52" t="n"/>
      <c r="J431" s="52" t="n"/>
      <c r="K431" s="52" t="n"/>
      <c r="L431" s="51" t="n"/>
      <c r="M431" s="53">
        <f>IF(A431="","",IF(COUNTIF('AFA Rates'!$A$5:$A$1004,A431)&gt;0,"Yes","No"))</f>
        <v/>
      </c>
      <c r="N431" s="53">
        <f>IF(A431="","",COUNTIF('AFA Rates'!$A$5:$A$1004,A431))</f>
        <v/>
      </c>
      <c r="O431" s="54" t="n"/>
      <c r="P431" s="5" t="n"/>
      <c r="Q431" s="5" t="n"/>
      <c r="R431">
        <f>IF(AND(A431&lt;&gt;"",B431="Paused"),COUNTIFS($A$5:A431,"&lt;&gt;",$B$5:B431,"Paused"),"")</f>
        <v/>
      </c>
      <c r="S431">
        <f>IF(M431="Yes",COUNTIF($M$5:M431,"Yes"),"")</f>
        <v/>
      </c>
    </row>
    <row r="432">
      <c r="A432" s="5" t="n"/>
      <c r="B432" s="51" t="n"/>
      <c r="C432" s="5" t="n"/>
      <c r="D432" s="52" t="n"/>
      <c r="E432" s="52" t="n"/>
      <c r="F432" s="52" t="n"/>
      <c r="G432" s="52" t="n"/>
      <c r="H432" s="52" t="n"/>
      <c r="I432" s="52" t="n"/>
      <c r="J432" s="52" t="n"/>
      <c r="K432" s="52" t="n"/>
      <c r="L432" s="51" t="n"/>
      <c r="M432" s="53">
        <f>IF(A432="","",IF(COUNTIF('AFA Rates'!$A$5:$A$1004,A432)&gt;0,"Yes","No"))</f>
        <v/>
      </c>
      <c r="N432" s="53">
        <f>IF(A432="","",COUNTIF('AFA Rates'!$A$5:$A$1004,A432))</f>
        <v/>
      </c>
      <c r="O432" s="54" t="n"/>
      <c r="P432" s="5" t="n"/>
      <c r="Q432" s="5" t="n"/>
      <c r="R432">
        <f>IF(AND(A432&lt;&gt;"",B432="Paused"),COUNTIFS($A$5:A432,"&lt;&gt;",$B$5:B432,"Paused"),"")</f>
        <v/>
      </c>
      <c r="S432">
        <f>IF(M432="Yes",COUNTIF($M$5:M432,"Yes"),"")</f>
        <v/>
      </c>
    </row>
    <row r="433">
      <c r="A433" s="5" t="n"/>
      <c r="B433" s="51" t="n"/>
      <c r="C433" s="5" t="n"/>
      <c r="D433" s="52" t="n"/>
      <c r="E433" s="52" t="n"/>
      <c r="F433" s="52" t="n"/>
      <c r="G433" s="52" t="n"/>
      <c r="H433" s="52" t="n"/>
      <c r="I433" s="52" t="n"/>
      <c r="J433" s="52" t="n"/>
      <c r="K433" s="52" t="n"/>
      <c r="L433" s="51" t="n"/>
      <c r="M433" s="53">
        <f>IF(A433="","",IF(COUNTIF('AFA Rates'!$A$5:$A$1004,A433)&gt;0,"Yes","No"))</f>
        <v/>
      </c>
      <c r="N433" s="53">
        <f>IF(A433="","",COUNTIF('AFA Rates'!$A$5:$A$1004,A433))</f>
        <v/>
      </c>
      <c r="O433" s="54" t="n"/>
      <c r="P433" s="5" t="n"/>
      <c r="Q433" s="5" t="n"/>
      <c r="R433">
        <f>IF(AND(A433&lt;&gt;"",B433="Paused"),COUNTIFS($A$5:A433,"&lt;&gt;",$B$5:B433,"Paused"),"")</f>
        <v/>
      </c>
      <c r="S433">
        <f>IF(M433="Yes",COUNTIF($M$5:M433,"Yes"),"")</f>
        <v/>
      </c>
    </row>
    <row r="434">
      <c r="A434" s="5" t="n"/>
      <c r="B434" s="51" t="n"/>
      <c r="C434" s="5" t="n"/>
      <c r="D434" s="52" t="n"/>
      <c r="E434" s="52" t="n"/>
      <c r="F434" s="52" t="n"/>
      <c r="G434" s="52" t="n"/>
      <c r="H434" s="52" t="n"/>
      <c r="I434" s="52" t="n"/>
      <c r="J434" s="52" t="n"/>
      <c r="K434" s="52" t="n"/>
      <c r="L434" s="51" t="n"/>
      <c r="M434" s="53">
        <f>IF(A434="","",IF(COUNTIF('AFA Rates'!$A$5:$A$1004,A434)&gt;0,"Yes","No"))</f>
        <v/>
      </c>
      <c r="N434" s="53">
        <f>IF(A434="","",COUNTIF('AFA Rates'!$A$5:$A$1004,A434))</f>
        <v/>
      </c>
      <c r="O434" s="54" t="n"/>
      <c r="P434" s="5" t="n"/>
      <c r="Q434" s="5" t="n"/>
      <c r="R434">
        <f>IF(AND(A434&lt;&gt;"",B434="Paused"),COUNTIFS($A$5:A434,"&lt;&gt;",$B$5:B434,"Paused"),"")</f>
        <v/>
      </c>
      <c r="S434">
        <f>IF(M434="Yes",COUNTIF($M$5:M434,"Yes"),"")</f>
        <v/>
      </c>
    </row>
    <row r="435">
      <c r="A435" s="5" t="n"/>
      <c r="B435" s="51" t="n"/>
      <c r="C435" s="5" t="n"/>
      <c r="D435" s="52" t="n"/>
      <c r="E435" s="52" t="n"/>
      <c r="F435" s="52" t="n"/>
      <c r="G435" s="52" t="n"/>
      <c r="H435" s="52" t="n"/>
      <c r="I435" s="52" t="n"/>
      <c r="J435" s="52" t="n"/>
      <c r="K435" s="52" t="n"/>
      <c r="L435" s="51" t="n"/>
      <c r="M435" s="53">
        <f>IF(A435="","",IF(COUNTIF('AFA Rates'!$A$5:$A$1004,A435)&gt;0,"Yes","No"))</f>
        <v/>
      </c>
      <c r="N435" s="53">
        <f>IF(A435="","",COUNTIF('AFA Rates'!$A$5:$A$1004,A435))</f>
        <v/>
      </c>
      <c r="O435" s="54" t="n"/>
      <c r="P435" s="5" t="n"/>
      <c r="Q435" s="5" t="n"/>
      <c r="R435">
        <f>IF(AND(A435&lt;&gt;"",B435="Paused"),COUNTIFS($A$5:A435,"&lt;&gt;",$B$5:B435,"Paused"),"")</f>
        <v/>
      </c>
      <c r="S435">
        <f>IF(M435="Yes",COUNTIF($M$5:M435,"Yes"),"")</f>
        <v/>
      </c>
    </row>
    <row r="436">
      <c r="A436" s="5" t="n"/>
      <c r="B436" s="51" t="n"/>
      <c r="C436" s="5" t="n"/>
      <c r="D436" s="52" t="n"/>
      <c r="E436" s="52" t="n"/>
      <c r="F436" s="52" t="n"/>
      <c r="G436" s="52" t="n"/>
      <c r="H436" s="52" t="n"/>
      <c r="I436" s="52" t="n"/>
      <c r="J436" s="52" t="n"/>
      <c r="K436" s="52" t="n"/>
      <c r="L436" s="51" t="n"/>
      <c r="M436" s="53">
        <f>IF(A436="","",IF(COUNTIF('AFA Rates'!$A$5:$A$1004,A436)&gt;0,"Yes","No"))</f>
        <v/>
      </c>
      <c r="N436" s="53">
        <f>IF(A436="","",COUNTIF('AFA Rates'!$A$5:$A$1004,A436))</f>
        <v/>
      </c>
      <c r="O436" s="54" t="n"/>
      <c r="P436" s="5" t="n"/>
      <c r="Q436" s="5" t="n"/>
      <c r="R436">
        <f>IF(AND(A436&lt;&gt;"",B436="Paused"),COUNTIFS($A$5:A436,"&lt;&gt;",$B$5:B436,"Paused"),"")</f>
        <v/>
      </c>
      <c r="S436">
        <f>IF(M436="Yes",COUNTIF($M$5:M436,"Yes"),"")</f>
        <v/>
      </c>
    </row>
    <row r="437">
      <c r="A437" s="5" t="n"/>
      <c r="B437" s="51" t="n"/>
      <c r="C437" s="5" t="n"/>
      <c r="D437" s="52" t="n"/>
      <c r="E437" s="52" t="n"/>
      <c r="F437" s="52" t="n"/>
      <c r="G437" s="52" t="n"/>
      <c r="H437" s="52" t="n"/>
      <c r="I437" s="52" t="n"/>
      <c r="J437" s="52" t="n"/>
      <c r="K437" s="52" t="n"/>
      <c r="L437" s="51" t="n"/>
      <c r="M437" s="53">
        <f>IF(A437="","",IF(COUNTIF('AFA Rates'!$A$5:$A$1004,A437)&gt;0,"Yes","No"))</f>
        <v/>
      </c>
      <c r="N437" s="53">
        <f>IF(A437="","",COUNTIF('AFA Rates'!$A$5:$A$1004,A437))</f>
        <v/>
      </c>
      <c r="O437" s="54" t="n"/>
      <c r="P437" s="5" t="n"/>
      <c r="Q437" s="5" t="n"/>
      <c r="R437">
        <f>IF(AND(A437&lt;&gt;"",B437="Paused"),COUNTIFS($A$5:A437,"&lt;&gt;",$B$5:B437,"Paused"),"")</f>
        <v/>
      </c>
      <c r="S437">
        <f>IF(M437="Yes",COUNTIF($M$5:M437,"Yes"),"")</f>
        <v/>
      </c>
    </row>
    <row r="438">
      <c r="A438" s="5" t="n"/>
      <c r="B438" s="51" t="n"/>
      <c r="C438" s="5" t="n"/>
      <c r="D438" s="52" t="n"/>
      <c r="E438" s="52" t="n"/>
      <c r="F438" s="52" t="n"/>
      <c r="G438" s="52" t="n"/>
      <c r="H438" s="52" t="n"/>
      <c r="I438" s="52" t="n"/>
      <c r="J438" s="52" t="n"/>
      <c r="K438" s="52" t="n"/>
      <c r="L438" s="51" t="n"/>
      <c r="M438" s="53">
        <f>IF(A438="","",IF(COUNTIF('AFA Rates'!$A$5:$A$1004,A438)&gt;0,"Yes","No"))</f>
        <v/>
      </c>
      <c r="N438" s="53">
        <f>IF(A438="","",COUNTIF('AFA Rates'!$A$5:$A$1004,A438))</f>
        <v/>
      </c>
      <c r="O438" s="54" t="n"/>
      <c r="P438" s="5" t="n"/>
      <c r="Q438" s="5" t="n"/>
      <c r="R438">
        <f>IF(AND(A438&lt;&gt;"",B438="Paused"),COUNTIFS($A$5:A438,"&lt;&gt;",$B$5:B438,"Paused"),"")</f>
        <v/>
      </c>
      <c r="S438">
        <f>IF(M438="Yes",COUNTIF($M$5:M438,"Yes"),"")</f>
        <v/>
      </c>
    </row>
    <row r="439">
      <c r="A439" s="5" t="n"/>
      <c r="B439" s="51" t="n"/>
      <c r="C439" s="5" t="n"/>
      <c r="D439" s="52" t="n"/>
      <c r="E439" s="52" t="n"/>
      <c r="F439" s="52" t="n"/>
      <c r="G439" s="52" t="n"/>
      <c r="H439" s="52" t="n"/>
      <c r="I439" s="52" t="n"/>
      <c r="J439" s="52" t="n"/>
      <c r="K439" s="52" t="n"/>
      <c r="L439" s="51" t="n"/>
      <c r="M439" s="53">
        <f>IF(A439="","",IF(COUNTIF('AFA Rates'!$A$5:$A$1004,A439)&gt;0,"Yes","No"))</f>
        <v/>
      </c>
      <c r="N439" s="53">
        <f>IF(A439="","",COUNTIF('AFA Rates'!$A$5:$A$1004,A439))</f>
        <v/>
      </c>
      <c r="O439" s="54" t="n"/>
      <c r="P439" s="5" t="n"/>
      <c r="Q439" s="5" t="n"/>
      <c r="R439">
        <f>IF(AND(A439&lt;&gt;"",B439="Paused"),COUNTIFS($A$5:A439,"&lt;&gt;",$B$5:B439,"Paused"),"")</f>
        <v/>
      </c>
      <c r="S439">
        <f>IF(M439="Yes",COUNTIF($M$5:M439,"Yes"),"")</f>
        <v/>
      </c>
    </row>
    <row r="440">
      <c r="A440" s="5" t="n"/>
      <c r="B440" s="51" t="n"/>
      <c r="C440" s="5" t="n"/>
      <c r="D440" s="52" t="n"/>
      <c r="E440" s="52" t="n"/>
      <c r="F440" s="52" t="n"/>
      <c r="G440" s="52" t="n"/>
      <c r="H440" s="52" t="n"/>
      <c r="I440" s="52" t="n"/>
      <c r="J440" s="52" t="n"/>
      <c r="K440" s="52" t="n"/>
      <c r="L440" s="51" t="n"/>
      <c r="M440" s="53">
        <f>IF(A440="","",IF(COUNTIF('AFA Rates'!$A$5:$A$1004,A440)&gt;0,"Yes","No"))</f>
        <v/>
      </c>
      <c r="N440" s="53">
        <f>IF(A440="","",COUNTIF('AFA Rates'!$A$5:$A$1004,A440))</f>
        <v/>
      </c>
      <c r="O440" s="54" t="n"/>
      <c r="P440" s="5" t="n"/>
      <c r="Q440" s="5" t="n"/>
      <c r="R440">
        <f>IF(AND(A440&lt;&gt;"",B440="Paused"),COUNTIFS($A$5:A440,"&lt;&gt;",$B$5:B440,"Paused"),"")</f>
        <v/>
      </c>
      <c r="S440">
        <f>IF(M440="Yes",COUNTIF($M$5:M440,"Yes"),"")</f>
        <v/>
      </c>
    </row>
    <row r="441">
      <c r="A441" s="5" t="n"/>
      <c r="B441" s="51" t="n"/>
      <c r="C441" s="5" t="n"/>
      <c r="D441" s="52" t="n"/>
      <c r="E441" s="52" t="n"/>
      <c r="F441" s="52" t="n"/>
      <c r="G441" s="52" t="n"/>
      <c r="H441" s="52" t="n"/>
      <c r="I441" s="52" t="n"/>
      <c r="J441" s="52" t="n"/>
      <c r="K441" s="52" t="n"/>
      <c r="L441" s="51" t="n"/>
      <c r="M441" s="53">
        <f>IF(A441="","",IF(COUNTIF('AFA Rates'!$A$5:$A$1004,A441)&gt;0,"Yes","No"))</f>
        <v/>
      </c>
      <c r="N441" s="53">
        <f>IF(A441="","",COUNTIF('AFA Rates'!$A$5:$A$1004,A441))</f>
        <v/>
      </c>
      <c r="O441" s="54" t="n"/>
      <c r="P441" s="5" t="n"/>
      <c r="Q441" s="5" t="n"/>
      <c r="R441">
        <f>IF(AND(A441&lt;&gt;"",B441="Paused"),COUNTIFS($A$5:A441,"&lt;&gt;",$B$5:B441,"Paused"),"")</f>
        <v/>
      </c>
      <c r="S441">
        <f>IF(M441="Yes",COUNTIF($M$5:M441,"Yes"),"")</f>
        <v/>
      </c>
    </row>
    <row r="442">
      <c r="A442" s="5" t="n"/>
      <c r="B442" s="51" t="n"/>
      <c r="C442" s="5" t="n"/>
      <c r="D442" s="52" t="n"/>
      <c r="E442" s="52" t="n"/>
      <c r="F442" s="52" t="n"/>
      <c r="G442" s="52" t="n"/>
      <c r="H442" s="52" t="n"/>
      <c r="I442" s="52" t="n"/>
      <c r="J442" s="52" t="n"/>
      <c r="K442" s="52" t="n"/>
      <c r="L442" s="51" t="n"/>
      <c r="M442" s="53">
        <f>IF(A442="","",IF(COUNTIF('AFA Rates'!$A$5:$A$1004,A442)&gt;0,"Yes","No"))</f>
        <v/>
      </c>
      <c r="N442" s="53">
        <f>IF(A442="","",COUNTIF('AFA Rates'!$A$5:$A$1004,A442))</f>
        <v/>
      </c>
      <c r="O442" s="54" t="n"/>
      <c r="P442" s="5" t="n"/>
      <c r="Q442" s="5" t="n"/>
      <c r="R442">
        <f>IF(AND(A442&lt;&gt;"",B442="Paused"),COUNTIFS($A$5:A442,"&lt;&gt;",$B$5:B442,"Paused"),"")</f>
        <v/>
      </c>
      <c r="S442">
        <f>IF(M442="Yes",COUNTIF($M$5:M442,"Yes"),"")</f>
        <v/>
      </c>
    </row>
    <row r="443">
      <c r="A443" s="5" t="n"/>
      <c r="B443" s="51" t="n"/>
      <c r="C443" s="5" t="n"/>
      <c r="D443" s="52" t="n"/>
      <c r="E443" s="52" t="n"/>
      <c r="F443" s="52" t="n"/>
      <c r="G443" s="52" t="n"/>
      <c r="H443" s="52" t="n"/>
      <c r="I443" s="52" t="n"/>
      <c r="J443" s="52" t="n"/>
      <c r="K443" s="52" t="n"/>
      <c r="L443" s="51" t="n"/>
      <c r="M443" s="53">
        <f>IF(A443="","",IF(COUNTIF('AFA Rates'!$A$5:$A$1004,A443)&gt;0,"Yes","No"))</f>
        <v/>
      </c>
      <c r="N443" s="53">
        <f>IF(A443="","",COUNTIF('AFA Rates'!$A$5:$A$1004,A443))</f>
        <v/>
      </c>
      <c r="O443" s="54" t="n"/>
      <c r="P443" s="5" t="n"/>
      <c r="Q443" s="5" t="n"/>
      <c r="R443">
        <f>IF(AND(A443&lt;&gt;"",B443="Paused"),COUNTIFS($A$5:A443,"&lt;&gt;",$B$5:B443,"Paused"),"")</f>
        <v/>
      </c>
      <c r="S443">
        <f>IF(M443="Yes",COUNTIF($M$5:M443,"Yes"),"")</f>
        <v/>
      </c>
    </row>
    <row r="444">
      <c r="A444" s="5" t="n"/>
      <c r="B444" s="51" t="n"/>
      <c r="C444" s="5" t="n"/>
      <c r="D444" s="52" t="n"/>
      <c r="E444" s="52" t="n"/>
      <c r="F444" s="52" t="n"/>
      <c r="G444" s="52" t="n"/>
      <c r="H444" s="52" t="n"/>
      <c r="I444" s="52" t="n"/>
      <c r="J444" s="52" t="n"/>
      <c r="K444" s="52" t="n"/>
      <c r="L444" s="51" t="n"/>
      <c r="M444" s="53">
        <f>IF(A444="","",IF(COUNTIF('AFA Rates'!$A$5:$A$1004,A444)&gt;0,"Yes","No"))</f>
        <v/>
      </c>
      <c r="N444" s="53">
        <f>IF(A444="","",COUNTIF('AFA Rates'!$A$5:$A$1004,A444))</f>
        <v/>
      </c>
      <c r="O444" s="54" t="n"/>
      <c r="P444" s="5" t="n"/>
      <c r="Q444" s="5" t="n"/>
      <c r="R444">
        <f>IF(AND(A444&lt;&gt;"",B444="Paused"),COUNTIFS($A$5:A444,"&lt;&gt;",$B$5:B444,"Paused"),"")</f>
        <v/>
      </c>
      <c r="S444">
        <f>IF(M444="Yes",COUNTIF($M$5:M444,"Yes"),"")</f>
        <v/>
      </c>
    </row>
    <row r="445">
      <c r="A445" s="5" t="n"/>
      <c r="B445" s="51" t="n"/>
      <c r="C445" s="5" t="n"/>
      <c r="D445" s="52" t="n"/>
      <c r="E445" s="52" t="n"/>
      <c r="F445" s="52" t="n"/>
      <c r="G445" s="52" t="n"/>
      <c r="H445" s="52" t="n"/>
      <c r="I445" s="52" t="n"/>
      <c r="J445" s="52" t="n"/>
      <c r="K445" s="52" t="n"/>
      <c r="L445" s="51" t="n"/>
      <c r="M445" s="53">
        <f>IF(A445="","",IF(COUNTIF('AFA Rates'!$A$5:$A$1004,A445)&gt;0,"Yes","No"))</f>
        <v/>
      </c>
      <c r="N445" s="53">
        <f>IF(A445="","",COUNTIF('AFA Rates'!$A$5:$A$1004,A445))</f>
        <v/>
      </c>
      <c r="O445" s="54" t="n"/>
      <c r="P445" s="5" t="n"/>
      <c r="Q445" s="5" t="n"/>
      <c r="R445">
        <f>IF(AND(A445&lt;&gt;"",B445="Paused"),COUNTIFS($A$5:A445,"&lt;&gt;",$B$5:B445,"Paused"),"")</f>
        <v/>
      </c>
      <c r="S445">
        <f>IF(M445="Yes",COUNTIF($M$5:M445,"Yes"),"")</f>
        <v/>
      </c>
    </row>
    <row r="446">
      <c r="A446" s="5" t="n"/>
      <c r="B446" s="51" t="n"/>
      <c r="C446" s="5" t="n"/>
      <c r="D446" s="52" t="n"/>
      <c r="E446" s="52" t="n"/>
      <c r="F446" s="52" t="n"/>
      <c r="G446" s="52" t="n"/>
      <c r="H446" s="52" t="n"/>
      <c r="I446" s="52" t="n"/>
      <c r="J446" s="52" t="n"/>
      <c r="K446" s="52" t="n"/>
      <c r="L446" s="51" t="n"/>
      <c r="M446" s="53">
        <f>IF(A446="","",IF(COUNTIF('AFA Rates'!$A$5:$A$1004,A446)&gt;0,"Yes","No"))</f>
        <v/>
      </c>
      <c r="N446" s="53">
        <f>IF(A446="","",COUNTIF('AFA Rates'!$A$5:$A$1004,A446))</f>
        <v/>
      </c>
      <c r="O446" s="54" t="n"/>
      <c r="P446" s="5" t="n"/>
      <c r="Q446" s="5" t="n"/>
      <c r="R446">
        <f>IF(AND(A446&lt;&gt;"",B446="Paused"),COUNTIFS($A$5:A446,"&lt;&gt;",$B$5:B446,"Paused"),"")</f>
        <v/>
      </c>
      <c r="S446">
        <f>IF(M446="Yes",COUNTIF($M$5:M446,"Yes"),"")</f>
        <v/>
      </c>
    </row>
    <row r="447">
      <c r="A447" s="5" t="n"/>
      <c r="B447" s="51" t="n"/>
      <c r="C447" s="5" t="n"/>
      <c r="D447" s="52" t="n"/>
      <c r="E447" s="52" t="n"/>
      <c r="F447" s="52" t="n"/>
      <c r="G447" s="52" t="n"/>
      <c r="H447" s="52" t="n"/>
      <c r="I447" s="52" t="n"/>
      <c r="J447" s="52" t="n"/>
      <c r="K447" s="52" t="n"/>
      <c r="L447" s="51" t="n"/>
      <c r="M447" s="53">
        <f>IF(A447="","",IF(COUNTIF('AFA Rates'!$A$5:$A$1004,A447)&gt;0,"Yes","No"))</f>
        <v/>
      </c>
      <c r="N447" s="53">
        <f>IF(A447="","",COUNTIF('AFA Rates'!$A$5:$A$1004,A447))</f>
        <v/>
      </c>
      <c r="O447" s="54" t="n"/>
      <c r="P447" s="5" t="n"/>
      <c r="Q447" s="5" t="n"/>
      <c r="R447">
        <f>IF(AND(A447&lt;&gt;"",B447="Paused"),COUNTIFS($A$5:A447,"&lt;&gt;",$B$5:B447,"Paused"),"")</f>
        <v/>
      </c>
      <c r="S447">
        <f>IF(M447="Yes",COUNTIF($M$5:M447,"Yes"),"")</f>
        <v/>
      </c>
    </row>
    <row r="448">
      <c r="A448" s="5" t="n"/>
      <c r="B448" s="51" t="n"/>
      <c r="C448" s="5" t="n"/>
      <c r="D448" s="52" t="n"/>
      <c r="E448" s="52" t="n"/>
      <c r="F448" s="52" t="n"/>
      <c r="G448" s="52" t="n"/>
      <c r="H448" s="52" t="n"/>
      <c r="I448" s="52" t="n"/>
      <c r="J448" s="52" t="n"/>
      <c r="K448" s="52" t="n"/>
      <c r="L448" s="51" t="n"/>
      <c r="M448" s="53">
        <f>IF(A448="","",IF(COUNTIF('AFA Rates'!$A$5:$A$1004,A448)&gt;0,"Yes","No"))</f>
        <v/>
      </c>
      <c r="N448" s="53">
        <f>IF(A448="","",COUNTIF('AFA Rates'!$A$5:$A$1004,A448))</f>
        <v/>
      </c>
      <c r="O448" s="54" t="n"/>
      <c r="P448" s="5" t="n"/>
      <c r="Q448" s="5" t="n"/>
      <c r="R448">
        <f>IF(AND(A448&lt;&gt;"",B448="Paused"),COUNTIFS($A$5:A448,"&lt;&gt;",$B$5:B448,"Paused"),"")</f>
        <v/>
      </c>
      <c r="S448">
        <f>IF(M448="Yes",COUNTIF($M$5:M448,"Yes"),"")</f>
        <v/>
      </c>
    </row>
    <row r="449">
      <c r="A449" s="5" t="n"/>
      <c r="B449" s="51" t="n"/>
      <c r="C449" s="5" t="n"/>
      <c r="D449" s="52" t="n"/>
      <c r="E449" s="52" t="n"/>
      <c r="F449" s="52" t="n"/>
      <c r="G449" s="52" t="n"/>
      <c r="H449" s="52" t="n"/>
      <c r="I449" s="52" t="n"/>
      <c r="J449" s="52" t="n"/>
      <c r="K449" s="52" t="n"/>
      <c r="L449" s="51" t="n"/>
      <c r="M449" s="53">
        <f>IF(A449="","",IF(COUNTIF('AFA Rates'!$A$5:$A$1004,A449)&gt;0,"Yes","No"))</f>
        <v/>
      </c>
      <c r="N449" s="53">
        <f>IF(A449="","",COUNTIF('AFA Rates'!$A$5:$A$1004,A449))</f>
        <v/>
      </c>
      <c r="O449" s="54" t="n"/>
      <c r="P449" s="5" t="n"/>
      <c r="Q449" s="5" t="n"/>
      <c r="R449">
        <f>IF(AND(A449&lt;&gt;"",B449="Paused"),COUNTIFS($A$5:A449,"&lt;&gt;",$B$5:B449,"Paused"),"")</f>
        <v/>
      </c>
      <c r="S449">
        <f>IF(M449="Yes",COUNTIF($M$5:M449,"Yes"),"")</f>
        <v/>
      </c>
    </row>
    <row r="450">
      <c r="A450" s="5" t="n"/>
      <c r="B450" s="51" t="n"/>
      <c r="C450" s="5" t="n"/>
      <c r="D450" s="52" t="n"/>
      <c r="E450" s="52" t="n"/>
      <c r="F450" s="52" t="n"/>
      <c r="G450" s="52" t="n"/>
      <c r="H450" s="52" t="n"/>
      <c r="I450" s="52" t="n"/>
      <c r="J450" s="52" t="n"/>
      <c r="K450" s="52" t="n"/>
      <c r="L450" s="51" t="n"/>
      <c r="M450" s="53">
        <f>IF(A450="","",IF(COUNTIF('AFA Rates'!$A$5:$A$1004,A450)&gt;0,"Yes","No"))</f>
        <v/>
      </c>
      <c r="N450" s="53">
        <f>IF(A450="","",COUNTIF('AFA Rates'!$A$5:$A$1004,A450))</f>
        <v/>
      </c>
      <c r="O450" s="54" t="n"/>
      <c r="P450" s="5" t="n"/>
      <c r="Q450" s="5" t="n"/>
      <c r="R450">
        <f>IF(AND(A450&lt;&gt;"",B450="Paused"),COUNTIFS($A$5:A450,"&lt;&gt;",$B$5:B450,"Paused"),"")</f>
        <v/>
      </c>
      <c r="S450">
        <f>IF(M450="Yes",COUNTIF($M$5:M450,"Yes"),"")</f>
        <v/>
      </c>
    </row>
    <row r="451">
      <c r="A451" s="5" t="n"/>
      <c r="B451" s="51" t="n"/>
      <c r="C451" s="5" t="n"/>
      <c r="D451" s="52" t="n"/>
      <c r="E451" s="52" t="n"/>
      <c r="F451" s="52" t="n"/>
      <c r="G451" s="52" t="n"/>
      <c r="H451" s="52" t="n"/>
      <c r="I451" s="52" t="n"/>
      <c r="J451" s="52" t="n"/>
      <c r="K451" s="52" t="n"/>
      <c r="L451" s="51" t="n"/>
      <c r="M451" s="53">
        <f>IF(A451="","",IF(COUNTIF('AFA Rates'!$A$5:$A$1004,A451)&gt;0,"Yes","No"))</f>
        <v/>
      </c>
      <c r="N451" s="53">
        <f>IF(A451="","",COUNTIF('AFA Rates'!$A$5:$A$1004,A451))</f>
        <v/>
      </c>
      <c r="O451" s="54" t="n"/>
      <c r="P451" s="5" t="n"/>
      <c r="Q451" s="5" t="n"/>
      <c r="R451">
        <f>IF(AND(A451&lt;&gt;"",B451="Paused"),COUNTIFS($A$5:A451,"&lt;&gt;",$B$5:B451,"Paused"),"")</f>
        <v/>
      </c>
      <c r="S451">
        <f>IF(M451="Yes",COUNTIF($M$5:M451,"Yes"),"")</f>
        <v/>
      </c>
    </row>
    <row r="452">
      <c r="A452" s="5" t="n"/>
      <c r="B452" s="51" t="n"/>
      <c r="C452" s="5" t="n"/>
      <c r="D452" s="52" t="n"/>
      <c r="E452" s="52" t="n"/>
      <c r="F452" s="52" t="n"/>
      <c r="G452" s="52" t="n"/>
      <c r="H452" s="52" t="n"/>
      <c r="I452" s="52" t="n"/>
      <c r="J452" s="52" t="n"/>
      <c r="K452" s="52" t="n"/>
      <c r="L452" s="51" t="n"/>
      <c r="M452" s="53">
        <f>IF(A452="","",IF(COUNTIF('AFA Rates'!$A$5:$A$1004,A452)&gt;0,"Yes","No"))</f>
        <v/>
      </c>
      <c r="N452" s="53">
        <f>IF(A452="","",COUNTIF('AFA Rates'!$A$5:$A$1004,A452))</f>
        <v/>
      </c>
      <c r="O452" s="54" t="n"/>
      <c r="P452" s="5" t="n"/>
      <c r="Q452" s="5" t="n"/>
      <c r="R452">
        <f>IF(AND(A452&lt;&gt;"",B452="Paused"),COUNTIFS($A$5:A452,"&lt;&gt;",$B$5:B452,"Paused"),"")</f>
        <v/>
      </c>
      <c r="S452">
        <f>IF(M452="Yes",COUNTIF($M$5:M452,"Yes"),"")</f>
        <v/>
      </c>
    </row>
    <row r="453">
      <c r="A453" s="5" t="n"/>
      <c r="B453" s="51" t="n"/>
      <c r="C453" s="5" t="n"/>
      <c r="D453" s="52" t="n"/>
      <c r="E453" s="52" t="n"/>
      <c r="F453" s="52" t="n"/>
      <c r="G453" s="52" t="n"/>
      <c r="H453" s="52" t="n"/>
      <c r="I453" s="52" t="n"/>
      <c r="J453" s="52" t="n"/>
      <c r="K453" s="52" t="n"/>
      <c r="L453" s="51" t="n"/>
      <c r="M453" s="53">
        <f>IF(A453="","",IF(COUNTIF('AFA Rates'!$A$5:$A$1004,A453)&gt;0,"Yes","No"))</f>
        <v/>
      </c>
      <c r="N453" s="53">
        <f>IF(A453="","",COUNTIF('AFA Rates'!$A$5:$A$1004,A453))</f>
        <v/>
      </c>
      <c r="O453" s="54" t="n"/>
      <c r="P453" s="5" t="n"/>
      <c r="Q453" s="5" t="n"/>
      <c r="R453">
        <f>IF(AND(A453&lt;&gt;"",B453="Paused"),COUNTIFS($A$5:A453,"&lt;&gt;",$B$5:B453,"Paused"),"")</f>
        <v/>
      </c>
      <c r="S453">
        <f>IF(M453="Yes",COUNTIF($M$5:M453,"Yes"),"")</f>
        <v/>
      </c>
    </row>
    <row r="454">
      <c r="A454" s="5" t="n"/>
      <c r="B454" s="51" t="n"/>
      <c r="C454" s="5" t="n"/>
      <c r="D454" s="52" t="n"/>
      <c r="E454" s="52" t="n"/>
      <c r="F454" s="52" t="n"/>
      <c r="G454" s="52" t="n"/>
      <c r="H454" s="52" t="n"/>
      <c r="I454" s="52" t="n"/>
      <c r="J454" s="52" t="n"/>
      <c r="K454" s="52" t="n"/>
      <c r="L454" s="51" t="n"/>
      <c r="M454" s="53">
        <f>IF(A454="","",IF(COUNTIF('AFA Rates'!$A$5:$A$1004,A454)&gt;0,"Yes","No"))</f>
        <v/>
      </c>
      <c r="N454" s="53">
        <f>IF(A454="","",COUNTIF('AFA Rates'!$A$5:$A$1004,A454))</f>
        <v/>
      </c>
      <c r="O454" s="54" t="n"/>
      <c r="P454" s="5" t="n"/>
      <c r="Q454" s="5" t="n"/>
      <c r="R454">
        <f>IF(AND(A454&lt;&gt;"",B454="Paused"),COUNTIFS($A$5:A454,"&lt;&gt;",$B$5:B454,"Paused"),"")</f>
        <v/>
      </c>
      <c r="S454">
        <f>IF(M454="Yes",COUNTIF($M$5:M454,"Yes"),"")</f>
        <v/>
      </c>
    </row>
    <row r="455">
      <c r="A455" s="5" t="n"/>
      <c r="B455" s="51" t="n"/>
      <c r="C455" s="5" t="n"/>
      <c r="D455" s="52" t="n"/>
      <c r="E455" s="52" t="n"/>
      <c r="F455" s="52" t="n"/>
      <c r="G455" s="52" t="n"/>
      <c r="H455" s="52" t="n"/>
      <c r="I455" s="52" t="n"/>
      <c r="J455" s="52" t="n"/>
      <c r="K455" s="52" t="n"/>
      <c r="L455" s="51" t="n"/>
      <c r="M455" s="53">
        <f>IF(A455="","",IF(COUNTIF('AFA Rates'!$A$5:$A$1004,A455)&gt;0,"Yes","No"))</f>
        <v/>
      </c>
      <c r="N455" s="53">
        <f>IF(A455="","",COUNTIF('AFA Rates'!$A$5:$A$1004,A455))</f>
        <v/>
      </c>
      <c r="O455" s="54" t="n"/>
      <c r="P455" s="5" t="n"/>
      <c r="Q455" s="5" t="n"/>
      <c r="R455">
        <f>IF(AND(A455&lt;&gt;"",B455="Paused"),COUNTIFS($A$5:A455,"&lt;&gt;",$B$5:B455,"Paused"),"")</f>
        <v/>
      </c>
      <c r="S455">
        <f>IF(M455="Yes",COUNTIF($M$5:M455,"Yes"),"")</f>
        <v/>
      </c>
    </row>
    <row r="456">
      <c r="A456" s="5" t="n"/>
      <c r="B456" s="51" t="n"/>
      <c r="C456" s="5" t="n"/>
      <c r="D456" s="52" t="n"/>
      <c r="E456" s="52" t="n"/>
      <c r="F456" s="52" t="n"/>
      <c r="G456" s="52" t="n"/>
      <c r="H456" s="52" t="n"/>
      <c r="I456" s="52" t="n"/>
      <c r="J456" s="52" t="n"/>
      <c r="K456" s="52" t="n"/>
      <c r="L456" s="51" t="n"/>
      <c r="M456" s="53">
        <f>IF(A456="","",IF(COUNTIF('AFA Rates'!$A$5:$A$1004,A456)&gt;0,"Yes","No"))</f>
        <v/>
      </c>
      <c r="N456" s="53">
        <f>IF(A456="","",COUNTIF('AFA Rates'!$A$5:$A$1004,A456))</f>
        <v/>
      </c>
      <c r="O456" s="54" t="n"/>
      <c r="P456" s="5" t="n"/>
      <c r="Q456" s="5" t="n"/>
      <c r="R456">
        <f>IF(AND(A456&lt;&gt;"",B456="Paused"),COUNTIFS($A$5:A456,"&lt;&gt;",$B$5:B456,"Paused"),"")</f>
        <v/>
      </c>
      <c r="S456">
        <f>IF(M456="Yes",COUNTIF($M$5:M456,"Yes"),"")</f>
        <v/>
      </c>
    </row>
    <row r="457">
      <c r="A457" s="5" t="n"/>
      <c r="B457" s="51" t="n"/>
      <c r="C457" s="5" t="n"/>
      <c r="D457" s="52" t="n"/>
      <c r="E457" s="52" t="n"/>
      <c r="F457" s="52" t="n"/>
      <c r="G457" s="52" t="n"/>
      <c r="H457" s="52" t="n"/>
      <c r="I457" s="52" t="n"/>
      <c r="J457" s="52" t="n"/>
      <c r="K457" s="52" t="n"/>
      <c r="L457" s="51" t="n"/>
      <c r="M457" s="53">
        <f>IF(A457="","",IF(COUNTIF('AFA Rates'!$A$5:$A$1004,A457)&gt;0,"Yes","No"))</f>
        <v/>
      </c>
      <c r="N457" s="53">
        <f>IF(A457="","",COUNTIF('AFA Rates'!$A$5:$A$1004,A457))</f>
        <v/>
      </c>
      <c r="O457" s="54" t="n"/>
      <c r="P457" s="5" t="n"/>
      <c r="Q457" s="5" t="n"/>
      <c r="R457">
        <f>IF(AND(A457&lt;&gt;"",B457="Paused"),COUNTIFS($A$5:A457,"&lt;&gt;",$B$5:B457,"Paused"),"")</f>
        <v/>
      </c>
      <c r="S457">
        <f>IF(M457="Yes",COUNTIF($M$5:M457,"Yes"),"")</f>
        <v/>
      </c>
    </row>
    <row r="458">
      <c r="A458" s="5" t="n"/>
      <c r="B458" s="51" t="n"/>
      <c r="C458" s="5" t="n"/>
      <c r="D458" s="52" t="n"/>
      <c r="E458" s="52" t="n"/>
      <c r="F458" s="52" t="n"/>
      <c r="G458" s="52" t="n"/>
      <c r="H458" s="52" t="n"/>
      <c r="I458" s="52" t="n"/>
      <c r="J458" s="52" t="n"/>
      <c r="K458" s="52" t="n"/>
      <c r="L458" s="51" t="n"/>
      <c r="M458" s="53">
        <f>IF(A458="","",IF(COUNTIF('AFA Rates'!$A$5:$A$1004,A458)&gt;0,"Yes","No"))</f>
        <v/>
      </c>
      <c r="N458" s="53">
        <f>IF(A458="","",COUNTIF('AFA Rates'!$A$5:$A$1004,A458))</f>
        <v/>
      </c>
      <c r="O458" s="54" t="n"/>
      <c r="P458" s="5" t="n"/>
      <c r="Q458" s="5" t="n"/>
      <c r="R458">
        <f>IF(AND(A458&lt;&gt;"",B458="Paused"),COUNTIFS($A$5:A458,"&lt;&gt;",$B$5:B458,"Paused"),"")</f>
        <v/>
      </c>
      <c r="S458">
        <f>IF(M458="Yes",COUNTIF($M$5:M458,"Yes"),"")</f>
        <v/>
      </c>
    </row>
    <row r="459">
      <c r="A459" s="5" t="n"/>
      <c r="B459" s="51" t="n"/>
      <c r="C459" s="5" t="n"/>
      <c r="D459" s="52" t="n"/>
      <c r="E459" s="52" t="n"/>
      <c r="F459" s="52" t="n"/>
      <c r="G459" s="52" t="n"/>
      <c r="H459" s="52" t="n"/>
      <c r="I459" s="52" t="n"/>
      <c r="J459" s="52" t="n"/>
      <c r="K459" s="52" t="n"/>
      <c r="L459" s="51" t="n"/>
      <c r="M459" s="53">
        <f>IF(A459="","",IF(COUNTIF('AFA Rates'!$A$5:$A$1004,A459)&gt;0,"Yes","No"))</f>
        <v/>
      </c>
      <c r="N459" s="53">
        <f>IF(A459="","",COUNTIF('AFA Rates'!$A$5:$A$1004,A459))</f>
        <v/>
      </c>
      <c r="O459" s="54" t="n"/>
      <c r="P459" s="5" t="n"/>
      <c r="Q459" s="5" t="n"/>
      <c r="R459">
        <f>IF(AND(A459&lt;&gt;"",B459="Paused"),COUNTIFS($A$5:A459,"&lt;&gt;",$B$5:B459,"Paused"),"")</f>
        <v/>
      </c>
      <c r="S459">
        <f>IF(M459="Yes",COUNTIF($M$5:M459,"Yes"),"")</f>
        <v/>
      </c>
    </row>
    <row r="460">
      <c r="A460" s="5" t="n"/>
      <c r="B460" s="51" t="n"/>
      <c r="C460" s="5" t="n"/>
      <c r="D460" s="52" t="n"/>
      <c r="E460" s="52" t="n"/>
      <c r="F460" s="52" t="n"/>
      <c r="G460" s="52" t="n"/>
      <c r="H460" s="52" t="n"/>
      <c r="I460" s="52" t="n"/>
      <c r="J460" s="52" t="n"/>
      <c r="K460" s="52" t="n"/>
      <c r="L460" s="51" t="n"/>
      <c r="M460" s="53">
        <f>IF(A460="","",IF(COUNTIF('AFA Rates'!$A$5:$A$1004,A460)&gt;0,"Yes","No"))</f>
        <v/>
      </c>
      <c r="N460" s="53">
        <f>IF(A460="","",COUNTIF('AFA Rates'!$A$5:$A$1004,A460))</f>
        <v/>
      </c>
      <c r="O460" s="54" t="n"/>
      <c r="P460" s="5" t="n"/>
      <c r="Q460" s="5" t="n"/>
      <c r="R460">
        <f>IF(AND(A460&lt;&gt;"",B460="Paused"),COUNTIFS($A$5:A460,"&lt;&gt;",$B$5:B460,"Paused"),"")</f>
        <v/>
      </c>
      <c r="S460">
        <f>IF(M460="Yes",COUNTIF($M$5:M460,"Yes"),"")</f>
        <v/>
      </c>
    </row>
    <row r="461">
      <c r="A461" s="5" t="n"/>
      <c r="B461" s="51" t="n"/>
      <c r="C461" s="5" t="n"/>
      <c r="D461" s="52" t="n"/>
      <c r="E461" s="52" t="n"/>
      <c r="F461" s="52" t="n"/>
      <c r="G461" s="52" t="n"/>
      <c r="H461" s="52" t="n"/>
      <c r="I461" s="52" t="n"/>
      <c r="J461" s="52" t="n"/>
      <c r="K461" s="52" t="n"/>
      <c r="L461" s="51" t="n"/>
      <c r="M461" s="53">
        <f>IF(A461="","",IF(COUNTIF('AFA Rates'!$A$5:$A$1004,A461)&gt;0,"Yes","No"))</f>
        <v/>
      </c>
      <c r="N461" s="53">
        <f>IF(A461="","",COUNTIF('AFA Rates'!$A$5:$A$1004,A461))</f>
        <v/>
      </c>
      <c r="O461" s="54" t="n"/>
      <c r="P461" s="5" t="n"/>
      <c r="Q461" s="5" t="n"/>
      <c r="R461">
        <f>IF(AND(A461&lt;&gt;"",B461="Paused"),COUNTIFS($A$5:A461,"&lt;&gt;",$B$5:B461,"Paused"),"")</f>
        <v/>
      </c>
      <c r="S461">
        <f>IF(M461="Yes",COUNTIF($M$5:M461,"Yes"),"")</f>
        <v/>
      </c>
    </row>
    <row r="462">
      <c r="A462" s="5" t="n"/>
      <c r="B462" s="51" t="n"/>
      <c r="C462" s="5" t="n"/>
      <c r="D462" s="52" t="n"/>
      <c r="E462" s="52" t="n"/>
      <c r="F462" s="52" t="n"/>
      <c r="G462" s="52" t="n"/>
      <c r="H462" s="52" t="n"/>
      <c r="I462" s="52" t="n"/>
      <c r="J462" s="52" t="n"/>
      <c r="K462" s="52" t="n"/>
      <c r="L462" s="51" t="n"/>
      <c r="M462" s="53">
        <f>IF(A462="","",IF(COUNTIF('AFA Rates'!$A$5:$A$1004,A462)&gt;0,"Yes","No"))</f>
        <v/>
      </c>
      <c r="N462" s="53">
        <f>IF(A462="","",COUNTIF('AFA Rates'!$A$5:$A$1004,A462))</f>
        <v/>
      </c>
      <c r="O462" s="54" t="n"/>
      <c r="P462" s="5" t="n"/>
      <c r="Q462" s="5" t="n"/>
      <c r="R462">
        <f>IF(AND(A462&lt;&gt;"",B462="Paused"),COUNTIFS($A$5:A462,"&lt;&gt;",$B$5:B462,"Paused"),"")</f>
        <v/>
      </c>
      <c r="S462">
        <f>IF(M462="Yes",COUNTIF($M$5:M462,"Yes"),"")</f>
        <v/>
      </c>
    </row>
    <row r="463">
      <c r="A463" s="5" t="n"/>
      <c r="B463" s="51" t="n"/>
      <c r="C463" s="5" t="n"/>
      <c r="D463" s="52" t="n"/>
      <c r="E463" s="52" t="n"/>
      <c r="F463" s="52" t="n"/>
      <c r="G463" s="52" t="n"/>
      <c r="H463" s="52" t="n"/>
      <c r="I463" s="52" t="n"/>
      <c r="J463" s="52" t="n"/>
      <c r="K463" s="52" t="n"/>
      <c r="L463" s="51" t="n"/>
      <c r="M463" s="53">
        <f>IF(A463="","",IF(COUNTIF('AFA Rates'!$A$5:$A$1004,A463)&gt;0,"Yes","No"))</f>
        <v/>
      </c>
      <c r="N463" s="53">
        <f>IF(A463="","",COUNTIF('AFA Rates'!$A$5:$A$1004,A463))</f>
        <v/>
      </c>
      <c r="O463" s="54" t="n"/>
      <c r="P463" s="5" t="n"/>
      <c r="Q463" s="5" t="n"/>
      <c r="R463">
        <f>IF(AND(A463&lt;&gt;"",B463="Paused"),COUNTIFS($A$5:A463,"&lt;&gt;",$B$5:B463,"Paused"),"")</f>
        <v/>
      </c>
      <c r="S463">
        <f>IF(M463="Yes",COUNTIF($M$5:M463,"Yes"),"")</f>
        <v/>
      </c>
    </row>
    <row r="464">
      <c r="A464" s="5" t="n"/>
      <c r="B464" s="51" t="n"/>
      <c r="C464" s="5" t="n"/>
      <c r="D464" s="52" t="n"/>
      <c r="E464" s="52" t="n"/>
      <c r="F464" s="52" t="n"/>
      <c r="G464" s="52" t="n"/>
      <c r="H464" s="52" t="n"/>
      <c r="I464" s="52" t="n"/>
      <c r="J464" s="52" t="n"/>
      <c r="K464" s="52" t="n"/>
      <c r="L464" s="51" t="n"/>
      <c r="M464" s="53">
        <f>IF(A464="","",IF(COUNTIF('AFA Rates'!$A$5:$A$1004,A464)&gt;0,"Yes","No"))</f>
        <v/>
      </c>
      <c r="N464" s="53">
        <f>IF(A464="","",COUNTIF('AFA Rates'!$A$5:$A$1004,A464))</f>
        <v/>
      </c>
      <c r="O464" s="54" t="n"/>
      <c r="P464" s="5" t="n"/>
      <c r="Q464" s="5" t="n"/>
      <c r="R464">
        <f>IF(AND(A464&lt;&gt;"",B464="Paused"),COUNTIFS($A$5:A464,"&lt;&gt;",$B$5:B464,"Paused"),"")</f>
        <v/>
      </c>
      <c r="S464">
        <f>IF(M464="Yes",COUNTIF($M$5:M464,"Yes"),"")</f>
        <v/>
      </c>
    </row>
    <row r="465">
      <c r="A465" s="5" t="n"/>
      <c r="B465" s="51" t="n"/>
      <c r="C465" s="5" t="n"/>
      <c r="D465" s="52" t="n"/>
      <c r="E465" s="52" t="n"/>
      <c r="F465" s="52" t="n"/>
      <c r="G465" s="52" t="n"/>
      <c r="H465" s="52" t="n"/>
      <c r="I465" s="52" t="n"/>
      <c r="J465" s="52" t="n"/>
      <c r="K465" s="52" t="n"/>
      <c r="L465" s="51" t="n"/>
      <c r="M465" s="53">
        <f>IF(A465="","",IF(COUNTIF('AFA Rates'!$A$5:$A$1004,A465)&gt;0,"Yes","No"))</f>
        <v/>
      </c>
      <c r="N465" s="53">
        <f>IF(A465="","",COUNTIF('AFA Rates'!$A$5:$A$1004,A465))</f>
        <v/>
      </c>
      <c r="O465" s="54" t="n"/>
      <c r="P465" s="5" t="n"/>
      <c r="Q465" s="5" t="n"/>
      <c r="R465">
        <f>IF(AND(A465&lt;&gt;"",B465="Paused"),COUNTIFS($A$5:A465,"&lt;&gt;",$B$5:B465,"Paused"),"")</f>
        <v/>
      </c>
      <c r="S465">
        <f>IF(M465="Yes",COUNTIF($M$5:M465,"Yes"),"")</f>
        <v/>
      </c>
    </row>
    <row r="466">
      <c r="A466" s="5" t="n"/>
      <c r="B466" s="51" t="n"/>
      <c r="C466" s="5" t="n"/>
      <c r="D466" s="52" t="n"/>
      <c r="E466" s="52" t="n"/>
      <c r="F466" s="52" t="n"/>
      <c r="G466" s="52" t="n"/>
      <c r="H466" s="52" t="n"/>
      <c r="I466" s="52" t="n"/>
      <c r="J466" s="52" t="n"/>
      <c r="K466" s="52" t="n"/>
      <c r="L466" s="51" t="n"/>
      <c r="M466" s="53">
        <f>IF(A466="","",IF(COUNTIF('AFA Rates'!$A$5:$A$1004,A466)&gt;0,"Yes","No"))</f>
        <v/>
      </c>
      <c r="N466" s="53">
        <f>IF(A466="","",COUNTIF('AFA Rates'!$A$5:$A$1004,A466))</f>
        <v/>
      </c>
      <c r="O466" s="54" t="n"/>
      <c r="P466" s="5" t="n"/>
      <c r="Q466" s="5" t="n"/>
      <c r="R466">
        <f>IF(AND(A466&lt;&gt;"",B466="Paused"),COUNTIFS($A$5:A466,"&lt;&gt;",$B$5:B466,"Paused"),"")</f>
        <v/>
      </c>
      <c r="S466">
        <f>IF(M466="Yes",COUNTIF($M$5:M466,"Yes"),"")</f>
        <v/>
      </c>
    </row>
    <row r="467">
      <c r="A467" s="5" t="n"/>
      <c r="B467" s="51" t="n"/>
      <c r="C467" s="5" t="n"/>
      <c r="D467" s="52" t="n"/>
      <c r="E467" s="52" t="n"/>
      <c r="F467" s="52" t="n"/>
      <c r="G467" s="52" t="n"/>
      <c r="H467" s="52" t="n"/>
      <c r="I467" s="52" t="n"/>
      <c r="J467" s="52" t="n"/>
      <c r="K467" s="52" t="n"/>
      <c r="L467" s="51" t="n"/>
      <c r="M467" s="53">
        <f>IF(A467="","",IF(COUNTIF('AFA Rates'!$A$5:$A$1004,A467)&gt;0,"Yes","No"))</f>
        <v/>
      </c>
      <c r="N467" s="53">
        <f>IF(A467="","",COUNTIF('AFA Rates'!$A$5:$A$1004,A467))</f>
        <v/>
      </c>
      <c r="O467" s="54" t="n"/>
      <c r="P467" s="5" t="n"/>
      <c r="Q467" s="5" t="n"/>
      <c r="R467">
        <f>IF(AND(A467&lt;&gt;"",B467="Paused"),COUNTIFS($A$5:A467,"&lt;&gt;",$B$5:B467,"Paused"),"")</f>
        <v/>
      </c>
      <c r="S467">
        <f>IF(M467="Yes",COUNTIF($M$5:M467,"Yes"),"")</f>
        <v/>
      </c>
    </row>
    <row r="468">
      <c r="A468" s="5" t="n"/>
      <c r="B468" s="51" t="n"/>
      <c r="C468" s="5" t="n"/>
      <c r="D468" s="52" t="n"/>
      <c r="E468" s="52" t="n"/>
      <c r="F468" s="52" t="n"/>
      <c r="G468" s="52" t="n"/>
      <c r="H468" s="52" t="n"/>
      <c r="I468" s="52" t="n"/>
      <c r="J468" s="52" t="n"/>
      <c r="K468" s="52" t="n"/>
      <c r="L468" s="51" t="n"/>
      <c r="M468" s="53">
        <f>IF(A468="","",IF(COUNTIF('AFA Rates'!$A$5:$A$1004,A468)&gt;0,"Yes","No"))</f>
        <v/>
      </c>
      <c r="N468" s="53">
        <f>IF(A468="","",COUNTIF('AFA Rates'!$A$5:$A$1004,A468))</f>
        <v/>
      </c>
      <c r="O468" s="54" t="n"/>
      <c r="P468" s="5" t="n"/>
      <c r="Q468" s="5" t="n"/>
      <c r="R468">
        <f>IF(AND(A468&lt;&gt;"",B468="Paused"),COUNTIFS($A$5:A468,"&lt;&gt;",$B$5:B468,"Paused"),"")</f>
        <v/>
      </c>
      <c r="S468">
        <f>IF(M468="Yes",COUNTIF($M$5:M468,"Yes"),"")</f>
        <v/>
      </c>
    </row>
    <row r="469">
      <c r="A469" s="5" t="n"/>
      <c r="B469" s="51" t="n"/>
      <c r="C469" s="5" t="n"/>
      <c r="D469" s="52" t="n"/>
      <c r="E469" s="52" t="n"/>
      <c r="F469" s="52" t="n"/>
      <c r="G469" s="52" t="n"/>
      <c r="H469" s="52" t="n"/>
      <c r="I469" s="52" t="n"/>
      <c r="J469" s="52" t="n"/>
      <c r="K469" s="52" t="n"/>
      <c r="L469" s="51" t="n"/>
      <c r="M469" s="53">
        <f>IF(A469="","",IF(COUNTIF('AFA Rates'!$A$5:$A$1004,A469)&gt;0,"Yes","No"))</f>
        <v/>
      </c>
      <c r="N469" s="53">
        <f>IF(A469="","",COUNTIF('AFA Rates'!$A$5:$A$1004,A469))</f>
        <v/>
      </c>
      <c r="O469" s="54" t="n"/>
      <c r="P469" s="5" t="n"/>
      <c r="Q469" s="5" t="n"/>
      <c r="R469">
        <f>IF(AND(A469&lt;&gt;"",B469="Paused"),COUNTIFS($A$5:A469,"&lt;&gt;",$B$5:B469,"Paused"),"")</f>
        <v/>
      </c>
      <c r="S469">
        <f>IF(M469="Yes",COUNTIF($M$5:M469,"Yes"),"")</f>
        <v/>
      </c>
    </row>
    <row r="470">
      <c r="A470" s="5" t="n"/>
      <c r="B470" s="51" t="n"/>
      <c r="C470" s="5" t="n"/>
      <c r="D470" s="52" t="n"/>
      <c r="E470" s="52" t="n"/>
      <c r="F470" s="52" t="n"/>
      <c r="G470" s="52" t="n"/>
      <c r="H470" s="52" t="n"/>
      <c r="I470" s="52" t="n"/>
      <c r="J470" s="52" t="n"/>
      <c r="K470" s="52" t="n"/>
      <c r="L470" s="51" t="n"/>
      <c r="M470" s="53">
        <f>IF(A470="","",IF(COUNTIF('AFA Rates'!$A$5:$A$1004,A470)&gt;0,"Yes","No"))</f>
        <v/>
      </c>
      <c r="N470" s="53">
        <f>IF(A470="","",COUNTIF('AFA Rates'!$A$5:$A$1004,A470))</f>
        <v/>
      </c>
      <c r="O470" s="54" t="n"/>
      <c r="P470" s="5" t="n"/>
      <c r="Q470" s="5" t="n"/>
      <c r="R470">
        <f>IF(AND(A470&lt;&gt;"",B470="Paused"),COUNTIFS($A$5:A470,"&lt;&gt;",$B$5:B470,"Paused"),"")</f>
        <v/>
      </c>
      <c r="S470">
        <f>IF(M470="Yes",COUNTIF($M$5:M470,"Yes"),"")</f>
        <v/>
      </c>
    </row>
    <row r="471">
      <c r="A471" s="5" t="n"/>
      <c r="B471" s="51" t="n"/>
      <c r="C471" s="5" t="n"/>
      <c r="D471" s="52" t="n"/>
      <c r="E471" s="52" t="n"/>
      <c r="F471" s="52" t="n"/>
      <c r="G471" s="52" t="n"/>
      <c r="H471" s="52" t="n"/>
      <c r="I471" s="52" t="n"/>
      <c r="J471" s="52" t="n"/>
      <c r="K471" s="52" t="n"/>
      <c r="L471" s="51" t="n"/>
      <c r="M471" s="53">
        <f>IF(A471="","",IF(COUNTIF('AFA Rates'!$A$5:$A$1004,A471)&gt;0,"Yes","No"))</f>
        <v/>
      </c>
      <c r="N471" s="53">
        <f>IF(A471="","",COUNTIF('AFA Rates'!$A$5:$A$1004,A471))</f>
        <v/>
      </c>
      <c r="O471" s="54" t="n"/>
      <c r="P471" s="5" t="n"/>
      <c r="Q471" s="5" t="n"/>
      <c r="R471">
        <f>IF(AND(A471&lt;&gt;"",B471="Paused"),COUNTIFS($A$5:A471,"&lt;&gt;",$B$5:B471,"Paused"),"")</f>
        <v/>
      </c>
      <c r="S471">
        <f>IF(M471="Yes",COUNTIF($M$5:M471,"Yes"),"")</f>
        <v/>
      </c>
    </row>
    <row r="472">
      <c r="A472" s="5" t="n"/>
      <c r="B472" s="51" t="n"/>
      <c r="C472" s="5" t="n"/>
      <c r="D472" s="52" t="n"/>
      <c r="E472" s="52" t="n"/>
      <c r="F472" s="52" t="n"/>
      <c r="G472" s="52" t="n"/>
      <c r="H472" s="52" t="n"/>
      <c r="I472" s="52" t="n"/>
      <c r="J472" s="52" t="n"/>
      <c r="K472" s="52" t="n"/>
      <c r="L472" s="51" t="n"/>
      <c r="M472" s="53">
        <f>IF(A472="","",IF(COUNTIF('AFA Rates'!$A$5:$A$1004,A472)&gt;0,"Yes","No"))</f>
        <v/>
      </c>
      <c r="N472" s="53">
        <f>IF(A472="","",COUNTIF('AFA Rates'!$A$5:$A$1004,A472))</f>
        <v/>
      </c>
      <c r="O472" s="54" t="n"/>
      <c r="P472" s="5" t="n"/>
      <c r="Q472" s="5" t="n"/>
      <c r="R472">
        <f>IF(AND(A472&lt;&gt;"",B472="Paused"),COUNTIFS($A$5:A472,"&lt;&gt;",$B$5:B472,"Paused"),"")</f>
        <v/>
      </c>
      <c r="S472">
        <f>IF(M472="Yes",COUNTIF($M$5:M472,"Yes"),"")</f>
        <v/>
      </c>
    </row>
    <row r="473">
      <c r="A473" s="5" t="n"/>
      <c r="B473" s="51" t="n"/>
      <c r="C473" s="5" t="n"/>
      <c r="D473" s="52" t="n"/>
      <c r="E473" s="52" t="n"/>
      <c r="F473" s="52" t="n"/>
      <c r="G473" s="52" t="n"/>
      <c r="H473" s="52" t="n"/>
      <c r="I473" s="52" t="n"/>
      <c r="J473" s="52" t="n"/>
      <c r="K473" s="52" t="n"/>
      <c r="L473" s="51" t="n"/>
      <c r="M473" s="53">
        <f>IF(A473="","",IF(COUNTIF('AFA Rates'!$A$5:$A$1004,A473)&gt;0,"Yes","No"))</f>
        <v/>
      </c>
      <c r="N473" s="53">
        <f>IF(A473="","",COUNTIF('AFA Rates'!$A$5:$A$1004,A473))</f>
        <v/>
      </c>
      <c r="O473" s="54" t="n"/>
      <c r="P473" s="5" t="n"/>
      <c r="Q473" s="5" t="n"/>
      <c r="R473">
        <f>IF(AND(A473&lt;&gt;"",B473="Paused"),COUNTIFS($A$5:A473,"&lt;&gt;",$B$5:B473,"Paused"),"")</f>
        <v/>
      </c>
      <c r="S473">
        <f>IF(M473="Yes",COUNTIF($M$5:M473,"Yes"),"")</f>
        <v/>
      </c>
    </row>
    <row r="474">
      <c r="A474" s="5" t="n"/>
      <c r="B474" s="51" t="n"/>
      <c r="C474" s="5" t="n"/>
      <c r="D474" s="52" t="n"/>
      <c r="E474" s="52" t="n"/>
      <c r="F474" s="52" t="n"/>
      <c r="G474" s="52" t="n"/>
      <c r="H474" s="52" t="n"/>
      <c r="I474" s="52" t="n"/>
      <c r="J474" s="52" t="n"/>
      <c r="K474" s="52" t="n"/>
      <c r="L474" s="51" t="n"/>
      <c r="M474" s="53">
        <f>IF(A474="","",IF(COUNTIF('AFA Rates'!$A$5:$A$1004,A474)&gt;0,"Yes","No"))</f>
        <v/>
      </c>
      <c r="N474" s="53">
        <f>IF(A474="","",COUNTIF('AFA Rates'!$A$5:$A$1004,A474))</f>
        <v/>
      </c>
      <c r="O474" s="54" t="n"/>
      <c r="P474" s="5" t="n"/>
      <c r="Q474" s="5" t="n"/>
      <c r="R474">
        <f>IF(AND(A474&lt;&gt;"",B474="Paused"),COUNTIFS($A$5:A474,"&lt;&gt;",$B$5:B474,"Paused"),"")</f>
        <v/>
      </c>
      <c r="S474">
        <f>IF(M474="Yes",COUNTIF($M$5:M474,"Yes"),"")</f>
        <v/>
      </c>
    </row>
    <row r="475">
      <c r="A475" s="5" t="n"/>
      <c r="B475" s="51" t="n"/>
      <c r="C475" s="5" t="n"/>
      <c r="D475" s="52" t="n"/>
      <c r="E475" s="52" t="n"/>
      <c r="F475" s="52" t="n"/>
      <c r="G475" s="52" t="n"/>
      <c r="H475" s="52" t="n"/>
      <c r="I475" s="52" t="n"/>
      <c r="J475" s="52" t="n"/>
      <c r="K475" s="52" t="n"/>
      <c r="L475" s="51" t="n"/>
      <c r="M475" s="53">
        <f>IF(A475="","",IF(COUNTIF('AFA Rates'!$A$5:$A$1004,A475)&gt;0,"Yes","No"))</f>
        <v/>
      </c>
      <c r="N475" s="53">
        <f>IF(A475="","",COUNTIF('AFA Rates'!$A$5:$A$1004,A475))</f>
        <v/>
      </c>
      <c r="O475" s="54" t="n"/>
      <c r="P475" s="5" t="n"/>
      <c r="Q475" s="5" t="n"/>
      <c r="R475">
        <f>IF(AND(A475&lt;&gt;"",B475="Paused"),COUNTIFS($A$5:A475,"&lt;&gt;",$B$5:B475,"Paused"),"")</f>
        <v/>
      </c>
      <c r="S475">
        <f>IF(M475="Yes",COUNTIF($M$5:M475,"Yes"),"")</f>
        <v/>
      </c>
    </row>
    <row r="476">
      <c r="A476" s="5" t="n"/>
      <c r="B476" s="51" t="n"/>
      <c r="C476" s="5" t="n"/>
      <c r="D476" s="52" t="n"/>
      <c r="E476" s="52" t="n"/>
      <c r="F476" s="52" t="n"/>
      <c r="G476" s="52" t="n"/>
      <c r="H476" s="52" t="n"/>
      <c r="I476" s="52" t="n"/>
      <c r="J476" s="52" t="n"/>
      <c r="K476" s="52" t="n"/>
      <c r="L476" s="51" t="n"/>
      <c r="M476" s="53">
        <f>IF(A476="","",IF(COUNTIF('AFA Rates'!$A$5:$A$1004,A476)&gt;0,"Yes","No"))</f>
        <v/>
      </c>
      <c r="N476" s="53">
        <f>IF(A476="","",COUNTIF('AFA Rates'!$A$5:$A$1004,A476))</f>
        <v/>
      </c>
      <c r="O476" s="54" t="n"/>
      <c r="P476" s="5" t="n"/>
      <c r="Q476" s="5" t="n"/>
      <c r="R476">
        <f>IF(AND(A476&lt;&gt;"",B476="Paused"),COUNTIFS($A$5:A476,"&lt;&gt;",$B$5:B476,"Paused"),"")</f>
        <v/>
      </c>
      <c r="S476">
        <f>IF(M476="Yes",COUNTIF($M$5:M476,"Yes"),"")</f>
        <v/>
      </c>
    </row>
    <row r="477">
      <c r="A477" s="5" t="n"/>
      <c r="B477" s="51" t="n"/>
      <c r="C477" s="5" t="n"/>
      <c r="D477" s="52" t="n"/>
      <c r="E477" s="52" t="n"/>
      <c r="F477" s="52" t="n"/>
      <c r="G477" s="52" t="n"/>
      <c r="H477" s="52" t="n"/>
      <c r="I477" s="52" t="n"/>
      <c r="J477" s="52" t="n"/>
      <c r="K477" s="52" t="n"/>
      <c r="L477" s="51" t="n"/>
      <c r="M477" s="53">
        <f>IF(A477="","",IF(COUNTIF('AFA Rates'!$A$5:$A$1004,A477)&gt;0,"Yes","No"))</f>
        <v/>
      </c>
      <c r="N477" s="53">
        <f>IF(A477="","",COUNTIF('AFA Rates'!$A$5:$A$1004,A477))</f>
        <v/>
      </c>
      <c r="O477" s="54" t="n"/>
      <c r="P477" s="5" t="n"/>
      <c r="Q477" s="5" t="n"/>
      <c r="R477">
        <f>IF(AND(A477&lt;&gt;"",B477="Paused"),COUNTIFS($A$5:A477,"&lt;&gt;",$B$5:B477,"Paused"),"")</f>
        <v/>
      </c>
      <c r="S477">
        <f>IF(M477="Yes",COUNTIF($M$5:M477,"Yes"),"")</f>
        <v/>
      </c>
    </row>
    <row r="478">
      <c r="A478" s="5" t="n"/>
      <c r="B478" s="51" t="n"/>
      <c r="C478" s="5" t="n"/>
      <c r="D478" s="52" t="n"/>
      <c r="E478" s="52" t="n"/>
      <c r="F478" s="52" t="n"/>
      <c r="G478" s="52" t="n"/>
      <c r="H478" s="52" t="n"/>
      <c r="I478" s="52" t="n"/>
      <c r="J478" s="52" t="n"/>
      <c r="K478" s="52" t="n"/>
      <c r="L478" s="51" t="n"/>
      <c r="M478" s="53">
        <f>IF(A478="","",IF(COUNTIF('AFA Rates'!$A$5:$A$1004,A478)&gt;0,"Yes","No"))</f>
        <v/>
      </c>
      <c r="N478" s="53">
        <f>IF(A478="","",COUNTIF('AFA Rates'!$A$5:$A$1004,A478))</f>
        <v/>
      </c>
      <c r="O478" s="54" t="n"/>
      <c r="P478" s="5" t="n"/>
      <c r="Q478" s="5" t="n"/>
      <c r="R478">
        <f>IF(AND(A478&lt;&gt;"",B478="Paused"),COUNTIFS($A$5:A478,"&lt;&gt;",$B$5:B478,"Paused"),"")</f>
        <v/>
      </c>
      <c r="S478">
        <f>IF(M478="Yes",COUNTIF($M$5:M478,"Yes"),"")</f>
        <v/>
      </c>
    </row>
    <row r="479">
      <c r="A479" s="5" t="n"/>
      <c r="B479" s="51" t="n"/>
      <c r="C479" s="5" t="n"/>
      <c r="D479" s="52" t="n"/>
      <c r="E479" s="52" t="n"/>
      <c r="F479" s="52" t="n"/>
      <c r="G479" s="52" t="n"/>
      <c r="H479" s="52" t="n"/>
      <c r="I479" s="52" t="n"/>
      <c r="J479" s="52" t="n"/>
      <c r="K479" s="52" t="n"/>
      <c r="L479" s="51" t="n"/>
      <c r="M479" s="53">
        <f>IF(A479="","",IF(COUNTIF('AFA Rates'!$A$5:$A$1004,A479)&gt;0,"Yes","No"))</f>
        <v/>
      </c>
      <c r="N479" s="53">
        <f>IF(A479="","",COUNTIF('AFA Rates'!$A$5:$A$1004,A479))</f>
        <v/>
      </c>
      <c r="O479" s="54" t="n"/>
      <c r="P479" s="5" t="n"/>
      <c r="Q479" s="5" t="n"/>
      <c r="R479">
        <f>IF(AND(A479&lt;&gt;"",B479="Paused"),COUNTIFS($A$5:A479,"&lt;&gt;",$B$5:B479,"Paused"),"")</f>
        <v/>
      </c>
      <c r="S479">
        <f>IF(M479="Yes",COUNTIF($M$5:M479,"Yes"),"")</f>
        <v/>
      </c>
    </row>
    <row r="480">
      <c r="A480" s="5" t="n"/>
      <c r="B480" s="51" t="n"/>
      <c r="C480" s="5" t="n"/>
      <c r="D480" s="52" t="n"/>
      <c r="E480" s="52" t="n"/>
      <c r="F480" s="52" t="n"/>
      <c r="G480" s="52" t="n"/>
      <c r="H480" s="52" t="n"/>
      <c r="I480" s="52" t="n"/>
      <c r="J480" s="52" t="n"/>
      <c r="K480" s="52" t="n"/>
      <c r="L480" s="51" t="n"/>
      <c r="M480" s="53">
        <f>IF(A480="","",IF(COUNTIF('AFA Rates'!$A$5:$A$1004,A480)&gt;0,"Yes","No"))</f>
        <v/>
      </c>
      <c r="N480" s="53">
        <f>IF(A480="","",COUNTIF('AFA Rates'!$A$5:$A$1004,A480))</f>
        <v/>
      </c>
      <c r="O480" s="54" t="n"/>
      <c r="P480" s="5" t="n"/>
      <c r="Q480" s="5" t="n"/>
      <c r="R480">
        <f>IF(AND(A480&lt;&gt;"",B480="Paused"),COUNTIFS($A$5:A480,"&lt;&gt;",$B$5:B480,"Paused"),"")</f>
        <v/>
      </c>
      <c r="S480">
        <f>IF(M480="Yes",COUNTIF($M$5:M480,"Yes"),"")</f>
        <v/>
      </c>
    </row>
    <row r="481">
      <c r="A481" s="5" t="n"/>
      <c r="B481" s="51" t="n"/>
      <c r="C481" s="5" t="n"/>
      <c r="D481" s="52" t="n"/>
      <c r="E481" s="52" t="n"/>
      <c r="F481" s="52" t="n"/>
      <c r="G481" s="52" t="n"/>
      <c r="H481" s="52" t="n"/>
      <c r="I481" s="52" t="n"/>
      <c r="J481" s="52" t="n"/>
      <c r="K481" s="52" t="n"/>
      <c r="L481" s="51" t="n"/>
      <c r="M481" s="53">
        <f>IF(A481="","",IF(COUNTIF('AFA Rates'!$A$5:$A$1004,A481)&gt;0,"Yes","No"))</f>
        <v/>
      </c>
      <c r="N481" s="53">
        <f>IF(A481="","",COUNTIF('AFA Rates'!$A$5:$A$1004,A481))</f>
        <v/>
      </c>
      <c r="O481" s="54" t="n"/>
      <c r="P481" s="5" t="n"/>
      <c r="Q481" s="5" t="n"/>
      <c r="R481">
        <f>IF(AND(A481&lt;&gt;"",B481="Paused"),COUNTIFS($A$5:A481,"&lt;&gt;",$B$5:B481,"Paused"),"")</f>
        <v/>
      </c>
      <c r="S481">
        <f>IF(M481="Yes",COUNTIF($M$5:M481,"Yes"),"")</f>
        <v/>
      </c>
    </row>
    <row r="482">
      <c r="A482" s="5" t="n"/>
      <c r="B482" s="51" t="n"/>
      <c r="C482" s="5" t="n"/>
      <c r="D482" s="52" t="n"/>
      <c r="E482" s="52" t="n"/>
      <c r="F482" s="52" t="n"/>
      <c r="G482" s="52" t="n"/>
      <c r="H482" s="52" t="n"/>
      <c r="I482" s="52" t="n"/>
      <c r="J482" s="52" t="n"/>
      <c r="K482" s="52" t="n"/>
      <c r="L482" s="51" t="n"/>
      <c r="M482" s="53">
        <f>IF(A482="","",IF(COUNTIF('AFA Rates'!$A$5:$A$1004,A482)&gt;0,"Yes","No"))</f>
        <v/>
      </c>
      <c r="N482" s="53">
        <f>IF(A482="","",COUNTIF('AFA Rates'!$A$5:$A$1004,A482))</f>
        <v/>
      </c>
      <c r="O482" s="54" t="n"/>
      <c r="P482" s="5" t="n"/>
      <c r="Q482" s="5" t="n"/>
      <c r="R482">
        <f>IF(AND(A482&lt;&gt;"",B482="Paused"),COUNTIFS($A$5:A482,"&lt;&gt;",$B$5:B482,"Paused"),"")</f>
        <v/>
      </c>
      <c r="S482">
        <f>IF(M482="Yes",COUNTIF($M$5:M482,"Yes"),"")</f>
        <v/>
      </c>
    </row>
    <row r="483">
      <c r="A483" s="5" t="n"/>
      <c r="B483" s="51" t="n"/>
      <c r="C483" s="5" t="n"/>
      <c r="D483" s="52" t="n"/>
      <c r="E483" s="52" t="n"/>
      <c r="F483" s="52" t="n"/>
      <c r="G483" s="52" t="n"/>
      <c r="H483" s="52" t="n"/>
      <c r="I483" s="52" t="n"/>
      <c r="J483" s="52" t="n"/>
      <c r="K483" s="52" t="n"/>
      <c r="L483" s="51" t="n"/>
      <c r="M483" s="53">
        <f>IF(A483="","",IF(COUNTIF('AFA Rates'!$A$5:$A$1004,A483)&gt;0,"Yes","No"))</f>
        <v/>
      </c>
      <c r="N483" s="53">
        <f>IF(A483="","",COUNTIF('AFA Rates'!$A$5:$A$1004,A483))</f>
        <v/>
      </c>
      <c r="O483" s="54" t="n"/>
      <c r="P483" s="5" t="n"/>
      <c r="Q483" s="5" t="n"/>
      <c r="R483">
        <f>IF(AND(A483&lt;&gt;"",B483="Paused"),COUNTIFS($A$5:A483,"&lt;&gt;",$B$5:B483,"Paused"),"")</f>
        <v/>
      </c>
      <c r="S483">
        <f>IF(M483="Yes",COUNTIF($M$5:M483,"Yes"),"")</f>
        <v/>
      </c>
    </row>
    <row r="484">
      <c r="A484" s="5" t="n"/>
      <c r="B484" s="51" t="n"/>
      <c r="C484" s="5" t="n"/>
      <c r="D484" s="52" t="n"/>
      <c r="E484" s="52" t="n"/>
      <c r="F484" s="52" t="n"/>
      <c r="G484" s="52" t="n"/>
      <c r="H484" s="52" t="n"/>
      <c r="I484" s="52" t="n"/>
      <c r="J484" s="52" t="n"/>
      <c r="K484" s="52" t="n"/>
      <c r="L484" s="51" t="n"/>
      <c r="M484" s="53">
        <f>IF(A484="","",IF(COUNTIF('AFA Rates'!$A$5:$A$1004,A484)&gt;0,"Yes","No"))</f>
        <v/>
      </c>
      <c r="N484" s="53">
        <f>IF(A484="","",COUNTIF('AFA Rates'!$A$5:$A$1004,A484))</f>
        <v/>
      </c>
      <c r="O484" s="54" t="n"/>
      <c r="P484" s="5" t="n"/>
      <c r="Q484" s="5" t="n"/>
      <c r="R484">
        <f>IF(AND(A484&lt;&gt;"",B484="Paused"),COUNTIFS($A$5:A484,"&lt;&gt;",$B$5:B484,"Paused"),"")</f>
        <v/>
      </c>
      <c r="S484">
        <f>IF(M484="Yes",COUNTIF($M$5:M484,"Yes"),"")</f>
        <v/>
      </c>
    </row>
    <row r="485">
      <c r="A485" s="5" t="n"/>
      <c r="B485" s="51" t="n"/>
      <c r="C485" s="5" t="n"/>
      <c r="D485" s="52" t="n"/>
      <c r="E485" s="52" t="n"/>
      <c r="F485" s="52" t="n"/>
      <c r="G485" s="52" t="n"/>
      <c r="H485" s="52" t="n"/>
      <c r="I485" s="52" t="n"/>
      <c r="J485" s="52" t="n"/>
      <c r="K485" s="52" t="n"/>
      <c r="L485" s="51" t="n"/>
      <c r="M485" s="53">
        <f>IF(A485="","",IF(COUNTIF('AFA Rates'!$A$5:$A$1004,A485)&gt;0,"Yes","No"))</f>
        <v/>
      </c>
      <c r="N485" s="53">
        <f>IF(A485="","",COUNTIF('AFA Rates'!$A$5:$A$1004,A485))</f>
        <v/>
      </c>
      <c r="O485" s="54" t="n"/>
      <c r="P485" s="5" t="n"/>
      <c r="Q485" s="5" t="n"/>
      <c r="R485">
        <f>IF(AND(A485&lt;&gt;"",B485="Paused"),COUNTIFS($A$5:A485,"&lt;&gt;",$B$5:B485,"Paused"),"")</f>
        <v/>
      </c>
      <c r="S485">
        <f>IF(M485="Yes",COUNTIF($M$5:M485,"Yes"),"")</f>
        <v/>
      </c>
    </row>
    <row r="486">
      <c r="A486" s="5" t="n"/>
      <c r="B486" s="51" t="n"/>
      <c r="C486" s="5" t="n"/>
      <c r="D486" s="52" t="n"/>
      <c r="E486" s="52" t="n"/>
      <c r="F486" s="52" t="n"/>
      <c r="G486" s="52" t="n"/>
      <c r="H486" s="52" t="n"/>
      <c r="I486" s="52" t="n"/>
      <c r="J486" s="52" t="n"/>
      <c r="K486" s="52" t="n"/>
      <c r="L486" s="51" t="n"/>
      <c r="M486" s="53">
        <f>IF(A486="","",IF(COUNTIF('AFA Rates'!$A$5:$A$1004,A486)&gt;0,"Yes","No"))</f>
        <v/>
      </c>
      <c r="N486" s="53">
        <f>IF(A486="","",COUNTIF('AFA Rates'!$A$5:$A$1004,A486))</f>
        <v/>
      </c>
      <c r="O486" s="54" t="n"/>
      <c r="P486" s="5" t="n"/>
      <c r="Q486" s="5" t="n"/>
      <c r="R486">
        <f>IF(AND(A486&lt;&gt;"",B486="Paused"),COUNTIFS($A$5:A486,"&lt;&gt;",$B$5:B486,"Paused"),"")</f>
        <v/>
      </c>
      <c r="S486">
        <f>IF(M486="Yes",COUNTIF($M$5:M486,"Yes"),"")</f>
        <v/>
      </c>
    </row>
    <row r="487">
      <c r="A487" s="5" t="n"/>
      <c r="B487" s="51" t="n"/>
      <c r="C487" s="5" t="n"/>
      <c r="D487" s="52" t="n"/>
      <c r="E487" s="52" t="n"/>
      <c r="F487" s="52" t="n"/>
      <c r="G487" s="52" t="n"/>
      <c r="H487" s="52" t="n"/>
      <c r="I487" s="52" t="n"/>
      <c r="J487" s="52" t="n"/>
      <c r="K487" s="52" t="n"/>
      <c r="L487" s="51" t="n"/>
      <c r="M487" s="53">
        <f>IF(A487="","",IF(COUNTIF('AFA Rates'!$A$5:$A$1004,A487)&gt;0,"Yes","No"))</f>
        <v/>
      </c>
      <c r="N487" s="53">
        <f>IF(A487="","",COUNTIF('AFA Rates'!$A$5:$A$1004,A487))</f>
        <v/>
      </c>
      <c r="O487" s="54" t="n"/>
      <c r="P487" s="5" t="n"/>
      <c r="Q487" s="5" t="n"/>
      <c r="R487">
        <f>IF(AND(A487&lt;&gt;"",B487="Paused"),COUNTIFS($A$5:A487,"&lt;&gt;",$B$5:B487,"Paused"),"")</f>
        <v/>
      </c>
      <c r="S487">
        <f>IF(M487="Yes",COUNTIF($M$5:M487,"Yes"),"")</f>
        <v/>
      </c>
    </row>
    <row r="488">
      <c r="A488" s="5" t="n"/>
      <c r="B488" s="51" t="n"/>
      <c r="C488" s="5" t="n"/>
      <c r="D488" s="52" t="n"/>
      <c r="E488" s="52" t="n"/>
      <c r="F488" s="52" t="n"/>
      <c r="G488" s="52" t="n"/>
      <c r="H488" s="52" t="n"/>
      <c r="I488" s="52" t="n"/>
      <c r="J488" s="52" t="n"/>
      <c r="K488" s="52" t="n"/>
      <c r="L488" s="51" t="n"/>
      <c r="M488" s="53">
        <f>IF(A488="","",IF(COUNTIF('AFA Rates'!$A$5:$A$1004,A488)&gt;0,"Yes","No"))</f>
        <v/>
      </c>
      <c r="N488" s="53">
        <f>IF(A488="","",COUNTIF('AFA Rates'!$A$5:$A$1004,A488))</f>
        <v/>
      </c>
      <c r="O488" s="54" t="n"/>
      <c r="P488" s="5" t="n"/>
      <c r="Q488" s="5" t="n"/>
      <c r="R488">
        <f>IF(AND(A488&lt;&gt;"",B488="Paused"),COUNTIFS($A$5:A488,"&lt;&gt;",$B$5:B488,"Paused"),"")</f>
        <v/>
      </c>
      <c r="S488">
        <f>IF(M488="Yes",COUNTIF($M$5:M488,"Yes"),"")</f>
        <v/>
      </c>
    </row>
    <row r="489">
      <c r="A489" s="5" t="n"/>
      <c r="B489" s="51" t="n"/>
      <c r="C489" s="5" t="n"/>
      <c r="D489" s="52" t="n"/>
      <c r="E489" s="52" t="n"/>
      <c r="F489" s="52" t="n"/>
      <c r="G489" s="52" t="n"/>
      <c r="H489" s="52" t="n"/>
      <c r="I489" s="52" t="n"/>
      <c r="J489" s="52" t="n"/>
      <c r="K489" s="52" t="n"/>
      <c r="L489" s="51" t="n"/>
      <c r="M489" s="53">
        <f>IF(A489="","",IF(COUNTIF('AFA Rates'!$A$5:$A$1004,A489)&gt;0,"Yes","No"))</f>
        <v/>
      </c>
      <c r="N489" s="53">
        <f>IF(A489="","",COUNTIF('AFA Rates'!$A$5:$A$1004,A489))</f>
        <v/>
      </c>
      <c r="O489" s="54" t="n"/>
      <c r="P489" s="5" t="n"/>
      <c r="Q489" s="5" t="n"/>
      <c r="R489">
        <f>IF(AND(A489&lt;&gt;"",B489="Paused"),COUNTIFS($A$5:A489,"&lt;&gt;",$B$5:B489,"Paused"),"")</f>
        <v/>
      </c>
      <c r="S489">
        <f>IF(M489="Yes",COUNTIF($M$5:M489,"Yes"),"")</f>
        <v/>
      </c>
    </row>
    <row r="490">
      <c r="A490" s="5" t="n"/>
      <c r="B490" s="51" t="n"/>
      <c r="C490" s="5" t="n"/>
      <c r="D490" s="52" t="n"/>
      <c r="E490" s="52" t="n"/>
      <c r="F490" s="52" t="n"/>
      <c r="G490" s="52" t="n"/>
      <c r="H490" s="52" t="n"/>
      <c r="I490" s="52" t="n"/>
      <c r="J490" s="52" t="n"/>
      <c r="K490" s="52" t="n"/>
      <c r="L490" s="51" t="n"/>
      <c r="M490" s="53">
        <f>IF(A490="","",IF(COUNTIF('AFA Rates'!$A$5:$A$1004,A490)&gt;0,"Yes","No"))</f>
        <v/>
      </c>
      <c r="N490" s="53">
        <f>IF(A490="","",COUNTIF('AFA Rates'!$A$5:$A$1004,A490))</f>
        <v/>
      </c>
      <c r="O490" s="54" t="n"/>
      <c r="P490" s="5" t="n"/>
      <c r="Q490" s="5" t="n"/>
      <c r="R490">
        <f>IF(AND(A490&lt;&gt;"",B490="Paused"),COUNTIFS($A$5:A490,"&lt;&gt;",$B$5:B490,"Paused"),"")</f>
        <v/>
      </c>
      <c r="S490">
        <f>IF(M490="Yes",COUNTIF($M$5:M490,"Yes"),"")</f>
        <v/>
      </c>
    </row>
    <row r="491">
      <c r="A491" s="5" t="n"/>
      <c r="B491" s="51" t="n"/>
      <c r="C491" s="5" t="n"/>
      <c r="D491" s="52" t="n"/>
      <c r="E491" s="52" t="n"/>
      <c r="F491" s="52" t="n"/>
      <c r="G491" s="52" t="n"/>
      <c r="H491" s="52" t="n"/>
      <c r="I491" s="52" t="n"/>
      <c r="J491" s="52" t="n"/>
      <c r="K491" s="52" t="n"/>
      <c r="L491" s="51" t="n"/>
      <c r="M491" s="53">
        <f>IF(A491="","",IF(COUNTIF('AFA Rates'!$A$5:$A$1004,A491)&gt;0,"Yes","No"))</f>
        <v/>
      </c>
      <c r="N491" s="53">
        <f>IF(A491="","",COUNTIF('AFA Rates'!$A$5:$A$1004,A491))</f>
        <v/>
      </c>
      <c r="O491" s="54" t="n"/>
      <c r="P491" s="5" t="n"/>
      <c r="Q491" s="5" t="n"/>
      <c r="R491">
        <f>IF(AND(A491&lt;&gt;"",B491="Paused"),COUNTIFS($A$5:A491,"&lt;&gt;",$B$5:B491,"Paused"),"")</f>
        <v/>
      </c>
      <c r="S491">
        <f>IF(M491="Yes",COUNTIF($M$5:M491,"Yes"),"")</f>
        <v/>
      </c>
    </row>
    <row r="492">
      <c r="A492" s="5" t="n"/>
      <c r="B492" s="51" t="n"/>
      <c r="C492" s="5" t="n"/>
      <c r="D492" s="52" t="n"/>
      <c r="E492" s="52" t="n"/>
      <c r="F492" s="52" t="n"/>
      <c r="G492" s="52" t="n"/>
      <c r="H492" s="52" t="n"/>
      <c r="I492" s="52" t="n"/>
      <c r="J492" s="52" t="n"/>
      <c r="K492" s="52" t="n"/>
      <c r="L492" s="51" t="n"/>
      <c r="M492" s="53">
        <f>IF(A492="","",IF(COUNTIF('AFA Rates'!$A$5:$A$1004,A492)&gt;0,"Yes","No"))</f>
        <v/>
      </c>
      <c r="N492" s="53">
        <f>IF(A492="","",COUNTIF('AFA Rates'!$A$5:$A$1004,A492))</f>
        <v/>
      </c>
      <c r="O492" s="54" t="n"/>
      <c r="P492" s="5" t="n"/>
      <c r="Q492" s="5" t="n"/>
      <c r="R492">
        <f>IF(AND(A492&lt;&gt;"",B492="Paused"),COUNTIFS($A$5:A492,"&lt;&gt;",$B$5:B492,"Paused"),"")</f>
        <v/>
      </c>
      <c r="S492">
        <f>IF(M492="Yes",COUNTIF($M$5:M492,"Yes"),"")</f>
        <v/>
      </c>
    </row>
    <row r="493">
      <c r="A493" s="5" t="n"/>
      <c r="B493" s="51" t="n"/>
      <c r="C493" s="5" t="n"/>
      <c r="D493" s="52" t="n"/>
      <c r="E493" s="52" t="n"/>
      <c r="F493" s="52" t="n"/>
      <c r="G493" s="52" t="n"/>
      <c r="H493" s="52" t="n"/>
      <c r="I493" s="52" t="n"/>
      <c r="J493" s="52" t="n"/>
      <c r="K493" s="52" t="n"/>
      <c r="L493" s="51" t="n"/>
      <c r="M493" s="53">
        <f>IF(A493="","",IF(COUNTIF('AFA Rates'!$A$5:$A$1004,A493)&gt;0,"Yes","No"))</f>
        <v/>
      </c>
      <c r="N493" s="53">
        <f>IF(A493="","",COUNTIF('AFA Rates'!$A$5:$A$1004,A493))</f>
        <v/>
      </c>
      <c r="O493" s="54" t="n"/>
      <c r="P493" s="5" t="n"/>
      <c r="Q493" s="5" t="n"/>
      <c r="R493">
        <f>IF(AND(A493&lt;&gt;"",B493="Paused"),COUNTIFS($A$5:A493,"&lt;&gt;",$B$5:B493,"Paused"),"")</f>
        <v/>
      </c>
      <c r="S493">
        <f>IF(M493="Yes",COUNTIF($M$5:M493,"Yes"),"")</f>
        <v/>
      </c>
    </row>
    <row r="494">
      <c r="A494" s="5" t="n"/>
      <c r="B494" s="51" t="n"/>
      <c r="C494" s="5" t="n"/>
      <c r="D494" s="52" t="n"/>
      <c r="E494" s="52" t="n"/>
      <c r="F494" s="52" t="n"/>
      <c r="G494" s="52" t="n"/>
      <c r="H494" s="52" t="n"/>
      <c r="I494" s="52" t="n"/>
      <c r="J494" s="52" t="n"/>
      <c r="K494" s="52" t="n"/>
      <c r="L494" s="51" t="n"/>
      <c r="M494" s="53">
        <f>IF(A494="","",IF(COUNTIF('AFA Rates'!$A$5:$A$1004,A494)&gt;0,"Yes","No"))</f>
        <v/>
      </c>
      <c r="N494" s="53">
        <f>IF(A494="","",COUNTIF('AFA Rates'!$A$5:$A$1004,A494))</f>
        <v/>
      </c>
      <c r="O494" s="54" t="n"/>
      <c r="P494" s="5" t="n"/>
      <c r="Q494" s="5" t="n"/>
      <c r="R494">
        <f>IF(AND(A494&lt;&gt;"",B494="Paused"),COUNTIFS($A$5:A494,"&lt;&gt;",$B$5:B494,"Paused"),"")</f>
        <v/>
      </c>
      <c r="S494">
        <f>IF(M494="Yes",COUNTIF($M$5:M494,"Yes"),"")</f>
        <v/>
      </c>
    </row>
    <row r="495">
      <c r="A495" s="5" t="n"/>
      <c r="B495" s="51" t="n"/>
      <c r="C495" s="5" t="n"/>
      <c r="D495" s="52" t="n"/>
      <c r="E495" s="52" t="n"/>
      <c r="F495" s="52" t="n"/>
      <c r="G495" s="52" t="n"/>
      <c r="H495" s="52" t="n"/>
      <c r="I495" s="52" t="n"/>
      <c r="J495" s="52" t="n"/>
      <c r="K495" s="52" t="n"/>
      <c r="L495" s="51" t="n"/>
      <c r="M495" s="53">
        <f>IF(A495="","",IF(COUNTIF('AFA Rates'!$A$5:$A$1004,A495)&gt;0,"Yes","No"))</f>
        <v/>
      </c>
      <c r="N495" s="53">
        <f>IF(A495="","",COUNTIF('AFA Rates'!$A$5:$A$1004,A495))</f>
        <v/>
      </c>
      <c r="O495" s="54" t="n"/>
      <c r="P495" s="5" t="n"/>
      <c r="Q495" s="5" t="n"/>
      <c r="R495">
        <f>IF(AND(A495&lt;&gt;"",B495="Paused"),COUNTIFS($A$5:A495,"&lt;&gt;",$B$5:B495,"Paused"),"")</f>
        <v/>
      </c>
      <c r="S495">
        <f>IF(M495="Yes",COUNTIF($M$5:M495,"Yes"),"")</f>
        <v/>
      </c>
    </row>
    <row r="496">
      <c r="A496" s="5" t="n"/>
      <c r="B496" s="51" t="n"/>
      <c r="C496" s="5" t="n"/>
      <c r="D496" s="52" t="n"/>
      <c r="E496" s="52" t="n"/>
      <c r="F496" s="52" t="n"/>
      <c r="G496" s="52" t="n"/>
      <c r="H496" s="52" t="n"/>
      <c r="I496" s="52" t="n"/>
      <c r="J496" s="52" t="n"/>
      <c r="K496" s="52" t="n"/>
      <c r="L496" s="51" t="n"/>
      <c r="M496" s="53">
        <f>IF(A496="","",IF(COUNTIF('AFA Rates'!$A$5:$A$1004,A496)&gt;0,"Yes","No"))</f>
        <v/>
      </c>
      <c r="N496" s="53">
        <f>IF(A496="","",COUNTIF('AFA Rates'!$A$5:$A$1004,A496))</f>
        <v/>
      </c>
      <c r="O496" s="54" t="n"/>
      <c r="P496" s="5" t="n"/>
      <c r="Q496" s="5" t="n"/>
      <c r="R496">
        <f>IF(AND(A496&lt;&gt;"",B496="Paused"),COUNTIFS($A$5:A496,"&lt;&gt;",$B$5:B496,"Paused"),"")</f>
        <v/>
      </c>
      <c r="S496">
        <f>IF(M496="Yes",COUNTIF($M$5:M496,"Yes"),"")</f>
        <v/>
      </c>
    </row>
    <row r="497">
      <c r="A497" s="5" t="n"/>
      <c r="B497" s="51" t="n"/>
      <c r="C497" s="5" t="n"/>
      <c r="D497" s="52" t="n"/>
      <c r="E497" s="52" t="n"/>
      <c r="F497" s="52" t="n"/>
      <c r="G497" s="52" t="n"/>
      <c r="H497" s="52" t="n"/>
      <c r="I497" s="52" t="n"/>
      <c r="J497" s="52" t="n"/>
      <c r="K497" s="52" t="n"/>
      <c r="L497" s="51" t="n"/>
      <c r="M497" s="53">
        <f>IF(A497="","",IF(COUNTIF('AFA Rates'!$A$5:$A$1004,A497)&gt;0,"Yes","No"))</f>
        <v/>
      </c>
      <c r="N497" s="53">
        <f>IF(A497="","",COUNTIF('AFA Rates'!$A$5:$A$1004,A497))</f>
        <v/>
      </c>
      <c r="O497" s="54" t="n"/>
      <c r="P497" s="5" t="n"/>
      <c r="Q497" s="5" t="n"/>
      <c r="R497">
        <f>IF(AND(A497&lt;&gt;"",B497="Paused"),COUNTIFS($A$5:A497,"&lt;&gt;",$B$5:B497,"Paused"),"")</f>
        <v/>
      </c>
      <c r="S497">
        <f>IF(M497="Yes",COUNTIF($M$5:M497,"Yes"),"")</f>
        <v/>
      </c>
    </row>
    <row r="498">
      <c r="A498" s="5" t="n"/>
      <c r="B498" s="51" t="n"/>
      <c r="C498" s="5" t="n"/>
      <c r="D498" s="52" t="n"/>
      <c r="E498" s="52" t="n"/>
      <c r="F498" s="52" t="n"/>
      <c r="G498" s="52" t="n"/>
      <c r="H498" s="52" t="n"/>
      <c r="I498" s="52" t="n"/>
      <c r="J498" s="52" t="n"/>
      <c r="K498" s="52" t="n"/>
      <c r="L498" s="51" t="n"/>
      <c r="M498" s="53">
        <f>IF(A498="","",IF(COUNTIF('AFA Rates'!$A$5:$A$1004,A498)&gt;0,"Yes","No"))</f>
        <v/>
      </c>
      <c r="N498" s="53">
        <f>IF(A498="","",COUNTIF('AFA Rates'!$A$5:$A$1004,A498))</f>
        <v/>
      </c>
      <c r="O498" s="54" t="n"/>
      <c r="P498" s="5" t="n"/>
      <c r="Q498" s="5" t="n"/>
      <c r="R498">
        <f>IF(AND(A498&lt;&gt;"",B498="Paused"),COUNTIFS($A$5:A498,"&lt;&gt;",$B$5:B498,"Paused"),"")</f>
        <v/>
      </c>
      <c r="S498">
        <f>IF(M498="Yes",COUNTIF($M$5:M498,"Yes"),"")</f>
        <v/>
      </c>
    </row>
    <row r="499">
      <c r="A499" s="5" t="n"/>
      <c r="B499" s="51" t="n"/>
      <c r="C499" s="5" t="n"/>
      <c r="D499" s="52" t="n"/>
      <c r="E499" s="52" t="n"/>
      <c r="F499" s="52" t="n"/>
      <c r="G499" s="52" t="n"/>
      <c r="H499" s="52" t="n"/>
      <c r="I499" s="52" t="n"/>
      <c r="J499" s="52" t="n"/>
      <c r="K499" s="52" t="n"/>
      <c r="L499" s="51" t="n"/>
      <c r="M499" s="53">
        <f>IF(A499="","",IF(COUNTIF('AFA Rates'!$A$5:$A$1004,A499)&gt;0,"Yes","No"))</f>
        <v/>
      </c>
      <c r="N499" s="53">
        <f>IF(A499="","",COUNTIF('AFA Rates'!$A$5:$A$1004,A499))</f>
        <v/>
      </c>
      <c r="O499" s="54" t="n"/>
      <c r="P499" s="5" t="n"/>
      <c r="Q499" s="5" t="n"/>
      <c r="R499">
        <f>IF(AND(A499&lt;&gt;"",B499="Paused"),COUNTIFS($A$5:A499,"&lt;&gt;",$B$5:B499,"Paused"),"")</f>
        <v/>
      </c>
      <c r="S499">
        <f>IF(M499="Yes",COUNTIF($M$5:M499,"Yes"),"")</f>
        <v/>
      </c>
    </row>
    <row r="500">
      <c r="A500" s="5" t="n"/>
      <c r="B500" s="51" t="n"/>
      <c r="C500" s="5" t="n"/>
      <c r="D500" s="52" t="n"/>
      <c r="E500" s="52" t="n"/>
      <c r="F500" s="52" t="n"/>
      <c r="G500" s="52" t="n"/>
      <c r="H500" s="52" t="n"/>
      <c r="I500" s="52" t="n"/>
      <c r="J500" s="52" t="n"/>
      <c r="K500" s="52" t="n"/>
      <c r="L500" s="51" t="n"/>
      <c r="M500" s="53">
        <f>IF(A500="","",IF(COUNTIF('AFA Rates'!$A$5:$A$1004,A500)&gt;0,"Yes","No"))</f>
        <v/>
      </c>
      <c r="N500" s="53">
        <f>IF(A500="","",COUNTIF('AFA Rates'!$A$5:$A$1004,A500))</f>
        <v/>
      </c>
      <c r="O500" s="54" t="n"/>
      <c r="P500" s="5" t="n"/>
      <c r="Q500" s="5" t="n"/>
      <c r="R500">
        <f>IF(AND(A500&lt;&gt;"",B500="Paused"),COUNTIFS($A$5:A500,"&lt;&gt;",$B$5:B500,"Paused"),"")</f>
        <v/>
      </c>
      <c r="S500">
        <f>IF(M500="Yes",COUNTIF($M$5:M500,"Yes"),"")</f>
        <v/>
      </c>
    </row>
    <row r="501">
      <c r="A501" s="5" t="n"/>
      <c r="B501" s="51" t="n"/>
      <c r="C501" s="5" t="n"/>
      <c r="D501" s="52" t="n"/>
      <c r="E501" s="52" t="n"/>
      <c r="F501" s="52" t="n"/>
      <c r="G501" s="52" t="n"/>
      <c r="H501" s="52" t="n"/>
      <c r="I501" s="52" t="n"/>
      <c r="J501" s="52" t="n"/>
      <c r="K501" s="52" t="n"/>
      <c r="L501" s="51" t="n"/>
      <c r="M501" s="53">
        <f>IF(A501="","",IF(COUNTIF('AFA Rates'!$A$5:$A$1004,A501)&gt;0,"Yes","No"))</f>
        <v/>
      </c>
      <c r="N501" s="53">
        <f>IF(A501="","",COUNTIF('AFA Rates'!$A$5:$A$1004,A501))</f>
        <v/>
      </c>
      <c r="O501" s="54" t="n"/>
      <c r="P501" s="5" t="n"/>
      <c r="Q501" s="5" t="n"/>
      <c r="R501">
        <f>IF(AND(A501&lt;&gt;"",B501="Paused"),COUNTIFS($A$5:A501,"&lt;&gt;",$B$5:B501,"Paused"),"")</f>
        <v/>
      </c>
      <c r="S501">
        <f>IF(M501="Yes",COUNTIF($M$5:M501,"Yes"),"")</f>
        <v/>
      </c>
    </row>
    <row r="502">
      <c r="A502" s="5" t="n"/>
      <c r="B502" s="51" t="n"/>
      <c r="C502" s="5" t="n"/>
      <c r="D502" s="52" t="n"/>
      <c r="E502" s="52" t="n"/>
      <c r="F502" s="52" t="n"/>
      <c r="G502" s="52" t="n"/>
      <c r="H502" s="52" t="n"/>
      <c r="I502" s="52" t="n"/>
      <c r="J502" s="52" t="n"/>
      <c r="K502" s="52" t="n"/>
      <c r="L502" s="51" t="n"/>
      <c r="M502" s="53">
        <f>IF(A502="","",IF(COUNTIF('AFA Rates'!$A$5:$A$1004,A502)&gt;0,"Yes","No"))</f>
        <v/>
      </c>
      <c r="N502" s="53">
        <f>IF(A502="","",COUNTIF('AFA Rates'!$A$5:$A$1004,A502))</f>
        <v/>
      </c>
      <c r="O502" s="54" t="n"/>
      <c r="P502" s="5" t="n"/>
      <c r="Q502" s="5" t="n"/>
      <c r="R502">
        <f>IF(AND(A502&lt;&gt;"",B502="Paused"),COUNTIFS($A$5:A502,"&lt;&gt;",$B$5:B502,"Paused"),"")</f>
        <v/>
      </c>
      <c r="S502">
        <f>IF(M502="Yes",COUNTIF($M$5:M502,"Yes"),"")</f>
        <v/>
      </c>
    </row>
    <row r="503">
      <c r="A503" s="5" t="n"/>
      <c r="B503" s="51" t="n"/>
      <c r="C503" s="5" t="n"/>
      <c r="D503" s="52" t="n"/>
      <c r="E503" s="52" t="n"/>
      <c r="F503" s="52" t="n"/>
      <c r="G503" s="52" t="n"/>
      <c r="H503" s="52" t="n"/>
      <c r="I503" s="52" t="n"/>
      <c r="J503" s="52" t="n"/>
      <c r="K503" s="52" t="n"/>
      <c r="L503" s="51" t="n"/>
      <c r="M503" s="53">
        <f>IF(A503="","",IF(COUNTIF('AFA Rates'!$A$5:$A$1004,A503)&gt;0,"Yes","No"))</f>
        <v/>
      </c>
      <c r="N503" s="53">
        <f>IF(A503="","",COUNTIF('AFA Rates'!$A$5:$A$1004,A503))</f>
        <v/>
      </c>
      <c r="O503" s="54" t="n"/>
      <c r="P503" s="5" t="n"/>
      <c r="Q503" s="5" t="n"/>
      <c r="R503">
        <f>IF(AND(A503&lt;&gt;"",B503="Paused"),COUNTIFS($A$5:A503,"&lt;&gt;",$B$5:B503,"Paused"),"")</f>
        <v/>
      </c>
      <c r="S503">
        <f>IF(M503="Yes",COUNTIF($M$5:M503,"Yes"),"")</f>
        <v/>
      </c>
    </row>
    <row r="504">
      <c r="A504" s="5" t="n"/>
      <c r="B504" s="51" t="n"/>
      <c r="C504" s="5" t="n"/>
      <c r="D504" s="52" t="n"/>
      <c r="E504" s="52" t="n"/>
      <c r="F504" s="52" t="n"/>
      <c r="G504" s="52" t="n"/>
      <c r="H504" s="52" t="n"/>
      <c r="I504" s="52" t="n"/>
      <c r="J504" s="52" t="n"/>
      <c r="K504" s="52" t="n"/>
      <c r="L504" s="51" t="n"/>
      <c r="M504" s="53">
        <f>IF(A504="","",IF(COUNTIF('AFA Rates'!$A$5:$A$1004,A504)&gt;0,"Yes","No"))</f>
        <v/>
      </c>
      <c r="N504" s="53">
        <f>IF(A504="","",COUNTIF('AFA Rates'!$A$5:$A$1004,A504))</f>
        <v/>
      </c>
      <c r="O504" s="54" t="n"/>
      <c r="P504" s="5" t="n"/>
      <c r="Q504" s="5" t="n"/>
      <c r="R504">
        <f>IF(AND(A504&lt;&gt;"",B504="Paused"),COUNTIFS($A$5:A504,"&lt;&gt;",$B$5:B504,"Paused"),"")</f>
        <v/>
      </c>
      <c r="S504">
        <f>IF(M504="Yes",COUNTIF($M$5:M504,"Yes"),"")</f>
        <v/>
      </c>
    </row>
    <row r="505">
      <c r="A505" s="5" t="n"/>
      <c r="B505" s="51" t="n"/>
      <c r="C505" s="5" t="n"/>
      <c r="D505" s="52" t="n"/>
      <c r="E505" s="52" t="n"/>
      <c r="F505" s="52" t="n"/>
      <c r="G505" s="52" t="n"/>
      <c r="H505" s="52" t="n"/>
      <c r="I505" s="52" t="n"/>
      <c r="J505" s="52" t="n"/>
      <c r="K505" s="52" t="n"/>
      <c r="L505" s="51" t="n"/>
      <c r="M505" s="53">
        <f>IF(A505="","",IF(COUNTIF('AFA Rates'!$A$5:$A$1004,A505)&gt;0,"Yes","No"))</f>
        <v/>
      </c>
      <c r="N505" s="53">
        <f>IF(A505="","",COUNTIF('AFA Rates'!$A$5:$A$1004,A505))</f>
        <v/>
      </c>
      <c r="O505" s="54" t="n"/>
      <c r="P505" s="5" t="n"/>
      <c r="Q505" s="5" t="n"/>
      <c r="R505">
        <f>IF(AND(A505&lt;&gt;"",B505="Paused"),COUNTIFS($A$5:A505,"&lt;&gt;",$B$5:B505,"Paused"),"")</f>
        <v/>
      </c>
      <c r="S505">
        <f>IF(M505="Yes",COUNTIF($M$5:M505,"Yes"),"")</f>
        <v/>
      </c>
    </row>
    <row r="506">
      <c r="A506" s="5" t="n"/>
      <c r="B506" s="51" t="n"/>
      <c r="C506" s="5" t="n"/>
      <c r="D506" s="52" t="n"/>
      <c r="E506" s="52" t="n"/>
      <c r="F506" s="52" t="n"/>
      <c r="G506" s="52" t="n"/>
      <c r="H506" s="52" t="n"/>
      <c r="I506" s="52" t="n"/>
      <c r="J506" s="52" t="n"/>
      <c r="K506" s="52" t="n"/>
      <c r="L506" s="51" t="n"/>
      <c r="M506" s="53">
        <f>IF(A506="","",IF(COUNTIF('AFA Rates'!$A$5:$A$1004,A506)&gt;0,"Yes","No"))</f>
        <v/>
      </c>
      <c r="N506" s="53">
        <f>IF(A506="","",COUNTIF('AFA Rates'!$A$5:$A$1004,A506))</f>
        <v/>
      </c>
      <c r="O506" s="54" t="n"/>
      <c r="P506" s="5" t="n"/>
      <c r="Q506" s="5" t="n"/>
      <c r="R506">
        <f>IF(AND(A506&lt;&gt;"",B506="Paused"),COUNTIFS($A$5:A506,"&lt;&gt;",$B$5:B506,"Paused"),"")</f>
        <v/>
      </c>
      <c r="S506">
        <f>IF(M506="Yes",COUNTIF($M$5:M506,"Yes"),"")</f>
        <v/>
      </c>
    </row>
    <row r="507">
      <c r="A507" s="5" t="n"/>
      <c r="B507" s="51" t="n"/>
      <c r="C507" s="5" t="n"/>
      <c r="D507" s="52" t="n"/>
      <c r="E507" s="52" t="n"/>
      <c r="F507" s="52" t="n"/>
      <c r="G507" s="52" t="n"/>
      <c r="H507" s="52" t="n"/>
      <c r="I507" s="52" t="n"/>
      <c r="J507" s="52" t="n"/>
      <c r="K507" s="52" t="n"/>
      <c r="L507" s="51" t="n"/>
      <c r="M507" s="53">
        <f>IF(A507="","",IF(COUNTIF('AFA Rates'!$A$5:$A$1004,A507)&gt;0,"Yes","No"))</f>
        <v/>
      </c>
      <c r="N507" s="53">
        <f>IF(A507="","",COUNTIF('AFA Rates'!$A$5:$A$1004,A507))</f>
        <v/>
      </c>
      <c r="O507" s="54" t="n"/>
      <c r="P507" s="5" t="n"/>
      <c r="Q507" s="5" t="n"/>
      <c r="R507">
        <f>IF(AND(A507&lt;&gt;"",B507="Paused"),COUNTIFS($A$5:A507,"&lt;&gt;",$B$5:B507,"Paused"),"")</f>
        <v/>
      </c>
      <c r="S507">
        <f>IF(M507="Yes",COUNTIF($M$5:M507,"Yes"),"")</f>
        <v/>
      </c>
    </row>
    <row r="508">
      <c r="A508" s="5" t="n"/>
      <c r="B508" s="51" t="n"/>
      <c r="C508" s="5" t="n"/>
      <c r="D508" s="52" t="n"/>
      <c r="E508" s="52" t="n"/>
      <c r="F508" s="52" t="n"/>
      <c r="G508" s="52" t="n"/>
      <c r="H508" s="52" t="n"/>
      <c r="I508" s="52" t="n"/>
      <c r="J508" s="52" t="n"/>
      <c r="K508" s="52" t="n"/>
      <c r="L508" s="51" t="n"/>
      <c r="M508" s="53">
        <f>IF(A508="","",IF(COUNTIF('AFA Rates'!$A$5:$A$1004,A508)&gt;0,"Yes","No"))</f>
        <v/>
      </c>
      <c r="N508" s="53">
        <f>IF(A508="","",COUNTIF('AFA Rates'!$A$5:$A$1004,A508))</f>
        <v/>
      </c>
      <c r="O508" s="54" t="n"/>
      <c r="P508" s="5" t="n"/>
      <c r="Q508" s="5" t="n"/>
      <c r="R508">
        <f>IF(AND(A508&lt;&gt;"",B508="Paused"),COUNTIFS($A$5:A508,"&lt;&gt;",$B$5:B508,"Paused"),"")</f>
        <v/>
      </c>
      <c r="S508">
        <f>IF(M508="Yes",COUNTIF($M$5:M508,"Yes"),"")</f>
        <v/>
      </c>
    </row>
    <row r="509">
      <c r="A509" s="5" t="n"/>
      <c r="B509" s="51" t="n"/>
      <c r="C509" s="5" t="n"/>
      <c r="D509" s="52" t="n"/>
      <c r="E509" s="52" t="n"/>
      <c r="F509" s="52" t="n"/>
      <c r="G509" s="52" t="n"/>
      <c r="H509" s="52" t="n"/>
      <c r="I509" s="52" t="n"/>
      <c r="J509" s="52" t="n"/>
      <c r="K509" s="52" t="n"/>
      <c r="L509" s="51" t="n"/>
      <c r="M509" s="53">
        <f>IF(A509="","",IF(COUNTIF('AFA Rates'!$A$5:$A$1004,A509)&gt;0,"Yes","No"))</f>
        <v/>
      </c>
      <c r="N509" s="53">
        <f>IF(A509="","",COUNTIF('AFA Rates'!$A$5:$A$1004,A509))</f>
        <v/>
      </c>
      <c r="O509" s="54" t="n"/>
      <c r="P509" s="5" t="n"/>
      <c r="Q509" s="5" t="n"/>
      <c r="R509">
        <f>IF(AND(A509&lt;&gt;"",B509="Paused"),COUNTIFS($A$5:A509,"&lt;&gt;",$B$5:B509,"Paused"),"")</f>
        <v/>
      </c>
      <c r="S509">
        <f>IF(M509="Yes",COUNTIF($M$5:M509,"Yes"),"")</f>
        <v/>
      </c>
    </row>
    <row r="510">
      <c r="A510" s="5" t="n"/>
      <c r="B510" s="51" t="n"/>
      <c r="C510" s="5" t="n"/>
      <c r="D510" s="52" t="n"/>
      <c r="E510" s="52" t="n"/>
      <c r="F510" s="52" t="n"/>
      <c r="G510" s="52" t="n"/>
      <c r="H510" s="52" t="n"/>
      <c r="I510" s="52" t="n"/>
      <c r="J510" s="52" t="n"/>
      <c r="K510" s="52" t="n"/>
      <c r="L510" s="51" t="n"/>
      <c r="M510" s="53">
        <f>IF(A510="","",IF(COUNTIF('AFA Rates'!$A$5:$A$1004,A510)&gt;0,"Yes","No"))</f>
        <v/>
      </c>
      <c r="N510" s="53">
        <f>IF(A510="","",COUNTIF('AFA Rates'!$A$5:$A$1004,A510))</f>
        <v/>
      </c>
      <c r="O510" s="54" t="n"/>
      <c r="P510" s="5" t="n"/>
      <c r="Q510" s="5" t="n"/>
      <c r="R510">
        <f>IF(AND(A510&lt;&gt;"",B510="Paused"),COUNTIFS($A$5:A510,"&lt;&gt;",$B$5:B510,"Paused"),"")</f>
        <v/>
      </c>
      <c r="S510">
        <f>IF(M510="Yes",COUNTIF($M$5:M510,"Yes"),"")</f>
        <v/>
      </c>
    </row>
    <row r="511">
      <c r="A511" s="5" t="n"/>
      <c r="B511" s="51" t="n"/>
      <c r="C511" s="5" t="n"/>
      <c r="D511" s="52" t="n"/>
      <c r="E511" s="52" t="n"/>
      <c r="F511" s="52" t="n"/>
      <c r="G511" s="52" t="n"/>
      <c r="H511" s="52" t="n"/>
      <c r="I511" s="52" t="n"/>
      <c r="J511" s="52" t="n"/>
      <c r="K511" s="52" t="n"/>
      <c r="L511" s="51" t="n"/>
      <c r="M511" s="53">
        <f>IF(A511="","",IF(COUNTIF('AFA Rates'!$A$5:$A$1004,A511)&gt;0,"Yes","No"))</f>
        <v/>
      </c>
      <c r="N511" s="53">
        <f>IF(A511="","",COUNTIF('AFA Rates'!$A$5:$A$1004,A511))</f>
        <v/>
      </c>
      <c r="O511" s="54" t="n"/>
      <c r="P511" s="5" t="n"/>
      <c r="Q511" s="5" t="n"/>
      <c r="R511">
        <f>IF(AND(A511&lt;&gt;"",B511="Paused"),COUNTIFS($A$5:A511,"&lt;&gt;",$B$5:B511,"Paused"),"")</f>
        <v/>
      </c>
      <c r="S511">
        <f>IF(M511="Yes",COUNTIF($M$5:M511,"Yes"),"")</f>
        <v/>
      </c>
    </row>
    <row r="512">
      <c r="A512" s="5" t="n"/>
      <c r="B512" s="51" t="n"/>
      <c r="C512" s="5" t="n"/>
      <c r="D512" s="52" t="n"/>
      <c r="E512" s="52" t="n"/>
      <c r="F512" s="52" t="n"/>
      <c r="G512" s="52" t="n"/>
      <c r="H512" s="52" t="n"/>
      <c r="I512" s="52" t="n"/>
      <c r="J512" s="52" t="n"/>
      <c r="K512" s="52" t="n"/>
      <c r="L512" s="51" t="n"/>
      <c r="M512" s="53">
        <f>IF(A512="","",IF(COUNTIF('AFA Rates'!$A$5:$A$1004,A512)&gt;0,"Yes","No"))</f>
        <v/>
      </c>
      <c r="N512" s="53">
        <f>IF(A512="","",COUNTIF('AFA Rates'!$A$5:$A$1004,A512))</f>
        <v/>
      </c>
      <c r="O512" s="54" t="n"/>
      <c r="P512" s="5" t="n"/>
      <c r="Q512" s="5" t="n"/>
      <c r="R512">
        <f>IF(AND(A512&lt;&gt;"",B512="Paused"),COUNTIFS($A$5:A512,"&lt;&gt;",$B$5:B512,"Paused"),"")</f>
        <v/>
      </c>
      <c r="S512">
        <f>IF(M512="Yes",COUNTIF($M$5:M512,"Yes"),"")</f>
        <v/>
      </c>
    </row>
    <row r="513">
      <c r="A513" s="5" t="n"/>
      <c r="B513" s="51" t="n"/>
      <c r="C513" s="5" t="n"/>
      <c r="D513" s="52" t="n"/>
      <c r="E513" s="52" t="n"/>
      <c r="F513" s="52" t="n"/>
      <c r="G513" s="52" t="n"/>
      <c r="H513" s="52" t="n"/>
      <c r="I513" s="52" t="n"/>
      <c r="J513" s="52" t="n"/>
      <c r="K513" s="52" t="n"/>
      <c r="L513" s="51" t="n"/>
      <c r="M513" s="53">
        <f>IF(A513="","",IF(COUNTIF('AFA Rates'!$A$5:$A$1004,A513)&gt;0,"Yes","No"))</f>
        <v/>
      </c>
      <c r="N513" s="53">
        <f>IF(A513="","",COUNTIF('AFA Rates'!$A$5:$A$1004,A513))</f>
        <v/>
      </c>
      <c r="O513" s="54" t="n"/>
      <c r="P513" s="5" t="n"/>
      <c r="Q513" s="5" t="n"/>
      <c r="R513">
        <f>IF(AND(A513&lt;&gt;"",B513="Paused"),COUNTIFS($A$5:A513,"&lt;&gt;",$B$5:B513,"Paused"),"")</f>
        <v/>
      </c>
      <c r="S513">
        <f>IF(M513="Yes",COUNTIF($M$5:M513,"Yes"),"")</f>
        <v/>
      </c>
    </row>
    <row r="514">
      <c r="A514" s="5" t="n"/>
      <c r="B514" s="51" t="n"/>
      <c r="C514" s="5" t="n"/>
      <c r="D514" s="52" t="n"/>
      <c r="E514" s="52" t="n"/>
      <c r="F514" s="52" t="n"/>
      <c r="G514" s="52" t="n"/>
      <c r="H514" s="52" t="n"/>
      <c r="I514" s="52" t="n"/>
      <c r="J514" s="52" t="n"/>
      <c r="K514" s="52" t="n"/>
      <c r="L514" s="51" t="n"/>
      <c r="M514" s="53">
        <f>IF(A514="","",IF(COUNTIF('AFA Rates'!$A$5:$A$1004,A514)&gt;0,"Yes","No"))</f>
        <v/>
      </c>
      <c r="N514" s="53">
        <f>IF(A514="","",COUNTIF('AFA Rates'!$A$5:$A$1004,A514))</f>
        <v/>
      </c>
      <c r="O514" s="54" t="n"/>
      <c r="P514" s="5" t="n"/>
      <c r="Q514" s="5" t="n"/>
      <c r="R514">
        <f>IF(AND(A514&lt;&gt;"",B514="Paused"),COUNTIFS($A$5:A514,"&lt;&gt;",$B$5:B514,"Paused"),"")</f>
        <v/>
      </c>
      <c r="S514">
        <f>IF(M514="Yes",COUNTIF($M$5:M514,"Yes"),"")</f>
        <v/>
      </c>
    </row>
    <row r="515">
      <c r="A515" s="5" t="n"/>
      <c r="B515" s="51" t="n"/>
      <c r="C515" s="5" t="n"/>
      <c r="D515" s="52" t="n"/>
      <c r="E515" s="52" t="n"/>
      <c r="F515" s="52" t="n"/>
      <c r="G515" s="52" t="n"/>
      <c r="H515" s="52" t="n"/>
      <c r="I515" s="52" t="n"/>
      <c r="J515" s="52" t="n"/>
      <c r="K515" s="52" t="n"/>
      <c r="L515" s="51" t="n"/>
      <c r="M515" s="53">
        <f>IF(A515="","",IF(COUNTIF('AFA Rates'!$A$5:$A$1004,A515)&gt;0,"Yes","No"))</f>
        <v/>
      </c>
      <c r="N515" s="53">
        <f>IF(A515="","",COUNTIF('AFA Rates'!$A$5:$A$1004,A515))</f>
        <v/>
      </c>
      <c r="O515" s="54" t="n"/>
      <c r="P515" s="5" t="n"/>
      <c r="Q515" s="5" t="n"/>
      <c r="R515">
        <f>IF(AND(A515&lt;&gt;"",B515="Paused"),COUNTIFS($A$5:A515,"&lt;&gt;",$B$5:B515,"Paused"),"")</f>
        <v/>
      </c>
      <c r="S515">
        <f>IF(M515="Yes",COUNTIF($M$5:M515,"Yes"),"")</f>
        <v/>
      </c>
    </row>
    <row r="516">
      <c r="A516" s="5" t="n"/>
      <c r="B516" s="51" t="n"/>
      <c r="C516" s="5" t="n"/>
      <c r="D516" s="52" t="n"/>
      <c r="E516" s="52" t="n"/>
      <c r="F516" s="52" t="n"/>
      <c r="G516" s="52" t="n"/>
      <c r="H516" s="52" t="n"/>
      <c r="I516" s="52" t="n"/>
      <c r="J516" s="52" t="n"/>
      <c r="K516" s="52" t="n"/>
      <c r="L516" s="51" t="n"/>
      <c r="M516" s="53">
        <f>IF(A516="","",IF(COUNTIF('AFA Rates'!$A$5:$A$1004,A516)&gt;0,"Yes","No"))</f>
        <v/>
      </c>
      <c r="N516" s="53">
        <f>IF(A516="","",COUNTIF('AFA Rates'!$A$5:$A$1004,A516))</f>
        <v/>
      </c>
      <c r="O516" s="54" t="n"/>
      <c r="P516" s="5" t="n"/>
      <c r="Q516" s="5" t="n"/>
      <c r="R516">
        <f>IF(AND(A516&lt;&gt;"",B516="Paused"),COUNTIFS($A$5:A516,"&lt;&gt;",$B$5:B516,"Paused"),"")</f>
        <v/>
      </c>
      <c r="S516">
        <f>IF(M516="Yes",COUNTIF($M$5:M516,"Yes"),"")</f>
        <v/>
      </c>
    </row>
    <row r="517">
      <c r="A517" s="5" t="n"/>
      <c r="B517" s="51" t="n"/>
      <c r="C517" s="5" t="n"/>
      <c r="D517" s="52" t="n"/>
      <c r="E517" s="52" t="n"/>
      <c r="F517" s="52" t="n"/>
      <c r="G517" s="52" t="n"/>
      <c r="H517" s="52" t="n"/>
      <c r="I517" s="52" t="n"/>
      <c r="J517" s="52" t="n"/>
      <c r="K517" s="52" t="n"/>
      <c r="L517" s="51" t="n"/>
      <c r="M517" s="53">
        <f>IF(A517="","",IF(COUNTIF('AFA Rates'!$A$5:$A$1004,A517)&gt;0,"Yes","No"))</f>
        <v/>
      </c>
      <c r="N517" s="53">
        <f>IF(A517="","",COUNTIF('AFA Rates'!$A$5:$A$1004,A517))</f>
        <v/>
      </c>
      <c r="O517" s="54" t="n"/>
      <c r="P517" s="5" t="n"/>
      <c r="Q517" s="5" t="n"/>
      <c r="R517">
        <f>IF(AND(A517&lt;&gt;"",B517="Paused"),COUNTIFS($A$5:A517,"&lt;&gt;",$B$5:B517,"Paused"),"")</f>
        <v/>
      </c>
      <c r="S517">
        <f>IF(M517="Yes",COUNTIF($M$5:M517,"Yes"),"")</f>
        <v/>
      </c>
    </row>
    <row r="518">
      <c r="A518" s="5" t="n"/>
      <c r="B518" s="51" t="n"/>
      <c r="C518" s="5" t="n"/>
      <c r="D518" s="52" t="n"/>
      <c r="E518" s="52" t="n"/>
      <c r="F518" s="52" t="n"/>
      <c r="G518" s="52" t="n"/>
      <c r="H518" s="52" t="n"/>
      <c r="I518" s="52" t="n"/>
      <c r="J518" s="52" t="n"/>
      <c r="K518" s="52" t="n"/>
      <c r="L518" s="51" t="n"/>
      <c r="M518" s="53">
        <f>IF(A518="","",IF(COUNTIF('AFA Rates'!$A$5:$A$1004,A518)&gt;0,"Yes","No"))</f>
        <v/>
      </c>
      <c r="N518" s="53">
        <f>IF(A518="","",COUNTIF('AFA Rates'!$A$5:$A$1004,A518))</f>
        <v/>
      </c>
      <c r="O518" s="54" t="n"/>
      <c r="P518" s="5" t="n"/>
      <c r="Q518" s="5" t="n"/>
      <c r="R518">
        <f>IF(AND(A518&lt;&gt;"",B518="Paused"),COUNTIFS($A$5:A518,"&lt;&gt;",$B$5:B518,"Paused"),"")</f>
        <v/>
      </c>
      <c r="S518">
        <f>IF(M518="Yes",COUNTIF($M$5:M518,"Yes"),"")</f>
        <v/>
      </c>
    </row>
    <row r="519">
      <c r="A519" s="5" t="n"/>
      <c r="B519" s="51" t="n"/>
      <c r="C519" s="5" t="n"/>
      <c r="D519" s="52" t="n"/>
      <c r="E519" s="52" t="n"/>
      <c r="F519" s="52" t="n"/>
      <c r="G519" s="52" t="n"/>
      <c r="H519" s="52" t="n"/>
      <c r="I519" s="52" t="n"/>
      <c r="J519" s="52" t="n"/>
      <c r="K519" s="52" t="n"/>
      <c r="L519" s="51" t="n"/>
      <c r="M519" s="53">
        <f>IF(A519="","",IF(COUNTIF('AFA Rates'!$A$5:$A$1004,A519)&gt;0,"Yes","No"))</f>
        <v/>
      </c>
      <c r="N519" s="53">
        <f>IF(A519="","",COUNTIF('AFA Rates'!$A$5:$A$1004,A519))</f>
        <v/>
      </c>
      <c r="O519" s="54" t="n"/>
      <c r="P519" s="5" t="n"/>
      <c r="Q519" s="5" t="n"/>
      <c r="R519">
        <f>IF(AND(A519&lt;&gt;"",B519="Paused"),COUNTIFS($A$5:A519,"&lt;&gt;",$B$5:B519,"Paused"),"")</f>
        <v/>
      </c>
      <c r="S519">
        <f>IF(M519="Yes",COUNTIF($M$5:M519,"Yes"),"")</f>
        <v/>
      </c>
    </row>
    <row r="520">
      <c r="A520" s="5" t="n"/>
      <c r="B520" s="51" t="n"/>
      <c r="C520" s="5" t="n"/>
      <c r="D520" s="52" t="n"/>
      <c r="E520" s="52" t="n"/>
      <c r="F520" s="52" t="n"/>
      <c r="G520" s="52" t="n"/>
      <c r="H520" s="52" t="n"/>
      <c r="I520" s="52" t="n"/>
      <c r="J520" s="52" t="n"/>
      <c r="K520" s="52" t="n"/>
      <c r="L520" s="51" t="n"/>
      <c r="M520" s="53">
        <f>IF(A520="","",IF(COUNTIF('AFA Rates'!$A$5:$A$1004,A520)&gt;0,"Yes","No"))</f>
        <v/>
      </c>
      <c r="N520" s="53">
        <f>IF(A520="","",COUNTIF('AFA Rates'!$A$5:$A$1004,A520))</f>
        <v/>
      </c>
      <c r="O520" s="54" t="n"/>
      <c r="P520" s="5" t="n"/>
      <c r="Q520" s="5" t="n"/>
      <c r="R520">
        <f>IF(AND(A520&lt;&gt;"",B520="Paused"),COUNTIFS($A$5:A520,"&lt;&gt;",$B$5:B520,"Paused"),"")</f>
        <v/>
      </c>
      <c r="S520">
        <f>IF(M520="Yes",COUNTIF($M$5:M520,"Yes"),"")</f>
        <v/>
      </c>
    </row>
    <row r="521">
      <c r="A521" s="5" t="n"/>
      <c r="B521" s="51" t="n"/>
      <c r="C521" s="5" t="n"/>
      <c r="D521" s="52" t="n"/>
      <c r="E521" s="52" t="n"/>
      <c r="F521" s="52" t="n"/>
      <c r="G521" s="52" t="n"/>
      <c r="H521" s="52" t="n"/>
      <c r="I521" s="52" t="n"/>
      <c r="J521" s="52" t="n"/>
      <c r="K521" s="52" t="n"/>
      <c r="L521" s="51" t="n"/>
      <c r="M521" s="53">
        <f>IF(A521="","",IF(COUNTIF('AFA Rates'!$A$5:$A$1004,A521)&gt;0,"Yes","No"))</f>
        <v/>
      </c>
      <c r="N521" s="53">
        <f>IF(A521="","",COUNTIF('AFA Rates'!$A$5:$A$1004,A521))</f>
        <v/>
      </c>
      <c r="O521" s="54" t="n"/>
      <c r="P521" s="5" t="n"/>
      <c r="Q521" s="5" t="n"/>
      <c r="R521">
        <f>IF(AND(A521&lt;&gt;"",B521="Paused"),COUNTIFS($A$5:A521,"&lt;&gt;",$B$5:B521,"Paused"),"")</f>
        <v/>
      </c>
      <c r="S521">
        <f>IF(M521="Yes",COUNTIF($M$5:M521,"Yes"),"")</f>
        <v/>
      </c>
    </row>
    <row r="522">
      <c r="A522" s="5" t="n"/>
      <c r="B522" s="51" t="n"/>
      <c r="C522" s="5" t="n"/>
      <c r="D522" s="52" t="n"/>
      <c r="E522" s="52" t="n"/>
      <c r="F522" s="52" t="n"/>
      <c r="G522" s="52" t="n"/>
      <c r="H522" s="52" t="n"/>
      <c r="I522" s="52" t="n"/>
      <c r="J522" s="52" t="n"/>
      <c r="K522" s="52" t="n"/>
      <c r="L522" s="51" t="n"/>
      <c r="M522" s="53">
        <f>IF(A522="","",IF(COUNTIF('AFA Rates'!$A$5:$A$1004,A522)&gt;0,"Yes","No"))</f>
        <v/>
      </c>
      <c r="N522" s="53">
        <f>IF(A522="","",COUNTIF('AFA Rates'!$A$5:$A$1004,A522))</f>
        <v/>
      </c>
      <c r="O522" s="54" t="n"/>
      <c r="P522" s="5" t="n"/>
      <c r="Q522" s="5" t="n"/>
      <c r="R522">
        <f>IF(AND(A522&lt;&gt;"",B522="Paused"),COUNTIFS($A$5:A522,"&lt;&gt;",$B$5:B522,"Paused"),"")</f>
        <v/>
      </c>
      <c r="S522">
        <f>IF(M522="Yes",COUNTIF($M$5:M522,"Yes"),"")</f>
        <v/>
      </c>
    </row>
    <row r="523">
      <c r="A523" s="5" t="n"/>
      <c r="B523" s="51" t="n"/>
      <c r="C523" s="5" t="n"/>
      <c r="D523" s="52" t="n"/>
      <c r="E523" s="52" t="n"/>
      <c r="F523" s="52" t="n"/>
      <c r="G523" s="52" t="n"/>
      <c r="H523" s="52" t="n"/>
      <c r="I523" s="52" t="n"/>
      <c r="J523" s="52" t="n"/>
      <c r="K523" s="52" t="n"/>
      <c r="L523" s="51" t="n"/>
      <c r="M523" s="53">
        <f>IF(A523="","",IF(COUNTIF('AFA Rates'!$A$5:$A$1004,A523)&gt;0,"Yes","No"))</f>
        <v/>
      </c>
      <c r="N523" s="53">
        <f>IF(A523="","",COUNTIF('AFA Rates'!$A$5:$A$1004,A523))</f>
        <v/>
      </c>
      <c r="O523" s="54" t="n"/>
      <c r="P523" s="5" t="n"/>
      <c r="Q523" s="5" t="n"/>
      <c r="R523">
        <f>IF(AND(A523&lt;&gt;"",B523="Paused"),COUNTIFS($A$5:A523,"&lt;&gt;",$B$5:B523,"Paused"),"")</f>
        <v/>
      </c>
      <c r="S523">
        <f>IF(M523="Yes",COUNTIF($M$5:M523,"Yes"),"")</f>
        <v/>
      </c>
    </row>
    <row r="524">
      <c r="A524" s="5" t="n"/>
      <c r="B524" s="51" t="n"/>
      <c r="C524" s="5" t="n"/>
      <c r="D524" s="52" t="n"/>
      <c r="E524" s="52" t="n"/>
      <c r="F524" s="52" t="n"/>
      <c r="G524" s="52" t="n"/>
      <c r="H524" s="52" t="n"/>
      <c r="I524" s="52" t="n"/>
      <c r="J524" s="52" t="n"/>
      <c r="K524" s="52" t="n"/>
      <c r="L524" s="51" t="n"/>
      <c r="M524" s="53">
        <f>IF(A524="","",IF(COUNTIF('AFA Rates'!$A$5:$A$1004,A524)&gt;0,"Yes","No"))</f>
        <v/>
      </c>
      <c r="N524" s="53">
        <f>IF(A524="","",COUNTIF('AFA Rates'!$A$5:$A$1004,A524))</f>
        <v/>
      </c>
      <c r="O524" s="54" t="n"/>
      <c r="P524" s="5" t="n"/>
      <c r="Q524" s="5" t="n"/>
      <c r="R524">
        <f>IF(AND(A524&lt;&gt;"",B524="Paused"),COUNTIFS($A$5:A524,"&lt;&gt;",$B$5:B524,"Paused"),"")</f>
        <v/>
      </c>
      <c r="S524">
        <f>IF(M524="Yes",COUNTIF($M$5:M524,"Yes"),"")</f>
        <v/>
      </c>
    </row>
    <row r="525">
      <c r="A525" s="5" t="n"/>
      <c r="B525" s="51" t="n"/>
      <c r="C525" s="5" t="n"/>
      <c r="D525" s="52" t="n"/>
      <c r="E525" s="52" t="n"/>
      <c r="F525" s="52" t="n"/>
      <c r="G525" s="52" t="n"/>
      <c r="H525" s="52" t="n"/>
      <c r="I525" s="52" t="n"/>
      <c r="J525" s="52" t="n"/>
      <c r="K525" s="52" t="n"/>
      <c r="L525" s="51" t="n"/>
      <c r="M525" s="53">
        <f>IF(A525="","",IF(COUNTIF('AFA Rates'!$A$5:$A$1004,A525)&gt;0,"Yes","No"))</f>
        <v/>
      </c>
      <c r="N525" s="53">
        <f>IF(A525="","",COUNTIF('AFA Rates'!$A$5:$A$1004,A525))</f>
        <v/>
      </c>
      <c r="O525" s="54" t="n"/>
      <c r="P525" s="5" t="n"/>
      <c r="Q525" s="5" t="n"/>
      <c r="R525">
        <f>IF(AND(A525&lt;&gt;"",B525="Paused"),COUNTIFS($A$5:A525,"&lt;&gt;",$B$5:B525,"Paused"),"")</f>
        <v/>
      </c>
      <c r="S525">
        <f>IF(M525="Yes",COUNTIF($M$5:M525,"Yes"),"")</f>
        <v/>
      </c>
    </row>
    <row r="526">
      <c r="A526" s="5" t="n"/>
      <c r="B526" s="51" t="n"/>
      <c r="C526" s="5" t="n"/>
      <c r="D526" s="52" t="n"/>
      <c r="E526" s="52" t="n"/>
      <c r="F526" s="52" t="n"/>
      <c r="G526" s="52" t="n"/>
      <c r="H526" s="52" t="n"/>
      <c r="I526" s="52" t="n"/>
      <c r="J526" s="52" t="n"/>
      <c r="K526" s="52" t="n"/>
      <c r="L526" s="51" t="n"/>
      <c r="M526" s="53">
        <f>IF(A526="","",IF(COUNTIF('AFA Rates'!$A$5:$A$1004,A526)&gt;0,"Yes","No"))</f>
        <v/>
      </c>
      <c r="N526" s="53">
        <f>IF(A526="","",COUNTIF('AFA Rates'!$A$5:$A$1004,A526))</f>
        <v/>
      </c>
      <c r="O526" s="54" t="n"/>
      <c r="P526" s="5" t="n"/>
      <c r="Q526" s="5" t="n"/>
      <c r="R526">
        <f>IF(AND(A526&lt;&gt;"",B526="Paused"),COUNTIFS($A$5:A526,"&lt;&gt;",$B$5:B526,"Paused"),"")</f>
        <v/>
      </c>
      <c r="S526">
        <f>IF(M526="Yes",COUNTIF($M$5:M526,"Yes"),"")</f>
        <v/>
      </c>
    </row>
    <row r="527">
      <c r="A527" s="5" t="n"/>
      <c r="B527" s="51" t="n"/>
      <c r="C527" s="5" t="n"/>
      <c r="D527" s="52" t="n"/>
      <c r="E527" s="52" t="n"/>
      <c r="F527" s="52" t="n"/>
      <c r="G527" s="52" t="n"/>
      <c r="H527" s="52" t="n"/>
      <c r="I527" s="52" t="n"/>
      <c r="J527" s="52" t="n"/>
      <c r="K527" s="52" t="n"/>
      <c r="L527" s="51" t="n"/>
      <c r="M527" s="53">
        <f>IF(A527="","",IF(COUNTIF('AFA Rates'!$A$5:$A$1004,A527)&gt;0,"Yes","No"))</f>
        <v/>
      </c>
      <c r="N527" s="53">
        <f>IF(A527="","",COUNTIF('AFA Rates'!$A$5:$A$1004,A527))</f>
        <v/>
      </c>
      <c r="O527" s="54" t="n"/>
      <c r="P527" s="5" t="n"/>
      <c r="Q527" s="5" t="n"/>
      <c r="R527">
        <f>IF(AND(A527&lt;&gt;"",B527="Paused"),COUNTIFS($A$5:A527,"&lt;&gt;",$B$5:B527,"Paused"),"")</f>
        <v/>
      </c>
      <c r="S527">
        <f>IF(M527="Yes",COUNTIF($M$5:M527,"Yes"),"")</f>
        <v/>
      </c>
    </row>
    <row r="528">
      <c r="A528" s="5" t="n"/>
      <c r="B528" s="51" t="n"/>
      <c r="C528" s="5" t="n"/>
      <c r="D528" s="52" t="n"/>
      <c r="E528" s="52" t="n"/>
      <c r="F528" s="52" t="n"/>
      <c r="G528" s="52" t="n"/>
      <c r="H528" s="52" t="n"/>
      <c r="I528" s="52" t="n"/>
      <c r="J528" s="52" t="n"/>
      <c r="K528" s="52" t="n"/>
      <c r="L528" s="51" t="n"/>
      <c r="M528" s="53">
        <f>IF(A528="","",IF(COUNTIF('AFA Rates'!$A$5:$A$1004,A528)&gt;0,"Yes","No"))</f>
        <v/>
      </c>
      <c r="N528" s="53">
        <f>IF(A528="","",COUNTIF('AFA Rates'!$A$5:$A$1004,A528))</f>
        <v/>
      </c>
      <c r="O528" s="54" t="n"/>
      <c r="P528" s="5" t="n"/>
      <c r="Q528" s="5" t="n"/>
      <c r="R528">
        <f>IF(AND(A528&lt;&gt;"",B528="Paused"),COUNTIFS($A$5:A528,"&lt;&gt;",$B$5:B528,"Paused"),"")</f>
        <v/>
      </c>
      <c r="S528">
        <f>IF(M528="Yes",COUNTIF($M$5:M528,"Yes"),"")</f>
        <v/>
      </c>
    </row>
    <row r="529">
      <c r="A529" s="5" t="n"/>
      <c r="B529" s="51" t="n"/>
      <c r="C529" s="5" t="n"/>
      <c r="D529" s="52" t="n"/>
      <c r="E529" s="52" t="n"/>
      <c r="F529" s="52" t="n"/>
      <c r="G529" s="52" t="n"/>
      <c r="H529" s="52" t="n"/>
      <c r="I529" s="52" t="n"/>
      <c r="J529" s="52" t="n"/>
      <c r="K529" s="52" t="n"/>
      <c r="L529" s="51" t="n"/>
      <c r="M529" s="53">
        <f>IF(A529="","",IF(COUNTIF('AFA Rates'!$A$5:$A$1004,A529)&gt;0,"Yes","No"))</f>
        <v/>
      </c>
      <c r="N529" s="53">
        <f>IF(A529="","",COUNTIF('AFA Rates'!$A$5:$A$1004,A529))</f>
        <v/>
      </c>
      <c r="O529" s="54" t="n"/>
      <c r="P529" s="5" t="n"/>
      <c r="Q529" s="5" t="n"/>
      <c r="R529">
        <f>IF(AND(A529&lt;&gt;"",B529="Paused"),COUNTIFS($A$5:A529,"&lt;&gt;",$B$5:B529,"Paused"),"")</f>
        <v/>
      </c>
      <c r="S529">
        <f>IF(M529="Yes",COUNTIF($M$5:M529,"Yes"),"")</f>
        <v/>
      </c>
    </row>
    <row r="530">
      <c r="A530" s="5" t="n"/>
      <c r="B530" s="51" t="n"/>
      <c r="C530" s="5" t="n"/>
      <c r="D530" s="52" t="n"/>
      <c r="E530" s="52" t="n"/>
      <c r="F530" s="52" t="n"/>
      <c r="G530" s="52" t="n"/>
      <c r="H530" s="52" t="n"/>
      <c r="I530" s="52" t="n"/>
      <c r="J530" s="52" t="n"/>
      <c r="K530" s="52" t="n"/>
      <c r="L530" s="51" t="n"/>
      <c r="M530" s="53">
        <f>IF(A530="","",IF(COUNTIF('AFA Rates'!$A$5:$A$1004,A530)&gt;0,"Yes","No"))</f>
        <v/>
      </c>
      <c r="N530" s="53">
        <f>IF(A530="","",COUNTIF('AFA Rates'!$A$5:$A$1004,A530))</f>
        <v/>
      </c>
      <c r="O530" s="54" t="n"/>
      <c r="P530" s="5" t="n"/>
      <c r="Q530" s="5" t="n"/>
      <c r="R530">
        <f>IF(AND(A530&lt;&gt;"",B530="Paused"),COUNTIFS($A$5:A530,"&lt;&gt;",$B$5:B530,"Paused"),"")</f>
        <v/>
      </c>
      <c r="S530">
        <f>IF(M530="Yes",COUNTIF($M$5:M530,"Yes"),"")</f>
        <v/>
      </c>
    </row>
    <row r="531">
      <c r="A531" s="5" t="n"/>
      <c r="B531" s="51" t="n"/>
      <c r="C531" s="5" t="n"/>
      <c r="D531" s="52" t="n"/>
      <c r="E531" s="52" t="n"/>
      <c r="F531" s="52" t="n"/>
      <c r="G531" s="52" t="n"/>
      <c r="H531" s="52" t="n"/>
      <c r="I531" s="52" t="n"/>
      <c r="J531" s="52" t="n"/>
      <c r="K531" s="52" t="n"/>
      <c r="L531" s="51" t="n"/>
      <c r="M531" s="53">
        <f>IF(A531="","",IF(COUNTIF('AFA Rates'!$A$5:$A$1004,A531)&gt;0,"Yes","No"))</f>
        <v/>
      </c>
      <c r="N531" s="53">
        <f>IF(A531="","",COUNTIF('AFA Rates'!$A$5:$A$1004,A531))</f>
        <v/>
      </c>
      <c r="O531" s="54" t="n"/>
      <c r="P531" s="5" t="n"/>
      <c r="Q531" s="5" t="n"/>
      <c r="R531">
        <f>IF(AND(A531&lt;&gt;"",B531="Paused"),COUNTIFS($A$5:A531,"&lt;&gt;",$B$5:B531,"Paused"),"")</f>
        <v/>
      </c>
      <c r="S531">
        <f>IF(M531="Yes",COUNTIF($M$5:M531,"Yes"),"")</f>
        <v/>
      </c>
    </row>
    <row r="532">
      <c r="A532" s="5" t="n"/>
      <c r="B532" s="51" t="n"/>
      <c r="C532" s="5" t="n"/>
      <c r="D532" s="52" t="n"/>
      <c r="E532" s="52" t="n"/>
      <c r="F532" s="52" t="n"/>
      <c r="G532" s="52" t="n"/>
      <c r="H532" s="52" t="n"/>
      <c r="I532" s="52" t="n"/>
      <c r="J532" s="52" t="n"/>
      <c r="K532" s="52" t="n"/>
      <c r="L532" s="51" t="n"/>
      <c r="M532" s="53">
        <f>IF(A532="","",IF(COUNTIF('AFA Rates'!$A$5:$A$1004,A532)&gt;0,"Yes","No"))</f>
        <v/>
      </c>
      <c r="N532" s="53">
        <f>IF(A532="","",COUNTIF('AFA Rates'!$A$5:$A$1004,A532))</f>
        <v/>
      </c>
      <c r="O532" s="54" t="n"/>
      <c r="P532" s="5" t="n"/>
      <c r="Q532" s="5" t="n"/>
      <c r="R532">
        <f>IF(AND(A532&lt;&gt;"",B532="Paused"),COUNTIFS($A$5:A532,"&lt;&gt;",$B$5:B532,"Paused"),"")</f>
        <v/>
      </c>
      <c r="S532">
        <f>IF(M532="Yes",COUNTIF($M$5:M532,"Yes"),"")</f>
        <v/>
      </c>
    </row>
    <row r="533">
      <c r="A533" s="5" t="n"/>
      <c r="B533" s="51" t="n"/>
      <c r="C533" s="5" t="n"/>
      <c r="D533" s="52" t="n"/>
      <c r="E533" s="52" t="n"/>
      <c r="F533" s="52" t="n"/>
      <c r="G533" s="52" t="n"/>
      <c r="H533" s="52" t="n"/>
      <c r="I533" s="52" t="n"/>
      <c r="J533" s="52" t="n"/>
      <c r="K533" s="52" t="n"/>
      <c r="L533" s="51" t="n"/>
      <c r="M533" s="53">
        <f>IF(A533="","",IF(COUNTIF('AFA Rates'!$A$5:$A$1004,A533)&gt;0,"Yes","No"))</f>
        <v/>
      </c>
      <c r="N533" s="53">
        <f>IF(A533="","",COUNTIF('AFA Rates'!$A$5:$A$1004,A533))</f>
        <v/>
      </c>
      <c r="O533" s="54" t="n"/>
      <c r="P533" s="5" t="n"/>
      <c r="Q533" s="5" t="n"/>
      <c r="R533">
        <f>IF(AND(A533&lt;&gt;"",B533="Paused"),COUNTIFS($A$5:A533,"&lt;&gt;",$B$5:B533,"Paused"),"")</f>
        <v/>
      </c>
      <c r="S533">
        <f>IF(M533="Yes",COUNTIF($M$5:M533,"Yes"),"")</f>
        <v/>
      </c>
    </row>
    <row r="534">
      <c r="A534" s="5" t="n"/>
      <c r="B534" s="51" t="n"/>
      <c r="C534" s="5" t="n"/>
      <c r="D534" s="52" t="n"/>
      <c r="E534" s="52" t="n"/>
      <c r="F534" s="52" t="n"/>
      <c r="G534" s="52" t="n"/>
      <c r="H534" s="52" t="n"/>
      <c r="I534" s="52" t="n"/>
      <c r="J534" s="52" t="n"/>
      <c r="K534" s="52" t="n"/>
      <c r="L534" s="51" t="n"/>
      <c r="M534" s="53">
        <f>IF(A534="","",IF(COUNTIF('AFA Rates'!$A$5:$A$1004,A534)&gt;0,"Yes","No"))</f>
        <v/>
      </c>
      <c r="N534" s="53">
        <f>IF(A534="","",COUNTIF('AFA Rates'!$A$5:$A$1004,A534))</f>
        <v/>
      </c>
      <c r="O534" s="54" t="n"/>
      <c r="P534" s="5" t="n"/>
      <c r="Q534" s="5" t="n"/>
      <c r="R534">
        <f>IF(AND(A534&lt;&gt;"",B534="Paused"),COUNTIFS($A$5:A534,"&lt;&gt;",$B$5:B534,"Paused"),"")</f>
        <v/>
      </c>
      <c r="S534">
        <f>IF(M534="Yes",COUNTIF($M$5:M534,"Yes"),"")</f>
        <v/>
      </c>
    </row>
    <row r="535">
      <c r="A535" s="5" t="n"/>
      <c r="B535" s="51" t="n"/>
      <c r="C535" s="5" t="n"/>
      <c r="D535" s="52" t="n"/>
      <c r="E535" s="52" t="n"/>
      <c r="F535" s="52" t="n"/>
      <c r="G535" s="52" t="n"/>
      <c r="H535" s="52" t="n"/>
      <c r="I535" s="52" t="n"/>
      <c r="J535" s="52" t="n"/>
      <c r="K535" s="52" t="n"/>
      <c r="L535" s="51" t="n"/>
      <c r="M535" s="53">
        <f>IF(A535="","",IF(COUNTIF('AFA Rates'!$A$5:$A$1004,A535)&gt;0,"Yes","No"))</f>
        <v/>
      </c>
      <c r="N535" s="53">
        <f>IF(A535="","",COUNTIF('AFA Rates'!$A$5:$A$1004,A535))</f>
        <v/>
      </c>
      <c r="O535" s="54" t="n"/>
      <c r="P535" s="5" t="n"/>
      <c r="Q535" s="5" t="n"/>
      <c r="R535">
        <f>IF(AND(A535&lt;&gt;"",B535="Paused"),COUNTIFS($A$5:A535,"&lt;&gt;",$B$5:B535,"Paused"),"")</f>
        <v/>
      </c>
      <c r="S535">
        <f>IF(M535="Yes",COUNTIF($M$5:M535,"Yes"),"")</f>
        <v/>
      </c>
    </row>
    <row r="536">
      <c r="A536" s="5" t="n"/>
      <c r="B536" s="51" t="n"/>
      <c r="C536" s="5" t="n"/>
      <c r="D536" s="52" t="n"/>
      <c r="E536" s="52" t="n"/>
      <c r="F536" s="52" t="n"/>
      <c r="G536" s="52" t="n"/>
      <c r="H536" s="52" t="n"/>
      <c r="I536" s="52" t="n"/>
      <c r="J536" s="52" t="n"/>
      <c r="K536" s="52" t="n"/>
      <c r="L536" s="51" t="n"/>
      <c r="M536" s="53">
        <f>IF(A536="","",IF(COUNTIF('AFA Rates'!$A$5:$A$1004,A536)&gt;0,"Yes","No"))</f>
        <v/>
      </c>
      <c r="N536" s="53">
        <f>IF(A536="","",COUNTIF('AFA Rates'!$A$5:$A$1004,A536))</f>
        <v/>
      </c>
      <c r="O536" s="54" t="n"/>
      <c r="P536" s="5" t="n"/>
      <c r="Q536" s="5" t="n"/>
      <c r="R536">
        <f>IF(AND(A536&lt;&gt;"",B536="Paused"),COUNTIFS($A$5:A536,"&lt;&gt;",$B$5:B536,"Paused"),"")</f>
        <v/>
      </c>
      <c r="S536">
        <f>IF(M536="Yes",COUNTIF($M$5:M536,"Yes"),"")</f>
        <v/>
      </c>
    </row>
    <row r="537">
      <c r="A537" s="5" t="n"/>
      <c r="B537" s="51" t="n"/>
      <c r="C537" s="5" t="n"/>
      <c r="D537" s="52" t="n"/>
      <c r="E537" s="52" t="n"/>
      <c r="F537" s="52" t="n"/>
      <c r="G537" s="52" t="n"/>
      <c r="H537" s="52" t="n"/>
      <c r="I537" s="52" t="n"/>
      <c r="J537" s="52" t="n"/>
      <c r="K537" s="52" t="n"/>
      <c r="L537" s="51" t="n"/>
      <c r="M537" s="53">
        <f>IF(A537="","",IF(COUNTIF('AFA Rates'!$A$5:$A$1004,A537)&gt;0,"Yes","No"))</f>
        <v/>
      </c>
      <c r="N537" s="53">
        <f>IF(A537="","",COUNTIF('AFA Rates'!$A$5:$A$1004,A537))</f>
        <v/>
      </c>
      <c r="O537" s="54" t="n"/>
      <c r="P537" s="5" t="n"/>
      <c r="Q537" s="5" t="n"/>
      <c r="R537">
        <f>IF(AND(A537&lt;&gt;"",B537="Paused"),COUNTIFS($A$5:A537,"&lt;&gt;",$B$5:B537,"Paused"),"")</f>
        <v/>
      </c>
      <c r="S537">
        <f>IF(M537="Yes",COUNTIF($M$5:M537,"Yes"),"")</f>
        <v/>
      </c>
    </row>
    <row r="538">
      <c r="A538" s="5" t="n"/>
      <c r="B538" s="51" t="n"/>
      <c r="C538" s="5" t="n"/>
      <c r="D538" s="52" t="n"/>
      <c r="E538" s="52" t="n"/>
      <c r="F538" s="52" t="n"/>
      <c r="G538" s="52" t="n"/>
      <c r="H538" s="52" t="n"/>
      <c r="I538" s="52" t="n"/>
      <c r="J538" s="52" t="n"/>
      <c r="K538" s="52" t="n"/>
      <c r="L538" s="51" t="n"/>
      <c r="M538" s="53">
        <f>IF(A538="","",IF(COUNTIF('AFA Rates'!$A$5:$A$1004,A538)&gt;0,"Yes","No"))</f>
        <v/>
      </c>
      <c r="N538" s="53">
        <f>IF(A538="","",COUNTIF('AFA Rates'!$A$5:$A$1004,A538))</f>
        <v/>
      </c>
      <c r="O538" s="54" t="n"/>
      <c r="P538" s="5" t="n"/>
      <c r="Q538" s="5" t="n"/>
      <c r="R538">
        <f>IF(AND(A538&lt;&gt;"",B538="Paused"),COUNTIFS($A$5:A538,"&lt;&gt;",$B$5:B538,"Paused"),"")</f>
        <v/>
      </c>
      <c r="S538">
        <f>IF(M538="Yes",COUNTIF($M$5:M538,"Yes"),"")</f>
        <v/>
      </c>
    </row>
    <row r="539">
      <c r="A539" s="5" t="n"/>
      <c r="B539" s="51" t="n"/>
      <c r="C539" s="5" t="n"/>
      <c r="D539" s="52" t="n"/>
      <c r="E539" s="52" t="n"/>
      <c r="F539" s="52" t="n"/>
      <c r="G539" s="52" t="n"/>
      <c r="H539" s="52" t="n"/>
      <c r="I539" s="52" t="n"/>
      <c r="J539" s="52" t="n"/>
      <c r="K539" s="52" t="n"/>
      <c r="L539" s="51" t="n"/>
      <c r="M539" s="53">
        <f>IF(A539="","",IF(COUNTIF('AFA Rates'!$A$5:$A$1004,A539)&gt;0,"Yes","No"))</f>
        <v/>
      </c>
      <c r="N539" s="53">
        <f>IF(A539="","",COUNTIF('AFA Rates'!$A$5:$A$1004,A539))</f>
        <v/>
      </c>
      <c r="O539" s="54" t="n"/>
      <c r="P539" s="5" t="n"/>
      <c r="Q539" s="5" t="n"/>
      <c r="R539">
        <f>IF(AND(A539&lt;&gt;"",B539="Paused"),COUNTIFS($A$5:A539,"&lt;&gt;",$B$5:B539,"Paused"),"")</f>
        <v/>
      </c>
      <c r="S539">
        <f>IF(M539="Yes",COUNTIF($M$5:M539,"Yes"),"")</f>
        <v/>
      </c>
    </row>
    <row r="540">
      <c r="A540" s="5" t="n"/>
      <c r="B540" s="51" t="n"/>
      <c r="C540" s="5" t="n"/>
      <c r="D540" s="52" t="n"/>
      <c r="E540" s="52" t="n"/>
      <c r="F540" s="52" t="n"/>
      <c r="G540" s="52" t="n"/>
      <c r="H540" s="52" t="n"/>
      <c r="I540" s="52" t="n"/>
      <c r="J540" s="52" t="n"/>
      <c r="K540" s="52" t="n"/>
      <c r="L540" s="51" t="n"/>
      <c r="M540" s="53">
        <f>IF(A540="","",IF(COUNTIF('AFA Rates'!$A$5:$A$1004,A540)&gt;0,"Yes","No"))</f>
        <v/>
      </c>
      <c r="N540" s="53">
        <f>IF(A540="","",COUNTIF('AFA Rates'!$A$5:$A$1004,A540))</f>
        <v/>
      </c>
      <c r="O540" s="54" t="n"/>
      <c r="P540" s="5" t="n"/>
      <c r="Q540" s="5" t="n"/>
      <c r="R540">
        <f>IF(AND(A540&lt;&gt;"",B540="Paused"),COUNTIFS($A$5:A540,"&lt;&gt;",$B$5:B540,"Paused"),"")</f>
        <v/>
      </c>
      <c r="S540">
        <f>IF(M540="Yes",COUNTIF($M$5:M540,"Yes"),"")</f>
        <v/>
      </c>
    </row>
    <row r="541">
      <c r="A541" s="5" t="n"/>
      <c r="B541" s="51" t="n"/>
      <c r="C541" s="5" t="n"/>
      <c r="D541" s="52" t="n"/>
      <c r="E541" s="52" t="n"/>
      <c r="F541" s="52" t="n"/>
      <c r="G541" s="52" t="n"/>
      <c r="H541" s="52" t="n"/>
      <c r="I541" s="52" t="n"/>
      <c r="J541" s="52" t="n"/>
      <c r="K541" s="52" t="n"/>
      <c r="L541" s="51" t="n"/>
      <c r="M541" s="53">
        <f>IF(A541="","",IF(COUNTIF('AFA Rates'!$A$5:$A$1004,A541)&gt;0,"Yes","No"))</f>
        <v/>
      </c>
      <c r="N541" s="53">
        <f>IF(A541="","",COUNTIF('AFA Rates'!$A$5:$A$1004,A541))</f>
        <v/>
      </c>
      <c r="O541" s="54" t="n"/>
      <c r="P541" s="5" t="n"/>
      <c r="Q541" s="5" t="n"/>
      <c r="R541">
        <f>IF(AND(A541&lt;&gt;"",B541="Paused"),COUNTIFS($A$5:A541,"&lt;&gt;",$B$5:B541,"Paused"),"")</f>
        <v/>
      </c>
      <c r="S541">
        <f>IF(M541="Yes",COUNTIF($M$5:M541,"Yes"),"")</f>
        <v/>
      </c>
    </row>
    <row r="542">
      <c r="A542" s="5" t="n"/>
      <c r="B542" s="51" t="n"/>
      <c r="C542" s="5" t="n"/>
      <c r="D542" s="52" t="n"/>
      <c r="E542" s="52" t="n"/>
      <c r="F542" s="52" t="n"/>
      <c r="G542" s="52" t="n"/>
      <c r="H542" s="52" t="n"/>
      <c r="I542" s="52" t="n"/>
      <c r="J542" s="52" t="n"/>
      <c r="K542" s="52" t="n"/>
      <c r="L542" s="51" t="n"/>
      <c r="M542" s="53">
        <f>IF(A542="","",IF(COUNTIF('AFA Rates'!$A$5:$A$1004,A542)&gt;0,"Yes","No"))</f>
        <v/>
      </c>
      <c r="N542" s="53">
        <f>IF(A542="","",COUNTIF('AFA Rates'!$A$5:$A$1004,A542))</f>
        <v/>
      </c>
      <c r="O542" s="54" t="n"/>
      <c r="P542" s="5" t="n"/>
      <c r="Q542" s="5" t="n"/>
      <c r="R542">
        <f>IF(AND(A542&lt;&gt;"",B542="Paused"),COUNTIFS($A$5:A542,"&lt;&gt;",$B$5:B542,"Paused"),"")</f>
        <v/>
      </c>
      <c r="S542">
        <f>IF(M542="Yes",COUNTIF($M$5:M542,"Yes"),"")</f>
        <v/>
      </c>
    </row>
    <row r="543">
      <c r="A543" s="5" t="n"/>
      <c r="B543" s="51" t="n"/>
      <c r="C543" s="5" t="n"/>
      <c r="D543" s="52" t="n"/>
      <c r="E543" s="52" t="n"/>
      <c r="F543" s="52" t="n"/>
      <c r="G543" s="52" t="n"/>
      <c r="H543" s="52" t="n"/>
      <c r="I543" s="52" t="n"/>
      <c r="J543" s="52" t="n"/>
      <c r="K543" s="52" t="n"/>
      <c r="L543" s="51" t="n"/>
      <c r="M543" s="53">
        <f>IF(A543="","",IF(COUNTIF('AFA Rates'!$A$5:$A$1004,A543)&gt;0,"Yes","No"))</f>
        <v/>
      </c>
      <c r="N543" s="53">
        <f>IF(A543="","",COUNTIF('AFA Rates'!$A$5:$A$1004,A543))</f>
        <v/>
      </c>
      <c r="O543" s="54" t="n"/>
      <c r="P543" s="5" t="n"/>
      <c r="Q543" s="5" t="n"/>
      <c r="R543">
        <f>IF(AND(A543&lt;&gt;"",B543="Paused"),COUNTIFS($A$5:A543,"&lt;&gt;",$B$5:B543,"Paused"),"")</f>
        <v/>
      </c>
      <c r="S543">
        <f>IF(M543="Yes",COUNTIF($M$5:M543,"Yes"),"")</f>
        <v/>
      </c>
    </row>
    <row r="544">
      <c r="A544" s="5" t="n"/>
      <c r="B544" s="51" t="n"/>
      <c r="C544" s="5" t="n"/>
      <c r="D544" s="52" t="n"/>
      <c r="E544" s="52" t="n"/>
      <c r="F544" s="52" t="n"/>
      <c r="G544" s="52" t="n"/>
      <c r="H544" s="52" t="n"/>
      <c r="I544" s="52" t="n"/>
      <c r="J544" s="52" t="n"/>
      <c r="K544" s="52" t="n"/>
      <c r="L544" s="51" t="n"/>
      <c r="M544" s="53">
        <f>IF(A544="","",IF(COUNTIF('AFA Rates'!$A$5:$A$1004,A544)&gt;0,"Yes","No"))</f>
        <v/>
      </c>
      <c r="N544" s="53">
        <f>IF(A544="","",COUNTIF('AFA Rates'!$A$5:$A$1004,A544))</f>
        <v/>
      </c>
      <c r="O544" s="54" t="n"/>
      <c r="P544" s="5" t="n"/>
      <c r="Q544" s="5" t="n"/>
      <c r="R544">
        <f>IF(AND(A544&lt;&gt;"",B544="Paused"),COUNTIFS($A$5:A544,"&lt;&gt;",$B$5:B544,"Paused"),"")</f>
        <v/>
      </c>
      <c r="S544">
        <f>IF(M544="Yes",COUNTIF($M$5:M544,"Yes"),"")</f>
        <v/>
      </c>
    </row>
    <row r="545">
      <c r="A545" s="5" t="n"/>
      <c r="B545" s="51" t="n"/>
      <c r="C545" s="5" t="n"/>
      <c r="D545" s="52" t="n"/>
      <c r="E545" s="52" t="n"/>
      <c r="F545" s="52" t="n"/>
      <c r="G545" s="52" t="n"/>
      <c r="H545" s="52" t="n"/>
      <c r="I545" s="52" t="n"/>
      <c r="J545" s="52" t="n"/>
      <c r="K545" s="52" t="n"/>
      <c r="L545" s="51" t="n"/>
      <c r="M545" s="53">
        <f>IF(A545="","",IF(COUNTIF('AFA Rates'!$A$5:$A$1004,A545)&gt;0,"Yes","No"))</f>
        <v/>
      </c>
      <c r="N545" s="53">
        <f>IF(A545="","",COUNTIF('AFA Rates'!$A$5:$A$1004,A545))</f>
        <v/>
      </c>
      <c r="O545" s="54" t="n"/>
      <c r="P545" s="5" t="n"/>
      <c r="Q545" s="5" t="n"/>
      <c r="R545">
        <f>IF(AND(A545&lt;&gt;"",B545="Paused"),COUNTIFS($A$5:A545,"&lt;&gt;",$B$5:B545,"Paused"),"")</f>
        <v/>
      </c>
      <c r="S545">
        <f>IF(M545="Yes",COUNTIF($M$5:M545,"Yes"),"")</f>
        <v/>
      </c>
    </row>
    <row r="546">
      <c r="A546" s="5" t="n"/>
      <c r="B546" s="51" t="n"/>
      <c r="C546" s="5" t="n"/>
      <c r="D546" s="52" t="n"/>
      <c r="E546" s="52" t="n"/>
      <c r="F546" s="52" t="n"/>
      <c r="G546" s="52" t="n"/>
      <c r="H546" s="52" t="n"/>
      <c r="I546" s="52" t="n"/>
      <c r="J546" s="52" t="n"/>
      <c r="K546" s="52" t="n"/>
      <c r="L546" s="51" t="n"/>
      <c r="M546" s="53">
        <f>IF(A546="","",IF(COUNTIF('AFA Rates'!$A$5:$A$1004,A546)&gt;0,"Yes","No"))</f>
        <v/>
      </c>
      <c r="N546" s="53">
        <f>IF(A546="","",COUNTIF('AFA Rates'!$A$5:$A$1004,A546))</f>
        <v/>
      </c>
      <c r="O546" s="54" t="n"/>
      <c r="P546" s="5" t="n"/>
      <c r="Q546" s="5" t="n"/>
      <c r="R546">
        <f>IF(AND(A546&lt;&gt;"",B546="Paused"),COUNTIFS($A$5:A546,"&lt;&gt;",$B$5:B546,"Paused"),"")</f>
        <v/>
      </c>
      <c r="S546">
        <f>IF(M546="Yes",COUNTIF($M$5:M546,"Yes"),"")</f>
        <v/>
      </c>
    </row>
    <row r="547">
      <c r="A547" s="5" t="n"/>
      <c r="B547" s="51" t="n"/>
      <c r="C547" s="5" t="n"/>
      <c r="D547" s="52" t="n"/>
      <c r="E547" s="52" t="n"/>
      <c r="F547" s="52" t="n"/>
      <c r="G547" s="52" t="n"/>
      <c r="H547" s="52" t="n"/>
      <c r="I547" s="52" t="n"/>
      <c r="J547" s="52" t="n"/>
      <c r="K547" s="52" t="n"/>
      <c r="L547" s="51" t="n"/>
      <c r="M547" s="53">
        <f>IF(A547="","",IF(COUNTIF('AFA Rates'!$A$5:$A$1004,A547)&gt;0,"Yes","No"))</f>
        <v/>
      </c>
      <c r="N547" s="53">
        <f>IF(A547="","",COUNTIF('AFA Rates'!$A$5:$A$1004,A547))</f>
        <v/>
      </c>
      <c r="O547" s="54" t="n"/>
      <c r="P547" s="5" t="n"/>
      <c r="Q547" s="5" t="n"/>
      <c r="R547">
        <f>IF(AND(A547&lt;&gt;"",B547="Paused"),COUNTIFS($A$5:A547,"&lt;&gt;",$B$5:B547,"Paused"),"")</f>
        <v/>
      </c>
      <c r="S547">
        <f>IF(M547="Yes",COUNTIF($M$5:M547,"Yes"),"")</f>
        <v/>
      </c>
    </row>
    <row r="548">
      <c r="A548" s="5" t="n"/>
      <c r="B548" s="51" t="n"/>
      <c r="C548" s="5" t="n"/>
      <c r="D548" s="52" t="n"/>
      <c r="E548" s="52" t="n"/>
      <c r="F548" s="52" t="n"/>
      <c r="G548" s="52" t="n"/>
      <c r="H548" s="52" t="n"/>
      <c r="I548" s="52" t="n"/>
      <c r="J548" s="52" t="n"/>
      <c r="K548" s="52" t="n"/>
      <c r="L548" s="51" t="n"/>
      <c r="M548" s="53">
        <f>IF(A548="","",IF(COUNTIF('AFA Rates'!$A$5:$A$1004,A548)&gt;0,"Yes","No"))</f>
        <v/>
      </c>
      <c r="N548" s="53">
        <f>IF(A548="","",COUNTIF('AFA Rates'!$A$5:$A$1004,A548))</f>
        <v/>
      </c>
      <c r="O548" s="54" t="n"/>
      <c r="P548" s="5" t="n"/>
      <c r="Q548" s="5" t="n"/>
      <c r="R548">
        <f>IF(AND(A548&lt;&gt;"",B548="Paused"),COUNTIFS($A$5:A548,"&lt;&gt;",$B$5:B548,"Paused"),"")</f>
        <v/>
      </c>
      <c r="S548">
        <f>IF(M548="Yes",COUNTIF($M$5:M548,"Yes"),"")</f>
        <v/>
      </c>
    </row>
    <row r="549">
      <c r="A549" s="5" t="n"/>
      <c r="B549" s="51" t="n"/>
      <c r="C549" s="5" t="n"/>
      <c r="D549" s="52" t="n"/>
      <c r="E549" s="52" t="n"/>
      <c r="F549" s="52" t="n"/>
      <c r="G549" s="52" t="n"/>
      <c r="H549" s="52" t="n"/>
      <c r="I549" s="52" t="n"/>
      <c r="J549" s="52" t="n"/>
      <c r="K549" s="52" t="n"/>
      <c r="L549" s="51" t="n"/>
      <c r="M549" s="53">
        <f>IF(A549="","",IF(COUNTIF('AFA Rates'!$A$5:$A$1004,A549)&gt;0,"Yes","No"))</f>
        <v/>
      </c>
      <c r="N549" s="53">
        <f>IF(A549="","",COUNTIF('AFA Rates'!$A$5:$A$1004,A549))</f>
        <v/>
      </c>
      <c r="O549" s="54" t="n"/>
      <c r="P549" s="5" t="n"/>
      <c r="Q549" s="5" t="n"/>
      <c r="R549">
        <f>IF(AND(A549&lt;&gt;"",B549="Paused"),COUNTIFS($A$5:A549,"&lt;&gt;",$B$5:B549,"Paused"),"")</f>
        <v/>
      </c>
      <c r="S549">
        <f>IF(M549="Yes",COUNTIF($M$5:M549,"Yes"),"")</f>
        <v/>
      </c>
    </row>
    <row r="550">
      <c r="A550" s="5" t="n"/>
      <c r="B550" s="51" t="n"/>
      <c r="C550" s="5" t="n"/>
      <c r="D550" s="52" t="n"/>
      <c r="E550" s="52" t="n"/>
      <c r="F550" s="52" t="n"/>
      <c r="G550" s="52" t="n"/>
      <c r="H550" s="52" t="n"/>
      <c r="I550" s="52" t="n"/>
      <c r="J550" s="52" t="n"/>
      <c r="K550" s="52" t="n"/>
      <c r="L550" s="51" t="n"/>
      <c r="M550" s="53">
        <f>IF(A550="","",IF(COUNTIF('AFA Rates'!$A$5:$A$1004,A550)&gt;0,"Yes","No"))</f>
        <v/>
      </c>
      <c r="N550" s="53">
        <f>IF(A550="","",COUNTIF('AFA Rates'!$A$5:$A$1004,A550))</f>
        <v/>
      </c>
      <c r="O550" s="54" t="n"/>
      <c r="P550" s="5" t="n"/>
      <c r="Q550" s="5" t="n"/>
      <c r="R550">
        <f>IF(AND(A550&lt;&gt;"",B550="Paused"),COUNTIFS($A$5:A550,"&lt;&gt;",$B$5:B550,"Paused"),"")</f>
        <v/>
      </c>
      <c r="S550">
        <f>IF(M550="Yes",COUNTIF($M$5:M550,"Yes"),"")</f>
        <v/>
      </c>
    </row>
    <row r="551">
      <c r="A551" s="5" t="n"/>
      <c r="B551" s="51" t="n"/>
      <c r="C551" s="5" t="n"/>
      <c r="D551" s="52" t="n"/>
      <c r="E551" s="52" t="n"/>
      <c r="F551" s="52" t="n"/>
      <c r="G551" s="52" t="n"/>
      <c r="H551" s="52" t="n"/>
      <c r="I551" s="52" t="n"/>
      <c r="J551" s="52" t="n"/>
      <c r="K551" s="52" t="n"/>
      <c r="L551" s="51" t="n"/>
      <c r="M551" s="53">
        <f>IF(A551="","",IF(COUNTIF('AFA Rates'!$A$5:$A$1004,A551)&gt;0,"Yes","No"))</f>
        <v/>
      </c>
      <c r="N551" s="53">
        <f>IF(A551="","",COUNTIF('AFA Rates'!$A$5:$A$1004,A551))</f>
        <v/>
      </c>
      <c r="O551" s="54" t="n"/>
      <c r="P551" s="5" t="n"/>
      <c r="Q551" s="5" t="n"/>
      <c r="R551">
        <f>IF(AND(A551&lt;&gt;"",B551="Paused"),COUNTIFS($A$5:A551,"&lt;&gt;",$B$5:B551,"Paused"),"")</f>
        <v/>
      </c>
      <c r="S551">
        <f>IF(M551="Yes",COUNTIF($M$5:M551,"Yes"),"")</f>
        <v/>
      </c>
    </row>
    <row r="552">
      <c r="A552" s="5" t="n"/>
      <c r="B552" s="51" t="n"/>
      <c r="C552" s="5" t="n"/>
      <c r="D552" s="52" t="n"/>
      <c r="E552" s="52" t="n"/>
      <c r="F552" s="52" t="n"/>
      <c r="G552" s="52" t="n"/>
      <c r="H552" s="52" t="n"/>
      <c r="I552" s="52" t="n"/>
      <c r="J552" s="52" t="n"/>
      <c r="K552" s="52" t="n"/>
      <c r="L552" s="51" t="n"/>
      <c r="M552" s="53">
        <f>IF(A552="","",IF(COUNTIF('AFA Rates'!$A$5:$A$1004,A552)&gt;0,"Yes","No"))</f>
        <v/>
      </c>
      <c r="N552" s="53">
        <f>IF(A552="","",COUNTIF('AFA Rates'!$A$5:$A$1004,A552))</f>
        <v/>
      </c>
      <c r="O552" s="54" t="n"/>
      <c r="P552" s="5" t="n"/>
      <c r="Q552" s="5" t="n"/>
      <c r="R552">
        <f>IF(AND(A552&lt;&gt;"",B552="Paused"),COUNTIFS($A$5:A552,"&lt;&gt;",$B$5:B552,"Paused"),"")</f>
        <v/>
      </c>
      <c r="S552">
        <f>IF(M552="Yes",COUNTIF($M$5:M552,"Yes"),"")</f>
        <v/>
      </c>
    </row>
    <row r="553">
      <c r="A553" s="5" t="n"/>
      <c r="B553" s="51" t="n"/>
      <c r="C553" s="5" t="n"/>
      <c r="D553" s="52" t="n"/>
      <c r="E553" s="52" t="n"/>
      <c r="F553" s="52" t="n"/>
      <c r="G553" s="52" t="n"/>
      <c r="H553" s="52" t="n"/>
      <c r="I553" s="52" t="n"/>
      <c r="J553" s="52" t="n"/>
      <c r="K553" s="52" t="n"/>
      <c r="L553" s="51" t="n"/>
      <c r="M553" s="53">
        <f>IF(A553="","",IF(COUNTIF('AFA Rates'!$A$5:$A$1004,A553)&gt;0,"Yes","No"))</f>
        <v/>
      </c>
      <c r="N553" s="53">
        <f>IF(A553="","",COUNTIF('AFA Rates'!$A$5:$A$1004,A553))</f>
        <v/>
      </c>
      <c r="O553" s="54" t="n"/>
      <c r="P553" s="5" t="n"/>
      <c r="Q553" s="5" t="n"/>
      <c r="R553">
        <f>IF(AND(A553&lt;&gt;"",B553="Paused"),COUNTIFS($A$5:A553,"&lt;&gt;",$B$5:B553,"Paused"),"")</f>
        <v/>
      </c>
      <c r="S553">
        <f>IF(M553="Yes",COUNTIF($M$5:M553,"Yes"),"")</f>
        <v/>
      </c>
    </row>
    <row r="554">
      <c r="A554" s="5" t="n"/>
      <c r="B554" s="51" t="n"/>
      <c r="C554" s="5" t="n"/>
      <c r="D554" s="52" t="n"/>
      <c r="E554" s="52" t="n"/>
      <c r="F554" s="52" t="n"/>
      <c r="G554" s="52" t="n"/>
      <c r="H554" s="52" t="n"/>
      <c r="I554" s="52" t="n"/>
      <c r="J554" s="52" t="n"/>
      <c r="K554" s="52" t="n"/>
      <c r="L554" s="51" t="n"/>
      <c r="M554" s="53">
        <f>IF(A554="","",IF(COUNTIF('AFA Rates'!$A$5:$A$1004,A554)&gt;0,"Yes","No"))</f>
        <v/>
      </c>
      <c r="N554" s="53">
        <f>IF(A554="","",COUNTIF('AFA Rates'!$A$5:$A$1004,A554))</f>
        <v/>
      </c>
      <c r="O554" s="54" t="n"/>
      <c r="P554" s="5" t="n"/>
      <c r="Q554" s="5" t="n"/>
      <c r="R554">
        <f>IF(AND(A554&lt;&gt;"",B554="Paused"),COUNTIFS($A$5:A554,"&lt;&gt;",$B$5:B554,"Paused"),"")</f>
        <v/>
      </c>
      <c r="S554">
        <f>IF(M554="Yes",COUNTIF($M$5:M554,"Yes"),"")</f>
        <v/>
      </c>
    </row>
    <row r="555">
      <c r="A555" s="5" t="n"/>
      <c r="B555" s="51" t="n"/>
      <c r="C555" s="5" t="n"/>
      <c r="D555" s="52" t="n"/>
      <c r="E555" s="52" t="n"/>
      <c r="F555" s="52" t="n"/>
      <c r="G555" s="52" t="n"/>
      <c r="H555" s="52" t="n"/>
      <c r="I555" s="52" t="n"/>
      <c r="J555" s="52" t="n"/>
      <c r="K555" s="52" t="n"/>
      <c r="L555" s="51" t="n"/>
      <c r="M555" s="53">
        <f>IF(A555="","",IF(COUNTIF('AFA Rates'!$A$5:$A$1004,A555)&gt;0,"Yes","No"))</f>
        <v/>
      </c>
      <c r="N555" s="53">
        <f>IF(A555="","",COUNTIF('AFA Rates'!$A$5:$A$1004,A555))</f>
        <v/>
      </c>
      <c r="O555" s="54" t="n"/>
      <c r="P555" s="5" t="n"/>
      <c r="Q555" s="5" t="n"/>
      <c r="R555">
        <f>IF(AND(A555&lt;&gt;"",B555="Paused"),COUNTIFS($A$5:A555,"&lt;&gt;",$B$5:B555,"Paused"),"")</f>
        <v/>
      </c>
      <c r="S555">
        <f>IF(M555="Yes",COUNTIF($M$5:M555,"Yes"),"")</f>
        <v/>
      </c>
    </row>
    <row r="556">
      <c r="A556" s="5" t="n"/>
      <c r="B556" s="51" t="n"/>
      <c r="C556" s="5" t="n"/>
      <c r="D556" s="52" t="n"/>
      <c r="E556" s="52" t="n"/>
      <c r="F556" s="52" t="n"/>
      <c r="G556" s="52" t="n"/>
      <c r="H556" s="52" t="n"/>
      <c r="I556" s="52" t="n"/>
      <c r="J556" s="52" t="n"/>
      <c r="K556" s="52" t="n"/>
      <c r="L556" s="51" t="n"/>
      <c r="M556" s="53">
        <f>IF(A556="","",IF(COUNTIF('AFA Rates'!$A$5:$A$1004,A556)&gt;0,"Yes","No"))</f>
        <v/>
      </c>
      <c r="N556" s="53">
        <f>IF(A556="","",COUNTIF('AFA Rates'!$A$5:$A$1004,A556))</f>
        <v/>
      </c>
      <c r="O556" s="54" t="n"/>
      <c r="P556" s="5" t="n"/>
      <c r="Q556" s="5" t="n"/>
      <c r="R556">
        <f>IF(AND(A556&lt;&gt;"",B556="Paused"),COUNTIFS($A$5:A556,"&lt;&gt;",$B$5:B556,"Paused"),"")</f>
        <v/>
      </c>
      <c r="S556">
        <f>IF(M556="Yes",COUNTIF($M$5:M556,"Yes"),"")</f>
        <v/>
      </c>
    </row>
    <row r="557">
      <c r="A557" s="5" t="n"/>
      <c r="B557" s="51" t="n"/>
      <c r="C557" s="5" t="n"/>
      <c r="D557" s="52" t="n"/>
      <c r="E557" s="52" t="n"/>
      <c r="F557" s="52" t="n"/>
      <c r="G557" s="52" t="n"/>
      <c r="H557" s="52" t="n"/>
      <c r="I557" s="52" t="n"/>
      <c r="J557" s="52" t="n"/>
      <c r="K557" s="52" t="n"/>
      <c r="L557" s="51" t="n"/>
      <c r="M557" s="53">
        <f>IF(A557="","",IF(COUNTIF('AFA Rates'!$A$5:$A$1004,A557)&gt;0,"Yes","No"))</f>
        <v/>
      </c>
      <c r="N557" s="53">
        <f>IF(A557="","",COUNTIF('AFA Rates'!$A$5:$A$1004,A557))</f>
        <v/>
      </c>
      <c r="O557" s="54" t="n"/>
      <c r="P557" s="5" t="n"/>
      <c r="Q557" s="5" t="n"/>
      <c r="R557">
        <f>IF(AND(A557&lt;&gt;"",B557="Paused"),COUNTIFS($A$5:A557,"&lt;&gt;",$B$5:B557,"Paused"),"")</f>
        <v/>
      </c>
      <c r="S557">
        <f>IF(M557="Yes",COUNTIF($M$5:M557,"Yes"),"")</f>
        <v/>
      </c>
    </row>
    <row r="558">
      <c r="A558" s="5" t="n"/>
      <c r="B558" s="51" t="n"/>
      <c r="C558" s="5" t="n"/>
      <c r="D558" s="52" t="n"/>
      <c r="E558" s="52" t="n"/>
      <c r="F558" s="52" t="n"/>
      <c r="G558" s="52" t="n"/>
      <c r="H558" s="52" t="n"/>
      <c r="I558" s="52" t="n"/>
      <c r="J558" s="52" t="n"/>
      <c r="K558" s="52" t="n"/>
      <c r="L558" s="51" t="n"/>
      <c r="M558" s="53">
        <f>IF(A558="","",IF(COUNTIF('AFA Rates'!$A$5:$A$1004,A558)&gt;0,"Yes","No"))</f>
        <v/>
      </c>
      <c r="N558" s="53">
        <f>IF(A558="","",COUNTIF('AFA Rates'!$A$5:$A$1004,A558))</f>
        <v/>
      </c>
      <c r="O558" s="54" t="n"/>
      <c r="P558" s="5" t="n"/>
      <c r="Q558" s="5" t="n"/>
      <c r="R558">
        <f>IF(AND(A558&lt;&gt;"",B558="Paused"),COUNTIFS($A$5:A558,"&lt;&gt;",$B$5:B558,"Paused"),"")</f>
        <v/>
      </c>
      <c r="S558">
        <f>IF(M558="Yes",COUNTIF($M$5:M558,"Yes"),"")</f>
        <v/>
      </c>
    </row>
    <row r="559">
      <c r="A559" s="5" t="n"/>
      <c r="B559" s="51" t="n"/>
      <c r="C559" s="5" t="n"/>
      <c r="D559" s="52" t="n"/>
      <c r="E559" s="52" t="n"/>
      <c r="F559" s="52" t="n"/>
      <c r="G559" s="52" t="n"/>
      <c r="H559" s="52" t="n"/>
      <c r="I559" s="52" t="n"/>
      <c r="J559" s="52" t="n"/>
      <c r="K559" s="52" t="n"/>
      <c r="L559" s="51" t="n"/>
      <c r="M559" s="53">
        <f>IF(A559="","",IF(COUNTIF('AFA Rates'!$A$5:$A$1004,A559)&gt;0,"Yes","No"))</f>
        <v/>
      </c>
      <c r="N559" s="53">
        <f>IF(A559="","",COUNTIF('AFA Rates'!$A$5:$A$1004,A559))</f>
        <v/>
      </c>
      <c r="O559" s="54" t="n"/>
      <c r="P559" s="5" t="n"/>
      <c r="Q559" s="5" t="n"/>
      <c r="R559">
        <f>IF(AND(A559&lt;&gt;"",B559="Paused"),COUNTIFS($A$5:A559,"&lt;&gt;",$B$5:B559,"Paused"),"")</f>
        <v/>
      </c>
      <c r="S559">
        <f>IF(M559="Yes",COUNTIF($M$5:M559,"Yes"),"")</f>
        <v/>
      </c>
    </row>
    <row r="560">
      <c r="A560" s="5" t="n"/>
      <c r="B560" s="51" t="n"/>
      <c r="C560" s="5" t="n"/>
      <c r="D560" s="52" t="n"/>
      <c r="E560" s="52" t="n"/>
      <c r="F560" s="52" t="n"/>
      <c r="G560" s="52" t="n"/>
      <c r="H560" s="52" t="n"/>
      <c r="I560" s="52" t="n"/>
      <c r="J560" s="52" t="n"/>
      <c r="K560" s="52" t="n"/>
      <c r="L560" s="51" t="n"/>
      <c r="M560" s="53">
        <f>IF(A560="","",IF(COUNTIF('AFA Rates'!$A$5:$A$1004,A560)&gt;0,"Yes","No"))</f>
        <v/>
      </c>
      <c r="N560" s="53">
        <f>IF(A560="","",COUNTIF('AFA Rates'!$A$5:$A$1004,A560))</f>
        <v/>
      </c>
      <c r="O560" s="54" t="n"/>
      <c r="P560" s="5" t="n"/>
      <c r="Q560" s="5" t="n"/>
      <c r="R560">
        <f>IF(AND(A560&lt;&gt;"",B560="Paused"),COUNTIFS($A$5:A560,"&lt;&gt;",$B$5:B560,"Paused"),"")</f>
        <v/>
      </c>
      <c r="S560">
        <f>IF(M560="Yes",COUNTIF($M$5:M560,"Yes"),"")</f>
        <v/>
      </c>
    </row>
    <row r="561">
      <c r="A561" s="5" t="n"/>
      <c r="B561" s="51" t="n"/>
      <c r="C561" s="5" t="n"/>
      <c r="D561" s="52" t="n"/>
      <c r="E561" s="52" t="n"/>
      <c r="F561" s="52" t="n"/>
      <c r="G561" s="52" t="n"/>
      <c r="H561" s="52" t="n"/>
      <c r="I561" s="52" t="n"/>
      <c r="J561" s="52" t="n"/>
      <c r="K561" s="52" t="n"/>
      <c r="L561" s="51" t="n"/>
      <c r="M561" s="53">
        <f>IF(A561="","",IF(COUNTIF('AFA Rates'!$A$5:$A$1004,A561)&gt;0,"Yes","No"))</f>
        <v/>
      </c>
      <c r="N561" s="53">
        <f>IF(A561="","",COUNTIF('AFA Rates'!$A$5:$A$1004,A561))</f>
        <v/>
      </c>
      <c r="O561" s="54" t="n"/>
      <c r="P561" s="5" t="n"/>
      <c r="Q561" s="5" t="n"/>
      <c r="R561">
        <f>IF(AND(A561&lt;&gt;"",B561="Paused"),COUNTIFS($A$5:A561,"&lt;&gt;",$B$5:B561,"Paused"),"")</f>
        <v/>
      </c>
      <c r="S561">
        <f>IF(M561="Yes",COUNTIF($M$5:M561,"Yes"),"")</f>
        <v/>
      </c>
    </row>
    <row r="562">
      <c r="A562" s="5" t="n"/>
      <c r="B562" s="51" t="n"/>
      <c r="C562" s="5" t="n"/>
      <c r="D562" s="52" t="n"/>
      <c r="E562" s="52" t="n"/>
      <c r="F562" s="52" t="n"/>
      <c r="G562" s="52" t="n"/>
      <c r="H562" s="52" t="n"/>
      <c r="I562" s="52" t="n"/>
      <c r="J562" s="52" t="n"/>
      <c r="K562" s="52" t="n"/>
      <c r="L562" s="51" t="n"/>
      <c r="M562" s="53">
        <f>IF(A562="","",IF(COUNTIF('AFA Rates'!$A$5:$A$1004,A562)&gt;0,"Yes","No"))</f>
        <v/>
      </c>
      <c r="N562" s="53">
        <f>IF(A562="","",COUNTIF('AFA Rates'!$A$5:$A$1004,A562))</f>
        <v/>
      </c>
      <c r="O562" s="54" t="n"/>
      <c r="P562" s="5" t="n"/>
      <c r="Q562" s="5" t="n"/>
      <c r="R562">
        <f>IF(AND(A562&lt;&gt;"",B562="Paused"),COUNTIFS($A$5:A562,"&lt;&gt;",$B$5:B562,"Paused"),"")</f>
        <v/>
      </c>
      <c r="S562">
        <f>IF(M562="Yes",COUNTIF($M$5:M562,"Yes"),"")</f>
        <v/>
      </c>
    </row>
    <row r="563">
      <c r="A563" s="5" t="n"/>
      <c r="B563" s="51" t="n"/>
      <c r="C563" s="5" t="n"/>
      <c r="D563" s="52" t="n"/>
      <c r="E563" s="52" t="n"/>
      <c r="F563" s="52" t="n"/>
      <c r="G563" s="52" t="n"/>
      <c r="H563" s="52" t="n"/>
      <c r="I563" s="52" t="n"/>
      <c r="J563" s="52" t="n"/>
      <c r="K563" s="52" t="n"/>
      <c r="L563" s="51" t="n"/>
      <c r="M563" s="53">
        <f>IF(A563="","",IF(COUNTIF('AFA Rates'!$A$5:$A$1004,A563)&gt;0,"Yes","No"))</f>
        <v/>
      </c>
      <c r="N563" s="53">
        <f>IF(A563="","",COUNTIF('AFA Rates'!$A$5:$A$1004,A563))</f>
        <v/>
      </c>
      <c r="O563" s="54" t="n"/>
      <c r="P563" s="5" t="n"/>
      <c r="Q563" s="5" t="n"/>
      <c r="R563">
        <f>IF(AND(A563&lt;&gt;"",B563="Paused"),COUNTIFS($A$5:A563,"&lt;&gt;",$B$5:B563,"Paused"),"")</f>
        <v/>
      </c>
      <c r="S563">
        <f>IF(M563="Yes",COUNTIF($M$5:M563,"Yes"),"")</f>
        <v/>
      </c>
    </row>
    <row r="564">
      <c r="A564" s="5" t="n"/>
      <c r="B564" s="51" t="n"/>
      <c r="C564" s="5" t="n"/>
      <c r="D564" s="52" t="n"/>
      <c r="E564" s="52" t="n"/>
      <c r="F564" s="52" t="n"/>
      <c r="G564" s="52" t="n"/>
      <c r="H564" s="52" t="n"/>
      <c r="I564" s="52" t="n"/>
      <c r="J564" s="52" t="n"/>
      <c r="K564" s="52" t="n"/>
      <c r="L564" s="51" t="n"/>
      <c r="M564" s="53">
        <f>IF(A564="","",IF(COUNTIF('AFA Rates'!$A$5:$A$1004,A564)&gt;0,"Yes","No"))</f>
        <v/>
      </c>
      <c r="N564" s="53">
        <f>IF(A564="","",COUNTIF('AFA Rates'!$A$5:$A$1004,A564))</f>
        <v/>
      </c>
      <c r="O564" s="54" t="n"/>
      <c r="P564" s="5" t="n"/>
      <c r="Q564" s="5" t="n"/>
      <c r="R564">
        <f>IF(AND(A564&lt;&gt;"",B564="Paused"),COUNTIFS($A$5:A564,"&lt;&gt;",$B$5:B564,"Paused"),"")</f>
        <v/>
      </c>
      <c r="S564">
        <f>IF(M564="Yes",COUNTIF($M$5:M564,"Yes"),"")</f>
        <v/>
      </c>
    </row>
    <row r="565">
      <c r="A565" s="5" t="n"/>
      <c r="B565" s="51" t="n"/>
      <c r="C565" s="5" t="n"/>
      <c r="D565" s="52" t="n"/>
      <c r="E565" s="52" t="n"/>
      <c r="F565" s="52" t="n"/>
      <c r="G565" s="52" t="n"/>
      <c r="H565" s="52" t="n"/>
      <c r="I565" s="52" t="n"/>
      <c r="J565" s="52" t="n"/>
      <c r="K565" s="52" t="n"/>
      <c r="L565" s="51" t="n"/>
      <c r="M565" s="53">
        <f>IF(A565="","",IF(COUNTIF('AFA Rates'!$A$5:$A$1004,A565)&gt;0,"Yes","No"))</f>
        <v/>
      </c>
      <c r="N565" s="53">
        <f>IF(A565="","",COUNTIF('AFA Rates'!$A$5:$A$1004,A565))</f>
        <v/>
      </c>
      <c r="O565" s="54" t="n"/>
      <c r="P565" s="5" t="n"/>
      <c r="Q565" s="5" t="n"/>
      <c r="R565">
        <f>IF(AND(A565&lt;&gt;"",B565="Paused"),COUNTIFS($A$5:A565,"&lt;&gt;",$B$5:B565,"Paused"),"")</f>
        <v/>
      </c>
      <c r="S565">
        <f>IF(M565="Yes",COUNTIF($M$5:M565,"Yes"),"")</f>
        <v/>
      </c>
    </row>
    <row r="566">
      <c r="A566" s="5" t="n"/>
      <c r="B566" s="51" t="n"/>
      <c r="C566" s="5" t="n"/>
      <c r="D566" s="52" t="n"/>
      <c r="E566" s="52" t="n"/>
      <c r="F566" s="52" t="n"/>
      <c r="G566" s="52" t="n"/>
      <c r="H566" s="52" t="n"/>
      <c r="I566" s="52" t="n"/>
      <c r="J566" s="52" t="n"/>
      <c r="K566" s="52" t="n"/>
      <c r="L566" s="51" t="n"/>
      <c r="M566" s="53">
        <f>IF(A566="","",IF(COUNTIF('AFA Rates'!$A$5:$A$1004,A566)&gt;0,"Yes","No"))</f>
        <v/>
      </c>
      <c r="N566" s="53">
        <f>IF(A566="","",COUNTIF('AFA Rates'!$A$5:$A$1004,A566))</f>
        <v/>
      </c>
      <c r="O566" s="54" t="n"/>
      <c r="P566" s="5" t="n"/>
      <c r="Q566" s="5" t="n"/>
      <c r="R566">
        <f>IF(AND(A566&lt;&gt;"",B566="Paused"),COUNTIFS($A$5:A566,"&lt;&gt;",$B$5:B566,"Paused"),"")</f>
        <v/>
      </c>
      <c r="S566">
        <f>IF(M566="Yes",COUNTIF($M$5:M566,"Yes"),"")</f>
        <v/>
      </c>
    </row>
    <row r="567">
      <c r="A567" s="5" t="n"/>
      <c r="B567" s="51" t="n"/>
      <c r="C567" s="5" t="n"/>
      <c r="D567" s="52" t="n"/>
      <c r="E567" s="52" t="n"/>
      <c r="F567" s="52" t="n"/>
      <c r="G567" s="52" t="n"/>
      <c r="H567" s="52" t="n"/>
      <c r="I567" s="52" t="n"/>
      <c r="J567" s="52" t="n"/>
      <c r="K567" s="52" t="n"/>
      <c r="L567" s="51" t="n"/>
      <c r="M567" s="53">
        <f>IF(A567="","",IF(COUNTIF('AFA Rates'!$A$5:$A$1004,A567)&gt;0,"Yes","No"))</f>
        <v/>
      </c>
      <c r="N567" s="53">
        <f>IF(A567="","",COUNTIF('AFA Rates'!$A$5:$A$1004,A567))</f>
        <v/>
      </c>
      <c r="O567" s="54" t="n"/>
      <c r="P567" s="5" t="n"/>
      <c r="Q567" s="5" t="n"/>
      <c r="R567">
        <f>IF(AND(A567&lt;&gt;"",B567="Paused"),COUNTIFS($A$5:A567,"&lt;&gt;",$B$5:B567,"Paused"),"")</f>
        <v/>
      </c>
      <c r="S567">
        <f>IF(M567="Yes",COUNTIF($M$5:M567,"Yes"),"")</f>
        <v/>
      </c>
    </row>
    <row r="568">
      <c r="A568" s="5" t="n"/>
      <c r="B568" s="51" t="n"/>
      <c r="C568" s="5" t="n"/>
      <c r="D568" s="52" t="n"/>
      <c r="E568" s="52" t="n"/>
      <c r="F568" s="52" t="n"/>
      <c r="G568" s="52" t="n"/>
      <c r="H568" s="52" t="n"/>
      <c r="I568" s="52" t="n"/>
      <c r="J568" s="52" t="n"/>
      <c r="K568" s="52" t="n"/>
      <c r="L568" s="51" t="n"/>
      <c r="M568" s="53">
        <f>IF(A568="","",IF(COUNTIF('AFA Rates'!$A$5:$A$1004,A568)&gt;0,"Yes","No"))</f>
        <v/>
      </c>
      <c r="N568" s="53">
        <f>IF(A568="","",COUNTIF('AFA Rates'!$A$5:$A$1004,A568))</f>
        <v/>
      </c>
      <c r="O568" s="54" t="n"/>
      <c r="P568" s="5" t="n"/>
      <c r="Q568" s="5" t="n"/>
      <c r="R568">
        <f>IF(AND(A568&lt;&gt;"",B568="Paused"),COUNTIFS($A$5:A568,"&lt;&gt;",$B$5:B568,"Paused"),"")</f>
        <v/>
      </c>
      <c r="S568">
        <f>IF(M568="Yes",COUNTIF($M$5:M568,"Yes"),"")</f>
        <v/>
      </c>
    </row>
    <row r="569">
      <c r="A569" s="5" t="n"/>
      <c r="B569" s="51" t="n"/>
      <c r="C569" s="5" t="n"/>
      <c r="D569" s="52" t="n"/>
      <c r="E569" s="52" t="n"/>
      <c r="F569" s="52" t="n"/>
      <c r="G569" s="52" t="n"/>
      <c r="H569" s="52" t="n"/>
      <c r="I569" s="52" t="n"/>
      <c r="J569" s="52" t="n"/>
      <c r="K569" s="52" t="n"/>
      <c r="L569" s="51" t="n"/>
      <c r="M569" s="53">
        <f>IF(A569="","",IF(COUNTIF('AFA Rates'!$A$5:$A$1004,A569)&gt;0,"Yes","No"))</f>
        <v/>
      </c>
      <c r="N569" s="53">
        <f>IF(A569="","",COUNTIF('AFA Rates'!$A$5:$A$1004,A569))</f>
        <v/>
      </c>
      <c r="O569" s="54" t="n"/>
      <c r="P569" s="5" t="n"/>
      <c r="Q569" s="5" t="n"/>
      <c r="R569">
        <f>IF(AND(A569&lt;&gt;"",B569="Paused"),COUNTIFS($A$5:A569,"&lt;&gt;",$B$5:B569,"Paused"),"")</f>
        <v/>
      </c>
      <c r="S569">
        <f>IF(M569="Yes",COUNTIF($M$5:M569,"Yes"),"")</f>
        <v/>
      </c>
    </row>
    <row r="570">
      <c r="A570" s="5" t="n"/>
      <c r="B570" s="51" t="n"/>
      <c r="C570" s="5" t="n"/>
      <c r="D570" s="52" t="n"/>
      <c r="E570" s="52" t="n"/>
      <c r="F570" s="52" t="n"/>
      <c r="G570" s="52" t="n"/>
      <c r="H570" s="52" t="n"/>
      <c r="I570" s="52" t="n"/>
      <c r="J570" s="52" t="n"/>
      <c r="K570" s="52" t="n"/>
      <c r="L570" s="51" t="n"/>
      <c r="M570" s="53">
        <f>IF(A570="","",IF(COUNTIF('AFA Rates'!$A$5:$A$1004,A570)&gt;0,"Yes","No"))</f>
        <v/>
      </c>
      <c r="N570" s="53">
        <f>IF(A570="","",COUNTIF('AFA Rates'!$A$5:$A$1004,A570))</f>
        <v/>
      </c>
      <c r="O570" s="54" t="n"/>
      <c r="P570" s="5" t="n"/>
      <c r="Q570" s="5" t="n"/>
      <c r="R570">
        <f>IF(AND(A570&lt;&gt;"",B570="Paused"),COUNTIFS($A$5:A570,"&lt;&gt;",$B$5:B570,"Paused"),"")</f>
        <v/>
      </c>
      <c r="S570">
        <f>IF(M570="Yes",COUNTIF($M$5:M570,"Yes"),"")</f>
        <v/>
      </c>
    </row>
    <row r="571">
      <c r="A571" s="5" t="n"/>
      <c r="B571" s="51" t="n"/>
      <c r="C571" s="5" t="n"/>
      <c r="D571" s="52" t="n"/>
      <c r="E571" s="52" t="n"/>
      <c r="F571" s="52" t="n"/>
      <c r="G571" s="52" t="n"/>
      <c r="H571" s="52" t="n"/>
      <c r="I571" s="52" t="n"/>
      <c r="J571" s="52" t="n"/>
      <c r="K571" s="52" t="n"/>
      <c r="L571" s="51" t="n"/>
      <c r="M571" s="53">
        <f>IF(A571="","",IF(COUNTIF('AFA Rates'!$A$5:$A$1004,A571)&gt;0,"Yes","No"))</f>
        <v/>
      </c>
      <c r="N571" s="53">
        <f>IF(A571="","",COUNTIF('AFA Rates'!$A$5:$A$1004,A571))</f>
        <v/>
      </c>
      <c r="O571" s="54" t="n"/>
      <c r="P571" s="5" t="n"/>
      <c r="Q571" s="5" t="n"/>
      <c r="R571">
        <f>IF(AND(A571&lt;&gt;"",B571="Paused"),COUNTIFS($A$5:A571,"&lt;&gt;",$B$5:B571,"Paused"),"")</f>
        <v/>
      </c>
      <c r="S571">
        <f>IF(M571="Yes",COUNTIF($M$5:M571,"Yes"),"")</f>
        <v/>
      </c>
    </row>
    <row r="572">
      <c r="A572" s="5" t="n"/>
      <c r="B572" s="51" t="n"/>
      <c r="C572" s="5" t="n"/>
      <c r="D572" s="52" t="n"/>
      <c r="E572" s="52" t="n"/>
      <c r="F572" s="52" t="n"/>
      <c r="G572" s="52" t="n"/>
      <c r="H572" s="52" t="n"/>
      <c r="I572" s="52" t="n"/>
      <c r="J572" s="52" t="n"/>
      <c r="K572" s="52" t="n"/>
      <c r="L572" s="51" t="n"/>
      <c r="M572" s="53">
        <f>IF(A572="","",IF(COUNTIF('AFA Rates'!$A$5:$A$1004,A572)&gt;0,"Yes","No"))</f>
        <v/>
      </c>
      <c r="N572" s="53">
        <f>IF(A572="","",COUNTIF('AFA Rates'!$A$5:$A$1004,A572))</f>
        <v/>
      </c>
      <c r="O572" s="54" t="n"/>
      <c r="P572" s="5" t="n"/>
      <c r="Q572" s="5" t="n"/>
      <c r="R572">
        <f>IF(AND(A572&lt;&gt;"",B572="Paused"),COUNTIFS($A$5:A572,"&lt;&gt;",$B$5:B572,"Paused"),"")</f>
        <v/>
      </c>
      <c r="S572">
        <f>IF(M572="Yes",COUNTIF($M$5:M572,"Yes"),"")</f>
        <v/>
      </c>
    </row>
    <row r="573">
      <c r="A573" s="5" t="n"/>
      <c r="B573" s="51" t="n"/>
      <c r="C573" s="5" t="n"/>
      <c r="D573" s="52" t="n"/>
      <c r="E573" s="52" t="n"/>
      <c r="F573" s="52" t="n"/>
      <c r="G573" s="52" t="n"/>
      <c r="H573" s="52" t="n"/>
      <c r="I573" s="52" t="n"/>
      <c r="J573" s="52" t="n"/>
      <c r="K573" s="52" t="n"/>
      <c r="L573" s="51" t="n"/>
      <c r="M573" s="53">
        <f>IF(A573="","",IF(COUNTIF('AFA Rates'!$A$5:$A$1004,A573)&gt;0,"Yes","No"))</f>
        <v/>
      </c>
      <c r="N573" s="53">
        <f>IF(A573="","",COUNTIF('AFA Rates'!$A$5:$A$1004,A573))</f>
        <v/>
      </c>
      <c r="O573" s="54" t="n"/>
      <c r="P573" s="5" t="n"/>
      <c r="Q573" s="5" t="n"/>
      <c r="R573">
        <f>IF(AND(A573&lt;&gt;"",B573="Paused"),COUNTIFS($A$5:A573,"&lt;&gt;",$B$5:B573,"Paused"),"")</f>
        <v/>
      </c>
      <c r="S573">
        <f>IF(M573="Yes",COUNTIF($M$5:M573,"Yes"),"")</f>
        <v/>
      </c>
    </row>
    <row r="574">
      <c r="A574" s="5" t="n"/>
      <c r="B574" s="51" t="n"/>
      <c r="C574" s="5" t="n"/>
      <c r="D574" s="52" t="n"/>
      <c r="E574" s="52" t="n"/>
      <c r="F574" s="52" t="n"/>
      <c r="G574" s="52" t="n"/>
      <c r="H574" s="52" t="n"/>
      <c r="I574" s="52" t="n"/>
      <c r="J574" s="52" t="n"/>
      <c r="K574" s="52" t="n"/>
      <c r="L574" s="51" t="n"/>
      <c r="M574" s="53">
        <f>IF(A574="","",IF(COUNTIF('AFA Rates'!$A$5:$A$1004,A574)&gt;0,"Yes","No"))</f>
        <v/>
      </c>
      <c r="N574" s="53">
        <f>IF(A574="","",COUNTIF('AFA Rates'!$A$5:$A$1004,A574))</f>
        <v/>
      </c>
      <c r="O574" s="54" t="n"/>
      <c r="P574" s="5" t="n"/>
      <c r="Q574" s="5" t="n"/>
      <c r="R574">
        <f>IF(AND(A574&lt;&gt;"",B574="Paused"),COUNTIFS($A$5:A574,"&lt;&gt;",$B$5:B574,"Paused"),"")</f>
        <v/>
      </c>
      <c r="S574">
        <f>IF(M574="Yes",COUNTIF($M$5:M574,"Yes"),"")</f>
        <v/>
      </c>
    </row>
    <row r="575">
      <c r="A575" s="5" t="n"/>
      <c r="B575" s="51" t="n"/>
      <c r="C575" s="5" t="n"/>
      <c r="D575" s="52" t="n"/>
      <c r="E575" s="52" t="n"/>
      <c r="F575" s="52" t="n"/>
      <c r="G575" s="52" t="n"/>
      <c r="H575" s="52" t="n"/>
      <c r="I575" s="52" t="n"/>
      <c r="J575" s="52" t="n"/>
      <c r="K575" s="52" t="n"/>
      <c r="L575" s="51" t="n"/>
      <c r="M575" s="53">
        <f>IF(A575="","",IF(COUNTIF('AFA Rates'!$A$5:$A$1004,A575)&gt;0,"Yes","No"))</f>
        <v/>
      </c>
      <c r="N575" s="53">
        <f>IF(A575="","",COUNTIF('AFA Rates'!$A$5:$A$1004,A575))</f>
        <v/>
      </c>
      <c r="O575" s="54" t="n"/>
      <c r="P575" s="5" t="n"/>
      <c r="Q575" s="5" t="n"/>
      <c r="R575">
        <f>IF(AND(A575&lt;&gt;"",B575="Paused"),COUNTIFS($A$5:A575,"&lt;&gt;",$B$5:B575,"Paused"),"")</f>
        <v/>
      </c>
      <c r="S575">
        <f>IF(M575="Yes",COUNTIF($M$5:M575,"Yes"),"")</f>
        <v/>
      </c>
    </row>
    <row r="576">
      <c r="A576" s="5" t="n"/>
      <c r="B576" s="51" t="n"/>
      <c r="C576" s="5" t="n"/>
      <c r="D576" s="52" t="n"/>
      <c r="E576" s="52" t="n"/>
      <c r="F576" s="52" t="n"/>
      <c r="G576" s="52" t="n"/>
      <c r="H576" s="52" t="n"/>
      <c r="I576" s="52" t="n"/>
      <c r="J576" s="52" t="n"/>
      <c r="K576" s="52" t="n"/>
      <c r="L576" s="51" t="n"/>
      <c r="M576" s="53">
        <f>IF(A576="","",IF(COUNTIF('AFA Rates'!$A$5:$A$1004,A576)&gt;0,"Yes","No"))</f>
        <v/>
      </c>
      <c r="N576" s="53">
        <f>IF(A576="","",COUNTIF('AFA Rates'!$A$5:$A$1004,A576))</f>
        <v/>
      </c>
      <c r="O576" s="54" t="n"/>
      <c r="P576" s="5" t="n"/>
      <c r="Q576" s="5" t="n"/>
      <c r="R576">
        <f>IF(AND(A576&lt;&gt;"",B576="Paused"),COUNTIFS($A$5:A576,"&lt;&gt;",$B$5:B576,"Paused"),"")</f>
        <v/>
      </c>
      <c r="S576">
        <f>IF(M576="Yes",COUNTIF($M$5:M576,"Yes"),"")</f>
        <v/>
      </c>
    </row>
    <row r="577">
      <c r="A577" s="5" t="n"/>
      <c r="B577" s="51" t="n"/>
      <c r="C577" s="5" t="n"/>
      <c r="D577" s="52" t="n"/>
      <c r="E577" s="52" t="n"/>
      <c r="F577" s="52" t="n"/>
      <c r="G577" s="52" t="n"/>
      <c r="H577" s="52" t="n"/>
      <c r="I577" s="52" t="n"/>
      <c r="J577" s="52" t="n"/>
      <c r="K577" s="52" t="n"/>
      <c r="L577" s="51" t="n"/>
      <c r="M577" s="53">
        <f>IF(A577="","",IF(COUNTIF('AFA Rates'!$A$5:$A$1004,A577)&gt;0,"Yes","No"))</f>
        <v/>
      </c>
      <c r="N577" s="53">
        <f>IF(A577="","",COUNTIF('AFA Rates'!$A$5:$A$1004,A577))</f>
        <v/>
      </c>
      <c r="O577" s="54" t="n"/>
      <c r="P577" s="5" t="n"/>
      <c r="Q577" s="5" t="n"/>
      <c r="R577">
        <f>IF(AND(A577&lt;&gt;"",B577="Paused"),COUNTIFS($A$5:A577,"&lt;&gt;",$B$5:B577,"Paused"),"")</f>
        <v/>
      </c>
      <c r="S577">
        <f>IF(M577="Yes",COUNTIF($M$5:M577,"Yes"),"")</f>
        <v/>
      </c>
    </row>
    <row r="578">
      <c r="A578" s="5" t="n"/>
      <c r="B578" s="51" t="n"/>
      <c r="C578" s="5" t="n"/>
      <c r="D578" s="52" t="n"/>
      <c r="E578" s="52" t="n"/>
      <c r="F578" s="52" t="n"/>
      <c r="G578" s="52" t="n"/>
      <c r="H578" s="52" t="n"/>
      <c r="I578" s="52" t="n"/>
      <c r="J578" s="52" t="n"/>
      <c r="K578" s="52" t="n"/>
      <c r="L578" s="51" t="n"/>
      <c r="M578" s="53">
        <f>IF(A578="","",IF(COUNTIF('AFA Rates'!$A$5:$A$1004,A578)&gt;0,"Yes","No"))</f>
        <v/>
      </c>
      <c r="N578" s="53">
        <f>IF(A578="","",COUNTIF('AFA Rates'!$A$5:$A$1004,A578))</f>
        <v/>
      </c>
      <c r="O578" s="54" t="n"/>
      <c r="P578" s="5" t="n"/>
      <c r="Q578" s="5" t="n"/>
      <c r="R578">
        <f>IF(AND(A578&lt;&gt;"",B578="Paused"),COUNTIFS($A$5:A578,"&lt;&gt;",$B$5:B578,"Paused"),"")</f>
        <v/>
      </c>
      <c r="S578">
        <f>IF(M578="Yes",COUNTIF($M$5:M578,"Yes"),"")</f>
        <v/>
      </c>
    </row>
    <row r="579">
      <c r="A579" s="5" t="n"/>
      <c r="B579" s="51" t="n"/>
      <c r="C579" s="5" t="n"/>
      <c r="D579" s="52" t="n"/>
      <c r="E579" s="52" t="n"/>
      <c r="F579" s="52" t="n"/>
      <c r="G579" s="52" t="n"/>
      <c r="H579" s="52" t="n"/>
      <c r="I579" s="52" t="n"/>
      <c r="J579" s="52" t="n"/>
      <c r="K579" s="52" t="n"/>
      <c r="L579" s="51" t="n"/>
      <c r="M579" s="53">
        <f>IF(A579="","",IF(COUNTIF('AFA Rates'!$A$5:$A$1004,A579)&gt;0,"Yes","No"))</f>
        <v/>
      </c>
      <c r="N579" s="53">
        <f>IF(A579="","",COUNTIF('AFA Rates'!$A$5:$A$1004,A579))</f>
        <v/>
      </c>
      <c r="O579" s="54" t="n"/>
      <c r="P579" s="5" t="n"/>
      <c r="Q579" s="5" t="n"/>
      <c r="R579">
        <f>IF(AND(A579&lt;&gt;"",B579="Paused"),COUNTIFS($A$5:A579,"&lt;&gt;",$B$5:B579,"Paused"),"")</f>
        <v/>
      </c>
      <c r="S579">
        <f>IF(M579="Yes",COUNTIF($M$5:M579,"Yes"),"")</f>
        <v/>
      </c>
    </row>
    <row r="580">
      <c r="A580" s="5" t="n"/>
      <c r="B580" s="51" t="n"/>
      <c r="C580" s="5" t="n"/>
      <c r="D580" s="52" t="n"/>
      <c r="E580" s="52" t="n"/>
      <c r="F580" s="52" t="n"/>
      <c r="G580" s="52" t="n"/>
      <c r="H580" s="52" t="n"/>
      <c r="I580" s="52" t="n"/>
      <c r="J580" s="52" t="n"/>
      <c r="K580" s="52" t="n"/>
      <c r="L580" s="51" t="n"/>
      <c r="M580" s="53">
        <f>IF(A580="","",IF(COUNTIF('AFA Rates'!$A$5:$A$1004,A580)&gt;0,"Yes","No"))</f>
        <v/>
      </c>
      <c r="N580" s="53">
        <f>IF(A580="","",COUNTIF('AFA Rates'!$A$5:$A$1004,A580))</f>
        <v/>
      </c>
      <c r="O580" s="54" t="n"/>
      <c r="P580" s="5" t="n"/>
      <c r="Q580" s="5" t="n"/>
      <c r="R580">
        <f>IF(AND(A580&lt;&gt;"",B580="Paused"),COUNTIFS($A$5:A580,"&lt;&gt;",$B$5:B580,"Paused"),"")</f>
        <v/>
      </c>
      <c r="S580">
        <f>IF(M580="Yes",COUNTIF($M$5:M580,"Yes"),"")</f>
        <v/>
      </c>
    </row>
    <row r="581">
      <c r="A581" s="5" t="n"/>
      <c r="B581" s="51" t="n"/>
      <c r="C581" s="5" t="n"/>
      <c r="D581" s="52" t="n"/>
      <c r="E581" s="52" t="n"/>
      <c r="F581" s="52" t="n"/>
      <c r="G581" s="52" t="n"/>
      <c r="H581" s="52" t="n"/>
      <c r="I581" s="52" t="n"/>
      <c r="J581" s="52" t="n"/>
      <c r="K581" s="52" t="n"/>
      <c r="L581" s="51" t="n"/>
      <c r="M581" s="53">
        <f>IF(A581="","",IF(COUNTIF('AFA Rates'!$A$5:$A$1004,A581)&gt;0,"Yes","No"))</f>
        <v/>
      </c>
      <c r="N581" s="53">
        <f>IF(A581="","",COUNTIF('AFA Rates'!$A$5:$A$1004,A581))</f>
        <v/>
      </c>
      <c r="O581" s="54" t="n"/>
      <c r="P581" s="5" t="n"/>
      <c r="Q581" s="5" t="n"/>
      <c r="R581">
        <f>IF(AND(A581&lt;&gt;"",B581="Paused"),COUNTIFS($A$5:A581,"&lt;&gt;",$B$5:B581,"Paused"),"")</f>
        <v/>
      </c>
      <c r="S581">
        <f>IF(M581="Yes",COUNTIF($M$5:M581,"Yes"),"")</f>
        <v/>
      </c>
    </row>
    <row r="582">
      <c r="A582" s="5" t="n"/>
      <c r="B582" s="51" t="n"/>
      <c r="C582" s="5" t="n"/>
      <c r="D582" s="52" t="n"/>
      <c r="E582" s="52" t="n"/>
      <c r="F582" s="52" t="n"/>
      <c r="G582" s="52" t="n"/>
      <c r="H582" s="52" t="n"/>
      <c r="I582" s="52" t="n"/>
      <c r="J582" s="52" t="n"/>
      <c r="K582" s="52" t="n"/>
      <c r="L582" s="51" t="n"/>
      <c r="M582" s="53">
        <f>IF(A582="","",IF(COUNTIF('AFA Rates'!$A$5:$A$1004,A582)&gt;0,"Yes","No"))</f>
        <v/>
      </c>
      <c r="N582" s="53">
        <f>IF(A582="","",COUNTIF('AFA Rates'!$A$5:$A$1004,A582))</f>
        <v/>
      </c>
      <c r="O582" s="54" t="n"/>
      <c r="P582" s="5" t="n"/>
      <c r="Q582" s="5" t="n"/>
      <c r="R582">
        <f>IF(AND(A582&lt;&gt;"",B582="Paused"),COUNTIFS($A$5:A582,"&lt;&gt;",$B$5:B582,"Paused"),"")</f>
        <v/>
      </c>
      <c r="S582">
        <f>IF(M582="Yes",COUNTIF($M$5:M582,"Yes"),"")</f>
        <v/>
      </c>
    </row>
    <row r="583">
      <c r="A583" s="5" t="n"/>
      <c r="B583" s="51" t="n"/>
      <c r="C583" s="5" t="n"/>
      <c r="D583" s="52" t="n"/>
      <c r="E583" s="52" t="n"/>
      <c r="F583" s="52" t="n"/>
      <c r="G583" s="52" t="n"/>
      <c r="H583" s="52" t="n"/>
      <c r="I583" s="52" t="n"/>
      <c r="J583" s="52" t="n"/>
      <c r="K583" s="52" t="n"/>
      <c r="L583" s="51" t="n"/>
      <c r="M583" s="53">
        <f>IF(A583="","",IF(COUNTIF('AFA Rates'!$A$5:$A$1004,A583)&gt;0,"Yes","No"))</f>
        <v/>
      </c>
      <c r="N583" s="53">
        <f>IF(A583="","",COUNTIF('AFA Rates'!$A$5:$A$1004,A583))</f>
        <v/>
      </c>
      <c r="O583" s="54" t="n"/>
      <c r="P583" s="5" t="n"/>
      <c r="Q583" s="5" t="n"/>
      <c r="R583">
        <f>IF(AND(A583&lt;&gt;"",B583="Paused"),COUNTIFS($A$5:A583,"&lt;&gt;",$B$5:B583,"Paused"),"")</f>
        <v/>
      </c>
      <c r="S583">
        <f>IF(M583="Yes",COUNTIF($M$5:M583,"Yes"),"")</f>
        <v/>
      </c>
    </row>
    <row r="584">
      <c r="A584" s="5" t="n"/>
      <c r="B584" s="51" t="n"/>
      <c r="C584" s="5" t="n"/>
      <c r="D584" s="52" t="n"/>
      <c r="E584" s="52" t="n"/>
      <c r="F584" s="52" t="n"/>
      <c r="G584" s="52" t="n"/>
      <c r="H584" s="52" t="n"/>
      <c r="I584" s="52" t="n"/>
      <c r="J584" s="52" t="n"/>
      <c r="K584" s="52" t="n"/>
      <c r="L584" s="51" t="n"/>
      <c r="M584" s="53">
        <f>IF(A584="","",IF(COUNTIF('AFA Rates'!$A$5:$A$1004,A584)&gt;0,"Yes","No"))</f>
        <v/>
      </c>
      <c r="N584" s="53">
        <f>IF(A584="","",COUNTIF('AFA Rates'!$A$5:$A$1004,A584))</f>
        <v/>
      </c>
      <c r="O584" s="54" t="n"/>
      <c r="P584" s="5" t="n"/>
      <c r="Q584" s="5" t="n"/>
      <c r="R584">
        <f>IF(AND(A584&lt;&gt;"",B584="Paused"),COUNTIFS($A$5:A584,"&lt;&gt;",$B$5:B584,"Paused"),"")</f>
        <v/>
      </c>
      <c r="S584">
        <f>IF(M584="Yes",COUNTIF($M$5:M584,"Yes"),"")</f>
        <v/>
      </c>
    </row>
    <row r="585">
      <c r="A585" s="5" t="n"/>
      <c r="B585" s="51" t="n"/>
      <c r="C585" s="5" t="n"/>
      <c r="D585" s="52" t="n"/>
      <c r="E585" s="52" t="n"/>
      <c r="F585" s="52" t="n"/>
      <c r="G585" s="52" t="n"/>
      <c r="H585" s="52" t="n"/>
      <c r="I585" s="52" t="n"/>
      <c r="J585" s="52" t="n"/>
      <c r="K585" s="52" t="n"/>
      <c r="L585" s="51" t="n"/>
      <c r="M585" s="53">
        <f>IF(A585="","",IF(COUNTIF('AFA Rates'!$A$5:$A$1004,A585)&gt;0,"Yes","No"))</f>
        <v/>
      </c>
      <c r="N585" s="53">
        <f>IF(A585="","",COUNTIF('AFA Rates'!$A$5:$A$1004,A585))</f>
        <v/>
      </c>
      <c r="O585" s="54" t="n"/>
      <c r="P585" s="5" t="n"/>
      <c r="Q585" s="5" t="n"/>
      <c r="R585">
        <f>IF(AND(A585&lt;&gt;"",B585="Paused"),COUNTIFS($A$5:A585,"&lt;&gt;",$B$5:B585,"Paused"),"")</f>
        <v/>
      </c>
      <c r="S585">
        <f>IF(M585="Yes",COUNTIF($M$5:M585,"Yes"),"")</f>
        <v/>
      </c>
    </row>
    <row r="586">
      <c r="A586" s="5" t="n"/>
      <c r="B586" s="51" t="n"/>
      <c r="C586" s="5" t="n"/>
      <c r="D586" s="52" t="n"/>
      <c r="E586" s="52" t="n"/>
      <c r="F586" s="52" t="n"/>
      <c r="G586" s="52" t="n"/>
      <c r="H586" s="52" t="n"/>
      <c r="I586" s="52" t="n"/>
      <c r="J586" s="52" t="n"/>
      <c r="K586" s="52" t="n"/>
      <c r="L586" s="51" t="n"/>
      <c r="M586" s="53">
        <f>IF(A586="","",IF(COUNTIF('AFA Rates'!$A$5:$A$1004,A586)&gt;0,"Yes","No"))</f>
        <v/>
      </c>
      <c r="N586" s="53">
        <f>IF(A586="","",COUNTIF('AFA Rates'!$A$5:$A$1004,A586))</f>
        <v/>
      </c>
      <c r="O586" s="54" t="n"/>
      <c r="P586" s="5" t="n"/>
      <c r="Q586" s="5" t="n"/>
      <c r="R586">
        <f>IF(AND(A586&lt;&gt;"",B586="Paused"),COUNTIFS($A$5:A586,"&lt;&gt;",$B$5:B586,"Paused"),"")</f>
        <v/>
      </c>
      <c r="S586">
        <f>IF(M586="Yes",COUNTIF($M$5:M586,"Yes"),"")</f>
        <v/>
      </c>
    </row>
    <row r="587">
      <c r="A587" s="5" t="n"/>
      <c r="B587" s="51" t="n"/>
      <c r="C587" s="5" t="n"/>
      <c r="D587" s="52" t="n"/>
      <c r="E587" s="52" t="n"/>
      <c r="F587" s="52" t="n"/>
      <c r="G587" s="52" t="n"/>
      <c r="H587" s="52" t="n"/>
      <c r="I587" s="52" t="n"/>
      <c r="J587" s="52" t="n"/>
      <c r="K587" s="52" t="n"/>
      <c r="L587" s="51" t="n"/>
      <c r="M587" s="53">
        <f>IF(A587="","",IF(COUNTIF('AFA Rates'!$A$5:$A$1004,A587)&gt;0,"Yes","No"))</f>
        <v/>
      </c>
      <c r="N587" s="53">
        <f>IF(A587="","",COUNTIF('AFA Rates'!$A$5:$A$1004,A587))</f>
        <v/>
      </c>
      <c r="O587" s="54" t="n"/>
      <c r="P587" s="5" t="n"/>
      <c r="Q587" s="5" t="n"/>
      <c r="R587">
        <f>IF(AND(A587&lt;&gt;"",B587="Paused"),COUNTIFS($A$5:A587,"&lt;&gt;",$B$5:B587,"Paused"),"")</f>
        <v/>
      </c>
      <c r="S587">
        <f>IF(M587="Yes",COUNTIF($M$5:M587,"Yes"),"")</f>
        <v/>
      </c>
    </row>
    <row r="588">
      <c r="A588" s="5" t="n"/>
      <c r="B588" s="51" t="n"/>
      <c r="C588" s="5" t="n"/>
      <c r="D588" s="52" t="n"/>
      <c r="E588" s="52" t="n"/>
      <c r="F588" s="52" t="n"/>
      <c r="G588" s="52" t="n"/>
      <c r="H588" s="52" t="n"/>
      <c r="I588" s="52" t="n"/>
      <c r="J588" s="52" t="n"/>
      <c r="K588" s="52" t="n"/>
      <c r="L588" s="51" t="n"/>
      <c r="M588" s="53">
        <f>IF(A588="","",IF(COUNTIF('AFA Rates'!$A$5:$A$1004,A588)&gt;0,"Yes","No"))</f>
        <v/>
      </c>
      <c r="N588" s="53">
        <f>IF(A588="","",COUNTIF('AFA Rates'!$A$5:$A$1004,A588))</f>
        <v/>
      </c>
      <c r="O588" s="54" t="n"/>
      <c r="P588" s="5" t="n"/>
      <c r="Q588" s="5" t="n"/>
      <c r="R588">
        <f>IF(AND(A588&lt;&gt;"",B588="Paused"),COUNTIFS($A$5:A588,"&lt;&gt;",$B$5:B588,"Paused"),"")</f>
        <v/>
      </c>
      <c r="S588">
        <f>IF(M588="Yes",COUNTIF($M$5:M588,"Yes"),"")</f>
        <v/>
      </c>
    </row>
    <row r="589">
      <c r="A589" s="5" t="n"/>
      <c r="B589" s="51" t="n"/>
      <c r="C589" s="5" t="n"/>
      <c r="D589" s="52" t="n"/>
      <c r="E589" s="52" t="n"/>
      <c r="F589" s="52" t="n"/>
      <c r="G589" s="52" t="n"/>
      <c r="H589" s="52" t="n"/>
      <c r="I589" s="52" t="n"/>
      <c r="J589" s="52" t="n"/>
      <c r="K589" s="52" t="n"/>
      <c r="L589" s="51" t="n"/>
      <c r="M589" s="53">
        <f>IF(A589="","",IF(COUNTIF('AFA Rates'!$A$5:$A$1004,A589)&gt;0,"Yes","No"))</f>
        <v/>
      </c>
      <c r="N589" s="53">
        <f>IF(A589="","",COUNTIF('AFA Rates'!$A$5:$A$1004,A589))</f>
        <v/>
      </c>
      <c r="O589" s="54" t="n"/>
      <c r="P589" s="5" t="n"/>
      <c r="Q589" s="5" t="n"/>
      <c r="R589">
        <f>IF(AND(A589&lt;&gt;"",B589="Paused"),COUNTIFS($A$5:A589,"&lt;&gt;",$B$5:B589,"Paused"),"")</f>
        <v/>
      </c>
      <c r="S589">
        <f>IF(M589="Yes",COUNTIF($M$5:M589,"Yes"),"")</f>
        <v/>
      </c>
    </row>
    <row r="590">
      <c r="A590" s="5" t="n"/>
      <c r="B590" s="51" t="n"/>
      <c r="C590" s="5" t="n"/>
      <c r="D590" s="52" t="n"/>
      <c r="E590" s="52" t="n"/>
      <c r="F590" s="52" t="n"/>
      <c r="G590" s="52" t="n"/>
      <c r="H590" s="52" t="n"/>
      <c r="I590" s="52" t="n"/>
      <c r="J590" s="52" t="n"/>
      <c r="K590" s="52" t="n"/>
      <c r="L590" s="51" t="n"/>
      <c r="M590" s="53">
        <f>IF(A590="","",IF(COUNTIF('AFA Rates'!$A$5:$A$1004,A590)&gt;0,"Yes","No"))</f>
        <v/>
      </c>
      <c r="N590" s="53">
        <f>IF(A590="","",COUNTIF('AFA Rates'!$A$5:$A$1004,A590))</f>
        <v/>
      </c>
      <c r="O590" s="54" t="n"/>
      <c r="P590" s="5" t="n"/>
      <c r="Q590" s="5" t="n"/>
      <c r="R590">
        <f>IF(AND(A590&lt;&gt;"",B590="Paused"),COUNTIFS($A$5:A590,"&lt;&gt;",$B$5:B590,"Paused"),"")</f>
        <v/>
      </c>
      <c r="S590">
        <f>IF(M590="Yes",COUNTIF($M$5:M590,"Yes"),"")</f>
        <v/>
      </c>
    </row>
    <row r="591">
      <c r="A591" s="5" t="n"/>
      <c r="B591" s="51" t="n"/>
      <c r="C591" s="5" t="n"/>
      <c r="D591" s="52" t="n"/>
      <c r="E591" s="52" t="n"/>
      <c r="F591" s="52" t="n"/>
      <c r="G591" s="52" t="n"/>
      <c r="H591" s="52" t="n"/>
      <c r="I591" s="52" t="n"/>
      <c r="J591" s="52" t="n"/>
      <c r="K591" s="52" t="n"/>
      <c r="L591" s="51" t="n"/>
      <c r="M591" s="53">
        <f>IF(A591="","",IF(COUNTIF('AFA Rates'!$A$5:$A$1004,A591)&gt;0,"Yes","No"))</f>
        <v/>
      </c>
      <c r="N591" s="53">
        <f>IF(A591="","",COUNTIF('AFA Rates'!$A$5:$A$1004,A591))</f>
        <v/>
      </c>
      <c r="O591" s="54" t="n"/>
      <c r="P591" s="5" t="n"/>
      <c r="Q591" s="5" t="n"/>
      <c r="R591">
        <f>IF(AND(A591&lt;&gt;"",B591="Paused"),COUNTIFS($A$5:A591,"&lt;&gt;",$B$5:B591,"Paused"),"")</f>
        <v/>
      </c>
      <c r="S591">
        <f>IF(M591="Yes",COUNTIF($M$5:M591,"Yes"),"")</f>
        <v/>
      </c>
    </row>
    <row r="592">
      <c r="A592" s="5" t="n"/>
      <c r="B592" s="51" t="n"/>
      <c r="C592" s="5" t="n"/>
      <c r="D592" s="52" t="n"/>
      <c r="E592" s="52" t="n"/>
      <c r="F592" s="52" t="n"/>
      <c r="G592" s="52" t="n"/>
      <c r="H592" s="52" t="n"/>
      <c r="I592" s="52" t="n"/>
      <c r="J592" s="52" t="n"/>
      <c r="K592" s="52" t="n"/>
      <c r="L592" s="51" t="n"/>
      <c r="M592" s="53">
        <f>IF(A592="","",IF(COUNTIF('AFA Rates'!$A$5:$A$1004,A592)&gt;0,"Yes","No"))</f>
        <v/>
      </c>
      <c r="N592" s="53">
        <f>IF(A592="","",COUNTIF('AFA Rates'!$A$5:$A$1004,A592))</f>
        <v/>
      </c>
      <c r="O592" s="54" t="n"/>
      <c r="P592" s="5" t="n"/>
      <c r="Q592" s="5" t="n"/>
      <c r="R592">
        <f>IF(AND(A592&lt;&gt;"",B592="Paused"),COUNTIFS($A$5:A592,"&lt;&gt;",$B$5:B592,"Paused"),"")</f>
        <v/>
      </c>
      <c r="S592">
        <f>IF(M592="Yes",COUNTIF($M$5:M592,"Yes"),"")</f>
        <v/>
      </c>
    </row>
    <row r="593">
      <c r="A593" s="5" t="n"/>
      <c r="B593" s="51" t="n"/>
      <c r="C593" s="5" t="n"/>
      <c r="D593" s="52" t="n"/>
      <c r="E593" s="52" t="n"/>
      <c r="F593" s="52" t="n"/>
      <c r="G593" s="52" t="n"/>
      <c r="H593" s="52" t="n"/>
      <c r="I593" s="52" t="n"/>
      <c r="J593" s="52" t="n"/>
      <c r="K593" s="52" t="n"/>
      <c r="L593" s="51" t="n"/>
      <c r="M593" s="53">
        <f>IF(A593="","",IF(COUNTIF('AFA Rates'!$A$5:$A$1004,A593)&gt;0,"Yes","No"))</f>
        <v/>
      </c>
      <c r="N593" s="53">
        <f>IF(A593="","",COUNTIF('AFA Rates'!$A$5:$A$1004,A593))</f>
        <v/>
      </c>
      <c r="O593" s="54" t="n"/>
      <c r="P593" s="5" t="n"/>
      <c r="Q593" s="5" t="n"/>
      <c r="R593">
        <f>IF(AND(A593&lt;&gt;"",B593="Paused"),COUNTIFS($A$5:A593,"&lt;&gt;",$B$5:B593,"Paused"),"")</f>
        <v/>
      </c>
      <c r="S593">
        <f>IF(M593="Yes",COUNTIF($M$5:M593,"Yes"),"")</f>
        <v/>
      </c>
    </row>
    <row r="594">
      <c r="A594" s="5" t="n"/>
      <c r="B594" s="51" t="n"/>
      <c r="C594" s="5" t="n"/>
      <c r="D594" s="52" t="n"/>
      <c r="E594" s="52" t="n"/>
      <c r="F594" s="52" t="n"/>
      <c r="G594" s="52" t="n"/>
      <c r="H594" s="52" t="n"/>
      <c r="I594" s="52" t="n"/>
      <c r="J594" s="52" t="n"/>
      <c r="K594" s="52" t="n"/>
      <c r="L594" s="51" t="n"/>
      <c r="M594" s="53">
        <f>IF(A594="","",IF(COUNTIF('AFA Rates'!$A$5:$A$1004,A594)&gt;0,"Yes","No"))</f>
        <v/>
      </c>
      <c r="N594" s="53">
        <f>IF(A594="","",COUNTIF('AFA Rates'!$A$5:$A$1004,A594))</f>
        <v/>
      </c>
      <c r="O594" s="54" t="n"/>
      <c r="P594" s="5" t="n"/>
      <c r="Q594" s="5" t="n"/>
      <c r="R594">
        <f>IF(AND(A594&lt;&gt;"",B594="Paused"),COUNTIFS($A$5:A594,"&lt;&gt;",$B$5:B594,"Paused"),"")</f>
        <v/>
      </c>
      <c r="S594">
        <f>IF(M594="Yes",COUNTIF($M$5:M594,"Yes"),"")</f>
        <v/>
      </c>
    </row>
    <row r="595">
      <c r="A595" s="5" t="n"/>
      <c r="B595" s="51" t="n"/>
      <c r="C595" s="5" t="n"/>
      <c r="D595" s="52" t="n"/>
      <c r="E595" s="52" t="n"/>
      <c r="F595" s="52" t="n"/>
      <c r="G595" s="52" t="n"/>
      <c r="H595" s="52" t="n"/>
      <c r="I595" s="52" t="n"/>
      <c r="J595" s="52" t="n"/>
      <c r="K595" s="52" t="n"/>
      <c r="L595" s="51" t="n"/>
      <c r="M595" s="53">
        <f>IF(A595="","",IF(COUNTIF('AFA Rates'!$A$5:$A$1004,A595)&gt;0,"Yes","No"))</f>
        <v/>
      </c>
      <c r="N595" s="53">
        <f>IF(A595="","",COUNTIF('AFA Rates'!$A$5:$A$1004,A595))</f>
        <v/>
      </c>
      <c r="O595" s="54" t="n"/>
      <c r="P595" s="5" t="n"/>
      <c r="Q595" s="5" t="n"/>
      <c r="R595">
        <f>IF(AND(A595&lt;&gt;"",B595="Paused"),COUNTIFS($A$5:A595,"&lt;&gt;",$B$5:B595,"Paused"),"")</f>
        <v/>
      </c>
      <c r="S595">
        <f>IF(M595="Yes",COUNTIF($M$5:M595,"Yes"),"")</f>
        <v/>
      </c>
    </row>
    <row r="596">
      <c r="A596" s="5" t="n"/>
      <c r="B596" s="51" t="n"/>
      <c r="C596" s="5" t="n"/>
      <c r="D596" s="52" t="n"/>
      <c r="E596" s="52" t="n"/>
      <c r="F596" s="52" t="n"/>
      <c r="G596" s="52" t="n"/>
      <c r="H596" s="52" t="n"/>
      <c r="I596" s="52" t="n"/>
      <c r="J596" s="52" t="n"/>
      <c r="K596" s="52" t="n"/>
      <c r="L596" s="51" t="n"/>
      <c r="M596" s="53">
        <f>IF(A596="","",IF(COUNTIF('AFA Rates'!$A$5:$A$1004,A596)&gt;0,"Yes","No"))</f>
        <v/>
      </c>
      <c r="N596" s="53">
        <f>IF(A596="","",COUNTIF('AFA Rates'!$A$5:$A$1004,A596))</f>
        <v/>
      </c>
      <c r="O596" s="54" t="n"/>
      <c r="P596" s="5" t="n"/>
      <c r="Q596" s="5" t="n"/>
      <c r="R596">
        <f>IF(AND(A596&lt;&gt;"",B596="Paused"),COUNTIFS($A$5:A596,"&lt;&gt;",$B$5:B596,"Paused"),"")</f>
        <v/>
      </c>
      <c r="S596">
        <f>IF(M596="Yes",COUNTIF($M$5:M596,"Yes"),"")</f>
        <v/>
      </c>
    </row>
    <row r="597">
      <c r="A597" s="5" t="n"/>
      <c r="B597" s="51" t="n"/>
      <c r="C597" s="5" t="n"/>
      <c r="D597" s="52" t="n"/>
      <c r="E597" s="52" t="n"/>
      <c r="F597" s="52" t="n"/>
      <c r="G597" s="52" t="n"/>
      <c r="H597" s="52" t="n"/>
      <c r="I597" s="52" t="n"/>
      <c r="J597" s="52" t="n"/>
      <c r="K597" s="52" t="n"/>
      <c r="L597" s="51" t="n"/>
      <c r="M597" s="53">
        <f>IF(A597="","",IF(COUNTIF('AFA Rates'!$A$5:$A$1004,A597)&gt;0,"Yes","No"))</f>
        <v/>
      </c>
      <c r="N597" s="53">
        <f>IF(A597="","",COUNTIF('AFA Rates'!$A$5:$A$1004,A597))</f>
        <v/>
      </c>
      <c r="O597" s="54" t="n"/>
      <c r="P597" s="5" t="n"/>
      <c r="Q597" s="5" t="n"/>
      <c r="R597">
        <f>IF(AND(A597&lt;&gt;"",B597="Paused"),COUNTIFS($A$5:A597,"&lt;&gt;",$B$5:B597,"Paused"),"")</f>
        <v/>
      </c>
      <c r="S597">
        <f>IF(M597="Yes",COUNTIF($M$5:M597,"Yes"),"")</f>
        <v/>
      </c>
    </row>
    <row r="598">
      <c r="A598" s="5" t="n"/>
      <c r="B598" s="51" t="n"/>
      <c r="C598" s="5" t="n"/>
      <c r="D598" s="52" t="n"/>
      <c r="E598" s="52" t="n"/>
      <c r="F598" s="52" t="n"/>
      <c r="G598" s="52" t="n"/>
      <c r="H598" s="52" t="n"/>
      <c r="I598" s="52" t="n"/>
      <c r="J598" s="52" t="n"/>
      <c r="K598" s="52" t="n"/>
      <c r="L598" s="51" t="n"/>
      <c r="M598" s="53">
        <f>IF(A598="","",IF(COUNTIF('AFA Rates'!$A$5:$A$1004,A598)&gt;0,"Yes","No"))</f>
        <v/>
      </c>
      <c r="N598" s="53">
        <f>IF(A598="","",COUNTIF('AFA Rates'!$A$5:$A$1004,A598))</f>
        <v/>
      </c>
      <c r="O598" s="54" t="n"/>
      <c r="P598" s="5" t="n"/>
      <c r="Q598" s="5" t="n"/>
      <c r="R598">
        <f>IF(AND(A598&lt;&gt;"",B598="Paused"),COUNTIFS($A$5:A598,"&lt;&gt;",$B$5:B598,"Paused"),"")</f>
        <v/>
      </c>
      <c r="S598">
        <f>IF(M598="Yes",COUNTIF($M$5:M598,"Yes"),"")</f>
        <v/>
      </c>
    </row>
    <row r="599">
      <c r="A599" s="5" t="n"/>
      <c r="B599" s="51" t="n"/>
      <c r="C599" s="5" t="n"/>
      <c r="D599" s="52" t="n"/>
      <c r="E599" s="52" t="n"/>
      <c r="F599" s="52" t="n"/>
      <c r="G599" s="52" t="n"/>
      <c r="H599" s="52" t="n"/>
      <c r="I599" s="52" t="n"/>
      <c r="J599" s="52" t="n"/>
      <c r="K599" s="52" t="n"/>
      <c r="L599" s="51" t="n"/>
      <c r="M599" s="53">
        <f>IF(A599="","",IF(COUNTIF('AFA Rates'!$A$5:$A$1004,A599)&gt;0,"Yes","No"))</f>
        <v/>
      </c>
      <c r="N599" s="53">
        <f>IF(A599="","",COUNTIF('AFA Rates'!$A$5:$A$1004,A599))</f>
        <v/>
      </c>
      <c r="O599" s="54" t="n"/>
      <c r="P599" s="5" t="n"/>
      <c r="Q599" s="5" t="n"/>
      <c r="R599">
        <f>IF(AND(A599&lt;&gt;"",B599="Paused"),COUNTIFS($A$5:A599,"&lt;&gt;",$B$5:B599,"Paused"),"")</f>
        <v/>
      </c>
      <c r="S599">
        <f>IF(M599="Yes",COUNTIF($M$5:M599,"Yes"),"")</f>
        <v/>
      </c>
    </row>
    <row r="600">
      <c r="A600" s="5" t="n"/>
      <c r="B600" s="51" t="n"/>
      <c r="C600" s="5" t="n"/>
      <c r="D600" s="52" t="n"/>
      <c r="E600" s="52" t="n"/>
      <c r="F600" s="52" t="n"/>
      <c r="G600" s="52" t="n"/>
      <c r="H600" s="52" t="n"/>
      <c r="I600" s="52" t="n"/>
      <c r="J600" s="52" t="n"/>
      <c r="K600" s="52" t="n"/>
      <c r="L600" s="51" t="n"/>
      <c r="M600" s="53">
        <f>IF(A600="","",IF(COUNTIF('AFA Rates'!$A$5:$A$1004,A600)&gt;0,"Yes","No"))</f>
        <v/>
      </c>
      <c r="N600" s="53">
        <f>IF(A600="","",COUNTIF('AFA Rates'!$A$5:$A$1004,A600))</f>
        <v/>
      </c>
      <c r="O600" s="54" t="n"/>
      <c r="P600" s="5" t="n"/>
      <c r="Q600" s="5" t="n"/>
      <c r="R600">
        <f>IF(AND(A600&lt;&gt;"",B600="Paused"),COUNTIFS($A$5:A600,"&lt;&gt;",$B$5:B600,"Paused"),"")</f>
        <v/>
      </c>
      <c r="S600">
        <f>IF(M600="Yes",COUNTIF($M$5:M600,"Yes"),"")</f>
        <v/>
      </c>
    </row>
    <row r="601">
      <c r="A601" s="5" t="n"/>
      <c r="B601" s="51" t="n"/>
      <c r="C601" s="5" t="n"/>
      <c r="D601" s="52" t="n"/>
      <c r="E601" s="52" t="n"/>
      <c r="F601" s="52" t="n"/>
      <c r="G601" s="52" t="n"/>
      <c r="H601" s="52" t="n"/>
      <c r="I601" s="52" t="n"/>
      <c r="J601" s="52" t="n"/>
      <c r="K601" s="52" t="n"/>
      <c r="L601" s="51" t="n"/>
      <c r="M601" s="53">
        <f>IF(A601="","",IF(COUNTIF('AFA Rates'!$A$5:$A$1004,A601)&gt;0,"Yes","No"))</f>
        <v/>
      </c>
      <c r="N601" s="53">
        <f>IF(A601="","",COUNTIF('AFA Rates'!$A$5:$A$1004,A601))</f>
        <v/>
      </c>
      <c r="O601" s="54" t="n"/>
      <c r="P601" s="5" t="n"/>
      <c r="Q601" s="5" t="n"/>
      <c r="R601">
        <f>IF(AND(A601&lt;&gt;"",B601="Paused"),COUNTIFS($A$5:A601,"&lt;&gt;",$B$5:B601,"Paused"),"")</f>
        <v/>
      </c>
      <c r="S601">
        <f>IF(M601="Yes",COUNTIF($M$5:M601,"Yes"),"")</f>
        <v/>
      </c>
    </row>
    <row r="602">
      <c r="A602" s="5" t="n"/>
      <c r="B602" s="51" t="n"/>
      <c r="C602" s="5" t="n"/>
      <c r="D602" s="52" t="n"/>
      <c r="E602" s="52" t="n"/>
      <c r="F602" s="52" t="n"/>
      <c r="G602" s="52" t="n"/>
      <c r="H602" s="52" t="n"/>
      <c r="I602" s="52" t="n"/>
      <c r="J602" s="52" t="n"/>
      <c r="K602" s="52" t="n"/>
      <c r="L602" s="51" t="n"/>
      <c r="M602" s="53">
        <f>IF(A602="","",IF(COUNTIF('AFA Rates'!$A$5:$A$1004,A602)&gt;0,"Yes","No"))</f>
        <v/>
      </c>
      <c r="N602" s="53">
        <f>IF(A602="","",COUNTIF('AFA Rates'!$A$5:$A$1004,A602))</f>
        <v/>
      </c>
      <c r="O602" s="54" t="n"/>
      <c r="P602" s="5" t="n"/>
      <c r="Q602" s="5" t="n"/>
      <c r="R602">
        <f>IF(AND(A602&lt;&gt;"",B602="Paused"),COUNTIFS($A$5:A602,"&lt;&gt;",$B$5:B602,"Paused"),"")</f>
        <v/>
      </c>
      <c r="S602">
        <f>IF(M602="Yes",COUNTIF($M$5:M602,"Yes"),"")</f>
        <v/>
      </c>
    </row>
    <row r="603">
      <c r="A603" s="5" t="n"/>
      <c r="B603" s="51" t="n"/>
      <c r="C603" s="5" t="n"/>
      <c r="D603" s="52" t="n"/>
      <c r="E603" s="52" t="n"/>
      <c r="F603" s="52" t="n"/>
      <c r="G603" s="52" t="n"/>
      <c r="H603" s="52" t="n"/>
      <c r="I603" s="52" t="n"/>
      <c r="J603" s="52" t="n"/>
      <c r="K603" s="52" t="n"/>
      <c r="L603" s="51" t="n"/>
      <c r="M603" s="53">
        <f>IF(A603="","",IF(COUNTIF('AFA Rates'!$A$5:$A$1004,A603)&gt;0,"Yes","No"))</f>
        <v/>
      </c>
      <c r="N603" s="53">
        <f>IF(A603="","",COUNTIF('AFA Rates'!$A$5:$A$1004,A603))</f>
        <v/>
      </c>
      <c r="O603" s="54" t="n"/>
      <c r="P603" s="5" t="n"/>
      <c r="Q603" s="5" t="n"/>
      <c r="R603">
        <f>IF(AND(A603&lt;&gt;"",B603="Paused"),COUNTIFS($A$5:A603,"&lt;&gt;",$B$5:B603,"Paused"),"")</f>
        <v/>
      </c>
      <c r="S603">
        <f>IF(M603="Yes",COUNTIF($M$5:M603,"Yes"),"")</f>
        <v/>
      </c>
    </row>
    <row r="604">
      <c r="A604" s="5" t="n"/>
      <c r="B604" s="51" t="n"/>
      <c r="C604" s="5" t="n"/>
      <c r="D604" s="52" t="n"/>
      <c r="E604" s="52" t="n"/>
      <c r="F604" s="52" t="n"/>
      <c r="G604" s="52" t="n"/>
      <c r="H604" s="52" t="n"/>
      <c r="I604" s="52" t="n"/>
      <c r="J604" s="52" t="n"/>
      <c r="K604" s="52" t="n"/>
      <c r="L604" s="51" t="n"/>
      <c r="M604" s="53">
        <f>IF(A604="","",IF(COUNTIF('AFA Rates'!$A$5:$A$1004,A604)&gt;0,"Yes","No"))</f>
        <v/>
      </c>
      <c r="N604" s="53">
        <f>IF(A604="","",COUNTIF('AFA Rates'!$A$5:$A$1004,A604))</f>
        <v/>
      </c>
      <c r="O604" s="54" t="n"/>
      <c r="P604" s="5" t="n"/>
      <c r="Q604" s="5" t="n"/>
      <c r="R604">
        <f>IF(AND(A604&lt;&gt;"",B604="Paused"),COUNTIFS($A$5:A604,"&lt;&gt;",$B$5:B604,"Paused"),"")</f>
        <v/>
      </c>
      <c r="S604">
        <f>IF(M604="Yes",COUNTIF($M$5:M604,"Yes"),"")</f>
        <v/>
      </c>
    </row>
    <row r="605">
      <c r="A605" s="5" t="n"/>
      <c r="B605" s="51" t="n"/>
      <c r="C605" s="5" t="n"/>
      <c r="D605" s="52" t="n"/>
      <c r="E605" s="52" t="n"/>
      <c r="F605" s="52" t="n"/>
      <c r="G605" s="52" t="n"/>
      <c r="H605" s="52" t="n"/>
      <c r="I605" s="52" t="n"/>
      <c r="J605" s="52" t="n"/>
      <c r="K605" s="52" t="n"/>
      <c r="L605" s="51" t="n"/>
      <c r="M605" s="53">
        <f>IF(A605="","",IF(COUNTIF('AFA Rates'!$A$5:$A$1004,A605)&gt;0,"Yes","No"))</f>
        <v/>
      </c>
      <c r="N605" s="53">
        <f>IF(A605="","",COUNTIF('AFA Rates'!$A$5:$A$1004,A605))</f>
        <v/>
      </c>
      <c r="O605" s="54" t="n"/>
      <c r="P605" s="5" t="n"/>
      <c r="Q605" s="5" t="n"/>
      <c r="R605">
        <f>IF(AND(A605&lt;&gt;"",B605="Paused"),COUNTIFS($A$5:A605,"&lt;&gt;",$B$5:B605,"Paused"),"")</f>
        <v/>
      </c>
      <c r="S605">
        <f>IF(M605="Yes",COUNTIF($M$5:M605,"Yes"),"")</f>
        <v/>
      </c>
    </row>
    <row r="606">
      <c r="A606" s="5" t="n"/>
      <c r="B606" s="51" t="n"/>
      <c r="C606" s="5" t="n"/>
      <c r="D606" s="52" t="n"/>
      <c r="E606" s="52" t="n"/>
      <c r="F606" s="52" t="n"/>
      <c r="G606" s="52" t="n"/>
      <c r="H606" s="52" t="n"/>
      <c r="I606" s="52" t="n"/>
      <c r="J606" s="52" t="n"/>
      <c r="K606" s="52" t="n"/>
      <c r="L606" s="51" t="n"/>
      <c r="M606" s="53">
        <f>IF(A606="","",IF(COUNTIF('AFA Rates'!$A$5:$A$1004,A606)&gt;0,"Yes","No"))</f>
        <v/>
      </c>
      <c r="N606" s="53">
        <f>IF(A606="","",COUNTIF('AFA Rates'!$A$5:$A$1004,A606))</f>
        <v/>
      </c>
      <c r="O606" s="54" t="n"/>
      <c r="P606" s="5" t="n"/>
      <c r="Q606" s="5" t="n"/>
      <c r="R606">
        <f>IF(AND(A606&lt;&gt;"",B606="Paused"),COUNTIFS($A$5:A606,"&lt;&gt;",$B$5:B606,"Paused"),"")</f>
        <v/>
      </c>
      <c r="S606">
        <f>IF(M606="Yes",COUNTIF($M$5:M606,"Yes"),"")</f>
        <v/>
      </c>
    </row>
    <row r="607">
      <c r="A607" s="5" t="n"/>
      <c r="B607" s="51" t="n"/>
      <c r="C607" s="5" t="n"/>
      <c r="D607" s="52" t="n"/>
      <c r="E607" s="52" t="n"/>
      <c r="F607" s="52" t="n"/>
      <c r="G607" s="52" t="n"/>
      <c r="H607" s="52" t="n"/>
      <c r="I607" s="52" t="n"/>
      <c r="J607" s="52" t="n"/>
      <c r="K607" s="52" t="n"/>
      <c r="L607" s="51" t="n"/>
      <c r="M607" s="53">
        <f>IF(A607="","",IF(COUNTIF('AFA Rates'!$A$5:$A$1004,A607)&gt;0,"Yes","No"))</f>
        <v/>
      </c>
      <c r="N607" s="53">
        <f>IF(A607="","",COUNTIF('AFA Rates'!$A$5:$A$1004,A607))</f>
        <v/>
      </c>
      <c r="O607" s="54" t="n"/>
      <c r="P607" s="5" t="n"/>
      <c r="Q607" s="5" t="n"/>
      <c r="R607">
        <f>IF(AND(A607&lt;&gt;"",B607="Paused"),COUNTIFS($A$5:A607,"&lt;&gt;",$B$5:B607,"Paused"),"")</f>
        <v/>
      </c>
      <c r="S607">
        <f>IF(M607="Yes",COUNTIF($M$5:M607,"Yes"),"")</f>
        <v/>
      </c>
    </row>
    <row r="608">
      <c r="A608" s="5" t="n"/>
      <c r="B608" s="51" t="n"/>
      <c r="C608" s="5" t="n"/>
      <c r="D608" s="52" t="n"/>
      <c r="E608" s="52" t="n"/>
      <c r="F608" s="52" t="n"/>
      <c r="G608" s="52" t="n"/>
      <c r="H608" s="52" t="n"/>
      <c r="I608" s="52" t="n"/>
      <c r="J608" s="52" t="n"/>
      <c r="K608" s="52" t="n"/>
      <c r="L608" s="51" t="n"/>
      <c r="M608" s="53">
        <f>IF(A608="","",IF(COUNTIF('AFA Rates'!$A$5:$A$1004,A608)&gt;0,"Yes","No"))</f>
        <v/>
      </c>
      <c r="N608" s="53">
        <f>IF(A608="","",COUNTIF('AFA Rates'!$A$5:$A$1004,A608))</f>
        <v/>
      </c>
      <c r="O608" s="54" t="n"/>
      <c r="P608" s="5" t="n"/>
      <c r="Q608" s="5" t="n"/>
      <c r="R608">
        <f>IF(AND(A608&lt;&gt;"",B608="Paused"),COUNTIFS($A$5:A608,"&lt;&gt;",$B$5:B608,"Paused"),"")</f>
        <v/>
      </c>
      <c r="S608">
        <f>IF(M608="Yes",COUNTIF($M$5:M608,"Yes"),"")</f>
        <v/>
      </c>
    </row>
    <row r="609">
      <c r="A609" s="5" t="n"/>
      <c r="B609" s="51" t="n"/>
      <c r="C609" s="5" t="n"/>
      <c r="D609" s="52" t="n"/>
      <c r="E609" s="52" t="n"/>
      <c r="F609" s="52" t="n"/>
      <c r="G609" s="52" t="n"/>
      <c r="H609" s="52" t="n"/>
      <c r="I609" s="52" t="n"/>
      <c r="J609" s="52" t="n"/>
      <c r="K609" s="52" t="n"/>
      <c r="L609" s="51" t="n"/>
      <c r="M609" s="53">
        <f>IF(A609="","",IF(COUNTIF('AFA Rates'!$A$5:$A$1004,A609)&gt;0,"Yes","No"))</f>
        <v/>
      </c>
      <c r="N609" s="53">
        <f>IF(A609="","",COUNTIF('AFA Rates'!$A$5:$A$1004,A609))</f>
        <v/>
      </c>
      <c r="O609" s="54" t="n"/>
      <c r="P609" s="5" t="n"/>
      <c r="Q609" s="5" t="n"/>
      <c r="R609">
        <f>IF(AND(A609&lt;&gt;"",B609="Paused"),COUNTIFS($A$5:A609,"&lt;&gt;",$B$5:B609,"Paused"),"")</f>
        <v/>
      </c>
      <c r="S609">
        <f>IF(M609="Yes",COUNTIF($M$5:M609,"Yes"),"")</f>
        <v/>
      </c>
    </row>
    <row r="610">
      <c r="A610" s="5" t="n"/>
      <c r="B610" s="51" t="n"/>
      <c r="C610" s="5" t="n"/>
      <c r="D610" s="52" t="n"/>
      <c r="E610" s="52" t="n"/>
      <c r="F610" s="52" t="n"/>
      <c r="G610" s="52" t="n"/>
      <c r="H610" s="52" t="n"/>
      <c r="I610" s="52" t="n"/>
      <c r="J610" s="52" t="n"/>
      <c r="K610" s="52" t="n"/>
      <c r="L610" s="51" t="n"/>
      <c r="M610" s="53">
        <f>IF(A610="","",IF(COUNTIF('AFA Rates'!$A$5:$A$1004,A610)&gt;0,"Yes","No"))</f>
        <v/>
      </c>
      <c r="N610" s="53">
        <f>IF(A610="","",COUNTIF('AFA Rates'!$A$5:$A$1004,A610))</f>
        <v/>
      </c>
      <c r="O610" s="54" t="n"/>
      <c r="P610" s="5" t="n"/>
      <c r="Q610" s="5" t="n"/>
      <c r="R610">
        <f>IF(AND(A610&lt;&gt;"",B610="Paused"),COUNTIFS($A$5:A610,"&lt;&gt;",$B$5:B610,"Paused"),"")</f>
        <v/>
      </c>
      <c r="S610">
        <f>IF(M610="Yes",COUNTIF($M$5:M610,"Yes"),"")</f>
        <v/>
      </c>
    </row>
    <row r="611">
      <c r="A611" s="5" t="n"/>
      <c r="B611" s="51" t="n"/>
      <c r="C611" s="5" t="n"/>
      <c r="D611" s="52" t="n"/>
      <c r="E611" s="52" t="n"/>
      <c r="F611" s="52" t="n"/>
      <c r="G611" s="52" t="n"/>
      <c r="H611" s="52" t="n"/>
      <c r="I611" s="52" t="n"/>
      <c r="J611" s="52" t="n"/>
      <c r="K611" s="52" t="n"/>
      <c r="L611" s="51" t="n"/>
      <c r="M611" s="53">
        <f>IF(A611="","",IF(COUNTIF('AFA Rates'!$A$5:$A$1004,A611)&gt;0,"Yes","No"))</f>
        <v/>
      </c>
      <c r="N611" s="53">
        <f>IF(A611="","",COUNTIF('AFA Rates'!$A$5:$A$1004,A611))</f>
        <v/>
      </c>
      <c r="O611" s="54" t="n"/>
      <c r="P611" s="5" t="n"/>
      <c r="Q611" s="5" t="n"/>
      <c r="R611">
        <f>IF(AND(A611&lt;&gt;"",B611="Paused"),COUNTIFS($A$5:A611,"&lt;&gt;",$B$5:B611,"Paused"),"")</f>
        <v/>
      </c>
      <c r="S611">
        <f>IF(M611="Yes",COUNTIF($M$5:M611,"Yes"),"")</f>
        <v/>
      </c>
    </row>
    <row r="612">
      <c r="A612" s="5" t="n"/>
      <c r="B612" s="51" t="n"/>
      <c r="C612" s="5" t="n"/>
      <c r="D612" s="52" t="n"/>
      <c r="E612" s="52" t="n"/>
      <c r="F612" s="52" t="n"/>
      <c r="G612" s="52" t="n"/>
      <c r="H612" s="52" t="n"/>
      <c r="I612" s="52" t="n"/>
      <c r="J612" s="52" t="n"/>
      <c r="K612" s="52" t="n"/>
      <c r="L612" s="51" t="n"/>
      <c r="M612" s="53">
        <f>IF(A612="","",IF(COUNTIF('AFA Rates'!$A$5:$A$1004,A612)&gt;0,"Yes","No"))</f>
        <v/>
      </c>
      <c r="N612" s="53">
        <f>IF(A612="","",COUNTIF('AFA Rates'!$A$5:$A$1004,A612))</f>
        <v/>
      </c>
      <c r="O612" s="54" t="n"/>
      <c r="P612" s="5" t="n"/>
      <c r="Q612" s="5" t="n"/>
      <c r="R612">
        <f>IF(AND(A612&lt;&gt;"",B612="Paused"),COUNTIFS($A$5:A612,"&lt;&gt;",$B$5:B612,"Paused"),"")</f>
        <v/>
      </c>
      <c r="S612">
        <f>IF(M612="Yes",COUNTIF($M$5:M612,"Yes"),"")</f>
        <v/>
      </c>
    </row>
    <row r="613">
      <c r="A613" s="5" t="n"/>
      <c r="B613" s="51" t="n"/>
      <c r="C613" s="5" t="n"/>
      <c r="D613" s="52" t="n"/>
      <c r="E613" s="52" t="n"/>
      <c r="F613" s="52" t="n"/>
      <c r="G613" s="52" t="n"/>
      <c r="H613" s="52" t="n"/>
      <c r="I613" s="52" t="n"/>
      <c r="J613" s="52" t="n"/>
      <c r="K613" s="52" t="n"/>
      <c r="L613" s="51" t="n"/>
      <c r="M613" s="53">
        <f>IF(A613="","",IF(COUNTIF('AFA Rates'!$A$5:$A$1004,A613)&gt;0,"Yes","No"))</f>
        <v/>
      </c>
      <c r="N613" s="53">
        <f>IF(A613="","",COUNTIF('AFA Rates'!$A$5:$A$1004,A613))</f>
        <v/>
      </c>
      <c r="O613" s="54" t="n"/>
      <c r="P613" s="5" t="n"/>
      <c r="Q613" s="5" t="n"/>
      <c r="R613">
        <f>IF(AND(A613&lt;&gt;"",B613="Paused"),COUNTIFS($A$5:A613,"&lt;&gt;",$B$5:B613,"Paused"),"")</f>
        <v/>
      </c>
      <c r="S613">
        <f>IF(M613="Yes",COUNTIF($M$5:M613,"Yes"),"")</f>
        <v/>
      </c>
    </row>
    <row r="614">
      <c r="A614" s="5" t="n"/>
      <c r="B614" s="51" t="n"/>
      <c r="C614" s="5" t="n"/>
      <c r="D614" s="52" t="n"/>
      <c r="E614" s="52" t="n"/>
      <c r="F614" s="52" t="n"/>
      <c r="G614" s="52" t="n"/>
      <c r="H614" s="52" t="n"/>
      <c r="I614" s="52" t="n"/>
      <c r="J614" s="52" t="n"/>
      <c r="K614" s="52" t="n"/>
      <c r="L614" s="51" t="n"/>
      <c r="M614" s="53">
        <f>IF(A614="","",IF(COUNTIF('AFA Rates'!$A$5:$A$1004,A614)&gt;0,"Yes","No"))</f>
        <v/>
      </c>
      <c r="N614" s="53">
        <f>IF(A614="","",COUNTIF('AFA Rates'!$A$5:$A$1004,A614))</f>
        <v/>
      </c>
      <c r="O614" s="54" t="n"/>
      <c r="P614" s="5" t="n"/>
      <c r="Q614" s="5" t="n"/>
      <c r="R614">
        <f>IF(AND(A614&lt;&gt;"",B614="Paused"),COUNTIFS($A$5:A614,"&lt;&gt;",$B$5:B614,"Paused"),"")</f>
        <v/>
      </c>
      <c r="S614">
        <f>IF(M614="Yes",COUNTIF($M$5:M614,"Yes"),"")</f>
        <v/>
      </c>
    </row>
    <row r="615">
      <c r="A615" s="5" t="n"/>
      <c r="B615" s="51" t="n"/>
      <c r="C615" s="5" t="n"/>
      <c r="D615" s="52" t="n"/>
      <c r="E615" s="52" t="n"/>
      <c r="F615" s="52" t="n"/>
      <c r="G615" s="52" t="n"/>
      <c r="H615" s="52" t="n"/>
      <c r="I615" s="52" t="n"/>
      <c r="J615" s="52" t="n"/>
      <c r="K615" s="52" t="n"/>
      <c r="L615" s="51" t="n"/>
      <c r="M615" s="53">
        <f>IF(A615="","",IF(COUNTIF('AFA Rates'!$A$5:$A$1004,A615)&gt;0,"Yes","No"))</f>
        <v/>
      </c>
      <c r="N615" s="53">
        <f>IF(A615="","",COUNTIF('AFA Rates'!$A$5:$A$1004,A615))</f>
        <v/>
      </c>
      <c r="O615" s="54" t="n"/>
      <c r="P615" s="5" t="n"/>
      <c r="Q615" s="5" t="n"/>
      <c r="R615">
        <f>IF(AND(A615&lt;&gt;"",B615="Paused"),COUNTIFS($A$5:A615,"&lt;&gt;",$B$5:B615,"Paused"),"")</f>
        <v/>
      </c>
      <c r="S615">
        <f>IF(M615="Yes",COUNTIF($M$5:M615,"Yes"),"")</f>
        <v/>
      </c>
    </row>
    <row r="616">
      <c r="A616" s="5" t="n"/>
      <c r="B616" s="51" t="n"/>
      <c r="C616" s="5" t="n"/>
      <c r="D616" s="52" t="n"/>
      <c r="E616" s="52" t="n"/>
      <c r="F616" s="52" t="n"/>
      <c r="G616" s="52" t="n"/>
      <c r="H616" s="52" t="n"/>
      <c r="I616" s="52" t="n"/>
      <c r="J616" s="52" t="n"/>
      <c r="K616" s="52" t="n"/>
      <c r="L616" s="51" t="n"/>
      <c r="M616" s="53">
        <f>IF(A616="","",IF(COUNTIF('AFA Rates'!$A$5:$A$1004,A616)&gt;0,"Yes","No"))</f>
        <v/>
      </c>
      <c r="N616" s="53">
        <f>IF(A616="","",COUNTIF('AFA Rates'!$A$5:$A$1004,A616))</f>
        <v/>
      </c>
      <c r="O616" s="54" t="n"/>
      <c r="P616" s="5" t="n"/>
      <c r="Q616" s="5" t="n"/>
      <c r="R616">
        <f>IF(AND(A616&lt;&gt;"",B616="Paused"),COUNTIFS($A$5:A616,"&lt;&gt;",$B$5:B616,"Paused"),"")</f>
        <v/>
      </c>
      <c r="S616">
        <f>IF(M616="Yes",COUNTIF($M$5:M616,"Yes"),"")</f>
        <v/>
      </c>
    </row>
    <row r="617">
      <c r="A617" s="5" t="n"/>
      <c r="B617" s="51" t="n"/>
      <c r="C617" s="5" t="n"/>
      <c r="D617" s="52" t="n"/>
      <c r="E617" s="52" t="n"/>
      <c r="F617" s="52" t="n"/>
      <c r="G617" s="52" t="n"/>
      <c r="H617" s="52" t="n"/>
      <c r="I617" s="52" t="n"/>
      <c r="J617" s="52" t="n"/>
      <c r="K617" s="52" t="n"/>
      <c r="L617" s="51" t="n"/>
      <c r="M617" s="53">
        <f>IF(A617="","",IF(COUNTIF('AFA Rates'!$A$5:$A$1004,A617)&gt;0,"Yes","No"))</f>
        <v/>
      </c>
      <c r="N617" s="53">
        <f>IF(A617="","",COUNTIF('AFA Rates'!$A$5:$A$1004,A617))</f>
        <v/>
      </c>
      <c r="O617" s="54" t="n"/>
      <c r="P617" s="5" t="n"/>
      <c r="Q617" s="5" t="n"/>
      <c r="R617">
        <f>IF(AND(A617&lt;&gt;"",B617="Paused"),COUNTIFS($A$5:A617,"&lt;&gt;",$B$5:B617,"Paused"),"")</f>
        <v/>
      </c>
      <c r="S617">
        <f>IF(M617="Yes",COUNTIF($M$5:M617,"Yes"),"")</f>
        <v/>
      </c>
    </row>
    <row r="618">
      <c r="A618" s="5" t="n"/>
      <c r="B618" s="51" t="n"/>
      <c r="C618" s="5" t="n"/>
      <c r="D618" s="52" t="n"/>
      <c r="E618" s="52" t="n"/>
      <c r="F618" s="52" t="n"/>
      <c r="G618" s="52" t="n"/>
      <c r="H618" s="52" t="n"/>
      <c r="I618" s="52" t="n"/>
      <c r="J618" s="52" t="n"/>
      <c r="K618" s="52" t="n"/>
      <c r="L618" s="51" t="n"/>
      <c r="M618" s="53">
        <f>IF(A618="","",IF(COUNTIF('AFA Rates'!$A$5:$A$1004,A618)&gt;0,"Yes","No"))</f>
        <v/>
      </c>
      <c r="N618" s="53">
        <f>IF(A618="","",COUNTIF('AFA Rates'!$A$5:$A$1004,A618))</f>
        <v/>
      </c>
      <c r="O618" s="54" t="n"/>
      <c r="P618" s="5" t="n"/>
      <c r="Q618" s="5" t="n"/>
      <c r="R618">
        <f>IF(AND(A618&lt;&gt;"",B618="Paused"),COUNTIFS($A$5:A618,"&lt;&gt;",$B$5:B618,"Paused"),"")</f>
        <v/>
      </c>
      <c r="S618">
        <f>IF(M618="Yes",COUNTIF($M$5:M618,"Yes"),"")</f>
        <v/>
      </c>
    </row>
    <row r="619">
      <c r="A619" s="5" t="n"/>
      <c r="B619" s="51" t="n"/>
      <c r="C619" s="5" t="n"/>
      <c r="D619" s="52" t="n"/>
      <c r="E619" s="52" t="n"/>
      <c r="F619" s="52" t="n"/>
      <c r="G619" s="52" t="n"/>
      <c r="H619" s="52" t="n"/>
      <c r="I619" s="52" t="n"/>
      <c r="J619" s="52" t="n"/>
      <c r="K619" s="52" t="n"/>
      <c r="L619" s="51" t="n"/>
      <c r="M619" s="53">
        <f>IF(A619="","",IF(COUNTIF('AFA Rates'!$A$5:$A$1004,A619)&gt;0,"Yes","No"))</f>
        <v/>
      </c>
      <c r="N619" s="53">
        <f>IF(A619="","",COUNTIF('AFA Rates'!$A$5:$A$1004,A619))</f>
        <v/>
      </c>
      <c r="O619" s="54" t="n"/>
      <c r="P619" s="5" t="n"/>
      <c r="Q619" s="5" t="n"/>
      <c r="R619">
        <f>IF(AND(A619&lt;&gt;"",B619="Paused"),COUNTIFS($A$5:A619,"&lt;&gt;",$B$5:B619,"Paused"),"")</f>
        <v/>
      </c>
      <c r="S619">
        <f>IF(M619="Yes",COUNTIF($M$5:M619,"Yes"),"")</f>
        <v/>
      </c>
    </row>
    <row r="620">
      <c r="A620" s="5" t="n"/>
      <c r="B620" s="51" t="n"/>
      <c r="C620" s="5" t="n"/>
      <c r="D620" s="52" t="n"/>
      <c r="E620" s="52" t="n"/>
      <c r="F620" s="52" t="n"/>
      <c r="G620" s="52" t="n"/>
      <c r="H620" s="52" t="n"/>
      <c r="I620" s="52" t="n"/>
      <c r="J620" s="52" t="n"/>
      <c r="K620" s="52" t="n"/>
      <c r="L620" s="51" t="n"/>
      <c r="M620" s="53">
        <f>IF(A620="","",IF(COUNTIF('AFA Rates'!$A$5:$A$1004,A620)&gt;0,"Yes","No"))</f>
        <v/>
      </c>
      <c r="N620" s="53">
        <f>IF(A620="","",COUNTIF('AFA Rates'!$A$5:$A$1004,A620))</f>
        <v/>
      </c>
      <c r="O620" s="54" t="n"/>
      <c r="P620" s="5" t="n"/>
      <c r="Q620" s="5" t="n"/>
      <c r="R620">
        <f>IF(AND(A620&lt;&gt;"",B620="Paused"),COUNTIFS($A$5:A620,"&lt;&gt;",$B$5:B620,"Paused"),"")</f>
        <v/>
      </c>
      <c r="S620">
        <f>IF(M620="Yes",COUNTIF($M$5:M620,"Yes"),"")</f>
        <v/>
      </c>
    </row>
    <row r="621">
      <c r="A621" s="5" t="n"/>
      <c r="B621" s="51" t="n"/>
      <c r="C621" s="5" t="n"/>
      <c r="D621" s="52" t="n"/>
      <c r="E621" s="52" t="n"/>
      <c r="F621" s="52" t="n"/>
      <c r="G621" s="52" t="n"/>
      <c r="H621" s="52" t="n"/>
      <c r="I621" s="52" t="n"/>
      <c r="J621" s="52" t="n"/>
      <c r="K621" s="52" t="n"/>
      <c r="L621" s="51" t="n"/>
      <c r="M621" s="53">
        <f>IF(A621="","",IF(COUNTIF('AFA Rates'!$A$5:$A$1004,A621)&gt;0,"Yes","No"))</f>
        <v/>
      </c>
      <c r="N621" s="53">
        <f>IF(A621="","",COUNTIF('AFA Rates'!$A$5:$A$1004,A621))</f>
        <v/>
      </c>
      <c r="O621" s="54" t="n"/>
      <c r="P621" s="5" t="n"/>
      <c r="Q621" s="5" t="n"/>
      <c r="R621">
        <f>IF(AND(A621&lt;&gt;"",B621="Paused"),COUNTIFS($A$5:A621,"&lt;&gt;",$B$5:B621,"Paused"),"")</f>
        <v/>
      </c>
      <c r="S621">
        <f>IF(M621="Yes",COUNTIF($M$5:M621,"Yes"),"")</f>
        <v/>
      </c>
    </row>
    <row r="622">
      <c r="A622" s="5" t="n"/>
      <c r="B622" s="51" t="n"/>
      <c r="C622" s="5" t="n"/>
      <c r="D622" s="52" t="n"/>
      <c r="E622" s="52" t="n"/>
      <c r="F622" s="52" t="n"/>
      <c r="G622" s="52" t="n"/>
      <c r="H622" s="52" t="n"/>
      <c r="I622" s="52" t="n"/>
      <c r="J622" s="52" t="n"/>
      <c r="K622" s="52" t="n"/>
      <c r="L622" s="51" t="n"/>
      <c r="M622" s="53">
        <f>IF(A622="","",IF(COUNTIF('AFA Rates'!$A$5:$A$1004,A622)&gt;0,"Yes","No"))</f>
        <v/>
      </c>
      <c r="N622" s="53">
        <f>IF(A622="","",COUNTIF('AFA Rates'!$A$5:$A$1004,A622))</f>
        <v/>
      </c>
      <c r="O622" s="54" t="n"/>
      <c r="P622" s="5" t="n"/>
      <c r="Q622" s="5" t="n"/>
      <c r="R622">
        <f>IF(AND(A622&lt;&gt;"",B622="Paused"),COUNTIFS($A$5:A622,"&lt;&gt;",$B$5:B622,"Paused"),"")</f>
        <v/>
      </c>
      <c r="S622">
        <f>IF(M622="Yes",COUNTIF($M$5:M622,"Yes"),"")</f>
        <v/>
      </c>
    </row>
    <row r="623">
      <c r="A623" s="5" t="n"/>
      <c r="B623" s="51" t="n"/>
      <c r="C623" s="5" t="n"/>
      <c r="D623" s="52" t="n"/>
      <c r="E623" s="52" t="n"/>
      <c r="F623" s="52" t="n"/>
      <c r="G623" s="52" t="n"/>
      <c r="H623" s="52" t="n"/>
      <c r="I623" s="52" t="n"/>
      <c r="J623" s="52" t="n"/>
      <c r="K623" s="52" t="n"/>
      <c r="L623" s="51" t="n"/>
      <c r="M623" s="53">
        <f>IF(A623="","",IF(COUNTIF('AFA Rates'!$A$5:$A$1004,A623)&gt;0,"Yes","No"))</f>
        <v/>
      </c>
      <c r="N623" s="53">
        <f>IF(A623="","",COUNTIF('AFA Rates'!$A$5:$A$1004,A623))</f>
        <v/>
      </c>
      <c r="O623" s="54" t="n"/>
      <c r="P623" s="5" t="n"/>
      <c r="Q623" s="5" t="n"/>
      <c r="R623">
        <f>IF(AND(A623&lt;&gt;"",B623="Paused"),COUNTIFS($A$5:A623,"&lt;&gt;",$B$5:B623,"Paused"),"")</f>
        <v/>
      </c>
      <c r="S623">
        <f>IF(M623="Yes",COUNTIF($M$5:M623,"Yes"),"")</f>
        <v/>
      </c>
    </row>
    <row r="624">
      <c r="A624" s="5" t="n"/>
      <c r="B624" s="51" t="n"/>
      <c r="C624" s="5" t="n"/>
      <c r="D624" s="52" t="n"/>
      <c r="E624" s="52" t="n"/>
      <c r="F624" s="52" t="n"/>
      <c r="G624" s="52" t="n"/>
      <c r="H624" s="52" t="n"/>
      <c r="I624" s="52" t="n"/>
      <c r="J624" s="52" t="n"/>
      <c r="K624" s="52" t="n"/>
      <c r="L624" s="51" t="n"/>
      <c r="M624" s="53">
        <f>IF(A624="","",IF(COUNTIF('AFA Rates'!$A$5:$A$1004,A624)&gt;0,"Yes","No"))</f>
        <v/>
      </c>
      <c r="N624" s="53">
        <f>IF(A624="","",COUNTIF('AFA Rates'!$A$5:$A$1004,A624))</f>
        <v/>
      </c>
      <c r="O624" s="54" t="n"/>
      <c r="P624" s="5" t="n"/>
      <c r="Q624" s="5" t="n"/>
      <c r="R624">
        <f>IF(AND(A624&lt;&gt;"",B624="Paused"),COUNTIFS($A$5:A624,"&lt;&gt;",$B$5:B624,"Paused"),"")</f>
        <v/>
      </c>
      <c r="S624">
        <f>IF(M624="Yes",COUNTIF($M$5:M624,"Yes"),"")</f>
        <v/>
      </c>
    </row>
    <row r="625">
      <c r="A625" s="5" t="n"/>
      <c r="B625" s="51" t="n"/>
      <c r="C625" s="5" t="n"/>
      <c r="D625" s="52" t="n"/>
      <c r="E625" s="52" t="n"/>
      <c r="F625" s="52" t="n"/>
      <c r="G625" s="52" t="n"/>
      <c r="H625" s="52" t="n"/>
      <c r="I625" s="52" t="n"/>
      <c r="J625" s="52" t="n"/>
      <c r="K625" s="52" t="n"/>
      <c r="L625" s="51" t="n"/>
      <c r="M625" s="53">
        <f>IF(A625="","",IF(COUNTIF('AFA Rates'!$A$5:$A$1004,A625)&gt;0,"Yes","No"))</f>
        <v/>
      </c>
      <c r="N625" s="53">
        <f>IF(A625="","",COUNTIF('AFA Rates'!$A$5:$A$1004,A625))</f>
        <v/>
      </c>
      <c r="O625" s="54" t="n"/>
      <c r="P625" s="5" t="n"/>
      <c r="Q625" s="5" t="n"/>
      <c r="R625">
        <f>IF(AND(A625&lt;&gt;"",B625="Paused"),COUNTIFS($A$5:A625,"&lt;&gt;",$B$5:B625,"Paused"),"")</f>
        <v/>
      </c>
      <c r="S625">
        <f>IF(M625="Yes",COUNTIF($M$5:M625,"Yes"),"")</f>
        <v/>
      </c>
    </row>
    <row r="626">
      <c r="A626" s="5" t="n"/>
      <c r="B626" s="51" t="n"/>
      <c r="C626" s="5" t="n"/>
      <c r="D626" s="52" t="n"/>
      <c r="E626" s="52" t="n"/>
      <c r="F626" s="52" t="n"/>
      <c r="G626" s="52" t="n"/>
      <c r="H626" s="52" t="n"/>
      <c r="I626" s="52" t="n"/>
      <c r="J626" s="52" t="n"/>
      <c r="K626" s="52" t="n"/>
      <c r="L626" s="51" t="n"/>
      <c r="M626" s="53">
        <f>IF(A626="","",IF(COUNTIF('AFA Rates'!$A$5:$A$1004,A626)&gt;0,"Yes","No"))</f>
        <v/>
      </c>
      <c r="N626" s="53">
        <f>IF(A626="","",COUNTIF('AFA Rates'!$A$5:$A$1004,A626))</f>
        <v/>
      </c>
      <c r="O626" s="54" t="n"/>
      <c r="P626" s="5" t="n"/>
      <c r="Q626" s="5" t="n"/>
      <c r="R626">
        <f>IF(AND(A626&lt;&gt;"",B626="Paused"),COUNTIFS($A$5:A626,"&lt;&gt;",$B$5:B626,"Paused"),"")</f>
        <v/>
      </c>
      <c r="S626">
        <f>IF(M626="Yes",COUNTIF($M$5:M626,"Yes"),"")</f>
        <v/>
      </c>
    </row>
    <row r="627">
      <c r="A627" s="5" t="n"/>
      <c r="B627" s="51" t="n"/>
      <c r="C627" s="5" t="n"/>
      <c r="D627" s="52" t="n"/>
      <c r="E627" s="52" t="n"/>
      <c r="F627" s="52" t="n"/>
      <c r="G627" s="52" t="n"/>
      <c r="H627" s="52" t="n"/>
      <c r="I627" s="52" t="n"/>
      <c r="J627" s="52" t="n"/>
      <c r="K627" s="52" t="n"/>
      <c r="L627" s="51" t="n"/>
      <c r="M627" s="53">
        <f>IF(A627="","",IF(COUNTIF('AFA Rates'!$A$5:$A$1004,A627)&gt;0,"Yes","No"))</f>
        <v/>
      </c>
      <c r="N627" s="53">
        <f>IF(A627="","",COUNTIF('AFA Rates'!$A$5:$A$1004,A627))</f>
        <v/>
      </c>
      <c r="O627" s="54" t="n"/>
      <c r="P627" s="5" t="n"/>
      <c r="Q627" s="5" t="n"/>
      <c r="R627">
        <f>IF(AND(A627&lt;&gt;"",B627="Paused"),COUNTIFS($A$5:A627,"&lt;&gt;",$B$5:B627,"Paused"),"")</f>
        <v/>
      </c>
      <c r="S627">
        <f>IF(M627="Yes",COUNTIF($M$5:M627,"Yes"),"")</f>
        <v/>
      </c>
    </row>
    <row r="628">
      <c r="A628" s="5" t="n"/>
      <c r="B628" s="51" t="n"/>
      <c r="C628" s="5" t="n"/>
      <c r="D628" s="52" t="n"/>
      <c r="E628" s="52" t="n"/>
      <c r="F628" s="52" t="n"/>
      <c r="G628" s="52" t="n"/>
      <c r="H628" s="52" t="n"/>
      <c r="I628" s="52" t="n"/>
      <c r="J628" s="52" t="n"/>
      <c r="K628" s="52" t="n"/>
      <c r="L628" s="51" t="n"/>
      <c r="M628" s="53">
        <f>IF(A628="","",IF(COUNTIF('AFA Rates'!$A$5:$A$1004,A628)&gt;0,"Yes","No"))</f>
        <v/>
      </c>
      <c r="N628" s="53">
        <f>IF(A628="","",COUNTIF('AFA Rates'!$A$5:$A$1004,A628))</f>
        <v/>
      </c>
      <c r="O628" s="54" t="n"/>
      <c r="P628" s="5" t="n"/>
      <c r="Q628" s="5" t="n"/>
      <c r="R628">
        <f>IF(AND(A628&lt;&gt;"",B628="Paused"),COUNTIFS($A$5:A628,"&lt;&gt;",$B$5:B628,"Paused"),"")</f>
        <v/>
      </c>
      <c r="S628">
        <f>IF(M628="Yes",COUNTIF($M$5:M628,"Yes"),"")</f>
        <v/>
      </c>
    </row>
    <row r="629">
      <c r="A629" s="5" t="n"/>
      <c r="B629" s="51" t="n"/>
      <c r="C629" s="5" t="n"/>
      <c r="D629" s="52" t="n"/>
      <c r="E629" s="52" t="n"/>
      <c r="F629" s="52" t="n"/>
      <c r="G629" s="52" t="n"/>
      <c r="H629" s="52" t="n"/>
      <c r="I629" s="52" t="n"/>
      <c r="J629" s="52" t="n"/>
      <c r="K629" s="52" t="n"/>
      <c r="L629" s="51" t="n"/>
      <c r="M629" s="53">
        <f>IF(A629="","",IF(COUNTIF('AFA Rates'!$A$5:$A$1004,A629)&gt;0,"Yes","No"))</f>
        <v/>
      </c>
      <c r="N629" s="53">
        <f>IF(A629="","",COUNTIF('AFA Rates'!$A$5:$A$1004,A629))</f>
        <v/>
      </c>
      <c r="O629" s="54" t="n"/>
      <c r="P629" s="5" t="n"/>
      <c r="Q629" s="5" t="n"/>
      <c r="R629">
        <f>IF(AND(A629&lt;&gt;"",B629="Paused"),COUNTIFS($A$5:A629,"&lt;&gt;",$B$5:B629,"Paused"),"")</f>
        <v/>
      </c>
      <c r="S629">
        <f>IF(M629="Yes",COUNTIF($M$5:M629,"Yes"),"")</f>
        <v/>
      </c>
    </row>
    <row r="630">
      <c r="A630" s="5" t="n"/>
      <c r="B630" s="51" t="n"/>
      <c r="C630" s="5" t="n"/>
      <c r="D630" s="52" t="n"/>
      <c r="E630" s="52" t="n"/>
      <c r="F630" s="52" t="n"/>
      <c r="G630" s="52" t="n"/>
      <c r="H630" s="52" t="n"/>
      <c r="I630" s="52" t="n"/>
      <c r="J630" s="52" t="n"/>
      <c r="K630" s="52" t="n"/>
      <c r="L630" s="51" t="n"/>
      <c r="M630" s="53">
        <f>IF(A630="","",IF(COUNTIF('AFA Rates'!$A$5:$A$1004,A630)&gt;0,"Yes","No"))</f>
        <v/>
      </c>
      <c r="N630" s="53">
        <f>IF(A630="","",COUNTIF('AFA Rates'!$A$5:$A$1004,A630))</f>
        <v/>
      </c>
      <c r="O630" s="54" t="n"/>
      <c r="P630" s="5" t="n"/>
      <c r="Q630" s="5" t="n"/>
      <c r="R630">
        <f>IF(AND(A630&lt;&gt;"",B630="Paused"),COUNTIFS($A$5:A630,"&lt;&gt;",$B$5:B630,"Paused"),"")</f>
        <v/>
      </c>
      <c r="S630">
        <f>IF(M630="Yes",COUNTIF($M$5:M630,"Yes"),"")</f>
        <v/>
      </c>
    </row>
    <row r="631">
      <c r="A631" s="5" t="n"/>
      <c r="B631" s="51" t="n"/>
      <c r="C631" s="5" t="n"/>
      <c r="D631" s="52" t="n"/>
      <c r="E631" s="52" t="n"/>
      <c r="F631" s="52" t="n"/>
      <c r="G631" s="52" t="n"/>
      <c r="H631" s="52" t="n"/>
      <c r="I631" s="52" t="n"/>
      <c r="J631" s="52" t="n"/>
      <c r="K631" s="52" t="n"/>
      <c r="L631" s="51" t="n"/>
      <c r="M631" s="53">
        <f>IF(A631="","",IF(COUNTIF('AFA Rates'!$A$5:$A$1004,A631)&gt;0,"Yes","No"))</f>
        <v/>
      </c>
      <c r="N631" s="53">
        <f>IF(A631="","",COUNTIF('AFA Rates'!$A$5:$A$1004,A631))</f>
        <v/>
      </c>
      <c r="O631" s="54" t="n"/>
      <c r="P631" s="5" t="n"/>
      <c r="Q631" s="5" t="n"/>
      <c r="R631">
        <f>IF(AND(A631&lt;&gt;"",B631="Paused"),COUNTIFS($A$5:A631,"&lt;&gt;",$B$5:B631,"Paused"),"")</f>
        <v/>
      </c>
      <c r="S631">
        <f>IF(M631="Yes",COUNTIF($M$5:M631,"Yes"),"")</f>
        <v/>
      </c>
    </row>
    <row r="632">
      <c r="A632" s="5" t="n"/>
      <c r="B632" s="51" t="n"/>
      <c r="C632" s="5" t="n"/>
      <c r="D632" s="52" t="n"/>
      <c r="E632" s="52" t="n"/>
      <c r="F632" s="52" t="n"/>
      <c r="G632" s="52" t="n"/>
      <c r="H632" s="52" t="n"/>
      <c r="I632" s="52" t="n"/>
      <c r="J632" s="52" t="n"/>
      <c r="K632" s="52" t="n"/>
      <c r="L632" s="51" t="n"/>
      <c r="M632" s="53">
        <f>IF(A632="","",IF(COUNTIF('AFA Rates'!$A$5:$A$1004,A632)&gt;0,"Yes","No"))</f>
        <v/>
      </c>
      <c r="N632" s="53">
        <f>IF(A632="","",COUNTIF('AFA Rates'!$A$5:$A$1004,A632))</f>
        <v/>
      </c>
      <c r="O632" s="54" t="n"/>
      <c r="P632" s="5" t="n"/>
      <c r="Q632" s="5" t="n"/>
      <c r="R632">
        <f>IF(AND(A632&lt;&gt;"",B632="Paused"),COUNTIFS($A$5:A632,"&lt;&gt;",$B$5:B632,"Paused"),"")</f>
        <v/>
      </c>
      <c r="S632">
        <f>IF(M632="Yes",COUNTIF($M$5:M632,"Yes"),"")</f>
        <v/>
      </c>
    </row>
    <row r="633">
      <c r="A633" s="5" t="n"/>
      <c r="B633" s="51" t="n"/>
      <c r="C633" s="5" t="n"/>
      <c r="D633" s="52" t="n"/>
      <c r="E633" s="52" t="n"/>
      <c r="F633" s="52" t="n"/>
      <c r="G633" s="52" t="n"/>
      <c r="H633" s="52" t="n"/>
      <c r="I633" s="52" t="n"/>
      <c r="J633" s="52" t="n"/>
      <c r="K633" s="52" t="n"/>
      <c r="L633" s="51" t="n"/>
      <c r="M633" s="53">
        <f>IF(A633="","",IF(COUNTIF('AFA Rates'!$A$5:$A$1004,A633)&gt;0,"Yes","No"))</f>
        <v/>
      </c>
      <c r="N633" s="53">
        <f>IF(A633="","",COUNTIF('AFA Rates'!$A$5:$A$1004,A633))</f>
        <v/>
      </c>
      <c r="O633" s="54" t="n"/>
      <c r="P633" s="5" t="n"/>
      <c r="Q633" s="5" t="n"/>
      <c r="R633">
        <f>IF(AND(A633&lt;&gt;"",B633="Paused"),COUNTIFS($A$5:A633,"&lt;&gt;",$B$5:B633,"Paused"),"")</f>
        <v/>
      </c>
      <c r="S633">
        <f>IF(M633="Yes",COUNTIF($M$5:M633,"Yes"),"")</f>
        <v/>
      </c>
    </row>
    <row r="634">
      <c r="A634" s="5" t="n"/>
      <c r="B634" s="51" t="n"/>
      <c r="C634" s="5" t="n"/>
      <c r="D634" s="52" t="n"/>
      <c r="E634" s="52" t="n"/>
      <c r="F634" s="52" t="n"/>
      <c r="G634" s="52" t="n"/>
      <c r="H634" s="52" t="n"/>
      <c r="I634" s="52" t="n"/>
      <c r="J634" s="52" t="n"/>
      <c r="K634" s="52" t="n"/>
      <c r="L634" s="51" t="n"/>
      <c r="M634" s="53">
        <f>IF(A634="","",IF(COUNTIF('AFA Rates'!$A$5:$A$1004,A634)&gt;0,"Yes","No"))</f>
        <v/>
      </c>
      <c r="N634" s="53">
        <f>IF(A634="","",COUNTIF('AFA Rates'!$A$5:$A$1004,A634))</f>
        <v/>
      </c>
      <c r="O634" s="54" t="n"/>
      <c r="P634" s="5" t="n"/>
      <c r="Q634" s="5" t="n"/>
      <c r="R634">
        <f>IF(AND(A634&lt;&gt;"",B634="Paused"),COUNTIFS($A$5:A634,"&lt;&gt;",$B$5:B634,"Paused"),"")</f>
        <v/>
      </c>
      <c r="S634">
        <f>IF(M634="Yes",COUNTIF($M$5:M634,"Yes"),"")</f>
        <v/>
      </c>
    </row>
    <row r="635">
      <c r="A635" s="5" t="n"/>
      <c r="B635" s="51" t="n"/>
      <c r="C635" s="5" t="n"/>
      <c r="D635" s="52" t="n"/>
      <c r="E635" s="52" t="n"/>
      <c r="F635" s="52" t="n"/>
      <c r="G635" s="52" t="n"/>
      <c r="H635" s="52" t="n"/>
      <c r="I635" s="52" t="n"/>
      <c r="J635" s="52" t="n"/>
      <c r="K635" s="52" t="n"/>
      <c r="L635" s="51" t="n"/>
      <c r="M635" s="53">
        <f>IF(A635="","",IF(COUNTIF('AFA Rates'!$A$5:$A$1004,A635)&gt;0,"Yes","No"))</f>
        <v/>
      </c>
      <c r="N635" s="53">
        <f>IF(A635="","",COUNTIF('AFA Rates'!$A$5:$A$1004,A635))</f>
        <v/>
      </c>
      <c r="O635" s="54" t="n"/>
      <c r="P635" s="5" t="n"/>
      <c r="Q635" s="5" t="n"/>
      <c r="R635">
        <f>IF(AND(A635&lt;&gt;"",B635="Paused"),COUNTIFS($A$5:A635,"&lt;&gt;",$B$5:B635,"Paused"),"")</f>
        <v/>
      </c>
      <c r="S635">
        <f>IF(M635="Yes",COUNTIF($M$5:M635,"Yes"),"")</f>
        <v/>
      </c>
    </row>
    <row r="636">
      <c r="A636" s="5" t="n"/>
      <c r="B636" s="51" t="n"/>
      <c r="C636" s="5" t="n"/>
      <c r="D636" s="52" t="n"/>
      <c r="E636" s="52" t="n"/>
      <c r="F636" s="52" t="n"/>
      <c r="G636" s="52" t="n"/>
      <c r="H636" s="52" t="n"/>
      <c r="I636" s="52" t="n"/>
      <c r="J636" s="52" t="n"/>
      <c r="K636" s="52" t="n"/>
      <c r="L636" s="51" t="n"/>
      <c r="M636" s="53">
        <f>IF(A636="","",IF(COUNTIF('AFA Rates'!$A$5:$A$1004,A636)&gt;0,"Yes","No"))</f>
        <v/>
      </c>
      <c r="N636" s="53">
        <f>IF(A636="","",COUNTIF('AFA Rates'!$A$5:$A$1004,A636))</f>
        <v/>
      </c>
      <c r="O636" s="54" t="n"/>
      <c r="P636" s="5" t="n"/>
      <c r="Q636" s="5" t="n"/>
      <c r="R636">
        <f>IF(AND(A636&lt;&gt;"",B636="Paused"),COUNTIFS($A$5:A636,"&lt;&gt;",$B$5:B636,"Paused"),"")</f>
        <v/>
      </c>
      <c r="S636">
        <f>IF(M636="Yes",COUNTIF($M$5:M636,"Yes"),"")</f>
        <v/>
      </c>
    </row>
    <row r="637">
      <c r="A637" s="5" t="n"/>
      <c r="B637" s="51" t="n"/>
      <c r="C637" s="5" t="n"/>
      <c r="D637" s="52" t="n"/>
      <c r="E637" s="52" t="n"/>
      <c r="F637" s="52" t="n"/>
      <c r="G637" s="52" t="n"/>
      <c r="H637" s="52" t="n"/>
      <c r="I637" s="52" t="n"/>
      <c r="J637" s="52" t="n"/>
      <c r="K637" s="52" t="n"/>
      <c r="L637" s="51" t="n"/>
      <c r="M637" s="53">
        <f>IF(A637="","",IF(COUNTIF('AFA Rates'!$A$5:$A$1004,A637)&gt;0,"Yes","No"))</f>
        <v/>
      </c>
      <c r="N637" s="53">
        <f>IF(A637="","",COUNTIF('AFA Rates'!$A$5:$A$1004,A637))</f>
        <v/>
      </c>
      <c r="O637" s="54" t="n"/>
      <c r="P637" s="5" t="n"/>
      <c r="Q637" s="5" t="n"/>
      <c r="R637">
        <f>IF(AND(A637&lt;&gt;"",B637="Paused"),COUNTIFS($A$5:A637,"&lt;&gt;",$B$5:B637,"Paused"),"")</f>
        <v/>
      </c>
      <c r="S637">
        <f>IF(M637="Yes",COUNTIF($M$5:M637,"Yes"),"")</f>
        <v/>
      </c>
    </row>
    <row r="638">
      <c r="A638" s="5" t="n"/>
      <c r="B638" s="51" t="n"/>
      <c r="C638" s="5" t="n"/>
      <c r="D638" s="52" t="n"/>
      <c r="E638" s="52" t="n"/>
      <c r="F638" s="52" t="n"/>
      <c r="G638" s="52" t="n"/>
      <c r="H638" s="52" t="n"/>
      <c r="I638" s="52" t="n"/>
      <c r="J638" s="52" t="n"/>
      <c r="K638" s="52" t="n"/>
      <c r="L638" s="51" t="n"/>
      <c r="M638" s="53">
        <f>IF(A638="","",IF(COUNTIF('AFA Rates'!$A$5:$A$1004,A638)&gt;0,"Yes","No"))</f>
        <v/>
      </c>
      <c r="N638" s="53">
        <f>IF(A638="","",COUNTIF('AFA Rates'!$A$5:$A$1004,A638))</f>
        <v/>
      </c>
      <c r="O638" s="54" t="n"/>
      <c r="P638" s="5" t="n"/>
      <c r="Q638" s="5" t="n"/>
      <c r="R638">
        <f>IF(AND(A638&lt;&gt;"",B638="Paused"),COUNTIFS($A$5:A638,"&lt;&gt;",$B$5:B638,"Paused"),"")</f>
        <v/>
      </c>
      <c r="S638">
        <f>IF(M638="Yes",COUNTIF($M$5:M638,"Yes"),"")</f>
        <v/>
      </c>
    </row>
    <row r="639">
      <c r="A639" s="5" t="n"/>
      <c r="B639" s="51" t="n"/>
      <c r="C639" s="5" t="n"/>
      <c r="D639" s="52" t="n"/>
      <c r="E639" s="52" t="n"/>
      <c r="F639" s="52" t="n"/>
      <c r="G639" s="52" t="n"/>
      <c r="H639" s="52" t="n"/>
      <c r="I639" s="52" t="n"/>
      <c r="J639" s="52" t="n"/>
      <c r="K639" s="52" t="n"/>
      <c r="L639" s="51" t="n"/>
      <c r="M639" s="53">
        <f>IF(A639="","",IF(COUNTIF('AFA Rates'!$A$5:$A$1004,A639)&gt;0,"Yes","No"))</f>
        <v/>
      </c>
      <c r="N639" s="53">
        <f>IF(A639="","",COUNTIF('AFA Rates'!$A$5:$A$1004,A639))</f>
        <v/>
      </c>
      <c r="O639" s="54" t="n"/>
      <c r="P639" s="5" t="n"/>
      <c r="Q639" s="5" t="n"/>
      <c r="R639">
        <f>IF(AND(A639&lt;&gt;"",B639="Paused"),COUNTIFS($A$5:A639,"&lt;&gt;",$B$5:B639,"Paused"),"")</f>
        <v/>
      </c>
      <c r="S639">
        <f>IF(M639="Yes",COUNTIF($M$5:M639,"Yes"),"")</f>
        <v/>
      </c>
    </row>
    <row r="640">
      <c r="A640" s="5" t="n"/>
      <c r="B640" s="51" t="n"/>
      <c r="C640" s="5" t="n"/>
      <c r="D640" s="52" t="n"/>
      <c r="E640" s="52" t="n"/>
      <c r="F640" s="52" t="n"/>
      <c r="G640" s="52" t="n"/>
      <c r="H640" s="52" t="n"/>
      <c r="I640" s="52" t="n"/>
      <c r="J640" s="52" t="n"/>
      <c r="K640" s="52" t="n"/>
      <c r="L640" s="51" t="n"/>
      <c r="M640" s="53">
        <f>IF(A640="","",IF(COUNTIF('AFA Rates'!$A$5:$A$1004,A640)&gt;0,"Yes","No"))</f>
        <v/>
      </c>
      <c r="N640" s="53">
        <f>IF(A640="","",COUNTIF('AFA Rates'!$A$5:$A$1004,A640))</f>
        <v/>
      </c>
      <c r="O640" s="54" t="n"/>
      <c r="P640" s="5" t="n"/>
      <c r="Q640" s="5" t="n"/>
      <c r="R640">
        <f>IF(AND(A640&lt;&gt;"",B640="Paused"),COUNTIFS($A$5:A640,"&lt;&gt;",$B$5:B640,"Paused"),"")</f>
        <v/>
      </c>
      <c r="S640">
        <f>IF(M640="Yes",COUNTIF($M$5:M640,"Yes"),"")</f>
        <v/>
      </c>
    </row>
    <row r="641">
      <c r="A641" s="5" t="n"/>
      <c r="B641" s="51" t="n"/>
      <c r="C641" s="5" t="n"/>
      <c r="D641" s="52" t="n"/>
      <c r="E641" s="52" t="n"/>
      <c r="F641" s="52" t="n"/>
      <c r="G641" s="52" t="n"/>
      <c r="H641" s="52" t="n"/>
      <c r="I641" s="52" t="n"/>
      <c r="J641" s="52" t="n"/>
      <c r="K641" s="52" t="n"/>
      <c r="L641" s="51" t="n"/>
      <c r="M641" s="53">
        <f>IF(A641="","",IF(COUNTIF('AFA Rates'!$A$5:$A$1004,A641)&gt;0,"Yes","No"))</f>
        <v/>
      </c>
      <c r="N641" s="53">
        <f>IF(A641="","",COUNTIF('AFA Rates'!$A$5:$A$1004,A641))</f>
        <v/>
      </c>
      <c r="O641" s="54" t="n"/>
      <c r="P641" s="5" t="n"/>
      <c r="Q641" s="5" t="n"/>
      <c r="R641">
        <f>IF(AND(A641&lt;&gt;"",B641="Paused"),COUNTIFS($A$5:A641,"&lt;&gt;",$B$5:B641,"Paused"),"")</f>
        <v/>
      </c>
      <c r="S641">
        <f>IF(M641="Yes",COUNTIF($M$5:M641,"Yes"),"")</f>
        <v/>
      </c>
    </row>
    <row r="642">
      <c r="A642" s="5" t="n"/>
      <c r="B642" s="51" t="n"/>
      <c r="C642" s="5" t="n"/>
      <c r="D642" s="52" t="n"/>
      <c r="E642" s="52" t="n"/>
      <c r="F642" s="52" t="n"/>
      <c r="G642" s="52" t="n"/>
      <c r="H642" s="52" t="n"/>
      <c r="I642" s="52" t="n"/>
      <c r="J642" s="52" t="n"/>
      <c r="K642" s="52" t="n"/>
      <c r="L642" s="51" t="n"/>
      <c r="M642" s="53">
        <f>IF(A642="","",IF(COUNTIF('AFA Rates'!$A$5:$A$1004,A642)&gt;0,"Yes","No"))</f>
        <v/>
      </c>
      <c r="N642" s="53">
        <f>IF(A642="","",COUNTIF('AFA Rates'!$A$5:$A$1004,A642))</f>
        <v/>
      </c>
      <c r="O642" s="54" t="n"/>
      <c r="P642" s="5" t="n"/>
      <c r="Q642" s="5" t="n"/>
      <c r="R642">
        <f>IF(AND(A642&lt;&gt;"",B642="Paused"),COUNTIFS($A$5:A642,"&lt;&gt;",$B$5:B642,"Paused"),"")</f>
        <v/>
      </c>
      <c r="S642">
        <f>IF(M642="Yes",COUNTIF($M$5:M642,"Yes"),"")</f>
        <v/>
      </c>
    </row>
    <row r="643">
      <c r="A643" s="5" t="n"/>
      <c r="B643" s="51" t="n"/>
      <c r="C643" s="5" t="n"/>
      <c r="D643" s="52" t="n"/>
      <c r="E643" s="52" t="n"/>
      <c r="F643" s="52" t="n"/>
      <c r="G643" s="52" t="n"/>
      <c r="H643" s="52" t="n"/>
      <c r="I643" s="52" t="n"/>
      <c r="J643" s="52" t="n"/>
      <c r="K643" s="52" t="n"/>
      <c r="L643" s="51" t="n"/>
      <c r="M643" s="53">
        <f>IF(A643="","",IF(COUNTIF('AFA Rates'!$A$5:$A$1004,A643)&gt;0,"Yes","No"))</f>
        <v/>
      </c>
      <c r="N643" s="53">
        <f>IF(A643="","",COUNTIF('AFA Rates'!$A$5:$A$1004,A643))</f>
        <v/>
      </c>
      <c r="O643" s="54" t="n"/>
      <c r="P643" s="5" t="n"/>
      <c r="Q643" s="5" t="n"/>
      <c r="R643">
        <f>IF(AND(A643&lt;&gt;"",B643="Paused"),COUNTIFS($A$5:A643,"&lt;&gt;",$B$5:B643,"Paused"),"")</f>
        <v/>
      </c>
      <c r="S643">
        <f>IF(M643="Yes",COUNTIF($M$5:M643,"Yes"),"")</f>
        <v/>
      </c>
    </row>
    <row r="644">
      <c r="A644" s="5" t="n"/>
      <c r="B644" s="51" t="n"/>
      <c r="C644" s="5" t="n"/>
      <c r="D644" s="52" t="n"/>
      <c r="E644" s="52" t="n"/>
      <c r="F644" s="52" t="n"/>
      <c r="G644" s="52" t="n"/>
      <c r="H644" s="52" t="n"/>
      <c r="I644" s="52" t="n"/>
      <c r="J644" s="52" t="n"/>
      <c r="K644" s="52" t="n"/>
      <c r="L644" s="51" t="n"/>
      <c r="M644" s="53">
        <f>IF(A644="","",IF(COUNTIF('AFA Rates'!$A$5:$A$1004,A644)&gt;0,"Yes","No"))</f>
        <v/>
      </c>
      <c r="N644" s="53">
        <f>IF(A644="","",COUNTIF('AFA Rates'!$A$5:$A$1004,A644))</f>
        <v/>
      </c>
      <c r="O644" s="54" t="n"/>
      <c r="P644" s="5" t="n"/>
      <c r="Q644" s="5" t="n"/>
      <c r="R644">
        <f>IF(AND(A644&lt;&gt;"",B644="Paused"),COUNTIFS($A$5:A644,"&lt;&gt;",$B$5:B644,"Paused"),"")</f>
        <v/>
      </c>
      <c r="S644">
        <f>IF(M644="Yes",COUNTIF($M$5:M644,"Yes"),"")</f>
        <v/>
      </c>
    </row>
    <row r="645">
      <c r="A645" s="5" t="n"/>
      <c r="B645" s="51" t="n"/>
      <c r="C645" s="5" t="n"/>
      <c r="D645" s="52" t="n"/>
      <c r="E645" s="52" t="n"/>
      <c r="F645" s="52" t="n"/>
      <c r="G645" s="52" t="n"/>
      <c r="H645" s="52" t="n"/>
      <c r="I645" s="52" t="n"/>
      <c r="J645" s="52" t="n"/>
      <c r="K645" s="52" t="n"/>
      <c r="L645" s="51" t="n"/>
      <c r="M645" s="53">
        <f>IF(A645="","",IF(COUNTIF('AFA Rates'!$A$5:$A$1004,A645)&gt;0,"Yes","No"))</f>
        <v/>
      </c>
      <c r="N645" s="53">
        <f>IF(A645="","",COUNTIF('AFA Rates'!$A$5:$A$1004,A645))</f>
        <v/>
      </c>
      <c r="O645" s="54" t="n"/>
      <c r="P645" s="5" t="n"/>
      <c r="Q645" s="5" t="n"/>
      <c r="R645">
        <f>IF(AND(A645&lt;&gt;"",B645="Paused"),COUNTIFS($A$5:A645,"&lt;&gt;",$B$5:B645,"Paused"),"")</f>
        <v/>
      </c>
      <c r="S645">
        <f>IF(M645="Yes",COUNTIF($M$5:M645,"Yes"),"")</f>
        <v/>
      </c>
    </row>
    <row r="646">
      <c r="A646" s="5" t="n"/>
      <c r="B646" s="51" t="n"/>
      <c r="C646" s="5" t="n"/>
      <c r="D646" s="52" t="n"/>
      <c r="E646" s="52" t="n"/>
      <c r="F646" s="52" t="n"/>
      <c r="G646" s="52" t="n"/>
      <c r="H646" s="52" t="n"/>
      <c r="I646" s="52" t="n"/>
      <c r="J646" s="52" t="n"/>
      <c r="K646" s="52" t="n"/>
      <c r="L646" s="51" t="n"/>
      <c r="M646" s="53">
        <f>IF(A646="","",IF(COUNTIF('AFA Rates'!$A$5:$A$1004,A646)&gt;0,"Yes","No"))</f>
        <v/>
      </c>
      <c r="N646" s="53">
        <f>IF(A646="","",COUNTIF('AFA Rates'!$A$5:$A$1004,A646))</f>
        <v/>
      </c>
      <c r="O646" s="54" t="n"/>
      <c r="P646" s="5" t="n"/>
      <c r="Q646" s="5" t="n"/>
      <c r="R646">
        <f>IF(AND(A646&lt;&gt;"",B646="Paused"),COUNTIFS($A$5:A646,"&lt;&gt;",$B$5:B646,"Paused"),"")</f>
        <v/>
      </c>
      <c r="S646">
        <f>IF(M646="Yes",COUNTIF($M$5:M646,"Yes"),"")</f>
        <v/>
      </c>
    </row>
    <row r="647">
      <c r="A647" s="5" t="n"/>
      <c r="B647" s="51" t="n"/>
      <c r="C647" s="5" t="n"/>
      <c r="D647" s="52" t="n"/>
      <c r="E647" s="52" t="n"/>
      <c r="F647" s="52" t="n"/>
      <c r="G647" s="52" t="n"/>
      <c r="H647" s="52" t="n"/>
      <c r="I647" s="52" t="n"/>
      <c r="J647" s="52" t="n"/>
      <c r="K647" s="52" t="n"/>
      <c r="L647" s="51" t="n"/>
      <c r="M647" s="53">
        <f>IF(A647="","",IF(COUNTIF('AFA Rates'!$A$5:$A$1004,A647)&gt;0,"Yes","No"))</f>
        <v/>
      </c>
      <c r="N647" s="53">
        <f>IF(A647="","",COUNTIF('AFA Rates'!$A$5:$A$1004,A647))</f>
        <v/>
      </c>
      <c r="O647" s="54" t="n"/>
      <c r="P647" s="5" t="n"/>
      <c r="Q647" s="5" t="n"/>
      <c r="R647">
        <f>IF(AND(A647&lt;&gt;"",B647="Paused"),COUNTIFS($A$5:A647,"&lt;&gt;",$B$5:B647,"Paused"),"")</f>
        <v/>
      </c>
      <c r="S647">
        <f>IF(M647="Yes",COUNTIF($M$5:M647,"Yes"),"")</f>
        <v/>
      </c>
    </row>
    <row r="648">
      <c r="A648" s="5" t="n"/>
      <c r="B648" s="51" t="n"/>
      <c r="C648" s="5" t="n"/>
      <c r="D648" s="52" t="n"/>
      <c r="E648" s="52" t="n"/>
      <c r="F648" s="52" t="n"/>
      <c r="G648" s="52" t="n"/>
      <c r="H648" s="52" t="n"/>
      <c r="I648" s="52" t="n"/>
      <c r="J648" s="52" t="n"/>
      <c r="K648" s="52" t="n"/>
      <c r="L648" s="51" t="n"/>
      <c r="M648" s="53">
        <f>IF(A648="","",IF(COUNTIF('AFA Rates'!$A$5:$A$1004,A648)&gt;0,"Yes","No"))</f>
        <v/>
      </c>
      <c r="N648" s="53">
        <f>IF(A648="","",COUNTIF('AFA Rates'!$A$5:$A$1004,A648))</f>
        <v/>
      </c>
      <c r="O648" s="54" t="n"/>
      <c r="P648" s="5" t="n"/>
      <c r="Q648" s="5" t="n"/>
      <c r="R648">
        <f>IF(AND(A648&lt;&gt;"",B648="Paused"),COUNTIFS($A$5:A648,"&lt;&gt;",$B$5:B648,"Paused"),"")</f>
        <v/>
      </c>
      <c r="S648">
        <f>IF(M648="Yes",COUNTIF($M$5:M648,"Yes"),"")</f>
        <v/>
      </c>
    </row>
    <row r="649">
      <c r="A649" s="5" t="n"/>
      <c r="B649" s="51" t="n"/>
      <c r="C649" s="5" t="n"/>
      <c r="D649" s="52" t="n"/>
      <c r="E649" s="52" t="n"/>
      <c r="F649" s="52" t="n"/>
      <c r="G649" s="52" t="n"/>
      <c r="H649" s="52" t="n"/>
      <c r="I649" s="52" t="n"/>
      <c r="J649" s="52" t="n"/>
      <c r="K649" s="52" t="n"/>
      <c r="L649" s="51" t="n"/>
      <c r="M649" s="53">
        <f>IF(A649="","",IF(COUNTIF('AFA Rates'!$A$5:$A$1004,A649)&gt;0,"Yes","No"))</f>
        <v/>
      </c>
      <c r="N649" s="53">
        <f>IF(A649="","",COUNTIF('AFA Rates'!$A$5:$A$1004,A649))</f>
        <v/>
      </c>
      <c r="O649" s="54" t="n"/>
      <c r="P649" s="5" t="n"/>
      <c r="Q649" s="5" t="n"/>
      <c r="R649">
        <f>IF(AND(A649&lt;&gt;"",B649="Paused"),COUNTIFS($A$5:A649,"&lt;&gt;",$B$5:B649,"Paused"),"")</f>
        <v/>
      </c>
      <c r="S649">
        <f>IF(M649="Yes",COUNTIF($M$5:M649,"Yes"),"")</f>
        <v/>
      </c>
    </row>
    <row r="650">
      <c r="A650" s="5" t="n"/>
      <c r="B650" s="51" t="n"/>
      <c r="C650" s="5" t="n"/>
      <c r="D650" s="52" t="n"/>
      <c r="E650" s="52" t="n"/>
      <c r="F650" s="52" t="n"/>
      <c r="G650" s="52" t="n"/>
      <c r="H650" s="52" t="n"/>
      <c r="I650" s="52" t="n"/>
      <c r="J650" s="52" t="n"/>
      <c r="K650" s="52" t="n"/>
      <c r="L650" s="51" t="n"/>
      <c r="M650" s="53">
        <f>IF(A650="","",IF(COUNTIF('AFA Rates'!$A$5:$A$1004,A650)&gt;0,"Yes","No"))</f>
        <v/>
      </c>
      <c r="N650" s="53">
        <f>IF(A650="","",COUNTIF('AFA Rates'!$A$5:$A$1004,A650))</f>
        <v/>
      </c>
      <c r="O650" s="54" t="n"/>
      <c r="P650" s="5" t="n"/>
      <c r="Q650" s="5" t="n"/>
      <c r="R650">
        <f>IF(AND(A650&lt;&gt;"",B650="Paused"),COUNTIFS($A$5:A650,"&lt;&gt;",$B$5:B650,"Paused"),"")</f>
        <v/>
      </c>
      <c r="S650">
        <f>IF(M650="Yes",COUNTIF($M$5:M650,"Yes"),"")</f>
        <v/>
      </c>
    </row>
    <row r="651">
      <c r="A651" s="5" t="n"/>
      <c r="B651" s="51" t="n"/>
      <c r="C651" s="5" t="n"/>
      <c r="D651" s="52" t="n"/>
      <c r="E651" s="52" t="n"/>
      <c r="F651" s="52" t="n"/>
      <c r="G651" s="52" t="n"/>
      <c r="H651" s="52" t="n"/>
      <c r="I651" s="52" t="n"/>
      <c r="J651" s="52" t="n"/>
      <c r="K651" s="52" t="n"/>
      <c r="L651" s="51" t="n"/>
      <c r="M651" s="53">
        <f>IF(A651="","",IF(COUNTIF('AFA Rates'!$A$5:$A$1004,A651)&gt;0,"Yes","No"))</f>
        <v/>
      </c>
      <c r="N651" s="53">
        <f>IF(A651="","",COUNTIF('AFA Rates'!$A$5:$A$1004,A651))</f>
        <v/>
      </c>
      <c r="O651" s="54" t="n"/>
      <c r="P651" s="5" t="n"/>
      <c r="Q651" s="5" t="n"/>
      <c r="R651">
        <f>IF(AND(A651&lt;&gt;"",B651="Paused"),COUNTIFS($A$5:A651,"&lt;&gt;",$B$5:B651,"Paused"),"")</f>
        <v/>
      </c>
      <c r="S651">
        <f>IF(M651="Yes",COUNTIF($M$5:M651,"Yes"),"")</f>
        <v/>
      </c>
    </row>
    <row r="652">
      <c r="A652" s="5" t="n"/>
      <c r="B652" s="51" t="n"/>
      <c r="C652" s="5" t="n"/>
      <c r="D652" s="52" t="n"/>
      <c r="E652" s="52" t="n"/>
      <c r="F652" s="52" t="n"/>
      <c r="G652" s="52" t="n"/>
      <c r="H652" s="52" t="n"/>
      <c r="I652" s="52" t="n"/>
      <c r="J652" s="52" t="n"/>
      <c r="K652" s="52" t="n"/>
      <c r="L652" s="51" t="n"/>
      <c r="M652" s="53">
        <f>IF(A652="","",IF(COUNTIF('AFA Rates'!$A$5:$A$1004,A652)&gt;0,"Yes","No"))</f>
        <v/>
      </c>
      <c r="N652" s="53">
        <f>IF(A652="","",COUNTIF('AFA Rates'!$A$5:$A$1004,A652))</f>
        <v/>
      </c>
      <c r="O652" s="54" t="n"/>
      <c r="P652" s="5" t="n"/>
      <c r="Q652" s="5" t="n"/>
      <c r="R652">
        <f>IF(AND(A652&lt;&gt;"",B652="Paused"),COUNTIFS($A$5:A652,"&lt;&gt;",$B$5:B652,"Paused"),"")</f>
        <v/>
      </c>
      <c r="S652">
        <f>IF(M652="Yes",COUNTIF($M$5:M652,"Yes"),"")</f>
        <v/>
      </c>
    </row>
    <row r="653">
      <c r="A653" s="5" t="n"/>
      <c r="B653" s="51" t="n"/>
      <c r="C653" s="5" t="n"/>
      <c r="D653" s="52" t="n"/>
      <c r="E653" s="52" t="n"/>
      <c r="F653" s="52" t="n"/>
      <c r="G653" s="52" t="n"/>
      <c r="H653" s="52" t="n"/>
      <c r="I653" s="52" t="n"/>
      <c r="J653" s="52" t="n"/>
      <c r="K653" s="52" t="n"/>
      <c r="L653" s="51" t="n"/>
      <c r="M653" s="53">
        <f>IF(A653="","",IF(COUNTIF('AFA Rates'!$A$5:$A$1004,A653)&gt;0,"Yes","No"))</f>
        <v/>
      </c>
      <c r="N653" s="53">
        <f>IF(A653="","",COUNTIF('AFA Rates'!$A$5:$A$1004,A653))</f>
        <v/>
      </c>
      <c r="O653" s="54" t="n"/>
      <c r="P653" s="5" t="n"/>
      <c r="Q653" s="5" t="n"/>
      <c r="R653">
        <f>IF(AND(A653&lt;&gt;"",B653="Paused"),COUNTIFS($A$5:A653,"&lt;&gt;",$B$5:B653,"Paused"),"")</f>
        <v/>
      </c>
      <c r="S653">
        <f>IF(M653="Yes",COUNTIF($M$5:M653,"Yes"),"")</f>
        <v/>
      </c>
    </row>
    <row r="654">
      <c r="A654" s="5" t="n"/>
      <c r="B654" s="51" t="n"/>
      <c r="C654" s="5" t="n"/>
      <c r="D654" s="52" t="n"/>
      <c r="E654" s="52" t="n"/>
      <c r="F654" s="52" t="n"/>
      <c r="G654" s="52" t="n"/>
      <c r="H654" s="52" t="n"/>
      <c r="I654" s="52" t="n"/>
      <c r="J654" s="52" t="n"/>
      <c r="K654" s="52" t="n"/>
      <c r="L654" s="51" t="n"/>
      <c r="M654" s="53">
        <f>IF(A654="","",IF(COUNTIF('AFA Rates'!$A$5:$A$1004,A654)&gt;0,"Yes","No"))</f>
        <v/>
      </c>
      <c r="N654" s="53">
        <f>IF(A654="","",COUNTIF('AFA Rates'!$A$5:$A$1004,A654))</f>
        <v/>
      </c>
      <c r="O654" s="54" t="n"/>
      <c r="P654" s="5" t="n"/>
      <c r="Q654" s="5" t="n"/>
      <c r="R654">
        <f>IF(AND(A654&lt;&gt;"",B654="Paused"),COUNTIFS($A$5:A654,"&lt;&gt;",$B$5:B654,"Paused"),"")</f>
        <v/>
      </c>
      <c r="S654">
        <f>IF(M654="Yes",COUNTIF($M$5:M654,"Yes"),"")</f>
        <v/>
      </c>
    </row>
    <row r="655">
      <c r="A655" s="5" t="n"/>
      <c r="B655" s="51" t="n"/>
      <c r="C655" s="5" t="n"/>
      <c r="D655" s="52" t="n"/>
      <c r="E655" s="52" t="n"/>
      <c r="F655" s="52" t="n"/>
      <c r="G655" s="52" t="n"/>
      <c r="H655" s="52" t="n"/>
      <c r="I655" s="52" t="n"/>
      <c r="J655" s="52" t="n"/>
      <c r="K655" s="52" t="n"/>
      <c r="L655" s="51" t="n"/>
      <c r="M655" s="53">
        <f>IF(A655="","",IF(COUNTIF('AFA Rates'!$A$5:$A$1004,A655)&gt;0,"Yes","No"))</f>
        <v/>
      </c>
      <c r="N655" s="53">
        <f>IF(A655="","",COUNTIF('AFA Rates'!$A$5:$A$1004,A655))</f>
        <v/>
      </c>
      <c r="O655" s="54" t="n"/>
      <c r="P655" s="5" t="n"/>
      <c r="Q655" s="5" t="n"/>
      <c r="R655">
        <f>IF(AND(A655&lt;&gt;"",B655="Paused"),COUNTIFS($A$5:A655,"&lt;&gt;",$B$5:B655,"Paused"),"")</f>
        <v/>
      </c>
      <c r="S655">
        <f>IF(M655="Yes",COUNTIF($M$5:M655,"Yes"),"")</f>
        <v/>
      </c>
    </row>
    <row r="656">
      <c r="A656" s="5" t="n"/>
      <c r="B656" s="51" t="n"/>
      <c r="C656" s="5" t="n"/>
      <c r="D656" s="52" t="n"/>
      <c r="E656" s="52" t="n"/>
      <c r="F656" s="52" t="n"/>
      <c r="G656" s="52" t="n"/>
      <c r="H656" s="52" t="n"/>
      <c r="I656" s="52" t="n"/>
      <c r="J656" s="52" t="n"/>
      <c r="K656" s="52" t="n"/>
      <c r="L656" s="51" t="n"/>
      <c r="M656" s="53">
        <f>IF(A656="","",IF(COUNTIF('AFA Rates'!$A$5:$A$1004,A656)&gt;0,"Yes","No"))</f>
        <v/>
      </c>
      <c r="N656" s="53">
        <f>IF(A656="","",COUNTIF('AFA Rates'!$A$5:$A$1004,A656))</f>
        <v/>
      </c>
      <c r="O656" s="54" t="n"/>
      <c r="P656" s="5" t="n"/>
      <c r="Q656" s="5" t="n"/>
      <c r="R656">
        <f>IF(AND(A656&lt;&gt;"",B656="Paused"),COUNTIFS($A$5:A656,"&lt;&gt;",$B$5:B656,"Paused"),"")</f>
        <v/>
      </c>
      <c r="S656">
        <f>IF(M656="Yes",COUNTIF($M$5:M656,"Yes"),"")</f>
        <v/>
      </c>
    </row>
    <row r="657">
      <c r="A657" s="5" t="n"/>
      <c r="B657" s="51" t="n"/>
      <c r="C657" s="5" t="n"/>
      <c r="D657" s="52" t="n"/>
      <c r="E657" s="52" t="n"/>
      <c r="F657" s="52" t="n"/>
      <c r="G657" s="52" t="n"/>
      <c r="H657" s="52" t="n"/>
      <c r="I657" s="52" t="n"/>
      <c r="J657" s="52" t="n"/>
      <c r="K657" s="52" t="n"/>
      <c r="L657" s="51" t="n"/>
      <c r="M657" s="53">
        <f>IF(A657="","",IF(COUNTIF('AFA Rates'!$A$5:$A$1004,A657)&gt;0,"Yes","No"))</f>
        <v/>
      </c>
      <c r="N657" s="53">
        <f>IF(A657="","",COUNTIF('AFA Rates'!$A$5:$A$1004,A657))</f>
        <v/>
      </c>
      <c r="O657" s="54" t="n"/>
      <c r="P657" s="5" t="n"/>
      <c r="Q657" s="5" t="n"/>
      <c r="R657">
        <f>IF(AND(A657&lt;&gt;"",B657="Paused"),COUNTIFS($A$5:A657,"&lt;&gt;",$B$5:B657,"Paused"),"")</f>
        <v/>
      </c>
      <c r="S657">
        <f>IF(M657="Yes",COUNTIF($M$5:M657,"Yes"),"")</f>
        <v/>
      </c>
    </row>
    <row r="658">
      <c r="A658" s="5" t="n"/>
      <c r="B658" s="51" t="n"/>
      <c r="C658" s="5" t="n"/>
      <c r="D658" s="52" t="n"/>
      <c r="E658" s="52" t="n"/>
      <c r="F658" s="52" t="n"/>
      <c r="G658" s="52" t="n"/>
      <c r="H658" s="52" t="n"/>
      <c r="I658" s="52" t="n"/>
      <c r="J658" s="52" t="n"/>
      <c r="K658" s="52" t="n"/>
      <c r="L658" s="51" t="n"/>
      <c r="M658" s="53">
        <f>IF(A658="","",IF(COUNTIF('AFA Rates'!$A$5:$A$1004,A658)&gt;0,"Yes","No"))</f>
        <v/>
      </c>
      <c r="N658" s="53">
        <f>IF(A658="","",COUNTIF('AFA Rates'!$A$5:$A$1004,A658))</f>
        <v/>
      </c>
      <c r="O658" s="54" t="n"/>
      <c r="P658" s="5" t="n"/>
      <c r="Q658" s="5" t="n"/>
      <c r="R658">
        <f>IF(AND(A658&lt;&gt;"",B658="Paused"),COUNTIFS($A$5:A658,"&lt;&gt;",$B$5:B658,"Paused"),"")</f>
        <v/>
      </c>
      <c r="S658">
        <f>IF(M658="Yes",COUNTIF($M$5:M658,"Yes"),"")</f>
        <v/>
      </c>
    </row>
    <row r="659">
      <c r="A659" s="5" t="n"/>
      <c r="B659" s="51" t="n"/>
      <c r="C659" s="5" t="n"/>
      <c r="D659" s="52" t="n"/>
      <c r="E659" s="52" t="n"/>
      <c r="F659" s="52" t="n"/>
      <c r="G659" s="52" t="n"/>
      <c r="H659" s="52" t="n"/>
      <c r="I659" s="52" t="n"/>
      <c r="J659" s="52" t="n"/>
      <c r="K659" s="52" t="n"/>
      <c r="L659" s="51" t="n"/>
      <c r="M659" s="53">
        <f>IF(A659="","",IF(COUNTIF('AFA Rates'!$A$5:$A$1004,A659)&gt;0,"Yes","No"))</f>
        <v/>
      </c>
      <c r="N659" s="53">
        <f>IF(A659="","",COUNTIF('AFA Rates'!$A$5:$A$1004,A659))</f>
        <v/>
      </c>
      <c r="O659" s="54" t="n"/>
      <c r="P659" s="5" t="n"/>
      <c r="Q659" s="5" t="n"/>
      <c r="R659">
        <f>IF(AND(A659&lt;&gt;"",B659="Paused"),COUNTIFS($A$5:A659,"&lt;&gt;",$B$5:B659,"Paused"),"")</f>
        <v/>
      </c>
      <c r="S659">
        <f>IF(M659="Yes",COUNTIF($M$5:M659,"Yes"),"")</f>
        <v/>
      </c>
    </row>
    <row r="660">
      <c r="A660" s="5" t="n"/>
      <c r="B660" s="51" t="n"/>
      <c r="C660" s="5" t="n"/>
      <c r="D660" s="52" t="n"/>
      <c r="E660" s="52" t="n"/>
      <c r="F660" s="52" t="n"/>
      <c r="G660" s="52" t="n"/>
      <c r="H660" s="52" t="n"/>
      <c r="I660" s="52" t="n"/>
      <c r="J660" s="52" t="n"/>
      <c r="K660" s="52" t="n"/>
      <c r="L660" s="51" t="n"/>
      <c r="M660" s="53">
        <f>IF(A660="","",IF(COUNTIF('AFA Rates'!$A$5:$A$1004,A660)&gt;0,"Yes","No"))</f>
        <v/>
      </c>
      <c r="N660" s="53">
        <f>IF(A660="","",COUNTIF('AFA Rates'!$A$5:$A$1004,A660))</f>
        <v/>
      </c>
      <c r="O660" s="54" t="n"/>
      <c r="P660" s="5" t="n"/>
      <c r="Q660" s="5" t="n"/>
      <c r="R660">
        <f>IF(AND(A660&lt;&gt;"",B660="Paused"),COUNTIFS($A$5:A660,"&lt;&gt;",$B$5:B660,"Paused"),"")</f>
        <v/>
      </c>
      <c r="S660">
        <f>IF(M660="Yes",COUNTIF($M$5:M660,"Yes"),"")</f>
        <v/>
      </c>
    </row>
    <row r="661">
      <c r="A661" s="5" t="n"/>
      <c r="B661" s="51" t="n"/>
      <c r="C661" s="5" t="n"/>
      <c r="D661" s="52" t="n"/>
      <c r="E661" s="52" t="n"/>
      <c r="F661" s="52" t="n"/>
      <c r="G661" s="52" t="n"/>
      <c r="H661" s="52" t="n"/>
      <c r="I661" s="52" t="n"/>
      <c r="J661" s="52" t="n"/>
      <c r="K661" s="52" t="n"/>
      <c r="L661" s="51" t="n"/>
      <c r="M661" s="53">
        <f>IF(A661="","",IF(COUNTIF('AFA Rates'!$A$5:$A$1004,A661)&gt;0,"Yes","No"))</f>
        <v/>
      </c>
      <c r="N661" s="53">
        <f>IF(A661="","",COUNTIF('AFA Rates'!$A$5:$A$1004,A661))</f>
        <v/>
      </c>
      <c r="O661" s="54" t="n"/>
      <c r="P661" s="5" t="n"/>
      <c r="Q661" s="5" t="n"/>
      <c r="R661">
        <f>IF(AND(A661&lt;&gt;"",B661="Paused"),COUNTIFS($A$5:A661,"&lt;&gt;",$B$5:B661,"Paused"),"")</f>
        <v/>
      </c>
      <c r="S661">
        <f>IF(M661="Yes",COUNTIF($M$5:M661,"Yes"),"")</f>
        <v/>
      </c>
    </row>
    <row r="662">
      <c r="A662" s="5" t="n"/>
      <c r="B662" s="51" t="n"/>
      <c r="C662" s="5" t="n"/>
      <c r="D662" s="52" t="n"/>
      <c r="E662" s="52" t="n"/>
      <c r="F662" s="52" t="n"/>
      <c r="G662" s="52" t="n"/>
      <c r="H662" s="52" t="n"/>
      <c r="I662" s="52" t="n"/>
      <c r="J662" s="52" t="n"/>
      <c r="K662" s="52" t="n"/>
      <c r="L662" s="51" t="n"/>
      <c r="M662" s="53">
        <f>IF(A662="","",IF(COUNTIF('AFA Rates'!$A$5:$A$1004,A662)&gt;0,"Yes","No"))</f>
        <v/>
      </c>
      <c r="N662" s="53">
        <f>IF(A662="","",COUNTIF('AFA Rates'!$A$5:$A$1004,A662))</f>
        <v/>
      </c>
      <c r="O662" s="54" t="n"/>
      <c r="P662" s="5" t="n"/>
      <c r="Q662" s="5" t="n"/>
      <c r="R662">
        <f>IF(AND(A662&lt;&gt;"",B662="Paused"),COUNTIFS($A$5:A662,"&lt;&gt;",$B$5:B662,"Paused"),"")</f>
        <v/>
      </c>
      <c r="S662">
        <f>IF(M662="Yes",COUNTIF($M$5:M662,"Yes"),"")</f>
        <v/>
      </c>
    </row>
    <row r="663">
      <c r="A663" s="5" t="n"/>
      <c r="B663" s="51" t="n"/>
      <c r="C663" s="5" t="n"/>
      <c r="D663" s="52" t="n"/>
      <c r="E663" s="52" t="n"/>
      <c r="F663" s="52" t="n"/>
      <c r="G663" s="52" t="n"/>
      <c r="H663" s="52" t="n"/>
      <c r="I663" s="52" t="n"/>
      <c r="J663" s="52" t="n"/>
      <c r="K663" s="52" t="n"/>
      <c r="L663" s="51" t="n"/>
      <c r="M663" s="53">
        <f>IF(A663="","",IF(COUNTIF('AFA Rates'!$A$5:$A$1004,A663)&gt;0,"Yes","No"))</f>
        <v/>
      </c>
      <c r="N663" s="53">
        <f>IF(A663="","",COUNTIF('AFA Rates'!$A$5:$A$1004,A663))</f>
        <v/>
      </c>
      <c r="O663" s="54" t="n"/>
      <c r="P663" s="5" t="n"/>
      <c r="Q663" s="5" t="n"/>
      <c r="R663">
        <f>IF(AND(A663&lt;&gt;"",B663="Paused"),COUNTIFS($A$5:A663,"&lt;&gt;",$B$5:B663,"Paused"),"")</f>
        <v/>
      </c>
      <c r="S663">
        <f>IF(M663="Yes",COUNTIF($M$5:M663,"Yes"),"")</f>
        <v/>
      </c>
    </row>
    <row r="664">
      <c r="A664" s="5" t="n"/>
      <c r="B664" s="51" t="n"/>
      <c r="C664" s="5" t="n"/>
      <c r="D664" s="52" t="n"/>
      <c r="E664" s="52" t="n"/>
      <c r="F664" s="52" t="n"/>
      <c r="G664" s="52" t="n"/>
      <c r="H664" s="52" t="n"/>
      <c r="I664" s="52" t="n"/>
      <c r="J664" s="52" t="n"/>
      <c r="K664" s="52" t="n"/>
      <c r="L664" s="51" t="n"/>
      <c r="M664" s="53">
        <f>IF(A664="","",IF(COUNTIF('AFA Rates'!$A$5:$A$1004,A664)&gt;0,"Yes","No"))</f>
        <v/>
      </c>
      <c r="N664" s="53">
        <f>IF(A664="","",COUNTIF('AFA Rates'!$A$5:$A$1004,A664))</f>
        <v/>
      </c>
      <c r="O664" s="54" t="n"/>
      <c r="P664" s="5" t="n"/>
      <c r="Q664" s="5" t="n"/>
      <c r="R664">
        <f>IF(AND(A664&lt;&gt;"",B664="Paused"),COUNTIFS($A$5:A664,"&lt;&gt;",$B$5:B664,"Paused"),"")</f>
        <v/>
      </c>
      <c r="S664">
        <f>IF(M664="Yes",COUNTIF($M$5:M664,"Yes"),"")</f>
        <v/>
      </c>
    </row>
    <row r="665">
      <c r="A665" s="5" t="n"/>
      <c r="B665" s="51" t="n"/>
      <c r="C665" s="5" t="n"/>
      <c r="D665" s="52" t="n"/>
      <c r="E665" s="52" t="n"/>
      <c r="F665" s="52" t="n"/>
      <c r="G665" s="52" t="n"/>
      <c r="H665" s="52" t="n"/>
      <c r="I665" s="52" t="n"/>
      <c r="J665" s="52" t="n"/>
      <c r="K665" s="52" t="n"/>
      <c r="L665" s="51" t="n"/>
      <c r="M665" s="53">
        <f>IF(A665="","",IF(COUNTIF('AFA Rates'!$A$5:$A$1004,A665)&gt;0,"Yes","No"))</f>
        <v/>
      </c>
      <c r="N665" s="53">
        <f>IF(A665="","",COUNTIF('AFA Rates'!$A$5:$A$1004,A665))</f>
        <v/>
      </c>
      <c r="O665" s="54" t="n"/>
      <c r="P665" s="5" t="n"/>
      <c r="Q665" s="5" t="n"/>
      <c r="R665">
        <f>IF(AND(A665&lt;&gt;"",B665="Paused"),COUNTIFS($A$5:A665,"&lt;&gt;",$B$5:B665,"Paused"),"")</f>
        <v/>
      </c>
      <c r="S665">
        <f>IF(M665="Yes",COUNTIF($M$5:M665,"Yes"),"")</f>
        <v/>
      </c>
    </row>
    <row r="666">
      <c r="A666" s="5" t="n"/>
      <c r="B666" s="51" t="n"/>
      <c r="C666" s="5" t="n"/>
      <c r="D666" s="52" t="n"/>
      <c r="E666" s="52" t="n"/>
      <c r="F666" s="52" t="n"/>
      <c r="G666" s="52" t="n"/>
      <c r="H666" s="52" t="n"/>
      <c r="I666" s="52" t="n"/>
      <c r="J666" s="52" t="n"/>
      <c r="K666" s="52" t="n"/>
      <c r="L666" s="51" t="n"/>
      <c r="M666" s="53">
        <f>IF(A666="","",IF(COUNTIF('AFA Rates'!$A$5:$A$1004,A666)&gt;0,"Yes","No"))</f>
        <v/>
      </c>
      <c r="N666" s="53">
        <f>IF(A666="","",COUNTIF('AFA Rates'!$A$5:$A$1004,A666))</f>
        <v/>
      </c>
      <c r="O666" s="54" t="n"/>
      <c r="P666" s="5" t="n"/>
      <c r="Q666" s="5" t="n"/>
      <c r="R666">
        <f>IF(AND(A666&lt;&gt;"",B666="Paused"),COUNTIFS($A$5:A666,"&lt;&gt;",$B$5:B666,"Paused"),"")</f>
        <v/>
      </c>
      <c r="S666">
        <f>IF(M666="Yes",COUNTIF($M$5:M666,"Yes"),"")</f>
        <v/>
      </c>
    </row>
    <row r="667">
      <c r="A667" s="5" t="n"/>
      <c r="B667" s="51" t="n"/>
      <c r="C667" s="5" t="n"/>
      <c r="D667" s="52" t="n"/>
      <c r="E667" s="52" t="n"/>
      <c r="F667" s="52" t="n"/>
      <c r="G667" s="52" t="n"/>
      <c r="H667" s="52" t="n"/>
      <c r="I667" s="52" t="n"/>
      <c r="J667" s="52" t="n"/>
      <c r="K667" s="52" t="n"/>
      <c r="L667" s="51" t="n"/>
      <c r="M667" s="53">
        <f>IF(A667="","",IF(COUNTIF('AFA Rates'!$A$5:$A$1004,A667)&gt;0,"Yes","No"))</f>
        <v/>
      </c>
      <c r="N667" s="53">
        <f>IF(A667="","",COUNTIF('AFA Rates'!$A$5:$A$1004,A667))</f>
        <v/>
      </c>
      <c r="O667" s="54" t="n"/>
      <c r="P667" s="5" t="n"/>
      <c r="Q667" s="5" t="n"/>
      <c r="R667">
        <f>IF(AND(A667&lt;&gt;"",B667="Paused"),COUNTIFS($A$5:A667,"&lt;&gt;",$B$5:B667,"Paused"),"")</f>
        <v/>
      </c>
      <c r="S667">
        <f>IF(M667="Yes",COUNTIF($M$5:M667,"Yes"),"")</f>
        <v/>
      </c>
    </row>
    <row r="668">
      <c r="A668" s="5" t="n"/>
      <c r="B668" s="51" t="n"/>
      <c r="C668" s="5" t="n"/>
      <c r="D668" s="52" t="n"/>
      <c r="E668" s="52" t="n"/>
      <c r="F668" s="52" t="n"/>
      <c r="G668" s="52" t="n"/>
      <c r="H668" s="52" t="n"/>
      <c r="I668" s="52" t="n"/>
      <c r="J668" s="52" t="n"/>
      <c r="K668" s="52" t="n"/>
      <c r="L668" s="51" t="n"/>
      <c r="M668" s="53">
        <f>IF(A668="","",IF(COUNTIF('AFA Rates'!$A$5:$A$1004,A668)&gt;0,"Yes","No"))</f>
        <v/>
      </c>
      <c r="N668" s="53">
        <f>IF(A668="","",COUNTIF('AFA Rates'!$A$5:$A$1004,A668))</f>
        <v/>
      </c>
      <c r="O668" s="54" t="n"/>
      <c r="P668" s="5" t="n"/>
      <c r="Q668" s="5" t="n"/>
      <c r="R668">
        <f>IF(AND(A668&lt;&gt;"",B668="Paused"),COUNTIFS($A$5:A668,"&lt;&gt;",$B$5:B668,"Paused"),"")</f>
        <v/>
      </c>
      <c r="S668">
        <f>IF(M668="Yes",COUNTIF($M$5:M668,"Yes"),"")</f>
        <v/>
      </c>
    </row>
    <row r="669">
      <c r="A669" s="5" t="n"/>
      <c r="B669" s="51" t="n"/>
      <c r="C669" s="5" t="n"/>
      <c r="D669" s="52" t="n"/>
      <c r="E669" s="52" t="n"/>
      <c r="F669" s="52" t="n"/>
      <c r="G669" s="52" t="n"/>
      <c r="H669" s="52" t="n"/>
      <c r="I669" s="52" t="n"/>
      <c r="J669" s="52" t="n"/>
      <c r="K669" s="52" t="n"/>
      <c r="L669" s="51" t="n"/>
      <c r="M669" s="53">
        <f>IF(A669="","",IF(COUNTIF('AFA Rates'!$A$5:$A$1004,A669)&gt;0,"Yes","No"))</f>
        <v/>
      </c>
      <c r="N669" s="53">
        <f>IF(A669="","",COUNTIF('AFA Rates'!$A$5:$A$1004,A669))</f>
        <v/>
      </c>
      <c r="O669" s="54" t="n"/>
      <c r="P669" s="5" t="n"/>
      <c r="Q669" s="5" t="n"/>
      <c r="R669">
        <f>IF(AND(A669&lt;&gt;"",B669="Paused"),COUNTIFS($A$5:A669,"&lt;&gt;",$B$5:B669,"Paused"),"")</f>
        <v/>
      </c>
      <c r="S669">
        <f>IF(M669="Yes",COUNTIF($M$5:M669,"Yes"),"")</f>
        <v/>
      </c>
    </row>
    <row r="670">
      <c r="A670" s="5" t="n"/>
      <c r="B670" s="51" t="n"/>
      <c r="C670" s="5" t="n"/>
      <c r="D670" s="52" t="n"/>
      <c r="E670" s="52" t="n"/>
      <c r="F670" s="52" t="n"/>
      <c r="G670" s="52" t="n"/>
      <c r="H670" s="52" t="n"/>
      <c r="I670" s="52" t="n"/>
      <c r="J670" s="52" t="n"/>
      <c r="K670" s="52" t="n"/>
      <c r="L670" s="51" t="n"/>
      <c r="M670" s="53">
        <f>IF(A670="","",IF(COUNTIF('AFA Rates'!$A$5:$A$1004,A670)&gt;0,"Yes","No"))</f>
        <v/>
      </c>
      <c r="N670" s="53">
        <f>IF(A670="","",COUNTIF('AFA Rates'!$A$5:$A$1004,A670))</f>
        <v/>
      </c>
      <c r="O670" s="54" t="n"/>
      <c r="P670" s="5" t="n"/>
      <c r="Q670" s="5" t="n"/>
      <c r="R670">
        <f>IF(AND(A670&lt;&gt;"",B670="Paused"),COUNTIFS($A$5:A670,"&lt;&gt;",$B$5:B670,"Paused"),"")</f>
        <v/>
      </c>
      <c r="S670">
        <f>IF(M670="Yes",COUNTIF($M$5:M670,"Yes"),"")</f>
        <v/>
      </c>
    </row>
    <row r="671">
      <c r="A671" s="5" t="n"/>
      <c r="B671" s="51" t="n"/>
      <c r="C671" s="5" t="n"/>
      <c r="D671" s="52" t="n"/>
      <c r="E671" s="52" t="n"/>
      <c r="F671" s="52" t="n"/>
      <c r="G671" s="52" t="n"/>
      <c r="H671" s="52" t="n"/>
      <c r="I671" s="52" t="n"/>
      <c r="J671" s="52" t="n"/>
      <c r="K671" s="52" t="n"/>
      <c r="L671" s="51" t="n"/>
      <c r="M671" s="53">
        <f>IF(A671="","",IF(COUNTIF('AFA Rates'!$A$5:$A$1004,A671)&gt;0,"Yes","No"))</f>
        <v/>
      </c>
      <c r="N671" s="53">
        <f>IF(A671="","",COUNTIF('AFA Rates'!$A$5:$A$1004,A671))</f>
        <v/>
      </c>
      <c r="O671" s="54" t="n"/>
      <c r="P671" s="5" t="n"/>
      <c r="Q671" s="5" t="n"/>
      <c r="R671">
        <f>IF(AND(A671&lt;&gt;"",B671="Paused"),COUNTIFS($A$5:A671,"&lt;&gt;",$B$5:B671,"Paused"),"")</f>
        <v/>
      </c>
      <c r="S671">
        <f>IF(M671="Yes",COUNTIF($M$5:M671,"Yes"),"")</f>
        <v/>
      </c>
    </row>
    <row r="672">
      <c r="A672" s="5" t="n"/>
      <c r="B672" s="51" t="n"/>
      <c r="C672" s="5" t="n"/>
      <c r="D672" s="52" t="n"/>
      <c r="E672" s="52" t="n"/>
      <c r="F672" s="52" t="n"/>
      <c r="G672" s="52" t="n"/>
      <c r="H672" s="52" t="n"/>
      <c r="I672" s="52" t="n"/>
      <c r="J672" s="52" t="n"/>
      <c r="K672" s="52" t="n"/>
      <c r="L672" s="51" t="n"/>
      <c r="M672" s="53">
        <f>IF(A672="","",IF(COUNTIF('AFA Rates'!$A$5:$A$1004,A672)&gt;0,"Yes","No"))</f>
        <v/>
      </c>
      <c r="N672" s="53">
        <f>IF(A672="","",COUNTIF('AFA Rates'!$A$5:$A$1004,A672))</f>
        <v/>
      </c>
      <c r="O672" s="54" t="n"/>
      <c r="P672" s="5" t="n"/>
      <c r="Q672" s="5" t="n"/>
      <c r="R672">
        <f>IF(AND(A672&lt;&gt;"",B672="Paused"),COUNTIFS($A$5:A672,"&lt;&gt;",$B$5:B672,"Paused"),"")</f>
        <v/>
      </c>
      <c r="S672">
        <f>IF(M672="Yes",COUNTIF($M$5:M672,"Yes"),"")</f>
        <v/>
      </c>
    </row>
    <row r="673">
      <c r="A673" s="5" t="n"/>
      <c r="B673" s="51" t="n"/>
      <c r="C673" s="5" t="n"/>
      <c r="D673" s="52" t="n"/>
      <c r="E673" s="52" t="n"/>
      <c r="F673" s="52" t="n"/>
      <c r="G673" s="52" t="n"/>
      <c r="H673" s="52" t="n"/>
      <c r="I673" s="52" t="n"/>
      <c r="J673" s="52" t="n"/>
      <c r="K673" s="52" t="n"/>
      <c r="L673" s="51" t="n"/>
      <c r="M673" s="53">
        <f>IF(A673="","",IF(COUNTIF('AFA Rates'!$A$5:$A$1004,A673)&gt;0,"Yes","No"))</f>
        <v/>
      </c>
      <c r="N673" s="53">
        <f>IF(A673="","",COUNTIF('AFA Rates'!$A$5:$A$1004,A673))</f>
        <v/>
      </c>
      <c r="O673" s="54" t="n"/>
      <c r="P673" s="5" t="n"/>
      <c r="Q673" s="5" t="n"/>
      <c r="R673">
        <f>IF(AND(A673&lt;&gt;"",B673="Paused"),COUNTIFS($A$5:A673,"&lt;&gt;",$B$5:B673,"Paused"),"")</f>
        <v/>
      </c>
      <c r="S673">
        <f>IF(M673="Yes",COUNTIF($M$5:M673,"Yes"),"")</f>
        <v/>
      </c>
    </row>
    <row r="674">
      <c r="A674" s="5" t="n"/>
      <c r="B674" s="51" t="n"/>
      <c r="C674" s="5" t="n"/>
      <c r="D674" s="52" t="n"/>
      <c r="E674" s="52" t="n"/>
      <c r="F674" s="52" t="n"/>
      <c r="G674" s="52" t="n"/>
      <c r="H674" s="52" t="n"/>
      <c r="I674" s="52" t="n"/>
      <c r="J674" s="52" t="n"/>
      <c r="K674" s="52" t="n"/>
      <c r="L674" s="51" t="n"/>
      <c r="M674" s="53">
        <f>IF(A674="","",IF(COUNTIF('AFA Rates'!$A$5:$A$1004,A674)&gt;0,"Yes","No"))</f>
        <v/>
      </c>
      <c r="N674" s="53">
        <f>IF(A674="","",COUNTIF('AFA Rates'!$A$5:$A$1004,A674))</f>
        <v/>
      </c>
      <c r="O674" s="54" t="n"/>
      <c r="P674" s="5" t="n"/>
      <c r="Q674" s="5" t="n"/>
      <c r="R674">
        <f>IF(AND(A674&lt;&gt;"",B674="Paused"),COUNTIFS($A$5:A674,"&lt;&gt;",$B$5:B674,"Paused"),"")</f>
        <v/>
      </c>
      <c r="S674">
        <f>IF(M674="Yes",COUNTIF($M$5:M674,"Yes"),"")</f>
        <v/>
      </c>
    </row>
    <row r="675">
      <c r="A675" s="5" t="n"/>
      <c r="B675" s="51" t="n"/>
      <c r="C675" s="5" t="n"/>
      <c r="D675" s="52" t="n"/>
      <c r="E675" s="52" t="n"/>
      <c r="F675" s="52" t="n"/>
      <c r="G675" s="52" t="n"/>
      <c r="H675" s="52" t="n"/>
      <c r="I675" s="52" t="n"/>
      <c r="J675" s="52" t="n"/>
      <c r="K675" s="52" t="n"/>
      <c r="L675" s="51" t="n"/>
      <c r="M675" s="53">
        <f>IF(A675="","",IF(COUNTIF('AFA Rates'!$A$5:$A$1004,A675)&gt;0,"Yes","No"))</f>
        <v/>
      </c>
      <c r="N675" s="53">
        <f>IF(A675="","",COUNTIF('AFA Rates'!$A$5:$A$1004,A675))</f>
        <v/>
      </c>
      <c r="O675" s="54" t="n"/>
      <c r="P675" s="5" t="n"/>
      <c r="Q675" s="5" t="n"/>
      <c r="R675">
        <f>IF(AND(A675&lt;&gt;"",B675="Paused"),COUNTIFS($A$5:A675,"&lt;&gt;",$B$5:B675,"Paused"),"")</f>
        <v/>
      </c>
      <c r="S675">
        <f>IF(M675="Yes",COUNTIF($M$5:M675,"Yes"),"")</f>
        <v/>
      </c>
    </row>
    <row r="676">
      <c r="A676" s="5" t="n"/>
      <c r="B676" s="51" t="n"/>
      <c r="C676" s="5" t="n"/>
      <c r="D676" s="52" t="n"/>
      <c r="E676" s="52" t="n"/>
      <c r="F676" s="52" t="n"/>
      <c r="G676" s="52" t="n"/>
      <c r="H676" s="52" t="n"/>
      <c r="I676" s="52" t="n"/>
      <c r="J676" s="52" t="n"/>
      <c r="K676" s="52" t="n"/>
      <c r="L676" s="51" t="n"/>
      <c r="M676" s="53">
        <f>IF(A676="","",IF(COUNTIF('AFA Rates'!$A$5:$A$1004,A676)&gt;0,"Yes","No"))</f>
        <v/>
      </c>
      <c r="N676" s="53">
        <f>IF(A676="","",COUNTIF('AFA Rates'!$A$5:$A$1004,A676))</f>
        <v/>
      </c>
      <c r="O676" s="54" t="n"/>
      <c r="P676" s="5" t="n"/>
      <c r="Q676" s="5" t="n"/>
      <c r="R676">
        <f>IF(AND(A676&lt;&gt;"",B676="Paused"),COUNTIFS($A$5:A676,"&lt;&gt;",$B$5:B676,"Paused"),"")</f>
        <v/>
      </c>
      <c r="S676">
        <f>IF(M676="Yes",COUNTIF($M$5:M676,"Yes"),"")</f>
        <v/>
      </c>
    </row>
    <row r="677">
      <c r="A677" s="5" t="n"/>
      <c r="B677" s="51" t="n"/>
      <c r="C677" s="5" t="n"/>
      <c r="D677" s="52" t="n"/>
      <c r="E677" s="52" t="n"/>
      <c r="F677" s="52" t="n"/>
      <c r="G677" s="52" t="n"/>
      <c r="H677" s="52" t="n"/>
      <c r="I677" s="52" t="n"/>
      <c r="J677" s="52" t="n"/>
      <c r="K677" s="52" t="n"/>
      <c r="L677" s="51" t="n"/>
      <c r="M677" s="53">
        <f>IF(A677="","",IF(COUNTIF('AFA Rates'!$A$5:$A$1004,A677)&gt;0,"Yes","No"))</f>
        <v/>
      </c>
      <c r="N677" s="53">
        <f>IF(A677="","",COUNTIF('AFA Rates'!$A$5:$A$1004,A677))</f>
        <v/>
      </c>
      <c r="O677" s="54" t="n"/>
      <c r="P677" s="5" t="n"/>
      <c r="Q677" s="5" t="n"/>
      <c r="R677">
        <f>IF(AND(A677&lt;&gt;"",B677="Paused"),COUNTIFS($A$5:A677,"&lt;&gt;",$B$5:B677,"Paused"),"")</f>
        <v/>
      </c>
      <c r="S677">
        <f>IF(M677="Yes",COUNTIF($M$5:M677,"Yes"),"")</f>
        <v/>
      </c>
    </row>
    <row r="678">
      <c r="A678" s="5" t="n"/>
      <c r="B678" s="51" t="n"/>
      <c r="C678" s="5" t="n"/>
      <c r="D678" s="52" t="n"/>
      <c r="E678" s="52" t="n"/>
      <c r="F678" s="52" t="n"/>
      <c r="G678" s="52" t="n"/>
      <c r="H678" s="52" t="n"/>
      <c r="I678" s="52" t="n"/>
      <c r="J678" s="52" t="n"/>
      <c r="K678" s="52" t="n"/>
      <c r="L678" s="51" t="n"/>
      <c r="M678" s="53">
        <f>IF(A678="","",IF(COUNTIF('AFA Rates'!$A$5:$A$1004,A678)&gt;0,"Yes","No"))</f>
        <v/>
      </c>
      <c r="N678" s="53">
        <f>IF(A678="","",COUNTIF('AFA Rates'!$A$5:$A$1004,A678))</f>
        <v/>
      </c>
      <c r="O678" s="54" t="n"/>
      <c r="P678" s="5" t="n"/>
      <c r="Q678" s="5" t="n"/>
      <c r="R678">
        <f>IF(AND(A678&lt;&gt;"",B678="Paused"),COUNTIFS($A$5:A678,"&lt;&gt;",$B$5:B678,"Paused"),"")</f>
        <v/>
      </c>
      <c r="S678">
        <f>IF(M678="Yes",COUNTIF($M$5:M678,"Yes"),"")</f>
        <v/>
      </c>
    </row>
    <row r="679">
      <c r="A679" s="5" t="n"/>
      <c r="B679" s="51" t="n"/>
      <c r="C679" s="5" t="n"/>
      <c r="D679" s="52" t="n"/>
      <c r="E679" s="52" t="n"/>
      <c r="F679" s="52" t="n"/>
      <c r="G679" s="52" t="n"/>
      <c r="H679" s="52" t="n"/>
      <c r="I679" s="52" t="n"/>
      <c r="J679" s="52" t="n"/>
      <c r="K679" s="52" t="n"/>
      <c r="L679" s="51" t="n"/>
      <c r="M679" s="53">
        <f>IF(A679="","",IF(COUNTIF('AFA Rates'!$A$5:$A$1004,A679)&gt;0,"Yes","No"))</f>
        <v/>
      </c>
      <c r="N679" s="53">
        <f>IF(A679="","",COUNTIF('AFA Rates'!$A$5:$A$1004,A679))</f>
        <v/>
      </c>
      <c r="O679" s="54" t="n"/>
      <c r="P679" s="5" t="n"/>
      <c r="Q679" s="5" t="n"/>
      <c r="R679">
        <f>IF(AND(A679&lt;&gt;"",B679="Paused"),COUNTIFS($A$5:A679,"&lt;&gt;",$B$5:B679,"Paused"),"")</f>
        <v/>
      </c>
      <c r="S679">
        <f>IF(M679="Yes",COUNTIF($M$5:M679,"Yes"),"")</f>
        <v/>
      </c>
    </row>
    <row r="680">
      <c r="A680" s="5" t="n"/>
      <c r="B680" s="51" t="n"/>
      <c r="C680" s="5" t="n"/>
      <c r="D680" s="52" t="n"/>
      <c r="E680" s="52" t="n"/>
      <c r="F680" s="52" t="n"/>
      <c r="G680" s="52" t="n"/>
      <c r="H680" s="52" t="n"/>
      <c r="I680" s="52" t="n"/>
      <c r="J680" s="52" t="n"/>
      <c r="K680" s="52" t="n"/>
      <c r="L680" s="51" t="n"/>
      <c r="M680" s="53">
        <f>IF(A680="","",IF(COUNTIF('AFA Rates'!$A$5:$A$1004,A680)&gt;0,"Yes","No"))</f>
        <v/>
      </c>
      <c r="N680" s="53">
        <f>IF(A680="","",COUNTIF('AFA Rates'!$A$5:$A$1004,A680))</f>
        <v/>
      </c>
      <c r="O680" s="54" t="n"/>
      <c r="P680" s="5" t="n"/>
      <c r="Q680" s="5" t="n"/>
      <c r="R680">
        <f>IF(AND(A680&lt;&gt;"",B680="Paused"),COUNTIFS($A$5:A680,"&lt;&gt;",$B$5:B680,"Paused"),"")</f>
        <v/>
      </c>
      <c r="S680">
        <f>IF(M680="Yes",COUNTIF($M$5:M680,"Yes"),"")</f>
        <v/>
      </c>
    </row>
    <row r="681">
      <c r="A681" s="5" t="n"/>
      <c r="B681" s="51" t="n"/>
      <c r="C681" s="5" t="n"/>
      <c r="D681" s="52" t="n"/>
      <c r="E681" s="52" t="n"/>
      <c r="F681" s="52" t="n"/>
      <c r="G681" s="52" t="n"/>
      <c r="H681" s="52" t="n"/>
      <c r="I681" s="52" t="n"/>
      <c r="J681" s="52" t="n"/>
      <c r="K681" s="52" t="n"/>
      <c r="L681" s="51" t="n"/>
      <c r="M681" s="53">
        <f>IF(A681="","",IF(COUNTIF('AFA Rates'!$A$5:$A$1004,A681)&gt;0,"Yes","No"))</f>
        <v/>
      </c>
      <c r="N681" s="53">
        <f>IF(A681="","",COUNTIF('AFA Rates'!$A$5:$A$1004,A681))</f>
        <v/>
      </c>
      <c r="O681" s="54" t="n"/>
      <c r="P681" s="5" t="n"/>
      <c r="Q681" s="5" t="n"/>
      <c r="R681">
        <f>IF(AND(A681&lt;&gt;"",B681="Paused"),COUNTIFS($A$5:A681,"&lt;&gt;",$B$5:B681,"Paused"),"")</f>
        <v/>
      </c>
      <c r="S681">
        <f>IF(M681="Yes",COUNTIF($M$5:M681,"Yes"),"")</f>
        <v/>
      </c>
    </row>
    <row r="682">
      <c r="A682" s="5" t="n"/>
      <c r="B682" s="51" t="n"/>
      <c r="C682" s="5" t="n"/>
      <c r="D682" s="52" t="n"/>
      <c r="E682" s="52" t="n"/>
      <c r="F682" s="52" t="n"/>
      <c r="G682" s="52" t="n"/>
      <c r="H682" s="52" t="n"/>
      <c r="I682" s="52" t="n"/>
      <c r="J682" s="52" t="n"/>
      <c r="K682" s="52" t="n"/>
      <c r="L682" s="51" t="n"/>
      <c r="M682" s="53">
        <f>IF(A682="","",IF(COUNTIF('AFA Rates'!$A$5:$A$1004,A682)&gt;0,"Yes","No"))</f>
        <v/>
      </c>
      <c r="N682" s="53">
        <f>IF(A682="","",COUNTIF('AFA Rates'!$A$5:$A$1004,A682))</f>
        <v/>
      </c>
      <c r="O682" s="54" t="n"/>
      <c r="P682" s="5" t="n"/>
      <c r="Q682" s="5" t="n"/>
      <c r="R682">
        <f>IF(AND(A682&lt;&gt;"",B682="Paused"),COUNTIFS($A$5:A682,"&lt;&gt;",$B$5:B682,"Paused"),"")</f>
        <v/>
      </c>
      <c r="S682">
        <f>IF(M682="Yes",COUNTIF($M$5:M682,"Yes"),"")</f>
        <v/>
      </c>
    </row>
    <row r="683">
      <c r="A683" s="5" t="n"/>
      <c r="B683" s="51" t="n"/>
      <c r="C683" s="5" t="n"/>
      <c r="D683" s="52" t="n"/>
      <c r="E683" s="52" t="n"/>
      <c r="F683" s="52" t="n"/>
      <c r="G683" s="52" t="n"/>
      <c r="H683" s="52" t="n"/>
      <c r="I683" s="52" t="n"/>
      <c r="J683" s="52" t="n"/>
      <c r="K683" s="52" t="n"/>
      <c r="L683" s="51" t="n"/>
      <c r="M683" s="53">
        <f>IF(A683="","",IF(COUNTIF('AFA Rates'!$A$5:$A$1004,A683)&gt;0,"Yes","No"))</f>
        <v/>
      </c>
      <c r="N683" s="53">
        <f>IF(A683="","",COUNTIF('AFA Rates'!$A$5:$A$1004,A683))</f>
        <v/>
      </c>
      <c r="O683" s="54" t="n"/>
      <c r="P683" s="5" t="n"/>
      <c r="Q683" s="5" t="n"/>
      <c r="R683">
        <f>IF(AND(A683&lt;&gt;"",B683="Paused"),COUNTIFS($A$5:A683,"&lt;&gt;",$B$5:B683,"Paused"),"")</f>
        <v/>
      </c>
      <c r="S683">
        <f>IF(M683="Yes",COUNTIF($M$5:M683,"Yes"),"")</f>
        <v/>
      </c>
    </row>
    <row r="684">
      <c r="A684" s="5" t="n"/>
      <c r="B684" s="51" t="n"/>
      <c r="C684" s="5" t="n"/>
      <c r="D684" s="52" t="n"/>
      <c r="E684" s="52" t="n"/>
      <c r="F684" s="52" t="n"/>
      <c r="G684" s="52" t="n"/>
      <c r="H684" s="52" t="n"/>
      <c r="I684" s="52" t="n"/>
      <c r="J684" s="52" t="n"/>
      <c r="K684" s="52" t="n"/>
      <c r="L684" s="51" t="n"/>
      <c r="M684" s="53">
        <f>IF(A684="","",IF(COUNTIF('AFA Rates'!$A$5:$A$1004,A684)&gt;0,"Yes","No"))</f>
        <v/>
      </c>
      <c r="N684" s="53">
        <f>IF(A684="","",COUNTIF('AFA Rates'!$A$5:$A$1004,A684))</f>
        <v/>
      </c>
      <c r="O684" s="54" t="n"/>
      <c r="P684" s="5" t="n"/>
      <c r="Q684" s="5" t="n"/>
      <c r="R684">
        <f>IF(AND(A684&lt;&gt;"",B684="Paused"),COUNTIFS($A$5:A684,"&lt;&gt;",$B$5:B684,"Paused"),"")</f>
        <v/>
      </c>
      <c r="S684">
        <f>IF(M684="Yes",COUNTIF($M$5:M684,"Yes"),"")</f>
        <v/>
      </c>
    </row>
    <row r="685">
      <c r="A685" s="5" t="n"/>
      <c r="B685" s="51" t="n"/>
      <c r="C685" s="5" t="n"/>
      <c r="D685" s="52" t="n"/>
      <c r="E685" s="52" t="n"/>
      <c r="F685" s="52" t="n"/>
      <c r="G685" s="52" t="n"/>
      <c r="H685" s="52" t="n"/>
      <c r="I685" s="52" t="n"/>
      <c r="J685" s="52" t="n"/>
      <c r="K685" s="52" t="n"/>
      <c r="L685" s="51" t="n"/>
      <c r="M685" s="53">
        <f>IF(A685="","",IF(COUNTIF('AFA Rates'!$A$5:$A$1004,A685)&gt;0,"Yes","No"))</f>
        <v/>
      </c>
      <c r="N685" s="53">
        <f>IF(A685="","",COUNTIF('AFA Rates'!$A$5:$A$1004,A685))</f>
        <v/>
      </c>
      <c r="O685" s="54" t="n"/>
      <c r="P685" s="5" t="n"/>
      <c r="Q685" s="5" t="n"/>
      <c r="R685">
        <f>IF(AND(A685&lt;&gt;"",B685="Paused"),COUNTIFS($A$5:A685,"&lt;&gt;",$B$5:B685,"Paused"),"")</f>
        <v/>
      </c>
      <c r="S685">
        <f>IF(M685="Yes",COUNTIF($M$5:M685,"Yes"),"")</f>
        <v/>
      </c>
    </row>
    <row r="686">
      <c r="A686" s="5" t="n"/>
      <c r="B686" s="51" t="n"/>
      <c r="C686" s="5" t="n"/>
      <c r="D686" s="52" t="n"/>
      <c r="E686" s="52" t="n"/>
      <c r="F686" s="52" t="n"/>
      <c r="G686" s="52" t="n"/>
      <c r="H686" s="52" t="n"/>
      <c r="I686" s="52" t="n"/>
      <c r="J686" s="52" t="n"/>
      <c r="K686" s="52" t="n"/>
      <c r="L686" s="51" t="n"/>
      <c r="M686" s="53">
        <f>IF(A686="","",IF(COUNTIF('AFA Rates'!$A$5:$A$1004,A686)&gt;0,"Yes","No"))</f>
        <v/>
      </c>
      <c r="N686" s="53">
        <f>IF(A686="","",COUNTIF('AFA Rates'!$A$5:$A$1004,A686))</f>
        <v/>
      </c>
      <c r="O686" s="54" t="n"/>
      <c r="P686" s="5" t="n"/>
      <c r="Q686" s="5" t="n"/>
      <c r="R686">
        <f>IF(AND(A686&lt;&gt;"",B686="Paused"),COUNTIFS($A$5:A686,"&lt;&gt;",$B$5:B686,"Paused"),"")</f>
        <v/>
      </c>
      <c r="S686">
        <f>IF(M686="Yes",COUNTIF($M$5:M686,"Yes"),"")</f>
        <v/>
      </c>
    </row>
    <row r="687">
      <c r="A687" s="5" t="n"/>
      <c r="B687" s="51" t="n"/>
      <c r="C687" s="5" t="n"/>
      <c r="D687" s="52" t="n"/>
      <c r="E687" s="52" t="n"/>
      <c r="F687" s="52" t="n"/>
      <c r="G687" s="52" t="n"/>
      <c r="H687" s="52" t="n"/>
      <c r="I687" s="52" t="n"/>
      <c r="J687" s="52" t="n"/>
      <c r="K687" s="52" t="n"/>
      <c r="L687" s="51" t="n"/>
      <c r="M687" s="53">
        <f>IF(A687="","",IF(COUNTIF('AFA Rates'!$A$5:$A$1004,A687)&gt;0,"Yes","No"))</f>
        <v/>
      </c>
      <c r="N687" s="53">
        <f>IF(A687="","",COUNTIF('AFA Rates'!$A$5:$A$1004,A687))</f>
        <v/>
      </c>
      <c r="O687" s="54" t="n"/>
      <c r="P687" s="5" t="n"/>
      <c r="Q687" s="5" t="n"/>
      <c r="R687">
        <f>IF(AND(A687&lt;&gt;"",B687="Paused"),COUNTIFS($A$5:A687,"&lt;&gt;",$B$5:B687,"Paused"),"")</f>
        <v/>
      </c>
      <c r="S687">
        <f>IF(M687="Yes",COUNTIF($M$5:M687,"Yes"),"")</f>
        <v/>
      </c>
    </row>
    <row r="688">
      <c r="A688" s="5" t="n"/>
      <c r="B688" s="51" t="n"/>
      <c r="C688" s="5" t="n"/>
      <c r="D688" s="52" t="n"/>
      <c r="E688" s="52" t="n"/>
      <c r="F688" s="52" t="n"/>
      <c r="G688" s="52" t="n"/>
      <c r="H688" s="52" t="n"/>
      <c r="I688" s="52" t="n"/>
      <c r="J688" s="52" t="n"/>
      <c r="K688" s="52" t="n"/>
      <c r="L688" s="51" t="n"/>
      <c r="M688" s="53">
        <f>IF(A688="","",IF(COUNTIF('AFA Rates'!$A$5:$A$1004,A688)&gt;0,"Yes","No"))</f>
        <v/>
      </c>
      <c r="N688" s="53">
        <f>IF(A688="","",COUNTIF('AFA Rates'!$A$5:$A$1004,A688))</f>
        <v/>
      </c>
      <c r="O688" s="54" t="n"/>
      <c r="P688" s="5" t="n"/>
      <c r="Q688" s="5" t="n"/>
      <c r="R688">
        <f>IF(AND(A688&lt;&gt;"",B688="Paused"),COUNTIFS($A$5:A688,"&lt;&gt;",$B$5:B688,"Paused"),"")</f>
        <v/>
      </c>
      <c r="S688">
        <f>IF(M688="Yes",COUNTIF($M$5:M688,"Yes"),"")</f>
        <v/>
      </c>
    </row>
    <row r="689">
      <c r="A689" s="5" t="n"/>
      <c r="B689" s="51" t="n"/>
      <c r="C689" s="5" t="n"/>
      <c r="D689" s="52" t="n"/>
      <c r="E689" s="52" t="n"/>
      <c r="F689" s="52" t="n"/>
      <c r="G689" s="52" t="n"/>
      <c r="H689" s="52" t="n"/>
      <c r="I689" s="52" t="n"/>
      <c r="J689" s="52" t="n"/>
      <c r="K689" s="52" t="n"/>
      <c r="L689" s="51" t="n"/>
      <c r="M689" s="53">
        <f>IF(A689="","",IF(COUNTIF('AFA Rates'!$A$5:$A$1004,A689)&gt;0,"Yes","No"))</f>
        <v/>
      </c>
      <c r="N689" s="53">
        <f>IF(A689="","",COUNTIF('AFA Rates'!$A$5:$A$1004,A689))</f>
        <v/>
      </c>
      <c r="O689" s="54" t="n"/>
      <c r="P689" s="5" t="n"/>
      <c r="Q689" s="5" t="n"/>
      <c r="R689">
        <f>IF(AND(A689&lt;&gt;"",B689="Paused"),COUNTIFS($A$5:A689,"&lt;&gt;",$B$5:B689,"Paused"),"")</f>
        <v/>
      </c>
      <c r="S689">
        <f>IF(M689="Yes",COUNTIF($M$5:M689,"Yes"),"")</f>
        <v/>
      </c>
    </row>
    <row r="690">
      <c r="A690" s="5" t="n"/>
      <c r="B690" s="51" t="n"/>
      <c r="C690" s="5" t="n"/>
      <c r="D690" s="52" t="n"/>
      <c r="E690" s="52" t="n"/>
      <c r="F690" s="52" t="n"/>
      <c r="G690" s="52" t="n"/>
      <c r="H690" s="52" t="n"/>
      <c r="I690" s="52" t="n"/>
      <c r="J690" s="52" t="n"/>
      <c r="K690" s="52" t="n"/>
      <c r="L690" s="51" t="n"/>
      <c r="M690" s="53">
        <f>IF(A690="","",IF(COUNTIF('AFA Rates'!$A$5:$A$1004,A690)&gt;0,"Yes","No"))</f>
        <v/>
      </c>
      <c r="N690" s="53">
        <f>IF(A690="","",COUNTIF('AFA Rates'!$A$5:$A$1004,A690))</f>
        <v/>
      </c>
      <c r="O690" s="54" t="n"/>
      <c r="P690" s="5" t="n"/>
      <c r="Q690" s="5" t="n"/>
      <c r="R690">
        <f>IF(AND(A690&lt;&gt;"",B690="Paused"),COUNTIFS($A$5:A690,"&lt;&gt;",$B$5:B690,"Paused"),"")</f>
        <v/>
      </c>
      <c r="S690">
        <f>IF(M690="Yes",COUNTIF($M$5:M690,"Yes"),"")</f>
        <v/>
      </c>
    </row>
    <row r="691">
      <c r="A691" s="5" t="n"/>
      <c r="B691" s="51" t="n"/>
      <c r="C691" s="5" t="n"/>
      <c r="D691" s="52" t="n"/>
      <c r="E691" s="52" t="n"/>
      <c r="F691" s="52" t="n"/>
      <c r="G691" s="52" t="n"/>
      <c r="H691" s="52" t="n"/>
      <c r="I691" s="52" t="n"/>
      <c r="J691" s="52" t="n"/>
      <c r="K691" s="52" t="n"/>
      <c r="L691" s="51" t="n"/>
      <c r="M691" s="53">
        <f>IF(A691="","",IF(COUNTIF('AFA Rates'!$A$5:$A$1004,A691)&gt;0,"Yes","No"))</f>
        <v/>
      </c>
      <c r="N691" s="53">
        <f>IF(A691="","",COUNTIF('AFA Rates'!$A$5:$A$1004,A691))</f>
        <v/>
      </c>
      <c r="O691" s="54" t="n"/>
      <c r="P691" s="5" t="n"/>
      <c r="Q691" s="5" t="n"/>
      <c r="R691">
        <f>IF(AND(A691&lt;&gt;"",B691="Paused"),COUNTIFS($A$5:A691,"&lt;&gt;",$B$5:B691,"Paused"),"")</f>
        <v/>
      </c>
      <c r="S691">
        <f>IF(M691="Yes",COUNTIF($M$5:M691,"Yes"),"")</f>
        <v/>
      </c>
    </row>
    <row r="692">
      <c r="A692" s="5" t="n"/>
      <c r="B692" s="51" t="n"/>
      <c r="C692" s="5" t="n"/>
      <c r="D692" s="52" t="n"/>
      <c r="E692" s="52" t="n"/>
      <c r="F692" s="52" t="n"/>
      <c r="G692" s="52" t="n"/>
      <c r="H692" s="52" t="n"/>
      <c r="I692" s="52" t="n"/>
      <c r="J692" s="52" t="n"/>
      <c r="K692" s="52" t="n"/>
      <c r="L692" s="51" t="n"/>
      <c r="M692" s="53">
        <f>IF(A692="","",IF(COUNTIF('AFA Rates'!$A$5:$A$1004,A692)&gt;0,"Yes","No"))</f>
        <v/>
      </c>
      <c r="N692" s="53">
        <f>IF(A692="","",COUNTIF('AFA Rates'!$A$5:$A$1004,A692))</f>
        <v/>
      </c>
      <c r="O692" s="54" t="n"/>
      <c r="P692" s="5" t="n"/>
      <c r="Q692" s="5" t="n"/>
      <c r="R692">
        <f>IF(AND(A692&lt;&gt;"",B692="Paused"),COUNTIFS($A$5:A692,"&lt;&gt;",$B$5:B692,"Paused"),"")</f>
        <v/>
      </c>
      <c r="S692">
        <f>IF(M692="Yes",COUNTIF($M$5:M692,"Yes"),"")</f>
        <v/>
      </c>
    </row>
    <row r="693">
      <c r="A693" s="5" t="n"/>
      <c r="B693" s="51" t="n"/>
      <c r="C693" s="5" t="n"/>
      <c r="D693" s="52" t="n"/>
      <c r="E693" s="52" t="n"/>
      <c r="F693" s="52" t="n"/>
      <c r="G693" s="52" t="n"/>
      <c r="H693" s="52" t="n"/>
      <c r="I693" s="52" t="n"/>
      <c r="J693" s="52" t="n"/>
      <c r="K693" s="52" t="n"/>
      <c r="L693" s="51" t="n"/>
      <c r="M693" s="53">
        <f>IF(A693="","",IF(COUNTIF('AFA Rates'!$A$5:$A$1004,A693)&gt;0,"Yes","No"))</f>
        <v/>
      </c>
      <c r="N693" s="53">
        <f>IF(A693="","",COUNTIF('AFA Rates'!$A$5:$A$1004,A693))</f>
        <v/>
      </c>
      <c r="O693" s="54" t="n"/>
      <c r="P693" s="5" t="n"/>
      <c r="Q693" s="5" t="n"/>
      <c r="R693">
        <f>IF(AND(A693&lt;&gt;"",B693="Paused"),COUNTIFS($A$5:A693,"&lt;&gt;",$B$5:B693,"Paused"),"")</f>
        <v/>
      </c>
      <c r="S693">
        <f>IF(M693="Yes",COUNTIF($M$5:M693,"Yes"),"")</f>
        <v/>
      </c>
    </row>
    <row r="694">
      <c r="A694" s="5" t="n"/>
      <c r="B694" s="51" t="n"/>
      <c r="C694" s="5" t="n"/>
      <c r="D694" s="52" t="n"/>
      <c r="E694" s="52" t="n"/>
      <c r="F694" s="52" t="n"/>
      <c r="G694" s="52" t="n"/>
      <c r="H694" s="52" t="n"/>
      <c r="I694" s="52" t="n"/>
      <c r="J694" s="52" t="n"/>
      <c r="K694" s="52" t="n"/>
      <c r="L694" s="51" t="n"/>
      <c r="M694" s="53">
        <f>IF(A694="","",IF(COUNTIF('AFA Rates'!$A$5:$A$1004,A694)&gt;0,"Yes","No"))</f>
        <v/>
      </c>
      <c r="N694" s="53">
        <f>IF(A694="","",COUNTIF('AFA Rates'!$A$5:$A$1004,A694))</f>
        <v/>
      </c>
      <c r="O694" s="54" t="n"/>
      <c r="P694" s="5" t="n"/>
      <c r="Q694" s="5" t="n"/>
      <c r="R694">
        <f>IF(AND(A694&lt;&gt;"",B694="Paused"),COUNTIFS($A$5:A694,"&lt;&gt;",$B$5:B694,"Paused"),"")</f>
        <v/>
      </c>
      <c r="S694">
        <f>IF(M694="Yes",COUNTIF($M$5:M694,"Yes"),"")</f>
        <v/>
      </c>
    </row>
    <row r="695">
      <c r="A695" s="5" t="n"/>
      <c r="B695" s="51" t="n"/>
      <c r="C695" s="5" t="n"/>
      <c r="D695" s="52" t="n"/>
      <c r="E695" s="52" t="n"/>
      <c r="F695" s="52" t="n"/>
      <c r="G695" s="52" t="n"/>
      <c r="H695" s="52" t="n"/>
      <c r="I695" s="52" t="n"/>
      <c r="J695" s="52" t="n"/>
      <c r="K695" s="52" t="n"/>
      <c r="L695" s="51" t="n"/>
      <c r="M695" s="53">
        <f>IF(A695="","",IF(COUNTIF('AFA Rates'!$A$5:$A$1004,A695)&gt;0,"Yes","No"))</f>
        <v/>
      </c>
      <c r="N695" s="53">
        <f>IF(A695="","",COUNTIF('AFA Rates'!$A$5:$A$1004,A695))</f>
        <v/>
      </c>
      <c r="O695" s="54" t="n"/>
      <c r="P695" s="5" t="n"/>
      <c r="Q695" s="5" t="n"/>
      <c r="R695">
        <f>IF(AND(A695&lt;&gt;"",B695="Paused"),COUNTIFS($A$5:A695,"&lt;&gt;",$B$5:B695,"Paused"),"")</f>
        <v/>
      </c>
      <c r="S695">
        <f>IF(M695="Yes",COUNTIF($M$5:M695,"Yes"),"")</f>
        <v/>
      </c>
    </row>
    <row r="696">
      <c r="A696" s="5" t="n"/>
      <c r="B696" s="51" t="n"/>
      <c r="C696" s="5" t="n"/>
      <c r="D696" s="52" t="n"/>
      <c r="E696" s="52" t="n"/>
      <c r="F696" s="52" t="n"/>
      <c r="G696" s="52" t="n"/>
      <c r="H696" s="52" t="n"/>
      <c r="I696" s="52" t="n"/>
      <c r="J696" s="52" t="n"/>
      <c r="K696" s="52" t="n"/>
      <c r="L696" s="51" t="n"/>
      <c r="M696" s="53">
        <f>IF(A696="","",IF(COUNTIF('AFA Rates'!$A$5:$A$1004,A696)&gt;0,"Yes","No"))</f>
        <v/>
      </c>
      <c r="N696" s="53">
        <f>IF(A696="","",COUNTIF('AFA Rates'!$A$5:$A$1004,A696))</f>
        <v/>
      </c>
      <c r="O696" s="54" t="n"/>
      <c r="P696" s="5" t="n"/>
      <c r="Q696" s="5" t="n"/>
      <c r="R696">
        <f>IF(AND(A696&lt;&gt;"",B696="Paused"),COUNTIFS($A$5:A696,"&lt;&gt;",$B$5:B696,"Paused"),"")</f>
        <v/>
      </c>
      <c r="S696">
        <f>IF(M696="Yes",COUNTIF($M$5:M696,"Yes"),"")</f>
        <v/>
      </c>
    </row>
    <row r="697">
      <c r="A697" s="5" t="n"/>
      <c r="B697" s="51" t="n"/>
      <c r="C697" s="5" t="n"/>
      <c r="D697" s="52" t="n"/>
      <c r="E697" s="52" t="n"/>
      <c r="F697" s="52" t="n"/>
      <c r="G697" s="52" t="n"/>
      <c r="H697" s="52" t="n"/>
      <c r="I697" s="52" t="n"/>
      <c r="J697" s="52" t="n"/>
      <c r="K697" s="52" t="n"/>
      <c r="L697" s="51" t="n"/>
      <c r="M697" s="53">
        <f>IF(A697="","",IF(COUNTIF('AFA Rates'!$A$5:$A$1004,A697)&gt;0,"Yes","No"))</f>
        <v/>
      </c>
      <c r="N697" s="53">
        <f>IF(A697="","",COUNTIF('AFA Rates'!$A$5:$A$1004,A697))</f>
        <v/>
      </c>
      <c r="O697" s="54" t="n"/>
      <c r="P697" s="5" t="n"/>
      <c r="Q697" s="5" t="n"/>
      <c r="R697">
        <f>IF(AND(A697&lt;&gt;"",B697="Paused"),COUNTIFS($A$5:A697,"&lt;&gt;",$B$5:B697,"Paused"),"")</f>
        <v/>
      </c>
      <c r="S697">
        <f>IF(M697="Yes",COUNTIF($M$5:M697,"Yes"),"")</f>
        <v/>
      </c>
    </row>
    <row r="698">
      <c r="A698" s="5" t="n"/>
      <c r="B698" s="51" t="n"/>
      <c r="C698" s="5" t="n"/>
      <c r="D698" s="52" t="n"/>
      <c r="E698" s="52" t="n"/>
      <c r="F698" s="52" t="n"/>
      <c r="G698" s="52" t="n"/>
      <c r="H698" s="52" t="n"/>
      <c r="I698" s="52" t="n"/>
      <c r="J698" s="52" t="n"/>
      <c r="K698" s="52" t="n"/>
      <c r="L698" s="51" t="n"/>
      <c r="M698" s="53">
        <f>IF(A698="","",IF(COUNTIF('AFA Rates'!$A$5:$A$1004,A698)&gt;0,"Yes","No"))</f>
        <v/>
      </c>
      <c r="N698" s="53">
        <f>IF(A698="","",COUNTIF('AFA Rates'!$A$5:$A$1004,A698))</f>
        <v/>
      </c>
      <c r="O698" s="54" t="n"/>
      <c r="P698" s="5" t="n"/>
      <c r="Q698" s="5" t="n"/>
      <c r="R698">
        <f>IF(AND(A698&lt;&gt;"",B698="Paused"),COUNTIFS($A$5:A698,"&lt;&gt;",$B$5:B698,"Paused"),"")</f>
        <v/>
      </c>
      <c r="S698">
        <f>IF(M698="Yes",COUNTIF($M$5:M698,"Yes"),"")</f>
        <v/>
      </c>
    </row>
    <row r="699">
      <c r="A699" s="5" t="n"/>
      <c r="B699" s="51" t="n"/>
      <c r="C699" s="5" t="n"/>
      <c r="D699" s="52" t="n"/>
      <c r="E699" s="52" t="n"/>
      <c r="F699" s="52" t="n"/>
      <c r="G699" s="52" t="n"/>
      <c r="H699" s="52" t="n"/>
      <c r="I699" s="52" t="n"/>
      <c r="J699" s="52" t="n"/>
      <c r="K699" s="52" t="n"/>
      <c r="L699" s="51" t="n"/>
      <c r="M699" s="53">
        <f>IF(A699="","",IF(COUNTIF('AFA Rates'!$A$5:$A$1004,A699)&gt;0,"Yes","No"))</f>
        <v/>
      </c>
      <c r="N699" s="53">
        <f>IF(A699="","",COUNTIF('AFA Rates'!$A$5:$A$1004,A699))</f>
        <v/>
      </c>
      <c r="O699" s="54" t="n"/>
      <c r="P699" s="5" t="n"/>
      <c r="Q699" s="5" t="n"/>
      <c r="R699">
        <f>IF(AND(A699&lt;&gt;"",B699="Paused"),COUNTIFS($A$5:A699,"&lt;&gt;",$B$5:B699,"Paused"),"")</f>
        <v/>
      </c>
      <c r="S699">
        <f>IF(M699="Yes",COUNTIF($M$5:M699,"Yes"),"")</f>
        <v/>
      </c>
    </row>
    <row r="700">
      <c r="A700" s="5" t="n"/>
      <c r="B700" s="51" t="n"/>
      <c r="C700" s="5" t="n"/>
      <c r="D700" s="52" t="n"/>
      <c r="E700" s="52" t="n"/>
      <c r="F700" s="52" t="n"/>
      <c r="G700" s="52" t="n"/>
      <c r="H700" s="52" t="n"/>
      <c r="I700" s="52" t="n"/>
      <c r="J700" s="52" t="n"/>
      <c r="K700" s="52" t="n"/>
      <c r="L700" s="51" t="n"/>
      <c r="M700" s="53">
        <f>IF(A700="","",IF(COUNTIF('AFA Rates'!$A$5:$A$1004,A700)&gt;0,"Yes","No"))</f>
        <v/>
      </c>
      <c r="N700" s="53">
        <f>IF(A700="","",COUNTIF('AFA Rates'!$A$5:$A$1004,A700))</f>
        <v/>
      </c>
      <c r="O700" s="54" t="n"/>
      <c r="P700" s="5" t="n"/>
      <c r="Q700" s="5" t="n"/>
      <c r="R700">
        <f>IF(AND(A700&lt;&gt;"",B700="Paused"),COUNTIFS($A$5:A700,"&lt;&gt;",$B$5:B700,"Paused"),"")</f>
        <v/>
      </c>
      <c r="S700">
        <f>IF(M700="Yes",COUNTIF($M$5:M700,"Yes"),"")</f>
        <v/>
      </c>
    </row>
    <row r="701">
      <c r="A701" s="5" t="n"/>
      <c r="B701" s="51" t="n"/>
      <c r="C701" s="5" t="n"/>
      <c r="D701" s="52" t="n"/>
      <c r="E701" s="52" t="n"/>
      <c r="F701" s="52" t="n"/>
      <c r="G701" s="52" t="n"/>
      <c r="H701" s="52" t="n"/>
      <c r="I701" s="52" t="n"/>
      <c r="J701" s="52" t="n"/>
      <c r="K701" s="52" t="n"/>
      <c r="L701" s="51" t="n"/>
      <c r="M701" s="53">
        <f>IF(A701="","",IF(COUNTIF('AFA Rates'!$A$5:$A$1004,A701)&gt;0,"Yes","No"))</f>
        <v/>
      </c>
      <c r="N701" s="53">
        <f>IF(A701="","",COUNTIF('AFA Rates'!$A$5:$A$1004,A701))</f>
        <v/>
      </c>
      <c r="O701" s="54" t="n"/>
      <c r="P701" s="5" t="n"/>
      <c r="Q701" s="5" t="n"/>
      <c r="R701">
        <f>IF(AND(A701&lt;&gt;"",B701="Paused"),COUNTIFS($A$5:A701,"&lt;&gt;",$B$5:B701,"Paused"),"")</f>
        <v/>
      </c>
      <c r="S701">
        <f>IF(M701="Yes",COUNTIF($M$5:M701,"Yes"),"")</f>
        <v/>
      </c>
    </row>
    <row r="702">
      <c r="A702" s="5" t="n"/>
      <c r="B702" s="51" t="n"/>
      <c r="C702" s="5" t="n"/>
      <c r="D702" s="52" t="n"/>
      <c r="E702" s="52" t="n"/>
      <c r="F702" s="52" t="n"/>
      <c r="G702" s="52" t="n"/>
      <c r="H702" s="52" t="n"/>
      <c r="I702" s="52" t="n"/>
      <c r="J702" s="52" t="n"/>
      <c r="K702" s="52" t="n"/>
      <c r="L702" s="51" t="n"/>
      <c r="M702" s="53">
        <f>IF(A702="","",IF(COUNTIF('AFA Rates'!$A$5:$A$1004,A702)&gt;0,"Yes","No"))</f>
        <v/>
      </c>
      <c r="N702" s="53">
        <f>IF(A702="","",COUNTIF('AFA Rates'!$A$5:$A$1004,A702))</f>
        <v/>
      </c>
      <c r="O702" s="54" t="n"/>
      <c r="P702" s="5" t="n"/>
      <c r="Q702" s="5" t="n"/>
      <c r="R702">
        <f>IF(AND(A702&lt;&gt;"",B702="Paused"),COUNTIFS($A$5:A702,"&lt;&gt;",$B$5:B702,"Paused"),"")</f>
        <v/>
      </c>
      <c r="S702">
        <f>IF(M702="Yes",COUNTIF($M$5:M702,"Yes"),"")</f>
        <v/>
      </c>
    </row>
    <row r="703">
      <c r="A703" s="5" t="n"/>
      <c r="B703" s="51" t="n"/>
      <c r="C703" s="5" t="n"/>
      <c r="D703" s="52" t="n"/>
      <c r="E703" s="52" t="n"/>
      <c r="F703" s="52" t="n"/>
      <c r="G703" s="52" t="n"/>
      <c r="H703" s="52" t="n"/>
      <c r="I703" s="52" t="n"/>
      <c r="J703" s="52" t="n"/>
      <c r="K703" s="52" t="n"/>
      <c r="L703" s="51" t="n"/>
      <c r="M703" s="53">
        <f>IF(A703="","",IF(COUNTIF('AFA Rates'!$A$5:$A$1004,A703)&gt;0,"Yes","No"))</f>
        <v/>
      </c>
      <c r="N703" s="53">
        <f>IF(A703="","",COUNTIF('AFA Rates'!$A$5:$A$1004,A703))</f>
        <v/>
      </c>
      <c r="O703" s="54" t="n"/>
      <c r="P703" s="5" t="n"/>
      <c r="Q703" s="5" t="n"/>
      <c r="R703">
        <f>IF(AND(A703&lt;&gt;"",B703="Paused"),COUNTIFS($A$5:A703,"&lt;&gt;",$B$5:B703,"Paused"),"")</f>
        <v/>
      </c>
      <c r="S703">
        <f>IF(M703="Yes",COUNTIF($M$5:M703,"Yes"),"")</f>
        <v/>
      </c>
    </row>
    <row r="704">
      <c r="A704" s="5" t="n"/>
      <c r="B704" s="51" t="n"/>
      <c r="C704" s="5" t="n"/>
      <c r="D704" s="52" t="n"/>
      <c r="E704" s="52" t="n"/>
      <c r="F704" s="52" t="n"/>
      <c r="G704" s="52" t="n"/>
      <c r="H704" s="52" t="n"/>
      <c r="I704" s="52" t="n"/>
      <c r="J704" s="52" t="n"/>
      <c r="K704" s="52" t="n"/>
      <c r="L704" s="51" t="n"/>
      <c r="M704" s="53">
        <f>IF(A704="","",IF(COUNTIF('AFA Rates'!$A$5:$A$1004,A704)&gt;0,"Yes","No"))</f>
        <v/>
      </c>
      <c r="N704" s="53">
        <f>IF(A704="","",COUNTIF('AFA Rates'!$A$5:$A$1004,A704))</f>
        <v/>
      </c>
      <c r="O704" s="54" t="n"/>
      <c r="P704" s="5" t="n"/>
      <c r="Q704" s="5" t="n"/>
      <c r="R704">
        <f>IF(AND(A704&lt;&gt;"",B704="Paused"),COUNTIFS($A$5:A704,"&lt;&gt;",$B$5:B704,"Paused"),"")</f>
        <v/>
      </c>
      <c r="S704">
        <f>IF(M704="Yes",COUNTIF($M$5:M704,"Yes"),"")</f>
        <v/>
      </c>
    </row>
    <row r="705">
      <c r="A705" s="5" t="n"/>
      <c r="B705" s="51" t="n"/>
      <c r="C705" s="5" t="n"/>
      <c r="D705" s="52" t="n"/>
      <c r="E705" s="52" t="n"/>
      <c r="F705" s="52" t="n"/>
      <c r="G705" s="52" t="n"/>
      <c r="H705" s="52" t="n"/>
      <c r="I705" s="52" t="n"/>
      <c r="J705" s="52" t="n"/>
      <c r="K705" s="52" t="n"/>
      <c r="L705" s="51" t="n"/>
      <c r="M705" s="53">
        <f>IF(A705="","",IF(COUNTIF('AFA Rates'!$A$5:$A$1004,A705)&gt;0,"Yes","No"))</f>
        <v/>
      </c>
      <c r="N705" s="53">
        <f>IF(A705="","",COUNTIF('AFA Rates'!$A$5:$A$1004,A705))</f>
        <v/>
      </c>
      <c r="O705" s="54" t="n"/>
      <c r="P705" s="5" t="n"/>
      <c r="Q705" s="5" t="n"/>
      <c r="R705">
        <f>IF(AND(A705&lt;&gt;"",B705="Paused"),COUNTIFS($A$5:A705,"&lt;&gt;",$B$5:B705,"Paused"),"")</f>
        <v/>
      </c>
      <c r="S705">
        <f>IF(M705="Yes",COUNTIF($M$5:M705,"Yes"),"")</f>
        <v/>
      </c>
    </row>
    <row r="706">
      <c r="A706" s="5" t="n"/>
      <c r="B706" s="51" t="n"/>
      <c r="C706" s="5" t="n"/>
      <c r="D706" s="52" t="n"/>
      <c r="E706" s="52" t="n"/>
      <c r="F706" s="52" t="n"/>
      <c r="G706" s="52" t="n"/>
      <c r="H706" s="52" t="n"/>
      <c r="I706" s="52" t="n"/>
      <c r="J706" s="52" t="n"/>
      <c r="K706" s="52" t="n"/>
      <c r="L706" s="51" t="n"/>
      <c r="M706" s="53">
        <f>IF(A706="","",IF(COUNTIF('AFA Rates'!$A$5:$A$1004,A706)&gt;0,"Yes","No"))</f>
        <v/>
      </c>
      <c r="N706" s="53">
        <f>IF(A706="","",COUNTIF('AFA Rates'!$A$5:$A$1004,A706))</f>
        <v/>
      </c>
      <c r="O706" s="54" t="n"/>
      <c r="P706" s="5" t="n"/>
      <c r="Q706" s="5" t="n"/>
      <c r="R706">
        <f>IF(AND(A706&lt;&gt;"",B706="Paused"),COUNTIFS($A$5:A706,"&lt;&gt;",$B$5:B706,"Paused"),"")</f>
        <v/>
      </c>
      <c r="S706">
        <f>IF(M706="Yes",COUNTIF($M$5:M706,"Yes"),"")</f>
        <v/>
      </c>
    </row>
    <row r="707">
      <c r="A707" s="5" t="n"/>
      <c r="B707" s="51" t="n"/>
      <c r="C707" s="5" t="n"/>
      <c r="D707" s="52" t="n"/>
      <c r="E707" s="52" t="n"/>
      <c r="F707" s="52" t="n"/>
      <c r="G707" s="52" t="n"/>
      <c r="H707" s="52" t="n"/>
      <c r="I707" s="52" t="n"/>
      <c r="J707" s="52" t="n"/>
      <c r="K707" s="52" t="n"/>
      <c r="L707" s="51" t="n"/>
      <c r="M707" s="53">
        <f>IF(A707="","",IF(COUNTIF('AFA Rates'!$A$5:$A$1004,A707)&gt;0,"Yes","No"))</f>
        <v/>
      </c>
      <c r="N707" s="53">
        <f>IF(A707="","",COUNTIF('AFA Rates'!$A$5:$A$1004,A707))</f>
        <v/>
      </c>
      <c r="O707" s="54" t="n"/>
      <c r="P707" s="5" t="n"/>
      <c r="Q707" s="5" t="n"/>
      <c r="R707">
        <f>IF(AND(A707&lt;&gt;"",B707="Paused"),COUNTIFS($A$5:A707,"&lt;&gt;",$B$5:B707,"Paused"),"")</f>
        <v/>
      </c>
      <c r="S707">
        <f>IF(M707="Yes",COUNTIF($M$5:M707,"Yes"),"")</f>
        <v/>
      </c>
    </row>
    <row r="708">
      <c r="A708" s="5" t="n"/>
      <c r="B708" s="51" t="n"/>
      <c r="C708" s="5" t="n"/>
      <c r="D708" s="52" t="n"/>
      <c r="E708" s="52" t="n"/>
      <c r="F708" s="52" t="n"/>
      <c r="G708" s="52" t="n"/>
      <c r="H708" s="52" t="n"/>
      <c r="I708" s="52" t="n"/>
      <c r="J708" s="52" t="n"/>
      <c r="K708" s="52" t="n"/>
      <c r="L708" s="51" t="n"/>
      <c r="M708" s="53">
        <f>IF(A708="","",IF(COUNTIF('AFA Rates'!$A$5:$A$1004,A708)&gt;0,"Yes","No"))</f>
        <v/>
      </c>
      <c r="N708" s="53">
        <f>IF(A708="","",COUNTIF('AFA Rates'!$A$5:$A$1004,A708))</f>
        <v/>
      </c>
      <c r="O708" s="54" t="n"/>
      <c r="P708" s="5" t="n"/>
      <c r="Q708" s="5" t="n"/>
      <c r="R708">
        <f>IF(AND(A708&lt;&gt;"",B708="Paused"),COUNTIFS($A$5:A708,"&lt;&gt;",$B$5:B708,"Paused"),"")</f>
        <v/>
      </c>
      <c r="S708">
        <f>IF(M708="Yes",COUNTIF($M$5:M708,"Yes"),"")</f>
        <v/>
      </c>
    </row>
    <row r="709">
      <c r="A709" s="5" t="n"/>
      <c r="B709" s="51" t="n"/>
      <c r="C709" s="5" t="n"/>
      <c r="D709" s="52" t="n"/>
      <c r="E709" s="52" t="n"/>
      <c r="F709" s="52" t="n"/>
      <c r="G709" s="52" t="n"/>
      <c r="H709" s="52" t="n"/>
      <c r="I709" s="52" t="n"/>
      <c r="J709" s="52" t="n"/>
      <c r="K709" s="52" t="n"/>
      <c r="L709" s="51" t="n"/>
      <c r="M709" s="53">
        <f>IF(A709="","",IF(COUNTIF('AFA Rates'!$A$5:$A$1004,A709)&gt;0,"Yes","No"))</f>
        <v/>
      </c>
      <c r="N709" s="53">
        <f>IF(A709="","",COUNTIF('AFA Rates'!$A$5:$A$1004,A709))</f>
        <v/>
      </c>
      <c r="O709" s="54" t="n"/>
      <c r="P709" s="5" t="n"/>
      <c r="Q709" s="5" t="n"/>
      <c r="R709">
        <f>IF(AND(A709&lt;&gt;"",B709="Paused"),COUNTIFS($A$5:A709,"&lt;&gt;",$B$5:B709,"Paused"),"")</f>
        <v/>
      </c>
      <c r="S709">
        <f>IF(M709="Yes",COUNTIF($M$5:M709,"Yes"),"")</f>
        <v/>
      </c>
    </row>
    <row r="710">
      <c r="A710" s="5" t="n"/>
      <c r="B710" s="51" t="n"/>
      <c r="C710" s="5" t="n"/>
      <c r="D710" s="52" t="n"/>
      <c r="E710" s="52" t="n"/>
      <c r="F710" s="52" t="n"/>
      <c r="G710" s="52" t="n"/>
      <c r="H710" s="52" t="n"/>
      <c r="I710" s="52" t="n"/>
      <c r="J710" s="52" t="n"/>
      <c r="K710" s="52" t="n"/>
      <c r="L710" s="51" t="n"/>
      <c r="M710" s="53">
        <f>IF(A710="","",IF(COUNTIF('AFA Rates'!$A$5:$A$1004,A710)&gt;0,"Yes","No"))</f>
        <v/>
      </c>
      <c r="N710" s="53">
        <f>IF(A710="","",COUNTIF('AFA Rates'!$A$5:$A$1004,A710))</f>
        <v/>
      </c>
      <c r="O710" s="54" t="n"/>
      <c r="P710" s="5" t="n"/>
      <c r="Q710" s="5" t="n"/>
      <c r="R710">
        <f>IF(AND(A710&lt;&gt;"",B710="Paused"),COUNTIFS($A$5:A710,"&lt;&gt;",$B$5:B710,"Paused"),"")</f>
        <v/>
      </c>
      <c r="S710">
        <f>IF(M710="Yes",COUNTIF($M$5:M710,"Yes"),"")</f>
        <v/>
      </c>
    </row>
    <row r="711">
      <c r="A711" s="5" t="n"/>
      <c r="B711" s="51" t="n"/>
      <c r="C711" s="5" t="n"/>
      <c r="D711" s="52" t="n"/>
      <c r="E711" s="52" t="n"/>
      <c r="F711" s="52" t="n"/>
      <c r="G711" s="52" t="n"/>
      <c r="H711" s="52" t="n"/>
      <c r="I711" s="52" t="n"/>
      <c r="J711" s="52" t="n"/>
      <c r="K711" s="52" t="n"/>
      <c r="L711" s="51" t="n"/>
      <c r="M711" s="53">
        <f>IF(A711="","",IF(COUNTIF('AFA Rates'!$A$5:$A$1004,A711)&gt;0,"Yes","No"))</f>
        <v/>
      </c>
      <c r="N711" s="53">
        <f>IF(A711="","",COUNTIF('AFA Rates'!$A$5:$A$1004,A711))</f>
        <v/>
      </c>
      <c r="O711" s="54" t="n"/>
      <c r="P711" s="5" t="n"/>
      <c r="Q711" s="5" t="n"/>
      <c r="R711">
        <f>IF(AND(A711&lt;&gt;"",B711="Paused"),COUNTIFS($A$5:A711,"&lt;&gt;",$B$5:B711,"Paused"),"")</f>
        <v/>
      </c>
      <c r="S711">
        <f>IF(M711="Yes",COUNTIF($M$5:M711,"Yes"),"")</f>
        <v/>
      </c>
    </row>
    <row r="712">
      <c r="A712" s="5" t="n"/>
      <c r="B712" s="51" t="n"/>
      <c r="C712" s="5" t="n"/>
      <c r="D712" s="52" t="n"/>
      <c r="E712" s="52" t="n"/>
      <c r="F712" s="52" t="n"/>
      <c r="G712" s="52" t="n"/>
      <c r="H712" s="52" t="n"/>
      <c r="I712" s="52" t="n"/>
      <c r="J712" s="52" t="n"/>
      <c r="K712" s="52" t="n"/>
      <c r="L712" s="51" t="n"/>
      <c r="M712" s="53">
        <f>IF(A712="","",IF(COUNTIF('AFA Rates'!$A$5:$A$1004,A712)&gt;0,"Yes","No"))</f>
        <v/>
      </c>
      <c r="N712" s="53">
        <f>IF(A712="","",COUNTIF('AFA Rates'!$A$5:$A$1004,A712))</f>
        <v/>
      </c>
      <c r="O712" s="54" t="n"/>
      <c r="P712" s="5" t="n"/>
      <c r="Q712" s="5" t="n"/>
      <c r="R712">
        <f>IF(AND(A712&lt;&gt;"",B712="Paused"),COUNTIFS($A$5:A712,"&lt;&gt;",$B$5:B712,"Paused"),"")</f>
        <v/>
      </c>
      <c r="S712">
        <f>IF(M712="Yes",COUNTIF($M$5:M712,"Yes"),"")</f>
        <v/>
      </c>
    </row>
    <row r="713">
      <c r="A713" s="5" t="n"/>
      <c r="B713" s="51" t="n"/>
      <c r="C713" s="5" t="n"/>
      <c r="D713" s="52" t="n"/>
      <c r="E713" s="52" t="n"/>
      <c r="F713" s="52" t="n"/>
      <c r="G713" s="52" t="n"/>
      <c r="H713" s="52" t="n"/>
      <c r="I713" s="52" t="n"/>
      <c r="J713" s="52" t="n"/>
      <c r="K713" s="52" t="n"/>
      <c r="L713" s="51" t="n"/>
      <c r="M713" s="53">
        <f>IF(A713="","",IF(COUNTIF('AFA Rates'!$A$5:$A$1004,A713)&gt;0,"Yes","No"))</f>
        <v/>
      </c>
      <c r="N713" s="53">
        <f>IF(A713="","",COUNTIF('AFA Rates'!$A$5:$A$1004,A713))</f>
        <v/>
      </c>
      <c r="O713" s="54" t="n"/>
      <c r="P713" s="5" t="n"/>
      <c r="Q713" s="5" t="n"/>
      <c r="R713">
        <f>IF(AND(A713&lt;&gt;"",B713="Paused"),COUNTIFS($A$5:A713,"&lt;&gt;",$B$5:B713,"Paused"),"")</f>
        <v/>
      </c>
      <c r="S713">
        <f>IF(M713="Yes",COUNTIF($M$5:M713,"Yes"),"")</f>
        <v/>
      </c>
    </row>
    <row r="714">
      <c r="A714" s="5" t="n"/>
      <c r="B714" s="51" t="n"/>
      <c r="C714" s="5" t="n"/>
      <c r="D714" s="52" t="n"/>
      <c r="E714" s="52" t="n"/>
      <c r="F714" s="52" t="n"/>
      <c r="G714" s="52" t="n"/>
      <c r="H714" s="52" t="n"/>
      <c r="I714" s="52" t="n"/>
      <c r="J714" s="52" t="n"/>
      <c r="K714" s="52" t="n"/>
      <c r="L714" s="51" t="n"/>
      <c r="M714" s="53">
        <f>IF(A714="","",IF(COUNTIF('AFA Rates'!$A$5:$A$1004,A714)&gt;0,"Yes","No"))</f>
        <v/>
      </c>
      <c r="N714" s="53">
        <f>IF(A714="","",COUNTIF('AFA Rates'!$A$5:$A$1004,A714))</f>
        <v/>
      </c>
      <c r="O714" s="54" t="n"/>
      <c r="P714" s="5" t="n"/>
      <c r="Q714" s="5" t="n"/>
      <c r="R714">
        <f>IF(AND(A714&lt;&gt;"",B714="Paused"),COUNTIFS($A$5:A714,"&lt;&gt;",$B$5:B714,"Paused"),"")</f>
        <v/>
      </c>
      <c r="S714">
        <f>IF(M714="Yes",COUNTIF($M$5:M714,"Yes"),"")</f>
        <v/>
      </c>
    </row>
    <row r="715">
      <c r="A715" s="5" t="n"/>
      <c r="B715" s="51" t="n"/>
      <c r="C715" s="5" t="n"/>
      <c r="D715" s="52" t="n"/>
      <c r="E715" s="52" t="n"/>
      <c r="F715" s="52" t="n"/>
      <c r="G715" s="52" t="n"/>
      <c r="H715" s="52" t="n"/>
      <c r="I715" s="52" t="n"/>
      <c r="J715" s="52" t="n"/>
      <c r="K715" s="52" t="n"/>
      <c r="L715" s="51" t="n"/>
      <c r="M715" s="53">
        <f>IF(A715="","",IF(COUNTIF('AFA Rates'!$A$5:$A$1004,A715)&gt;0,"Yes","No"))</f>
        <v/>
      </c>
      <c r="N715" s="53">
        <f>IF(A715="","",COUNTIF('AFA Rates'!$A$5:$A$1004,A715))</f>
        <v/>
      </c>
      <c r="O715" s="54" t="n"/>
      <c r="P715" s="5" t="n"/>
      <c r="Q715" s="5" t="n"/>
      <c r="R715">
        <f>IF(AND(A715&lt;&gt;"",B715="Paused"),COUNTIFS($A$5:A715,"&lt;&gt;",$B$5:B715,"Paused"),"")</f>
        <v/>
      </c>
      <c r="S715">
        <f>IF(M715="Yes",COUNTIF($M$5:M715,"Yes"),"")</f>
        <v/>
      </c>
    </row>
    <row r="716">
      <c r="A716" s="5" t="n"/>
      <c r="B716" s="51" t="n"/>
      <c r="C716" s="5" t="n"/>
      <c r="D716" s="52" t="n"/>
      <c r="E716" s="52" t="n"/>
      <c r="F716" s="52" t="n"/>
      <c r="G716" s="52" t="n"/>
      <c r="H716" s="52" t="n"/>
      <c r="I716" s="52" t="n"/>
      <c r="J716" s="52" t="n"/>
      <c r="K716" s="52" t="n"/>
      <c r="L716" s="51" t="n"/>
      <c r="M716" s="53">
        <f>IF(A716="","",IF(COUNTIF('AFA Rates'!$A$5:$A$1004,A716)&gt;0,"Yes","No"))</f>
        <v/>
      </c>
      <c r="N716" s="53">
        <f>IF(A716="","",COUNTIF('AFA Rates'!$A$5:$A$1004,A716))</f>
        <v/>
      </c>
      <c r="O716" s="54" t="n"/>
      <c r="P716" s="5" t="n"/>
      <c r="Q716" s="5" t="n"/>
      <c r="R716">
        <f>IF(AND(A716&lt;&gt;"",B716="Paused"),COUNTIFS($A$5:A716,"&lt;&gt;",$B$5:B716,"Paused"),"")</f>
        <v/>
      </c>
      <c r="S716">
        <f>IF(M716="Yes",COUNTIF($M$5:M716,"Yes"),"")</f>
        <v/>
      </c>
    </row>
    <row r="717">
      <c r="A717" s="5" t="n"/>
      <c r="B717" s="51" t="n"/>
      <c r="C717" s="5" t="n"/>
      <c r="D717" s="52" t="n"/>
      <c r="E717" s="52" t="n"/>
      <c r="F717" s="52" t="n"/>
      <c r="G717" s="52" t="n"/>
      <c r="H717" s="52" t="n"/>
      <c r="I717" s="52" t="n"/>
      <c r="J717" s="52" t="n"/>
      <c r="K717" s="52" t="n"/>
      <c r="L717" s="51" t="n"/>
      <c r="M717" s="53">
        <f>IF(A717="","",IF(COUNTIF('AFA Rates'!$A$5:$A$1004,A717)&gt;0,"Yes","No"))</f>
        <v/>
      </c>
      <c r="N717" s="53">
        <f>IF(A717="","",COUNTIF('AFA Rates'!$A$5:$A$1004,A717))</f>
        <v/>
      </c>
      <c r="O717" s="54" t="n"/>
      <c r="P717" s="5" t="n"/>
      <c r="Q717" s="5" t="n"/>
      <c r="R717">
        <f>IF(AND(A717&lt;&gt;"",B717="Paused"),COUNTIFS($A$5:A717,"&lt;&gt;",$B$5:B717,"Paused"),"")</f>
        <v/>
      </c>
      <c r="S717">
        <f>IF(M717="Yes",COUNTIF($M$5:M717,"Yes"),"")</f>
        <v/>
      </c>
    </row>
    <row r="718">
      <c r="A718" s="5" t="n"/>
      <c r="B718" s="51" t="n"/>
      <c r="C718" s="5" t="n"/>
      <c r="D718" s="52" t="n"/>
      <c r="E718" s="52" t="n"/>
      <c r="F718" s="52" t="n"/>
      <c r="G718" s="52" t="n"/>
      <c r="H718" s="52" t="n"/>
      <c r="I718" s="52" t="n"/>
      <c r="J718" s="52" t="n"/>
      <c r="K718" s="52" t="n"/>
      <c r="L718" s="51" t="n"/>
      <c r="M718" s="53">
        <f>IF(A718="","",IF(COUNTIF('AFA Rates'!$A$5:$A$1004,A718)&gt;0,"Yes","No"))</f>
        <v/>
      </c>
      <c r="N718" s="53">
        <f>IF(A718="","",COUNTIF('AFA Rates'!$A$5:$A$1004,A718))</f>
        <v/>
      </c>
      <c r="O718" s="54" t="n"/>
      <c r="P718" s="5" t="n"/>
      <c r="Q718" s="5" t="n"/>
      <c r="R718">
        <f>IF(AND(A718&lt;&gt;"",B718="Paused"),COUNTIFS($A$5:A718,"&lt;&gt;",$B$5:B718,"Paused"),"")</f>
        <v/>
      </c>
      <c r="S718">
        <f>IF(M718="Yes",COUNTIF($M$5:M718,"Yes"),"")</f>
        <v/>
      </c>
    </row>
    <row r="719">
      <c r="A719" s="5" t="n"/>
      <c r="B719" s="51" t="n"/>
      <c r="C719" s="5" t="n"/>
      <c r="D719" s="52" t="n"/>
      <c r="E719" s="52" t="n"/>
      <c r="F719" s="52" t="n"/>
      <c r="G719" s="52" t="n"/>
      <c r="H719" s="52" t="n"/>
      <c r="I719" s="52" t="n"/>
      <c r="J719" s="52" t="n"/>
      <c r="K719" s="52" t="n"/>
      <c r="L719" s="51" t="n"/>
      <c r="M719" s="53">
        <f>IF(A719="","",IF(COUNTIF('AFA Rates'!$A$5:$A$1004,A719)&gt;0,"Yes","No"))</f>
        <v/>
      </c>
      <c r="N719" s="53">
        <f>IF(A719="","",COUNTIF('AFA Rates'!$A$5:$A$1004,A719))</f>
        <v/>
      </c>
      <c r="O719" s="54" t="n"/>
      <c r="P719" s="5" t="n"/>
      <c r="Q719" s="5" t="n"/>
      <c r="R719">
        <f>IF(AND(A719&lt;&gt;"",B719="Paused"),COUNTIFS($A$5:A719,"&lt;&gt;",$B$5:B719,"Paused"),"")</f>
        <v/>
      </c>
      <c r="S719">
        <f>IF(M719="Yes",COUNTIF($M$5:M719,"Yes"),"")</f>
        <v/>
      </c>
    </row>
    <row r="720">
      <c r="A720" s="5" t="n"/>
      <c r="B720" s="51" t="n"/>
      <c r="C720" s="5" t="n"/>
      <c r="D720" s="52" t="n"/>
      <c r="E720" s="52" t="n"/>
      <c r="F720" s="52" t="n"/>
      <c r="G720" s="52" t="n"/>
      <c r="H720" s="52" t="n"/>
      <c r="I720" s="52" t="n"/>
      <c r="J720" s="52" t="n"/>
      <c r="K720" s="52" t="n"/>
      <c r="L720" s="51" t="n"/>
      <c r="M720" s="53">
        <f>IF(A720="","",IF(COUNTIF('AFA Rates'!$A$5:$A$1004,A720)&gt;0,"Yes","No"))</f>
        <v/>
      </c>
      <c r="N720" s="53">
        <f>IF(A720="","",COUNTIF('AFA Rates'!$A$5:$A$1004,A720))</f>
        <v/>
      </c>
      <c r="O720" s="54" t="n"/>
      <c r="P720" s="5" t="n"/>
      <c r="Q720" s="5" t="n"/>
      <c r="R720">
        <f>IF(AND(A720&lt;&gt;"",B720="Paused"),COUNTIFS($A$5:A720,"&lt;&gt;",$B$5:B720,"Paused"),"")</f>
        <v/>
      </c>
      <c r="S720">
        <f>IF(M720="Yes",COUNTIF($M$5:M720,"Yes"),"")</f>
        <v/>
      </c>
    </row>
    <row r="721">
      <c r="A721" s="5" t="n"/>
      <c r="B721" s="51" t="n"/>
      <c r="C721" s="5" t="n"/>
      <c r="D721" s="52" t="n"/>
      <c r="E721" s="52" t="n"/>
      <c r="F721" s="52" t="n"/>
      <c r="G721" s="52" t="n"/>
      <c r="H721" s="52" t="n"/>
      <c r="I721" s="52" t="n"/>
      <c r="J721" s="52" t="n"/>
      <c r="K721" s="52" t="n"/>
      <c r="L721" s="51" t="n"/>
      <c r="M721" s="53">
        <f>IF(A721="","",IF(COUNTIF('AFA Rates'!$A$5:$A$1004,A721)&gt;0,"Yes","No"))</f>
        <v/>
      </c>
      <c r="N721" s="53">
        <f>IF(A721="","",COUNTIF('AFA Rates'!$A$5:$A$1004,A721))</f>
        <v/>
      </c>
      <c r="O721" s="54" t="n"/>
      <c r="P721" s="5" t="n"/>
      <c r="Q721" s="5" t="n"/>
      <c r="R721">
        <f>IF(AND(A721&lt;&gt;"",B721="Paused"),COUNTIFS($A$5:A721,"&lt;&gt;",$B$5:B721,"Paused"),"")</f>
        <v/>
      </c>
      <c r="S721">
        <f>IF(M721="Yes",COUNTIF($M$5:M721,"Yes"),"")</f>
        <v/>
      </c>
    </row>
    <row r="722">
      <c r="A722" s="5" t="n"/>
      <c r="B722" s="51" t="n"/>
      <c r="C722" s="5" t="n"/>
      <c r="D722" s="52" t="n"/>
      <c r="E722" s="52" t="n"/>
      <c r="F722" s="52" t="n"/>
      <c r="G722" s="52" t="n"/>
      <c r="H722" s="52" t="n"/>
      <c r="I722" s="52" t="n"/>
      <c r="J722" s="52" t="n"/>
      <c r="K722" s="52" t="n"/>
      <c r="L722" s="51" t="n"/>
      <c r="M722" s="53">
        <f>IF(A722="","",IF(COUNTIF('AFA Rates'!$A$5:$A$1004,A722)&gt;0,"Yes","No"))</f>
        <v/>
      </c>
      <c r="N722" s="53">
        <f>IF(A722="","",COUNTIF('AFA Rates'!$A$5:$A$1004,A722))</f>
        <v/>
      </c>
      <c r="O722" s="54" t="n"/>
      <c r="P722" s="5" t="n"/>
      <c r="Q722" s="5" t="n"/>
      <c r="R722">
        <f>IF(AND(A722&lt;&gt;"",B722="Paused"),COUNTIFS($A$5:A722,"&lt;&gt;",$B$5:B722,"Paused"),"")</f>
        <v/>
      </c>
      <c r="S722">
        <f>IF(M722="Yes",COUNTIF($M$5:M722,"Yes"),"")</f>
        <v/>
      </c>
    </row>
    <row r="723">
      <c r="A723" s="5" t="n"/>
      <c r="B723" s="51" t="n"/>
      <c r="C723" s="5" t="n"/>
      <c r="D723" s="52" t="n"/>
      <c r="E723" s="52" t="n"/>
      <c r="F723" s="52" t="n"/>
      <c r="G723" s="52" t="n"/>
      <c r="H723" s="52" t="n"/>
      <c r="I723" s="52" t="n"/>
      <c r="J723" s="52" t="n"/>
      <c r="K723" s="52" t="n"/>
      <c r="L723" s="51" t="n"/>
      <c r="M723" s="53">
        <f>IF(A723="","",IF(COUNTIF('AFA Rates'!$A$5:$A$1004,A723)&gt;0,"Yes","No"))</f>
        <v/>
      </c>
      <c r="N723" s="53">
        <f>IF(A723="","",COUNTIF('AFA Rates'!$A$5:$A$1004,A723))</f>
        <v/>
      </c>
      <c r="O723" s="54" t="n"/>
      <c r="P723" s="5" t="n"/>
      <c r="Q723" s="5" t="n"/>
      <c r="R723">
        <f>IF(AND(A723&lt;&gt;"",B723="Paused"),COUNTIFS($A$5:A723,"&lt;&gt;",$B$5:B723,"Paused"),"")</f>
        <v/>
      </c>
      <c r="S723">
        <f>IF(M723="Yes",COUNTIF($M$5:M723,"Yes"),"")</f>
        <v/>
      </c>
    </row>
    <row r="724">
      <c r="A724" s="5" t="n"/>
      <c r="B724" s="51" t="n"/>
      <c r="C724" s="5" t="n"/>
      <c r="D724" s="52" t="n"/>
      <c r="E724" s="52" t="n"/>
      <c r="F724" s="52" t="n"/>
      <c r="G724" s="52" t="n"/>
      <c r="H724" s="52" t="n"/>
      <c r="I724" s="52" t="n"/>
      <c r="J724" s="52" t="n"/>
      <c r="K724" s="52" t="n"/>
      <c r="L724" s="51" t="n"/>
      <c r="M724" s="53">
        <f>IF(A724="","",IF(COUNTIF('AFA Rates'!$A$5:$A$1004,A724)&gt;0,"Yes","No"))</f>
        <v/>
      </c>
      <c r="N724" s="53">
        <f>IF(A724="","",COUNTIF('AFA Rates'!$A$5:$A$1004,A724))</f>
        <v/>
      </c>
      <c r="O724" s="54" t="n"/>
      <c r="P724" s="5" t="n"/>
      <c r="Q724" s="5" t="n"/>
      <c r="R724">
        <f>IF(AND(A724&lt;&gt;"",B724="Paused"),COUNTIFS($A$5:A724,"&lt;&gt;",$B$5:B724,"Paused"),"")</f>
        <v/>
      </c>
      <c r="S724">
        <f>IF(M724="Yes",COUNTIF($M$5:M724,"Yes"),"")</f>
        <v/>
      </c>
    </row>
    <row r="725">
      <c r="A725" s="5" t="n"/>
      <c r="B725" s="51" t="n"/>
      <c r="C725" s="5" t="n"/>
      <c r="D725" s="52" t="n"/>
      <c r="E725" s="52" t="n"/>
      <c r="F725" s="52" t="n"/>
      <c r="G725" s="52" t="n"/>
      <c r="H725" s="52" t="n"/>
      <c r="I725" s="52" t="n"/>
      <c r="J725" s="52" t="n"/>
      <c r="K725" s="52" t="n"/>
      <c r="L725" s="51" t="n"/>
      <c r="M725" s="53">
        <f>IF(A725="","",IF(COUNTIF('AFA Rates'!$A$5:$A$1004,A725)&gt;0,"Yes","No"))</f>
        <v/>
      </c>
      <c r="N725" s="53">
        <f>IF(A725="","",COUNTIF('AFA Rates'!$A$5:$A$1004,A725))</f>
        <v/>
      </c>
      <c r="O725" s="54" t="n"/>
      <c r="P725" s="5" t="n"/>
      <c r="Q725" s="5" t="n"/>
      <c r="R725">
        <f>IF(AND(A725&lt;&gt;"",B725="Paused"),COUNTIFS($A$5:A725,"&lt;&gt;",$B$5:B725,"Paused"),"")</f>
        <v/>
      </c>
      <c r="S725">
        <f>IF(M725="Yes",COUNTIF($M$5:M725,"Yes"),"")</f>
        <v/>
      </c>
    </row>
    <row r="726">
      <c r="A726" s="5" t="n"/>
      <c r="B726" s="51" t="n"/>
      <c r="C726" s="5" t="n"/>
      <c r="D726" s="52" t="n"/>
      <c r="E726" s="52" t="n"/>
      <c r="F726" s="52" t="n"/>
      <c r="G726" s="52" t="n"/>
      <c r="H726" s="52" t="n"/>
      <c r="I726" s="52" t="n"/>
      <c r="J726" s="52" t="n"/>
      <c r="K726" s="52" t="n"/>
      <c r="L726" s="51" t="n"/>
      <c r="M726" s="53">
        <f>IF(A726="","",IF(COUNTIF('AFA Rates'!$A$5:$A$1004,A726)&gt;0,"Yes","No"))</f>
        <v/>
      </c>
      <c r="N726" s="53">
        <f>IF(A726="","",COUNTIF('AFA Rates'!$A$5:$A$1004,A726))</f>
        <v/>
      </c>
      <c r="O726" s="54" t="n"/>
      <c r="P726" s="5" t="n"/>
      <c r="Q726" s="5" t="n"/>
      <c r="R726">
        <f>IF(AND(A726&lt;&gt;"",B726="Paused"),COUNTIFS($A$5:A726,"&lt;&gt;",$B$5:B726,"Paused"),"")</f>
        <v/>
      </c>
      <c r="S726">
        <f>IF(M726="Yes",COUNTIF($M$5:M726,"Yes"),"")</f>
        <v/>
      </c>
    </row>
    <row r="727">
      <c r="A727" s="5" t="n"/>
      <c r="B727" s="51" t="n"/>
      <c r="C727" s="5" t="n"/>
      <c r="D727" s="52" t="n"/>
      <c r="E727" s="52" t="n"/>
      <c r="F727" s="52" t="n"/>
      <c r="G727" s="52" t="n"/>
      <c r="H727" s="52" t="n"/>
      <c r="I727" s="52" t="n"/>
      <c r="J727" s="52" t="n"/>
      <c r="K727" s="52" t="n"/>
      <c r="L727" s="51" t="n"/>
      <c r="M727" s="53">
        <f>IF(A727="","",IF(COUNTIF('AFA Rates'!$A$5:$A$1004,A727)&gt;0,"Yes","No"))</f>
        <v/>
      </c>
      <c r="N727" s="53">
        <f>IF(A727="","",COUNTIF('AFA Rates'!$A$5:$A$1004,A727))</f>
        <v/>
      </c>
      <c r="O727" s="54" t="n"/>
      <c r="P727" s="5" t="n"/>
      <c r="Q727" s="5" t="n"/>
      <c r="R727">
        <f>IF(AND(A727&lt;&gt;"",B727="Paused"),COUNTIFS($A$5:A727,"&lt;&gt;",$B$5:B727,"Paused"),"")</f>
        <v/>
      </c>
      <c r="S727">
        <f>IF(M727="Yes",COUNTIF($M$5:M727,"Yes"),"")</f>
        <v/>
      </c>
    </row>
    <row r="728">
      <c r="A728" s="5" t="n"/>
      <c r="B728" s="51" t="n"/>
      <c r="C728" s="5" t="n"/>
      <c r="D728" s="52" t="n"/>
      <c r="E728" s="52" t="n"/>
      <c r="F728" s="52" t="n"/>
      <c r="G728" s="52" t="n"/>
      <c r="H728" s="52" t="n"/>
      <c r="I728" s="52" t="n"/>
      <c r="J728" s="52" t="n"/>
      <c r="K728" s="52" t="n"/>
      <c r="L728" s="51" t="n"/>
      <c r="M728" s="53">
        <f>IF(A728="","",IF(COUNTIF('AFA Rates'!$A$5:$A$1004,A728)&gt;0,"Yes","No"))</f>
        <v/>
      </c>
      <c r="N728" s="53">
        <f>IF(A728="","",COUNTIF('AFA Rates'!$A$5:$A$1004,A728))</f>
        <v/>
      </c>
      <c r="O728" s="54" t="n"/>
      <c r="P728" s="5" t="n"/>
      <c r="Q728" s="5" t="n"/>
      <c r="R728">
        <f>IF(AND(A728&lt;&gt;"",B728="Paused"),COUNTIFS($A$5:A728,"&lt;&gt;",$B$5:B728,"Paused"),"")</f>
        <v/>
      </c>
      <c r="S728">
        <f>IF(M728="Yes",COUNTIF($M$5:M728,"Yes"),"")</f>
        <v/>
      </c>
    </row>
    <row r="729">
      <c r="A729" s="5" t="n"/>
      <c r="B729" s="51" t="n"/>
      <c r="C729" s="5" t="n"/>
      <c r="D729" s="52" t="n"/>
      <c r="E729" s="52" t="n"/>
      <c r="F729" s="52" t="n"/>
      <c r="G729" s="52" t="n"/>
      <c r="H729" s="52" t="n"/>
      <c r="I729" s="52" t="n"/>
      <c r="J729" s="52" t="n"/>
      <c r="K729" s="52" t="n"/>
      <c r="L729" s="51" t="n"/>
      <c r="M729" s="53">
        <f>IF(A729="","",IF(COUNTIF('AFA Rates'!$A$5:$A$1004,A729)&gt;0,"Yes","No"))</f>
        <v/>
      </c>
      <c r="N729" s="53">
        <f>IF(A729="","",COUNTIF('AFA Rates'!$A$5:$A$1004,A729))</f>
        <v/>
      </c>
      <c r="O729" s="54" t="n"/>
      <c r="P729" s="5" t="n"/>
      <c r="Q729" s="5" t="n"/>
      <c r="R729">
        <f>IF(AND(A729&lt;&gt;"",B729="Paused"),COUNTIFS($A$5:A729,"&lt;&gt;",$B$5:B729,"Paused"),"")</f>
        <v/>
      </c>
      <c r="S729">
        <f>IF(M729="Yes",COUNTIF($M$5:M729,"Yes"),"")</f>
        <v/>
      </c>
    </row>
    <row r="730">
      <c r="A730" s="5" t="n"/>
      <c r="B730" s="51" t="n"/>
      <c r="C730" s="5" t="n"/>
      <c r="D730" s="52" t="n"/>
      <c r="E730" s="52" t="n"/>
      <c r="F730" s="52" t="n"/>
      <c r="G730" s="52" t="n"/>
      <c r="H730" s="52" t="n"/>
      <c r="I730" s="52" t="n"/>
      <c r="J730" s="52" t="n"/>
      <c r="K730" s="52" t="n"/>
      <c r="L730" s="51" t="n"/>
      <c r="M730" s="53">
        <f>IF(A730="","",IF(COUNTIF('AFA Rates'!$A$5:$A$1004,A730)&gt;0,"Yes","No"))</f>
        <v/>
      </c>
      <c r="N730" s="53">
        <f>IF(A730="","",COUNTIF('AFA Rates'!$A$5:$A$1004,A730))</f>
        <v/>
      </c>
      <c r="O730" s="54" t="n"/>
      <c r="P730" s="5" t="n"/>
      <c r="Q730" s="5" t="n"/>
      <c r="R730">
        <f>IF(AND(A730&lt;&gt;"",B730="Paused"),COUNTIFS($A$5:A730,"&lt;&gt;",$B$5:B730,"Paused"),"")</f>
        <v/>
      </c>
      <c r="S730">
        <f>IF(M730="Yes",COUNTIF($M$5:M730,"Yes"),"")</f>
        <v/>
      </c>
    </row>
    <row r="731">
      <c r="A731" s="5" t="n"/>
      <c r="B731" s="51" t="n"/>
      <c r="C731" s="5" t="n"/>
      <c r="D731" s="52" t="n"/>
      <c r="E731" s="52" t="n"/>
      <c r="F731" s="52" t="n"/>
      <c r="G731" s="52" t="n"/>
      <c r="H731" s="52" t="n"/>
      <c r="I731" s="52" t="n"/>
      <c r="J731" s="52" t="n"/>
      <c r="K731" s="52" t="n"/>
      <c r="L731" s="51" t="n"/>
      <c r="M731" s="53">
        <f>IF(A731="","",IF(COUNTIF('AFA Rates'!$A$5:$A$1004,A731)&gt;0,"Yes","No"))</f>
        <v/>
      </c>
      <c r="N731" s="53">
        <f>IF(A731="","",COUNTIF('AFA Rates'!$A$5:$A$1004,A731))</f>
        <v/>
      </c>
      <c r="O731" s="54" t="n"/>
      <c r="P731" s="5" t="n"/>
      <c r="Q731" s="5" t="n"/>
      <c r="R731">
        <f>IF(AND(A731&lt;&gt;"",B731="Paused"),COUNTIFS($A$5:A731,"&lt;&gt;",$B$5:B731,"Paused"),"")</f>
        <v/>
      </c>
      <c r="S731">
        <f>IF(M731="Yes",COUNTIF($M$5:M731,"Yes"),"")</f>
        <v/>
      </c>
    </row>
    <row r="732">
      <c r="A732" s="5" t="n"/>
      <c r="B732" s="51" t="n"/>
      <c r="C732" s="5" t="n"/>
      <c r="D732" s="52" t="n"/>
      <c r="E732" s="52" t="n"/>
      <c r="F732" s="52" t="n"/>
      <c r="G732" s="52" t="n"/>
      <c r="H732" s="52" t="n"/>
      <c r="I732" s="52" t="n"/>
      <c r="J732" s="52" t="n"/>
      <c r="K732" s="52" t="n"/>
      <c r="L732" s="51" t="n"/>
      <c r="M732" s="53">
        <f>IF(A732="","",IF(COUNTIF('AFA Rates'!$A$5:$A$1004,A732)&gt;0,"Yes","No"))</f>
        <v/>
      </c>
      <c r="N732" s="53">
        <f>IF(A732="","",COUNTIF('AFA Rates'!$A$5:$A$1004,A732))</f>
        <v/>
      </c>
      <c r="O732" s="54" t="n"/>
      <c r="P732" s="5" t="n"/>
      <c r="Q732" s="5" t="n"/>
      <c r="R732">
        <f>IF(AND(A732&lt;&gt;"",B732="Paused"),COUNTIFS($A$5:A732,"&lt;&gt;",$B$5:B732,"Paused"),"")</f>
        <v/>
      </c>
      <c r="S732">
        <f>IF(M732="Yes",COUNTIF($M$5:M732,"Yes"),"")</f>
        <v/>
      </c>
    </row>
    <row r="733">
      <c r="A733" s="5" t="n"/>
      <c r="B733" s="51" t="n"/>
      <c r="C733" s="5" t="n"/>
      <c r="D733" s="52" t="n"/>
      <c r="E733" s="52" t="n"/>
      <c r="F733" s="52" t="n"/>
      <c r="G733" s="52" t="n"/>
      <c r="H733" s="52" t="n"/>
      <c r="I733" s="52" t="n"/>
      <c r="J733" s="52" t="n"/>
      <c r="K733" s="52" t="n"/>
      <c r="L733" s="51" t="n"/>
      <c r="M733" s="53">
        <f>IF(A733="","",IF(COUNTIF('AFA Rates'!$A$5:$A$1004,A733)&gt;0,"Yes","No"))</f>
        <v/>
      </c>
      <c r="N733" s="53">
        <f>IF(A733="","",COUNTIF('AFA Rates'!$A$5:$A$1004,A733))</f>
        <v/>
      </c>
      <c r="O733" s="54" t="n"/>
      <c r="P733" s="5" t="n"/>
      <c r="Q733" s="5" t="n"/>
      <c r="R733">
        <f>IF(AND(A733&lt;&gt;"",B733="Paused"),COUNTIFS($A$5:A733,"&lt;&gt;",$B$5:B733,"Paused"),"")</f>
        <v/>
      </c>
      <c r="S733">
        <f>IF(M733="Yes",COUNTIF($M$5:M733,"Yes"),"")</f>
        <v/>
      </c>
    </row>
    <row r="734">
      <c r="A734" s="5" t="n"/>
      <c r="B734" s="51" t="n"/>
      <c r="C734" s="5" t="n"/>
      <c r="D734" s="52" t="n"/>
      <c r="E734" s="52" t="n"/>
      <c r="F734" s="52" t="n"/>
      <c r="G734" s="52" t="n"/>
      <c r="H734" s="52" t="n"/>
      <c r="I734" s="52" t="n"/>
      <c r="J734" s="52" t="n"/>
      <c r="K734" s="52" t="n"/>
      <c r="L734" s="51" t="n"/>
      <c r="M734" s="53">
        <f>IF(A734="","",IF(COUNTIF('AFA Rates'!$A$5:$A$1004,A734)&gt;0,"Yes","No"))</f>
        <v/>
      </c>
      <c r="N734" s="53">
        <f>IF(A734="","",COUNTIF('AFA Rates'!$A$5:$A$1004,A734))</f>
        <v/>
      </c>
      <c r="O734" s="54" t="n"/>
      <c r="P734" s="5" t="n"/>
      <c r="Q734" s="5" t="n"/>
      <c r="R734">
        <f>IF(AND(A734&lt;&gt;"",B734="Paused"),COUNTIFS($A$5:A734,"&lt;&gt;",$B$5:B734,"Paused"),"")</f>
        <v/>
      </c>
      <c r="S734">
        <f>IF(M734="Yes",COUNTIF($M$5:M734,"Yes"),"")</f>
        <v/>
      </c>
    </row>
    <row r="735">
      <c r="A735" s="5" t="n"/>
      <c r="B735" s="51" t="n"/>
      <c r="C735" s="5" t="n"/>
      <c r="D735" s="52" t="n"/>
      <c r="E735" s="52" t="n"/>
      <c r="F735" s="52" t="n"/>
      <c r="G735" s="52" t="n"/>
      <c r="H735" s="52" t="n"/>
      <c r="I735" s="52" t="n"/>
      <c r="J735" s="52" t="n"/>
      <c r="K735" s="52" t="n"/>
      <c r="L735" s="51" t="n"/>
      <c r="M735" s="53">
        <f>IF(A735="","",IF(COUNTIF('AFA Rates'!$A$5:$A$1004,A735)&gt;0,"Yes","No"))</f>
        <v/>
      </c>
      <c r="N735" s="53">
        <f>IF(A735="","",COUNTIF('AFA Rates'!$A$5:$A$1004,A735))</f>
        <v/>
      </c>
      <c r="O735" s="54" t="n"/>
      <c r="P735" s="5" t="n"/>
      <c r="Q735" s="5" t="n"/>
      <c r="R735">
        <f>IF(AND(A735&lt;&gt;"",B735="Paused"),COUNTIFS($A$5:A735,"&lt;&gt;",$B$5:B735,"Paused"),"")</f>
        <v/>
      </c>
      <c r="S735">
        <f>IF(M735="Yes",COUNTIF($M$5:M735,"Yes"),"")</f>
        <v/>
      </c>
    </row>
    <row r="736">
      <c r="A736" s="5" t="n"/>
      <c r="B736" s="51" t="n"/>
      <c r="C736" s="5" t="n"/>
      <c r="D736" s="52" t="n"/>
      <c r="E736" s="52" t="n"/>
      <c r="F736" s="52" t="n"/>
      <c r="G736" s="52" t="n"/>
      <c r="H736" s="52" t="n"/>
      <c r="I736" s="52" t="n"/>
      <c r="J736" s="52" t="n"/>
      <c r="K736" s="52" t="n"/>
      <c r="L736" s="51" t="n"/>
      <c r="M736" s="53">
        <f>IF(A736="","",IF(COUNTIF('AFA Rates'!$A$5:$A$1004,A736)&gt;0,"Yes","No"))</f>
        <v/>
      </c>
      <c r="N736" s="53">
        <f>IF(A736="","",COUNTIF('AFA Rates'!$A$5:$A$1004,A736))</f>
        <v/>
      </c>
      <c r="O736" s="54" t="n"/>
      <c r="P736" s="5" t="n"/>
      <c r="Q736" s="5" t="n"/>
      <c r="R736">
        <f>IF(AND(A736&lt;&gt;"",B736="Paused"),COUNTIFS($A$5:A736,"&lt;&gt;",$B$5:B736,"Paused"),"")</f>
        <v/>
      </c>
      <c r="S736">
        <f>IF(M736="Yes",COUNTIF($M$5:M736,"Yes"),"")</f>
        <v/>
      </c>
    </row>
    <row r="737">
      <c r="A737" s="5" t="n"/>
      <c r="B737" s="51" t="n"/>
      <c r="C737" s="5" t="n"/>
      <c r="D737" s="52" t="n"/>
      <c r="E737" s="52" t="n"/>
      <c r="F737" s="52" t="n"/>
      <c r="G737" s="52" t="n"/>
      <c r="H737" s="52" t="n"/>
      <c r="I737" s="52" t="n"/>
      <c r="J737" s="52" t="n"/>
      <c r="K737" s="52" t="n"/>
      <c r="L737" s="51" t="n"/>
      <c r="M737" s="53">
        <f>IF(A737="","",IF(COUNTIF('AFA Rates'!$A$5:$A$1004,A737)&gt;0,"Yes","No"))</f>
        <v/>
      </c>
      <c r="N737" s="53">
        <f>IF(A737="","",COUNTIF('AFA Rates'!$A$5:$A$1004,A737))</f>
        <v/>
      </c>
      <c r="O737" s="54" t="n"/>
      <c r="P737" s="5" t="n"/>
      <c r="Q737" s="5" t="n"/>
      <c r="R737">
        <f>IF(AND(A737&lt;&gt;"",B737="Paused"),COUNTIFS($A$5:A737,"&lt;&gt;",$B$5:B737,"Paused"),"")</f>
        <v/>
      </c>
      <c r="S737">
        <f>IF(M737="Yes",COUNTIF($M$5:M737,"Yes"),"")</f>
        <v/>
      </c>
    </row>
    <row r="738">
      <c r="A738" s="5" t="n"/>
      <c r="B738" s="51" t="n"/>
      <c r="C738" s="5" t="n"/>
      <c r="D738" s="52" t="n"/>
      <c r="E738" s="52" t="n"/>
      <c r="F738" s="52" t="n"/>
      <c r="G738" s="52" t="n"/>
      <c r="H738" s="52" t="n"/>
      <c r="I738" s="52" t="n"/>
      <c r="J738" s="52" t="n"/>
      <c r="K738" s="52" t="n"/>
      <c r="L738" s="51" t="n"/>
      <c r="M738" s="53">
        <f>IF(A738="","",IF(COUNTIF('AFA Rates'!$A$5:$A$1004,A738)&gt;0,"Yes","No"))</f>
        <v/>
      </c>
      <c r="N738" s="53">
        <f>IF(A738="","",COUNTIF('AFA Rates'!$A$5:$A$1004,A738))</f>
        <v/>
      </c>
      <c r="O738" s="54" t="n"/>
      <c r="P738" s="5" t="n"/>
      <c r="Q738" s="5" t="n"/>
      <c r="R738">
        <f>IF(AND(A738&lt;&gt;"",B738="Paused"),COUNTIFS($A$5:A738,"&lt;&gt;",$B$5:B738,"Paused"),"")</f>
        <v/>
      </c>
      <c r="S738">
        <f>IF(M738="Yes",COUNTIF($M$5:M738,"Yes"),"")</f>
        <v/>
      </c>
    </row>
    <row r="739">
      <c r="A739" s="5" t="n"/>
      <c r="B739" s="51" t="n"/>
      <c r="C739" s="5" t="n"/>
      <c r="D739" s="52" t="n"/>
      <c r="E739" s="52" t="n"/>
      <c r="F739" s="52" t="n"/>
      <c r="G739" s="52" t="n"/>
      <c r="H739" s="52" t="n"/>
      <c r="I739" s="52" t="n"/>
      <c r="J739" s="52" t="n"/>
      <c r="K739" s="52" t="n"/>
      <c r="L739" s="51" t="n"/>
      <c r="M739" s="53">
        <f>IF(A739="","",IF(COUNTIF('AFA Rates'!$A$5:$A$1004,A739)&gt;0,"Yes","No"))</f>
        <v/>
      </c>
      <c r="N739" s="53">
        <f>IF(A739="","",COUNTIF('AFA Rates'!$A$5:$A$1004,A739))</f>
        <v/>
      </c>
      <c r="O739" s="54" t="n"/>
      <c r="P739" s="5" t="n"/>
      <c r="Q739" s="5" t="n"/>
      <c r="R739">
        <f>IF(AND(A739&lt;&gt;"",B739="Paused"),COUNTIFS($A$5:A739,"&lt;&gt;",$B$5:B739,"Paused"),"")</f>
        <v/>
      </c>
      <c r="S739">
        <f>IF(M739="Yes",COUNTIF($M$5:M739,"Yes"),"")</f>
        <v/>
      </c>
    </row>
    <row r="740">
      <c r="A740" s="5" t="n"/>
      <c r="B740" s="51" t="n"/>
      <c r="C740" s="5" t="n"/>
      <c r="D740" s="52" t="n"/>
      <c r="E740" s="52" t="n"/>
      <c r="F740" s="52" t="n"/>
      <c r="G740" s="52" t="n"/>
      <c r="H740" s="52" t="n"/>
      <c r="I740" s="52" t="n"/>
      <c r="J740" s="52" t="n"/>
      <c r="K740" s="52" t="n"/>
      <c r="L740" s="51" t="n"/>
      <c r="M740" s="53">
        <f>IF(A740="","",IF(COUNTIF('AFA Rates'!$A$5:$A$1004,A740)&gt;0,"Yes","No"))</f>
        <v/>
      </c>
      <c r="N740" s="53">
        <f>IF(A740="","",COUNTIF('AFA Rates'!$A$5:$A$1004,A740))</f>
        <v/>
      </c>
      <c r="O740" s="54" t="n"/>
      <c r="P740" s="5" t="n"/>
      <c r="Q740" s="5" t="n"/>
      <c r="R740">
        <f>IF(AND(A740&lt;&gt;"",B740="Paused"),COUNTIFS($A$5:A740,"&lt;&gt;",$B$5:B740,"Paused"),"")</f>
        <v/>
      </c>
      <c r="S740">
        <f>IF(M740="Yes",COUNTIF($M$5:M740,"Yes"),"")</f>
        <v/>
      </c>
    </row>
    <row r="741">
      <c r="A741" s="5" t="n"/>
      <c r="B741" s="51" t="n"/>
      <c r="C741" s="5" t="n"/>
      <c r="D741" s="52" t="n"/>
      <c r="E741" s="52" t="n"/>
      <c r="F741" s="52" t="n"/>
      <c r="G741" s="52" t="n"/>
      <c r="H741" s="52" t="n"/>
      <c r="I741" s="52" t="n"/>
      <c r="J741" s="52" t="n"/>
      <c r="K741" s="52" t="n"/>
      <c r="L741" s="51" t="n"/>
      <c r="M741" s="53">
        <f>IF(A741="","",IF(COUNTIF('AFA Rates'!$A$5:$A$1004,A741)&gt;0,"Yes","No"))</f>
        <v/>
      </c>
      <c r="N741" s="53">
        <f>IF(A741="","",COUNTIF('AFA Rates'!$A$5:$A$1004,A741))</f>
        <v/>
      </c>
      <c r="O741" s="54" t="n"/>
      <c r="P741" s="5" t="n"/>
      <c r="Q741" s="5" t="n"/>
      <c r="R741">
        <f>IF(AND(A741&lt;&gt;"",B741="Paused"),COUNTIFS($A$5:A741,"&lt;&gt;",$B$5:B741,"Paused"),"")</f>
        <v/>
      </c>
      <c r="S741">
        <f>IF(M741="Yes",COUNTIF($M$5:M741,"Yes"),"")</f>
        <v/>
      </c>
    </row>
    <row r="742">
      <c r="A742" s="5" t="n"/>
      <c r="B742" s="51" t="n"/>
      <c r="C742" s="5" t="n"/>
      <c r="D742" s="52" t="n"/>
      <c r="E742" s="52" t="n"/>
      <c r="F742" s="52" t="n"/>
      <c r="G742" s="52" t="n"/>
      <c r="H742" s="52" t="n"/>
      <c r="I742" s="52" t="n"/>
      <c r="J742" s="52" t="n"/>
      <c r="K742" s="52" t="n"/>
      <c r="L742" s="51" t="n"/>
      <c r="M742" s="53">
        <f>IF(A742="","",IF(COUNTIF('AFA Rates'!$A$5:$A$1004,A742)&gt;0,"Yes","No"))</f>
        <v/>
      </c>
      <c r="N742" s="53">
        <f>IF(A742="","",COUNTIF('AFA Rates'!$A$5:$A$1004,A742))</f>
        <v/>
      </c>
      <c r="O742" s="54" t="n"/>
      <c r="P742" s="5" t="n"/>
      <c r="Q742" s="5" t="n"/>
      <c r="R742">
        <f>IF(AND(A742&lt;&gt;"",B742="Paused"),COUNTIFS($A$5:A742,"&lt;&gt;",$B$5:B742,"Paused"),"")</f>
        <v/>
      </c>
      <c r="S742">
        <f>IF(M742="Yes",COUNTIF($M$5:M742,"Yes"),"")</f>
        <v/>
      </c>
    </row>
    <row r="743">
      <c r="A743" s="5" t="n"/>
      <c r="B743" s="51" t="n"/>
      <c r="C743" s="5" t="n"/>
      <c r="D743" s="52" t="n"/>
      <c r="E743" s="52" t="n"/>
      <c r="F743" s="52" t="n"/>
      <c r="G743" s="52" t="n"/>
      <c r="H743" s="52" t="n"/>
      <c r="I743" s="52" t="n"/>
      <c r="J743" s="52" t="n"/>
      <c r="K743" s="52" t="n"/>
      <c r="L743" s="51" t="n"/>
      <c r="M743" s="53">
        <f>IF(A743="","",IF(COUNTIF('AFA Rates'!$A$5:$A$1004,A743)&gt;0,"Yes","No"))</f>
        <v/>
      </c>
      <c r="N743" s="53">
        <f>IF(A743="","",COUNTIF('AFA Rates'!$A$5:$A$1004,A743))</f>
        <v/>
      </c>
      <c r="O743" s="54" t="n"/>
      <c r="P743" s="5" t="n"/>
      <c r="Q743" s="5" t="n"/>
      <c r="R743">
        <f>IF(AND(A743&lt;&gt;"",B743="Paused"),COUNTIFS($A$5:A743,"&lt;&gt;",$B$5:B743,"Paused"),"")</f>
        <v/>
      </c>
      <c r="S743">
        <f>IF(M743="Yes",COUNTIF($M$5:M743,"Yes"),"")</f>
        <v/>
      </c>
    </row>
    <row r="744">
      <c r="A744" s="5" t="n"/>
      <c r="B744" s="51" t="n"/>
      <c r="C744" s="5" t="n"/>
      <c r="D744" s="52" t="n"/>
      <c r="E744" s="52" t="n"/>
      <c r="F744" s="52" t="n"/>
      <c r="G744" s="52" t="n"/>
      <c r="H744" s="52" t="n"/>
      <c r="I744" s="52" t="n"/>
      <c r="J744" s="52" t="n"/>
      <c r="K744" s="52" t="n"/>
      <c r="L744" s="51" t="n"/>
      <c r="M744" s="53">
        <f>IF(A744="","",IF(COUNTIF('AFA Rates'!$A$5:$A$1004,A744)&gt;0,"Yes","No"))</f>
        <v/>
      </c>
      <c r="N744" s="53">
        <f>IF(A744="","",COUNTIF('AFA Rates'!$A$5:$A$1004,A744))</f>
        <v/>
      </c>
      <c r="O744" s="54" t="n"/>
      <c r="P744" s="5" t="n"/>
      <c r="Q744" s="5" t="n"/>
      <c r="R744">
        <f>IF(AND(A744&lt;&gt;"",B744="Paused"),COUNTIFS($A$5:A744,"&lt;&gt;",$B$5:B744,"Paused"),"")</f>
        <v/>
      </c>
      <c r="S744">
        <f>IF(M744="Yes",COUNTIF($M$5:M744,"Yes"),"")</f>
        <v/>
      </c>
    </row>
    <row r="745">
      <c r="A745" s="5" t="n"/>
      <c r="B745" s="51" t="n"/>
      <c r="C745" s="5" t="n"/>
      <c r="D745" s="52" t="n"/>
      <c r="E745" s="52" t="n"/>
      <c r="F745" s="52" t="n"/>
      <c r="G745" s="52" t="n"/>
      <c r="H745" s="52" t="n"/>
      <c r="I745" s="52" t="n"/>
      <c r="J745" s="52" t="n"/>
      <c r="K745" s="52" t="n"/>
      <c r="L745" s="51" t="n"/>
      <c r="M745" s="53">
        <f>IF(A745="","",IF(COUNTIF('AFA Rates'!$A$5:$A$1004,A745)&gt;0,"Yes","No"))</f>
        <v/>
      </c>
      <c r="N745" s="53">
        <f>IF(A745="","",COUNTIF('AFA Rates'!$A$5:$A$1004,A745))</f>
        <v/>
      </c>
      <c r="O745" s="54" t="n"/>
      <c r="P745" s="5" t="n"/>
      <c r="Q745" s="5" t="n"/>
      <c r="R745">
        <f>IF(AND(A745&lt;&gt;"",B745="Paused"),COUNTIFS($A$5:A745,"&lt;&gt;",$B$5:B745,"Paused"),"")</f>
        <v/>
      </c>
      <c r="S745">
        <f>IF(M745="Yes",COUNTIF($M$5:M745,"Yes"),"")</f>
        <v/>
      </c>
    </row>
    <row r="746">
      <c r="A746" s="5" t="n"/>
      <c r="B746" s="51" t="n"/>
      <c r="C746" s="5" t="n"/>
      <c r="D746" s="52" t="n"/>
      <c r="E746" s="52" t="n"/>
      <c r="F746" s="52" t="n"/>
      <c r="G746" s="52" t="n"/>
      <c r="H746" s="52" t="n"/>
      <c r="I746" s="52" t="n"/>
      <c r="J746" s="52" t="n"/>
      <c r="K746" s="52" t="n"/>
      <c r="L746" s="51" t="n"/>
      <c r="M746" s="53">
        <f>IF(A746="","",IF(COUNTIF('AFA Rates'!$A$5:$A$1004,A746)&gt;0,"Yes","No"))</f>
        <v/>
      </c>
      <c r="N746" s="53">
        <f>IF(A746="","",COUNTIF('AFA Rates'!$A$5:$A$1004,A746))</f>
        <v/>
      </c>
      <c r="O746" s="54" t="n"/>
      <c r="P746" s="5" t="n"/>
      <c r="Q746" s="5" t="n"/>
      <c r="R746">
        <f>IF(AND(A746&lt;&gt;"",B746="Paused"),COUNTIFS($A$5:A746,"&lt;&gt;",$B$5:B746,"Paused"),"")</f>
        <v/>
      </c>
      <c r="S746">
        <f>IF(M746="Yes",COUNTIF($M$5:M746,"Yes"),"")</f>
        <v/>
      </c>
    </row>
    <row r="747">
      <c r="A747" s="5" t="n"/>
      <c r="B747" s="51" t="n"/>
      <c r="C747" s="5" t="n"/>
      <c r="D747" s="52" t="n"/>
      <c r="E747" s="52" t="n"/>
      <c r="F747" s="52" t="n"/>
      <c r="G747" s="52" t="n"/>
      <c r="H747" s="52" t="n"/>
      <c r="I747" s="52" t="n"/>
      <c r="J747" s="52" t="n"/>
      <c r="K747" s="52" t="n"/>
      <c r="L747" s="51" t="n"/>
      <c r="M747" s="53">
        <f>IF(A747="","",IF(COUNTIF('AFA Rates'!$A$5:$A$1004,A747)&gt;0,"Yes","No"))</f>
        <v/>
      </c>
      <c r="N747" s="53">
        <f>IF(A747="","",COUNTIF('AFA Rates'!$A$5:$A$1004,A747))</f>
        <v/>
      </c>
      <c r="O747" s="54" t="n"/>
      <c r="P747" s="5" t="n"/>
      <c r="Q747" s="5" t="n"/>
      <c r="R747">
        <f>IF(AND(A747&lt;&gt;"",B747="Paused"),COUNTIFS($A$5:A747,"&lt;&gt;",$B$5:B747,"Paused"),"")</f>
        <v/>
      </c>
      <c r="S747">
        <f>IF(M747="Yes",COUNTIF($M$5:M747,"Yes"),"")</f>
        <v/>
      </c>
    </row>
    <row r="748">
      <c r="A748" s="5" t="n"/>
      <c r="B748" s="51" t="n"/>
      <c r="C748" s="5" t="n"/>
      <c r="D748" s="52" t="n"/>
      <c r="E748" s="52" t="n"/>
      <c r="F748" s="52" t="n"/>
      <c r="G748" s="52" t="n"/>
      <c r="H748" s="52" t="n"/>
      <c r="I748" s="52" t="n"/>
      <c r="J748" s="52" t="n"/>
      <c r="K748" s="52" t="n"/>
      <c r="L748" s="51" t="n"/>
      <c r="M748" s="53">
        <f>IF(A748="","",IF(COUNTIF('AFA Rates'!$A$5:$A$1004,A748)&gt;0,"Yes","No"))</f>
        <v/>
      </c>
      <c r="N748" s="53">
        <f>IF(A748="","",COUNTIF('AFA Rates'!$A$5:$A$1004,A748))</f>
        <v/>
      </c>
      <c r="O748" s="54" t="n"/>
      <c r="P748" s="5" t="n"/>
      <c r="Q748" s="5" t="n"/>
      <c r="R748">
        <f>IF(AND(A748&lt;&gt;"",B748="Paused"),COUNTIFS($A$5:A748,"&lt;&gt;",$B$5:B748,"Paused"),"")</f>
        <v/>
      </c>
      <c r="S748">
        <f>IF(M748="Yes",COUNTIF($M$5:M748,"Yes"),"")</f>
        <v/>
      </c>
    </row>
    <row r="749">
      <c r="A749" s="5" t="n"/>
      <c r="B749" s="51" t="n"/>
      <c r="C749" s="5" t="n"/>
      <c r="D749" s="52" t="n"/>
      <c r="E749" s="52" t="n"/>
      <c r="F749" s="52" t="n"/>
      <c r="G749" s="52" t="n"/>
      <c r="H749" s="52" t="n"/>
      <c r="I749" s="52" t="n"/>
      <c r="J749" s="52" t="n"/>
      <c r="K749" s="52" t="n"/>
      <c r="L749" s="51" t="n"/>
      <c r="M749" s="53">
        <f>IF(A749="","",IF(COUNTIF('AFA Rates'!$A$5:$A$1004,A749)&gt;0,"Yes","No"))</f>
        <v/>
      </c>
      <c r="N749" s="53">
        <f>IF(A749="","",COUNTIF('AFA Rates'!$A$5:$A$1004,A749))</f>
        <v/>
      </c>
      <c r="O749" s="54" t="n"/>
      <c r="P749" s="5" t="n"/>
      <c r="Q749" s="5" t="n"/>
      <c r="R749">
        <f>IF(AND(A749&lt;&gt;"",B749="Paused"),COUNTIFS($A$5:A749,"&lt;&gt;",$B$5:B749,"Paused"),"")</f>
        <v/>
      </c>
      <c r="S749">
        <f>IF(M749="Yes",COUNTIF($M$5:M749,"Yes"),"")</f>
        <v/>
      </c>
    </row>
    <row r="750">
      <c r="A750" s="5" t="n"/>
      <c r="B750" s="51" t="n"/>
      <c r="C750" s="5" t="n"/>
      <c r="D750" s="52" t="n"/>
      <c r="E750" s="52" t="n"/>
      <c r="F750" s="52" t="n"/>
      <c r="G750" s="52" t="n"/>
      <c r="H750" s="52" t="n"/>
      <c r="I750" s="52" t="n"/>
      <c r="J750" s="52" t="n"/>
      <c r="K750" s="52" t="n"/>
      <c r="L750" s="51" t="n"/>
      <c r="M750" s="53">
        <f>IF(A750="","",IF(COUNTIF('AFA Rates'!$A$5:$A$1004,A750)&gt;0,"Yes","No"))</f>
        <v/>
      </c>
      <c r="N750" s="53">
        <f>IF(A750="","",COUNTIF('AFA Rates'!$A$5:$A$1004,A750))</f>
        <v/>
      </c>
      <c r="O750" s="54" t="n"/>
      <c r="P750" s="5" t="n"/>
      <c r="Q750" s="5" t="n"/>
      <c r="R750">
        <f>IF(AND(A750&lt;&gt;"",B750="Paused"),COUNTIFS($A$5:A750,"&lt;&gt;",$B$5:B750,"Paused"),"")</f>
        <v/>
      </c>
      <c r="S750">
        <f>IF(M750="Yes",COUNTIF($M$5:M750,"Yes"),"")</f>
        <v/>
      </c>
    </row>
    <row r="751">
      <c r="A751" s="5" t="n"/>
      <c r="B751" s="51" t="n"/>
      <c r="C751" s="5" t="n"/>
      <c r="D751" s="52" t="n"/>
      <c r="E751" s="52" t="n"/>
      <c r="F751" s="52" t="n"/>
      <c r="G751" s="52" t="n"/>
      <c r="H751" s="52" t="n"/>
      <c r="I751" s="52" t="n"/>
      <c r="J751" s="52" t="n"/>
      <c r="K751" s="52" t="n"/>
      <c r="L751" s="51" t="n"/>
      <c r="M751" s="53">
        <f>IF(A751="","",IF(COUNTIF('AFA Rates'!$A$5:$A$1004,A751)&gt;0,"Yes","No"))</f>
        <v/>
      </c>
      <c r="N751" s="53">
        <f>IF(A751="","",COUNTIF('AFA Rates'!$A$5:$A$1004,A751))</f>
        <v/>
      </c>
      <c r="O751" s="54" t="n"/>
      <c r="P751" s="5" t="n"/>
      <c r="Q751" s="5" t="n"/>
      <c r="R751">
        <f>IF(AND(A751&lt;&gt;"",B751="Paused"),COUNTIFS($A$5:A751,"&lt;&gt;",$B$5:B751,"Paused"),"")</f>
        <v/>
      </c>
      <c r="S751">
        <f>IF(M751="Yes",COUNTIF($M$5:M751,"Yes"),"")</f>
        <v/>
      </c>
    </row>
    <row r="752">
      <c r="A752" s="5" t="n"/>
      <c r="B752" s="51" t="n"/>
      <c r="C752" s="5" t="n"/>
      <c r="D752" s="52" t="n"/>
      <c r="E752" s="52" t="n"/>
      <c r="F752" s="52" t="n"/>
      <c r="G752" s="52" t="n"/>
      <c r="H752" s="52" t="n"/>
      <c r="I752" s="52" t="n"/>
      <c r="J752" s="52" t="n"/>
      <c r="K752" s="52" t="n"/>
      <c r="L752" s="51" t="n"/>
      <c r="M752" s="53">
        <f>IF(A752="","",IF(COUNTIF('AFA Rates'!$A$5:$A$1004,A752)&gt;0,"Yes","No"))</f>
        <v/>
      </c>
      <c r="N752" s="53">
        <f>IF(A752="","",COUNTIF('AFA Rates'!$A$5:$A$1004,A752))</f>
        <v/>
      </c>
      <c r="O752" s="54" t="n"/>
      <c r="P752" s="5" t="n"/>
      <c r="Q752" s="5" t="n"/>
      <c r="R752">
        <f>IF(AND(A752&lt;&gt;"",B752="Paused"),COUNTIFS($A$5:A752,"&lt;&gt;",$B$5:B752,"Paused"),"")</f>
        <v/>
      </c>
      <c r="S752">
        <f>IF(M752="Yes",COUNTIF($M$5:M752,"Yes"),"")</f>
        <v/>
      </c>
    </row>
    <row r="753">
      <c r="A753" s="5" t="n"/>
      <c r="B753" s="51" t="n"/>
      <c r="C753" s="5" t="n"/>
      <c r="D753" s="52" t="n"/>
      <c r="E753" s="52" t="n"/>
      <c r="F753" s="52" t="n"/>
      <c r="G753" s="52" t="n"/>
      <c r="H753" s="52" t="n"/>
      <c r="I753" s="52" t="n"/>
      <c r="J753" s="52" t="n"/>
      <c r="K753" s="52" t="n"/>
      <c r="L753" s="51" t="n"/>
      <c r="M753" s="53">
        <f>IF(A753="","",IF(COUNTIF('AFA Rates'!$A$5:$A$1004,A753)&gt;0,"Yes","No"))</f>
        <v/>
      </c>
      <c r="N753" s="53">
        <f>IF(A753="","",COUNTIF('AFA Rates'!$A$5:$A$1004,A753))</f>
        <v/>
      </c>
      <c r="O753" s="54" t="n"/>
      <c r="P753" s="5" t="n"/>
      <c r="Q753" s="5" t="n"/>
      <c r="R753">
        <f>IF(AND(A753&lt;&gt;"",B753="Paused"),COUNTIFS($A$5:A753,"&lt;&gt;",$B$5:B753,"Paused"),"")</f>
        <v/>
      </c>
      <c r="S753">
        <f>IF(M753="Yes",COUNTIF($M$5:M753,"Yes"),"")</f>
        <v/>
      </c>
    </row>
    <row r="754">
      <c r="A754" s="5" t="n"/>
      <c r="B754" s="51" t="n"/>
      <c r="C754" s="5" t="n"/>
      <c r="D754" s="52" t="n"/>
      <c r="E754" s="52" t="n"/>
      <c r="F754" s="52" t="n"/>
      <c r="G754" s="52" t="n"/>
      <c r="H754" s="52" t="n"/>
      <c r="I754" s="52" t="n"/>
      <c r="J754" s="52" t="n"/>
      <c r="K754" s="52" t="n"/>
      <c r="L754" s="51" t="n"/>
      <c r="M754" s="53">
        <f>IF(A754="","",IF(COUNTIF('AFA Rates'!$A$5:$A$1004,A754)&gt;0,"Yes","No"))</f>
        <v/>
      </c>
      <c r="N754" s="53">
        <f>IF(A754="","",COUNTIF('AFA Rates'!$A$5:$A$1004,A754))</f>
        <v/>
      </c>
      <c r="O754" s="54" t="n"/>
      <c r="P754" s="5" t="n"/>
      <c r="Q754" s="5" t="n"/>
      <c r="R754">
        <f>IF(AND(A754&lt;&gt;"",B754="Paused"),COUNTIFS($A$5:A754,"&lt;&gt;",$B$5:B754,"Paused"),"")</f>
        <v/>
      </c>
      <c r="S754">
        <f>IF(M754="Yes",COUNTIF($M$5:M754,"Yes"),"")</f>
        <v/>
      </c>
    </row>
    <row r="755">
      <c r="A755" s="5" t="n"/>
      <c r="B755" s="51" t="n"/>
      <c r="C755" s="5" t="n"/>
      <c r="D755" s="52" t="n"/>
      <c r="E755" s="52" t="n"/>
      <c r="F755" s="52" t="n"/>
      <c r="G755" s="52" t="n"/>
      <c r="H755" s="52" t="n"/>
      <c r="I755" s="52" t="n"/>
      <c r="J755" s="52" t="n"/>
      <c r="K755" s="52" t="n"/>
      <c r="L755" s="51" t="n"/>
      <c r="M755" s="53">
        <f>IF(A755="","",IF(COUNTIF('AFA Rates'!$A$5:$A$1004,A755)&gt;0,"Yes","No"))</f>
        <v/>
      </c>
      <c r="N755" s="53">
        <f>IF(A755="","",COUNTIF('AFA Rates'!$A$5:$A$1004,A755))</f>
        <v/>
      </c>
      <c r="O755" s="54" t="n"/>
      <c r="P755" s="5" t="n"/>
      <c r="Q755" s="5" t="n"/>
      <c r="R755">
        <f>IF(AND(A755&lt;&gt;"",B755="Paused"),COUNTIFS($A$5:A755,"&lt;&gt;",$B$5:B755,"Paused"),"")</f>
        <v/>
      </c>
      <c r="S755">
        <f>IF(M755="Yes",COUNTIF($M$5:M755,"Yes"),"")</f>
        <v/>
      </c>
    </row>
    <row r="756">
      <c r="A756" s="5" t="n"/>
      <c r="B756" s="51" t="n"/>
      <c r="C756" s="5" t="n"/>
      <c r="D756" s="52" t="n"/>
      <c r="E756" s="52" t="n"/>
      <c r="F756" s="52" t="n"/>
      <c r="G756" s="52" t="n"/>
      <c r="H756" s="52" t="n"/>
      <c r="I756" s="52" t="n"/>
      <c r="J756" s="52" t="n"/>
      <c r="K756" s="52" t="n"/>
      <c r="L756" s="51" t="n"/>
      <c r="M756" s="53">
        <f>IF(A756="","",IF(COUNTIF('AFA Rates'!$A$5:$A$1004,A756)&gt;0,"Yes","No"))</f>
        <v/>
      </c>
      <c r="N756" s="53">
        <f>IF(A756="","",COUNTIF('AFA Rates'!$A$5:$A$1004,A756))</f>
        <v/>
      </c>
      <c r="O756" s="54" t="n"/>
      <c r="P756" s="5" t="n"/>
      <c r="Q756" s="5" t="n"/>
      <c r="R756">
        <f>IF(AND(A756&lt;&gt;"",B756="Paused"),COUNTIFS($A$5:A756,"&lt;&gt;",$B$5:B756,"Paused"),"")</f>
        <v/>
      </c>
      <c r="S756">
        <f>IF(M756="Yes",COUNTIF($M$5:M756,"Yes"),"")</f>
        <v/>
      </c>
    </row>
    <row r="757">
      <c r="A757" s="5" t="n"/>
      <c r="B757" s="51" t="n"/>
      <c r="C757" s="5" t="n"/>
      <c r="D757" s="52" t="n"/>
      <c r="E757" s="52" t="n"/>
      <c r="F757" s="52" t="n"/>
      <c r="G757" s="52" t="n"/>
      <c r="H757" s="52" t="n"/>
      <c r="I757" s="52" t="n"/>
      <c r="J757" s="52" t="n"/>
      <c r="K757" s="52" t="n"/>
      <c r="L757" s="51" t="n"/>
      <c r="M757" s="53">
        <f>IF(A757="","",IF(COUNTIF('AFA Rates'!$A$5:$A$1004,A757)&gt;0,"Yes","No"))</f>
        <v/>
      </c>
      <c r="N757" s="53">
        <f>IF(A757="","",COUNTIF('AFA Rates'!$A$5:$A$1004,A757))</f>
        <v/>
      </c>
      <c r="O757" s="54" t="n"/>
      <c r="P757" s="5" t="n"/>
      <c r="Q757" s="5" t="n"/>
      <c r="R757">
        <f>IF(AND(A757&lt;&gt;"",B757="Paused"),COUNTIFS($A$5:A757,"&lt;&gt;",$B$5:B757,"Paused"),"")</f>
        <v/>
      </c>
      <c r="S757">
        <f>IF(M757="Yes",COUNTIF($M$5:M757,"Yes"),"")</f>
        <v/>
      </c>
    </row>
    <row r="758">
      <c r="A758" s="5" t="n"/>
      <c r="B758" s="51" t="n"/>
      <c r="C758" s="5" t="n"/>
      <c r="D758" s="52" t="n"/>
      <c r="E758" s="52" t="n"/>
      <c r="F758" s="52" t="n"/>
      <c r="G758" s="52" t="n"/>
      <c r="H758" s="52" t="n"/>
      <c r="I758" s="52" t="n"/>
      <c r="J758" s="52" t="n"/>
      <c r="K758" s="52" t="n"/>
      <c r="L758" s="51" t="n"/>
      <c r="M758" s="53">
        <f>IF(A758="","",IF(COUNTIF('AFA Rates'!$A$5:$A$1004,A758)&gt;0,"Yes","No"))</f>
        <v/>
      </c>
      <c r="N758" s="53">
        <f>IF(A758="","",COUNTIF('AFA Rates'!$A$5:$A$1004,A758))</f>
        <v/>
      </c>
      <c r="O758" s="54" t="n"/>
      <c r="P758" s="5" t="n"/>
      <c r="Q758" s="5" t="n"/>
      <c r="R758">
        <f>IF(AND(A758&lt;&gt;"",B758="Paused"),COUNTIFS($A$5:A758,"&lt;&gt;",$B$5:B758,"Paused"),"")</f>
        <v/>
      </c>
      <c r="S758">
        <f>IF(M758="Yes",COUNTIF($M$5:M758,"Yes"),"")</f>
        <v/>
      </c>
    </row>
    <row r="759">
      <c r="A759" s="5" t="n"/>
      <c r="B759" s="51" t="n"/>
      <c r="C759" s="5" t="n"/>
      <c r="D759" s="52" t="n"/>
      <c r="E759" s="52" t="n"/>
      <c r="F759" s="52" t="n"/>
      <c r="G759" s="52" t="n"/>
      <c r="H759" s="52" t="n"/>
      <c r="I759" s="52" t="n"/>
      <c r="J759" s="52" t="n"/>
      <c r="K759" s="52" t="n"/>
      <c r="L759" s="51" t="n"/>
      <c r="M759" s="53">
        <f>IF(A759="","",IF(COUNTIF('AFA Rates'!$A$5:$A$1004,A759)&gt;0,"Yes","No"))</f>
        <v/>
      </c>
      <c r="N759" s="53">
        <f>IF(A759="","",COUNTIF('AFA Rates'!$A$5:$A$1004,A759))</f>
        <v/>
      </c>
      <c r="O759" s="54" t="n"/>
      <c r="P759" s="5" t="n"/>
      <c r="Q759" s="5" t="n"/>
      <c r="R759">
        <f>IF(AND(A759&lt;&gt;"",B759="Paused"),COUNTIFS($A$5:A759,"&lt;&gt;",$B$5:B759,"Paused"),"")</f>
        <v/>
      </c>
      <c r="S759">
        <f>IF(M759="Yes",COUNTIF($M$5:M759,"Yes"),"")</f>
        <v/>
      </c>
    </row>
    <row r="760">
      <c r="A760" s="5" t="n"/>
      <c r="B760" s="51" t="n"/>
      <c r="C760" s="5" t="n"/>
      <c r="D760" s="52" t="n"/>
      <c r="E760" s="52" t="n"/>
      <c r="F760" s="52" t="n"/>
      <c r="G760" s="52" t="n"/>
      <c r="H760" s="52" t="n"/>
      <c r="I760" s="52" t="n"/>
      <c r="J760" s="52" t="n"/>
      <c r="K760" s="52" t="n"/>
      <c r="L760" s="51" t="n"/>
      <c r="M760" s="53">
        <f>IF(A760="","",IF(COUNTIF('AFA Rates'!$A$5:$A$1004,A760)&gt;0,"Yes","No"))</f>
        <v/>
      </c>
      <c r="N760" s="53">
        <f>IF(A760="","",COUNTIF('AFA Rates'!$A$5:$A$1004,A760))</f>
        <v/>
      </c>
      <c r="O760" s="54" t="n"/>
      <c r="P760" s="5" t="n"/>
      <c r="Q760" s="5" t="n"/>
      <c r="R760">
        <f>IF(AND(A760&lt;&gt;"",B760="Paused"),COUNTIFS($A$5:A760,"&lt;&gt;",$B$5:B760,"Paused"),"")</f>
        <v/>
      </c>
      <c r="S760">
        <f>IF(M760="Yes",COUNTIF($M$5:M760,"Yes"),"")</f>
        <v/>
      </c>
    </row>
    <row r="761">
      <c r="A761" s="5" t="n"/>
      <c r="B761" s="51" t="n"/>
      <c r="C761" s="5" t="n"/>
      <c r="D761" s="52" t="n"/>
      <c r="E761" s="52" t="n"/>
      <c r="F761" s="52" t="n"/>
      <c r="G761" s="52" t="n"/>
      <c r="H761" s="52" t="n"/>
      <c r="I761" s="52" t="n"/>
      <c r="J761" s="52" t="n"/>
      <c r="K761" s="52" t="n"/>
      <c r="L761" s="51" t="n"/>
      <c r="M761" s="53">
        <f>IF(A761="","",IF(COUNTIF('AFA Rates'!$A$5:$A$1004,A761)&gt;0,"Yes","No"))</f>
        <v/>
      </c>
      <c r="N761" s="53">
        <f>IF(A761="","",COUNTIF('AFA Rates'!$A$5:$A$1004,A761))</f>
        <v/>
      </c>
      <c r="O761" s="54" t="n"/>
      <c r="P761" s="5" t="n"/>
      <c r="Q761" s="5" t="n"/>
      <c r="R761">
        <f>IF(AND(A761&lt;&gt;"",B761="Paused"),COUNTIFS($A$5:A761,"&lt;&gt;",$B$5:B761,"Paused"),"")</f>
        <v/>
      </c>
      <c r="S761">
        <f>IF(M761="Yes",COUNTIF($M$5:M761,"Yes"),"")</f>
        <v/>
      </c>
    </row>
    <row r="762">
      <c r="A762" s="5" t="n"/>
      <c r="B762" s="51" t="n"/>
      <c r="C762" s="5" t="n"/>
      <c r="D762" s="52" t="n"/>
      <c r="E762" s="52" t="n"/>
      <c r="F762" s="52" t="n"/>
      <c r="G762" s="52" t="n"/>
      <c r="H762" s="52" t="n"/>
      <c r="I762" s="52" t="n"/>
      <c r="J762" s="52" t="n"/>
      <c r="K762" s="52" t="n"/>
      <c r="L762" s="51" t="n"/>
      <c r="M762" s="53">
        <f>IF(A762="","",IF(COUNTIF('AFA Rates'!$A$5:$A$1004,A762)&gt;0,"Yes","No"))</f>
        <v/>
      </c>
      <c r="N762" s="53">
        <f>IF(A762="","",COUNTIF('AFA Rates'!$A$5:$A$1004,A762))</f>
        <v/>
      </c>
      <c r="O762" s="54" t="n"/>
      <c r="P762" s="5" t="n"/>
      <c r="Q762" s="5" t="n"/>
      <c r="R762">
        <f>IF(AND(A762&lt;&gt;"",B762="Paused"),COUNTIFS($A$5:A762,"&lt;&gt;",$B$5:B762,"Paused"),"")</f>
        <v/>
      </c>
      <c r="S762">
        <f>IF(M762="Yes",COUNTIF($M$5:M762,"Yes"),"")</f>
        <v/>
      </c>
    </row>
    <row r="763">
      <c r="A763" s="5" t="n"/>
      <c r="B763" s="51" t="n"/>
      <c r="C763" s="5" t="n"/>
      <c r="D763" s="52" t="n"/>
      <c r="E763" s="52" t="n"/>
      <c r="F763" s="52" t="n"/>
      <c r="G763" s="52" t="n"/>
      <c r="H763" s="52" t="n"/>
      <c r="I763" s="52" t="n"/>
      <c r="J763" s="52" t="n"/>
      <c r="K763" s="52" t="n"/>
      <c r="L763" s="51" t="n"/>
      <c r="M763" s="53">
        <f>IF(A763="","",IF(COUNTIF('AFA Rates'!$A$5:$A$1004,A763)&gt;0,"Yes","No"))</f>
        <v/>
      </c>
      <c r="N763" s="53">
        <f>IF(A763="","",COUNTIF('AFA Rates'!$A$5:$A$1004,A763))</f>
        <v/>
      </c>
      <c r="O763" s="54" t="n"/>
      <c r="P763" s="5" t="n"/>
      <c r="Q763" s="5" t="n"/>
      <c r="R763">
        <f>IF(AND(A763&lt;&gt;"",B763="Paused"),COUNTIFS($A$5:A763,"&lt;&gt;",$B$5:B763,"Paused"),"")</f>
        <v/>
      </c>
      <c r="S763">
        <f>IF(M763="Yes",COUNTIF($M$5:M763,"Yes"),"")</f>
        <v/>
      </c>
    </row>
    <row r="764">
      <c r="A764" s="5" t="n"/>
      <c r="B764" s="51" t="n"/>
      <c r="C764" s="5" t="n"/>
      <c r="D764" s="52" t="n"/>
      <c r="E764" s="52" t="n"/>
      <c r="F764" s="52" t="n"/>
      <c r="G764" s="52" t="n"/>
      <c r="H764" s="52" t="n"/>
      <c r="I764" s="52" t="n"/>
      <c r="J764" s="52" t="n"/>
      <c r="K764" s="52" t="n"/>
      <c r="L764" s="51" t="n"/>
      <c r="M764" s="53">
        <f>IF(A764="","",IF(COUNTIF('AFA Rates'!$A$5:$A$1004,A764)&gt;0,"Yes","No"))</f>
        <v/>
      </c>
      <c r="N764" s="53">
        <f>IF(A764="","",COUNTIF('AFA Rates'!$A$5:$A$1004,A764))</f>
        <v/>
      </c>
      <c r="O764" s="54" t="n"/>
      <c r="P764" s="5" t="n"/>
      <c r="Q764" s="5" t="n"/>
      <c r="R764">
        <f>IF(AND(A764&lt;&gt;"",B764="Paused"),COUNTIFS($A$5:A764,"&lt;&gt;",$B$5:B764,"Paused"),"")</f>
        <v/>
      </c>
      <c r="S764">
        <f>IF(M764="Yes",COUNTIF($M$5:M764,"Yes"),"")</f>
        <v/>
      </c>
    </row>
    <row r="765">
      <c r="A765" s="5" t="n"/>
      <c r="B765" s="51" t="n"/>
      <c r="C765" s="5" t="n"/>
      <c r="D765" s="52" t="n"/>
      <c r="E765" s="52" t="n"/>
      <c r="F765" s="52" t="n"/>
      <c r="G765" s="52" t="n"/>
      <c r="H765" s="52" t="n"/>
      <c r="I765" s="52" t="n"/>
      <c r="J765" s="52" t="n"/>
      <c r="K765" s="52" t="n"/>
      <c r="L765" s="51" t="n"/>
      <c r="M765" s="53">
        <f>IF(A765="","",IF(COUNTIF('AFA Rates'!$A$5:$A$1004,A765)&gt;0,"Yes","No"))</f>
        <v/>
      </c>
      <c r="N765" s="53">
        <f>IF(A765="","",COUNTIF('AFA Rates'!$A$5:$A$1004,A765))</f>
        <v/>
      </c>
      <c r="O765" s="54" t="n"/>
      <c r="P765" s="5" t="n"/>
      <c r="Q765" s="5" t="n"/>
      <c r="R765">
        <f>IF(AND(A765&lt;&gt;"",B765="Paused"),COUNTIFS($A$5:A765,"&lt;&gt;",$B$5:B765,"Paused"),"")</f>
        <v/>
      </c>
      <c r="S765">
        <f>IF(M765="Yes",COUNTIF($M$5:M765,"Yes"),"")</f>
        <v/>
      </c>
    </row>
    <row r="766">
      <c r="A766" s="5" t="n"/>
      <c r="B766" s="51" t="n"/>
      <c r="C766" s="5" t="n"/>
      <c r="D766" s="52" t="n"/>
      <c r="E766" s="52" t="n"/>
      <c r="F766" s="52" t="n"/>
      <c r="G766" s="52" t="n"/>
      <c r="H766" s="52" t="n"/>
      <c r="I766" s="52" t="n"/>
      <c r="J766" s="52" t="n"/>
      <c r="K766" s="52" t="n"/>
      <c r="L766" s="51" t="n"/>
      <c r="M766" s="53">
        <f>IF(A766="","",IF(COUNTIF('AFA Rates'!$A$5:$A$1004,A766)&gt;0,"Yes","No"))</f>
        <v/>
      </c>
      <c r="N766" s="53">
        <f>IF(A766="","",COUNTIF('AFA Rates'!$A$5:$A$1004,A766))</f>
        <v/>
      </c>
      <c r="O766" s="54" t="n"/>
      <c r="P766" s="5" t="n"/>
      <c r="Q766" s="5" t="n"/>
      <c r="R766">
        <f>IF(AND(A766&lt;&gt;"",B766="Paused"),COUNTIFS($A$5:A766,"&lt;&gt;",$B$5:B766,"Paused"),"")</f>
        <v/>
      </c>
      <c r="S766">
        <f>IF(M766="Yes",COUNTIF($M$5:M766,"Yes"),"")</f>
        <v/>
      </c>
    </row>
    <row r="767">
      <c r="A767" s="5" t="n"/>
      <c r="B767" s="51" t="n"/>
      <c r="C767" s="5" t="n"/>
      <c r="D767" s="52" t="n"/>
      <c r="E767" s="52" t="n"/>
      <c r="F767" s="52" t="n"/>
      <c r="G767" s="52" t="n"/>
      <c r="H767" s="52" t="n"/>
      <c r="I767" s="52" t="n"/>
      <c r="J767" s="52" t="n"/>
      <c r="K767" s="52" t="n"/>
      <c r="L767" s="51" t="n"/>
      <c r="M767" s="53">
        <f>IF(A767="","",IF(COUNTIF('AFA Rates'!$A$5:$A$1004,A767)&gt;0,"Yes","No"))</f>
        <v/>
      </c>
      <c r="N767" s="53">
        <f>IF(A767="","",COUNTIF('AFA Rates'!$A$5:$A$1004,A767))</f>
        <v/>
      </c>
      <c r="O767" s="54" t="n"/>
      <c r="P767" s="5" t="n"/>
      <c r="Q767" s="5" t="n"/>
      <c r="R767">
        <f>IF(AND(A767&lt;&gt;"",B767="Paused"),COUNTIFS($A$5:A767,"&lt;&gt;",$B$5:B767,"Paused"),"")</f>
        <v/>
      </c>
      <c r="S767">
        <f>IF(M767="Yes",COUNTIF($M$5:M767,"Yes"),"")</f>
        <v/>
      </c>
    </row>
    <row r="768">
      <c r="A768" s="5" t="n"/>
      <c r="B768" s="51" t="n"/>
      <c r="C768" s="5" t="n"/>
      <c r="D768" s="52" t="n"/>
      <c r="E768" s="52" t="n"/>
      <c r="F768" s="52" t="n"/>
      <c r="G768" s="52" t="n"/>
      <c r="H768" s="52" t="n"/>
      <c r="I768" s="52" t="n"/>
      <c r="J768" s="52" t="n"/>
      <c r="K768" s="52" t="n"/>
      <c r="L768" s="51" t="n"/>
      <c r="M768" s="53">
        <f>IF(A768="","",IF(COUNTIF('AFA Rates'!$A$5:$A$1004,A768)&gt;0,"Yes","No"))</f>
        <v/>
      </c>
      <c r="N768" s="53">
        <f>IF(A768="","",COUNTIF('AFA Rates'!$A$5:$A$1004,A768))</f>
        <v/>
      </c>
      <c r="O768" s="54" t="n"/>
      <c r="P768" s="5" t="n"/>
      <c r="Q768" s="5" t="n"/>
      <c r="R768">
        <f>IF(AND(A768&lt;&gt;"",B768="Paused"),COUNTIFS($A$5:A768,"&lt;&gt;",$B$5:B768,"Paused"),"")</f>
        <v/>
      </c>
      <c r="S768">
        <f>IF(M768="Yes",COUNTIF($M$5:M768,"Yes"),"")</f>
        <v/>
      </c>
    </row>
    <row r="769">
      <c r="A769" s="5" t="n"/>
      <c r="B769" s="51" t="n"/>
      <c r="C769" s="5" t="n"/>
      <c r="D769" s="52" t="n"/>
      <c r="E769" s="52" t="n"/>
      <c r="F769" s="52" t="n"/>
      <c r="G769" s="52" t="n"/>
      <c r="H769" s="52" t="n"/>
      <c r="I769" s="52" t="n"/>
      <c r="J769" s="52" t="n"/>
      <c r="K769" s="52" t="n"/>
      <c r="L769" s="51" t="n"/>
      <c r="M769" s="53">
        <f>IF(A769="","",IF(COUNTIF('AFA Rates'!$A$5:$A$1004,A769)&gt;0,"Yes","No"))</f>
        <v/>
      </c>
      <c r="N769" s="53">
        <f>IF(A769="","",COUNTIF('AFA Rates'!$A$5:$A$1004,A769))</f>
        <v/>
      </c>
      <c r="O769" s="54" t="n"/>
      <c r="P769" s="5" t="n"/>
      <c r="Q769" s="5" t="n"/>
      <c r="R769">
        <f>IF(AND(A769&lt;&gt;"",B769="Paused"),COUNTIFS($A$5:A769,"&lt;&gt;",$B$5:B769,"Paused"),"")</f>
        <v/>
      </c>
      <c r="S769">
        <f>IF(M769="Yes",COUNTIF($M$5:M769,"Yes"),"")</f>
        <v/>
      </c>
    </row>
    <row r="770">
      <c r="A770" s="5" t="n"/>
      <c r="B770" s="51" t="n"/>
      <c r="C770" s="5" t="n"/>
      <c r="D770" s="52" t="n"/>
      <c r="E770" s="52" t="n"/>
      <c r="F770" s="52" t="n"/>
      <c r="G770" s="52" t="n"/>
      <c r="H770" s="52" t="n"/>
      <c r="I770" s="52" t="n"/>
      <c r="J770" s="52" t="n"/>
      <c r="K770" s="52" t="n"/>
      <c r="L770" s="51" t="n"/>
      <c r="M770" s="53">
        <f>IF(A770="","",IF(COUNTIF('AFA Rates'!$A$5:$A$1004,A770)&gt;0,"Yes","No"))</f>
        <v/>
      </c>
      <c r="N770" s="53">
        <f>IF(A770="","",COUNTIF('AFA Rates'!$A$5:$A$1004,A770))</f>
        <v/>
      </c>
      <c r="O770" s="54" t="n"/>
      <c r="P770" s="5" t="n"/>
      <c r="Q770" s="5" t="n"/>
      <c r="R770">
        <f>IF(AND(A770&lt;&gt;"",B770="Paused"),COUNTIFS($A$5:A770,"&lt;&gt;",$B$5:B770,"Paused"),"")</f>
        <v/>
      </c>
      <c r="S770">
        <f>IF(M770="Yes",COUNTIF($M$5:M770,"Yes"),"")</f>
        <v/>
      </c>
    </row>
    <row r="771">
      <c r="A771" s="5" t="n"/>
      <c r="B771" s="51" t="n"/>
      <c r="C771" s="5" t="n"/>
      <c r="D771" s="52" t="n"/>
      <c r="E771" s="52" t="n"/>
      <c r="F771" s="52" t="n"/>
      <c r="G771" s="52" t="n"/>
      <c r="H771" s="52" t="n"/>
      <c r="I771" s="52" t="n"/>
      <c r="J771" s="52" t="n"/>
      <c r="K771" s="52" t="n"/>
      <c r="L771" s="51" t="n"/>
      <c r="M771" s="53">
        <f>IF(A771="","",IF(COUNTIF('AFA Rates'!$A$5:$A$1004,A771)&gt;0,"Yes","No"))</f>
        <v/>
      </c>
      <c r="N771" s="53">
        <f>IF(A771="","",COUNTIF('AFA Rates'!$A$5:$A$1004,A771))</f>
        <v/>
      </c>
      <c r="O771" s="54" t="n"/>
      <c r="P771" s="5" t="n"/>
      <c r="Q771" s="5" t="n"/>
      <c r="R771">
        <f>IF(AND(A771&lt;&gt;"",B771="Paused"),COUNTIFS($A$5:A771,"&lt;&gt;",$B$5:B771,"Paused"),"")</f>
        <v/>
      </c>
      <c r="S771">
        <f>IF(M771="Yes",COUNTIF($M$5:M771,"Yes"),"")</f>
        <v/>
      </c>
    </row>
    <row r="772">
      <c r="A772" s="5" t="n"/>
      <c r="B772" s="51" t="n"/>
      <c r="C772" s="5" t="n"/>
      <c r="D772" s="52" t="n"/>
      <c r="E772" s="52" t="n"/>
      <c r="F772" s="52" t="n"/>
      <c r="G772" s="52" t="n"/>
      <c r="H772" s="52" t="n"/>
      <c r="I772" s="52" t="n"/>
      <c r="J772" s="52" t="n"/>
      <c r="K772" s="52" t="n"/>
      <c r="L772" s="51" t="n"/>
      <c r="M772" s="53">
        <f>IF(A772="","",IF(COUNTIF('AFA Rates'!$A$5:$A$1004,A772)&gt;0,"Yes","No"))</f>
        <v/>
      </c>
      <c r="N772" s="53">
        <f>IF(A772="","",COUNTIF('AFA Rates'!$A$5:$A$1004,A772))</f>
        <v/>
      </c>
      <c r="O772" s="54" t="n"/>
      <c r="P772" s="5" t="n"/>
      <c r="Q772" s="5" t="n"/>
      <c r="R772">
        <f>IF(AND(A772&lt;&gt;"",B772="Paused"),COUNTIFS($A$5:A772,"&lt;&gt;",$B$5:B772,"Paused"),"")</f>
        <v/>
      </c>
      <c r="S772">
        <f>IF(M772="Yes",COUNTIF($M$5:M772,"Yes"),"")</f>
        <v/>
      </c>
    </row>
    <row r="773">
      <c r="A773" s="5" t="n"/>
      <c r="B773" s="51" t="n"/>
      <c r="C773" s="5" t="n"/>
      <c r="D773" s="52" t="n"/>
      <c r="E773" s="52" t="n"/>
      <c r="F773" s="52" t="n"/>
      <c r="G773" s="52" t="n"/>
      <c r="H773" s="52" t="n"/>
      <c r="I773" s="52" t="n"/>
      <c r="J773" s="52" t="n"/>
      <c r="K773" s="52" t="n"/>
      <c r="L773" s="51" t="n"/>
      <c r="M773" s="53">
        <f>IF(A773="","",IF(COUNTIF('AFA Rates'!$A$5:$A$1004,A773)&gt;0,"Yes","No"))</f>
        <v/>
      </c>
      <c r="N773" s="53">
        <f>IF(A773="","",COUNTIF('AFA Rates'!$A$5:$A$1004,A773))</f>
        <v/>
      </c>
      <c r="O773" s="54" t="n"/>
      <c r="P773" s="5" t="n"/>
      <c r="Q773" s="5" t="n"/>
      <c r="R773">
        <f>IF(AND(A773&lt;&gt;"",B773="Paused"),COUNTIFS($A$5:A773,"&lt;&gt;",$B$5:B773,"Paused"),"")</f>
        <v/>
      </c>
      <c r="S773">
        <f>IF(M773="Yes",COUNTIF($M$5:M773,"Yes"),"")</f>
        <v/>
      </c>
    </row>
    <row r="774">
      <c r="A774" s="5" t="n"/>
      <c r="B774" s="51" t="n"/>
      <c r="C774" s="5" t="n"/>
      <c r="D774" s="52" t="n"/>
      <c r="E774" s="52" t="n"/>
      <c r="F774" s="52" t="n"/>
      <c r="G774" s="52" t="n"/>
      <c r="H774" s="52" t="n"/>
      <c r="I774" s="52" t="n"/>
      <c r="J774" s="52" t="n"/>
      <c r="K774" s="52" t="n"/>
      <c r="L774" s="51" t="n"/>
      <c r="M774" s="53">
        <f>IF(A774="","",IF(COUNTIF('AFA Rates'!$A$5:$A$1004,A774)&gt;0,"Yes","No"))</f>
        <v/>
      </c>
      <c r="N774" s="53">
        <f>IF(A774="","",COUNTIF('AFA Rates'!$A$5:$A$1004,A774))</f>
        <v/>
      </c>
      <c r="O774" s="54" t="n"/>
      <c r="P774" s="5" t="n"/>
      <c r="Q774" s="5" t="n"/>
      <c r="R774">
        <f>IF(AND(A774&lt;&gt;"",B774="Paused"),COUNTIFS($A$5:A774,"&lt;&gt;",$B$5:B774,"Paused"),"")</f>
        <v/>
      </c>
      <c r="S774">
        <f>IF(M774="Yes",COUNTIF($M$5:M774,"Yes"),"")</f>
        <v/>
      </c>
    </row>
    <row r="775">
      <c r="A775" s="5" t="n"/>
      <c r="B775" s="51" t="n"/>
      <c r="C775" s="5" t="n"/>
      <c r="D775" s="52" t="n"/>
      <c r="E775" s="52" t="n"/>
      <c r="F775" s="52" t="n"/>
      <c r="G775" s="52" t="n"/>
      <c r="H775" s="52" t="n"/>
      <c r="I775" s="52" t="n"/>
      <c r="J775" s="52" t="n"/>
      <c r="K775" s="52" t="n"/>
      <c r="L775" s="51" t="n"/>
      <c r="M775" s="53">
        <f>IF(A775="","",IF(COUNTIF('AFA Rates'!$A$5:$A$1004,A775)&gt;0,"Yes","No"))</f>
        <v/>
      </c>
      <c r="N775" s="53">
        <f>IF(A775="","",COUNTIF('AFA Rates'!$A$5:$A$1004,A775))</f>
        <v/>
      </c>
      <c r="O775" s="54" t="n"/>
      <c r="P775" s="5" t="n"/>
      <c r="Q775" s="5" t="n"/>
      <c r="R775">
        <f>IF(AND(A775&lt;&gt;"",B775="Paused"),COUNTIFS($A$5:A775,"&lt;&gt;",$B$5:B775,"Paused"),"")</f>
        <v/>
      </c>
      <c r="S775">
        <f>IF(M775="Yes",COUNTIF($M$5:M775,"Yes"),"")</f>
        <v/>
      </c>
    </row>
    <row r="776">
      <c r="A776" s="5" t="n"/>
      <c r="B776" s="51" t="n"/>
      <c r="C776" s="5" t="n"/>
      <c r="D776" s="52" t="n"/>
      <c r="E776" s="52" t="n"/>
      <c r="F776" s="52" t="n"/>
      <c r="G776" s="52" t="n"/>
      <c r="H776" s="52" t="n"/>
      <c r="I776" s="52" t="n"/>
      <c r="J776" s="52" t="n"/>
      <c r="K776" s="52" t="n"/>
      <c r="L776" s="51" t="n"/>
      <c r="M776" s="53">
        <f>IF(A776="","",IF(COUNTIF('AFA Rates'!$A$5:$A$1004,A776)&gt;0,"Yes","No"))</f>
        <v/>
      </c>
      <c r="N776" s="53">
        <f>IF(A776="","",COUNTIF('AFA Rates'!$A$5:$A$1004,A776))</f>
        <v/>
      </c>
      <c r="O776" s="54" t="n"/>
      <c r="P776" s="5" t="n"/>
      <c r="Q776" s="5" t="n"/>
      <c r="R776">
        <f>IF(AND(A776&lt;&gt;"",B776="Paused"),COUNTIFS($A$5:A776,"&lt;&gt;",$B$5:B776,"Paused"),"")</f>
        <v/>
      </c>
      <c r="S776">
        <f>IF(M776="Yes",COUNTIF($M$5:M776,"Yes"),"")</f>
        <v/>
      </c>
    </row>
    <row r="777">
      <c r="A777" s="5" t="n"/>
      <c r="B777" s="51" t="n"/>
      <c r="C777" s="5" t="n"/>
      <c r="D777" s="52" t="n"/>
      <c r="E777" s="52" t="n"/>
      <c r="F777" s="52" t="n"/>
      <c r="G777" s="52" t="n"/>
      <c r="H777" s="52" t="n"/>
      <c r="I777" s="52" t="n"/>
      <c r="J777" s="52" t="n"/>
      <c r="K777" s="52" t="n"/>
      <c r="L777" s="51" t="n"/>
      <c r="M777" s="53">
        <f>IF(A777="","",IF(COUNTIF('AFA Rates'!$A$5:$A$1004,A777)&gt;0,"Yes","No"))</f>
        <v/>
      </c>
      <c r="N777" s="53">
        <f>IF(A777="","",COUNTIF('AFA Rates'!$A$5:$A$1004,A777))</f>
        <v/>
      </c>
      <c r="O777" s="54" t="n"/>
      <c r="P777" s="5" t="n"/>
      <c r="Q777" s="5" t="n"/>
      <c r="R777">
        <f>IF(AND(A777&lt;&gt;"",B777="Paused"),COUNTIFS($A$5:A777,"&lt;&gt;",$B$5:B777,"Paused"),"")</f>
        <v/>
      </c>
      <c r="S777">
        <f>IF(M777="Yes",COUNTIF($M$5:M777,"Yes"),"")</f>
        <v/>
      </c>
    </row>
    <row r="778">
      <c r="A778" s="5" t="n"/>
      <c r="B778" s="51" t="n"/>
      <c r="C778" s="5" t="n"/>
      <c r="D778" s="52" t="n"/>
      <c r="E778" s="52" t="n"/>
      <c r="F778" s="52" t="n"/>
      <c r="G778" s="52" t="n"/>
      <c r="H778" s="52" t="n"/>
      <c r="I778" s="52" t="n"/>
      <c r="J778" s="52" t="n"/>
      <c r="K778" s="52" t="n"/>
      <c r="L778" s="51" t="n"/>
      <c r="M778" s="53">
        <f>IF(A778="","",IF(COUNTIF('AFA Rates'!$A$5:$A$1004,A778)&gt;0,"Yes","No"))</f>
        <v/>
      </c>
      <c r="N778" s="53">
        <f>IF(A778="","",COUNTIF('AFA Rates'!$A$5:$A$1004,A778))</f>
        <v/>
      </c>
      <c r="O778" s="54" t="n"/>
      <c r="P778" s="5" t="n"/>
      <c r="Q778" s="5" t="n"/>
      <c r="R778">
        <f>IF(AND(A778&lt;&gt;"",B778="Paused"),COUNTIFS($A$5:A778,"&lt;&gt;",$B$5:B778,"Paused"),"")</f>
        <v/>
      </c>
      <c r="S778">
        <f>IF(M778="Yes",COUNTIF($M$5:M778,"Yes"),"")</f>
        <v/>
      </c>
    </row>
    <row r="779">
      <c r="A779" s="5" t="n"/>
      <c r="B779" s="51" t="n"/>
      <c r="C779" s="5" t="n"/>
      <c r="D779" s="52" t="n"/>
      <c r="E779" s="52" t="n"/>
      <c r="F779" s="52" t="n"/>
      <c r="G779" s="52" t="n"/>
      <c r="H779" s="52" t="n"/>
      <c r="I779" s="52" t="n"/>
      <c r="J779" s="52" t="n"/>
      <c r="K779" s="52" t="n"/>
      <c r="L779" s="51" t="n"/>
      <c r="M779" s="53">
        <f>IF(A779="","",IF(COUNTIF('AFA Rates'!$A$5:$A$1004,A779)&gt;0,"Yes","No"))</f>
        <v/>
      </c>
      <c r="N779" s="53">
        <f>IF(A779="","",COUNTIF('AFA Rates'!$A$5:$A$1004,A779))</f>
        <v/>
      </c>
      <c r="O779" s="54" t="n"/>
      <c r="P779" s="5" t="n"/>
      <c r="Q779" s="5" t="n"/>
      <c r="R779">
        <f>IF(AND(A779&lt;&gt;"",B779="Paused"),COUNTIFS($A$5:A779,"&lt;&gt;",$B$5:B779,"Paused"),"")</f>
        <v/>
      </c>
      <c r="S779">
        <f>IF(M779="Yes",COUNTIF($M$5:M779,"Yes"),"")</f>
        <v/>
      </c>
    </row>
    <row r="780">
      <c r="A780" s="5" t="n"/>
      <c r="B780" s="51" t="n"/>
      <c r="C780" s="5" t="n"/>
      <c r="D780" s="52" t="n"/>
      <c r="E780" s="52" t="n"/>
      <c r="F780" s="52" t="n"/>
      <c r="G780" s="52" t="n"/>
      <c r="H780" s="52" t="n"/>
      <c r="I780" s="52" t="n"/>
      <c r="J780" s="52" t="n"/>
      <c r="K780" s="52" t="n"/>
      <c r="L780" s="51" t="n"/>
      <c r="M780" s="53">
        <f>IF(A780="","",IF(COUNTIF('AFA Rates'!$A$5:$A$1004,A780)&gt;0,"Yes","No"))</f>
        <v/>
      </c>
      <c r="N780" s="53">
        <f>IF(A780="","",COUNTIF('AFA Rates'!$A$5:$A$1004,A780))</f>
        <v/>
      </c>
      <c r="O780" s="54" t="n"/>
      <c r="P780" s="5" t="n"/>
      <c r="Q780" s="5" t="n"/>
      <c r="R780">
        <f>IF(AND(A780&lt;&gt;"",B780="Paused"),COUNTIFS($A$5:A780,"&lt;&gt;",$B$5:B780,"Paused"),"")</f>
        <v/>
      </c>
      <c r="S780">
        <f>IF(M780="Yes",COUNTIF($M$5:M780,"Yes"),"")</f>
        <v/>
      </c>
    </row>
    <row r="781">
      <c r="A781" s="5" t="n"/>
      <c r="B781" s="51" t="n"/>
      <c r="C781" s="5" t="n"/>
      <c r="D781" s="52" t="n"/>
      <c r="E781" s="52" t="n"/>
      <c r="F781" s="52" t="n"/>
      <c r="G781" s="52" t="n"/>
      <c r="H781" s="52" t="n"/>
      <c r="I781" s="52" t="n"/>
      <c r="J781" s="52" t="n"/>
      <c r="K781" s="52" t="n"/>
      <c r="L781" s="51" t="n"/>
      <c r="M781" s="53">
        <f>IF(A781="","",IF(COUNTIF('AFA Rates'!$A$5:$A$1004,A781)&gt;0,"Yes","No"))</f>
        <v/>
      </c>
      <c r="N781" s="53">
        <f>IF(A781="","",COUNTIF('AFA Rates'!$A$5:$A$1004,A781))</f>
        <v/>
      </c>
      <c r="O781" s="54" t="n"/>
      <c r="P781" s="5" t="n"/>
      <c r="Q781" s="5" t="n"/>
      <c r="R781">
        <f>IF(AND(A781&lt;&gt;"",B781="Paused"),COUNTIFS($A$5:A781,"&lt;&gt;",$B$5:B781,"Paused"),"")</f>
        <v/>
      </c>
      <c r="S781">
        <f>IF(M781="Yes",COUNTIF($M$5:M781,"Yes"),"")</f>
        <v/>
      </c>
    </row>
    <row r="782">
      <c r="A782" s="5" t="n"/>
      <c r="B782" s="51" t="n"/>
      <c r="C782" s="5" t="n"/>
      <c r="D782" s="52" t="n"/>
      <c r="E782" s="52" t="n"/>
      <c r="F782" s="52" t="n"/>
      <c r="G782" s="52" t="n"/>
      <c r="H782" s="52" t="n"/>
      <c r="I782" s="52" t="n"/>
      <c r="J782" s="52" t="n"/>
      <c r="K782" s="52" t="n"/>
      <c r="L782" s="51" t="n"/>
      <c r="M782" s="53">
        <f>IF(A782="","",IF(COUNTIF('AFA Rates'!$A$5:$A$1004,A782)&gt;0,"Yes","No"))</f>
        <v/>
      </c>
      <c r="N782" s="53">
        <f>IF(A782="","",COUNTIF('AFA Rates'!$A$5:$A$1004,A782))</f>
        <v/>
      </c>
      <c r="O782" s="54" t="n"/>
      <c r="P782" s="5" t="n"/>
      <c r="Q782" s="5" t="n"/>
      <c r="R782">
        <f>IF(AND(A782&lt;&gt;"",B782="Paused"),COUNTIFS($A$5:A782,"&lt;&gt;",$B$5:B782,"Paused"),"")</f>
        <v/>
      </c>
      <c r="S782">
        <f>IF(M782="Yes",COUNTIF($M$5:M782,"Yes"),"")</f>
        <v/>
      </c>
    </row>
    <row r="783">
      <c r="A783" s="5" t="n"/>
      <c r="B783" s="51" t="n"/>
      <c r="C783" s="5" t="n"/>
      <c r="D783" s="52" t="n"/>
      <c r="E783" s="52" t="n"/>
      <c r="F783" s="52" t="n"/>
      <c r="G783" s="52" t="n"/>
      <c r="H783" s="52" t="n"/>
      <c r="I783" s="52" t="n"/>
      <c r="J783" s="52" t="n"/>
      <c r="K783" s="52" t="n"/>
      <c r="L783" s="51" t="n"/>
      <c r="M783" s="53">
        <f>IF(A783="","",IF(COUNTIF('AFA Rates'!$A$5:$A$1004,A783)&gt;0,"Yes","No"))</f>
        <v/>
      </c>
      <c r="N783" s="53">
        <f>IF(A783="","",COUNTIF('AFA Rates'!$A$5:$A$1004,A783))</f>
        <v/>
      </c>
      <c r="O783" s="54" t="n"/>
      <c r="P783" s="5" t="n"/>
      <c r="Q783" s="5" t="n"/>
      <c r="R783">
        <f>IF(AND(A783&lt;&gt;"",B783="Paused"),COUNTIFS($A$5:A783,"&lt;&gt;",$B$5:B783,"Paused"),"")</f>
        <v/>
      </c>
      <c r="S783">
        <f>IF(M783="Yes",COUNTIF($M$5:M783,"Yes"),"")</f>
        <v/>
      </c>
    </row>
    <row r="784">
      <c r="A784" s="5" t="n"/>
      <c r="B784" s="51" t="n"/>
      <c r="C784" s="5" t="n"/>
      <c r="D784" s="52" t="n"/>
      <c r="E784" s="52" t="n"/>
      <c r="F784" s="52" t="n"/>
      <c r="G784" s="52" t="n"/>
      <c r="H784" s="52" t="n"/>
      <c r="I784" s="52" t="n"/>
      <c r="J784" s="52" t="n"/>
      <c r="K784" s="52" t="n"/>
      <c r="L784" s="51" t="n"/>
      <c r="M784" s="53">
        <f>IF(A784="","",IF(COUNTIF('AFA Rates'!$A$5:$A$1004,A784)&gt;0,"Yes","No"))</f>
        <v/>
      </c>
      <c r="N784" s="53">
        <f>IF(A784="","",COUNTIF('AFA Rates'!$A$5:$A$1004,A784))</f>
        <v/>
      </c>
      <c r="O784" s="54" t="n"/>
      <c r="P784" s="5" t="n"/>
      <c r="Q784" s="5" t="n"/>
      <c r="R784">
        <f>IF(AND(A784&lt;&gt;"",B784="Paused"),COUNTIFS($A$5:A784,"&lt;&gt;",$B$5:B784,"Paused"),"")</f>
        <v/>
      </c>
      <c r="S784">
        <f>IF(M784="Yes",COUNTIF($M$5:M784,"Yes"),"")</f>
        <v/>
      </c>
    </row>
    <row r="785">
      <c r="A785" s="5" t="n"/>
      <c r="B785" s="51" t="n"/>
      <c r="C785" s="5" t="n"/>
      <c r="D785" s="52" t="n"/>
      <c r="E785" s="52" t="n"/>
      <c r="F785" s="52" t="n"/>
      <c r="G785" s="52" t="n"/>
      <c r="H785" s="52" t="n"/>
      <c r="I785" s="52" t="n"/>
      <c r="J785" s="52" t="n"/>
      <c r="K785" s="52" t="n"/>
      <c r="L785" s="51" t="n"/>
      <c r="M785" s="53">
        <f>IF(A785="","",IF(COUNTIF('AFA Rates'!$A$5:$A$1004,A785)&gt;0,"Yes","No"))</f>
        <v/>
      </c>
      <c r="N785" s="53">
        <f>IF(A785="","",COUNTIF('AFA Rates'!$A$5:$A$1004,A785))</f>
        <v/>
      </c>
      <c r="O785" s="54" t="n"/>
      <c r="P785" s="5" t="n"/>
      <c r="Q785" s="5" t="n"/>
      <c r="R785">
        <f>IF(AND(A785&lt;&gt;"",B785="Paused"),COUNTIFS($A$5:A785,"&lt;&gt;",$B$5:B785,"Paused"),"")</f>
        <v/>
      </c>
      <c r="S785">
        <f>IF(M785="Yes",COUNTIF($M$5:M785,"Yes"),"")</f>
        <v/>
      </c>
    </row>
    <row r="786">
      <c r="A786" s="5" t="n"/>
      <c r="B786" s="51" t="n"/>
      <c r="C786" s="5" t="n"/>
      <c r="D786" s="52" t="n"/>
      <c r="E786" s="52" t="n"/>
      <c r="F786" s="52" t="n"/>
      <c r="G786" s="52" t="n"/>
      <c r="H786" s="52" t="n"/>
      <c r="I786" s="52" t="n"/>
      <c r="J786" s="52" t="n"/>
      <c r="K786" s="52" t="n"/>
      <c r="L786" s="51" t="n"/>
      <c r="M786" s="53">
        <f>IF(A786="","",IF(COUNTIF('AFA Rates'!$A$5:$A$1004,A786)&gt;0,"Yes","No"))</f>
        <v/>
      </c>
      <c r="N786" s="53">
        <f>IF(A786="","",COUNTIF('AFA Rates'!$A$5:$A$1004,A786))</f>
        <v/>
      </c>
      <c r="O786" s="54" t="n"/>
      <c r="P786" s="5" t="n"/>
      <c r="Q786" s="5" t="n"/>
      <c r="R786">
        <f>IF(AND(A786&lt;&gt;"",B786="Paused"),COUNTIFS($A$5:A786,"&lt;&gt;",$B$5:B786,"Paused"),"")</f>
        <v/>
      </c>
      <c r="S786">
        <f>IF(M786="Yes",COUNTIF($M$5:M786,"Yes"),"")</f>
        <v/>
      </c>
    </row>
    <row r="787">
      <c r="A787" s="5" t="n"/>
      <c r="B787" s="51" t="n"/>
      <c r="C787" s="5" t="n"/>
      <c r="D787" s="52" t="n"/>
      <c r="E787" s="52" t="n"/>
      <c r="F787" s="52" t="n"/>
      <c r="G787" s="52" t="n"/>
      <c r="H787" s="52" t="n"/>
      <c r="I787" s="52" t="n"/>
      <c r="J787" s="52" t="n"/>
      <c r="K787" s="52" t="n"/>
      <c r="L787" s="51" t="n"/>
      <c r="M787" s="53">
        <f>IF(A787="","",IF(COUNTIF('AFA Rates'!$A$5:$A$1004,A787)&gt;0,"Yes","No"))</f>
        <v/>
      </c>
      <c r="N787" s="53">
        <f>IF(A787="","",COUNTIF('AFA Rates'!$A$5:$A$1004,A787))</f>
        <v/>
      </c>
      <c r="O787" s="54" t="n"/>
      <c r="P787" s="5" t="n"/>
      <c r="Q787" s="5" t="n"/>
      <c r="R787">
        <f>IF(AND(A787&lt;&gt;"",B787="Paused"),COUNTIFS($A$5:A787,"&lt;&gt;",$B$5:B787,"Paused"),"")</f>
        <v/>
      </c>
      <c r="S787">
        <f>IF(M787="Yes",COUNTIF($M$5:M787,"Yes"),"")</f>
        <v/>
      </c>
    </row>
    <row r="788">
      <c r="A788" s="5" t="n"/>
      <c r="B788" s="51" t="n"/>
      <c r="C788" s="5" t="n"/>
      <c r="D788" s="52" t="n"/>
      <c r="E788" s="52" t="n"/>
      <c r="F788" s="52" t="n"/>
      <c r="G788" s="52" t="n"/>
      <c r="H788" s="52" t="n"/>
      <c r="I788" s="52" t="n"/>
      <c r="J788" s="52" t="n"/>
      <c r="K788" s="52" t="n"/>
      <c r="L788" s="51" t="n"/>
      <c r="M788" s="53">
        <f>IF(A788="","",IF(COUNTIF('AFA Rates'!$A$5:$A$1004,A788)&gt;0,"Yes","No"))</f>
        <v/>
      </c>
      <c r="N788" s="53">
        <f>IF(A788="","",COUNTIF('AFA Rates'!$A$5:$A$1004,A788))</f>
        <v/>
      </c>
      <c r="O788" s="54" t="n"/>
      <c r="P788" s="5" t="n"/>
      <c r="Q788" s="5" t="n"/>
      <c r="R788">
        <f>IF(AND(A788&lt;&gt;"",B788="Paused"),COUNTIFS($A$5:A788,"&lt;&gt;",$B$5:B788,"Paused"),"")</f>
        <v/>
      </c>
      <c r="S788">
        <f>IF(M788="Yes",COUNTIF($M$5:M788,"Yes"),"")</f>
        <v/>
      </c>
    </row>
    <row r="789">
      <c r="A789" s="5" t="n"/>
      <c r="B789" s="51" t="n"/>
      <c r="C789" s="5" t="n"/>
      <c r="D789" s="52" t="n"/>
      <c r="E789" s="52" t="n"/>
      <c r="F789" s="52" t="n"/>
      <c r="G789" s="52" t="n"/>
      <c r="H789" s="52" t="n"/>
      <c r="I789" s="52" t="n"/>
      <c r="J789" s="52" t="n"/>
      <c r="K789" s="52" t="n"/>
      <c r="L789" s="51" t="n"/>
      <c r="M789" s="53">
        <f>IF(A789="","",IF(COUNTIF('AFA Rates'!$A$5:$A$1004,A789)&gt;0,"Yes","No"))</f>
        <v/>
      </c>
      <c r="N789" s="53">
        <f>IF(A789="","",COUNTIF('AFA Rates'!$A$5:$A$1004,A789))</f>
        <v/>
      </c>
      <c r="O789" s="54" t="n"/>
      <c r="P789" s="5" t="n"/>
      <c r="Q789" s="5" t="n"/>
      <c r="R789">
        <f>IF(AND(A789&lt;&gt;"",B789="Paused"),COUNTIFS($A$5:A789,"&lt;&gt;",$B$5:B789,"Paused"),"")</f>
        <v/>
      </c>
      <c r="S789">
        <f>IF(M789="Yes",COUNTIF($M$5:M789,"Yes"),"")</f>
        <v/>
      </c>
    </row>
    <row r="790">
      <c r="A790" s="5" t="n"/>
      <c r="B790" s="51" t="n"/>
      <c r="C790" s="5" t="n"/>
      <c r="D790" s="52" t="n"/>
      <c r="E790" s="52" t="n"/>
      <c r="F790" s="52" t="n"/>
      <c r="G790" s="52" t="n"/>
      <c r="H790" s="52" t="n"/>
      <c r="I790" s="52" t="n"/>
      <c r="J790" s="52" t="n"/>
      <c r="K790" s="52" t="n"/>
      <c r="L790" s="51" t="n"/>
      <c r="M790" s="53">
        <f>IF(A790="","",IF(COUNTIF('AFA Rates'!$A$5:$A$1004,A790)&gt;0,"Yes","No"))</f>
        <v/>
      </c>
      <c r="N790" s="53">
        <f>IF(A790="","",COUNTIF('AFA Rates'!$A$5:$A$1004,A790))</f>
        <v/>
      </c>
      <c r="O790" s="54" t="n"/>
      <c r="P790" s="5" t="n"/>
      <c r="Q790" s="5" t="n"/>
      <c r="R790">
        <f>IF(AND(A790&lt;&gt;"",B790="Paused"),COUNTIFS($A$5:A790,"&lt;&gt;",$B$5:B790,"Paused"),"")</f>
        <v/>
      </c>
      <c r="S790">
        <f>IF(M790="Yes",COUNTIF($M$5:M790,"Yes"),"")</f>
        <v/>
      </c>
    </row>
    <row r="791">
      <c r="A791" s="5" t="n"/>
      <c r="B791" s="51" t="n"/>
      <c r="C791" s="5" t="n"/>
      <c r="D791" s="52" t="n"/>
      <c r="E791" s="52" t="n"/>
      <c r="F791" s="52" t="n"/>
      <c r="G791" s="52" t="n"/>
      <c r="H791" s="52" t="n"/>
      <c r="I791" s="52" t="n"/>
      <c r="J791" s="52" t="n"/>
      <c r="K791" s="52" t="n"/>
      <c r="L791" s="51" t="n"/>
      <c r="M791" s="53">
        <f>IF(A791="","",IF(COUNTIF('AFA Rates'!$A$5:$A$1004,A791)&gt;0,"Yes","No"))</f>
        <v/>
      </c>
      <c r="N791" s="53">
        <f>IF(A791="","",COUNTIF('AFA Rates'!$A$5:$A$1004,A791))</f>
        <v/>
      </c>
      <c r="O791" s="54" t="n"/>
      <c r="P791" s="5" t="n"/>
      <c r="Q791" s="5" t="n"/>
      <c r="R791">
        <f>IF(AND(A791&lt;&gt;"",B791="Paused"),COUNTIFS($A$5:A791,"&lt;&gt;",$B$5:B791,"Paused"),"")</f>
        <v/>
      </c>
      <c r="S791">
        <f>IF(M791="Yes",COUNTIF($M$5:M791,"Yes"),"")</f>
        <v/>
      </c>
    </row>
    <row r="792">
      <c r="A792" s="5" t="n"/>
      <c r="B792" s="51" t="n"/>
      <c r="C792" s="5" t="n"/>
      <c r="D792" s="52" t="n"/>
      <c r="E792" s="52" t="n"/>
      <c r="F792" s="52" t="n"/>
      <c r="G792" s="52" t="n"/>
      <c r="H792" s="52" t="n"/>
      <c r="I792" s="52" t="n"/>
      <c r="J792" s="52" t="n"/>
      <c r="K792" s="52" t="n"/>
      <c r="L792" s="51" t="n"/>
      <c r="M792" s="53">
        <f>IF(A792="","",IF(COUNTIF('AFA Rates'!$A$5:$A$1004,A792)&gt;0,"Yes","No"))</f>
        <v/>
      </c>
      <c r="N792" s="53">
        <f>IF(A792="","",COUNTIF('AFA Rates'!$A$5:$A$1004,A792))</f>
        <v/>
      </c>
      <c r="O792" s="54" t="n"/>
      <c r="P792" s="5" t="n"/>
      <c r="Q792" s="5" t="n"/>
      <c r="R792">
        <f>IF(AND(A792&lt;&gt;"",B792="Paused"),COUNTIFS($A$5:A792,"&lt;&gt;",$B$5:B792,"Paused"),"")</f>
        <v/>
      </c>
      <c r="S792">
        <f>IF(M792="Yes",COUNTIF($M$5:M792,"Yes"),"")</f>
        <v/>
      </c>
    </row>
    <row r="793">
      <c r="A793" s="5" t="n"/>
      <c r="B793" s="51" t="n"/>
      <c r="C793" s="5" t="n"/>
      <c r="D793" s="52" t="n"/>
      <c r="E793" s="52" t="n"/>
      <c r="F793" s="52" t="n"/>
      <c r="G793" s="52" t="n"/>
      <c r="H793" s="52" t="n"/>
      <c r="I793" s="52" t="n"/>
      <c r="J793" s="52" t="n"/>
      <c r="K793" s="52" t="n"/>
      <c r="L793" s="51" t="n"/>
      <c r="M793" s="53">
        <f>IF(A793="","",IF(COUNTIF('AFA Rates'!$A$5:$A$1004,A793)&gt;0,"Yes","No"))</f>
        <v/>
      </c>
      <c r="N793" s="53">
        <f>IF(A793="","",COUNTIF('AFA Rates'!$A$5:$A$1004,A793))</f>
        <v/>
      </c>
      <c r="O793" s="54" t="n"/>
      <c r="P793" s="5" t="n"/>
      <c r="Q793" s="5" t="n"/>
      <c r="R793">
        <f>IF(AND(A793&lt;&gt;"",B793="Paused"),COUNTIFS($A$5:A793,"&lt;&gt;",$B$5:B793,"Paused"),"")</f>
        <v/>
      </c>
      <c r="S793">
        <f>IF(M793="Yes",COUNTIF($M$5:M793,"Yes"),"")</f>
        <v/>
      </c>
    </row>
    <row r="794">
      <c r="A794" s="5" t="n"/>
      <c r="B794" s="51" t="n"/>
      <c r="C794" s="5" t="n"/>
      <c r="D794" s="52" t="n"/>
      <c r="E794" s="52" t="n"/>
      <c r="F794" s="52" t="n"/>
      <c r="G794" s="52" t="n"/>
      <c r="H794" s="52" t="n"/>
      <c r="I794" s="52" t="n"/>
      <c r="J794" s="52" t="n"/>
      <c r="K794" s="52" t="n"/>
      <c r="L794" s="51" t="n"/>
      <c r="M794" s="53">
        <f>IF(A794="","",IF(COUNTIF('AFA Rates'!$A$5:$A$1004,A794)&gt;0,"Yes","No"))</f>
        <v/>
      </c>
      <c r="N794" s="53">
        <f>IF(A794="","",COUNTIF('AFA Rates'!$A$5:$A$1004,A794))</f>
        <v/>
      </c>
      <c r="O794" s="54" t="n"/>
      <c r="P794" s="5" t="n"/>
      <c r="Q794" s="5" t="n"/>
      <c r="R794">
        <f>IF(AND(A794&lt;&gt;"",B794="Paused"),COUNTIFS($A$5:A794,"&lt;&gt;",$B$5:B794,"Paused"),"")</f>
        <v/>
      </c>
      <c r="S794">
        <f>IF(M794="Yes",COUNTIF($M$5:M794,"Yes"),"")</f>
        <v/>
      </c>
    </row>
    <row r="795">
      <c r="A795" s="5" t="n"/>
      <c r="B795" s="51" t="n"/>
      <c r="C795" s="5" t="n"/>
      <c r="D795" s="52" t="n"/>
      <c r="E795" s="52" t="n"/>
      <c r="F795" s="52" t="n"/>
      <c r="G795" s="52" t="n"/>
      <c r="H795" s="52" t="n"/>
      <c r="I795" s="52" t="n"/>
      <c r="J795" s="52" t="n"/>
      <c r="K795" s="52" t="n"/>
      <c r="L795" s="51" t="n"/>
      <c r="M795" s="53">
        <f>IF(A795="","",IF(COUNTIF('AFA Rates'!$A$5:$A$1004,A795)&gt;0,"Yes","No"))</f>
        <v/>
      </c>
      <c r="N795" s="53">
        <f>IF(A795="","",COUNTIF('AFA Rates'!$A$5:$A$1004,A795))</f>
        <v/>
      </c>
      <c r="O795" s="54" t="n"/>
      <c r="P795" s="5" t="n"/>
      <c r="Q795" s="5" t="n"/>
      <c r="R795">
        <f>IF(AND(A795&lt;&gt;"",B795="Paused"),COUNTIFS($A$5:A795,"&lt;&gt;",$B$5:B795,"Paused"),"")</f>
        <v/>
      </c>
      <c r="S795">
        <f>IF(M795="Yes",COUNTIF($M$5:M795,"Yes"),"")</f>
        <v/>
      </c>
    </row>
    <row r="796">
      <c r="A796" s="5" t="n"/>
      <c r="B796" s="51" t="n"/>
      <c r="C796" s="5" t="n"/>
      <c r="D796" s="52" t="n"/>
      <c r="E796" s="52" t="n"/>
      <c r="F796" s="52" t="n"/>
      <c r="G796" s="52" t="n"/>
      <c r="H796" s="52" t="n"/>
      <c r="I796" s="52" t="n"/>
      <c r="J796" s="52" t="n"/>
      <c r="K796" s="52" t="n"/>
      <c r="L796" s="51" t="n"/>
      <c r="M796" s="53">
        <f>IF(A796="","",IF(COUNTIF('AFA Rates'!$A$5:$A$1004,A796)&gt;0,"Yes","No"))</f>
        <v/>
      </c>
      <c r="N796" s="53">
        <f>IF(A796="","",COUNTIF('AFA Rates'!$A$5:$A$1004,A796))</f>
        <v/>
      </c>
      <c r="O796" s="54" t="n"/>
      <c r="P796" s="5" t="n"/>
      <c r="Q796" s="5" t="n"/>
      <c r="R796">
        <f>IF(AND(A796&lt;&gt;"",B796="Paused"),COUNTIFS($A$5:A796,"&lt;&gt;",$B$5:B796,"Paused"),"")</f>
        <v/>
      </c>
      <c r="S796">
        <f>IF(M796="Yes",COUNTIF($M$5:M796,"Yes"),"")</f>
        <v/>
      </c>
    </row>
    <row r="797">
      <c r="A797" s="5" t="n"/>
      <c r="B797" s="51" t="n"/>
      <c r="C797" s="5" t="n"/>
      <c r="D797" s="52" t="n"/>
      <c r="E797" s="52" t="n"/>
      <c r="F797" s="52" t="n"/>
      <c r="G797" s="52" t="n"/>
      <c r="H797" s="52" t="n"/>
      <c r="I797" s="52" t="n"/>
      <c r="J797" s="52" t="n"/>
      <c r="K797" s="52" t="n"/>
      <c r="L797" s="51" t="n"/>
      <c r="M797" s="53">
        <f>IF(A797="","",IF(COUNTIF('AFA Rates'!$A$5:$A$1004,A797)&gt;0,"Yes","No"))</f>
        <v/>
      </c>
      <c r="N797" s="53">
        <f>IF(A797="","",COUNTIF('AFA Rates'!$A$5:$A$1004,A797))</f>
        <v/>
      </c>
      <c r="O797" s="54" t="n"/>
      <c r="P797" s="5" t="n"/>
      <c r="Q797" s="5" t="n"/>
      <c r="R797">
        <f>IF(AND(A797&lt;&gt;"",B797="Paused"),COUNTIFS($A$5:A797,"&lt;&gt;",$B$5:B797,"Paused"),"")</f>
        <v/>
      </c>
      <c r="S797">
        <f>IF(M797="Yes",COUNTIF($M$5:M797,"Yes"),"")</f>
        <v/>
      </c>
    </row>
    <row r="798">
      <c r="A798" s="5" t="n"/>
      <c r="B798" s="51" t="n"/>
      <c r="C798" s="5" t="n"/>
      <c r="D798" s="52" t="n"/>
      <c r="E798" s="52" t="n"/>
      <c r="F798" s="52" t="n"/>
      <c r="G798" s="52" t="n"/>
      <c r="H798" s="52" t="n"/>
      <c r="I798" s="52" t="n"/>
      <c r="J798" s="52" t="n"/>
      <c r="K798" s="52" t="n"/>
      <c r="L798" s="51" t="n"/>
      <c r="M798" s="53">
        <f>IF(A798="","",IF(COUNTIF('AFA Rates'!$A$5:$A$1004,A798)&gt;0,"Yes","No"))</f>
        <v/>
      </c>
      <c r="N798" s="53">
        <f>IF(A798="","",COUNTIF('AFA Rates'!$A$5:$A$1004,A798))</f>
        <v/>
      </c>
      <c r="O798" s="54" t="n"/>
      <c r="P798" s="5" t="n"/>
      <c r="Q798" s="5" t="n"/>
      <c r="R798">
        <f>IF(AND(A798&lt;&gt;"",B798="Paused"),COUNTIFS($A$5:A798,"&lt;&gt;",$B$5:B798,"Paused"),"")</f>
        <v/>
      </c>
      <c r="S798">
        <f>IF(M798="Yes",COUNTIF($M$5:M798,"Yes"),"")</f>
        <v/>
      </c>
    </row>
    <row r="799">
      <c r="A799" s="5" t="n"/>
      <c r="B799" s="51" t="n"/>
      <c r="C799" s="5" t="n"/>
      <c r="D799" s="52" t="n"/>
      <c r="E799" s="52" t="n"/>
      <c r="F799" s="52" t="n"/>
      <c r="G799" s="52" t="n"/>
      <c r="H799" s="52" t="n"/>
      <c r="I799" s="52" t="n"/>
      <c r="J799" s="52" t="n"/>
      <c r="K799" s="52" t="n"/>
      <c r="L799" s="51" t="n"/>
      <c r="M799" s="53">
        <f>IF(A799="","",IF(COUNTIF('AFA Rates'!$A$5:$A$1004,A799)&gt;0,"Yes","No"))</f>
        <v/>
      </c>
      <c r="N799" s="53">
        <f>IF(A799="","",COUNTIF('AFA Rates'!$A$5:$A$1004,A799))</f>
        <v/>
      </c>
      <c r="O799" s="54" t="n"/>
      <c r="P799" s="5" t="n"/>
      <c r="Q799" s="5" t="n"/>
      <c r="R799">
        <f>IF(AND(A799&lt;&gt;"",B799="Paused"),COUNTIFS($A$5:A799,"&lt;&gt;",$B$5:B799,"Paused"),"")</f>
        <v/>
      </c>
      <c r="S799">
        <f>IF(M799="Yes",COUNTIF($M$5:M799,"Yes"),"")</f>
        <v/>
      </c>
    </row>
    <row r="800">
      <c r="A800" s="5" t="n"/>
      <c r="B800" s="51" t="n"/>
      <c r="C800" s="5" t="n"/>
      <c r="D800" s="52" t="n"/>
      <c r="E800" s="52" t="n"/>
      <c r="F800" s="52" t="n"/>
      <c r="G800" s="52" t="n"/>
      <c r="H800" s="52" t="n"/>
      <c r="I800" s="52" t="n"/>
      <c r="J800" s="52" t="n"/>
      <c r="K800" s="52" t="n"/>
      <c r="L800" s="51" t="n"/>
      <c r="M800" s="53">
        <f>IF(A800="","",IF(COUNTIF('AFA Rates'!$A$5:$A$1004,A800)&gt;0,"Yes","No"))</f>
        <v/>
      </c>
      <c r="N800" s="53">
        <f>IF(A800="","",COUNTIF('AFA Rates'!$A$5:$A$1004,A800))</f>
        <v/>
      </c>
      <c r="O800" s="54" t="n"/>
      <c r="P800" s="5" t="n"/>
      <c r="Q800" s="5" t="n"/>
      <c r="R800">
        <f>IF(AND(A800&lt;&gt;"",B800="Paused"),COUNTIFS($A$5:A800,"&lt;&gt;",$B$5:B800,"Paused"),"")</f>
        <v/>
      </c>
      <c r="S800">
        <f>IF(M800="Yes",COUNTIF($M$5:M800,"Yes"),"")</f>
        <v/>
      </c>
    </row>
    <row r="801">
      <c r="A801" s="5" t="n"/>
      <c r="B801" s="51" t="n"/>
      <c r="C801" s="5" t="n"/>
      <c r="D801" s="52" t="n"/>
      <c r="E801" s="52" t="n"/>
      <c r="F801" s="52" t="n"/>
      <c r="G801" s="52" t="n"/>
      <c r="H801" s="52" t="n"/>
      <c r="I801" s="52" t="n"/>
      <c r="J801" s="52" t="n"/>
      <c r="K801" s="52" t="n"/>
      <c r="L801" s="51" t="n"/>
      <c r="M801" s="53">
        <f>IF(A801="","",IF(COUNTIF('AFA Rates'!$A$5:$A$1004,A801)&gt;0,"Yes","No"))</f>
        <v/>
      </c>
      <c r="N801" s="53">
        <f>IF(A801="","",COUNTIF('AFA Rates'!$A$5:$A$1004,A801))</f>
        <v/>
      </c>
      <c r="O801" s="54" t="n"/>
      <c r="P801" s="5" t="n"/>
      <c r="Q801" s="5" t="n"/>
      <c r="R801">
        <f>IF(AND(A801&lt;&gt;"",B801="Paused"),COUNTIFS($A$5:A801,"&lt;&gt;",$B$5:B801,"Paused"),"")</f>
        <v/>
      </c>
      <c r="S801">
        <f>IF(M801="Yes",COUNTIF($M$5:M801,"Yes"),"")</f>
        <v/>
      </c>
    </row>
    <row r="802">
      <c r="A802" s="5" t="n"/>
      <c r="B802" s="51" t="n"/>
      <c r="C802" s="5" t="n"/>
      <c r="D802" s="52" t="n"/>
      <c r="E802" s="52" t="n"/>
      <c r="F802" s="52" t="n"/>
      <c r="G802" s="52" t="n"/>
      <c r="H802" s="52" t="n"/>
      <c r="I802" s="52" t="n"/>
      <c r="J802" s="52" t="n"/>
      <c r="K802" s="52" t="n"/>
      <c r="L802" s="51" t="n"/>
      <c r="M802" s="53">
        <f>IF(A802="","",IF(COUNTIF('AFA Rates'!$A$5:$A$1004,A802)&gt;0,"Yes","No"))</f>
        <v/>
      </c>
      <c r="N802" s="53">
        <f>IF(A802="","",COUNTIF('AFA Rates'!$A$5:$A$1004,A802))</f>
        <v/>
      </c>
      <c r="O802" s="54" t="n"/>
      <c r="P802" s="5" t="n"/>
      <c r="Q802" s="5" t="n"/>
      <c r="R802">
        <f>IF(AND(A802&lt;&gt;"",B802="Paused"),COUNTIFS($A$5:A802,"&lt;&gt;",$B$5:B802,"Paused"),"")</f>
        <v/>
      </c>
      <c r="S802">
        <f>IF(M802="Yes",COUNTIF($M$5:M802,"Yes"),"")</f>
        <v/>
      </c>
    </row>
    <row r="803">
      <c r="A803" s="5" t="n"/>
      <c r="B803" s="51" t="n"/>
      <c r="C803" s="5" t="n"/>
      <c r="D803" s="52" t="n"/>
      <c r="E803" s="52" t="n"/>
      <c r="F803" s="52" t="n"/>
      <c r="G803" s="52" t="n"/>
      <c r="H803" s="52" t="n"/>
      <c r="I803" s="52" t="n"/>
      <c r="J803" s="52" t="n"/>
      <c r="K803" s="52" t="n"/>
      <c r="L803" s="51" t="n"/>
      <c r="M803" s="53">
        <f>IF(A803="","",IF(COUNTIF('AFA Rates'!$A$5:$A$1004,A803)&gt;0,"Yes","No"))</f>
        <v/>
      </c>
      <c r="N803" s="53">
        <f>IF(A803="","",COUNTIF('AFA Rates'!$A$5:$A$1004,A803))</f>
        <v/>
      </c>
      <c r="O803" s="54" t="n"/>
      <c r="P803" s="5" t="n"/>
      <c r="Q803" s="5" t="n"/>
      <c r="R803">
        <f>IF(AND(A803&lt;&gt;"",B803="Paused"),COUNTIFS($A$5:A803,"&lt;&gt;",$B$5:B803,"Paused"),"")</f>
        <v/>
      </c>
      <c r="S803">
        <f>IF(M803="Yes",COUNTIF($M$5:M803,"Yes"),"")</f>
        <v/>
      </c>
    </row>
    <row r="804">
      <c r="A804" s="5" t="n"/>
      <c r="B804" s="51" t="n"/>
      <c r="C804" s="5" t="n"/>
      <c r="D804" s="52" t="n"/>
      <c r="E804" s="52" t="n"/>
      <c r="F804" s="52" t="n"/>
      <c r="G804" s="52" t="n"/>
      <c r="H804" s="52" t="n"/>
      <c r="I804" s="52" t="n"/>
      <c r="J804" s="52" t="n"/>
      <c r="K804" s="52" t="n"/>
      <c r="L804" s="51" t="n"/>
      <c r="M804" s="53">
        <f>IF(A804="","",IF(COUNTIF('AFA Rates'!$A$5:$A$1004,A804)&gt;0,"Yes","No"))</f>
        <v/>
      </c>
      <c r="N804" s="53">
        <f>IF(A804="","",COUNTIF('AFA Rates'!$A$5:$A$1004,A804))</f>
        <v/>
      </c>
      <c r="O804" s="54" t="n"/>
      <c r="P804" s="5" t="n"/>
      <c r="Q804" s="5" t="n"/>
      <c r="R804">
        <f>IF(AND(A804&lt;&gt;"",B804="Paused"),COUNTIFS($A$5:A804,"&lt;&gt;",$B$5:B804,"Paused"),"")</f>
        <v/>
      </c>
      <c r="S804">
        <f>IF(M804="Yes",COUNTIF($M$5:M804,"Yes"),"")</f>
        <v/>
      </c>
    </row>
    <row r="805">
      <c r="A805" s="5" t="n"/>
      <c r="B805" s="51" t="n"/>
      <c r="C805" s="5" t="n"/>
      <c r="D805" s="52" t="n"/>
      <c r="E805" s="52" t="n"/>
      <c r="F805" s="52" t="n"/>
      <c r="G805" s="52" t="n"/>
      <c r="H805" s="52" t="n"/>
      <c r="I805" s="52" t="n"/>
      <c r="J805" s="52" t="n"/>
      <c r="K805" s="52" t="n"/>
      <c r="L805" s="51" t="n"/>
      <c r="M805" s="53">
        <f>IF(A805="","",IF(COUNTIF('AFA Rates'!$A$5:$A$1004,A805)&gt;0,"Yes","No"))</f>
        <v/>
      </c>
      <c r="N805" s="53">
        <f>IF(A805="","",COUNTIF('AFA Rates'!$A$5:$A$1004,A805))</f>
        <v/>
      </c>
      <c r="O805" s="54" t="n"/>
      <c r="P805" s="5" t="n"/>
      <c r="Q805" s="5" t="n"/>
      <c r="R805">
        <f>IF(AND(A805&lt;&gt;"",B805="Paused"),COUNTIFS($A$5:A805,"&lt;&gt;",$B$5:B805,"Paused"),"")</f>
        <v/>
      </c>
      <c r="S805">
        <f>IF(M805="Yes",COUNTIF($M$5:M805,"Yes"),"")</f>
        <v/>
      </c>
    </row>
    <row r="806">
      <c r="A806" s="5" t="n"/>
      <c r="B806" s="51" t="n"/>
      <c r="C806" s="5" t="n"/>
      <c r="D806" s="52" t="n"/>
      <c r="E806" s="52" t="n"/>
      <c r="F806" s="52" t="n"/>
      <c r="G806" s="52" t="n"/>
      <c r="H806" s="52" t="n"/>
      <c r="I806" s="52" t="n"/>
      <c r="J806" s="52" t="n"/>
      <c r="K806" s="52" t="n"/>
      <c r="L806" s="51" t="n"/>
      <c r="M806" s="53">
        <f>IF(A806="","",IF(COUNTIF('AFA Rates'!$A$5:$A$1004,A806)&gt;0,"Yes","No"))</f>
        <v/>
      </c>
      <c r="N806" s="53">
        <f>IF(A806="","",COUNTIF('AFA Rates'!$A$5:$A$1004,A806))</f>
        <v/>
      </c>
      <c r="O806" s="54" t="n"/>
      <c r="P806" s="5" t="n"/>
      <c r="Q806" s="5" t="n"/>
      <c r="R806">
        <f>IF(AND(A806&lt;&gt;"",B806="Paused"),COUNTIFS($A$5:A806,"&lt;&gt;",$B$5:B806,"Paused"),"")</f>
        <v/>
      </c>
      <c r="S806">
        <f>IF(M806="Yes",COUNTIF($M$5:M806,"Yes"),"")</f>
        <v/>
      </c>
    </row>
    <row r="807">
      <c r="A807" s="5" t="n"/>
      <c r="B807" s="51" t="n"/>
      <c r="C807" s="5" t="n"/>
      <c r="D807" s="52" t="n"/>
      <c r="E807" s="52" t="n"/>
      <c r="F807" s="52" t="n"/>
      <c r="G807" s="52" t="n"/>
      <c r="H807" s="52" t="n"/>
      <c r="I807" s="52" t="n"/>
      <c r="J807" s="52" t="n"/>
      <c r="K807" s="52" t="n"/>
      <c r="L807" s="51" t="n"/>
      <c r="M807" s="53">
        <f>IF(A807="","",IF(COUNTIF('AFA Rates'!$A$5:$A$1004,A807)&gt;0,"Yes","No"))</f>
        <v/>
      </c>
      <c r="N807" s="53">
        <f>IF(A807="","",COUNTIF('AFA Rates'!$A$5:$A$1004,A807))</f>
        <v/>
      </c>
      <c r="O807" s="54" t="n"/>
      <c r="P807" s="5" t="n"/>
      <c r="Q807" s="5" t="n"/>
      <c r="R807">
        <f>IF(AND(A807&lt;&gt;"",B807="Paused"),COUNTIFS($A$5:A807,"&lt;&gt;",$B$5:B807,"Paused"),"")</f>
        <v/>
      </c>
      <c r="S807">
        <f>IF(M807="Yes",COUNTIF($M$5:M807,"Yes"),"")</f>
        <v/>
      </c>
    </row>
    <row r="808">
      <c r="A808" s="5" t="n"/>
      <c r="B808" s="51" t="n"/>
      <c r="C808" s="5" t="n"/>
      <c r="D808" s="52" t="n"/>
      <c r="E808" s="52" t="n"/>
      <c r="F808" s="52" t="n"/>
      <c r="G808" s="52" t="n"/>
      <c r="H808" s="52" t="n"/>
      <c r="I808" s="52" t="n"/>
      <c r="J808" s="52" t="n"/>
      <c r="K808" s="52" t="n"/>
      <c r="L808" s="51" t="n"/>
      <c r="M808" s="53">
        <f>IF(A808="","",IF(COUNTIF('AFA Rates'!$A$5:$A$1004,A808)&gt;0,"Yes","No"))</f>
        <v/>
      </c>
      <c r="N808" s="53">
        <f>IF(A808="","",COUNTIF('AFA Rates'!$A$5:$A$1004,A808))</f>
        <v/>
      </c>
      <c r="O808" s="54" t="n"/>
      <c r="P808" s="5" t="n"/>
      <c r="Q808" s="5" t="n"/>
      <c r="R808">
        <f>IF(AND(A808&lt;&gt;"",B808="Paused"),COUNTIFS($A$5:A808,"&lt;&gt;",$B$5:B808,"Paused"),"")</f>
        <v/>
      </c>
      <c r="S808">
        <f>IF(M808="Yes",COUNTIF($M$5:M808,"Yes"),"")</f>
        <v/>
      </c>
    </row>
    <row r="809">
      <c r="A809" s="5" t="n"/>
      <c r="B809" s="51" t="n"/>
      <c r="C809" s="5" t="n"/>
      <c r="D809" s="52" t="n"/>
      <c r="E809" s="52" t="n"/>
      <c r="F809" s="52" t="n"/>
      <c r="G809" s="52" t="n"/>
      <c r="H809" s="52" t="n"/>
      <c r="I809" s="52" t="n"/>
      <c r="J809" s="52" t="n"/>
      <c r="K809" s="52" t="n"/>
      <c r="L809" s="51" t="n"/>
      <c r="M809" s="53">
        <f>IF(A809="","",IF(COUNTIF('AFA Rates'!$A$5:$A$1004,A809)&gt;0,"Yes","No"))</f>
        <v/>
      </c>
      <c r="N809" s="53">
        <f>IF(A809="","",COUNTIF('AFA Rates'!$A$5:$A$1004,A809))</f>
        <v/>
      </c>
      <c r="O809" s="54" t="n"/>
      <c r="P809" s="5" t="n"/>
      <c r="Q809" s="5" t="n"/>
      <c r="R809">
        <f>IF(AND(A809&lt;&gt;"",B809="Paused"),COUNTIFS($A$5:A809,"&lt;&gt;",$B$5:B809,"Paused"),"")</f>
        <v/>
      </c>
      <c r="S809">
        <f>IF(M809="Yes",COUNTIF($M$5:M809,"Yes"),"")</f>
        <v/>
      </c>
    </row>
    <row r="810">
      <c r="A810" s="5" t="n"/>
      <c r="B810" s="51" t="n"/>
      <c r="C810" s="5" t="n"/>
      <c r="D810" s="52" t="n"/>
      <c r="E810" s="52" t="n"/>
      <c r="F810" s="52" t="n"/>
      <c r="G810" s="52" t="n"/>
      <c r="H810" s="52" t="n"/>
      <c r="I810" s="52" t="n"/>
      <c r="J810" s="52" t="n"/>
      <c r="K810" s="52" t="n"/>
      <c r="L810" s="51" t="n"/>
      <c r="M810" s="53">
        <f>IF(A810="","",IF(COUNTIF('AFA Rates'!$A$5:$A$1004,A810)&gt;0,"Yes","No"))</f>
        <v/>
      </c>
      <c r="N810" s="53">
        <f>IF(A810="","",COUNTIF('AFA Rates'!$A$5:$A$1004,A810))</f>
        <v/>
      </c>
      <c r="O810" s="54" t="n"/>
      <c r="P810" s="5" t="n"/>
      <c r="Q810" s="5" t="n"/>
      <c r="R810">
        <f>IF(AND(A810&lt;&gt;"",B810="Paused"),COUNTIFS($A$5:A810,"&lt;&gt;",$B$5:B810,"Paused"),"")</f>
        <v/>
      </c>
      <c r="S810">
        <f>IF(M810="Yes",COUNTIF($M$5:M810,"Yes"),"")</f>
        <v/>
      </c>
    </row>
    <row r="811">
      <c r="A811" s="5" t="n"/>
      <c r="B811" s="51" t="n"/>
      <c r="C811" s="5" t="n"/>
      <c r="D811" s="52" t="n"/>
      <c r="E811" s="52" t="n"/>
      <c r="F811" s="52" t="n"/>
      <c r="G811" s="52" t="n"/>
      <c r="H811" s="52" t="n"/>
      <c r="I811" s="52" t="n"/>
      <c r="J811" s="52" t="n"/>
      <c r="K811" s="52" t="n"/>
      <c r="L811" s="51" t="n"/>
      <c r="M811" s="53">
        <f>IF(A811="","",IF(COUNTIF('AFA Rates'!$A$5:$A$1004,A811)&gt;0,"Yes","No"))</f>
        <v/>
      </c>
      <c r="N811" s="53">
        <f>IF(A811="","",COUNTIF('AFA Rates'!$A$5:$A$1004,A811))</f>
        <v/>
      </c>
      <c r="O811" s="54" t="n"/>
      <c r="P811" s="5" t="n"/>
      <c r="Q811" s="5" t="n"/>
      <c r="R811">
        <f>IF(AND(A811&lt;&gt;"",B811="Paused"),COUNTIFS($A$5:A811,"&lt;&gt;",$B$5:B811,"Paused"),"")</f>
        <v/>
      </c>
      <c r="S811">
        <f>IF(M811="Yes",COUNTIF($M$5:M811,"Yes"),"")</f>
        <v/>
      </c>
    </row>
    <row r="812">
      <c r="A812" s="5" t="n"/>
      <c r="B812" s="51" t="n"/>
      <c r="C812" s="5" t="n"/>
      <c r="D812" s="52" t="n"/>
      <c r="E812" s="52" t="n"/>
      <c r="F812" s="52" t="n"/>
      <c r="G812" s="52" t="n"/>
      <c r="H812" s="52" t="n"/>
      <c r="I812" s="52" t="n"/>
      <c r="J812" s="52" t="n"/>
      <c r="K812" s="52" t="n"/>
      <c r="L812" s="51" t="n"/>
      <c r="M812" s="53">
        <f>IF(A812="","",IF(COUNTIF('AFA Rates'!$A$5:$A$1004,A812)&gt;0,"Yes","No"))</f>
        <v/>
      </c>
      <c r="N812" s="53">
        <f>IF(A812="","",COUNTIF('AFA Rates'!$A$5:$A$1004,A812))</f>
        <v/>
      </c>
      <c r="O812" s="54" t="n"/>
      <c r="P812" s="5" t="n"/>
      <c r="Q812" s="5" t="n"/>
      <c r="R812">
        <f>IF(AND(A812&lt;&gt;"",B812="Paused"),COUNTIFS($A$5:A812,"&lt;&gt;",$B$5:B812,"Paused"),"")</f>
        <v/>
      </c>
      <c r="S812">
        <f>IF(M812="Yes",COUNTIF($M$5:M812,"Yes"),"")</f>
        <v/>
      </c>
    </row>
    <row r="813">
      <c r="A813" s="5" t="n"/>
      <c r="B813" s="51" t="n"/>
      <c r="C813" s="5" t="n"/>
      <c r="D813" s="52" t="n"/>
      <c r="E813" s="52" t="n"/>
      <c r="F813" s="52" t="n"/>
      <c r="G813" s="52" t="n"/>
      <c r="H813" s="52" t="n"/>
      <c r="I813" s="52" t="n"/>
      <c r="J813" s="52" t="n"/>
      <c r="K813" s="52" t="n"/>
      <c r="L813" s="51" t="n"/>
      <c r="M813" s="53">
        <f>IF(A813="","",IF(COUNTIF('AFA Rates'!$A$5:$A$1004,A813)&gt;0,"Yes","No"))</f>
        <v/>
      </c>
      <c r="N813" s="53">
        <f>IF(A813="","",COUNTIF('AFA Rates'!$A$5:$A$1004,A813))</f>
        <v/>
      </c>
      <c r="O813" s="54" t="n"/>
      <c r="P813" s="5" t="n"/>
      <c r="Q813" s="5" t="n"/>
      <c r="R813">
        <f>IF(AND(A813&lt;&gt;"",B813="Paused"),COUNTIFS($A$5:A813,"&lt;&gt;",$B$5:B813,"Paused"),"")</f>
        <v/>
      </c>
      <c r="S813">
        <f>IF(M813="Yes",COUNTIF($M$5:M813,"Yes"),"")</f>
        <v/>
      </c>
    </row>
    <row r="814">
      <c r="A814" s="5" t="n"/>
      <c r="B814" s="51" t="n"/>
      <c r="C814" s="5" t="n"/>
      <c r="D814" s="52" t="n"/>
      <c r="E814" s="52" t="n"/>
      <c r="F814" s="52" t="n"/>
      <c r="G814" s="52" t="n"/>
      <c r="H814" s="52" t="n"/>
      <c r="I814" s="52" t="n"/>
      <c r="J814" s="52" t="n"/>
      <c r="K814" s="52" t="n"/>
      <c r="L814" s="51" t="n"/>
      <c r="M814" s="53">
        <f>IF(A814="","",IF(COUNTIF('AFA Rates'!$A$5:$A$1004,A814)&gt;0,"Yes","No"))</f>
        <v/>
      </c>
      <c r="N814" s="53">
        <f>IF(A814="","",COUNTIF('AFA Rates'!$A$5:$A$1004,A814))</f>
        <v/>
      </c>
      <c r="O814" s="54" t="n"/>
      <c r="P814" s="5" t="n"/>
      <c r="Q814" s="5" t="n"/>
      <c r="R814">
        <f>IF(AND(A814&lt;&gt;"",B814="Paused"),COUNTIFS($A$5:A814,"&lt;&gt;",$B$5:B814,"Paused"),"")</f>
        <v/>
      </c>
      <c r="S814">
        <f>IF(M814="Yes",COUNTIF($M$5:M814,"Yes"),"")</f>
        <v/>
      </c>
    </row>
    <row r="815">
      <c r="A815" s="5" t="n"/>
      <c r="B815" s="51" t="n"/>
      <c r="C815" s="5" t="n"/>
      <c r="D815" s="52" t="n"/>
      <c r="E815" s="52" t="n"/>
      <c r="F815" s="52" t="n"/>
      <c r="G815" s="52" t="n"/>
      <c r="H815" s="52" t="n"/>
      <c r="I815" s="52" t="n"/>
      <c r="J815" s="52" t="n"/>
      <c r="K815" s="52" t="n"/>
      <c r="L815" s="51" t="n"/>
      <c r="M815" s="53">
        <f>IF(A815="","",IF(COUNTIF('AFA Rates'!$A$5:$A$1004,A815)&gt;0,"Yes","No"))</f>
        <v/>
      </c>
      <c r="N815" s="53">
        <f>IF(A815="","",COUNTIF('AFA Rates'!$A$5:$A$1004,A815))</f>
        <v/>
      </c>
      <c r="O815" s="54" t="n"/>
      <c r="P815" s="5" t="n"/>
      <c r="Q815" s="5" t="n"/>
      <c r="R815">
        <f>IF(AND(A815&lt;&gt;"",B815="Paused"),COUNTIFS($A$5:A815,"&lt;&gt;",$B$5:B815,"Paused"),"")</f>
        <v/>
      </c>
      <c r="S815">
        <f>IF(M815="Yes",COUNTIF($M$5:M815,"Yes"),"")</f>
        <v/>
      </c>
    </row>
    <row r="816">
      <c r="A816" s="5" t="n"/>
      <c r="B816" s="51" t="n"/>
      <c r="C816" s="5" t="n"/>
      <c r="D816" s="52" t="n"/>
      <c r="E816" s="52" t="n"/>
      <c r="F816" s="52" t="n"/>
      <c r="G816" s="52" t="n"/>
      <c r="H816" s="52" t="n"/>
      <c r="I816" s="52" t="n"/>
      <c r="J816" s="52" t="n"/>
      <c r="K816" s="52" t="n"/>
      <c r="L816" s="51" t="n"/>
      <c r="M816" s="53">
        <f>IF(A816="","",IF(COUNTIF('AFA Rates'!$A$5:$A$1004,A816)&gt;0,"Yes","No"))</f>
        <v/>
      </c>
      <c r="N816" s="53">
        <f>IF(A816="","",COUNTIF('AFA Rates'!$A$5:$A$1004,A816))</f>
        <v/>
      </c>
      <c r="O816" s="54" t="n"/>
      <c r="P816" s="5" t="n"/>
      <c r="Q816" s="5" t="n"/>
      <c r="R816">
        <f>IF(AND(A816&lt;&gt;"",B816="Paused"),COUNTIFS($A$5:A816,"&lt;&gt;",$B$5:B816,"Paused"),"")</f>
        <v/>
      </c>
      <c r="S816">
        <f>IF(M816="Yes",COUNTIF($M$5:M816,"Yes"),"")</f>
        <v/>
      </c>
    </row>
    <row r="817">
      <c r="A817" s="5" t="n"/>
      <c r="B817" s="51" t="n"/>
      <c r="C817" s="5" t="n"/>
      <c r="D817" s="52" t="n"/>
      <c r="E817" s="52" t="n"/>
      <c r="F817" s="52" t="n"/>
      <c r="G817" s="52" t="n"/>
      <c r="H817" s="52" t="n"/>
      <c r="I817" s="52" t="n"/>
      <c r="J817" s="52" t="n"/>
      <c r="K817" s="52" t="n"/>
      <c r="L817" s="51" t="n"/>
      <c r="M817" s="53">
        <f>IF(A817="","",IF(COUNTIF('AFA Rates'!$A$5:$A$1004,A817)&gt;0,"Yes","No"))</f>
        <v/>
      </c>
      <c r="N817" s="53">
        <f>IF(A817="","",COUNTIF('AFA Rates'!$A$5:$A$1004,A817))</f>
        <v/>
      </c>
      <c r="O817" s="54" t="n"/>
      <c r="P817" s="5" t="n"/>
      <c r="Q817" s="5" t="n"/>
      <c r="R817">
        <f>IF(AND(A817&lt;&gt;"",B817="Paused"),COUNTIFS($A$5:A817,"&lt;&gt;",$B$5:B817,"Paused"),"")</f>
        <v/>
      </c>
      <c r="S817">
        <f>IF(M817="Yes",COUNTIF($M$5:M817,"Yes"),"")</f>
        <v/>
      </c>
    </row>
    <row r="818">
      <c r="A818" s="5" t="n"/>
      <c r="B818" s="51" t="n"/>
      <c r="C818" s="5" t="n"/>
      <c r="D818" s="52" t="n"/>
      <c r="E818" s="52" t="n"/>
      <c r="F818" s="52" t="n"/>
      <c r="G818" s="52" t="n"/>
      <c r="H818" s="52" t="n"/>
      <c r="I818" s="52" t="n"/>
      <c r="J818" s="52" t="n"/>
      <c r="K818" s="52" t="n"/>
      <c r="L818" s="51" t="n"/>
      <c r="M818" s="53">
        <f>IF(A818="","",IF(COUNTIF('AFA Rates'!$A$5:$A$1004,A818)&gt;0,"Yes","No"))</f>
        <v/>
      </c>
      <c r="N818" s="53">
        <f>IF(A818="","",COUNTIF('AFA Rates'!$A$5:$A$1004,A818))</f>
        <v/>
      </c>
      <c r="O818" s="54" t="n"/>
      <c r="P818" s="5" t="n"/>
      <c r="Q818" s="5" t="n"/>
      <c r="R818">
        <f>IF(AND(A818&lt;&gt;"",B818="Paused"),COUNTIFS($A$5:A818,"&lt;&gt;",$B$5:B818,"Paused"),"")</f>
        <v/>
      </c>
      <c r="S818">
        <f>IF(M818="Yes",COUNTIF($M$5:M818,"Yes"),"")</f>
        <v/>
      </c>
    </row>
    <row r="819">
      <c r="A819" s="5" t="n"/>
      <c r="B819" s="51" t="n"/>
      <c r="C819" s="5" t="n"/>
      <c r="D819" s="52" t="n"/>
      <c r="E819" s="52" t="n"/>
      <c r="F819" s="52" t="n"/>
      <c r="G819" s="52" t="n"/>
      <c r="H819" s="52" t="n"/>
      <c r="I819" s="52" t="n"/>
      <c r="J819" s="52" t="n"/>
      <c r="K819" s="52" t="n"/>
      <c r="L819" s="51" t="n"/>
      <c r="M819" s="53">
        <f>IF(A819="","",IF(COUNTIF('AFA Rates'!$A$5:$A$1004,A819)&gt;0,"Yes","No"))</f>
        <v/>
      </c>
      <c r="N819" s="53">
        <f>IF(A819="","",COUNTIF('AFA Rates'!$A$5:$A$1004,A819))</f>
        <v/>
      </c>
      <c r="O819" s="54" t="n"/>
      <c r="P819" s="5" t="n"/>
      <c r="Q819" s="5" t="n"/>
      <c r="R819">
        <f>IF(AND(A819&lt;&gt;"",B819="Paused"),COUNTIFS($A$5:A819,"&lt;&gt;",$B$5:B819,"Paused"),"")</f>
        <v/>
      </c>
      <c r="S819">
        <f>IF(M819="Yes",COUNTIF($M$5:M819,"Yes"),"")</f>
        <v/>
      </c>
    </row>
    <row r="820">
      <c r="A820" s="5" t="n"/>
      <c r="B820" s="51" t="n"/>
      <c r="C820" s="5" t="n"/>
      <c r="D820" s="52" t="n"/>
      <c r="E820" s="52" t="n"/>
      <c r="F820" s="52" t="n"/>
      <c r="G820" s="52" t="n"/>
      <c r="H820" s="52" t="n"/>
      <c r="I820" s="52" t="n"/>
      <c r="J820" s="52" t="n"/>
      <c r="K820" s="52" t="n"/>
      <c r="L820" s="51" t="n"/>
      <c r="M820" s="53">
        <f>IF(A820="","",IF(COUNTIF('AFA Rates'!$A$5:$A$1004,A820)&gt;0,"Yes","No"))</f>
        <v/>
      </c>
      <c r="N820" s="53">
        <f>IF(A820="","",COUNTIF('AFA Rates'!$A$5:$A$1004,A820))</f>
        <v/>
      </c>
      <c r="O820" s="54" t="n"/>
      <c r="P820" s="5" t="n"/>
      <c r="Q820" s="5" t="n"/>
      <c r="R820">
        <f>IF(AND(A820&lt;&gt;"",B820="Paused"),COUNTIFS($A$5:A820,"&lt;&gt;",$B$5:B820,"Paused"),"")</f>
        <v/>
      </c>
      <c r="S820">
        <f>IF(M820="Yes",COUNTIF($M$5:M820,"Yes"),"")</f>
        <v/>
      </c>
    </row>
    <row r="821">
      <c r="A821" s="5" t="n"/>
      <c r="B821" s="51" t="n"/>
      <c r="C821" s="5" t="n"/>
      <c r="D821" s="52" t="n"/>
      <c r="E821" s="52" t="n"/>
      <c r="F821" s="52" t="n"/>
      <c r="G821" s="52" t="n"/>
      <c r="H821" s="52" t="n"/>
      <c r="I821" s="52" t="n"/>
      <c r="J821" s="52" t="n"/>
      <c r="K821" s="52" t="n"/>
      <c r="L821" s="51" t="n"/>
      <c r="M821" s="53">
        <f>IF(A821="","",IF(COUNTIF('AFA Rates'!$A$5:$A$1004,A821)&gt;0,"Yes","No"))</f>
        <v/>
      </c>
      <c r="N821" s="53">
        <f>IF(A821="","",COUNTIF('AFA Rates'!$A$5:$A$1004,A821))</f>
        <v/>
      </c>
      <c r="O821" s="54" t="n"/>
      <c r="P821" s="5" t="n"/>
      <c r="Q821" s="5" t="n"/>
      <c r="R821">
        <f>IF(AND(A821&lt;&gt;"",B821="Paused"),COUNTIFS($A$5:A821,"&lt;&gt;",$B$5:B821,"Paused"),"")</f>
        <v/>
      </c>
      <c r="S821">
        <f>IF(M821="Yes",COUNTIF($M$5:M821,"Yes"),"")</f>
        <v/>
      </c>
    </row>
    <row r="822">
      <c r="A822" s="5" t="n"/>
      <c r="B822" s="51" t="n"/>
      <c r="C822" s="5" t="n"/>
      <c r="D822" s="52" t="n"/>
      <c r="E822" s="52" t="n"/>
      <c r="F822" s="52" t="n"/>
      <c r="G822" s="52" t="n"/>
      <c r="H822" s="52" t="n"/>
      <c r="I822" s="52" t="n"/>
      <c r="J822" s="52" t="n"/>
      <c r="K822" s="52" t="n"/>
      <c r="L822" s="51" t="n"/>
      <c r="M822" s="53">
        <f>IF(A822="","",IF(COUNTIF('AFA Rates'!$A$5:$A$1004,A822)&gt;0,"Yes","No"))</f>
        <v/>
      </c>
      <c r="N822" s="53">
        <f>IF(A822="","",COUNTIF('AFA Rates'!$A$5:$A$1004,A822))</f>
        <v/>
      </c>
      <c r="O822" s="54" t="n"/>
      <c r="P822" s="5" t="n"/>
      <c r="Q822" s="5" t="n"/>
      <c r="R822">
        <f>IF(AND(A822&lt;&gt;"",B822="Paused"),COUNTIFS($A$5:A822,"&lt;&gt;",$B$5:B822,"Paused"),"")</f>
        <v/>
      </c>
      <c r="S822">
        <f>IF(M822="Yes",COUNTIF($M$5:M822,"Yes"),"")</f>
        <v/>
      </c>
    </row>
    <row r="823">
      <c r="A823" s="5" t="n"/>
      <c r="B823" s="51" t="n"/>
      <c r="C823" s="5" t="n"/>
      <c r="D823" s="52" t="n"/>
      <c r="E823" s="52" t="n"/>
      <c r="F823" s="52" t="n"/>
      <c r="G823" s="52" t="n"/>
      <c r="H823" s="52" t="n"/>
      <c r="I823" s="52" t="n"/>
      <c r="J823" s="52" t="n"/>
      <c r="K823" s="52" t="n"/>
      <c r="L823" s="51" t="n"/>
      <c r="M823" s="53">
        <f>IF(A823="","",IF(COUNTIF('AFA Rates'!$A$5:$A$1004,A823)&gt;0,"Yes","No"))</f>
        <v/>
      </c>
      <c r="N823" s="53">
        <f>IF(A823="","",COUNTIF('AFA Rates'!$A$5:$A$1004,A823))</f>
        <v/>
      </c>
      <c r="O823" s="54" t="n"/>
      <c r="P823" s="5" t="n"/>
      <c r="Q823" s="5" t="n"/>
      <c r="R823">
        <f>IF(AND(A823&lt;&gt;"",B823="Paused"),COUNTIFS($A$5:A823,"&lt;&gt;",$B$5:B823,"Paused"),"")</f>
        <v/>
      </c>
      <c r="S823">
        <f>IF(M823="Yes",COUNTIF($M$5:M823,"Yes"),"")</f>
        <v/>
      </c>
    </row>
    <row r="824">
      <c r="A824" s="5" t="n"/>
      <c r="B824" s="51" t="n"/>
      <c r="C824" s="5" t="n"/>
      <c r="D824" s="52" t="n"/>
      <c r="E824" s="52" t="n"/>
      <c r="F824" s="52" t="n"/>
      <c r="G824" s="52" t="n"/>
      <c r="H824" s="52" t="n"/>
      <c r="I824" s="52" t="n"/>
      <c r="J824" s="52" t="n"/>
      <c r="K824" s="52" t="n"/>
      <c r="L824" s="51" t="n"/>
      <c r="M824" s="53">
        <f>IF(A824="","",IF(COUNTIF('AFA Rates'!$A$5:$A$1004,A824)&gt;0,"Yes","No"))</f>
        <v/>
      </c>
      <c r="N824" s="53">
        <f>IF(A824="","",COUNTIF('AFA Rates'!$A$5:$A$1004,A824))</f>
        <v/>
      </c>
      <c r="O824" s="54" t="n"/>
      <c r="P824" s="5" t="n"/>
      <c r="Q824" s="5" t="n"/>
      <c r="R824">
        <f>IF(AND(A824&lt;&gt;"",B824="Paused"),COUNTIFS($A$5:A824,"&lt;&gt;",$B$5:B824,"Paused"),"")</f>
        <v/>
      </c>
      <c r="S824">
        <f>IF(M824="Yes",COUNTIF($M$5:M824,"Yes"),"")</f>
        <v/>
      </c>
    </row>
    <row r="825">
      <c r="A825" s="5" t="n"/>
      <c r="B825" s="51" t="n"/>
      <c r="C825" s="5" t="n"/>
      <c r="D825" s="52" t="n"/>
      <c r="E825" s="52" t="n"/>
      <c r="F825" s="52" t="n"/>
      <c r="G825" s="52" t="n"/>
      <c r="H825" s="52" t="n"/>
      <c r="I825" s="52" t="n"/>
      <c r="J825" s="52" t="n"/>
      <c r="K825" s="52" t="n"/>
      <c r="L825" s="51" t="n"/>
      <c r="M825" s="53">
        <f>IF(A825="","",IF(COUNTIF('AFA Rates'!$A$5:$A$1004,A825)&gt;0,"Yes","No"))</f>
        <v/>
      </c>
      <c r="N825" s="53">
        <f>IF(A825="","",COUNTIF('AFA Rates'!$A$5:$A$1004,A825))</f>
        <v/>
      </c>
      <c r="O825" s="54" t="n"/>
      <c r="P825" s="5" t="n"/>
      <c r="Q825" s="5" t="n"/>
      <c r="R825">
        <f>IF(AND(A825&lt;&gt;"",B825="Paused"),COUNTIFS($A$5:A825,"&lt;&gt;",$B$5:B825,"Paused"),"")</f>
        <v/>
      </c>
      <c r="S825">
        <f>IF(M825="Yes",COUNTIF($M$5:M825,"Yes"),"")</f>
        <v/>
      </c>
    </row>
    <row r="826">
      <c r="A826" s="5" t="n"/>
      <c r="B826" s="51" t="n"/>
      <c r="C826" s="5" t="n"/>
      <c r="D826" s="52" t="n"/>
      <c r="E826" s="52" t="n"/>
      <c r="F826" s="52" t="n"/>
      <c r="G826" s="52" t="n"/>
      <c r="H826" s="52" t="n"/>
      <c r="I826" s="52" t="n"/>
      <c r="J826" s="52" t="n"/>
      <c r="K826" s="52" t="n"/>
      <c r="L826" s="51" t="n"/>
      <c r="M826" s="53">
        <f>IF(A826="","",IF(COUNTIF('AFA Rates'!$A$5:$A$1004,A826)&gt;0,"Yes","No"))</f>
        <v/>
      </c>
      <c r="N826" s="53">
        <f>IF(A826="","",COUNTIF('AFA Rates'!$A$5:$A$1004,A826))</f>
        <v/>
      </c>
      <c r="O826" s="54" t="n"/>
      <c r="P826" s="5" t="n"/>
      <c r="Q826" s="5" t="n"/>
      <c r="R826">
        <f>IF(AND(A826&lt;&gt;"",B826="Paused"),COUNTIFS($A$5:A826,"&lt;&gt;",$B$5:B826,"Paused"),"")</f>
        <v/>
      </c>
      <c r="S826">
        <f>IF(M826="Yes",COUNTIF($M$5:M826,"Yes"),"")</f>
        <v/>
      </c>
    </row>
    <row r="827">
      <c r="A827" s="5" t="n"/>
      <c r="B827" s="51" t="n"/>
      <c r="C827" s="5" t="n"/>
      <c r="D827" s="52" t="n"/>
      <c r="E827" s="52" t="n"/>
      <c r="F827" s="52" t="n"/>
      <c r="G827" s="52" t="n"/>
      <c r="H827" s="52" t="n"/>
      <c r="I827" s="52" t="n"/>
      <c r="J827" s="52" t="n"/>
      <c r="K827" s="52" t="n"/>
      <c r="L827" s="51" t="n"/>
      <c r="M827" s="53">
        <f>IF(A827="","",IF(COUNTIF('AFA Rates'!$A$5:$A$1004,A827)&gt;0,"Yes","No"))</f>
        <v/>
      </c>
      <c r="N827" s="53">
        <f>IF(A827="","",COUNTIF('AFA Rates'!$A$5:$A$1004,A827))</f>
        <v/>
      </c>
      <c r="O827" s="54" t="n"/>
      <c r="P827" s="5" t="n"/>
      <c r="Q827" s="5" t="n"/>
      <c r="R827">
        <f>IF(AND(A827&lt;&gt;"",B827="Paused"),COUNTIFS($A$5:A827,"&lt;&gt;",$B$5:B827,"Paused"),"")</f>
        <v/>
      </c>
      <c r="S827">
        <f>IF(M827="Yes",COUNTIF($M$5:M827,"Yes"),"")</f>
        <v/>
      </c>
    </row>
    <row r="828">
      <c r="A828" s="5" t="n"/>
      <c r="B828" s="51" t="n"/>
      <c r="C828" s="5" t="n"/>
      <c r="D828" s="52" t="n"/>
      <c r="E828" s="52" t="n"/>
      <c r="F828" s="52" t="n"/>
      <c r="G828" s="52" t="n"/>
      <c r="H828" s="52" t="n"/>
      <c r="I828" s="52" t="n"/>
      <c r="J828" s="52" t="n"/>
      <c r="K828" s="52" t="n"/>
      <c r="L828" s="51" t="n"/>
      <c r="M828" s="53">
        <f>IF(A828="","",IF(COUNTIF('AFA Rates'!$A$5:$A$1004,A828)&gt;0,"Yes","No"))</f>
        <v/>
      </c>
      <c r="N828" s="53">
        <f>IF(A828="","",COUNTIF('AFA Rates'!$A$5:$A$1004,A828))</f>
        <v/>
      </c>
      <c r="O828" s="54" t="n"/>
      <c r="P828" s="5" t="n"/>
      <c r="Q828" s="5" t="n"/>
      <c r="R828">
        <f>IF(AND(A828&lt;&gt;"",B828="Paused"),COUNTIFS($A$5:A828,"&lt;&gt;",$B$5:B828,"Paused"),"")</f>
        <v/>
      </c>
      <c r="S828">
        <f>IF(M828="Yes",COUNTIF($M$5:M828,"Yes"),"")</f>
        <v/>
      </c>
    </row>
    <row r="829">
      <c r="A829" s="5" t="n"/>
      <c r="B829" s="51" t="n"/>
      <c r="C829" s="5" t="n"/>
      <c r="D829" s="52" t="n"/>
      <c r="E829" s="52" t="n"/>
      <c r="F829" s="52" t="n"/>
      <c r="G829" s="52" t="n"/>
      <c r="H829" s="52" t="n"/>
      <c r="I829" s="52" t="n"/>
      <c r="J829" s="52" t="n"/>
      <c r="K829" s="52" t="n"/>
      <c r="L829" s="51" t="n"/>
      <c r="M829" s="53">
        <f>IF(A829="","",IF(COUNTIF('AFA Rates'!$A$5:$A$1004,A829)&gt;0,"Yes","No"))</f>
        <v/>
      </c>
      <c r="N829" s="53">
        <f>IF(A829="","",COUNTIF('AFA Rates'!$A$5:$A$1004,A829))</f>
        <v/>
      </c>
      <c r="O829" s="54" t="n"/>
      <c r="P829" s="5" t="n"/>
      <c r="Q829" s="5" t="n"/>
      <c r="R829">
        <f>IF(AND(A829&lt;&gt;"",B829="Paused"),COUNTIFS($A$5:A829,"&lt;&gt;",$B$5:B829,"Paused"),"")</f>
        <v/>
      </c>
      <c r="S829">
        <f>IF(M829="Yes",COUNTIF($M$5:M829,"Yes"),"")</f>
        <v/>
      </c>
    </row>
    <row r="830">
      <c r="A830" s="5" t="n"/>
      <c r="B830" s="51" t="n"/>
      <c r="C830" s="5" t="n"/>
      <c r="D830" s="52" t="n"/>
      <c r="E830" s="52" t="n"/>
      <c r="F830" s="52" t="n"/>
      <c r="G830" s="52" t="n"/>
      <c r="H830" s="52" t="n"/>
      <c r="I830" s="52" t="n"/>
      <c r="J830" s="52" t="n"/>
      <c r="K830" s="52" t="n"/>
      <c r="L830" s="51" t="n"/>
      <c r="M830" s="53">
        <f>IF(A830="","",IF(COUNTIF('AFA Rates'!$A$5:$A$1004,A830)&gt;0,"Yes","No"))</f>
        <v/>
      </c>
      <c r="N830" s="53">
        <f>IF(A830="","",COUNTIF('AFA Rates'!$A$5:$A$1004,A830))</f>
        <v/>
      </c>
      <c r="O830" s="54" t="n"/>
      <c r="P830" s="5" t="n"/>
      <c r="Q830" s="5" t="n"/>
      <c r="R830">
        <f>IF(AND(A830&lt;&gt;"",B830="Paused"),COUNTIFS($A$5:A830,"&lt;&gt;",$B$5:B830,"Paused"),"")</f>
        <v/>
      </c>
      <c r="S830">
        <f>IF(M830="Yes",COUNTIF($M$5:M830,"Yes"),"")</f>
        <v/>
      </c>
    </row>
    <row r="831">
      <c r="A831" s="5" t="n"/>
      <c r="B831" s="51" t="n"/>
      <c r="C831" s="5" t="n"/>
      <c r="D831" s="52" t="n"/>
      <c r="E831" s="52" t="n"/>
      <c r="F831" s="52" t="n"/>
      <c r="G831" s="52" t="n"/>
      <c r="H831" s="52" t="n"/>
      <c r="I831" s="52" t="n"/>
      <c r="J831" s="52" t="n"/>
      <c r="K831" s="52" t="n"/>
      <c r="L831" s="51" t="n"/>
      <c r="M831" s="53">
        <f>IF(A831="","",IF(COUNTIF('AFA Rates'!$A$5:$A$1004,A831)&gt;0,"Yes","No"))</f>
        <v/>
      </c>
      <c r="N831" s="53">
        <f>IF(A831="","",COUNTIF('AFA Rates'!$A$5:$A$1004,A831))</f>
        <v/>
      </c>
      <c r="O831" s="54" t="n"/>
      <c r="P831" s="5" t="n"/>
      <c r="Q831" s="5" t="n"/>
      <c r="R831">
        <f>IF(AND(A831&lt;&gt;"",B831="Paused"),COUNTIFS($A$5:A831,"&lt;&gt;",$B$5:B831,"Paused"),"")</f>
        <v/>
      </c>
      <c r="S831">
        <f>IF(M831="Yes",COUNTIF($M$5:M831,"Yes"),"")</f>
        <v/>
      </c>
    </row>
    <row r="832">
      <c r="A832" s="5" t="n"/>
      <c r="B832" s="51" t="n"/>
      <c r="C832" s="5" t="n"/>
      <c r="D832" s="52" t="n"/>
      <c r="E832" s="52" t="n"/>
      <c r="F832" s="52" t="n"/>
      <c r="G832" s="52" t="n"/>
      <c r="H832" s="52" t="n"/>
      <c r="I832" s="52" t="n"/>
      <c r="J832" s="52" t="n"/>
      <c r="K832" s="52" t="n"/>
      <c r="L832" s="51" t="n"/>
      <c r="M832" s="53">
        <f>IF(A832="","",IF(COUNTIF('AFA Rates'!$A$5:$A$1004,A832)&gt;0,"Yes","No"))</f>
        <v/>
      </c>
      <c r="N832" s="53">
        <f>IF(A832="","",COUNTIF('AFA Rates'!$A$5:$A$1004,A832))</f>
        <v/>
      </c>
      <c r="O832" s="54" t="n"/>
      <c r="P832" s="5" t="n"/>
      <c r="Q832" s="5" t="n"/>
      <c r="R832">
        <f>IF(AND(A832&lt;&gt;"",B832="Paused"),COUNTIFS($A$5:A832,"&lt;&gt;",$B$5:B832,"Paused"),"")</f>
        <v/>
      </c>
      <c r="S832">
        <f>IF(M832="Yes",COUNTIF($M$5:M832,"Yes"),"")</f>
        <v/>
      </c>
    </row>
    <row r="833">
      <c r="A833" s="5" t="n"/>
      <c r="B833" s="51" t="n"/>
      <c r="C833" s="5" t="n"/>
      <c r="D833" s="52" t="n"/>
      <c r="E833" s="52" t="n"/>
      <c r="F833" s="52" t="n"/>
      <c r="G833" s="52" t="n"/>
      <c r="H833" s="52" t="n"/>
      <c r="I833" s="52" t="n"/>
      <c r="J833" s="52" t="n"/>
      <c r="K833" s="52" t="n"/>
      <c r="L833" s="51" t="n"/>
      <c r="M833" s="53">
        <f>IF(A833="","",IF(COUNTIF('AFA Rates'!$A$5:$A$1004,A833)&gt;0,"Yes","No"))</f>
        <v/>
      </c>
      <c r="N833" s="53">
        <f>IF(A833="","",COUNTIF('AFA Rates'!$A$5:$A$1004,A833))</f>
        <v/>
      </c>
      <c r="O833" s="54" t="n"/>
      <c r="P833" s="5" t="n"/>
      <c r="Q833" s="5" t="n"/>
      <c r="R833">
        <f>IF(AND(A833&lt;&gt;"",B833="Paused"),COUNTIFS($A$5:A833,"&lt;&gt;",$B$5:B833,"Paused"),"")</f>
        <v/>
      </c>
      <c r="S833">
        <f>IF(M833="Yes",COUNTIF($M$5:M833,"Yes"),"")</f>
        <v/>
      </c>
    </row>
    <row r="834">
      <c r="A834" s="5" t="n"/>
      <c r="B834" s="51" t="n"/>
      <c r="C834" s="5" t="n"/>
      <c r="D834" s="52" t="n"/>
      <c r="E834" s="52" t="n"/>
      <c r="F834" s="52" t="n"/>
      <c r="G834" s="52" t="n"/>
      <c r="H834" s="52" t="n"/>
      <c r="I834" s="52" t="n"/>
      <c r="J834" s="52" t="n"/>
      <c r="K834" s="52" t="n"/>
      <c r="L834" s="51" t="n"/>
      <c r="M834" s="53">
        <f>IF(A834="","",IF(COUNTIF('AFA Rates'!$A$5:$A$1004,A834)&gt;0,"Yes","No"))</f>
        <v/>
      </c>
      <c r="N834" s="53">
        <f>IF(A834="","",COUNTIF('AFA Rates'!$A$5:$A$1004,A834))</f>
        <v/>
      </c>
      <c r="O834" s="54" t="n"/>
      <c r="P834" s="5" t="n"/>
      <c r="Q834" s="5" t="n"/>
      <c r="R834">
        <f>IF(AND(A834&lt;&gt;"",B834="Paused"),COUNTIFS($A$5:A834,"&lt;&gt;",$B$5:B834,"Paused"),"")</f>
        <v/>
      </c>
      <c r="S834">
        <f>IF(M834="Yes",COUNTIF($M$5:M834,"Yes"),"")</f>
        <v/>
      </c>
    </row>
    <row r="835">
      <c r="A835" s="5" t="n"/>
      <c r="B835" s="51" t="n"/>
      <c r="C835" s="5" t="n"/>
      <c r="D835" s="52" t="n"/>
      <c r="E835" s="52" t="n"/>
      <c r="F835" s="52" t="n"/>
      <c r="G835" s="52" t="n"/>
      <c r="H835" s="52" t="n"/>
      <c r="I835" s="52" t="n"/>
      <c r="J835" s="52" t="n"/>
      <c r="K835" s="52" t="n"/>
      <c r="L835" s="51" t="n"/>
      <c r="M835" s="53">
        <f>IF(A835="","",IF(COUNTIF('AFA Rates'!$A$5:$A$1004,A835)&gt;0,"Yes","No"))</f>
        <v/>
      </c>
      <c r="N835" s="53">
        <f>IF(A835="","",COUNTIF('AFA Rates'!$A$5:$A$1004,A835))</f>
        <v/>
      </c>
      <c r="O835" s="54" t="n"/>
      <c r="P835" s="5" t="n"/>
      <c r="Q835" s="5" t="n"/>
      <c r="R835">
        <f>IF(AND(A835&lt;&gt;"",B835="Paused"),COUNTIFS($A$5:A835,"&lt;&gt;",$B$5:B835,"Paused"),"")</f>
        <v/>
      </c>
      <c r="S835">
        <f>IF(M835="Yes",COUNTIF($M$5:M835,"Yes"),"")</f>
        <v/>
      </c>
    </row>
    <row r="836">
      <c r="A836" s="5" t="n"/>
      <c r="B836" s="51" t="n"/>
      <c r="C836" s="5" t="n"/>
      <c r="D836" s="52" t="n"/>
      <c r="E836" s="52" t="n"/>
      <c r="F836" s="52" t="n"/>
      <c r="G836" s="52" t="n"/>
      <c r="H836" s="52" t="n"/>
      <c r="I836" s="52" t="n"/>
      <c r="J836" s="52" t="n"/>
      <c r="K836" s="52" t="n"/>
      <c r="L836" s="51" t="n"/>
      <c r="M836" s="53">
        <f>IF(A836="","",IF(COUNTIF('AFA Rates'!$A$5:$A$1004,A836)&gt;0,"Yes","No"))</f>
        <v/>
      </c>
      <c r="N836" s="53">
        <f>IF(A836="","",COUNTIF('AFA Rates'!$A$5:$A$1004,A836))</f>
        <v/>
      </c>
      <c r="O836" s="54" t="n"/>
      <c r="P836" s="5" t="n"/>
      <c r="Q836" s="5" t="n"/>
      <c r="R836">
        <f>IF(AND(A836&lt;&gt;"",B836="Paused"),COUNTIFS($A$5:A836,"&lt;&gt;",$B$5:B836,"Paused"),"")</f>
        <v/>
      </c>
      <c r="S836">
        <f>IF(M836="Yes",COUNTIF($M$5:M836,"Yes"),"")</f>
        <v/>
      </c>
    </row>
    <row r="837">
      <c r="A837" s="5" t="n"/>
      <c r="B837" s="51" t="n"/>
      <c r="C837" s="5" t="n"/>
      <c r="D837" s="52" t="n"/>
      <c r="E837" s="52" t="n"/>
      <c r="F837" s="52" t="n"/>
      <c r="G837" s="52" t="n"/>
      <c r="H837" s="52" t="n"/>
      <c r="I837" s="52" t="n"/>
      <c r="J837" s="52" t="n"/>
      <c r="K837" s="52" t="n"/>
      <c r="L837" s="51" t="n"/>
      <c r="M837" s="53">
        <f>IF(A837="","",IF(COUNTIF('AFA Rates'!$A$5:$A$1004,A837)&gt;0,"Yes","No"))</f>
        <v/>
      </c>
      <c r="N837" s="53">
        <f>IF(A837="","",COUNTIF('AFA Rates'!$A$5:$A$1004,A837))</f>
        <v/>
      </c>
      <c r="O837" s="54" t="n"/>
      <c r="P837" s="5" t="n"/>
      <c r="Q837" s="5" t="n"/>
      <c r="R837">
        <f>IF(AND(A837&lt;&gt;"",B837="Paused"),COUNTIFS($A$5:A837,"&lt;&gt;",$B$5:B837,"Paused"),"")</f>
        <v/>
      </c>
      <c r="S837">
        <f>IF(M837="Yes",COUNTIF($M$5:M837,"Yes"),"")</f>
        <v/>
      </c>
    </row>
    <row r="838">
      <c r="A838" s="5" t="n"/>
      <c r="B838" s="51" t="n"/>
      <c r="C838" s="5" t="n"/>
      <c r="D838" s="52" t="n"/>
      <c r="E838" s="52" t="n"/>
      <c r="F838" s="52" t="n"/>
      <c r="G838" s="52" t="n"/>
      <c r="H838" s="52" t="n"/>
      <c r="I838" s="52" t="n"/>
      <c r="J838" s="52" t="n"/>
      <c r="K838" s="52" t="n"/>
      <c r="L838" s="51" t="n"/>
      <c r="M838" s="53">
        <f>IF(A838="","",IF(COUNTIF('AFA Rates'!$A$5:$A$1004,A838)&gt;0,"Yes","No"))</f>
        <v/>
      </c>
      <c r="N838" s="53">
        <f>IF(A838="","",COUNTIF('AFA Rates'!$A$5:$A$1004,A838))</f>
        <v/>
      </c>
      <c r="O838" s="54" t="n"/>
      <c r="P838" s="5" t="n"/>
      <c r="Q838" s="5" t="n"/>
      <c r="R838">
        <f>IF(AND(A838&lt;&gt;"",B838="Paused"),COUNTIFS($A$5:A838,"&lt;&gt;",$B$5:B838,"Paused"),"")</f>
        <v/>
      </c>
      <c r="S838">
        <f>IF(M838="Yes",COUNTIF($M$5:M838,"Yes"),"")</f>
        <v/>
      </c>
    </row>
    <row r="839">
      <c r="A839" s="5" t="n"/>
      <c r="B839" s="51" t="n"/>
      <c r="C839" s="5" t="n"/>
      <c r="D839" s="52" t="n"/>
      <c r="E839" s="52" t="n"/>
      <c r="F839" s="52" t="n"/>
      <c r="G839" s="52" t="n"/>
      <c r="H839" s="52" t="n"/>
      <c r="I839" s="52" t="n"/>
      <c r="J839" s="52" t="n"/>
      <c r="K839" s="52" t="n"/>
      <c r="L839" s="51" t="n"/>
      <c r="M839" s="53">
        <f>IF(A839="","",IF(COUNTIF('AFA Rates'!$A$5:$A$1004,A839)&gt;0,"Yes","No"))</f>
        <v/>
      </c>
      <c r="N839" s="53">
        <f>IF(A839="","",COUNTIF('AFA Rates'!$A$5:$A$1004,A839))</f>
        <v/>
      </c>
      <c r="O839" s="54" t="n"/>
      <c r="P839" s="5" t="n"/>
      <c r="Q839" s="5" t="n"/>
      <c r="R839">
        <f>IF(AND(A839&lt;&gt;"",B839="Paused"),COUNTIFS($A$5:A839,"&lt;&gt;",$B$5:B839,"Paused"),"")</f>
        <v/>
      </c>
      <c r="S839">
        <f>IF(M839="Yes",COUNTIF($M$5:M839,"Yes"),"")</f>
        <v/>
      </c>
    </row>
    <row r="840">
      <c r="A840" s="5" t="n"/>
      <c r="B840" s="51" t="n"/>
      <c r="C840" s="5" t="n"/>
      <c r="D840" s="52" t="n"/>
      <c r="E840" s="52" t="n"/>
      <c r="F840" s="52" t="n"/>
      <c r="G840" s="52" t="n"/>
      <c r="H840" s="52" t="n"/>
      <c r="I840" s="52" t="n"/>
      <c r="J840" s="52" t="n"/>
      <c r="K840" s="52" t="n"/>
      <c r="L840" s="51" t="n"/>
      <c r="M840" s="53">
        <f>IF(A840="","",IF(COUNTIF('AFA Rates'!$A$5:$A$1004,A840)&gt;0,"Yes","No"))</f>
        <v/>
      </c>
      <c r="N840" s="53">
        <f>IF(A840="","",COUNTIF('AFA Rates'!$A$5:$A$1004,A840))</f>
        <v/>
      </c>
      <c r="O840" s="54" t="n"/>
      <c r="P840" s="5" t="n"/>
      <c r="Q840" s="5" t="n"/>
      <c r="R840">
        <f>IF(AND(A840&lt;&gt;"",B840="Paused"),COUNTIFS($A$5:A840,"&lt;&gt;",$B$5:B840,"Paused"),"")</f>
        <v/>
      </c>
      <c r="S840">
        <f>IF(M840="Yes",COUNTIF($M$5:M840,"Yes"),"")</f>
        <v/>
      </c>
    </row>
    <row r="841">
      <c r="A841" s="5" t="n"/>
      <c r="B841" s="51" t="n"/>
      <c r="C841" s="5" t="n"/>
      <c r="D841" s="52" t="n"/>
      <c r="E841" s="52" t="n"/>
      <c r="F841" s="52" t="n"/>
      <c r="G841" s="52" t="n"/>
      <c r="H841" s="52" t="n"/>
      <c r="I841" s="52" t="n"/>
      <c r="J841" s="52" t="n"/>
      <c r="K841" s="52" t="n"/>
      <c r="L841" s="51" t="n"/>
      <c r="M841" s="53">
        <f>IF(A841="","",IF(COUNTIF('AFA Rates'!$A$5:$A$1004,A841)&gt;0,"Yes","No"))</f>
        <v/>
      </c>
      <c r="N841" s="53">
        <f>IF(A841="","",COUNTIF('AFA Rates'!$A$5:$A$1004,A841))</f>
        <v/>
      </c>
      <c r="O841" s="54" t="n"/>
      <c r="P841" s="5" t="n"/>
      <c r="Q841" s="5" t="n"/>
      <c r="R841">
        <f>IF(AND(A841&lt;&gt;"",B841="Paused"),COUNTIFS($A$5:A841,"&lt;&gt;",$B$5:B841,"Paused"),"")</f>
        <v/>
      </c>
      <c r="S841">
        <f>IF(M841="Yes",COUNTIF($M$5:M841,"Yes"),"")</f>
        <v/>
      </c>
    </row>
    <row r="842">
      <c r="A842" s="5" t="n"/>
      <c r="B842" s="51" t="n"/>
      <c r="C842" s="5" t="n"/>
      <c r="D842" s="52" t="n"/>
      <c r="E842" s="52" t="n"/>
      <c r="F842" s="52" t="n"/>
      <c r="G842" s="52" t="n"/>
      <c r="H842" s="52" t="n"/>
      <c r="I842" s="52" t="n"/>
      <c r="J842" s="52" t="n"/>
      <c r="K842" s="52" t="n"/>
      <c r="L842" s="51" t="n"/>
      <c r="M842" s="53">
        <f>IF(A842="","",IF(COUNTIF('AFA Rates'!$A$5:$A$1004,A842)&gt;0,"Yes","No"))</f>
        <v/>
      </c>
      <c r="N842" s="53">
        <f>IF(A842="","",COUNTIF('AFA Rates'!$A$5:$A$1004,A842))</f>
        <v/>
      </c>
      <c r="O842" s="54" t="n"/>
      <c r="P842" s="5" t="n"/>
      <c r="Q842" s="5" t="n"/>
      <c r="R842">
        <f>IF(AND(A842&lt;&gt;"",B842="Paused"),COUNTIFS($A$5:A842,"&lt;&gt;",$B$5:B842,"Paused"),"")</f>
        <v/>
      </c>
      <c r="S842">
        <f>IF(M842="Yes",COUNTIF($M$5:M842,"Yes"),"")</f>
        <v/>
      </c>
    </row>
    <row r="843">
      <c r="A843" s="5" t="n"/>
      <c r="B843" s="51" t="n"/>
      <c r="C843" s="5" t="n"/>
      <c r="D843" s="52" t="n"/>
      <c r="E843" s="52" t="n"/>
      <c r="F843" s="52" t="n"/>
      <c r="G843" s="52" t="n"/>
      <c r="H843" s="52" t="n"/>
      <c r="I843" s="52" t="n"/>
      <c r="J843" s="52" t="n"/>
      <c r="K843" s="52" t="n"/>
      <c r="L843" s="51" t="n"/>
      <c r="M843" s="53">
        <f>IF(A843="","",IF(COUNTIF('AFA Rates'!$A$5:$A$1004,A843)&gt;0,"Yes","No"))</f>
        <v/>
      </c>
      <c r="N843" s="53">
        <f>IF(A843="","",COUNTIF('AFA Rates'!$A$5:$A$1004,A843))</f>
        <v/>
      </c>
      <c r="O843" s="54" t="n"/>
      <c r="P843" s="5" t="n"/>
      <c r="Q843" s="5" t="n"/>
      <c r="R843">
        <f>IF(AND(A843&lt;&gt;"",B843="Paused"),COUNTIFS($A$5:A843,"&lt;&gt;",$B$5:B843,"Paused"),"")</f>
        <v/>
      </c>
      <c r="S843">
        <f>IF(M843="Yes",COUNTIF($M$5:M843,"Yes"),"")</f>
        <v/>
      </c>
    </row>
    <row r="844">
      <c r="A844" s="5" t="n"/>
      <c r="B844" s="51" t="n"/>
      <c r="C844" s="5" t="n"/>
      <c r="D844" s="52" t="n"/>
      <c r="E844" s="52" t="n"/>
      <c r="F844" s="52" t="n"/>
      <c r="G844" s="52" t="n"/>
      <c r="H844" s="52" t="n"/>
      <c r="I844" s="52" t="n"/>
      <c r="J844" s="52" t="n"/>
      <c r="K844" s="52" t="n"/>
      <c r="L844" s="51" t="n"/>
      <c r="M844" s="53">
        <f>IF(A844="","",IF(COUNTIF('AFA Rates'!$A$5:$A$1004,A844)&gt;0,"Yes","No"))</f>
        <v/>
      </c>
      <c r="N844" s="53">
        <f>IF(A844="","",COUNTIF('AFA Rates'!$A$5:$A$1004,A844))</f>
        <v/>
      </c>
      <c r="O844" s="54" t="n"/>
      <c r="P844" s="5" t="n"/>
      <c r="Q844" s="5" t="n"/>
      <c r="R844">
        <f>IF(AND(A844&lt;&gt;"",B844="Paused"),COUNTIFS($A$5:A844,"&lt;&gt;",$B$5:B844,"Paused"),"")</f>
        <v/>
      </c>
      <c r="S844">
        <f>IF(M844="Yes",COUNTIF($M$5:M844,"Yes"),"")</f>
        <v/>
      </c>
    </row>
    <row r="845">
      <c r="A845" s="5" t="n"/>
      <c r="B845" s="51" t="n"/>
      <c r="C845" s="5" t="n"/>
      <c r="D845" s="52" t="n"/>
      <c r="E845" s="52" t="n"/>
      <c r="F845" s="52" t="n"/>
      <c r="G845" s="52" t="n"/>
      <c r="H845" s="52" t="n"/>
      <c r="I845" s="52" t="n"/>
      <c r="J845" s="52" t="n"/>
      <c r="K845" s="52" t="n"/>
      <c r="L845" s="51" t="n"/>
      <c r="M845" s="53">
        <f>IF(A845="","",IF(COUNTIF('AFA Rates'!$A$5:$A$1004,A845)&gt;0,"Yes","No"))</f>
        <v/>
      </c>
      <c r="N845" s="53">
        <f>IF(A845="","",COUNTIF('AFA Rates'!$A$5:$A$1004,A845))</f>
        <v/>
      </c>
      <c r="O845" s="54" t="n"/>
      <c r="P845" s="5" t="n"/>
      <c r="Q845" s="5" t="n"/>
      <c r="R845">
        <f>IF(AND(A845&lt;&gt;"",B845="Paused"),COUNTIFS($A$5:A845,"&lt;&gt;",$B$5:B845,"Paused"),"")</f>
        <v/>
      </c>
      <c r="S845">
        <f>IF(M845="Yes",COUNTIF($M$5:M845,"Yes"),"")</f>
        <v/>
      </c>
    </row>
    <row r="846">
      <c r="A846" s="5" t="n"/>
      <c r="B846" s="51" t="n"/>
      <c r="C846" s="5" t="n"/>
      <c r="D846" s="52" t="n"/>
      <c r="E846" s="52" t="n"/>
      <c r="F846" s="52" t="n"/>
      <c r="G846" s="52" t="n"/>
      <c r="H846" s="52" t="n"/>
      <c r="I846" s="52" t="n"/>
      <c r="J846" s="52" t="n"/>
      <c r="K846" s="52" t="n"/>
      <c r="L846" s="51" t="n"/>
      <c r="M846" s="53">
        <f>IF(A846="","",IF(COUNTIF('AFA Rates'!$A$5:$A$1004,A846)&gt;0,"Yes","No"))</f>
        <v/>
      </c>
      <c r="N846" s="53">
        <f>IF(A846="","",COUNTIF('AFA Rates'!$A$5:$A$1004,A846))</f>
        <v/>
      </c>
      <c r="O846" s="54" t="n"/>
      <c r="P846" s="5" t="n"/>
      <c r="Q846" s="5" t="n"/>
      <c r="R846">
        <f>IF(AND(A846&lt;&gt;"",B846="Paused"),COUNTIFS($A$5:A846,"&lt;&gt;",$B$5:B846,"Paused"),"")</f>
        <v/>
      </c>
      <c r="S846">
        <f>IF(M846="Yes",COUNTIF($M$5:M846,"Yes"),"")</f>
        <v/>
      </c>
    </row>
    <row r="847">
      <c r="A847" s="5" t="n"/>
      <c r="B847" s="51" t="n"/>
      <c r="C847" s="5" t="n"/>
      <c r="D847" s="52" t="n"/>
      <c r="E847" s="52" t="n"/>
      <c r="F847" s="52" t="n"/>
      <c r="G847" s="52" t="n"/>
      <c r="H847" s="52" t="n"/>
      <c r="I847" s="52" t="n"/>
      <c r="J847" s="52" t="n"/>
      <c r="K847" s="52" t="n"/>
      <c r="L847" s="51" t="n"/>
      <c r="M847" s="53">
        <f>IF(A847="","",IF(COUNTIF('AFA Rates'!$A$5:$A$1004,A847)&gt;0,"Yes","No"))</f>
        <v/>
      </c>
      <c r="N847" s="53">
        <f>IF(A847="","",COUNTIF('AFA Rates'!$A$5:$A$1004,A847))</f>
        <v/>
      </c>
      <c r="O847" s="54" t="n"/>
      <c r="P847" s="5" t="n"/>
      <c r="Q847" s="5" t="n"/>
      <c r="R847">
        <f>IF(AND(A847&lt;&gt;"",B847="Paused"),COUNTIFS($A$5:A847,"&lt;&gt;",$B$5:B847,"Paused"),"")</f>
        <v/>
      </c>
      <c r="S847">
        <f>IF(M847="Yes",COUNTIF($M$5:M847,"Yes"),"")</f>
        <v/>
      </c>
    </row>
    <row r="848">
      <c r="A848" s="5" t="n"/>
      <c r="B848" s="51" t="n"/>
      <c r="C848" s="5" t="n"/>
      <c r="D848" s="52" t="n"/>
      <c r="E848" s="52" t="n"/>
      <c r="F848" s="52" t="n"/>
      <c r="G848" s="52" t="n"/>
      <c r="H848" s="52" t="n"/>
      <c r="I848" s="52" t="n"/>
      <c r="J848" s="52" t="n"/>
      <c r="K848" s="52" t="n"/>
      <c r="L848" s="51" t="n"/>
      <c r="M848" s="53">
        <f>IF(A848="","",IF(COUNTIF('AFA Rates'!$A$5:$A$1004,A848)&gt;0,"Yes","No"))</f>
        <v/>
      </c>
      <c r="N848" s="53">
        <f>IF(A848="","",COUNTIF('AFA Rates'!$A$5:$A$1004,A848))</f>
        <v/>
      </c>
      <c r="O848" s="54" t="n"/>
      <c r="P848" s="5" t="n"/>
      <c r="Q848" s="5" t="n"/>
      <c r="R848">
        <f>IF(AND(A848&lt;&gt;"",B848="Paused"),COUNTIFS($A$5:A848,"&lt;&gt;",$B$5:B848,"Paused"),"")</f>
        <v/>
      </c>
      <c r="S848">
        <f>IF(M848="Yes",COUNTIF($M$5:M848,"Yes"),"")</f>
        <v/>
      </c>
    </row>
    <row r="849">
      <c r="A849" s="5" t="n"/>
      <c r="B849" s="51" t="n"/>
      <c r="C849" s="5" t="n"/>
      <c r="D849" s="52" t="n"/>
      <c r="E849" s="52" t="n"/>
      <c r="F849" s="52" t="n"/>
      <c r="G849" s="52" t="n"/>
      <c r="H849" s="52" t="n"/>
      <c r="I849" s="52" t="n"/>
      <c r="J849" s="52" t="n"/>
      <c r="K849" s="52" t="n"/>
      <c r="L849" s="51" t="n"/>
      <c r="M849" s="53">
        <f>IF(A849="","",IF(COUNTIF('AFA Rates'!$A$5:$A$1004,A849)&gt;0,"Yes","No"))</f>
        <v/>
      </c>
      <c r="N849" s="53">
        <f>IF(A849="","",COUNTIF('AFA Rates'!$A$5:$A$1004,A849))</f>
        <v/>
      </c>
      <c r="O849" s="54" t="n"/>
      <c r="P849" s="5" t="n"/>
      <c r="Q849" s="5" t="n"/>
      <c r="R849">
        <f>IF(AND(A849&lt;&gt;"",B849="Paused"),COUNTIFS($A$5:A849,"&lt;&gt;",$B$5:B849,"Paused"),"")</f>
        <v/>
      </c>
      <c r="S849">
        <f>IF(M849="Yes",COUNTIF($M$5:M849,"Yes"),"")</f>
        <v/>
      </c>
    </row>
    <row r="850">
      <c r="A850" s="5" t="n"/>
      <c r="B850" s="51" t="n"/>
      <c r="C850" s="5" t="n"/>
      <c r="D850" s="52" t="n"/>
      <c r="E850" s="52" t="n"/>
      <c r="F850" s="52" t="n"/>
      <c r="G850" s="52" t="n"/>
      <c r="H850" s="52" t="n"/>
      <c r="I850" s="52" t="n"/>
      <c r="J850" s="52" t="n"/>
      <c r="K850" s="52" t="n"/>
      <c r="L850" s="51" t="n"/>
      <c r="M850" s="53">
        <f>IF(A850="","",IF(COUNTIF('AFA Rates'!$A$5:$A$1004,A850)&gt;0,"Yes","No"))</f>
        <v/>
      </c>
      <c r="N850" s="53">
        <f>IF(A850="","",COUNTIF('AFA Rates'!$A$5:$A$1004,A850))</f>
        <v/>
      </c>
      <c r="O850" s="54" t="n"/>
      <c r="P850" s="5" t="n"/>
      <c r="Q850" s="5" t="n"/>
      <c r="R850">
        <f>IF(AND(A850&lt;&gt;"",B850="Paused"),COUNTIFS($A$5:A850,"&lt;&gt;",$B$5:B850,"Paused"),"")</f>
        <v/>
      </c>
      <c r="S850">
        <f>IF(M850="Yes",COUNTIF($M$5:M850,"Yes"),"")</f>
        <v/>
      </c>
    </row>
    <row r="851">
      <c r="A851" s="5" t="n"/>
      <c r="B851" s="51" t="n"/>
      <c r="C851" s="5" t="n"/>
      <c r="D851" s="52" t="n"/>
      <c r="E851" s="52" t="n"/>
      <c r="F851" s="52" t="n"/>
      <c r="G851" s="52" t="n"/>
      <c r="H851" s="52" t="n"/>
      <c r="I851" s="52" t="n"/>
      <c r="J851" s="52" t="n"/>
      <c r="K851" s="52" t="n"/>
      <c r="L851" s="51" t="n"/>
      <c r="M851" s="53">
        <f>IF(A851="","",IF(COUNTIF('AFA Rates'!$A$5:$A$1004,A851)&gt;0,"Yes","No"))</f>
        <v/>
      </c>
      <c r="N851" s="53">
        <f>IF(A851="","",COUNTIF('AFA Rates'!$A$5:$A$1004,A851))</f>
        <v/>
      </c>
      <c r="O851" s="54" t="n"/>
      <c r="P851" s="5" t="n"/>
      <c r="Q851" s="5" t="n"/>
      <c r="R851">
        <f>IF(AND(A851&lt;&gt;"",B851="Paused"),COUNTIFS($A$5:A851,"&lt;&gt;",$B$5:B851,"Paused"),"")</f>
        <v/>
      </c>
      <c r="S851">
        <f>IF(M851="Yes",COUNTIF($M$5:M851,"Yes"),"")</f>
        <v/>
      </c>
    </row>
    <row r="852">
      <c r="A852" s="5" t="n"/>
      <c r="B852" s="51" t="n"/>
      <c r="C852" s="5" t="n"/>
      <c r="D852" s="52" t="n"/>
      <c r="E852" s="52" t="n"/>
      <c r="F852" s="52" t="n"/>
      <c r="G852" s="52" t="n"/>
      <c r="H852" s="52" t="n"/>
      <c r="I852" s="52" t="n"/>
      <c r="J852" s="52" t="n"/>
      <c r="K852" s="52" t="n"/>
      <c r="L852" s="51" t="n"/>
      <c r="M852" s="53">
        <f>IF(A852="","",IF(COUNTIF('AFA Rates'!$A$5:$A$1004,A852)&gt;0,"Yes","No"))</f>
        <v/>
      </c>
      <c r="N852" s="53">
        <f>IF(A852="","",COUNTIF('AFA Rates'!$A$5:$A$1004,A852))</f>
        <v/>
      </c>
      <c r="O852" s="54" t="n"/>
      <c r="P852" s="5" t="n"/>
      <c r="Q852" s="5" t="n"/>
      <c r="R852">
        <f>IF(AND(A852&lt;&gt;"",B852="Paused"),COUNTIFS($A$5:A852,"&lt;&gt;",$B$5:B852,"Paused"),"")</f>
        <v/>
      </c>
      <c r="S852">
        <f>IF(M852="Yes",COUNTIF($M$5:M852,"Yes"),"")</f>
        <v/>
      </c>
    </row>
    <row r="853">
      <c r="A853" s="5" t="n"/>
      <c r="B853" s="51" t="n"/>
      <c r="C853" s="5" t="n"/>
      <c r="D853" s="52" t="n"/>
      <c r="E853" s="52" t="n"/>
      <c r="F853" s="52" t="n"/>
      <c r="G853" s="52" t="n"/>
      <c r="H853" s="52" t="n"/>
      <c r="I853" s="52" t="n"/>
      <c r="J853" s="52" t="n"/>
      <c r="K853" s="52" t="n"/>
      <c r="L853" s="51" t="n"/>
      <c r="M853" s="53">
        <f>IF(A853="","",IF(COUNTIF('AFA Rates'!$A$5:$A$1004,A853)&gt;0,"Yes","No"))</f>
        <v/>
      </c>
      <c r="N853" s="53">
        <f>IF(A853="","",COUNTIF('AFA Rates'!$A$5:$A$1004,A853))</f>
        <v/>
      </c>
      <c r="O853" s="54" t="n"/>
      <c r="P853" s="5" t="n"/>
      <c r="Q853" s="5" t="n"/>
      <c r="R853">
        <f>IF(AND(A853&lt;&gt;"",B853="Paused"),COUNTIFS($A$5:A853,"&lt;&gt;",$B$5:B853,"Paused"),"")</f>
        <v/>
      </c>
      <c r="S853">
        <f>IF(M853="Yes",COUNTIF($M$5:M853,"Yes"),"")</f>
        <v/>
      </c>
    </row>
    <row r="854">
      <c r="A854" s="5" t="n"/>
      <c r="B854" s="51" t="n"/>
      <c r="C854" s="5" t="n"/>
      <c r="D854" s="52" t="n"/>
      <c r="E854" s="52" t="n"/>
      <c r="F854" s="52" t="n"/>
      <c r="G854" s="52" t="n"/>
      <c r="H854" s="52" t="n"/>
      <c r="I854" s="52" t="n"/>
      <c r="J854" s="52" t="n"/>
      <c r="K854" s="52" t="n"/>
      <c r="L854" s="51" t="n"/>
      <c r="M854" s="53">
        <f>IF(A854="","",IF(COUNTIF('AFA Rates'!$A$5:$A$1004,A854)&gt;0,"Yes","No"))</f>
        <v/>
      </c>
      <c r="N854" s="53">
        <f>IF(A854="","",COUNTIF('AFA Rates'!$A$5:$A$1004,A854))</f>
        <v/>
      </c>
      <c r="O854" s="54" t="n"/>
      <c r="P854" s="5" t="n"/>
      <c r="Q854" s="5" t="n"/>
      <c r="R854">
        <f>IF(AND(A854&lt;&gt;"",B854="Paused"),COUNTIFS($A$5:A854,"&lt;&gt;",$B$5:B854,"Paused"),"")</f>
        <v/>
      </c>
      <c r="S854">
        <f>IF(M854="Yes",COUNTIF($M$5:M854,"Yes"),"")</f>
        <v/>
      </c>
    </row>
    <row r="855">
      <c r="A855" s="5" t="n"/>
      <c r="B855" s="51" t="n"/>
      <c r="C855" s="5" t="n"/>
      <c r="D855" s="52" t="n"/>
      <c r="E855" s="52" t="n"/>
      <c r="F855" s="52" t="n"/>
      <c r="G855" s="52" t="n"/>
      <c r="H855" s="52" t="n"/>
      <c r="I855" s="52" t="n"/>
      <c r="J855" s="52" t="n"/>
      <c r="K855" s="52" t="n"/>
      <c r="L855" s="51" t="n"/>
      <c r="M855" s="53">
        <f>IF(A855="","",IF(COUNTIF('AFA Rates'!$A$5:$A$1004,A855)&gt;0,"Yes","No"))</f>
        <v/>
      </c>
      <c r="N855" s="53">
        <f>IF(A855="","",COUNTIF('AFA Rates'!$A$5:$A$1004,A855))</f>
        <v/>
      </c>
      <c r="O855" s="54" t="n"/>
      <c r="P855" s="5" t="n"/>
      <c r="Q855" s="5" t="n"/>
      <c r="R855">
        <f>IF(AND(A855&lt;&gt;"",B855="Paused"),COUNTIFS($A$5:A855,"&lt;&gt;",$B$5:B855,"Paused"),"")</f>
        <v/>
      </c>
      <c r="S855">
        <f>IF(M855="Yes",COUNTIF($M$5:M855,"Yes"),"")</f>
        <v/>
      </c>
    </row>
    <row r="856">
      <c r="A856" s="5" t="n"/>
      <c r="B856" s="51" t="n"/>
      <c r="C856" s="5" t="n"/>
      <c r="D856" s="52" t="n"/>
      <c r="E856" s="52" t="n"/>
      <c r="F856" s="52" t="n"/>
      <c r="G856" s="52" t="n"/>
      <c r="H856" s="52" t="n"/>
      <c r="I856" s="52" t="n"/>
      <c r="J856" s="52" t="n"/>
      <c r="K856" s="52" t="n"/>
      <c r="L856" s="51" t="n"/>
      <c r="M856" s="53">
        <f>IF(A856="","",IF(COUNTIF('AFA Rates'!$A$5:$A$1004,A856)&gt;0,"Yes","No"))</f>
        <v/>
      </c>
      <c r="N856" s="53">
        <f>IF(A856="","",COUNTIF('AFA Rates'!$A$5:$A$1004,A856))</f>
        <v/>
      </c>
      <c r="O856" s="54" t="n"/>
      <c r="P856" s="5" t="n"/>
      <c r="Q856" s="5" t="n"/>
      <c r="R856">
        <f>IF(AND(A856&lt;&gt;"",B856="Paused"),COUNTIFS($A$5:A856,"&lt;&gt;",$B$5:B856,"Paused"),"")</f>
        <v/>
      </c>
      <c r="S856">
        <f>IF(M856="Yes",COUNTIF($M$5:M856,"Yes"),"")</f>
        <v/>
      </c>
    </row>
    <row r="857">
      <c r="A857" s="5" t="n"/>
      <c r="B857" s="51" t="n"/>
      <c r="C857" s="5" t="n"/>
      <c r="D857" s="52" t="n"/>
      <c r="E857" s="52" t="n"/>
      <c r="F857" s="52" t="n"/>
      <c r="G857" s="52" t="n"/>
      <c r="H857" s="52" t="n"/>
      <c r="I857" s="52" t="n"/>
      <c r="J857" s="52" t="n"/>
      <c r="K857" s="52" t="n"/>
      <c r="L857" s="51" t="n"/>
      <c r="M857" s="53">
        <f>IF(A857="","",IF(COUNTIF('AFA Rates'!$A$5:$A$1004,A857)&gt;0,"Yes","No"))</f>
        <v/>
      </c>
      <c r="N857" s="53">
        <f>IF(A857="","",COUNTIF('AFA Rates'!$A$5:$A$1004,A857))</f>
        <v/>
      </c>
      <c r="O857" s="54" t="n"/>
      <c r="P857" s="5" t="n"/>
      <c r="Q857" s="5" t="n"/>
      <c r="R857">
        <f>IF(AND(A857&lt;&gt;"",B857="Paused"),COUNTIFS($A$5:A857,"&lt;&gt;",$B$5:B857,"Paused"),"")</f>
        <v/>
      </c>
      <c r="S857">
        <f>IF(M857="Yes",COUNTIF($M$5:M857,"Yes"),"")</f>
        <v/>
      </c>
    </row>
    <row r="858">
      <c r="A858" s="5" t="n"/>
      <c r="B858" s="51" t="n"/>
      <c r="C858" s="5" t="n"/>
      <c r="D858" s="52" t="n"/>
      <c r="E858" s="52" t="n"/>
      <c r="F858" s="52" t="n"/>
      <c r="G858" s="52" t="n"/>
      <c r="H858" s="52" t="n"/>
      <c r="I858" s="52" t="n"/>
      <c r="J858" s="52" t="n"/>
      <c r="K858" s="52" t="n"/>
      <c r="L858" s="51" t="n"/>
      <c r="M858" s="53">
        <f>IF(A858="","",IF(COUNTIF('AFA Rates'!$A$5:$A$1004,A858)&gt;0,"Yes","No"))</f>
        <v/>
      </c>
      <c r="N858" s="53">
        <f>IF(A858="","",COUNTIF('AFA Rates'!$A$5:$A$1004,A858))</f>
        <v/>
      </c>
      <c r="O858" s="54" t="n"/>
      <c r="P858" s="5" t="n"/>
      <c r="Q858" s="5" t="n"/>
      <c r="R858">
        <f>IF(AND(A858&lt;&gt;"",B858="Paused"),COUNTIFS($A$5:A858,"&lt;&gt;",$B$5:B858,"Paused"),"")</f>
        <v/>
      </c>
      <c r="S858">
        <f>IF(M858="Yes",COUNTIF($M$5:M858,"Yes"),"")</f>
        <v/>
      </c>
    </row>
    <row r="859">
      <c r="A859" s="5" t="n"/>
      <c r="B859" s="51" t="n"/>
      <c r="C859" s="5" t="n"/>
      <c r="D859" s="52" t="n"/>
      <c r="E859" s="52" t="n"/>
      <c r="F859" s="52" t="n"/>
      <c r="G859" s="52" t="n"/>
      <c r="H859" s="52" t="n"/>
      <c r="I859" s="52" t="n"/>
      <c r="J859" s="52" t="n"/>
      <c r="K859" s="52" t="n"/>
      <c r="L859" s="51" t="n"/>
      <c r="M859" s="53">
        <f>IF(A859="","",IF(COUNTIF('AFA Rates'!$A$5:$A$1004,A859)&gt;0,"Yes","No"))</f>
        <v/>
      </c>
      <c r="N859" s="53">
        <f>IF(A859="","",COUNTIF('AFA Rates'!$A$5:$A$1004,A859))</f>
        <v/>
      </c>
      <c r="O859" s="54" t="n"/>
      <c r="P859" s="5" t="n"/>
      <c r="Q859" s="5" t="n"/>
      <c r="R859">
        <f>IF(AND(A859&lt;&gt;"",B859="Paused"),COUNTIFS($A$5:A859,"&lt;&gt;",$B$5:B859,"Paused"),"")</f>
        <v/>
      </c>
      <c r="S859">
        <f>IF(M859="Yes",COUNTIF($M$5:M859,"Yes"),"")</f>
        <v/>
      </c>
    </row>
    <row r="860">
      <c r="A860" s="5" t="n"/>
      <c r="B860" s="51" t="n"/>
      <c r="C860" s="5" t="n"/>
      <c r="D860" s="52" t="n"/>
      <c r="E860" s="52" t="n"/>
      <c r="F860" s="52" t="n"/>
      <c r="G860" s="52" t="n"/>
      <c r="H860" s="52" t="n"/>
      <c r="I860" s="52" t="n"/>
      <c r="J860" s="52" t="n"/>
      <c r="K860" s="52" t="n"/>
      <c r="L860" s="51" t="n"/>
      <c r="M860" s="53">
        <f>IF(A860="","",IF(COUNTIF('AFA Rates'!$A$5:$A$1004,A860)&gt;0,"Yes","No"))</f>
        <v/>
      </c>
      <c r="N860" s="53">
        <f>IF(A860="","",COUNTIF('AFA Rates'!$A$5:$A$1004,A860))</f>
        <v/>
      </c>
      <c r="O860" s="54" t="n"/>
      <c r="P860" s="5" t="n"/>
      <c r="Q860" s="5" t="n"/>
      <c r="R860">
        <f>IF(AND(A860&lt;&gt;"",B860="Paused"),COUNTIFS($A$5:A860,"&lt;&gt;",$B$5:B860,"Paused"),"")</f>
        <v/>
      </c>
      <c r="S860">
        <f>IF(M860="Yes",COUNTIF($M$5:M860,"Yes"),"")</f>
        <v/>
      </c>
    </row>
    <row r="861">
      <c r="A861" s="5" t="n"/>
      <c r="B861" s="51" t="n"/>
      <c r="C861" s="5" t="n"/>
      <c r="D861" s="52" t="n"/>
      <c r="E861" s="52" t="n"/>
      <c r="F861" s="52" t="n"/>
      <c r="G861" s="52" t="n"/>
      <c r="H861" s="52" t="n"/>
      <c r="I861" s="52" t="n"/>
      <c r="J861" s="52" t="n"/>
      <c r="K861" s="52" t="n"/>
      <c r="L861" s="51" t="n"/>
      <c r="M861" s="53">
        <f>IF(A861="","",IF(COUNTIF('AFA Rates'!$A$5:$A$1004,A861)&gt;0,"Yes","No"))</f>
        <v/>
      </c>
      <c r="N861" s="53">
        <f>IF(A861="","",COUNTIF('AFA Rates'!$A$5:$A$1004,A861))</f>
        <v/>
      </c>
      <c r="O861" s="54" t="n"/>
      <c r="P861" s="5" t="n"/>
      <c r="Q861" s="5" t="n"/>
      <c r="R861">
        <f>IF(AND(A861&lt;&gt;"",B861="Paused"),COUNTIFS($A$5:A861,"&lt;&gt;",$B$5:B861,"Paused"),"")</f>
        <v/>
      </c>
      <c r="S861">
        <f>IF(M861="Yes",COUNTIF($M$5:M861,"Yes"),"")</f>
        <v/>
      </c>
    </row>
    <row r="862">
      <c r="A862" s="5" t="n"/>
      <c r="B862" s="51" t="n"/>
      <c r="C862" s="5" t="n"/>
      <c r="D862" s="52" t="n"/>
      <c r="E862" s="52" t="n"/>
      <c r="F862" s="52" t="n"/>
      <c r="G862" s="52" t="n"/>
      <c r="H862" s="52" t="n"/>
      <c r="I862" s="52" t="n"/>
      <c r="J862" s="52" t="n"/>
      <c r="K862" s="52" t="n"/>
      <c r="L862" s="51" t="n"/>
      <c r="M862" s="53">
        <f>IF(A862="","",IF(COUNTIF('AFA Rates'!$A$5:$A$1004,A862)&gt;0,"Yes","No"))</f>
        <v/>
      </c>
      <c r="N862" s="53">
        <f>IF(A862="","",COUNTIF('AFA Rates'!$A$5:$A$1004,A862))</f>
        <v/>
      </c>
      <c r="O862" s="54" t="n"/>
      <c r="P862" s="5" t="n"/>
      <c r="Q862" s="5" t="n"/>
      <c r="R862">
        <f>IF(AND(A862&lt;&gt;"",B862="Paused"),COUNTIFS($A$5:A862,"&lt;&gt;",$B$5:B862,"Paused"),"")</f>
        <v/>
      </c>
      <c r="S862">
        <f>IF(M862="Yes",COUNTIF($M$5:M862,"Yes"),"")</f>
        <v/>
      </c>
    </row>
    <row r="863">
      <c r="A863" s="5" t="n"/>
      <c r="B863" s="51" t="n"/>
      <c r="C863" s="5" t="n"/>
      <c r="D863" s="52" t="n"/>
      <c r="E863" s="52" t="n"/>
      <c r="F863" s="52" t="n"/>
      <c r="G863" s="52" t="n"/>
      <c r="H863" s="52" t="n"/>
      <c r="I863" s="52" t="n"/>
      <c r="J863" s="52" t="n"/>
      <c r="K863" s="52" t="n"/>
      <c r="L863" s="51" t="n"/>
      <c r="M863" s="53">
        <f>IF(A863="","",IF(COUNTIF('AFA Rates'!$A$5:$A$1004,A863)&gt;0,"Yes","No"))</f>
        <v/>
      </c>
      <c r="N863" s="53">
        <f>IF(A863="","",COUNTIF('AFA Rates'!$A$5:$A$1004,A863))</f>
        <v/>
      </c>
      <c r="O863" s="54" t="n"/>
      <c r="P863" s="5" t="n"/>
      <c r="Q863" s="5" t="n"/>
      <c r="R863">
        <f>IF(AND(A863&lt;&gt;"",B863="Paused"),COUNTIFS($A$5:A863,"&lt;&gt;",$B$5:B863,"Paused"),"")</f>
        <v/>
      </c>
      <c r="S863">
        <f>IF(M863="Yes",COUNTIF($M$5:M863,"Yes"),"")</f>
        <v/>
      </c>
    </row>
    <row r="864">
      <c r="A864" s="5" t="n"/>
      <c r="B864" s="51" t="n"/>
      <c r="C864" s="5" t="n"/>
      <c r="D864" s="52" t="n"/>
      <c r="E864" s="52" t="n"/>
      <c r="F864" s="52" t="n"/>
      <c r="G864" s="52" t="n"/>
      <c r="H864" s="52" t="n"/>
      <c r="I864" s="52" t="n"/>
      <c r="J864" s="52" t="n"/>
      <c r="K864" s="52" t="n"/>
      <c r="L864" s="51" t="n"/>
      <c r="M864" s="53">
        <f>IF(A864="","",IF(COUNTIF('AFA Rates'!$A$5:$A$1004,A864)&gt;0,"Yes","No"))</f>
        <v/>
      </c>
      <c r="N864" s="53">
        <f>IF(A864="","",COUNTIF('AFA Rates'!$A$5:$A$1004,A864))</f>
        <v/>
      </c>
      <c r="O864" s="54" t="n"/>
      <c r="P864" s="5" t="n"/>
      <c r="Q864" s="5" t="n"/>
      <c r="R864">
        <f>IF(AND(A864&lt;&gt;"",B864="Paused"),COUNTIFS($A$5:A864,"&lt;&gt;",$B$5:B864,"Paused"),"")</f>
        <v/>
      </c>
      <c r="S864">
        <f>IF(M864="Yes",COUNTIF($M$5:M864,"Yes"),"")</f>
        <v/>
      </c>
    </row>
    <row r="865">
      <c r="A865" s="5" t="n"/>
      <c r="B865" s="51" t="n"/>
      <c r="C865" s="5" t="n"/>
      <c r="D865" s="52" t="n"/>
      <c r="E865" s="52" t="n"/>
      <c r="F865" s="52" t="n"/>
      <c r="G865" s="52" t="n"/>
      <c r="H865" s="52" t="n"/>
      <c r="I865" s="52" t="n"/>
      <c r="J865" s="52" t="n"/>
      <c r="K865" s="52" t="n"/>
      <c r="L865" s="51" t="n"/>
      <c r="M865" s="53">
        <f>IF(A865="","",IF(COUNTIF('AFA Rates'!$A$5:$A$1004,A865)&gt;0,"Yes","No"))</f>
        <v/>
      </c>
      <c r="N865" s="53">
        <f>IF(A865="","",COUNTIF('AFA Rates'!$A$5:$A$1004,A865))</f>
        <v/>
      </c>
      <c r="O865" s="54" t="n"/>
      <c r="P865" s="5" t="n"/>
      <c r="Q865" s="5" t="n"/>
      <c r="R865">
        <f>IF(AND(A865&lt;&gt;"",B865="Paused"),COUNTIFS($A$5:A865,"&lt;&gt;",$B$5:B865,"Paused"),"")</f>
        <v/>
      </c>
      <c r="S865">
        <f>IF(M865="Yes",COUNTIF($M$5:M865,"Yes"),"")</f>
        <v/>
      </c>
    </row>
    <row r="866">
      <c r="A866" s="5" t="n"/>
      <c r="B866" s="51" t="n"/>
      <c r="C866" s="5" t="n"/>
      <c r="D866" s="52" t="n"/>
      <c r="E866" s="52" t="n"/>
      <c r="F866" s="52" t="n"/>
      <c r="G866" s="52" t="n"/>
      <c r="H866" s="52" t="n"/>
      <c r="I866" s="52" t="n"/>
      <c r="J866" s="52" t="n"/>
      <c r="K866" s="52" t="n"/>
      <c r="L866" s="51" t="n"/>
      <c r="M866" s="53">
        <f>IF(A866="","",IF(COUNTIF('AFA Rates'!$A$5:$A$1004,A866)&gt;0,"Yes","No"))</f>
        <v/>
      </c>
      <c r="N866" s="53">
        <f>IF(A866="","",COUNTIF('AFA Rates'!$A$5:$A$1004,A866))</f>
        <v/>
      </c>
      <c r="O866" s="54" t="n"/>
      <c r="P866" s="5" t="n"/>
      <c r="Q866" s="5" t="n"/>
      <c r="R866">
        <f>IF(AND(A866&lt;&gt;"",B866="Paused"),COUNTIFS($A$5:A866,"&lt;&gt;",$B$5:B866,"Paused"),"")</f>
        <v/>
      </c>
      <c r="S866">
        <f>IF(M866="Yes",COUNTIF($M$5:M866,"Yes"),"")</f>
        <v/>
      </c>
    </row>
    <row r="867">
      <c r="A867" s="5" t="n"/>
      <c r="B867" s="51" t="n"/>
      <c r="C867" s="5" t="n"/>
      <c r="D867" s="52" t="n"/>
      <c r="E867" s="52" t="n"/>
      <c r="F867" s="52" t="n"/>
      <c r="G867" s="52" t="n"/>
      <c r="H867" s="52" t="n"/>
      <c r="I867" s="52" t="n"/>
      <c r="J867" s="52" t="n"/>
      <c r="K867" s="52" t="n"/>
      <c r="L867" s="51" t="n"/>
      <c r="M867" s="53">
        <f>IF(A867="","",IF(COUNTIF('AFA Rates'!$A$5:$A$1004,A867)&gt;0,"Yes","No"))</f>
        <v/>
      </c>
      <c r="N867" s="53">
        <f>IF(A867="","",COUNTIF('AFA Rates'!$A$5:$A$1004,A867))</f>
        <v/>
      </c>
      <c r="O867" s="54" t="n"/>
      <c r="P867" s="5" t="n"/>
      <c r="Q867" s="5" t="n"/>
      <c r="R867">
        <f>IF(AND(A867&lt;&gt;"",B867="Paused"),COUNTIFS($A$5:A867,"&lt;&gt;",$B$5:B867,"Paused"),"")</f>
        <v/>
      </c>
      <c r="S867">
        <f>IF(M867="Yes",COUNTIF($M$5:M867,"Yes"),"")</f>
        <v/>
      </c>
    </row>
    <row r="868">
      <c r="A868" s="5" t="n"/>
      <c r="B868" s="51" t="n"/>
      <c r="C868" s="5" t="n"/>
      <c r="D868" s="52" t="n"/>
      <c r="E868" s="52" t="n"/>
      <c r="F868" s="52" t="n"/>
      <c r="G868" s="52" t="n"/>
      <c r="H868" s="52" t="n"/>
      <c r="I868" s="52" t="n"/>
      <c r="J868" s="52" t="n"/>
      <c r="K868" s="52" t="n"/>
      <c r="L868" s="51" t="n"/>
      <c r="M868" s="53">
        <f>IF(A868="","",IF(COUNTIF('AFA Rates'!$A$5:$A$1004,A868)&gt;0,"Yes","No"))</f>
        <v/>
      </c>
      <c r="N868" s="53">
        <f>IF(A868="","",COUNTIF('AFA Rates'!$A$5:$A$1004,A868))</f>
        <v/>
      </c>
      <c r="O868" s="54" t="n"/>
      <c r="P868" s="5" t="n"/>
      <c r="Q868" s="5" t="n"/>
      <c r="R868">
        <f>IF(AND(A868&lt;&gt;"",B868="Paused"),COUNTIFS($A$5:A868,"&lt;&gt;",$B$5:B868,"Paused"),"")</f>
        <v/>
      </c>
      <c r="S868">
        <f>IF(M868="Yes",COUNTIF($M$5:M868,"Yes"),"")</f>
        <v/>
      </c>
    </row>
    <row r="869">
      <c r="A869" s="5" t="n"/>
      <c r="B869" s="51" t="n"/>
      <c r="C869" s="5" t="n"/>
      <c r="D869" s="52" t="n"/>
      <c r="E869" s="52" t="n"/>
      <c r="F869" s="52" t="n"/>
      <c r="G869" s="52" t="n"/>
      <c r="H869" s="52" t="n"/>
      <c r="I869" s="52" t="n"/>
      <c r="J869" s="52" t="n"/>
      <c r="K869" s="52" t="n"/>
      <c r="L869" s="51" t="n"/>
      <c r="M869" s="53">
        <f>IF(A869="","",IF(COUNTIF('AFA Rates'!$A$5:$A$1004,A869)&gt;0,"Yes","No"))</f>
        <v/>
      </c>
      <c r="N869" s="53">
        <f>IF(A869="","",COUNTIF('AFA Rates'!$A$5:$A$1004,A869))</f>
        <v/>
      </c>
      <c r="O869" s="54" t="n"/>
      <c r="P869" s="5" t="n"/>
      <c r="Q869" s="5" t="n"/>
      <c r="R869">
        <f>IF(AND(A869&lt;&gt;"",B869="Paused"),COUNTIFS($A$5:A869,"&lt;&gt;",$B$5:B869,"Paused"),"")</f>
        <v/>
      </c>
      <c r="S869">
        <f>IF(M869="Yes",COUNTIF($M$5:M869,"Yes"),"")</f>
        <v/>
      </c>
    </row>
    <row r="870">
      <c r="A870" s="5" t="n"/>
      <c r="B870" s="51" t="n"/>
      <c r="C870" s="5" t="n"/>
      <c r="D870" s="52" t="n"/>
      <c r="E870" s="52" t="n"/>
      <c r="F870" s="52" t="n"/>
      <c r="G870" s="52" t="n"/>
      <c r="H870" s="52" t="n"/>
      <c r="I870" s="52" t="n"/>
      <c r="J870" s="52" t="n"/>
      <c r="K870" s="52" t="n"/>
      <c r="L870" s="51" t="n"/>
      <c r="M870" s="53">
        <f>IF(A870="","",IF(COUNTIF('AFA Rates'!$A$5:$A$1004,A870)&gt;0,"Yes","No"))</f>
        <v/>
      </c>
      <c r="N870" s="53">
        <f>IF(A870="","",COUNTIF('AFA Rates'!$A$5:$A$1004,A870))</f>
        <v/>
      </c>
      <c r="O870" s="54" t="n"/>
      <c r="P870" s="5" t="n"/>
      <c r="Q870" s="5" t="n"/>
      <c r="R870">
        <f>IF(AND(A870&lt;&gt;"",B870="Paused"),COUNTIFS($A$5:A870,"&lt;&gt;",$B$5:B870,"Paused"),"")</f>
        <v/>
      </c>
      <c r="S870">
        <f>IF(M870="Yes",COUNTIF($M$5:M870,"Yes"),"")</f>
        <v/>
      </c>
    </row>
    <row r="871">
      <c r="A871" s="5" t="n"/>
      <c r="B871" s="51" t="n"/>
      <c r="C871" s="5" t="n"/>
      <c r="D871" s="52" t="n"/>
      <c r="E871" s="52" t="n"/>
      <c r="F871" s="52" t="n"/>
      <c r="G871" s="52" t="n"/>
      <c r="H871" s="52" t="n"/>
      <c r="I871" s="52" t="n"/>
      <c r="J871" s="52" t="n"/>
      <c r="K871" s="52" t="n"/>
      <c r="L871" s="51" t="n"/>
      <c r="M871" s="53">
        <f>IF(A871="","",IF(COUNTIF('AFA Rates'!$A$5:$A$1004,A871)&gt;0,"Yes","No"))</f>
        <v/>
      </c>
      <c r="N871" s="53">
        <f>IF(A871="","",COUNTIF('AFA Rates'!$A$5:$A$1004,A871))</f>
        <v/>
      </c>
      <c r="O871" s="54" t="n"/>
      <c r="P871" s="5" t="n"/>
      <c r="Q871" s="5" t="n"/>
      <c r="R871">
        <f>IF(AND(A871&lt;&gt;"",B871="Paused"),COUNTIFS($A$5:A871,"&lt;&gt;",$B$5:B871,"Paused"),"")</f>
        <v/>
      </c>
      <c r="S871">
        <f>IF(M871="Yes",COUNTIF($M$5:M871,"Yes"),"")</f>
        <v/>
      </c>
    </row>
    <row r="872">
      <c r="A872" s="5" t="n"/>
      <c r="B872" s="51" t="n"/>
      <c r="C872" s="5" t="n"/>
      <c r="D872" s="52" t="n"/>
      <c r="E872" s="52" t="n"/>
      <c r="F872" s="52" t="n"/>
      <c r="G872" s="52" t="n"/>
      <c r="H872" s="52" t="n"/>
      <c r="I872" s="52" t="n"/>
      <c r="J872" s="52" t="n"/>
      <c r="K872" s="52" t="n"/>
      <c r="L872" s="51" t="n"/>
      <c r="M872" s="53">
        <f>IF(A872="","",IF(COUNTIF('AFA Rates'!$A$5:$A$1004,A872)&gt;0,"Yes","No"))</f>
        <v/>
      </c>
      <c r="N872" s="53">
        <f>IF(A872="","",COUNTIF('AFA Rates'!$A$5:$A$1004,A872))</f>
        <v/>
      </c>
      <c r="O872" s="54" t="n"/>
      <c r="P872" s="5" t="n"/>
      <c r="Q872" s="5" t="n"/>
      <c r="R872">
        <f>IF(AND(A872&lt;&gt;"",B872="Paused"),COUNTIFS($A$5:A872,"&lt;&gt;",$B$5:B872,"Paused"),"")</f>
        <v/>
      </c>
      <c r="S872">
        <f>IF(M872="Yes",COUNTIF($M$5:M872,"Yes"),"")</f>
        <v/>
      </c>
    </row>
    <row r="873">
      <c r="A873" s="5" t="n"/>
      <c r="B873" s="51" t="n"/>
      <c r="C873" s="5" t="n"/>
      <c r="D873" s="52" t="n"/>
      <c r="E873" s="52" t="n"/>
      <c r="F873" s="52" t="n"/>
      <c r="G873" s="52" t="n"/>
      <c r="H873" s="52" t="n"/>
      <c r="I873" s="52" t="n"/>
      <c r="J873" s="52" t="n"/>
      <c r="K873" s="52" t="n"/>
      <c r="L873" s="51" t="n"/>
      <c r="M873" s="53">
        <f>IF(A873="","",IF(COUNTIF('AFA Rates'!$A$5:$A$1004,A873)&gt;0,"Yes","No"))</f>
        <v/>
      </c>
      <c r="N873" s="53">
        <f>IF(A873="","",COUNTIF('AFA Rates'!$A$5:$A$1004,A873))</f>
        <v/>
      </c>
      <c r="O873" s="54" t="n"/>
      <c r="P873" s="5" t="n"/>
      <c r="Q873" s="5" t="n"/>
      <c r="R873">
        <f>IF(AND(A873&lt;&gt;"",B873="Paused"),COUNTIFS($A$5:A873,"&lt;&gt;",$B$5:B873,"Paused"),"")</f>
        <v/>
      </c>
      <c r="S873">
        <f>IF(M873="Yes",COUNTIF($M$5:M873,"Yes"),"")</f>
        <v/>
      </c>
    </row>
    <row r="874">
      <c r="A874" s="5" t="n"/>
      <c r="B874" s="51" t="n"/>
      <c r="C874" s="5" t="n"/>
      <c r="D874" s="52" t="n"/>
      <c r="E874" s="52" t="n"/>
      <c r="F874" s="52" t="n"/>
      <c r="G874" s="52" t="n"/>
      <c r="H874" s="52" t="n"/>
      <c r="I874" s="52" t="n"/>
      <c r="J874" s="52" t="n"/>
      <c r="K874" s="52" t="n"/>
      <c r="L874" s="51" t="n"/>
      <c r="M874" s="53">
        <f>IF(A874="","",IF(COUNTIF('AFA Rates'!$A$5:$A$1004,A874)&gt;0,"Yes","No"))</f>
        <v/>
      </c>
      <c r="N874" s="53">
        <f>IF(A874="","",COUNTIF('AFA Rates'!$A$5:$A$1004,A874))</f>
        <v/>
      </c>
      <c r="O874" s="54" t="n"/>
      <c r="P874" s="5" t="n"/>
      <c r="Q874" s="5" t="n"/>
      <c r="R874">
        <f>IF(AND(A874&lt;&gt;"",B874="Paused"),COUNTIFS($A$5:A874,"&lt;&gt;",$B$5:B874,"Paused"),"")</f>
        <v/>
      </c>
      <c r="S874">
        <f>IF(M874="Yes",COUNTIF($M$5:M874,"Yes"),"")</f>
        <v/>
      </c>
    </row>
    <row r="875">
      <c r="A875" s="5" t="n"/>
      <c r="B875" s="51" t="n"/>
      <c r="C875" s="5" t="n"/>
      <c r="D875" s="52" t="n"/>
      <c r="E875" s="52" t="n"/>
      <c r="F875" s="52" t="n"/>
      <c r="G875" s="52" t="n"/>
      <c r="H875" s="52" t="n"/>
      <c r="I875" s="52" t="n"/>
      <c r="J875" s="52" t="n"/>
      <c r="K875" s="52" t="n"/>
      <c r="L875" s="51" t="n"/>
      <c r="M875" s="53">
        <f>IF(A875="","",IF(COUNTIF('AFA Rates'!$A$5:$A$1004,A875)&gt;0,"Yes","No"))</f>
        <v/>
      </c>
      <c r="N875" s="53">
        <f>IF(A875="","",COUNTIF('AFA Rates'!$A$5:$A$1004,A875))</f>
        <v/>
      </c>
      <c r="O875" s="54" t="n"/>
      <c r="P875" s="5" t="n"/>
      <c r="Q875" s="5" t="n"/>
      <c r="R875">
        <f>IF(AND(A875&lt;&gt;"",B875="Paused"),COUNTIFS($A$5:A875,"&lt;&gt;",$B$5:B875,"Paused"),"")</f>
        <v/>
      </c>
      <c r="S875">
        <f>IF(M875="Yes",COUNTIF($M$5:M875,"Yes"),"")</f>
        <v/>
      </c>
    </row>
    <row r="876">
      <c r="A876" s="5" t="n"/>
      <c r="B876" s="51" t="n"/>
      <c r="C876" s="5" t="n"/>
      <c r="D876" s="52" t="n"/>
      <c r="E876" s="52" t="n"/>
      <c r="F876" s="52" t="n"/>
      <c r="G876" s="52" t="n"/>
      <c r="H876" s="52" t="n"/>
      <c r="I876" s="52" t="n"/>
      <c r="J876" s="52" t="n"/>
      <c r="K876" s="52" t="n"/>
      <c r="L876" s="51" t="n"/>
      <c r="M876" s="53">
        <f>IF(A876="","",IF(COUNTIF('AFA Rates'!$A$5:$A$1004,A876)&gt;0,"Yes","No"))</f>
        <v/>
      </c>
      <c r="N876" s="53">
        <f>IF(A876="","",COUNTIF('AFA Rates'!$A$5:$A$1004,A876))</f>
        <v/>
      </c>
      <c r="O876" s="54" t="n"/>
      <c r="P876" s="5" t="n"/>
      <c r="Q876" s="5" t="n"/>
      <c r="R876">
        <f>IF(AND(A876&lt;&gt;"",B876="Paused"),COUNTIFS($A$5:A876,"&lt;&gt;",$B$5:B876,"Paused"),"")</f>
        <v/>
      </c>
      <c r="S876">
        <f>IF(M876="Yes",COUNTIF($M$5:M876,"Yes"),"")</f>
        <v/>
      </c>
    </row>
    <row r="877">
      <c r="A877" s="5" t="n"/>
      <c r="B877" s="51" t="n"/>
      <c r="C877" s="5" t="n"/>
      <c r="D877" s="52" t="n"/>
      <c r="E877" s="52" t="n"/>
      <c r="F877" s="52" t="n"/>
      <c r="G877" s="52" t="n"/>
      <c r="H877" s="52" t="n"/>
      <c r="I877" s="52" t="n"/>
      <c r="J877" s="52" t="n"/>
      <c r="K877" s="52" t="n"/>
      <c r="L877" s="51" t="n"/>
      <c r="M877" s="53">
        <f>IF(A877="","",IF(COUNTIF('AFA Rates'!$A$5:$A$1004,A877)&gt;0,"Yes","No"))</f>
        <v/>
      </c>
      <c r="N877" s="53">
        <f>IF(A877="","",COUNTIF('AFA Rates'!$A$5:$A$1004,A877))</f>
        <v/>
      </c>
      <c r="O877" s="54" t="n"/>
      <c r="P877" s="5" t="n"/>
      <c r="Q877" s="5" t="n"/>
      <c r="R877">
        <f>IF(AND(A877&lt;&gt;"",B877="Paused"),COUNTIFS($A$5:A877,"&lt;&gt;",$B$5:B877,"Paused"),"")</f>
        <v/>
      </c>
      <c r="S877">
        <f>IF(M877="Yes",COUNTIF($M$5:M877,"Yes"),"")</f>
        <v/>
      </c>
    </row>
    <row r="878">
      <c r="A878" s="5" t="n"/>
      <c r="B878" s="51" t="n"/>
      <c r="C878" s="5" t="n"/>
      <c r="D878" s="52" t="n"/>
      <c r="E878" s="52" t="n"/>
      <c r="F878" s="52" t="n"/>
      <c r="G878" s="52" t="n"/>
      <c r="H878" s="52" t="n"/>
      <c r="I878" s="52" t="n"/>
      <c r="J878" s="52" t="n"/>
      <c r="K878" s="52" t="n"/>
      <c r="L878" s="51" t="n"/>
      <c r="M878" s="53">
        <f>IF(A878="","",IF(COUNTIF('AFA Rates'!$A$5:$A$1004,A878)&gt;0,"Yes","No"))</f>
        <v/>
      </c>
      <c r="N878" s="53">
        <f>IF(A878="","",COUNTIF('AFA Rates'!$A$5:$A$1004,A878))</f>
        <v/>
      </c>
      <c r="O878" s="54" t="n"/>
      <c r="P878" s="5" t="n"/>
      <c r="Q878" s="5" t="n"/>
      <c r="R878">
        <f>IF(AND(A878&lt;&gt;"",B878="Paused"),COUNTIFS($A$5:A878,"&lt;&gt;",$B$5:B878,"Paused"),"")</f>
        <v/>
      </c>
      <c r="S878">
        <f>IF(M878="Yes",COUNTIF($M$5:M878,"Yes"),"")</f>
        <v/>
      </c>
    </row>
    <row r="879">
      <c r="A879" s="5" t="n"/>
      <c r="B879" s="51" t="n"/>
      <c r="C879" s="5" t="n"/>
      <c r="D879" s="52" t="n"/>
      <c r="E879" s="52" t="n"/>
      <c r="F879" s="52" t="n"/>
      <c r="G879" s="52" t="n"/>
      <c r="H879" s="52" t="n"/>
      <c r="I879" s="52" t="n"/>
      <c r="J879" s="52" t="n"/>
      <c r="K879" s="52" t="n"/>
      <c r="L879" s="51" t="n"/>
      <c r="M879" s="53">
        <f>IF(A879="","",IF(COUNTIF('AFA Rates'!$A$5:$A$1004,A879)&gt;0,"Yes","No"))</f>
        <v/>
      </c>
      <c r="N879" s="53">
        <f>IF(A879="","",COUNTIF('AFA Rates'!$A$5:$A$1004,A879))</f>
        <v/>
      </c>
      <c r="O879" s="54" t="n"/>
      <c r="P879" s="5" t="n"/>
      <c r="Q879" s="5" t="n"/>
      <c r="R879">
        <f>IF(AND(A879&lt;&gt;"",B879="Paused"),COUNTIFS($A$5:A879,"&lt;&gt;",$B$5:B879,"Paused"),"")</f>
        <v/>
      </c>
      <c r="S879">
        <f>IF(M879="Yes",COUNTIF($M$5:M879,"Yes"),"")</f>
        <v/>
      </c>
    </row>
    <row r="880">
      <c r="A880" s="5" t="n"/>
      <c r="B880" s="51" t="n"/>
      <c r="C880" s="5" t="n"/>
      <c r="D880" s="52" t="n"/>
      <c r="E880" s="52" t="n"/>
      <c r="F880" s="52" t="n"/>
      <c r="G880" s="52" t="n"/>
      <c r="H880" s="52" t="n"/>
      <c r="I880" s="52" t="n"/>
      <c r="J880" s="52" t="n"/>
      <c r="K880" s="52" t="n"/>
      <c r="L880" s="51" t="n"/>
      <c r="M880" s="53">
        <f>IF(A880="","",IF(COUNTIF('AFA Rates'!$A$5:$A$1004,A880)&gt;0,"Yes","No"))</f>
        <v/>
      </c>
      <c r="N880" s="53">
        <f>IF(A880="","",COUNTIF('AFA Rates'!$A$5:$A$1004,A880))</f>
        <v/>
      </c>
      <c r="O880" s="54" t="n"/>
      <c r="P880" s="5" t="n"/>
      <c r="Q880" s="5" t="n"/>
      <c r="R880">
        <f>IF(AND(A880&lt;&gt;"",B880="Paused"),COUNTIFS($A$5:A880,"&lt;&gt;",$B$5:B880,"Paused"),"")</f>
        <v/>
      </c>
      <c r="S880">
        <f>IF(M880="Yes",COUNTIF($M$5:M880,"Yes"),"")</f>
        <v/>
      </c>
    </row>
    <row r="881">
      <c r="A881" s="5" t="n"/>
      <c r="B881" s="51" t="n"/>
      <c r="C881" s="5" t="n"/>
      <c r="D881" s="52" t="n"/>
      <c r="E881" s="52" t="n"/>
      <c r="F881" s="52" t="n"/>
      <c r="G881" s="52" t="n"/>
      <c r="H881" s="52" t="n"/>
      <c r="I881" s="52" t="n"/>
      <c r="J881" s="52" t="n"/>
      <c r="K881" s="52" t="n"/>
      <c r="L881" s="51" t="n"/>
      <c r="M881" s="53">
        <f>IF(A881="","",IF(COUNTIF('AFA Rates'!$A$5:$A$1004,A881)&gt;0,"Yes","No"))</f>
        <v/>
      </c>
      <c r="N881" s="53">
        <f>IF(A881="","",COUNTIF('AFA Rates'!$A$5:$A$1004,A881))</f>
        <v/>
      </c>
      <c r="O881" s="54" t="n"/>
      <c r="P881" s="5" t="n"/>
      <c r="Q881" s="5" t="n"/>
      <c r="R881">
        <f>IF(AND(A881&lt;&gt;"",B881="Paused"),COUNTIFS($A$5:A881,"&lt;&gt;",$B$5:B881,"Paused"),"")</f>
        <v/>
      </c>
      <c r="S881">
        <f>IF(M881="Yes",COUNTIF($M$5:M881,"Yes"),"")</f>
        <v/>
      </c>
    </row>
    <row r="882">
      <c r="A882" s="5" t="n"/>
      <c r="B882" s="51" t="n"/>
      <c r="C882" s="5" t="n"/>
      <c r="D882" s="52" t="n"/>
      <c r="E882" s="52" t="n"/>
      <c r="F882" s="52" t="n"/>
      <c r="G882" s="52" t="n"/>
      <c r="H882" s="52" t="n"/>
      <c r="I882" s="52" t="n"/>
      <c r="J882" s="52" t="n"/>
      <c r="K882" s="52" t="n"/>
      <c r="L882" s="51" t="n"/>
      <c r="M882" s="53">
        <f>IF(A882="","",IF(COUNTIF('AFA Rates'!$A$5:$A$1004,A882)&gt;0,"Yes","No"))</f>
        <v/>
      </c>
      <c r="N882" s="53">
        <f>IF(A882="","",COUNTIF('AFA Rates'!$A$5:$A$1004,A882))</f>
        <v/>
      </c>
      <c r="O882" s="54" t="n"/>
      <c r="P882" s="5" t="n"/>
      <c r="Q882" s="5" t="n"/>
      <c r="R882">
        <f>IF(AND(A882&lt;&gt;"",B882="Paused"),COUNTIFS($A$5:A882,"&lt;&gt;",$B$5:B882,"Paused"),"")</f>
        <v/>
      </c>
      <c r="S882">
        <f>IF(M882="Yes",COUNTIF($M$5:M882,"Yes"),"")</f>
        <v/>
      </c>
    </row>
    <row r="883">
      <c r="A883" s="5" t="n"/>
      <c r="B883" s="51" t="n"/>
      <c r="C883" s="5" t="n"/>
      <c r="D883" s="52" t="n"/>
      <c r="E883" s="52" t="n"/>
      <c r="F883" s="52" t="n"/>
      <c r="G883" s="52" t="n"/>
      <c r="H883" s="52" t="n"/>
      <c r="I883" s="52" t="n"/>
      <c r="J883" s="52" t="n"/>
      <c r="K883" s="52" t="n"/>
      <c r="L883" s="51" t="n"/>
      <c r="M883" s="53">
        <f>IF(A883="","",IF(COUNTIF('AFA Rates'!$A$5:$A$1004,A883)&gt;0,"Yes","No"))</f>
        <v/>
      </c>
      <c r="N883" s="53">
        <f>IF(A883="","",COUNTIF('AFA Rates'!$A$5:$A$1004,A883))</f>
        <v/>
      </c>
      <c r="O883" s="54" t="n"/>
      <c r="P883" s="5" t="n"/>
      <c r="Q883" s="5" t="n"/>
      <c r="R883">
        <f>IF(AND(A883&lt;&gt;"",B883="Paused"),COUNTIFS($A$5:A883,"&lt;&gt;",$B$5:B883,"Paused"),"")</f>
        <v/>
      </c>
      <c r="S883">
        <f>IF(M883="Yes",COUNTIF($M$5:M883,"Yes"),"")</f>
        <v/>
      </c>
    </row>
    <row r="884">
      <c r="A884" s="5" t="n"/>
      <c r="B884" s="51" t="n"/>
      <c r="C884" s="5" t="n"/>
      <c r="D884" s="52" t="n"/>
      <c r="E884" s="52" t="n"/>
      <c r="F884" s="52" t="n"/>
      <c r="G884" s="52" t="n"/>
      <c r="H884" s="52" t="n"/>
      <c r="I884" s="52" t="n"/>
      <c r="J884" s="52" t="n"/>
      <c r="K884" s="52" t="n"/>
      <c r="L884" s="51" t="n"/>
      <c r="M884" s="53">
        <f>IF(A884="","",IF(COUNTIF('AFA Rates'!$A$5:$A$1004,A884)&gt;0,"Yes","No"))</f>
        <v/>
      </c>
      <c r="N884" s="53">
        <f>IF(A884="","",COUNTIF('AFA Rates'!$A$5:$A$1004,A884))</f>
        <v/>
      </c>
      <c r="O884" s="54" t="n"/>
      <c r="P884" s="5" t="n"/>
      <c r="Q884" s="5" t="n"/>
      <c r="R884">
        <f>IF(AND(A884&lt;&gt;"",B884="Paused"),COUNTIFS($A$5:A884,"&lt;&gt;",$B$5:B884,"Paused"),"")</f>
        <v/>
      </c>
      <c r="S884">
        <f>IF(M884="Yes",COUNTIF($M$5:M884,"Yes"),"")</f>
        <v/>
      </c>
    </row>
    <row r="885">
      <c r="A885" s="5" t="n"/>
      <c r="B885" s="51" t="n"/>
      <c r="C885" s="5" t="n"/>
      <c r="D885" s="52" t="n"/>
      <c r="E885" s="52" t="n"/>
      <c r="F885" s="52" t="n"/>
      <c r="G885" s="52" t="n"/>
      <c r="H885" s="52" t="n"/>
      <c r="I885" s="52" t="n"/>
      <c r="J885" s="52" t="n"/>
      <c r="K885" s="52" t="n"/>
      <c r="L885" s="51" t="n"/>
      <c r="M885" s="53">
        <f>IF(A885="","",IF(COUNTIF('AFA Rates'!$A$5:$A$1004,A885)&gt;0,"Yes","No"))</f>
        <v/>
      </c>
      <c r="N885" s="53">
        <f>IF(A885="","",COUNTIF('AFA Rates'!$A$5:$A$1004,A885))</f>
        <v/>
      </c>
      <c r="O885" s="54" t="n"/>
      <c r="P885" s="5" t="n"/>
      <c r="Q885" s="5" t="n"/>
      <c r="R885">
        <f>IF(AND(A885&lt;&gt;"",B885="Paused"),COUNTIFS($A$5:A885,"&lt;&gt;",$B$5:B885,"Paused"),"")</f>
        <v/>
      </c>
      <c r="S885">
        <f>IF(M885="Yes",COUNTIF($M$5:M885,"Yes"),"")</f>
        <v/>
      </c>
    </row>
    <row r="886">
      <c r="A886" s="5" t="n"/>
      <c r="B886" s="51" t="n"/>
      <c r="C886" s="5" t="n"/>
      <c r="D886" s="52" t="n"/>
      <c r="E886" s="52" t="n"/>
      <c r="F886" s="52" t="n"/>
      <c r="G886" s="52" t="n"/>
      <c r="H886" s="52" t="n"/>
      <c r="I886" s="52" t="n"/>
      <c r="J886" s="52" t="n"/>
      <c r="K886" s="52" t="n"/>
      <c r="L886" s="51" t="n"/>
      <c r="M886" s="53">
        <f>IF(A886="","",IF(COUNTIF('AFA Rates'!$A$5:$A$1004,A886)&gt;0,"Yes","No"))</f>
        <v/>
      </c>
      <c r="N886" s="53">
        <f>IF(A886="","",COUNTIF('AFA Rates'!$A$5:$A$1004,A886))</f>
        <v/>
      </c>
      <c r="O886" s="54" t="n"/>
      <c r="P886" s="5" t="n"/>
      <c r="Q886" s="5" t="n"/>
      <c r="R886">
        <f>IF(AND(A886&lt;&gt;"",B886="Paused"),COUNTIFS($A$5:A886,"&lt;&gt;",$B$5:B886,"Paused"),"")</f>
        <v/>
      </c>
      <c r="S886">
        <f>IF(M886="Yes",COUNTIF($M$5:M886,"Yes"),"")</f>
        <v/>
      </c>
    </row>
    <row r="887">
      <c r="A887" s="5" t="n"/>
      <c r="B887" s="51" t="n"/>
      <c r="C887" s="5" t="n"/>
      <c r="D887" s="52" t="n"/>
      <c r="E887" s="52" t="n"/>
      <c r="F887" s="52" t="n"/>
      <c r="G887" s="52" t="n"/>
      <c r="H887" s="52" t="n"/>
      <c r="I887" s="52" t="n"/>
      <c r="J887" s="52" t="n"/>
      <c r="K887" s="52" t="n"/>
      <c r="L887" s="51" t="n"/>
      <c r="M887" s="53">
        <f>IF(A887="","",IF(COUNTIF('AFA Rates'!$A$5:$A$1004,A887)&gt;0,"Yes","No"))</f>
        <v/>
      </c>
      <c r="N887" s="53">
        <f>IF(A887="","",COUNTIF('AFA Rates'!$A$5:$A$1004,A887))</f>
        <v/>
      </c>
      <c r="O887" s="54" t="n"/>
      <c r="P887" s="5" t="n"/>
      <c r="Q887" s="5" t="n"/>
      <c r="R887">
        <f>IF(AND(A887&lt;&gt;"",B887="Paused"),COUNTIFS($A$5:A887,"&lt;&gt;",$B$5:B887,"Paused"),"")</f>
        <v/>
      </c>
      <c r="S887">
        <f>IF(M887="Yes",COUNTIF($M$5:M887,"Yes"),"")</f>
        <v/>
      </c>
    </row>
    <row r="888">
      <c r="A888" s="5" t="n"/>
      <c r="B888" s="51" t="n"/>
      <c r="C888" s="5" t="n"/>
      <c r="D888" s="52" t="n"/>
      <c r="E888" s="52" t="n"/>
      <c r="F888" s="52" t="n"/>
      <c r="G888" s="52" t="n"/>
      <c r="H888" s="52" t="n"/>
      <c r="I888" s="52" t="n"/>
      <c r="J888" s="52" t="n"/>
      <c r="K888" s="52" t="n"/>
      <c r="L888" s="51" t="n"/>
      <c r="M888" s="53">
        <f>IF(A888="","",IF(COUNTIF('AFA Rates'!$A$5:$A$1004,A888)&gt;0,"Yes","No"))</f>
        <v/>
      </c>
      <c r="N888" s="53">
        <f>IF(A888="","",COUNTIF('AFA Rates'!$A$5:$A$1004,A888))</f>
        <v/>
      </c>
      <c r="O888" s="54" t="n"/>
      <c r="P888" s="5" t="n"/>
      <c r="Q888" s="5" t="n"/>
      <c r="R888">
        <f>IF(AND(A888&lt;&gt;"",B888="Paused"),COUNTIFS($A$5:A888,"&lt;&gt;",$B$5:B888,"Paused"),"")</f>
        <v/>
      </c>
      <c r="S888">
        <f>IF(M888="Yes",COUNTIF($M$5:M888,"Yes"),"")</f>
        <v/>
      </c>
    </row>
    <row r="889">
      <c r="A889" s="5" t="n"/>
      <c r="B889" s="51" t="n"/>
      <c r="C889" s="5" t="n"/>
      <c r="D889" s="52" t="n"/>
      <c r="E889" s="52" t="n"/>
      <c r="F889" s="52" t="n"/>
      <c r="G889" s="52" t="n"/>
      <c r="H889" s="52" t="n"/>
      <c r="I889" s="52" t="n"/>
      <c r="J889" s="52" t="n"/>
      <c r="K889" s="52" t="n"/>
      <c r="L889" s="51" t="n"/>
      <c r="M889" s="53">
        <f>IF(A889="","",IF(COUNTIF('AFA Rates'!$A$5:$A$1004,A889)&gt;0,"Yes","No"))</f>
        <v/>
      </c>
      <c r="N889" s="53">
        <f>IF(A889="","",COUNTIF('AFA Rates'!$A$5:$A$1004,A889))</f>
        <v/>
      </c>
      <c r="O889" s="54" t="n"/>
      <c r="P889" s="5" t="n"/>
      <c r="Q889" s="5" t="n"/>
      <c r="R889">
        <f>IF(AND(A889&lt;&gt;"",B889="Paused"),COUNTIFS($A$5:A889,"&lt;&gt;",$B$5:B889,"Paused"),"")</f>
        <v/>
      </c>
      <c r="S889">
        <f>IF(M889="Yes",COUNTIF($M$5:M889,"Yes"),"")</f>
        <v/>
      </c>
    </row>
    <row r="890">
      <c r="A890" s="5" t="n"/>
      <c r="B890" s="51" t="n"/>
      <c r="C890" s="5" t="n"/>
      <c r="D890" s="52" t="n"/>
      <c r="E890" s="52" t="n"/>
      <c r="F890" s="52" t="n"/>
      <c r="G890" s="52" t="n"/>
      <c r="H890" s="52" t="n"/>
      <c r="I890" s="52" t="n"/>
      <c r="J890" s="52" t="n"/>
      <c r="K890" s="52" t="n"/>
      <c r="L890" s="51" t="n"/>
      <c r="M890" s="53">
        <f>IF(A890="","",IF(COUNTIF('AFA Rates'!$A$5:$A$1004,A890)&gt;0,"Yes","No"))</f>
        <v/>
      </c>
      <c r="N890" s="53">
        <f>IF(A890="","",COUNTIF('AFA Rates'!$A$5:$A$1004,A890))</f>
        <v/>
      </c>
      <c r="O890" s="54" t="n"/>
      <c r="P890" s="5" t="n"/>
      <c r="Q890" s="5" t="n"/>
      <c r="R890">
        <f>IF(AND(A890&lt;&gt;"",B890="Paused"),COUNTIFS($A$5:A890,"&lt;&gt;",$B$5:B890,"Paused"),"")</f>
        <v/>
      </c>
      <c r="S890">
        <f>IF(M890="Yes",COUNTIF($M$5:M890,"Yes"),"")</f>
        <v/>
      </c>
    </row>
    <row r="891">
      <c r="A891" s="5" t="n"/>
      <c r="B891" s="51" t="n"/>
      <c r="C891" s="5" t="n"/>
      <c r="D891" s="52" t="n"/>
      <c r="E891" s="52" t="n"/>
      <c r="F891" s="52" t="n"/>
      <c r="G891" s="52" t="n"/>
      <c r="H891" s="52" t="n"/>
      <c r="I891" s="52" t="n"/>
      <c r="J891" s="52" t="n"/>
      <c r="K891" s="52" t="n"/>
      <c r="L891" s="51" t="n"/>
      <c r="M891" s="53">
        <f>IF(A891="","",IF(COUNTIF('AFA Rates'!$A$5:$A$1004,A891)&gt;0,"Yes","No"))</f>
        <v/>
      </c>
      <c r="N891" s="53">
        <f>IF(A891="","",COUNTIF('AFA Rates'!$A$5:$A$1004,A891))</f>
        <v/>
      </c>
      <c r="O891" s="54" t="n"/>
      <c r="P891" s="5" t="n"/>
      <c r="Q891" s="5" t="n"/>
      <c r="R891">
        <f>IF(AND(A891&lt;&gt;"",B891="Paused"),COUNTIFS($A$5:A891,"&lt;&gt;",$B$5:B891,"Paused"),"")</f>
        <v/>
      </c>
      <c r="S891">
        <f>IF(M891="Yes",COUNTIF($M$5:M891,"Yes"),"")</f>
        <v/>
      </c>
    </row>
    <row r="892">
      <c r="A892" s="5" t="n"/>
      <c r="B892" s="51" t="n"/>
      <c r="C892" s="5" t="n"/>
      <c r="D892" s="52" t="n"/>
      <c r="E892" s="52" t="n"/>
      <c r="F892" s="52" t="n"/>
      <c r="G892" s="52" t="n"/>
      <c r="H892" s="52" t="n"/>
      <c r="I892" s="52" t="n"/>
      <c r="J892" s="52" t="n"/>
      <c r="K892" s="52" t="n"/>
      <c r="L892" s="51" t="n"/>
      <c r="M892" s="53">
        <f>IF(A892="","",IF(COUNTIF('AFA Rates'!$A$5:$A$1004,A892)&gt;0,"Yes","No"))</f>
        <v/>
      </c>
      <c r="N892" s="53">
        <f>IF(A892="","",COUNTIF('AFA Rates'!$A$5:$A$1004,A892))</f>
        <v/>
      </c>
      <c r="O892" s="54" t="n"/>
      <c r="P892" s="5" t="n"/>
      <c r="Q892" s="5" t="n"/>
      <c r="R892">
        <f>IF(AND(A892&lt;&gt;"",B892="Paused"),COUNTIFS($A$5:A892,"&lt;&gt;",$B$5:B892,"Paused"),"")</f>
        <v/>
      </c>
      <c r="S892">
        <f>IF(M892="Yes",COUNTIF($M$5:M892,"Yes"),"")</f>
        <v/>
      </c>
    </row>
    <row r="893">
      <c r="A893" s="5" t="n"/>
      <c r="B893" s="51" t="n"/>
      <c r="C893" s="5" t="n"/>
      <c r="D893" s="52" t="n"/>
      <c r="E893" s="52" t="n"/>
      <c r="F893" s="52" t="n"/>
      <c r="G893" s="52" t="n"/>
      <c r="H893" s="52" t="n"/>
      <c r="I893" s="52" t="n"/>
      <c r="J893" s="52" t="n"/>
      <c r="K893" s="52" t="n"/>
      <c r="L893" s="51" t="n"/>
      <c r="M893" s="53">
        <f>IF(A893="","",IF(COUNTIF('AFA Rates'!$A$5:$A$1004,A893)&gt;0,"Yes","No"))</f>
        <v/>
      </c>
      <c r="N893" s="53">
        <f>IF(A893="","",COUNTIF('AFA Rates'!$A$5:$A$1004,A893))</f>
        <v/>
      </c>
      <c r="O893" s="54" t="n"/>
      <c r="P893" s="5" t="n"/>
      <c r="Q893" s="5" t="n"/>
      <c r="R893">
        <f>IF(AND(A893&lt;&gt;"",B893="Paused"),COUNTIFS($A$5:A893,"&lt;&gt;",$B$5:B893,"Paused"),"")</f>
        <v/>
      </c>
      <c r="S893">
        <f>IF(M893="Yes",COUNTIF($M$5:M893,"Yes"),"")</f>
        <v/>
      </c>
    </row>
    <row r="894">
      <c r="A894" s="5" t="n"/>
      <c r="B894" s="51" t="n"/>
      <c r="C894" s="5" t="n"/>
      <c r="D894" s="52" t="n"/>
      <c r="E894" s="52" t="n"/>
      <c r="F894" s="52" t="n"/>
      <c r="G894" s="52" t="n"/>
      <c r="H894" s="52" t="n"/>
      <c r="I894" s="52" t="n"/>
      <c r="J894" s="52" t="n"/>
      <c r="K894" s="52" t="n"/>
      <c r="L894" s="51" t="n"/>
      <c r="M894" s="53">
        <f>IF(A894="","",IF(COUNTIF('AFA Rates'!$A$5:$A$1004,A894)&gt;0,"Yes","No"))</f>
        <v/>
      </c>
      <c r="N894" s="53">
        <f>IF(A894="","",COUNTIF('AFA Rates'!$A$5:$A$1004,A894))</f>
        <v/>
      </c>
      <c r="O894" s="54" t="n"/>
      <c r="P894" s="5" t="n"/>
      <c r="Q894" s="5" t="n"/>
      <c r="R894">
        <f>IF(AND(A894&lt;&gt;"",B894="Paused"),COUNTIFS($A$5:A894,"&lt;&gt;",$B$5:B894,"Paused"),"")</f>
        <v/>
      </c>
      <c r="S894">
        <f>IF(M894="Yes",COUNTIF($M$5:M894,"Yes"),"")</f>
        <v/>
      </c>
    </row>
    <row r="895">
      <c r="A895" s="5" t="n"/>
      <c r="B895" s="51" t="n"/>
      <c r="C895" s="5" t="n"/>
      <c r="D895" s="52" t="n"/>
      <c r="E895" s="52" t="n"/>
      <c r="F895" s="52" t="n"/>
      <c r="G895" s="52" t="n"/>
      <c r="H895" s="52" t="n"/>
      <c r="I895" s="52" t="n"/>
      <c r="J895" s="52" t="n"/>
      <c r="K895" s="52" t="n"/>
      <c r="L895" s="51" t="n"/>
      <c r="M895" s="53">
        <f>IF(A895="","",IF(COUNTIF('AFA Rates'!$A$5:$A$1004,A895)&gt;0,"Yes","No"))</f>
        <v/>
      </c>
      <c r="N895" s="53">
        <f>IF(A895="","",COUNTIF('AFA Rates'!$A$5:$A$1004,A895))</f>
        <v/>
      </c>
      <c r="O895" s="54" t="n"/>
      <c r="P895" s="5" t="n"/>
      <c r="Q895" s="5" t="n"/>
      <c r="R895">
        <f>IF(AND(A895&lt;&gt;"",B895="Paused"),COUNTIFS($A$5:A895,"&lt;&gt;",$B$5:B895,"Paused"),"")</f>
        <v/>
      </c>
      <c r="S895">
        <f>IF(M895="Yes",COUNTIF($M$5:M895,"Yes"),"")</f>
        <v/>
      </c>
    </row>
    <row r="896">
      <c r="A896" s="5" t="n"/>
      <c r="B896" s="51" t="n"/>
      <c r="C896" s="5" t="n"/>
      <c r="D896" s="52" t="n"/>
      <c r="E896" s="52" t="n"/>
      <c r="F896" s="52" t="n"/>
      <c r="G896" s="52" t="n"/>
      <c r="H896" s="52" t="n"/>
      <c r="I896" s="52" t="n"/>
      <c r="J896" s="52" t="n"/>
      <c r="K896" s="52" t="n"/>
      <c r="L896" s="51" t="n"/>
      <c r="M896" s="53">
        <f>IF(A896="","",IF(COUNTIF('AFA Rates'!$A$5:$A$1004,A896)&gt;0,"Yes","No"))</f>
        <v/>
      </c>
      <c r="N896" s="53">
        <f>IF(A896="","",COUNTIF('AFA Rates'!$A$5:$A$1004,A896))</f>
        <v/>
      </c>
      <c r="O896" s="54" t="n"/>
      <c r="P896" s="5" t="n"/>
      <c r="Q896" s="5" t="n"/>
      <c r="R896">
        <f>IF(AND(A896&lt;&gt;"",B896="Paused"),COUNTIFS($A$5:A896,"&lt;&gt;",$B$5:B896,"Paused"),"")</f>
        <v/>
      </c>
      <c r="S896">
        <f>IF(M896="Yes",COUNTIF($M$5:M896,"Yes"),"")</f>
        <v/>
      </c>
    </row>
    <row r="897">
      <c r="A897" s="5" t="n"/>
      <c r="B897" s="51" t="n"/>
      <c r="C897" s="5" t="n"/>
      <c r="D897" s="52" t="n"/>
      <c r="E897" s="52" t="n"/>
      <c r="F897" s="52" t="n"/>
      <c r="G897" s="52" t="n"/>
      <c r="H897" s="52" t="n"/>
      <c r="I897" s="52" t="n"/>
      <c r="J897" s="52" t="n"/>
      <c r="K897" s="52" t="n"/>
      <c r="L897" s="51" t="n"/>
      <c r="M897" s="53">
        <f>IF(A897="","",IF(COUNTIF('AFA Rates'!$A$5:$A$1004,A897)&gt;0,"Yes","No"))</f>
        <v/>
      </c>
      <c r="N897" s="53">
        <f>IF(A897="","",COUNTIF('AFA Rates'!$A$5:$A$1004,A897))</f>
        <v/>
      </c>
      <c r="O897" s="54" t="n"/>
      <c r="P897" s="5" t="n"/>
      <c r="Q897" s="5" t="n"/>
      <c r="R897">
        <f>IF(AND(A897&lt;&gt;"",B897="Paused"),COUNTIFS($A$5:A897,"&lt;&gt;",$B$5:B897,"Paused"),"")</f>
        <v/>
      </c>
      <c r="S897">
        <f>IF(M897="Yes",COUNTIF($M$5:M897,"Yes"),"")</f>
        <v/>
      </c>
    </row>
    <row r="898">
      <c r="A898" s="5" t="n"/>
      <c r="B898" s="51" t="n"/>
      <c r="C898" s="5" t="n"/>
      <c r="D898" s="52" t="n"/>
      <c r="E898" s="52" t="n"/>
      <c r="F898" s="52" t="n"/>
      <c r="G898" s="52" t="n"/>
      <c r="H898" s="52" t="n"/>
      <c r="I898" s="52" t="n"/>
      <c r="J898" s="52" t="n"/>
      <c r="K898" s="52" t="n"/>
      <c r="L898" s="51" t="n"/>
      <c r="M898" s="53">
        <f>IF(A898="","",IF(COUNTIF('AFA Rates'!$A$5:$A$1004,A898)&gt;0,"Yes","No"))</f>
        <v/>
      </c>
      <c r="N898" s="53">
        <f>IF(A898="","",COUNTIF('AFA Rates'!$A$5:$A$1004,A898))</f>
        <v/>
      </c>
      <c r="O898" s="54" t="n"/>
      <c r="P898" s="5" t="n"/>
      <c r="Q898" s="5" t="n"/>
      <c r="R898">
        <f>IF(AND(A898&lt;&gt;"",B898="Paused"),COUNTIFS($A$5:A898,"&lt;&gt;",$B$5:B898,"Paused"),"")</f>
        <v/>
      </c>
      <c r="S898">
        <f>IF(M898="Yes",COUNTIF($M$5:M898,"Yes"),"")</f>
        <v/>
      </c>
    </row>
    <row r="899">
      <c r="A899" s="5" t="n"/>
      <c r="B899" s="51" t="n"/>
      <c r="C899" s="5" t="n"/>
      <c r="D899" s="52" t="n"/>
      <c r="E899" s="52" t="n"/>
      <c r="F899" s="52" t="n"/>
      <c r="G899" s="52" t="n"/>
      <c r="H899" s="52" t="n"/>
      <c r="I899" s="52" t="n"/>
      <c r="J899" s="52" t="n"/>
      <c r="K899" s="52" t="n"/>
      <c r="L899" s="51" t="n"/>
      <c r="M899" s="53">
        <f>IF(A899="","",IF(COUNTIF('AFA Rates'!$A$5:$A$1004,A899)&gt;0,"Yes","No"))</f>
        <v/>
      </c>
      <c r="N899" s="53">
        <f>IF(A899="","",COUNTIF('AFA Rates'!$A$5:$A$1004,A899))</f>
        <v/>
      </c>
      <c r="O899" s="54" t="n"/>
      <c r="P899" s="5" t="n"/>
      <c r="Q899" s="5" t="n"/>
      <c r="R899">
        <f>IF(AND(A899&lt;&gt;"",B899="Paused"),COUNTIFS($A$5:A899,"&lt;&gt;",$B$5:B899,"Paused"),"")</f>
        <v/>
      </c>
      <c r="S899">
        <f>IF(M899="Yes",COUNTIF($M$5:M899,"Yes"),"")</f>
        <v/>
      </c>
    </row>
    <row r="900">
      <c r="A900" s="5" t="n"/>
      <c r="B900" s="51" t="n"/>
      <c r="C900" s="5" t="n"/>
      <c r="D900" s="52" t="n"/>
      <c r="E900" s="52" t="n"/>
      <c r="F900" s="52" t="n"/>
      <c r="G900" s="52" t="n"/>
      <c r="H900" s="52" t="n"/>
      <c r="I900" s="52" t="n"/>
      <c r="J900" s="52" t="n"/>
      <c r="K900" s="52" t="n"/>
      <c r="L900" s="51" t="n"/>
      <c r="M900" s="53">
        <f>IF(A900="","",IF(COUNTIF('AFA Rates'!$A$5:$A$1004,A900)&gt;0,"Yes","No"))</f>
        <v/>
      </c>
      <c r="N900" s="53">
        <f>IF(A900="","",COUNTIF('AFA Rates'!$A$5:$A$1004,A900))</f>
        <v/>
      </c>
      <c r="O900" s="54" t="n"/>
      <c r="P900" s="5" t="n"/>
      <c r="Q900" s="5" t="n"/>
      <c r="R900">
        <f>IF(AND(A900&lt;&gt;"",B900="Paused"),COUNTIFS($A$5:A900,"&lt;&gt;",$B$5:B900,"Paused"),"")</f>
        <v/>
      </c>
      <c r="S900">
        <f>IF(M900="Yes",COUNTIF($M$5:M900,"Yes"),"")</f>
        <v/>
      </c>
    </row>
    <row r="901">
      <c r="A901" s="5" t="n"/>
      <c r="B901" s="51" t="n"/>
      <c r="C901" s="5" t="n"/>
      <c r="D901" s="52" t="n"/>
      <c r="E901" s="52" t="n"/>
      <c r="F901" s="52" t="n"/>
      <c r="G901" s="52" t="n"/>
      <c r="H901" s="52" t="n"/>
      <c r="I901" s="52" t="n"/>
      <c r="J901" s="52" t="n"/>
      <c r="K901" s="52" t="n"/>
      <c r="L901" s="51" t="n"/>
      <c r="M901" s="53">
        <f>IF(A901="","",IF(COUNTIF('AFA Rates'!$A$5:$A$1004,A901)&gt;0,"Yes","No"))</f>
        <v/>
      </c>
      <c r="N901" s="53">
        <f>IF(A901="","",COUNTIF('AFA Rates'!$A$5:$A$1004,A901))</f>
        <v/>
      </c>
      <c r="O901" s="54" t="n"/>
      <c r="P901" s="5" t="n"/>
      <c r="Q901" s="5" t="n"/>
      <c r="R901">
        <f>IF(AND(A901&lt;&gt;"",B901="Paused"),COUNTIFS($A$5:A901,"&lt;&gt;",$B$5:B901,"Paused"),"")</f>
        <v/>
      </c>
      <c r="S901">
        <f>IF(M901="Yes",COUNTIF($M$5:M901,"Yes"),"")</f>
        <v/>
      </c>
    </row>
    <row r="902">
      <c r="A902" s="5" t="n"/>
      <c r="B902" s="51" t="n"/>
      <c r="C902" s="5" t="n"/>
      <c r="D902" s="52" t="n"/>
      <c r="E902" s="52" t="n"/>
      <c r="F902" s="52" t="n"/>
      <c r="G902" s="52" t="n"/>
      <c r="H902" s="52" t="n"/>
      <c r="I902" s="52" t="n"/>
      <c r="J902" s="52" t="n"/>
      <c r="K902" s="52" t="n"/>
      <c r="L902" s="51" t="n"/>
      <c r="M902" s="53">
        <f>IF(A902="","",IF(COUNTIF('AFA Rates'!$A$5:$A$1004,A902)&gt;0,"Yes","No"))</f>
        <v/>
      </c>
      <c r="N902" s="53">
        <f>IF(A902="","",COUNTIF('AFA Rates'!$A$5:$A$1004,A902))</f>
        <v/>
      </c>
      <c r="O902" s="54" t="n"/>
      <c r="P902" s="5" t="n"/>
      <c r="Q902" s="5" t="n"/>
      <c r="R902">
        <f>IF(AND(A902&lt;&gt;"",B902="Paused"),COUNTIFS($A$5:A902,"&lt;&gt;",$B$5:B902,"Paused"),"")</f>
        <v/>
      </c>
      <c r="S902">
        <f>IF(M902="Yes",COUNTIF($M$5:M902,"Yes"),"")</f>
        <v/>
      </c>
    </row>
    <row r="903">
      <c r="A903" s="5" t="n"/>
      <c r="B903" s="51" t="n"/>
      <c r="C903" s="5" t="n"/>
      <c r="D903" s="52" t="n"/>
      <c r="E903" s="52" t="n"/>
      <c r="F903" s="52" t="n"/>
      <c r="G903" s="52" t="n"/>
      <c r="H903" s="52" t="n"/>
      <c r="I903" s="52" t="n"/>
      <c r="J903" s="52" t="n"/>
      <c r="K903" s="52" t="n"/>
      <c r="L903" s="51" t="n"/>
      <c r="M903" s="53">
        <f>IF(A903="","",IF(COUNTIF('AFA Rates'!$A$5:$A$1004,A903)&gt;0,"Yes","No"))</f>
        <v/>
      </c>
      <c r="N903" s="53">
        <f>IF(A903="","",COUNTIF('AFA Rates'!$A$5:$A$1004,A903))</f>
        <v/>
      </c>
      <c r="O903" s="54" t="n"/>
      <c r="P903" s="5" t="n"/>
      <c r="Q903" s="5" t="n"/>
      <c r="R903">
        <f>IF(AND(A903&lt;&gt;"",B903="Paused"),COUNTIFS($A$5:A903,"&lt;&gt;",$B$5:B903,"Paused"),"")</f>
        <v/>
      </c>
      <c r="S903">
        <f>IF(M903="Yes",COUNTIF($M$5:M903,"Yes"),"")</f>
        <v/>
      </c>
    </row>
    <row r="904">
      <c r="A904" s="5" t="n"/>
      <c r="B904" s="51" t="n"/>
      <c r="C904" s="5" t="n"/>
      <c r="D904" s="52" t="n"/>
      <c r="E904" s="52" t="n"/>
      <c r="F904" s="52" t="n"/>
      <c r="G904" s="52" t="n"/>
      <c r="H904" s="52" t="n"/>
      <c r="I904" s="52" t="n"/>
      <c r="J904" s="52" t="n"/>
      <c r="K904" s="52" t="n"/>
      <c r="L904" s="51" t="n"/>
      <c r="M904" s="53">
        <f>IF(A904="","",IF(COUNTIF('AFA Rates'!$A$5:$A$1004,A904)&gt;0,"Yes","No"))</f>
        <v/>
      </c>
      <c r="N904" s="53">
        <f>IF(A904="","",COUNTIF('AFA Rates'!$A$5:$A$1004,A904))</f>
        <v/>
      </c>
      <c r="O904" s="54" t="n"/>
      <c r="P904" s="5" t="n"/>
      <c r="Q904" s="5" t="n"/>
      <c r="R904">
        <f>IF(AND(A904&lt;&gt;"",B904="Paused"),COUNTIFS($A$5:A904,"&lt;&gt;",$B$5:B904,"Paused"),"")</f>
        <v/>
      </c>
      <c r="S904">
        <f>IF(M904="Yes",COUNTIF($M$5:M904,"Yes"),"")</f>
        <v/>
      </c>
    </row>
    <row r="905">
      <c r="A905" s="5" t="n"/>
      <c r="B905" s="51" t="n"/>
      <c r="C905" s="5" t="n"/>
      <c r="D905" s="52" t="n"/>
      <c r="E905" s="52" t="n"/>
      <c r="F905" s="52" t="n"/>
      <c r="G905" s="52" t="n"/>
      <c r="H905" s="52" t="n"/>
      <c r="I905" s="52" t="n"/>
      <c r="J905" s="52" t="n"/>
      <c r="K905" s="52" t="n"/>
      <c r="L905" s="51" t="n"/>
      <c r="M905" s="53">
        <f>IF(A905="","",IF(COUNTIF('AFA Rates'!$A$5:$A$1004,A905)&gt;0,"Yes","No"))</f>
        <v/>
      </c>
      <c r="N905" s="53">
        <f>IF(A905="","",COUNTIF('AFA Rates'!$A$5:$A$1004,A905))</f>
        <v/>
      </c>
      <c r="O905" s="54" t="n"/>
      <c r="P905" s="5" t="n"/>
      <c r="Q905" s="5" t="n"/>
      <c r="R905">
        <f>IF(AND(A905&lt;&gt;"",B905="Paused"),COUNTIFS($A$5:A905,"&lt;&gt;",$B$5:B905,"Paused"),"")</f>
        <v/>
      </c>
      <c r="S905">
        <f>IF(M905="Yes",COUNTIF($M$5:M905,"Yes"),"")</f>
        <v/>
      </c>
    </row>
    <row r="906">
      <c r="A906" s="5" t="n"/>
      <c r="B906" s="51" t="n"/>
      <c r="C906" s="5" t="n"/>
      <c r="D906" s="52" t="n"/>
      <c r="E906" s="52" t="n"/>
      <c r="F906" s="52" t="n"/>
      <c r="G906" s="52" t="n"/>
      <c r="H906" s="52" t="n"/>
      <c r="I906" s="52" t="n"/>
      <c r="J906" s="52" t="n"/>
      <c r="K906" s="52" t="n"/>
      <c r="L906" s="51" t="n"/>
      <c r="M906" s="53">
        <f>IF(A906="","",IF(COUNTIF('AFA Rates'!$A$5:$A$1004,A906)&gt;0,"Yes","No"))</f>
        <v/>
      </c>
      <c r="N906" s="53">
        <f>IF(A906="","",COUNTIF('AFA Rates'!$A$5:$A$1004,A906))</f>
        <v/>
      </c>
      <c r="O906" s="54" t="n"/>
      <c r="P906" s="5" t="n"/>
      <c r="Q906" s="5" t="n"/>
      <c r="R906">
        <f>IF(AND(A906&lt;&gt;"",B906="Paused"),COUNTIFS($A$5:A906,"&lt;&gt;",$B$5:B906,"Paused"),"")</f>
        <v/>
      </c>
      <c r="S906">
        <f>IF(M906="Yes",COUNTIF($M$5:M906,"Yes"),"")</f>
        <v/>
      </c>
    </row>
    <row r="907">
      <c r="A907" s="5" t="n"/>
      <c r="B907" s="51" t="n"/>
      <c r="C907" s="5" t="n"/>
      <c r="D907" s="52" t="n"/>
      <c r="E907" s="52" t="n"/>
      <c r="F907" s="52" t="n"/>
      <c r="G907" s="52" t="n"/>
      <c r="H907" s="52" t="n"/>
      <c r="I907" s="52" t="n"/>
      <c r="J907" s="52" t="n"/>
      <c r="K907" s="52" t="n"/>
      <c r="L907" s="51" t="n"/>
      <c r="M907" s="53">
        <f>IF(A907="","",IF(COUNTIF('AFA Rates'!$A$5:$A$1004,A907)&gt;0,"Yes","No"))</f>
        <v/>
      </c>
      <c r="N907" s="53">
        <f>IF(A907="","",COUNTIF('AFA Rates'!$A$5:$A$1004,A907))</f>
        <v/>
      </c>
      <c r="O907" s="54" t="n"/>
      <c r="P907" s="5" t="n"/>
      <c r="Q907" s="5" t="n"/>
      <c r="R907">
        <f>IF(AND(A907&lt;&gt;"",B907="Paused"),COUNTIFS($A$5:A907,"&lt;&gt;",$B$5:B907,"Paused"),"")</f>
        <v/>
      </c>
      <c r="S907">
        <f>IF(M907="Yes",COUNTIF($M$5:M907,"Yes"),"")</f>
        <v/>
      </c>
    </row>
    <row r="908">
      <c r="A908" s="5" t="n"/>
      <c r="B908" s="51" t="n"/>
      <c r="C908" s="5" t="n"/>
      <c r="D908" s="52" t="n"/>
      <c r="E908" s="52" t="n"/>
      <c r="F908" s="52" t="n"/>
      <c r="G908" s="52" t="n"/>
      <c r="H908" s="52" t="n"/>
      <c r="I908" s="52" t="n"/>
      <c r="J908" s="52" t="n"/>
      <c r="K908" s="52" t="n"/>
      <c r="L908" s="51" t="n"/>
      <c r="M908" s="53">
        <f>IF(A908="","",IF(COUNTIF('AFA Rates'!$A$5:$A$1004,A908)&gt;0,"Yes","No"))</f>
        <v/>
      </c>
      <c r="N908" s="53">
        <f>IF(A908="","",COUNTIF('AFA Rates'!$A$5:$A$1004,A908))</f>
        <v/>
      </c>
      <c r="O908" s="54" t="n"/>
      <c r="P908" s="5" t="n"/>
      <c r="Q908" s="5" t="n"/>
      <c r="R908">
        <f>IF(AND(A908&lt;&gt;"",B908="Paused"),COUNTIFS($A$5:A908,"&lt;&gt;",$B$5:B908,"Paused"),"")</f>
        <v/>
      </c>
      <c r="S908">
        <f>IF(M908="Yes",COUNTIF($M$5:M908,"Yes"),"")</f>
        <v/>
      </c>
    </row>
    <row r="909">
      <c r="A909" s="5" t="n"/>
      <c r="B909" s="51" t="n"/>
      <c r="C909" s="5" t="n"/>
      <c r="D909" s="52" t="n"/>
      <c r="E909" s="52" t="n"/>
      <c r="F909" s="52" t="n"/>
      <c r="G909" s="52" t="n"/>
      <c r="H909" s="52" t="n"/>
      <c r="I909" s="52" t="n"/>
      <c r="J909" s="52" t="n"/>
      <c r="K909" s="52" t="n"/>
      <c r="L909" s="51" t="n"/>
      <c r="M909" s="53">
        <f>IF(A909="","",IF(COUNTIF('AFA Rates'!$A$5:$A$1004,A909)&gt;0,"Yes","No"))</f>
        <v/>
      </c>
      <c r="N909" s="53">
        <f>IF(A909="","",COUNTIF('AFA Rates'!$A$5:$A$1004,A909))</f>
        <v/>
      </c>
      <c r="O909" s="54" t="n"/>
      <c r="P909" s="5" t="n"/>
      <c r="Q909" s="5" t="n"/>
      <c r="R909">
        <f>IF(AND(A909&lt;&gt;"",B909="Paused"),COUNTIFS($A$5:A909,"&lt;&gt;",$B$5:B909,"Paused"),"")</f>
        <v/>
      </c>
      <c r="S909">
        <f>IF(M909="Yes",COUNTIF($M$5:M909,"Yes"),"")</f>
        <v/>
      </c>
    </row>
    <row r="910">
      <c r="A910" s="5" t="n"/>
      <c r="B910" s="51" t="n"/>
      <c r="C910" s="5" t="n"/>
      <c r="D910" s="52" t="n"/>
      <c r="E910" s="52" t="n"/>
      <c r="F910" s="52" t="n"/>
      <c r="G910" s="52" t="n"/>
      <c r="H910" s="52" t="n"/>
      <c r="I910" s="52" t="n"/>
      <c r="J910" s="52" t="n"/>
      <c r="K910" s="52" t="n"/>
      <c r="L910" s="51" t="n"/>
      <c r="M910" s="53">
        <f>IF(A910="","",IF(COUNTIF('AFA Rates'!$A$5:$A$1004,A910)&gt;0,"Yes","No"))</f>
        <v/>
      </c>
      <c r="N910" s="53">
        <f>IF(A910="","",COUNTIF('AFA Rates'!$A$5:$A$1004,A910))</f>
        <v/>
      </c>
      <c r="O910" s="54" t="n"/>
      <c r="P910" s="5" t="n"/>
      <c r="Q910" s="5" t="n"/>
      <c r="R910">
        <f>IF(AND(A910&lt;&gt;"",B910="Paused"),COUNTIFS($A$5:A910,"&lt;&gt;",$B$5:B910,"Paused"),"")</f>
        <v/>
      </c>
      <c r="S910">
        <f>IF(M910="Yes",COUNTIF($M$5:M910,"Yes"),"")</f>
        <v/>
      </c>
    </row>
    <row r="911">
      <c r="A911" s="5" t="n"/>
      <c r="B911" s="51" t="n"/>
      <c r="C911" s="5" t="n"/>
      <c r="D911" s="52" t="n"/>
      <c r="E911" s="52" t="n"/>
      <c r="F911" s="52" t="n"/>
      <c r="G911" s="52" t="n"/>
      <c r="H911" s="52" t="n"/>
      <c r="I911" s="52" t="n"/>
      <c r="J911" s="52" t="n"/>
      <c r="K911" s="52" t="n"/>
      <c r="L911" s="51" t="n"/>
      <c r="M911" s="53">
        <f>IF(A911="","",IF(COUNTIF('AFA Rates'!$A$5:$A$1004,A911)&gt;0,"Yes","No"))</f>
        <v/>
      </c>
      <c r="N911" s="53">
        <f>IF(A911="","",COUNTIF('AFA Rates'!$A$5:$A$1004,A911))</f>
        <v/>
      </c>
      <c r="O911" s="54" t="n"/>
      <c r="P911" s="5" t="n"/>
      <c r="Q911" s="5" t="n"/>
      <c r="R911">
        <f>IF(AND(A911&lt;&gt;"",B911="Paused"),COUNTIFS($A$5:A911,"&lt;&gt;",$B$5:B911,"Paused"),"")</f>
        <v/>
      </c>
      <c r="S911">
        <f>IF(M911="Yes",COUNTIF($M$5:M911,"Yes"),"")</f>
        <v/>
      </c>
    </row>
    <row r="912">
      <c r="A912" s="5" t="n"/>
      <c r="B912" s="51" t="n"/>
      <c r="C912" s="5" t="n"/>
      <c r="D912" s="52" t="n"/>
      <c r="E912" s="52" t="n"/>
      <c r="F912" s="52" t="n"/>
      <c r="G912" s="52" t="n"/>
      <c r="H912" s="52" t="n"/>
      <c r="I912" s="52" t="n"/>
      <c r="J912" s="52" t="n"/>
      <c r="K912" s="52" t="n"/>
      <c r="L912" s="51" t="n"/>
      <c r="M912" s="53">
        <f>IF(A912="","",IF(COUNTIF('AFA Rates'!$A$5:$A$1004,A912)&gt;0,"Yes","No"))</f>
        <v/>
      </c>
      <c r="N912" s="53">
        <f>IF(A912="","",COUNTIF('AFA Rates'!$A$5:$A$1004,A912))</f>
        <v/>
      </c>
      <c r="O912" s="54" t="n"/>
      <c r="P912" s="5" t="n"/>
      <c r="Q912" s="5" t="n"/>
      <c r="R912">
        <f>IF(AND(A912&lt;&gt;"",B912="Paused"),COUNTIFS($A$5:A912,"&lt;&gt;",$B$5:B912,"Paused"),"")</f>
        <v/>
      </c>
      <c r="S912">
        <f>IF(M912="Yes",COUNTIF($M$5:M912,"Yes"),"")</f>
        <v/>
      </c>
    </row>
    <row r="913">
      <c r="A913" s="5" t="n"/>
      <c r="B913" s="51" t="n"/>
      <c r="C913" s="5" t="n"/>
      <c r="D913" s="52" t="n"/>
      <c r="E913" s="52" t="n"/>
      <c r="F913" s="52" t="n"/>
      <c r="G913" s="52" t="n"/>
      <c r="H913" s="52" t="n"/>
      <c r="I913" s="52" t="n"/>
      <c r="J913" s="52" t="n"/>
      <c r="K913" s="52" t="n"/>
      <c r="L913" s="51" t="n"/>
      <c r="M913" s="53">
        <f>IF(A913="","",IF(COUNTIF('AFA Rates'!$A$5:$A$1004,A913)&gt;0,"Yes","No"))</f>
        <v/>
      </c>
      <c r="N913" s="53">
        <f>IF(A913="","",COUNTIF('AFA Rates'!$A$5:$A$1004,A913))</f>
        <v/>
      </c>
      <c r="O913" s="54" t="n"/>
      <c r="P913" s="5" t="n"/>
      <c r="Q913" s="5" t="n"/>
      <c r="R913">
        <f>IF(AND(A913&lt;&gt;"",B913="Paused"),COUNTIFS($A$5:A913,"&lt;&gt;",$B$5:B913,"Paused"),"")</f>
        <v/>
      </c>
      <c r="S913">
        <f>IF(M913="Yes",COUNTIF($M$5:M913,"Yes"),"")</f>
        <v/>
      </c>
    </row>
    <row r="914">
      <c r="A914" s="5" t="n"/>
      <c r="B914" s="51" t="n"/>
      <c r="C914" s="5" t="n"/>
      <c r="D914" s="52" t="n"/>
      <c r="E914" s="52" t="n"/>
      <c r="F914" s="52" t="n"/>
      <c r="G914" s="52" t="n"/>
      <c r="H914" s="52" t="n"/>
      <c r="I914" s="52" t="n"/>
      <c r="J914" s="52" t="n"/>
      <c r="K914" s="52" t="n"/>
      <c r="L914" s="51" t="n"/>
      <c r="M914" s="53">
        <f>IF(A914="","",IF(COUNTIF('AFA Rates'!$A$5:$A$1004,A914)&gt;0,"Yes","No"))</f>
        <v/>
      </c>
      <c r="N914" s="53">
        <f>IF(A914="","",COUNTIF('AFA Rates'!$A$5:$A$1004,A914))</f>
        <v/>
      </c>
      <c r="O914" s="54" t="n"/>
      <c r="P914" s="5" t="n"/>
      <c r="Q914" s="5" t="n"/>
      <c r="R914">
        <f>IF(AND(A914&lt;&gt;"",B914="Paused"),COUNTIFS($A$5:A914,"&lt;&gt;",$B$5:B914,"Paused"),"")</f>
        <v/>
      </c>
      <c r="S914">
        <f>IF(M914="Yes",COUNTIF($M$5:M914,"Yes"),"")</f>
        <v/>
      </c>
    </row>
    <row r="915">
      <c r="A915" s="5" t="n"/>
      <c r="B915" s="51" t="n"/>
      <c r="C915" s="5" t="n"/>
      <c r="D915" s="52" t="n"/>
      <c r="E915" s="52" t="n"/>
      <c r="F915" s="52" t="n"/>
      <c r="G915" s="52" t="n"/>
      <c r="H915" s="52" t="n"/>
      <c r="I915" s="52" t="n"/>
      <c r="J915" s="52" t="n"/>
      <c r="K915" s="52" t="n"/>
      <c r="L915" s="51" t="n"/>
      <c r="M915" s="53">
        <f>IF(A915="","",IF(COUNTIF('AFA Rates'!$A$5:$A$1004,A915)&gt;0,"Yes","No"))</f>
        <v/>
      </c>
      <c r="N915" s="53">
        <f>IF(A915="","",COUNTIF('AFA Rates'!$A$5:$A$1004,A915))</f>
        <v/>
      </c>
      <c r="O915" s="54" t="n"/>
      <c r="P915" s="5" t="n"/>
      <c r="Q915" s="5" t="n"/>
      <c r="R915">
        <f>IF(AND(A915&lt;&gt;"",B915="Paused"),COUNTIFS($A$5:A915,"&lt;&gt;",$B$5:B915,"Paused"),"")</f>
        <v/>
      </c>
      <c r="S915">
        <f>IF(M915="Yes",COUNTIF($M$5:M915,"Yes"),"")</f>
        <v/>
      </c>
    </row>
    <row r="916">
      <c r="A916" s="5" t="n"/>
      <c r="B916" s="51" t="n"/>
      <c r="C916" s="5" t="n"/>
      <c r="D916" s="52" t="n"/>
      <c r="E916" s="52" t="n"/>
      <c r="F916" s="52" t="n"/>
      <c r="G916" s="52" t="n"/>
      <c r="H916" s="52" t="n"/>
      <c r="I916" s="52" t="n"/>
      <c r="J916" s="52" t="n"/>
      <c r="K916" s="52" t="n"/>
      <c r="L916" s="51" t="n"/>
      <c r="M916" s="53">
        <f>IF(A916="","",IF(COUNTIF('AFA Rates'!$A$5:$A$1004,A916)&gt;0,"Yes","No"))</f>
        <v/>
      </c>
      <c r="N916" s="53">
        <f>IF(A916="","",COUNTIF('AFA Rates'!$A$5:$A$1004,A916))</f>
        <v/>
      </c>
      <c r="O916" s="54" t="n"/>
      <c r="P916" s="5" t="n"/>
      <c r="Q916" s="5" t="n"/>
      <c r="R916">
        <f>IF(AND(A916&lt;&gt;"",B916="Paused"),COUNTIFS($A$5:A916,"&lt;&gt;",$B$5:B916,"Paused"),"")</f>
        <v/>
      </c>
      <c r="S916">
        <f>IF(M916="Yes",COUNTIF($M$5:M916,"Yes"),"")</f>
        <v/>
      </c>
    </row>
    <row r="917">
      <c r="A917" s="5" t="n"/>
      <c r="B917" s="51" t="n"/>
      <c r="C917" s="5" t="n"/>
      <c r="D917" s="52" t="n"/>
      <c r="E917" s="52" t="n"/>
      <c r="F917" s="52" t="n"/>
      <c r="G917" s="52" t="n"/>
      <c r="H917" s="52" t="n"/>
      <c r="I917" s="52" t="n"/>
      <c r="J917" s="52" t="n"/>
      <c r="K917" s="52" t="n"/>
      <c r="L917" s="51" t="n"/>
      <c r="M917" s="53">
        <f>IF(A917="","",IF(COUNTIF('AFA Rates'!$A$5:$A$1004,A917)&gt;0,"Yes","No"))</f>
        <v/>
      </c>
      <c r="N917" s="53">
        <f>IF(A917="","",COUNTIF('AFA Rates'!$A$5:$A$1004,A917))</f>
        <v/>
      </c>
      <c r="O917" s="54" t="n"/>
      <c r="P917" s="5" t="n"/>
      <c r="Q917" s="5" t="n"/>
      <c r="R917">
        <f>IF(AND(A917&lt;&gt;"",B917="Paused"),COUNTIFS($A$5:A917,"&lt;&gt;",$B$5:B917,"Paused"),"")</f>
        <v/>
      </c>
      <c r="S917">
        <f>IF(M917="Yes",COUNTIF($M$5:M917,"Yes"),"")</f>
        <v/>
      </c>
    </row>
    <row r="918">
      <c r="A918" s="5" t="n"/>
      <c r="B918" s="51" t="n"/>
      <c r="C918" s="5" t="n"/>
      <c r="D918" s="52" t="n"/>
      <c r="E918" s="52" t="n"/>
      <c r="F918" s="52" t="n"/>
      <c r="G918" s="52" t="n"/>
      <c r="H918" s="52" t="n"/>
      <c r="I918" s="52" t="n"/>
      <c r="J918" s="52" t="n"/>
      <c r="K918" s="52" t="n"/>
      <c r="L918" s="51" t="n"/>
      <c r="M918" s="53">
        <f>IF(A918="","",IF(COUNTIF('AFA Rates'!$A$5:$A$1004,A918)&gt;0,"Yes","No"))</f>
        <v/>
      </c>
      <c r="N918" s="53">
        <f>IF(A918="","",COUNTIF('AFA Rates'!$A$5:$A$1004,A918))</f>
        <v/>
      </c>
      <c r="O918" s="54" t="n"/>
      <c r="P918" s="5" t="n"/>
      <c r="Q918" s="5" t="n"/>
      <c r="R918">
        <f>IF(AND(A918&lt;&gt;"",B918="Paused"),COUNTIFS($A$5:A918,"&lt;&gt;",$B$5:B918,"Paused"),"")</f>
        <v/>
      </c>
      <c r="S918">
        <f>IF(M918="Yes",COUNTIF($M$5:M918,"Yes"),"")</f>
        <v/>
      </c>
    </row>
    <row r="919">
      <c r="A919" s="5" t="n"/>
      <c r="B919" s="51" t="n"/>
      <c r="C919" s="5" t="n"/>
      <c r="D919" s="52" t="n"/>
      <c r="E919" s="52" t="n"/>
      <c r="F919" s="52" t="n"/>
      <c r="G919" s="52" t="n"/>
      <c r="H919" s="52" t="n"/>
      <c r="I919" s="52" t="n"/>
      <c r="J919" s="52" t="n"/>
      <c r="K919" s="52" t="n"/>
      <c r="L919" s="51" t="n"/>
      <c r="M919" s="53">
        <f>IF(A919="","",IF(COUNTIF('AFA Rates'!$A$5:$A$1004,A919)&gt;0,"Yes","No"))</f>
        <v/>
      </c>
      <c r="N919" s="53">
        <f>IF(A919="","",COUNTIF('AFA Rates'!$A$5:$A$1004,A919))</f>
        <v/>
      </c>
      <c r="O919" s="54" t="n"/>
      <c r="P919" s="5" t="n"/>
      <c r="Q919" s="5" t="n"/>
      <c r="R919">
        <f>IF(AND(A919&lt;&gt;"",B919="Paused"),COUNTIFS($A$5:A919,"&lt;&gt;",$B$5:B919,"Paused"),"")</f>
        <v/>
      </c>
      <c r="S919">
        <f>IF(M919="Yes",COUNTIF($M$5:M919,"Yes"),"")</f>
        <v/>
      </c>
    </row>
    <row r="920">
      <c r="A920" s="5" t="n"/>
      <c r="B920" s="51" t="n"/>
      <c r="C920" s="5" t="n"/>
      <c r="D920" s="52" t="n"/>
      <c r="E920" s="52" t="n"/>
      <c r="F920" s="52" t="n"/>
      <c r="G920" s="52" t="n"/>
      <c r="H920" s="52" t="n"/>
      <c r="I920" s="52" t="n"/>
      <c r="J920" s="52" t="n"/>
      <c r="K920" s="52" t="n"/>
      <c r="L920" s="51" t="n"/>
      <c r="M920" s="53">
        <f>IF(A920="","",IF(COUNTIF('AFA Rates'!$A$5:$A$1004,A920)&gt;0,"Yes","No"))</f>
        <v/>
      </c>
      <c r="N920" s="53">
        <f>IF(A920="","",COUNTIF('AFA Rates'!$A$5:$A$1004,A920))</f>
        <v/>
      </c>
      <c r="O920" s="54" t="n"/>
      <c r="P920" s="5" t="n"/>
      <c r="Q920" s="5" t="n"/>
      <c r="R920">
        <f>IF(AND(A920&lt;&gt;"",B920="Paused"),COUNTIFS($A$5:A920,"&lt;&gt;",$B$5:B920,"Paused"),"")</f>
        <v/>
      </c>
      <c r="S920">
        <f>IF(M920="Yes",COUNTIF($M$5:M920,"Yes"),"")</f>
        <v/>
      </c>
    </row>
    <row r="921">
      <c r="A921" s="5" t="n"/>
      <c r="B921" s="51" t="n"/>
      <c r="C921" s="5" t="n"/>
      <c r="D921" s="52" t="n"/>
      <c r="E921" s="52" t="n"/>
      <c r="F921" s="52" t="n"/>
      <c r="G921" s="52" t="n"/>
      <c r="H921" s="52" t="n"/>
      <c r="I921" s="52" t="n"/>
      <c r="J921" s="52" t="n"/>
      <c r="K921" s="52" t="n"/>
      <c r="L921" s="51" t="n"/>
      <c r="M921" s="53">
        <f>IF(A921="","",IF(COUNTIF('AFA Rates'!$A$5:$A$1004,A921)&gt;0,"Yes","No"))</f>
        <v/>
      </c>
      <c r="N921" s="53">
        <f>IF(A921="","",COUNTIF('AFA Rates'!$A$5:$A$1004,A921))</f>
        <v/>
      </c>
      <c r="O921" s="54" t="n"/>
      <c r="P921" s="5" t="n"/>
      <c r="Q921" s="5" t="n"/>
      <c r="R921">
        <f>IF(AND(A921&lt;&gt;"",B921="Paused"),COUNTIFS($A$5:A921,"&lt;&gt;",$B$5:B921,"Paused"),"")</f>
        <v/>
      </c>
      <c r="S921">
        <f>IF(M921="Yes",COUNTIF($M$5:M921,"Yes"),"")</f>
        <v/>
      </c>
    </row>
    <row r="922">
      <c r="A922" s="5" t="n"/>
      <c r="B922" s="51" t="n"/>
      <c r="C922" s="5" t="n"/>
      <c r="D922" s="52" t="n"/>
      <c r="E922" s="52" t="n"/>
      <c r="F922" s="52" t="n"/>
      <c r="G922" s="52" t="n"/>
      <c r="H922" s="52" t="n"/>
      <c r="I922" s="52" t="n"/>
      <c r="J922" s="52" t="n"/>
      <c r="K922" s="52" t="n"/>
      <c r="L922" s="51" t="n"/>
      <c r="M922" s="53">
        <f>IF(A922="","",IF(COUNTIF('AFA Rates'!$A$5:$A$1004,A922)&gt;0,"Yes","No"))</f>
        <v/>
      </c>
      <c r="N922" s="53">
        <f>IF(A922="","",COUNTIF('AFA Rates'!$A$5:$A$1004,A922))</f>
        <v/>
      </c>
      <c r="O922" s="54" t="n"/>
      <c r="P922" s="5" t="n"/>
      <c r="Q922" s="5" t="n"/>
      <c r="R922">
        <f>IF(AND(A922&lt;&gt;"",B922="Paused"),COUNTIFS($A$5:A922,"&lt;&gt;",$B$5:B922,"Paused"),"")</f>
        <v/>
      </c>
      <c r="S922">
        <f>IF(M922="Yes",COUNTIF($M$5:M922,"Yes"),"")</f>
        <v/>
      </c>
    </row>
    <row r="923">
      <c r="A923" s="5" t="n"/>
      <c r="B923" s="51" t="n"/>
      <c r="C923" s="5" t="n"/>
      <c r="D923" s="52" t="n"/>
      <c r="E923" s="52" t="n"/>
      <c r="F923" s="52" t="n"/>
      <c r="G923" s="52" t="n"/>
      <c r="H923" s="52" t="n"/>
      <c r="I923" s="52" t="n"/>
      <c r="J923" s="52" t="n"/>
      <c r="K923" s="52" t="n"/>
      <c r="L923" s="51" t="n"/>
      <c r="M923" s="53">
        <f>IF(A923="","",IF(COUNTIF('AFA Rates'!$A$5:$A$1004,A923)&gt;0,"Yes","No"))</f>
        <v/>
      </c>
      <c r="N923" s="53">
        <f>IF(A923="","",COUNTIF('AFA Rates'!$A$5:$A$1004,A923))</f>
        <v/>
      </c>
      <c r="O923" s="54" t="n"/>
      <c r="P923" s="5" t="n"/>
      <c r="Q923" s="5" t="n"/>
      <c r="R923">
        <f>IF(AND(A923&lt;&gt;"",B923="Paused"),COUNTIFS($A$5:A923,"&lt;&gt;",$B$5:B923,"Paused"),"")</f>
        <v/>
      </c>
      <c r="S923">
        <f>IF(M923="Yes",COUNTIF($M$5:M923,"Yes"),"")</f>
        <v/>
      </c>
    </row>
    <row r="924">
      <c r="A924" s="5" t="n"/>
      <c r="B924" s="51" t="n"/>
      <c r="C924" s="5" t="n"/>
      <c r="D924" s="52" t="n"/>
      <c r="E924" s="52" t="n"/>
      <c r="F924" s="52" t="n"/>
      <c r="G924" s="52" t="n"/>
      <c r="H924" s="52" t="n"/>
      <c r="I924" s="52" t="n"/>
      <c r="J924" s="52" t="n"/>
      <c r="K924" s="52" t="n"/>
      <c r="L924" s="51" t="n"/>
      <c r="M924" s="53">
        <f>IF(A924="","",IF(COUNTIF('AFA Rates'!$A$5:$A$1004,A924)&gt;0,"Yes","No"))</f>
        <v/>
      </c>
      <c r="N924" s="53">
        <f>IF(A924="","",COUNTIF('AFA Rates'!$A$5:$A$1004,A924))</f>
        <v/>
      </c>
      <c r="O924" s="54" t="n"/>
      <c r="P924" s="5" t="n"/>
      <c r="Q924" s="5" t="n"/>
      <c r="R924">
        <f>IF(AND(A924&lt;&gt;"",B924="Paused"),COUNTIFS($A$5:A924,"&lt;&gt;",$B$5:B924,"Paused"),"")</f>
        <v/>
      </c>
      <c r="S924">
        <f>IF(M924="Yes",COUNTIF($M$5:M924,"Yes"),"")</f>
        <v/>
      </c>
    </row>
    <row r="925">
      <c r="A925" s="5" t="n"/>
      <c r="B925" s="51" t="n"/>
      <c r="C925" s="5" t="n"/>
      <c r="D925" s="52" t="n"/>
      <c r="E925" s="52" t="n"/>
      <c r="F925" s="52" t="n"/>
      <c r="G925" s="52" t="n"/>
      <c r="H925" s="52" t="n"/>
      <c r="I925" s="52" t="n"/>
      <c r="J925" s="52" t="n"/>
      <c r="K925" s="52" t="n"/>
      <c r="L925" s="51" t="n"/>
      <c r="M925" s="53">
        <f>IF(A925="","",IF(COUNTIF('AFA Rates'!$A$5:$A$1004,A925)&gt;0,"Yes","No"))</f>
        <v/>
      </c>
      <c r="N925" s="53">
        <f>IF(A925="","",COUNTIF('AFA Rates'!$A$5:$A$1004,A925))</f>
        <v/>
      </c>
      <c r="O925" s="54" t="n"/>
      <c r="P925" s="5" t="n"/>
      <c r="Q925" s="5" t="n"/>
      <c r="R925">
        <f>IF(AND(A925&lt;&gt;"",B925="Paused"),COUNTIFS($A$5:A925,"&lt;&gt;",$B$5:B925,"Paused"),"")</f>
        <v/>
      </c>
      <c r="S925">
        <f>IF(M925="Yes",COUNTIF($M$5:M925,"Yes"),"")</f>
        <v/>
      </c>
    </row>
    <row r="926">
      <c r="A926" s="5" t="n"/>
      <c r="B926" s="51" t="n"/>
      <c r="C926" s="5" t="n"/>
      <c r="D926" s="52" t="n"/>
      <c r="E926" s="52" t="n"/>
      <c r="F926" s="52" t="n"/>
      <c r="G926" s="52" t="n"/>
      <c r="H926" s="52" t="n"/>
      <c r="I926" s="52" t="n"/>
      <c r="J926" s="52" t="n"/>
      <c r="K926" s="52" t="n"/>
      <c r="L926" s="51" t="n"/>
      <c r="M926" s="53">
        <f>IF(A926="","",IF(COUNTIF('AFA Rates'!$A$5:$A$1004,A926)&gt;0,"Yes","No"))</f>
        <v/>
      </c>
      <c r="N926" s="53">
        <f>IF(A926="","",COUNTIF('AFA Rates'!$A$5:$A$1004,A926))</f>
        <v/>
      </c>
      <c r="O926" s="54" t="n"/>
      <c r="P926" s="5" t="n"/>
      <c r="Q926" s="5" t="n"/>
      <c r="R926">
        <f>IF(AND(A926&lt;&gt;"",B926="Paused"),COUNTIFS($A$5:A926,"&lt;&gt;",$B$5:B926,"Paused"),"")</f>
        <v/>
      </c>
      <c r="S926">
        <f>IF(M926="Yes",COUNTIF($M$5:M926,"Yes"),"")</f>
        <v/>
      </c>
    </row>
    <row r="927">
      <c r="A927" s="5" t="n"/>
      <c r="B927" s="51" t="n"/>
      <c r="C927" s="5" t="n"/>
      <c r="D927" s="52" t="n"/>
      <c r="E927" s="52" t="n"/>
      <c r="F927" s="52" t="n"/>
      <c r="G927" s="52" t="n"/>
      <c r="H927" s="52" t="n"/>
      <c r="I927" s="52" t="n"/>
      <c r="J927" s="52" t="n"/>
      <c r="K927" s="52" t="n"/>
      <c r="L927" s="51" t="n"/>
      <c r="M927" s="53">
        <f>IF(A927="","",IF(COUNTIF('AFA Rates'!$A$5:$A$1004,A927)&gt;0,"Yes","No"))</f>
        <v/>
      </c>
      <c r="N927" s="53">
        <f>IF(A927="","",COUNTIF('AFA Rates'!$A$5:$A$1004,A927))</f>
        <v/>
      </c>
      <c r="O927" s="54" t="n"/>
      <c r="P927" s="5" t="n"/>
      <c r="Q927" s="5" t="n"/>
      <c r="R927">
        <f>IF(AND(A927&lt;&gt;"",B927="Paused"),COUNTIFS($A$5:A927,"&lt;&gt;",$B$5:B927,"Paused"),"")</f>
        <v/>
      </c>
      <c r="S927">
        <f>IF(M927="Yes",COUNTIF($M$5:M927,"Yes"),"")</f>
        <v/>
      </c>
    </row>
    <row r="928">
      <c r="A928" s="5" t="n"/>
      <c r="B928" s="51" t="n"/>
      <c r="C928" s="5" t="n"/>
      <c r="D928" s="52" t="n"/>
      <c r="E928" s="52" t="n"/>
      <c r="F928" s="52" t="n"/>
      <c r="G928" s="52" t="n"/>
      <c r="H928" s="52" t="n"/>
      <c r="I928" s="52" t="n"/>
      <c r="J928" s="52" t="n"/>
      <c r="K928" s="52" t="n"/>
      <c r="L928" s="51" t="n"/>
      <c r="M928" s="53">
        <f>IF(A928="","",IF(COUNTIF('AFA Rates'!$A$5:$A$1004,A928)&gt;0,"Yes","No"))</f>
        <v/>
      </c>
      <c r="N928" s="53">
        <f>IF(A928="","",COUNTIF('AFA Rates'!$A$5:$A$1004,A928))</f>
        <v/>
      </c>
      <c r="O928" s="54" t="n"/>
      <c r="P928" s="5" t="n"/>
      <c r="Q928" s="5" t="n"/>
      <c r="R928">
        <f>IF(AND(A928&lt;&gt;"",B928="Paused"),COUNTIFS($A$5:A928,"&lt;&gt;",$B$5:B928,"Paused"),"")</f>
        <v/>
      </c>
      <c r="S928">
        <f>IF(M928="Yes",COUNTIF($M$5:M928,"Yes"),"")</f>
        <v/>
      </c>
    </row>
    <row r="929">
      <c r="A929" s="5" t="n"/>
      <c r="B929" s="51" t="n"/>
      <c r="C929" s="5" t="n"/>
      <c r="D929" s="52" t="n"/>
      <c r="E929" s="52" t="n"/>
      <c r="F929" s="52" t="n"/>
      <c r="G929" s="52" t="n"/>
      <c r="H929" s="52" t="n"/>
      <c r="I929" s="52" t="n"/>
      <c r="J929" s="52" t="n"/>
      <c r="K929" s="52" t="n"/>
      <c r="L929" s="51" t="n"/>
      <c r="M929" s="53">
        <f>IF(A929="","",IF(COUNTIF('AFA Rates'!$A$5:$A$1004,A929)&gt;0,"Yes","No"))</f>
        <v/>
      </c>
      <c r="N929" s="53">
        <f>IF(A929="","",COUNTIF('AFA Rates'!$A$5:$A$1004,A929))</f>
        <v/>
      </c>
      <c r="O929" s="54" t="n"/>
      <c r="P929" s="5" t="n"/>
      <c r="Q929" s="5" t="n"/>
      <c r="R929">
        <f>IF(AND(A929&lt;&gt;"",B929="Paused"),COUNTIFS($A$5:A929,"&lt;&gt;",$B$5:B929,"Paused"),"")</f>
        <v/>
      </c>
      <c r="S929">
        <f>IF(M929="Yes",COUNTIF($M$5:M929,"Yes"),"")</f>
        <v/>
      </c>
    </row>
    <row r="930">
      <c r="A930" s="5" t="n"/>
      <c r="B930" s="51" t="n"/>
      <c r="C930" s="5" t="n"/>
      <c r="D930" s="52" t="n"/>
      <c r="E930" s="52" t="n"/>
      <c r="F930" s="52" t="n"/>
      <c r="G930" s="52" t="n"/>
      <c r="H930" s="52" t="n"/>
      <c r="I930" s="52" t="n"/>
      <c r="J930" s="52" t="n"/>
      <c r="K930" s="52" t="n"/>
      <c r="L930" s="51" t="n"/>
      <c r="M930" s="53">
        <f>IF(A930="","",IF(COUNTIF('AFA Rates'!$A$5:$A$1004,A930)&gt;0,"Yes","No"))</f>
        <v/>
      </c>
      <c r="N930" s="53">
        <f>IF(A930="","",COUNTIF('AFA Rates'!$A$5:$A$1004,A930))</f>
        <v/>
      </c>
      <c r="O930" s="54" t="n"/>
      <c r="P930" s="5" t="n"/>
      <c r="Q930" s="5" t="n"/>
      <c r="R930">
        <f>IF(AND(A930&lt;&gt;"",B930="Paused"),COUNTIFS($A$5:A930,"&lt;&gt;",$B$5:B930,"Paused"),"")</f>
        <v/>
      </c>
      <c r="S930">
        <f>IF(M930="Yes",COUNTIF($M$5:M930,"Yes"),"")</f>
        <v/>
      </c>
    </row>
    <row r="931">
      <c r="A931" s="5" t="n"/>
      <c r="B931" s="51" t="n"/>
      <c r="C931" s="5" t="n"/>
      <c r="D931" s="52" t="n"/>
      <c r="E931" s="52" t="n"/>
      <c r="F931" s="52" t="n"/>
      <c r="G931" s="52" t="n"/>
      <c r="H931" s="52" t="n"/>
      <c r="I931" s="52" t="n"/>
      <c r="J931" s="52" t="n"/>
      <c r="K931" s="52" t="n"/>
      <c r="L931" s="51" t="n"/>
      <c r="M931" s="53">
        <f>IF(A931="","",IF(COUNTIF('AFA Rates'!$A$5:$A$1004,A931)&gt;0,"Yes","No"))</f>
        <v/>
      </c>
      <c r="N931" s="53">
        <f>IF(A931="","",COUNTIF('AFA Rates'!$A$5:$A$1004,A931))</f>
        <v/>
      </c>
      <c r="O931" s="54" t="n"/>
      <c r="P931" s="5" t="n"/>
      <c r="Q931" s="5" t="n"/>
      <c r="R931">
        <f>IF(AND(A931&lt;&gt;"",B931="Paused"),COUNTIFS($A$5:A931,"&lt;&gt;",$B$5:B931,"Paused"),"")</f>
        <v/>
      </c>
      <c r="S931">
        <f>IF(M931="Yes",COUNTIF($M$5:M931,"Yes"),"")</f>
        <v/>
      </c>
    </row>
    <row r="932">
      <c r="A932" s="5" t="n"/>
      <c r="B932" s="51" t="n"/>
      <c r="C932" s="5" t="n"/>
      <c r="D932" s="52" t="n"/>
      <c r="E932" s="52" t="n"/>
      <c r="F932" s="52" t="n"/>
      <c r="G932" s="52" t="n"/>
      <c r="H932" s="52" t="n"/>
      <c r="I932" s="52" t="n"/>
      <c r="J932" s="52" t="n"/>
      <c r="K932" s="52" t="n"/>
      <c r="L932" s="51" t="n"/>
      <c r="M932" s="53">
        <f>IF(A932="","",IF(COUNTIF('AFA Rates'!$A$5:$A$1004,A932)&gt;0,"Yes","No"))</f>
        <v/>
      </c>
      <c r="N932" s="53">
        <f>IF(A932="","",COUNTIF('AFA Rates'!$A$5:$A$1004,A932))</f>
        <v/>
      </c>
      <c r="O932" s="54" t="n"/>
      <c r="P932" s="5" t="n"/>
      <c r="Q932" s="5" t="n"/>
      <c r="R932">
        <f>IF(AND(A932&lt;&gt;"",B932="Paused"),COUNTIFS($A$5:A932,"&lt;&gt;",$B$5:B932,"Paused"),"")</f>
        <v/>
      </c>
      <c r="S932">
        <f>IF(M932="Yes",COUNTIF($M$5:M932,"Yes"),"")</f>
        <v/>
      </c>
    </row>
    <row r="933">
      <c r="A933" s="5" t="n"/>
      <c r="B933" s="51" t="n"/>
      <c r="C933" s="5" t="n"/>
      <c r="D933" s="52" t="n"/>
      <c r="E933" s="52" t="n"/>
      <c r="F933" s="52" t="n"/>
      <c r="G933" s="52" t="n"/>
      <c r="H933" s="52" t="n"/>
      <c r="I933" s="52" t="n"/>
      <c r="J933" s="52" t="n"/>
      <c r="K933" s="52" t="n"/>
      <c r="L933" s="51" t="n"/>
      <c r="M933" s="53">
        <f>IF(A933="","",IF(COUNTIF('AFA Rates'!$A$5:$A$1004,A933)&gt;0,"Yes","No"))</f>
        <v/>
      </c>
      <c r="N933" s="53">
        <f>IF(A933="","",COUNTIF('AFA Rates'!$A$5:$A$1004,A933))</f>
        <v/>
      </c>
      <c r="O933" s="54" t="n"/>
      <c r="P933" s="5" t="n"/>
      <c r="Q933" s="5" t="n"/>
      <c r="R933">
        <f>IF(AND(A933&lt;&gt;"",B933="Paused"),COUNTIFS($A$5:A933,"&lt;&gt;",$B$5:B933,"Paused"),"")</f>
        <v/>
      </c>
      <c r="S933">
        <f>IF(M933="Yes",COUNTIF($M$5:M933,"Yes"),"")</f>
        <v/>
      </c>
    </row>
    <row r="934">
      <c r="A934" s="5" t="n"/>
      <c r="B934" s="51" t="n"/>
      <c r="C934" s="5" t="n"/>
      <c r="D934" s="52" t="n"/>
      <c r="E934" s="52" t="n"/>
      <c r="F934" s="52" t="n"/>
      <c r="G934" s="52" t="n"/>
      <c r="H934" s="52" t="n"/>
      <c r="I934" s="52" t="n"/>
      <c r="J934" s="52" t="n"/>
      <c r="K934" s="52" t="n"/>
      <c r="L934" s="51" t="n"/>
      <c r="M934" s="53">
        <f>IF(A934="","",IF(COUNTIF('AFA Rates'!$A$5:$A$1004,A934)&gt;0,"Yes","No"))</f>
        <v/>
      </c>
      <c r="N934" s="53">
        <f>IF(A934="","",COUNTIF('AFA Rates'!$A$5:$A$1004,A934))</f>
        <v/>
      </c>
      <c r="O934" s="54" t="n"/>
      <c r="P934" s="5" t="n"/>
      <c r="Q934" s="5" t="n"/>
      <c r="R934">
        <f>IF(AND(A934&lt;&gt;"",B934="Paused"),COUNTIFS($A$5:A934,"&lt;&gt;",$B$5:B934,"Paused"),"")</f>
        <v/>
      </c>
      <c r="S934">
        <f>IF(M934="Yes",COUNTIF($M$5:M934,"Yes"),"")</f>
        <v/>
      </c>
    </row>
    <row r="935">
      <c r="A935" s="5" t="n"/>
      <c r="B935" s="51" t="n"/>
      <c r="C935" s="5" t="n"/>
      <c r="D935" s="52" t="n"/>
      <c r="E935" s="52" t="n"/>
      <c r="F935" s="52" t="n"/>
      <c r="G935" s="52" t="n"/>
      <c r="H935" s="52" t="n"/>
      <c r="I935" s="52" t="n"/>
      <c r="J935" s="52" t="n"/>
      <c r="K935" s="52" t="n"/>
      <c r="L935" s="51" t="n"/>
      <c r="M935" s="53">
        <f>IF(A935="","",IF(COUNTIF('AFA Rates'!$A$5:$A$1004,A935)&gt;0,"Yes","No"))</f>
        <v/>
      </c>
      <c r="N935" s="53">
        <f>IF(A935="","",COUNTIF('AFA Rates'!$A$5:$A$1004,A935))</f>
        <v/>
      </c>
      <c r="O935" s="54" t="n"/>
      <c r="P935" s="5" t="n"/>
      <c r="Q935" s="5" t="n"/>
      <c r="R935">
        <f>IF(AND(A935&lt;&gt;"",B935="Paused"),COUNTIFS($A$5:A935,"&lt;&gt;",$B$5:B935,"Paused"),"")</f>
        <v/>
      </c>
      <c r="S935">
        <f>IF(M935="Yes",COUNTIF($M$5:M935,"Yes"),"")</f>
        <v/>
      </c>
    </row>
    <row r="936">
      <c r="A936" s="5" t="n"/>
      <c r="B936" s="51" t="n"/>
      <c r="C936" s="5" t="n"/>
      <c r="D936" s="52" t="n"/>
      <c r="E936" s="52" t="n"/>
      <c r="F936" s="52" t="n"/>
      <c r="G936" s="52" t="n"/>
      <c r="H936" s="52" t="n"/>
      <c r="I936" s="52" t="n"/>
      <c r="J936" s="52" t="n"/>
      <c r="K936" s="52" t="n"/>
      <c r="L936" s="51" t="n"/>
      <c r="M936" s="53">
        <f>IF(A936="","",IF(COUNTIF('AFA Rates'!$A$5:$A$1004,A936)&gt;0,"Yes","No"))</f>
        <v/>
      </c>
      <c r="N936" s="53">
        <f>IF(A936="","",COUNTIF('AFA Rates'!$A$5:$A$1004,A936))</f>
        <v/>
      </c>
      <c r="O936" s="54" t="n"/>
      <c r="P936" s="5" t="n"/>
      <c r="Q936" s="5" t="n"/>
      <c r="R936">
        <f>IF(AND(A936&lt;&gt;"",B936="Paused"),COUNTIFS($A$5:A936,"&lt;&gt;",$B$5:B936,"Paused"),"")</f>
        <v/>
      </c>
      <c r="S936">
        <f>IF(M936="Yes",COUNTIF($M$5:M936,"Yes"),"")</f>
        <v/>
      </c>
    </row>
    <row r="937">
      <c r="A937" s="5" t="n"/>
      <c r="B937" s="51" t="n"/>
      <c r="C937" s="5" t="n"/>
      <c r="D937" s="52" t="n"/>
      <c r="E937" s="52" t="n"/>
      <c r="F937" s="52" t="n"/>
      <c r="G937" s="52" t="n"/>
      <c r="H937" s="52" t="n"/>
      <c r="I937" s="52" t="n"/>
      <c r="J937" s="52" t="n"/>
      <c r="K937" s="52" t="n"/>
      <c r="L937" s="51" t="n"/>
      <c r="M937" s="53">
        <f>IF(A937="","",IF(COUNTIF('AFA Rates'!$A$5:$A$1004,A937)&gt;0,"Yes","No"))</f>
        <v/>
      </c>
      <c r="N937" s="53">
        <f>IF(A937="","",COUNTIF('AFA Rates'!$A$5:$A$1004,A937))</f>
        <v/>
      </c>
      <c r="O937" s="54" t="n"/>
      <c r="P937" s="5" t="n"/>
      <c r="Q937" s="5" t="n"/>
      <c r="R937">
        <f>IF(AND(A937&lt;&gt;"",B937="Paused"),COUNTIFS($A$5:A937,"&lt;&gt;",$B$5:B937,"Paused"),"")</f>
        <v/>
      </c>
      <c r="S937">
        <f>IF(M937="Yes",COUNTIF($M$5:M937,"Yes"),"")</f>
        <v/>
      </c>
    </row>
    <row r="938">
      <c r="A938" s="5" t="n"/>
      <c r="B938" s="51" t="n"/>
      <c r="C938" s="5" t="n"/>
      <c r="D938" s="52" t="n"/>
      <c r="E938" s="52" t="n"/>
      <c r="F938" s="52" t="n"/>
      <c r="G938" s="52" t="n"/>
      <c r="H938" s="52" t="n"/>
      <c r="I938" s="52" t="n"/>
      <c r="J938" s="52" t="n"/>
      <c r="K938" s="52" t="n"/>
      <c r="L938" s="51" t="n"/>
      <c r="M938" s="53">
        <f>IF(A938="","",IF(COUNTIF('AFA Rates'!$A$5:$A$1004,A938)&gt;0,"Yes","No"))</f>
        <v/>
      </c>
      <c r="N938" s="53">
        <f>IF(A938="","",COUNTIF('AFA Rates'!$A$5:$A$1004,A938))</f>
        <v/>
      </c>
      <c r="O938" s="54" t="n"/>
      <c r="P938" s="5" t="n"/>
      <c r="Q938" s="5" t="n"/>
      <c r="R938">
        <f>IF(AND(A938&lt;&gt;"",B938="Paused"),COUNTIFS($A$5:A938,"&lt;&gt;",$B$5:B938,"Paused"),"")</f>
        <v/>
      </c>
      <c r="S938">
        <f>IF(M938="Yes",COUNTIF($M$5:M938,"Yes"),"")</f>
        <v/>
      </c>
    </row>
    <row r="939">
      <c r="A939" s="5" t="n"/>
      <c r="B939" s="51" t="n"/>
      <c r="C939" s="5" t="n"/>
      <c r="D939" s="52" t="n"/>
      <c r="E939" s="52" t="n"/>
      <c r="F939" s="52" t="n"/>
      <c r="G939" s="52" t="n"/>
      <c r="H939" s="52" t="n"/>
      <c r="I939" s="52" t="n"/>
      <c r="J939" s="52" t="n"/>
      <c r="K939" s="52" t="n"/>
      <c r="L939" s="51" t="n"/>
      <c r="M939" s="53">
        <f>IF(A939="","",IF(COUNTIF('AFA Rates'!$A$5:$A$1004,A939)&gt;0,"Yes","No"))</f>
        <v/>
      </c>
      <c r="N939" s="53">
        <f>IF(A939="","",COUNTIF('AFA Rates'!$A$5:$A$1004,A939))</f>
        <v/>
      </c>
      <c r="O939" s="54" t="n"/>
      <c r="P939" s="5" t="n"/>
      <c r="Q939" s="5" t="n"/>
      <c r="R939">
        <f>IF(AND(A939&lt;&gt;"",B939="Paused"),COUNTIFS($A$5:A939,"&lt;&gt;",$B$5:B939,"Paused"),"")</f>
        <v/>
      </c>
      <c r="S939">
        <f>IF(M939="Yes",COUNTIF($M$5:M939,"Yes"),"")</f>
        <v/>
      </c>
    </row>
    <row r="940">
      <c r="A940" s="5" t="n"/>
      <c r="B940" s="51" t="n"/>
      <c r="C940" s="5" t="n"/>
      <c r="D940" s="52" t="n"/>
      <c r="E940" s="52" t="n"/>
      <c r="F940" s="52" t="n"/>
      <c r="G940" s="52" t="n"/>
      <c r="H940" s="52" t="n"/>
      <c r="I940" s="52" t="n"/>
      <c r="J940" s="52" t="n"/>
      <c r="K940" s="52" t="n"/>
      <c r="L940" s="51" t="n"/>
      <c r="M940" s="53">
        <f>IF(A940="","",IF(COUNTIF('AFA Rates'!$A$5:$A$1004,A940)&gt;0,"Yes","No"))</f>
        <v/>
      </c>
      <c r="N940" s="53">
        <f>IF(A940="","",COUNTIF('AFA Rates'!$A$5:$A$1004,A940))</f>
        <v/>
      </c>
      <c r="O940" s="54" t="n"/>
      <c r="P940" s="5" t="n"/>
      <c r="Q940" s="5" t="n"/>
      <c r="R940">
        <f>IF(AND(A940&lt;&gt;"",B940="Paused"),COUNTIFS($A$5:A940,"&lt;&gt;",$B$5:B940,"Paused"),"")</f>
        <v/>
      </c>
      <c r="S940">
        <f>IF(M940="Yes",COUNTIF($M$5:M940,"Yes"),"")</f>
        <v/>
      </c>
    </row>
    <row r="941">
      <c r="A941" s="5" t="n"/>
      <c r="B941" s="51" t="n"/>
      <c r="C941" s="5" t="n"/>
      <c r="D941" s="52" t="n"/>
      <c r="E941" s="52" t="n"/>
      <c r="F941" s="52" t="n"/>
      <c r="G941" s="52" t="n"/>
      <c r="H941" s="52" t="n"/>
      <c r="I941" s="52" t="n"/>
      <c r="J941" s="52" t="n"/>
      <c r="K941" s="52" t="n"/>
      <c r="L941" s="51" t="n"/>
      <c r="M941" s="53">
        <f>IF(A941="","",IF(COUNTIF('AFA Rates'!$A$5:$A$1004,A941)&gt;0,"Yes","No"))</f>
        <v/>
      </c>
      <c r="N941" s="53">
        <f>IF(A941="","",COUNTIF('AFA Rates'!$A$5:$A$1004,A941))</f>
        <v/>
      </c>
      <c r="O941" s="54" t="n"/>
      <c r="P941" s="5" t="n"/>
      <c r="Q941" s="5" t="n"/>
      <c r="R941">
        <f>IF(AND(A941&lt;&gt;"",B941="Paused"),COUNTIFS($A$5:A941,"&lt;&gt;",$B$5:B941,"Paused"),"")</f>
        <v/>
      </c>
      <c r="S941">
        <f>IF(M941="Yes",COUNTIF($M$5:M941,"Yes"),"")</f>
        <v/>
      </c>
    </row>
    <row r="942">
      <c r="A942" s="5" t="n"/>
      <c r="B942" s="51" t="n"/>
      <c r="C942" s="5" t="n"/>
      <c r="D942" s="52" t="n"/>
      <c r="E942" s="52" t="n"/>
      <c r="F942" s="52" t="n"/>
      <c r="G942" s="52" t="n"/>
      <c r="H942" s="52" t="n"/>
      <c r="I942" s="52" t="n"/>
      <c r="J942" s="52" t="n"/>
      <c r="K942" s="52" t="n"/>
      <c r="L942" s="51" t="n"/>
      <c r="M942" s="53">
        <f>IF(A942="","",IF(COUNTIF('AFA Rates'!$A$5:$A$1004,A942)&gt;0,"Yes","No"))</f>
        <v/>
      </c>
      <c r="N942" s="53">
        <f>IF(A942="","",COUNTIF('AFA Rates'!$A$5:$A$1004,A942))</f>
        <v/>
      </c>
      <c r="O942" s="54" t="n"/>
      <c r="P942" s="5" t="n"/>
      <c r="Q942" s="5" t="n"/>
      <c r="R942">
        <f>IF(AND(A942&lt;&gt;"",B942="Paused"),COUNTIFS($A$5:A942,"&lt;&gt;",$B$5:B942,"Paused"),"")</f>
        <v/>
      </c>
      <c r="S942">
        <f>IF(M942="Yes",COUNTIF($M$5:M942,"Yes"),"")</f>
        <v/>
      </c>
    </row>
    <row r="943">
      <c r="A943" s="5" t="n"/>
      <c r="B943" s="51" t="n"/>
      <c r="C943" s="5" t="n"/>
      <c r="D943" s="52" t="n"/>
      <c r="E943" s="52" t="n"/>
      <c r="F943" s="52" t="n"/>
      <c r="G943" s="52" t="n"/>
      <c r="H943" s="52" t="n"/>
      <c r="I943" s="52" t="n"/>
      <c r="J943" s="52" t="n"/>
      <c r="K943" s="52" t="n"/>
      <c r="L943" s="51" t="n"/>
      <c r="M943" s="53">
        <f>IF(A943="","",IF(COUNTIF('AFA Rates'!$A$5:$A$1004,A943)&gt;0,"Yes","No"))</f>
        <v/>
      </c>
      <c r="N943" s="53">
        <f>IF(A943="","",COUNTIF('AFA Rates'!$A$5:$A$1004,A943))</f>
        <v/>
      </c>
      <c r="O943" s="54" t="n"/>
      <c r="P943" s="5" t="n"/>
      <c r="Q943" s="5" t="n"/>
      <c r="R943">
        <f>IF(AND(A943&lt;&gt;"",B943="Paused"),COUNTIFS($A$5:A943,"&lt;&gt;",$B$5:B943,"Paused"),"")</f>
        <v/>
      </c>
      <c r="S943">
        <f>IF(M943="Yes",COUNTIF($M$5:M943,"Yes"),"")</f>
        <v/>
      </c>
    </row>
    <row r="944">
      <c r="A944" s="5" t="n"/>
      <c r="B944" s="51" t="n"/>
      <c r="C944" s="5" t="n"/>
      <c r="D944" s="52" t="n"/>
      <c r="E944" s="52" t="n"/>
      <c r="F944" s="52" t="n"/>
      <c r="G944" s="52" t="n"/>
      <c r="H944" s="52" t="n"/>
      <c r="I944" s="52" t="n"/>
      <c r="J944" s="52" t="n"/>
      <c r="K944" s="52" t="n"/>
      <c r="L944" s="51" t="n"/>
      <c r="M944" s="53">
        <f>IF(A944="","",IF(COUNTIF('AFA Rates'!$A$5:$A$1004,A944)&gt;0,"Yes","No"))</f>
        <v/>
      </c>
      <c r="N944" s="53">
        <f>IF(A944="","",COUNTIF('AFA Rates'!$A$5:$A$1004,A944))</f>
        <v/>
      </c>
      <c r="O944" s="54" t="n"/>
      <c r="P944" s="5" t="n"/>
      <c r="Q944" s="5" t="n"/>
      <c r="R944">
        <f>IF(AND(A944&lt;&gt;"",B944="Paused"),COUNTIFS($A$5:A944,"&lt;&gt;",$B$5:B944,"Paused"),"")</f>
        <v/>
      </c>
      <c r="S944">
        <f>IF(M944="Yes",COUNTIF($M$5:M944,"Yes"),"")</f>
        <v/>
      </c>
    </row>
    <row r="945">
      <c r="A945" s="5" t="n"/>
      <c r="B945" s="51" t="n"/>
      <c r="C945" s="5" t="n"/>
      <c r="D945" s="52" t="n"/>
      <c r="E945" s="52" t="n"/>
      <c r="F945" s="52" t="n"/>
      <c r="G945" s="52" t="n"/>
      <c r="H945" s="52" t="n"/>
      <c r="I945" s="52" t="n"/>
      <c r="J945" s="52" t="n"/>
      <c r="K945" s="52" t="n"/>
      <c r="L945" s="51" t="n"/>
      <c r="M945" s="53">
        <f>IF(A945="","",IF(COUNTIF('AFA Rates'!$A$5:$A$1004,A945)&gt;0,"Yes","No"))</f>
        <v/>
      </c>
      <c r="N945" s="53">
        <f>IF(A945="","",COUNTIF('AFA Rates'!$A$5:$A$1004,A945))</f>
        <v/>
      </c>
      <c r="O945" s="54" t="n"/>
      <c r="P945" s="5" t="n"/>
      <c r="Q945" s="5" t="n"/>
      <c r="R945">
        <f>IF(AND(A945&lt;&gt;"",B945="Paused"),COUNTIFS($A$5:A945,"&lt;&gt;",$B$5:B945,"Paused"),"")</f>
        <v/>
      </c>
      <c r="S945">
        <f>IF(M945="Yes",COUNTIF($M$5:M945,"Yes"),"")</f>
        <v/>
      </c>
    </row>
    <row r="946">
      <c r="A946" s="5" t="n"/>
      <c r="B946" s="51" t="n"/>
      <c r="C946" s="5" t="n"/>
      <c r="D946" s="52" t="n"/>
      <c r="E946" s="52" t="n"/>
      <c r="F946" s="52" t="n"/>
      <c r="G946" s="52" t="n"/>
      <c r="H946" s="52" t="n"/>
      <c r="I946" s="52" t="n"/>
      <c r="J946" s="52" t="n"/>
      <c r="K946" s="52" t="n"/>
      <c r="L946" s="51" t="n"/>
      <c r="M946" s="53">
        <f>IF(A946="","",IF(COUNTIF('AFA Rates'!$A$5:$A$1004,A946)&gt;0,"Yes","No"))</f>
        <v/>
      </c>
      <c r="N946" s="53">
        <f>IF(A946="","",COUNTIF('AFA Rates'!$A$5:$A$1004,A946))</f>
        <v/>
      </c>
      <c r="O946" s="54" t="n"/>
      <c r="P946" s="5" t="n"/>
      <c r="Q946" s="5" t="n"/>
      <c r="R946">
        <f>IF(AND(A946&lt;&gt;"",B946="Paused"),COUNTIFS($A$5:A946,"&lt;&gt;",$B$5:B946,"Paused"),"")</f>
        <v/>
      </c>
      <c r="S946">
        <f>IF(M946="Yes",COUNTIF($M$5:M946,"Yes"),"")</f>
        <v/>
      </c>
    </row>
    <row r="947">
      <c r="A947" s="5" t="n"/>
      <c r="B947" s="51" t="n"/>
      <c r="C947" s="5" t="n"/>
      <c r="D947" s="52" t="n"/>
      <c r="E947" s="52" t="n"/>
      <c r="F947" s="52" t="n"/>
      <c r="G947" s="52" t="n"/>
      <c r="H947" s="52" t="n"/>
      <c r="I947" s="52" t="n"/>
      <c r="J947" s="52" t="n"/>
      <c r="K947" s="52" t="n"/>
      <c r="L947" s="51" t="n"/>
      <c r="M947" s="53">
        <f>IF(A947="","",IF(COUNTIF('AFA Rates'!$A$5:$A$1004,A947)&gt;0,"Yes","No"))</f>
        <v/>
      </c>
      <c r="N947" s="53">
        <f>IF(A947="","",COUNTIF('AFA Rates'!$A$5:$A$1004,A947))</f>
        <v/>
      </c>
      <c r="O947" s="54" t="n"/>
      <c r="P947" s="5" t="n"/>
      <c r="Q947" s="5" t="n"/>
      <c r="R947">
        <f>IF(AND(A947&lt;&gt;"",B947="Paused"),COUNTIFS($A$5:A947,"&lt;&gt;",$B$5:B947,"Paused"),"")</f>
        <v/>
      </c>
      <c r="S947">
        <f>IF(M947="Yes",COUNTIF($M$5:M947,"Yes"),"")</f>
        <v/>
      </c>
    </row>
    <row r="948">
      <c r="A948" s="5" t="n"/>
      <c r="B948" s="51" t="n"/>
      <c r="C948" s="5" t="n"/>
      <c r="D948" s="52" t="n"/>
      <c r="E948" s="52" t="n"/>
      <c r="F948" s="52" t="n"/>
      <c r="G948" s="52" t="n"/>
      <c r="H948" s="52" t="n"/>
      <c r="I948" s="52" t="n"/>
      <c r="J948" s="52" t="n"/>
      <c r="K948" s="52" t="n"/>
      <c r="L948" s="51" t="n"/>
      <c r="M948" s="53">
        <f>IF(A948="","",IF(COUNTIF('AFA Rates'!$A$5:$A$1004,A948)&gt;0,"Yes","No"))</f>
        <v/>
      </c>
      <c r="N948" s="53">
        <f>IF(A948="","",COUNTIF('AFA Rates'!$A$5:$A$1004,A948))</f>
        <v/>
      </c>
      <c r="O948" s="54" t="n"/>
      <c r="P948" s="5" t="n"/>
      <c r="Q948" s="5" t="n"/>
      <c r="R948">
        <f>IF(AND(A948&lt;&gt;"",B948="Paused"),COUNTIFS($A$5:A948,"&lt;&gt;",$B$5:B948,"Paused"),"")</f>
        <v/>
      </c>
      <c r="S948">
        <f>IF(M948="Yes",COUNTIF($M$5:M948,"Yes"),"")</f>
        <v/>
      </c>
    </row>
    <row r="949">
      <c r="A949" s="5" t="n"/>
      <c r="B949" s="51" t="n"/>
      <c r="C949" s="5" t="n"/>
      <c r="D949" s="52" t="n"/>
      <c r="E949" s="52" t="n"/>
      <c r="F949" s="52" t="n"/>
      <c r="G949" s="52" t="n"/>
      <c r="H949" s="52" t="n"/>
      <c r="I949" s="52" t="n"/>
      <c r="J949" s="52" t="n"/>
      <c r="K949" s="52" t="n"/>
      <c r="L949" s="51" t="n"/>
      <c r="M949" s="53">
        <f>IF(A949="","",IF(COUNTIF('AFA Rates'!$A$5:$A$1004,A949)&gt;0,"Yes","No"))</f>
        <v/>
      </c>
      <c r="N949" s="53">
        <f>IF(A949="","",COUNTIF('AFA Rates'!$A$5:$A$1004,A949))</f>
        <v/>
      </c>
      <c r="O949" s="54" t="n"/>
      <c r="P949" s="5" t="n"/>
      <c r="Q949" s="5" t="n"/>
      <c r="R949">
        <f>IF(AND(A949&lt;&gt;"",B949="Paused"),COUNTIFS($A$5:A949,"&lt;&gt;",$B$5:B949,"Paused"),"")</f>
        <v/>
      </c>
      <c r="S949">
        <f>IF(M949="Yes",COUNTIF($M$5:M949,"Yes"),"")</f>
        <v/>
      </c>
    </row>
    <row r="950">
      <c r="A950" s="5" t="n"/>
      <c r="B950" s="51" t="n"/>
      <c r="C950" s="5" t="n"/>
      <c r="D950" s="52" t="n"/>
      <c r="E950" s="52" t="n"/>
      <c r="F950" s="52" t="n"/>
      <c r="G950" s="52" t="n"/>
      <c r="H950" s="52" t="n"/>
      <c r="I950" s="52" t="n"/>
      <c r="J950" s="52" t="n"/>
      <c r="K950" s="52" t="n"/>
      <c r="L950" s="51" t="n"/>
      <c r="M950" s="53">
        <f>IF(A950="","",IF(COUNTIF('AFA Rates'!$A$5:$A$1004,A950)&gt;0,"Yes","No"))</f>
        <v/>
      </c>
      <c r="N950" s="53">
        <f>IF(A950="","",COUNTIF('AFA Rates'!$A$5:$A$1004,A950))</f>
        <v/>
      </c>
      <c r="O950" s="54" t="n"/>
      <c r="P950" s="5" t="n"/>
      <c r="Q950" s="5" t="n"/>
      <c r="R950">
        <f>IF(AND(A950&lt;&gt;"",B950="Paused"),COUNTIFS($A$5:A950,"&lt;&gt;",$B$5:B950,"Paused"),"")</f>
        <v/>
      </c>
      <c r="S950">
        <f>IF(M950="Yes",COUNTIF($M$5:M950,"Yes"),"")</f>
        <v/>
      </c>
    </row>
    <row r="951">
      <c r="A951" s="5" t="n"/>
      <c r="B951" s="51" t="n"/>
      <c r="C951" s="5" t="n"/>
      <c r="D951" s="52" t="n"/>
      <c r="E951" s="52" t="n"/>
      <c r="F951" s="52" t="n"/>
      <c r="G951" s="52" t="n"/>
      <c r="H951" s="52" t="n"/>
      <c r="I951" s="52" t="n"/>
      <c r="J951" s="52" t="n"/>
      <c r="K951" s="52" t="n"/>
      <c r="L951" s="51" t="n"/>
      <c r="M951" s="53">
        <f>IF(A951="","",IF(COUNTIF('AFA Rates'!$A$5:$A$1004,A951)&gt;0,"Yes","No"))</f>
        <v/>
      </c>
      <c r="N951" s="53">
        <f>IF(A951="","",COUNTIF('AFA Rates'!$A$5:$A$1004,A951))</f>
        <v/>
      </c>
      <c r="O951" s="54" t="n"/>
      <c r="P951" s="5" t="n"/>
      <c r="Q951" s="5" t="n"/>
      <c r="R951">
        <f>IF(AND(A951&lt;&gt;"",B951="Paused"),COUNTIFS($A$5:A951,"&lt;&gt;",$B$5:B951,"Paused"),"")</f>
        <v/>
      </c>
      <c r="S951">
        <f>IF(M951="Yes",COUNTIF($M$5:M951,"Yes"),"")</f>
        <v/>
      </c>
    </row>
    <row r="952">
      <c r="A952" s="5" t="n"/>
      <c r="B952" s="51" t="n"/>
      <c r="C952" s="5" t="n"/>
      <c r="D952" s="52" t="n"/>
      <c r="E952" s="52" t="n"/>
      <c r="F952" s="52" t="n"/>
      <c r="G952" s="52" t="n"/>
      <c r="H952" s="52" t="n"/>
      <c r="I952" s="52" t="n"/>
      <c r="J952" s="52" t="n"/>
      <c r="K952" s="52" t="n"/>
      <c r="L952" s="51" t="n"/>
      <c r="M952" s="53">
        <f>IF(A952="","",IF(COUNTIF('AFA Rates'!$A$5:$A$1004,A952)&gt;0,"Yes","No"))</f>
        <v/>
      </c>
      <c r="N952" s="53">
        <f>IF(A952="","",COUNTIF('AFA Rates'!$A$5:$A$1004,A952))</f>
        <v/>
      </c>
      <c r="O952" s="54" t="n"/>
      <c r="P952" s="5" t="n"/>
      <c r="Q952" s="5" t="n"/>
      <c r="R952">
        <f>IF(AND(A952&lt;&gt;"",B952="Paused"),COUNTIFS($A$5:A952,"&lt;&gt;",$B$5:B952,"Paused"),"")</f>
        <v/>
      </c>
      <c r="S952">
        <f>IF(M952="Yes",COUNTIF($M$5:M952,"Yes"),"")</f>
        <v/>
      </c>
    </row>
    <row r="953">
      <c r="A953" s="5" t="n"/>
      <c r="B953" s="51" t="n"/>
      <c r="C953" s="5" t="n"/>
      <c r="D953" s="52" t="n"/>
      <c r="E953" s="52" t="n"/>
      <c r="F953" s="52" t="n"/>
      <c r="G953" s="52" t="n"/>
      <c r="H953" s="52" t="n"/>
      <c r="I953" s="52" t="n"/>
      <c r="J953" s="52" t="n"/>
      <c r="K953" s="52" t="n"/>
      <c r="L953" s="51" t="n"/>
      <c r="M953" s="53">
        <f>IF(A953="","",IF(COUNTIF('AFA Rates'!$A$5:$A$1004,A953)&gt;0,"Yes","No"))</f>
        <v/>
      </c>
      <c r="N953" s="53">
        <f>IF(A953="","",COUNTIF('AFA Rates'!$A$5:$A$1004,A953))</f>
        <v/>
      </c>
      <c r="O953" s="54" t="n"/>
      <c r="P953" s="5" t="n"/>
      <c r="Q953" s="5" t="n"/>
      <c r="R953">
        <f>IF(AND(A953&lt;&gt;"",B953="Paused"),COUNTIFS($A$5:A953,"&lt;&gt;",$B$5:B953,"Paused"),"")</f>
        <v/>
      </c>
      <c r="S953">
        <f>IF(M953="Yes",COUNTIF($M$5:M953,"Yes"),"")</f>
        <v/>
      </c>
    </row>
    <row r="954">
      <c r="A954" s="5" t="n"/>
      <c r="B954" s="51" t="n"/>
      <c r="C954" s="5" t="n"/>
      <c r="D954" s="52" t="n"/>
      <c r="E954" s="52" t="n"/>
      <c r="F954" s="52" t="n"/>
      <c r="G954" s="52" t="n"/>
      <c r="H954" s="52" t="n"/>
      <c r="I954" s="52" t="n"/>
      <c r="J954" s="52" t="n"/>
      <c r="K954" s="52" t="n"/>
      <c r="L954" s="51" t="n"/>
      <c r="M954" s="53">
        <f>IF(A954="","",IF(COUNTIF('AFA Rates'!$A$5:$A$1004,A954)&gt;0,"Yes","No"))</f>
        <v/>
      </c>
      <c r="N954" s="53">
        <f>IF(A954="","",COUNTIF('AFA Rates'!$A$5:$A$1004,A954))</f>
        <v/>
      </c>
      <c r="O954" s="54" t="n"/>
      <c r="P954" s="5" t="n"/>
      <c r="Q954" s="5" t="n"/>
      <c r="R954">
        <f>IF(AND(A954&lt;&gt;"",B954="Paused"),COUNTIFS($A$5:A954,"&lt;&gt;",$B$5:B954,"Paused"),"")</f>
        <v/>
      </c>
      <c r="S954">
        <f>IF(M954="Yes",COUNTIF($M$5:M954,"Yes"),"")</f>
        <v/>
      </c>
    </row>
    <row r="955">
      <c r="A955" s="5" t="n"/>
      <c r="B955" s="51" t="n"/>
      <c r="C955" s="5" t="n"/>
      <c r="D955" s="52" t="n"/>
      <c r="E955" s="52" t="n"/>
      <c r="F955" s="52" t="n"/>
      <c r="G955" s="52" t="n"/>
      <c r="H955" s="52" t="n"/>
      <c r="I955" s="52" t="n"/>
      <c r="J955" s="52" t="n"/>
      <c r="K955" s="52" t="n"/>
      <c r="L955" s="51" t="n"/>
      <c r="M955" s="53">
        <f>IF(A955="","",IF(COUNTIF('AFA Rates'!$A$5:$A$1004,A955)&gt;0,"Yes","No"))</f>
        <v/>
      </c>
      <c r="N955" s="53">
        <f>IF(A955="","",COUNTIF('AFA Rates'!$A$5:$A$1004,A955))</f>
        <v/>
      </c>
      <c r="O955" s="54" t="n"/>
      <c r="P955" s="5" t="n"/>
      <c r="Q955" s="5" t="n"/>
      <c r="R955">
        <f>IF(AND(A955&lt;&gt;"",B955="Paused"),COUNTIFS($A$5:A955,"&lt;&gt;",$B$5:B955,"Paused"),"")</f>
        <v/>
      </c>
      <c r="S955">
        <f>IF(M955="Yes",COUNTIF($M$5:M955,"Yes"),"")</f>
        <v/>
      </c>
    </row>
    <row r="956">
      <c r="A956" s="5" t="n"/>
      <c r="B956" s="51" t="n"/>
      <c r="C956" s="5" t="n"/>
      <c r="D956" s="52" t="n"/>
      <c r="E956" s="52" t="n"/>
      <c r="F956" s="52" t="n"/>
      <c r="G956" s="52" t="n"/>
      <c r="H956" s="52" t="n"/>
      <c r="I956" s="52" t="n"/>
      <c r="J956" s="52" t="n"/>
      <c r="K956" s="52" t="n"/>
      <c r="L956" s="51" t="n"/>
      <c r="M956" s="53">
        <f>IF(A956="","",IF(COUNTIF('AFA Rates'!$A$5:$A$1004,A956)&gt;0,"Yes","No"))</f>
        <v/>
      </c>
      <c r="N956" s="53">
        <f>IF(A956="","",COUNTIF('AFA Rates'!$A$5:$A$1004,A956))</f>
        <v/>
      </c>
      <c r="O956" s="54" t="n"/>
      <c r="P956" s="5" t="n"/>
      <c r="Q956" s="5" t="n"/>
      <c r="R956">
        <f>IF(AND(A956&lt;&gt;"",B956="Paused"),COUNTIFS($A$5:A956,"&lt;&gt;",$B$5:B956,"Paused"),"")</f>
        <v/>
      </c>
      <c r="S956">
        <f>IF(M956="Yes",COUNTIF($M$5:M956,"Yes"),"")</f>
        <v/>
      </c>
    </row>
    <row r="957">
      <c r="A957" s="5" t="n"/>
      <c r="B957" s="51" t="n"/>
      <c r="C957" s="5" t="n"/>
      <c r="D957" s="52" t="n"/>
      <c r="E957" s="52" t="n"/>
      <c r="F957" s="52" t="n"/>
      <c r="G957" s="52" t="n"/>
      <c r="H957" s="52" t="n"/>
      <c r="I957" s="52" t="n"/>
      <c r="J957" s="52" t="n"/>
      <c r="K957" s="52" t="n"/>
      <c r="L957" s="51" t="n"/>
      <c r="M957" s="53">
        <f>IF(A957="","",IF(COUNTIF('AFA Rates'!$A$5:$A$1004,A957)&gt;0,"Yes","No"))</f>
        <v/>
      </c>
      <c r="N957" s="53">
        <f>IF(A957="","",COUNTIF('AFA Rates'!$A$5:$A$1004,A957))</f>
        <v/>
      </c>
      <c r="O957" s="54" t="n"/>
      <c r="P957" s="5" t="n"/>
      <c r="Q957" s="5" t="n"/>
      <c r="R957">
        <f>IF(AND(A957&lt;&gt;"",B957="Paused"),COUNTIFS($A$5:A957,"&lt;&gt;",$B$5:B957,"Paused"),"")</f>
        <v/>
      </c>
      <c r="S957">
        <f>IF(M957="Yes",COUNTIF($M$5:M957,"Yes"),"")</f>
        <v/>
      </c>
    </row>
    <row r="958">
      <c r="A958" s="5" t="n"/>
      <c r="B958" s="51" t="n"/>
      <c r="C958" s="5" t="n"/>
      <c r="D958" s="52" t="n"/>
      <c r="E958" s="52" t="n"/>
      <c r="F958" s="52" t="n"/>
      <c r="G958" s="52" t="n"/>
      <c r="H958" s="52" t="n"/>
      <c r="I958" s="52" t="n"/>
      <c r="J958" s="52" t="n"/>
      <c r="K958" s="52" t="n"/>
      <c r="L958" s="51" t="n"/>
      <c r="M958" s="53">
        <f>IF(A958="","",IF(COUNTIF('AFA Rates'!$A$5:$A$1004,A958)&gt;0,"Yes","No"))</f>
        <v/>
      </c>
      <c r="N958" s="53">
        <f>IF(A958="","",COUNTIF('AFA Rates'!$A$5:$A$1004,A958))</f>
        <v/>
      </c>
      <c r="O958" s="54" t="n"/>
      <c r="P958" s="5" t="n"/>
      <c r="Q958" s="5" t="n"/>
      <c r="R958">
        <f>IF(AND(A958&lt;&gt;"",B958="Paused"),COUNTIFS($A$5:A958,"&lt;&gt;",$B$5:B958,"Paused"),"")</f>
        <v/>
      </c>
      <c r="S958">
        <f>IF(M958="Yes",COUNTIF($M$5:M958,"Yes"),"")</f>
        <v/>
      </c>
    </row>
    <row r="959">
      <c r="A959" s="5" t="n"/>
      <c r="B959" s="51" t="n"/>
      <c r="C959" s="5" t="n"/>
      <c r="D959" s="52" t="n"/>
      <c r="E959" s="52" t="n"/>
      <c r="F959" s="52" t="n"/>
      <c r="G959" s="52" t="n"/>
      <c r="H959" s="52" t="n"/>
      <c r="I959" s="52" t="n"/>
      <c r="J959" s="52" t="n"/>
      <c r="K959" s="52" t="n"/>
      <c r="L959" s="51" t="n"/>
      <c r="M959" s="53">
        <f>IF(A959="","",IF(COUNTIF('AFA Rates'!$A$5:$A$1004,A959)&gt;0,"Yes","No"))</f>
        <v/>
      </c>
      <c r="N959" s="53">
        <f>IF(A959="","",COUNTIF('AFA Rates'!$A$5:$A$1004,A959))</f>
        <v/>
      </c>
      <c r="O959" s="54" t="n"/>
      <c r="P959" s="5" t="n"/>
      <c r="Q959" s="5" t="n"/>
      <c r="R959">
        <f>IF(AND(A959&lt;&gt;"",B959="Paused"),COUNTIFS($A$5:A959,"&lt;&gt;",$B$5:B959,"Paused"),"")</f>
        <v/>
      </c>
      <c r="S959">
        <f>IF(M959="Yes",COUNTIF($M$5:M959,"Yes"),"")</f>
        <v/>
      </c>
    </row>
    <row r="960">
      <c r="A960" s="5" t="n"/>
      <c r="B960" s="51" t="n"/>
      <c r="C960" s="5" t="n"/>
      <c r="D960" s="52" t="n"/>
      <c r="E960" s="52" t="n"/>
      <c r="F960" s="52" t="n"/>
      <c r="G960" s="52" t="n"/>
      <c r="H960" s="52" t="n"/>
      <c r="I960" s="52" t="n"/>
      <c r="J960" s="52" t="n"/>
      <c r="K960" s="52" t="n"/>
      <c r="L960" s="51" t="n"/>
      <c r="M960" s="53">
        <f>IF(A960="","",IF(COUNTIF('AFA Rates'!$A$5:$A$1004,A960)&gt;0,"Yes","No"))</f>
        <v/>
      </c>
      <c r="N960" s="53">
        <f>IF(A960="","",COUNTIF('AFA Rates'!$A$5:$A$1004,A960))</f>
        <v/>
      </c>
      <c r="O960" s="54" t="n"/>
      <c r="P960" s="5" t="n"/>
      <c r="Q960" s="5" t="n"/>
      <c r="R960">
        <f>IF(AND(A960&lt;&gt;"",B960="Paused"),COUNTIFS($A$5:A960,"&lt;&gt;",$B$5:B960,"Paused"),"")</f>
        <v/>
      </c>
      <c r="S960">
        <f>IF(M960="Yes",COUNTIF($M$5:M960,"Yes"),"")</f>
        <v/>
      </c>
    </row>
    <row r="961">
      <c r="A961" s="5" t="n"/>
      <c r="B961" s="51" t="n"/>
      <c r="C961" s="5" t="n"/>
      <c r="D961" s="52" t="n"/>
      <c r="E961" s="52" t="n"/>
      <c r="F961" s="52" t="n"/>
      <c r="G961" s="52" t="n"/>
      <c r="H961" s="52" t="n"/>
      <c r="I961" s="52" t="n"/>
      <c r="J961" s="52" t="n"/>
      <c r="K961" s="52" t="n"/>
      <c r="L961" s="51" t="n"/>
      <c r="M961" s="53">
        <f>IF(A961="","",IF(COUNTIF('AFA Rates'!$A$5:$A$1004,A961)&gt;0,"Yes","No"))</f>
        <v/>
      </c>
      <c r="N961" s="53">
        <f>IF(A961="","",COUNTIF('AFA Rates'!$A$5:$A$1004,A961))</f>
        <v/>
      </c>
      <c r="O961" s="54" t="n"/>
      <c r="P961" s="5" t="n"/>
      <c r="Q961" s="5" t="n"/>
      <c r="R961">
        <f>IF(AND(A961&lt;&gt;"",B961="Paused"),COUNTIFS($A$5:A961,"&lt;&gt;",$B$5:B961,"Paused"),"")</f>
        <v/>
      </c>
      <c r="S961">
        <f>IF(M961="Yes",COUNTIF($M$5:M961,"Yes"),"")</f>
        <v/>
      </c>
    </row>
    <row r="962">
      <c r="A962" s="5" t="n"/>
      <c r="B962" s="51" t="n"/>
      <c r="C962" s="5" t="n"/>
      <c r="D962" s="52" t="n"/>
      <c r="E962" s="52" t="n"/>
      <c r="F962" s="52" t="n"/>
      <c r="G962" s="52" t="n"/>
      <c r="H962" s="52" t="n"/>
      <c r="I962" s="52" t="n"/>
      <c r="J962" s="52" t="n"/>
      <c r="K962" s="52" t="n"/>
      <c r="L962" s="51" t="n"/>
      <c r="M962" s="53">
        <f>IF(A962="","",IF(COUNTIF('AFA Rates'!$A$5:$A$1004,A962)&gt;0,"Yes","No"))</f>
        <v/>
      </c>
      <c r="N962" s="53">
        <f>IF(A962="","",COUNTIF('AFA Rates'!$A$5:$A$1004,A962))</f>
        <v/>
      </c>
      <c r="O962" s="54" t="n"/>
      <c r="P962" s="5" t="n"/>
      <c r="Q962" s="5" t="n"/>
      <c r="R962">
        <f>IF(AND(A962&lt;&gt;"",B962="Paused"),COUNTIFS($A$5:A962,"&lt;&gt;",$B$5:B962,"Paused"),"")</f>
        <v/>
      </c>
      <c r="S962">
        <f>IF(M962="Yes",COUNTIF($M$5:M962,"Yes"),"")</f>
        <v/>
      </c>
    </row>
    <row r="963">
      <c r="A963" s="5" t="n"/>
      <c r="B963" s="51" t="n"/>
      <c r="C963" s="5" t="n"/>
      <c r="D963" s="52" t="n"/>
      <c r="E963" s="52" t="n"/>
      <c r="F963" s="52" t="n"/>
      <c r="G963" s="52" t="n"/>
      <c r="H963" s="52" t="n"/>
      <c r="I963" s="52" t="n"/>
      <c r="J963" s="52" t="n"/>
      <c r="K963" s="52" t="n"/>
      <c r="L963" s="51" t="n"/>
      <c r="M963" s="53">
        <f>IF(A963="","",IF(COUNTIF('AFA Rates'!$A$5:$A$1004,A963)&gt;0,"Yes","No"))</f>
        <v/>
      </c>
      <c r="N963" s="53">
        <f>IF(A963="","",COUNTIF('AFA Rates'!$A$5:$A$1004,A963))</f>
        <v/>
      </c>
      <c r="O963" s="54" t="n"/>
      <c r="P963" s="5" t="n"/>
      <c r="Q963" s="5" t="n"/>
      <c r="R963">
        <f>IF(AND(A963&lt;&gt;"",B963="Paused"),COUNTIFS($A$5:A963,"&lt;&gt;",$B$5:B963,"Paused"),"")</f>
        <v/>
      </c>
      <c r="S963">
        <f>IF(M963="Yes",COUNTIF($M$5:M963,"Yes"),"")</f>
        <v/>
      </c>
    </row>
    <row r="964">
      <c r="A964" s="5" t="n"/>
      <c r="B964" s="51" t="n"/>
      <c r="C964" s="5" t="n"/>
      <c r="D964" s="52" t="n"/>
      <c r="E964" s="52" t="n"/>
      <c r="F964" s="52" t="n"/>
      <c r="G964" s="52" t="n"/>
      <c r="H964" s="52" t="n"/>
      <c r="I964" s="52" t="n"/>
      <c r="J964" s="52" t="n"/>
      <c r="K964" s="52" t="n"/>
      <c r="L964" s="51" t="n"/>
      <c r="M964" s="53">
        <f>IF(A964="","",IF(COUNTIF('AFA Rates'!$A$5:$A$1004,A964)&gt;0,"Yes","No"))</f>
        <v/>
      </c>
      <c r="N964" s="53">
        <f>IF(A964="","",COUNTIF('AFA Rates'!$A$5:$A$1004,A964))</f>
        <v/>
      </c>
      <c r="O964" s="54" t="n"/>
      <c r="P964" s="5" t="n"/>
      <c r="Q964" s="5" t="n"/>
      <c r="R964">
        <f>IF(AND(A964&lt;&gt;"",B964="Paused"),COUNTIFS($A$5:A964,"&lt;&gt;",$B$5:B964,"Paused"),"")</f>
        <v/>
      </c>
      <c r="S964">
        <f>IF(M964="Yes",COUNTIF($M$5:M964,"Yes"),"")</f>
        <v/>
      </c>
    </row>
    <row r="965">
      <c r="A965" s="5" t="n"/>
      <c r="B965" s="51" t="n"/>
      <c r="C965" s="5" t="n"/>
      <c r="D965" s="52" t="n"/>
      <c r="E965" s="52" t="n"/>
      <c r="F965" s="52" t="n"/>
      <c r="G965" s="52" t="n"/>
      <c r="H965" s="52" t="n"/>
      <c r="I965" s="52" t="n"/>
      <c r="J965" s="52" t="n"/>
      <c r="K965" s="52" t="n"/>
      <c r="L965" s="51" t="n"/>
      <c r="M965" s="53">
        <f>IF(A965="","",IF(COUNTIF('AFA Rates'!$A$5:$A$1004,A965)&gt;0,"Yes","No"))</f>
        <v/>
      </c>
      <c r="N965" s="53">
        <f>IF(A965="","",COUNTIF('AFA Rates'!$A$5:$A$1004,A965))</f>
        <v/>
      </c>
      <c r="O965" s="54" t="n"/>
      <c r="P965" s="5" t="n"/>
      <c r="Q965" s="5" t="n"/>
      <c r="R965">
        <f>IF(AND(A965&lt;&gt;"",B965="Paused"),COUNTIFS($A$5:A965,"&lt;&gt;",$B$5:B965,"Paused"),"")</f>
        <v/>
      </c>
      <c r="S965">
        <f>IF(M965="Yes",COUNTIF($M$5:M965,"Yes"),"")</f>
        <v/>
      </c>
    </row>
    <row r="966">
      <c r="A966" s="5" t="n"/>
      <c r="B966" s="51" t="n"/>
      <c r="C966" s="5" t="n"/>
      <c r="D966" s="52" t="n"/>
      <c r="E966" s="52" t="n"/>
      <c r="F966" s="52" t="n"/>
      <c r="G966" s="52" t="n"/>
      <c r="H966" s="52" t="n"/>
      <c r="I966" s="52" t="n"/>
      <c r="J966" s="52" t="n"/>
      <c r="K966" s="52" t="n"/>
      <c r="L966" s="51" t="n"/>
      <c r="M966" s="53">
        <f>IF(A966="","",IF(COUNTIF('AFA Rates'!$A$5:$A$1004,A966)&gt;0,"Yes","No"))</f>
        <v/>
      </c>
      <c r="N966" s="53">
        <f>IF(A966="","",COUNTIF('AFA Rates'!$A$5:$A$1004,A966))</f>
        <v/>
      </c>
      <c r="O966" s="54" t="n"/>
      <c r="P966" s="5" t="n"/>
      <c r="Q966" s="5" t="n"/>
      <c r="R966">
        <f>IF(AND(A966&lt;&gt;"",B966="Paused"),COUNTIFS($A$5:A966,"&lt;&gt;",$B$5:B966,"Paused"),"")</f>
        <v/>
      </c>
      <c r="S966">
        <f>IF(M966="Yes",COUNTIF($M$5:M966,"Yes"),"")</f>
        <v/>
      </c>
    </row>
    <row r="967">
      <c r="A967" s="5" t="n"/>
      <c r="B967" s="51" t="n"/>
      <c r="C967" s="5" t="n"/>
      <c r="D967" s="52" t="n"/>
      <c r="E967" s="52" t="n"/>
      <c r="F967" s="52" t="n"/>
      <c r="G967" s="52" t="n"/>
      <c r="H967" s="52" t="n"/>
      <c r="I967" s="52" t="n"/>
      <c r="J967" s="52" t="n"/>
      <c r="K967" s="52" t="n"/>
      <c r="L967" s="51" t="n"/>
      <c r="M967" s="53">
        <f>IF(A967="","",IF(COUNTIF('AFA Rates'!$A$5:$A$1004,A967)&gt;0,"Yes","No"))</f>
        <v/>
      </c>
      <c r="N967" s="53">
        <f>IF(A967="","",COUNTIF('AFA Rates'!$A$5:$A$1004,A967))</f>
        <v/>
      </c>
      <c r="O967" s="54" t="n"/>
      <c r="P967" s="5" t="n"/>
      <c r="Q967" s="5" t="n"/>
      <c r="R967">
        <f>IF(AND(A967&lt;&gt;"",B967="Paused"),COUNTIFS($A$5:A967,"&lt;&gt;",$B$5:B967,"Paused"),"")</f>
        <v/>
      </c>
      <c r="S967">
        <f>IF(M967="Yes",COUNTIF($M$5:M967,"Yes"),"")</f>
        <v/>
      </c>
    </row>
    <row r="968">
      <c r="A968" s="5" t="n"/>
      <c r="B968" s="51" t="n"/>
      <c r="C968" s="5" t="n"/>
      <c r="D968" s="52" t="n"/>
      <c r="E968" s="52" t="n"/>
      <c r="F968" s="52" t="n"/>
      <c r="G968" s="52" t="n"/>
      <c r="H968" s="52" t="n"/>
      <c r="I968" s="52" t="n"/>
      <c r="J968" s="52" t="n"/>
      <c r="K968" s="52" t="n"/>
      <c r="L968" s="51" t="n"/>
      <c r="M968" s="53">
        <f>IF(A968="","",IF(COUNTIF('AFA Rates'!$A$5:$A$1004,A968)&gt;0,"Yes","No"))</f>
        <v/>
      </c>
      <c r="N968" s="53">
        <f>IF(A968="","",COUNTIF('AFA Rates'!$A$5:$A$1004,A968))</f>
        <v/>
      </c>
      <c r="O968" s="54" t="n"/>
      <c r="P968" s="5" t="n"/>
      <c r="Q968" s="5" t="n"/>
      <c r="R968">
        <f>IF(AND(A968&lt;&gt;"",B968="Paused"),COUNTIFS($A$5:A968,"&lt;&gt;",$B$5:B968,"Paused"),"")</f>
        <v/>
      </c>
      <c r="S968">
        <f>IF(M968="Yes",COUNTIF($M$5:M968,"Yes"),"")</f>
        <v/>
      </c>
    </row>
    <row r="969">
      <c r="A969" s="5" t="n"/>
      <c r="B969" s="51" t="n"/>
      <c r="C969" s="5" t="n"/>
      <c r="D969" s="52" t="n"/>
      <c r="E969" s="52" t="n"/>
      <c r="F969" s="52" t="n"/>
      <c r="G969" s="52" t="n"/>
      <c r="H969" s="52" t="n"/>
      <c r="I969" s="52" t="n"/>
      <c r="J969" s="52" t="n"/>
      <c r="K969" s="52" t="n"/>
      <c r="L969" s="51" t="n"/>
      <c r="M969" s="53">
        <f>IF(A969="","",IF(COUNTIF('AFA Rates'!$A$5:$A$1004,A969)&gt;0,"Yes","No"))</f>
        <v/>
      </c>
      <c r="N969" s="53">
        <f>IF(A969="","",COUNTIF('AFA Rates'!$A$5:$A$1004,A969))</f>
        <v/>
      </c>
      <c r="O969" s="54" t="n"/>
      <c r="P969" s="5" t="n"/>
      <c r="Q969" s="5" t="n"/>
      <c r="R969">
        <f>IF(AND(A969&lt;&gt;"",B969="Paused"),COUNTIFS($A$5:A969,"&lt;&gt;",$B$5:B969,"Paused"),"")</f>
        <v/>
      </c>
      <c r="S969">
        <f>IF(M969="Yes",COUNTIF($M$5:M969,"Yes"),"")</f>
        <v/>
      </c>
    </row>
    <row r="970">
      <c r="A970" s="5" t="n"/>
      <c r="B970" s="51" t="n"/>
      <c r="C970" s="5" t="n"/>
      <c r="D970" s="52" t="n"/>
      <c r="E970" s="52" t="n"/>
      <c r="F970" s="52" t="n"/>
      <c r="G970" s="52" t="n"/>
      <c r="H970" s="52" t="n"/>
      <c r="I970" s="52" t="n"/>
      <c r="J970" s="52" t="n"/>
      <c r="K970" s="52" t="n"/>
      <c r="L970" s="51" t="n"/>
      <c r="M970" s="53">
        <f>IF(A970="","",IF(COUNTIF('AFA Rates'!$A$5:$A$1004,A970)&gt;0,"Yes","No"))</f>
        <v/>
      </c>
      <c r="N970" s="53">
        <f>IF(A970="","",COUNTIF('AFA Rates'!$A$5:$A$1004,A970))</f>
        <v/>
      </c>
      <c r="O970" s="54" t="n"/>
      <c r="P970" s="5" t="n"/>
      <c r="Q970" s="5" t="n"/>
      <c r="R970">
        <f>IF(AND(A970&lt;&gt;"",B970="Paused"),COUNTIFS($A$5:A970,"&lt;&gt;",$B$5:B970,"Paused"),"")</f>
        <v/>
      </c>
      <c r="S970">
        <f>IF(M970="Yes",COUNTIF($M$5:M970,"Yes"),"")</f>
        <v/>
      </c>
    </row>
    <row r="971">
      <c r="A971" s="5" t="n"/>
      <c r="B971" s="51" t="n"/>
      <c r="C971" s="5" t="n"/>
      <c r="D971" s="52" t="n"/>
      <c r="E971" s="52" t="n"/>
      <c r="F971" s="52" t="n"/>
      <c r="G971" s="52" t="n"/>
      <c r="H971" s="52" t="n"/>
      <c r="I971" s="52" t="n"/>
      <c r="J971" s="52" t="n"/>
      <c r="K971" s="52" t="n"/>
      <c r="L971" s="51" t="n"/>
      <c r="M971" s="53">
        <f>IF(A971="","",IF(COUNTIF('AFA Rates'!$A$5:$A$1004,A971)&gt;0,"Yes","No"))</f>
        <v/>
      </c>
      <c r="N971" s="53">
        <f>IF(A971="","",COUNTIF('AFA Rates'!$A$5:$A$1004,A971))</f>
        <v/>
      </c>
      <c r="O971" s="54" t="n"/>
      <c r="P971" s="5" t="n"/>
      <c r="Q971" s="5" t="n"/>
      <c r="R971">
        <f>IF(AND(A971&lt;&gt;"",B971="Paused"),COUNTIFS($A$5:A971,"&lt;&gt;",$B$5:B971,"Paused"),"")</f>
        <v/>
      </c>
      <c r="S971">
        <f>IF(M971="Yes",COUNTIF($M$5:M971,"Yes"),"")</f>
        <v/>
      </c>
    </row>
    <row r="972">
      <c r="A972" s="5" t="n"/>
      <c r="B972" s="51" t="n"/>
      <c r="C972" s="5" t="n"/>
      <c r="D972" s="52" t="n"/>
      <c r="E972" s="52" t="n"/>
      <c r="F972" s="52" t="n"/>
      <c r="G972" s="52" t="n"/>
      <c r="H972" s="52" t="n"/>
      <c r="I972" s="52" t="n"/>
      <c r="J972" s="52" t="n"/>
      <c r="K972" s="52" t="n"/>
      <c r="L972" s="51" t="n"/>
      <c r="M972" s="53">
        <f>IF(A972="","",IF(COUNTIF('AFA Rates'!$A$5:$A$1004,A972)&gt;0,"Yes","No"))</f>
        <v/>
      </c>
      <c r="N972" s="53">
        <f>IF(A972="","",COUNTIF('AFA Rates'!$A$5:$A$1004,A972))</f>
        <v/>
      </c>
      <c r="O972" s="54" t="n"/>
      <c r="P972" s="5" t="n"/>
      <c r="Q972" s="5" t="n"/>
      <c r="R972">
        <f>IF(AND(A972&lt;&gt;"",B972="Paused"),COUNTIFS($A$5:A972,"&lt;&gt;",$B$5:B972,"Paused"),"")</f>
        <v/>
      </c>
      <c r="S972">
        <f>IF(M972="Yes",COUNTIF($M$5:M972,"Yes"),"")</f>
        <v/>
      </c>
    </row>
    <row r="973">
      <c r="A973" s="5" t="n"/>
      <c r="B973" s="51" t="n"/>
      <c r="C973" s="5" t="n"/>
      <c r="D973" s="52" t="n"/>
      <c r="E973" s="52" t="n"/>
      <c r="F973" s="52" t="n"/>
      <c r="G973" s="52" t="n"/>
      <c r="H973" s="52" t="n"/>
      <c r="I973" s="52" t="n"/>
      <c r="J973" s="52" t="n"/>
      <c r="K973" s="52" t="n"/>
      <c r="L973" s="51" t="n"/>
      <c r="M973" s="53">
        <f>IF(A973="","",IF(COUNTIF('AFA Rates'!$A$5:$A$1004,A973)&gt;0,"Yes","No"))</f>
        <v/>
      </c>
      <c r="N973" s="53">
        <f>IF(A973="","",COUNTIF('AFA Rates'!$A$5:$A$1004,A973))</f>
        <v/>
      </c>
      <c r="O973" s="54" t="n"/>
      <c r="P973" s="5" t="n"/>
      <c r="Q973" s="5" t="n"/>
      <c r="R973">
        <f>IF(AND(A973&lt;&gt;"",B973="Paused"),COUNTIFS($A$5:A973,"&lt;&gt;",$B$5:B973,"Paused"),"")</f>
        <v/>
      </c>
      <c r="S973">
        <f>IF(M973="Yes",COUNTIF($M$5:M973,"Yes"),"")</f>
        <v/>
      </c>
    </row>
    <row r="974">
      <c r="A974" s="5" t="n"/>
      <c r="B974" s="51" t="n"/>
      <c r="C974" s="5" t="n"/>
      <c r="D974" s="52" t="n"/>
      <c r="E974" s="52" t="n"/>
      <c r="F974" s="52" t="n"/>
      <c r="G974" s="52" t="n"/>
      <c r="H974" s="52" t="n"/>
      <c r="I974" s="52" t="n"/>
      <c r="J974" s="52" t="n"/>
      <c r="K974" s="52" t="n"/>
      <c r="L974" s="51" t="n"/>
      <c r="M974" s="53">
        <f>IF(A974="","",IF(COUNTIF('AFA Rates'!$A$5:$A$1004,A974)&gt;0,"Yes","No"))</f>
        <v/>
      </c>
      <c r="N974" s="53">
        <f>IF(A974="","",COUNTIF('AFA Rates'!$A$5:$A$1004,A974))</f>
        <v/>
      </c>
      <c r="O974" s="54" t="n"/>
      <c r="P974" s="5" t="n"/>
      <c r="Q974" s="5" t="n"/>
      <c r="R974">
        <f>IF(AND(A974&lt;&gt;"",B974="Paused"),COUNTIFS($A$5:A974,"&lt;&gt;",$B$5:B974,"Paused"),"")</f>
        <v/>
      </c>
      <c r="S974">
        <f>IF(M974="Yes",COUNTIF($M$5:M974,"Yes"),"")</f>
        <v/>
      </c>
    </row>
    <row r="975">
      <c r="A975" s="5" t="n"/>
      <c r="B975" s="51" t="n"/>
      <c r="C975" s="5" t="n"/>
      <c r="D975" s="52" t="n"/>
      <c r="E975" s="52" t="n"/>
      <c r="F975" s="52" t="n"/>
      <c r="G975" s="52" t="n"/>
      <c r="H975" s="52" t="n"/>
      <c r="I975" s="52" t="n"/>
      <c r="J975" s="52" t="n"/>
      <c r="K975" s="52" t="n"/>
      <c r="L975" s="51" t="n"/>
      <c r="M975" s="53">
        <f>IF(A975="","",IF(COUNTIF('AFA Rates'!$A$5:$A$1004,A975)&gt;0,"Yes","No"))</f>
        <v/>
      </c>
      <c r="N975" s="53">
        <f>IF(A975="","",COUNTIF('AFA Rates'!$A$5:$A$1004,A975))</f>
        <v/>
      </c>
      <c r="O975" s="54" t="n"/>
      <c r="P975" s="5" t="n"/>
      <c r="Q975" s="5" t="n"/>
      <c r="R975">
        <f>IF(AND(A975&lt;&gt;"",B975="Paused"),COUNTIFS($A$5:A975,"&lt;&gt;",$B$5:B975,"Paused"),"")</f>
        <v/>
      </c>
      <c r="S975">
        <f>IF(M975="Yes",COUNTIF($M$5:M975,"Yes"),"")</f>
        <v/>
      </c>
    </row>
    <row r="976">
      <c r="A976" s="5" t="n"/>
      <c r="B976" s="51" t="n"/>
      <c r="C976" s="5" t="n"/>
      <c r="D976" s="52" t="n"/>
      <c r="E976" s="52" t="n"/>
      <c r="F976" s="52" t="n"/>
      <c r="G976" s="52" t="n"/>
      <c r="H976" s="52" t="n"/>
      <c r="I976" s="52" t="n"/>
      <c r="J976" s="52" t="n"/>
      <c r="K976" s="52" t="n"/>
      <c r="L976" s="51" t="n"/>
      <c r="M976" s="53">
        <f>IF(A976="","",IF(COUNTIF('AFA Rates'!$A$5:$A$1004,A976)&gt;0,"Yes","No"))</f>
        <v/>
      </c>
      <c r="N976" s="53">
        <f>IF(A976="","",COUNTIF('AFA Rates'!$A$5:$A$1004,A976))</f>
        <v/>
      </c>
      <c r="O976" s="54" t="n"/>
      <c r="P976" s="5" t="n"/>
      <c r="Q976" s="5" t="n"/>
      <c r="R976">
        <f>IF(AND(A976&lt;&gt;"",B976="Paused"),COUNTIFS($A$5:A976,"&lt;&gt;",$B$5:B976,"Paused"),"")</f>
        <v/>
      </c>
      <c r="S976">
        <f>IF(M976="Yes",COUNTIF($M$5:M976,"Yes"),"")</f>
        <v/>
      </c>
    </row>
    <row r="977">
      <c r="A977" s="5" t="n"/>
      <c r="B977" s="51" t="n"/>
      <c r="C977" s="5" t="n"/>
      <c r="D977" s="52" t="n"/>
      <c r="E977" s="52" t="n"/>
      <c r="F977" s="52" t="n"/>
      <c r="G977" s="52" t="n"/>
      <c r="H977" s="52" t="n"/>
      <c r="I977" s="52" t="n"/>
      <c r="J977" s="52" t="n"/>
      <c r="K977" s="52" t="n"/>
      <c r="L977" s="51" t="n"/>
      <c r="M977" s="53">
        <f>IF(A977="","",IF(COUNTIF('AFA Rates'!$A$5:$A$1004,A977)&gt;0,"Yes","No"))</f>
        <v/>
      </c>
      <c r="N977" s="53">
        <f>IF(A977="","",COUNTIF('AFA Rates'!$A$5:$A$1004,A977))</f>
        <v/>
      </c>
      <c r="O977" s="54" t="n"/>
      <c r="P977" s="5" t="n"/>
      <c r="Q977" s="5" t="n"/>
      <c r="R977">
        <f>IF(AND(A977&lt;&gt;"",B977="Paused"),COUNTIFS($A$5:A977,"&lt;&gt;",$B$5:B977,"Paused"),"")</f>
        <v/>
      </c>
      <c r="S977">
        <f>IF(M977="Yes",COUNTIF($M$5:M977,"Yes"),"")</f>
        <v/>
      </c>
    </row>
    <row r="978">
      <c r="A978" s="5" t="n"/>
      <c r="B978" s="51" t="n"/>
      <c r="C978" s="5" t="n"/>
      <c r="D978" s="52" t="n"/>
      <c r="E978" s="52" t="n"/>
      <c r="F978" s="52" t="n"/>
      <c r="G978" s="52" t="n"/>
      <c r="H978" s="52" t="n"/>
      <c r="I978" s="52" t="n"/>
      <c r="J978" s="52" t="n"/>
      <c r="K978" s="52" t="n"/>
      <c r="L978" s="51" t="n"/>
      <c r="M978" s="53">
        <f>IF(A978="","",IF(COUNTIF('AFA Rates'!$A$5:$A$1004,A978)&gt;0,"Yes","No"))</f>
        <v/>
      </c>
      <c r="N978" s="53">
        <f>IF(A978="","",COUNTIF('AFA Rates'!$A$5:$A$1004,A978))</f>
        <v/>
      </c>
      <c r="O978" s="54" t="n"/>
      <c r="P978" s="5" t="n"/>
      <c r="Q978" s="5" t="n"/>
      <c r="R978">
        <f>IF(AND(A978&lt;&gt;"",B978="Paused"),COUNTIFS($A$5:A978,"&lt;&gt;",$B$5:B978,"Paused"),"")</f>
        <v/>
      </c>
      <c r="S978">
        <f>IF(M978="Yes",COUNTIF($M$5:M978,"Yes"),"")</f>
        <v/>
      </c>
    </row>
    <row r="979">
      <c r="A979" s="5" t="n"/>
      <c r="B979" s="51" t="n"/>
      <c r="C979" s="5" t="n"/>
      <c r="D979" s="52" t="n"/>
      <c r="E979" s="52" t="n"/>
      <c r="F979" s="52" t="n"/>
      <c r="G979" s="52" t="n"/>
      <c r="H979" s="52" t="n"/>
      <c r="I979" s="52" t="n"/>
      <c r="J979" s="52" t="n"/>
      <c r="K979" s="52" t="n"/>
      <c r="L979" s="51" t="n"/>
      <c r="M979" s="53">
        <f>IF(A979="","",IF(COUNTIF('AFA Rates'!$A$5:$A$1004,A979)&gt;0,"Yes","No"))</f>
        <v/>
      </c>
      <c r="N979" s="53">
        <f>IF(A979="","",COUNTIF('AFA Rates'!$A$5:$A$1004,A979))</f>
        <v/>
      </c>
      <c r="O979" s="54" t="n"/>
      <c r="P979" s="5" t="n"/>
      <c r="Q979" s="5" t="n"/>
      <c r="R979">
        <f>IF(AND(A979&lt;&gt;"",B979="Paused"),COUNTIFS($A$5:A979,"&lt;&gt;",$B$5:B979,"Paused"),"")</f>
        <v/>
      </c>
      <c r="S979">
        <f>IF(M979="Yes",COUNTIF($M$5:M979,"Yes"),"")</f>
        <v/>
      </c>
    </row>
    <row r="980">
      <c r="A980" s="5" t="n"/>
      <c r="B980" s="51" t="n"/>
      <c r="C980" s="5" t="n"/>
      <c r="D980" s="52" t="n"/>
      <c r="E980" s="52" t="n"/>
      <c r="F980" s="52" t="n"/>
      <c r="G980" s="52" t="n"/>
      <c r="H980" s="52" t="n"/>
      <c r="I980" s="52" t="n"/>
      <c r="J980" s="52" t="n"/>
      <c r="K980" s="52" t="n"/>
      <c r="L980" s="51" t="n"/>
      <c r="M980" s="53">
        <f>IF(A980="","",IF(COUNTIF('AFA Rates'!$A$5:$A$1004,A980)&gt;0,"Yes","No"))</f>
        <v/>
      </c>
      <c r="N980" s="53">
        <f>IF(A980="","",COUNTIF('AFA Rates'!$A$5:$A$1004,A980))</f>
        <v/>
      </c>
      <c r="O980" s="54" t="n"/>
      <c r="P980" s="5" t="n"/>
      <c r="Q980" s="5" t="n"/>
      <c r="R980">
        <f>IF(AND(A980&lt;&gt;"",B980="Paused"),COUNTIFS($A$5:A980,"&lt;&gt;",$B$5:B980,"Paused"),"")</f>
        <v/>
      </c>
      <c r="S980">
        <f>IF(M980="Yes",COUNTIF($M$5:M980,"Yes"),"")</f>
        <v/>
      </c>
    </row>
    <row r="981">
      <c r="A981" s="5" t="n"/>
      <c r="B981" s="51" t="n"/>
      <c r="C981" s="5" t="n"/>
      <c r="D981" s="52" t="n"/>
      <c r="E981" s="52" t="n"/>
      <c r="F981" s="52" t="n"/>
      <c r="G981" s="52" t="n"/>
      <c r="H981" s="52" t="n"/>
      <c r="I981" s="52" t="n"/>
      <c r="J981" s="52" t="n"/>
      <c r="K981" s="52" t="n"/>
      <c r="L981" s="51" t="n"/>
      <c r="M981" s="53">
        <f>IF(A981="","",IF(COUNTIF('AFA Rates'!$A$5:$A$1004,A981)&gt;0,"Yes","No"))</f>
        <v/>
      </c>
      <c r="N981" s="53">
        <f>IF(A981="","",COUNTIF('AFA Rates'!$A$5:$A$1004,A981))</f>
        <v/>
      </c>
      <c r="O981" s="54" t="n"/>
      <c r="P981" s="5" t="n"/>
      <c r="Q981" s="5" t="n"/>
      <c r="R981">
        <f>IF(AND(A981&lt;&gt;"",B981="Paused"),COUNTIFS($A$5:A981,"&lt;&gt;",$B$5:B981,"Paused"),"")</f>
        <v/>
      </c>
      <c r="S981">
        <f>IF(M981="Yes",COUNTIF($M$5:M981,"Yes"),"")</f>
        <v/>
      </c>
    </row>
    <row r="982">
      <c r="A982" s="5" t="n"/>
      <c r="B982" s="51" t="n"/>
      <c r="C982" s="5" t="n"/>
      <c r="D982" s="52" t="n"/>
      <c r="E982" s="52" t="n"/>
      <c r="F982" s="52" t="n"/>
      <c r="G982" s="52" t="n"/>
      <c r="H982" s="52" t="n"/>
      <c r="I982" s="52" t="n"/>
      <c r="J982" s="52" t="n"/>
      <c r="K982" s="52" t="n"/>
      <c r="L982" s="51" t="n"/>
      <c r="M982" s="53">
        <f>IF(A982="","",IF(COUNTIF('AFA Rates'!$A$5:$A$1004,A982)&gt;0,"Yes","No"))</f>
        <v/>
      </c>
      <c r="N982" s="53">
        <f>IF(A982="","",COUNTIF('AFA Rates'!$A$5:$A$1004,A982))</f>
        <v/>
      </c>
      <c r="O982" s="54" t="n"/>
      <c r="P982" s="5" t="n"/>
      <c r="Q982" s="5" t="n"/>
      <c r="R982">
        <f>IF(AND(A982&lt;&gt;"",B982="Paused"),COUNTIFS($A$5:A982,"&lt;&gt;",$B$5:B982,"Paused"),"")</f>
        <v/>
      </c>
      <c r="S982">
        <f>IF(M982="Yes",COUNTIF($M$5:M982,"Yes"),"")</f>
        <v/>
      </c>
    </row>
    <row r="983">
      <c r="A983" s="5" t="n"/>
      <c r="B983" s="51" t="n"/>
      <c r="C983" s="5" t="n"/>
      <c r="D983" s="52" t="n"/>
      <c r="E983" s="52" t="n"/>
      <c r="F983" s="52" t="n"/>
      <c r="G983" s="52" t="n"/>
      <c r="H983" s="52" t="n"/>
      <c r="I983" s="52" t="n"/>
      <c r="J983" s="52" t="n"/>
      <c r="K983" s="52" t="n"/>
      <c r="L983" s="51" t="n"/>
      <c r="M983" s="53">
        <f>IF(A983="","",IF(COUNTIF('AFA Rates'!$A$5:$A$1004,A983)&gt;0,"Yes","No"))</f>
        <v/>
      </c>
      <c r="N983" s="53">
        <f>IF(A983="","",COUNTIF('AFA Rates'!$A$5:$A$1004,A983))</f>
        <v/>
      </c>
      <c r="O983" s="54" t="n"/>
      <c r="P983" s="5" t="n"/>
      <c r="Q983" s="5" t="n"/>
      <c r="R983">
        <f>IF(AND(A983&lt;&gt;"",B983="Paused"),COUNTIFS($A$5:A983,"&lt;&gt;",$B$5:B983,"Paused"),"")</f>
        <v/>
      </c>
      <c r="S983">
        <f>IF(M983="Yes",COUNTIF($M$5:M983,"Yes"),"")</f>
        <v/>
      </c>
    </row>
    <row r="984">
      <c r="A984" s="5" t="n"/>
      <c r="B984" s="51" t="n"/>
      <c r="C984" s="5" t="n"/>
      <c r="D984" s="52" t="n"/>
      <c r="E984" s="52" t="n"/>
      <c r="F984" s="52" t="n"/>
      <c r="G984" s="52" t="n"/>
      <c r="H984" s="52" t="n"/>
      <c r="I984" s="52" t="n"/>
      <c r="J984" s="52" t="n"/>
      <c r="K984" s="52" t="n"/>
      <c r="L984" s="51" t="n"/>
      <c r="M984" s="53">
        <f>IF(A984="","",IF(COUNTIF('AFA Rates'!$A$5:$A$1004,A984)&gt;0,"Yes","No"))</f>
        <v/>
      </c>
      <c r="N984" s="53">
        <f>IF(A984="","",COUNTIF('AFA Rates'!$A$5:$A$1004,A984))</f>
        <v/>
      </c>
      <c r="O984" s="54" t="n"/>
      <c r="P984" s="5" t="n"/>
      <c r="Q984" s="5" t="n"/>
      <c r="R984">
        <f>IF(AND(A984&lt;&gt;"",B984="Paused"),COUNTIFS($A$5:A984,"&lt;&gt;",$B$5:B984,"Paused"),"")</f>
        <v/>
      </c>
      <c r="S984">
        <f>IF(M984="Yes",COUNTIF($M$5:M984,"Yes"),"")</f>
        <v/>
      </c>
    </row>
    <row r="985">
      <c r="A985" s="5" t="n"/>
      <c r="B985" s="51" t="n"/>
      <c r="C985" s="5" t="n"/>
      <c r="D985" s="52" t="n"/>
      <c r="E985" s="52" t="n"/>
      <c r="F985" s="52" t="n"/>
      <c r="G985" s="52" t="n"/>
      <c r="H985" s="52" t="n"/>
      <c r="I985" s="52" t="n"/>
      <c r="J985" s="52" t="n"/>
      <c r="K985" s="52" t="n"/>
      <c r="L985" s="51" t="n"/>
      <c r="M985" s="53">
        <f>IF(A985="","",IF(COUNTIF('AFA Rates'!$A$5:$A$1004,A985)&gt;0,"Yes","No"))</f>
        <v/>
      </c>
      <c r="N985" s="53">
        <f>IF(A985="","",COUNTIF('AFA Rates'!$A$5:$A$1004,A985))</f>
        <v/>
      </c>
      <c r="O985" s="54" t="n"/>
      <c r="P985" s="5" t="n"/>
      <c r="Q985" s="5" t="n"/>
      <c r="R985">
        <f>IF(AND(A985&lt;&gt;"",B985="Paused"),COUNTIFS($A$5:A985,"&lt;&gt;",$B$5:B985,"Paused"),"")</f>
        <v/>
      </c>
      <c r="S985">
        <f>IF(M985="Yes",COUNTIF($M$5:M985,"Yes"),"")</f>
        <v/>
      </c>
    </row>
    <row r="986">
      <c r="A986" s="5" t="n"/>
      <c r="B986" s="51" t="n"/>
      <c r="C986" s="5" t="n"/>
      <c r="D986" s="52" t="n"/>
      <c r="E986" s="52" t="n"/>
      <c r="F986" s="52" t="n"/>
      <c r="G986" s="52" t="n"/>
      <c r="H986" s="52" t="n"/>
      <c r="I986" s="52" t="n"/>
      <c r="J986" s="52" t="n"/>
      <c r="K986" s="52" t="n"/>
      <c r="L986" s="51" t="n"/>
      <c r="M986" s="53">
        <f>IF(A986="","",IF(COUNTIF('AFA Rates'!$A$5:$A$1004,A986)&gt;0,"Yes","No"))</f>
        <v/>
      </c>
      <c r="N986" s="53">
        <f>IF(A986="","",COUNTIF('AFA Rates'!$A$5:$A$1004,A986))</f>
        <v/>
      </c>
      <c r="O986" s="54" t="n"/>
      <c r="P986" s="5" t="n"/>
      <c r="Q986" s="5" t="n"/>
      <c r="R986">
        <f>IF(AND(A986&lt;&gt;"",B986="Paused"),COUNTIFS($A$5:A986,"&lt;&gt;",$B$5:B986,"Paused"),"")</f>
        <v/>
      </c>
      <c r="S986">
        <f>IF(M986="Yes",COUNTIF($M$5:M986,"Yes"),"")</f>
        <v/>
      </c>
    </row>
    <row r="987">
      <c r="A987" s="5" t="n"/>
      <c r="B987" s="51" t="n"/>
      <c r="C987" s="5" t="n"/>
      <c r="D987" s="52" t="n"/>
      <c r="E987" s="52" t="n"/>
      <c r="F987" s="52" t="n"/>
      <c r="G987" s="52" t="n"/>
      <c r="H987" s="52" t="n"/>
      <c r="I987" s="52" t="n"/>
      <c r="J987" s="52" t="n"/>
      <c r="K987" s="52" t="n"/>
      <c r="L987" s="51" t="n"/>
      <c r="M987" s="53">
        <f>IF(A987="","",IF(COUNTIF('AFA Rates'!$A$5:$A$1004,A987)&gt;0,"Yes","No"))</f>
        <v/>
      </c>
      <c r="N987" s="53">
        <f>IF(A987="","",COUNTIF('AFA Rates'!$A$5:$A$1004,A987))</f>
        <v/>
      </c>
      <c r="O987" s="54" t="n"/>
      <c r="P987" s="5" t="n"/>
      <c r="Q987" s="5" t="n"/>
      <c r="R987">
        <f>IF(AND(A987&lt;&gt;"",B987="Paused"),COUNTIFS($A$5:A987,"&lt;&gt;",$B$5:B987,"Paused"),"")</f>
        <v/>
      </c>
      <c r="S987">
        <f>IF(M987="Yes",COUNTIF($M$5:M987,"Yes"),"")</f>
        <v/>
      </c>
    </row>
    <row r="988">
      <c r="A988" s="5" t="n"/>
      <c r="B988" s="51" t="n"/>
      <c r="C988" s="5" t="n"/>
      <c r="D988" s="52" t="n"/>
      <c r="E988" s="52" t="n"/>
      <c r="F988" s="52" t="n"/>
      <c r="G988" s="52" t="n"/>
      <c r="H988" s="52" t="n"/>
      <c r="I988" s="52" t="n"/>
      <c r="J988" s="52" t="n"/>
      <c r="K988" s="52" t="n"/>
      <c r="L988" s="51" t="n"/>
      <c r="M988" s="53">
        <f>IF(A988="","",IF(COUNTIF('AFA Rates'!$A$5:$A$1004,A988)&gt;0,"Yes","No"))</f>
        <v/>
      </c>
      <c r="N988" s="53">
        <f>IF(A988="","",COUNTIF('AFA Rates'!$A$5:$A$1004,A988))</f>
        <v/>
      </c>
      <c r="O988" s="54" t="n"/>
      <c r="P988" s="5" t="n"/>
      <c r="Q988" s="5" t="n"/>
      <c r="R988">
        <f>IF(AND(A988&lt;&gt;"",B988="Paused"),COUNTIFS($A$5:A988,"&lt;&gt;",$B$5:B988,"Paused"),"")</f>
        <v/>
      </c>
      <c r="S988">
        <f>IF(M988="Yes",COUNTIF($M$5:M988,"Yes"),"")</f>
        <v/>
      </c>
    </row>
    <row r="989">
      <c r="A989" s="5" t="n"/>
      <c r="B989" s="51" t="n"/>
      <c r="C989" s="5" t="n"/>
      <c r="D989" s="52" t="n"/>
      <c r="E989" s="52" t="n"/>
      <c r="F989" s="52" t="n"/>
      <c r="G989" s="52" t="n"/>
      <c r="H989" s="52" t="n"/>
      <c r="I989" s="52" t="n"/>
      <c r="J989" s="52" t="n"/>
      <c r="K989" s="52" t="n"/>
      <c r="L989" s="51" t="n"/>
      <c r="M989" s="53">
        <f>IF(A989="","",IF(COUNTIF('AFA Rates'!$A$5:$A$1004,A989)&gt;0,"Yes","No"))</f>
        <v/>
      </c>
      <c r="N989" s="53">
        <f>IF(A989="","",COUNTIF('AFA Rates'!$A$5:$A$1004,A989))</f>
        <v/>
      </c>
      <c r="O989" s="54" t="n"/>
      <c r="P989" s="5" t="n"/>
      <c r="Q989" s="5" t="n"/>
      <c r="R989">
        <f>IF(AND(A989&lt;&gt;"",B989="Paused"),COUNTIFS($A$5:A989,"&lt;&gt;",$B$5:B989,"Paused"),"")</f>
        <v/>
      </c>
      <c r="S989">
        <f>IF(M989="Yes",COUNTIF($M$5:M989,"Yes"),"")</f>
        <v/>
      </c>
    </row>
    <row r="990">
      <c r="A990" s="5" t="n"/>
      <c r="B990" s="51" t="n"/>
      <c r="C990" s="5" t="n"/>
      <c r="D990" s="52" t="n"/>
      <c r="E990" s="52" t="n"/>
      <c r="F990" s="52" t="n"/>
      <c r="G990" s="52" t="n"/>
      <c r="H990" s="52" t="n"/>
      <c r="I990" s="52" t="n"/>
      <c r="J990" s="52" t="n"/>
      <c r="K990" s="52" t="n"/>
      <c r="L990" s="51" t="n"/>
      <c r="M990" s="53">
        <f>IF(A990="","",IF(COUNTIF('AFA Rates'!$A$5:$A$1004,A990)&gt;0,"Yes","No"))</f>
        <v/>
      </c>
      <c r="N990" s="53">
        <f>IF(A990="","",COUNTIF('AFA Rates'!$A$5:$A$1004,A990))</f>
        <v/>
      </c>
      <c r="O990" s="54" t="n"/>
      <c r="P990" s="5" t="n"/>
      <c r="Q990" s="5" t="n"/>
      <c r="R990">
        <f>IF(AND(A990&lt;&gt;"",B990="Paused"),COUNTIFS($A$5:A990,"&lt;&gt;",$B$5:B990,"Paused"),"")</f>
        <v/>
      </c>
      <c r="S990">
        <f>IF(M990="Yes",COUNTIF($M$5:M990,"Yes"),"")</f>
        <v/>
      </c>
    </row>
    <row r="991">
      <c r="A991" s="5" t="n"/>
      <c r="B991" s="51" t="n"/>
      <c r="C991" s="5" t="n"/>
      <c r="D991" s="52" t="n"/>
      <c r="E991" s="52" t="n"/>
      <c r="F991" s="52" t="n"/>
      <c r="G991" s="52" t="n"/>
      <c r="H991" s="52" t="n"/>
      <c r="I991" s="52" t="n"/>
      <c r="J991" s="52" t="n"/>
      <c r="K991" s="52" t="n"/>
      <c r="L991" s="51" t="n"/>
      <c r="M991" s="53">
        <f>IF(A991="","",IF(COUNTIF('AFA Rates'!$A$5:$A$1004,A991)&gt;0,"Yes","No"))</f>
        <v/>
      </c>
      <c r="N991" s="53">
        <f>IF(A991="","",COUNTIF('AFA Rates'!$A$5:$A$1004,A991))</f>
        <v/>
      </c>
      <c r="O991" s="54" t="n"/>
      <c r="P991" s="5" t="n"/>
      <c r="Q991" s="5" t="n"/>
      <c r="R991">
        <f>IF(AND(A991&lt;&gt;"",B991="Paused"),COUNTIFS($A$5:A991,"&lt;&gt;",$B$5:B991,"Paused"),"")</f>
        <v/>
      </c>
      <c r="S991">
        <f>IF(M991="Yes",COUNTIF($M$5:M991,"Yes"),"")</f>
        <v/>
      </c>
    </row>
    <row r="992">
      <c r="A992" s="5" t="n"/>
      <c r="B992" s="51" t="n"/>
      <c r="C992" s="5" t="n"/>
      <c r="D992" s="52" t="n"/>
      <c r="E992" s="52" t="n"/>
      <c r="F992" s="52" t="n"/>
      <c r="G992" s="52" t="n"/>
      <c r="H992" s="52" t="n"/>
      <c r="I992" s="52" t="n"/>
      <c r="J992" s="52" t="n"/>
      <c r="K992" s="52" t="n"/>
      <c r="L992" s="51" t="n"/>
      <c r="M992" s="53">
        <f>IF(A992="","",IF(COUNTIF('AFA Rates'!$A$5:$A$1004,A992)&gt;0,"Yes","No"))</f>
        <v/>
      </c>
      <c r="N992" s="53">
        <f>IF(A992="","",COUNTIF('AFA Rates'!$A$5:$A$1004,A992))</f>
        <v/>
      </c>
      <c r="O992" s="54" t="n"/>
      <c r="P992" s="5" t="n"/>
      <c r="Q992" s="5" t="n"/>
      <c r="R992">
        <f>IF(AND(A992&lt;&gt;"",B992="Paused"),COUNTIFS($A$5:A992,"&lt;&gt;",$B$5:B992,"Paused"),"")</f>
        <v/>
      </c>
      <c r="S992">
        <f>IF(M992="Yes",COUNTIF($M$5:M992,"Yes"),"")</f>
        <v/>
      </c>
    </row>
    <row r="993">
      <c r="A993" s="5" t="n"/>
      <c r="B993" s="51" t="n"/>
      <c r="C993" s="5" t="n"/>
      <c r="D993" s="52" t="n"/>
      <c r="E993" s="52" t="n"/>
      <c r="F993" s="52" t="n"/>
      <c r="G993" s="52" t="n"/>
      <c r="H993" s="52" t="n"/>
      <c r="I993" s="52" t="n"/>
      <c r="J993" s="52" t="n"/>
      <c r="K993" s="52" t="n"/>
      <c r="L993" s="51" t="n"/>
      <c r="M993" s="53">
        <f>IF(A993="","",IF(COUNTIF('AFA Rates'!$A$5:$A$1004,A993)&gt;0,"Yes","No"))</f>
        <v/>
      </c>
      <c r="N993" s="53">
        <f>IF(A993="","",COUNTIF('AFA Rates'!$A$5:$A$1004,A993))</f>
        <v/>
      </c>
      <c r="O993" s="54" t="n"/>
      <c r="P993" s="5" t="n"/>
      <c r="Q993" s="5" t="n"/>
      <c r="R993">
        <f>IF(AND(A993&lt;&gt;"",B993="Paused"),COUNTIFS($A$5:A993,"&lt;&gt;",$B$5:B993,"Paused"),"")</f>
        <v/>
      </c>
      <c r="S993">
        <f>IF(M993="Yes",COUNTIF($M$5:M993,"Yes"),"")</f>
        <v/>
      </c>
    </row>
    <row r="994">
      <c r="A994" s="5" t="n"/>
      <c r="B994" s="51" t="n"/>
      <c r="C994" s="5" t="n"/>
      <c r="D994" s="52" t="n"/>
      <c r="E994" s="52" t="n"/>
      <c r="F994" s="52" t="n"/>
      <c r="G994" s="52" t="n"/>
      <c r="H994" s="52" t="n"/>
      <c r="I994" s="52" t="n"/>
      <c r="J994" s="52" t="n"/>
      <c r="K994" s="52" t="n"/>
      <c r="L994" s="51" t="n"/>
      <c r="M994" s="53">
        <f>IF(A994="","",IF(COUNTIF('AFA Rates'!$A$5:$A$1004,A994)&gt;0,"Yes","No"))</f>
        <v/>
      </c>
      <c r="N994" s="53">
        <f>IF(A994="","",COUNTIF('AFA Rates'!$A$5:$A$1004,A994))</f>
        <v/>
      </c>
      <c r="O994" s="54" t="n"/>
      <c r="P994" s="5" t="n"/>
      <c r="Q994" s="5" t="n"/>
      <c r="R994">
        <f>IF(AND(A994&lt;&gt;"",B994="Paused"),COUNTIFS($A$5:A994,"&lt;&gt;",$B$5:B994,"Paused"),"")</f>
        <v/>
      </c>
      <c r="S994">
        <f>IF(M994="Yes",COUNTIF($M$5:M994,"Yes"),"")</f>
        <v/>
      </c>
    </row>
    <row r="995">
      <c r="A995" s="5" t="n"/>
      <c r="B995" s="51" t="n"/>
      <c r="C995" s="5" t="n"/>
      <c r="D995" s="52" t="n"/>
      <c r="E995" s="52" t="n"/>
      <c r="F995" s="52" t="n"/>
      <c r="G995" s="52" t="n"/>
      <c r="H995" s="52" t="n"/>
      <c r="I995" s="52" t="n"/>
      <c r="J995" s="52" t="n"/>
      <c r="K995" s="52" t="n"/>
      <c r="L995" s="51" t="n"/>
      <c r="M995" s="53">
        <f>IF(A995="","",IF(COUNTIF('AFA Rates'!$A$5:$A$1004,A995)&gt;0,"Yes","No"))</f>
        <v/>
      </c>
      <c r="N995" s="53">
        <f>IF(A995="","",COUNTIF('AFA Rates'!$A$5:$A$1004,A995))</f>
        <v/>
      </c>
      <c r="O995" s="54" t="n"/>
      <c r="P995" s="5" t="n"/>
      <c r="Q995" s="5" t="n"/>
      <c r="R995">
        <f>IF(AND(A995&lt;&gt;"",B995="Paused"),COUNTIFS($A$5:A995,"&lt;&gt;",$B$5:B995,"Paused"),"")</f>
        <v/>
      </c>
      <c r="S995">
        <f>IF(M995="Yes",COUNTIF($M$5:M995,"Yes"),"")</f>
        <v/>
      </c>
    </row>
    <row r="996">
      <c r="A996" s="5" t="n"/>
      <c r="B996" s="51" t="n"/>
      <c r="C996" s="5" t="n"/>
      <c r="D996" s="52" t="n"/>
      <c r="E996" s="52" t="n"/>
      <c r="F996" s="52" t="n"/>
      <c r="G996" s="52" t="n"/>
      <c r="H996" s="52" t="n"/>
      <c r="I996" s="52" t="n"/>
      <c r="J996" s="52" t="n"/>
      <c r="K996" s="52" t="n"/>
      <c r="L996" s="51" t="n"/>
      <c r="M996" s="53">
        <f>IF(A996="","",IF(COUNTIF('AFA Rates'!$A$5:$A$1004,A996)&gt;0,"Yes","No"))</f>
        <v/>
      </c>
      <c r="N996" s="53">
        <f>IF(A996="","",COUNTIF('AFA Rates'!$A$5:$A$1004,A996))</f>
        <v/>
      </c>
      <c r="O996" s="54" t="n"/>
      <c r="P996" s="5" t="n"/>
      <c r="Q996" s="5" t="n"/>
      <c r="R996">
        <f>IF(AND(A996&lt;&gt;"",B996="Paused"),COUNTIFS($A$5:A996,"&lt;&gt;",$B$5:B996,"Paused"),"")</f>
        <v/>
      </c>
      <c r="S996">
        <f>IF(M996="Yes",COUNTIF($M$5:M996,"Yes"),"")</f>
        <v/>
      </c>
    </row>
    <row r="997">
      <c r="A997" s="5" t="n"/>
      <c r="B997" s="51" t="n"/>
      <c r="C997" s="5" t="n"/>
      <c r="D997" s="52" t="n"/>
      <c r="E997" s="52" t="n"/>
      <c r="F997" s="52" t="n"/>
      <c r="G997" s="52" t="n"/>
      <c r="H997" s="52" t="n"/>
      <c r="I997" s="52" t="n"/>
      <c r="J997" s="52" t="n"/>
      <c r="K997" s="52" t="n"/>
      <c r="L997" s="51" t="n"/>
      <c r="M997" s="53">
        <f>IF(A997="","",IF(COUNTIF('AFA Rates'!$A$5:$A$1004,A997)&gt;0,"Yes","No"))</f>
        <v/>
      </c>
      <c r="N997" s="53">
        <f>IF(A997="","",COUNTIF('AFA Rates'!$A$5:$A$1004,A997))</f>
        <v/>
      </c>
      <c r="O997" s="54" t="n"/>
      <c r="P997" s="5" t="n"/>
      <c r="Q997" s="5" t="n"/>
      <c r="R997">
        <f>IF(AND(A997&lt;&gt;"",B997="Paused"),COUNTIFS($A$5:A997,"&lt;&gt;",$B$5:B997,"Paused"),"")</f>
        <v/>
      </c>
      <c r="S997">
        <f>IF(M997="Yes",COUNTIF($M$5:M997,"Yes"),"")</f>
        <v/>
      </c>
    </row>
    <row r="998">
      <c r="A998" s="5" t="n"/>
      <c r="B998" s="51" t="n"/>
      <c r="C998" s="5" t="n"/>
      <c r="D998" s="52" t="n"/>
      <c r="E998" s="52" t="n"/>
      <c r="F998" s="52" t="n"/>
      <c r="G998" s="52" t="n"/>
      <c r="H998" s="52" t="n"/>
      <c r="I998" s="52" t="n"/>
      <c r="J998" s="52" t="n"/>
      <c r="K998" s="52" t="n"/>
      <c r="L998" s="51" t="n"/>
      <c r="M998" s="53">
        <f>IF(A998="","",IF(COUNTIF('AFA Rates'!$A$5:$A$1004,A998)&gt;0,"Yes","No"))</f>
        <v/>
      </c>
      <c r="N998" s="53">
        <f>IF(A998="","",COUNTIF('AFA Rates'!$A$5:$A$1004,A998))</f>
        <v/>
      </c>
      <c r="O998" s="54" t="n"/>
      <c r="P998" s="5" t="n"/>
      <c r="Q998" s="5" t="n"/>
      <c r="R998">
        <f>IF(AND(A998&lt;&gt;"",B998="Paused"),COUNTIFS($A$5:A998,"&lt;&gt;",$B$5:B998,"Paused"),"")</f>
        <v/>
      </c>
      <c r="S998">
        <f>IF(M998="Yes",COUNTIF($M$5:M998,"Yes"),"")</f>
        <v/>
      </c>
    </row>
    <row r="999">
      <c r="A999" s="5" t="n"/>
      <c r="B999" s="51" t="n"/>
      <c r="C999" s="5" t="n"/>
      <c r="D999" s="52" t="n"/>
      <c r="E999" s="52" t="n"/>
      <c r="F999" s="52" t="n"/>
      <c r="G999" s="52" t="n"/>
      <c r="H999" s="52" t="n"/>
      <c r="I999" s="52" t="n"/>
      <c r="J999" s="52" t="n"/>
      <c r="K999" s="52" t="n"/>
      <c r="L999" s="51" t="n"/>
      <c r="M999" s="53">
        <f>IF(A999="","",IF(COUNTIF('AFA Rates'!$A$5:$A$1004,A999)&gt;0,"Yes","No"))</f>
        <v/>
      </c>
      <c r="N999" s="53">
        <f>IF(A999="","",COUNTIF('AFA Rates'!$A$5:$A$1004,A999))</f>
        <v/>
      </c>
      <c r="O999" s="54" t="n"/>
      <c r="P999" s="5" t="n"/>
      <c r="Q999" s="5" t="n"/>
      <c r="R999">
        <f>IF(AND(A999&lt;&gt;"",B999="Paused"),COUNTIFS($A$5:A999,"&lt;&gt;",$B$5:B999,"Paused"),"")</f>
        <v/>
      </c>
      <c r="S999">
        <f>IF(M999="Yes",COUNTIF($M$5:M999,"Yes"),"")</f>
        <v/>
      </c>
    </row>
    <row r="1000">
      <c r="A1000" s="5" t="n"/>
      <c r="B1000" s="51" t="n"/>
      <c r="C1000" s="5" t="n"/>
      <c r="D1000" s="52" t="n"/>
      <c r="E1000" s="52" t="n"/>
      <c r="F1000" s="52" t="n"/>
      <c r="G1000" s="52" t="n"/>
      <c r="H1000" s="52" t="n"/>
      <c r="I1000" s="52" t="n"/>
      <c r="J1000" s="52" t="n"/>
      <c r="K1000" s="52" t="n"/>
      <c r="L1000" s="51" t="n"/>
      <c r="M1000" s="53">
        <f>IF(A1000="","",IF(COUNTIF('AFA Rates'!$A$5:$A$1004,A1000)&gt;0,"Yes","No"))</f>
        <v/>
      </c>
      <c r="N1000" s="53">
        <f>IF(A1000="","",COUNTIF('AFA Rates'!$A$5:$A$1004,A1000))</f>
        <v/>
      </c>
      <c r="O1000" s="54" t="n"/>
      <c r="P1000" s="5" t="n"/>
      <c r="Q1000" s="5" t="n"/>
      <c r="R1000">
        <f>IF(AND(A1000&lt;&gt;"",B1000="Paused"),COUNTIFS($A$5:A1000,"&lt;&gt;",$B$5:B1000,"Paused"),"")</f>
        <v/>
      </c>
      <c r="S1000">
        <f>IF(M1000="Yes",COUNTIF($M$5:M1000,"Yes"),"")</f>
        <v/>
      </c>
    </row>
    <row r="1001">
      <c r="A1001" s="5" t="n"/>
      <c r="B1001" s="51" t="n"/>
      <c r="C1001" s="5" t="n"/>
      <c r="D1001" s="52" t="n"/>
      <c r="E1001" s="52" t="n"/>
      <c r="F1001" s="52" t="n"/>
      <c r="G1001" s="52" t="n"/>
      <c r="H1001" s="52" t="n"/>
      <c r="I1001" s="52" t="n"/>
      <c r="J1001" s="52" t="n"/>
      <c r="K1001" s="52" t="n"/>
      <c r="L1001" s="51" t="n"/>
      <c r="M1001" s="53">
        <f>IF(A1001="","",IF(COUNTIF('AFA Rates'!$A$5:$A$1004,A1001)&gt;0,"Yes","No"))</f>
        <v/>
      </c>
      <c r="N1001" s="53">
        <f>IF(A1001="","",COUNTIF('AFA Rates'!$A$5:$A$1004,A1001))</f>
        <v/>
      </c>
      <c r="O1001" s="54" t="n"/>
      <c r="P1001" s="5" t="n"/>
      <c r="Q1001" s="5" t="n"/>
      <c r="R1001">
        <f>IF(AND(A1001&lt;&gt;"",B1001="Paused"),COUNTIFS($A$5:A1001,"&lt;&gt;",$B$5:B1001,"Paused"),"")</f>
        <v/>
      </c>
      <c r="S1001">
        <f>IF(M1001="Yes",COUNTIF($M$5:M1001,"Yes"),"")</f>
        <v/>
      </c>
    </row>
    <row r="1002">
      <c r="A1002" s="5" t="n"/>
      <c r="B1002" s="51" t="n"/>
      <c r="C1002" s="5" t="n"/>
      <c r="D1002" s="52" t="n"/>
      <c r="E1002" s="52" t="n"/>
      <c r="F1002" s="52" t="n"/>
      <c r="G1002" s="52" t="n"/>
      <c r="H1002" s="52" t="n"/>
      <c r="I1002" s="52" t="n"/>
      <c r="J1002" s="52" t="n"/>
      <c r="K1002" s="52" t="n"/>
      <c r="L1002" s="51" t="n"/>
      <c r="M1002" s="53">
        <f>IF(A1002="","",IF(COUNTIF('AFA Rates'!$A$5:$A$1004,A1002)&gt;0,"Yes","No"))</f>
        <v/>
      </c>
      <c r="N1002" s="53">
        <f>IF(A1002="","",COUNTIF('AFA Rates'!$A$5:$A$1004,A1002))</f>
        <v/>
      </c>
      <c r="O1002" s="54" t="n"/>
      <c r="P1002" s="5" t="n"/>
      <c r="Q1002" s="5" t="n"/>
      <c r="R1002">
        <f>IF(AND(A1002&lt;&gt;"",B1002="Paused"),COUNTIFS($A$5:A1002,"&lt;&gt;",$B$5:B1002,"Paused"),"")</f>
        <v/>
      </c>
      <c r="S1002">
        <f>IF(M1002="Yes",COUNTIF($M$5:M1002,"Yes"),"")</f>
        <v/>
      </c>
    </row>
    <row r="1003">
      <c r="A1003" s="5" t="n"/>
      <c r="B1003" s="51" t="n"/>
      <c r="C1003" s="5" t="n"/>
      <c r="D1003" s="52" t="n"/>
      <c r="E1003" s="52" t="n"/>
      <c r="F1003" s="52" t="n"/>
      <c r="G1003" s="52" t="n"/>
      <c r="H1003" s="52" t="n"/>
      <c r="I1003" s="52" t="n"/>
      <c r="J1003" s="52" t="n"/>
      <c r="K1003" s="52" t="n"/>
      <c r="L1003" s="51" t="n"/>
      <c r="M1003" s="53">
        <f>IF(A1003="","",IF(COUNTIF('AFA Rates'!$A$5:$A$1004,A1003)&gt;0,"Yes","No"))</f>
        <v/>
      </c>
      <c r="N1003" s="53">
        <f>IF(A1003="","",COUNTIF('AFA Rates'!$A$5:$A$1004,A1003))</f>
        <v/>
      </c>
      <c r="O1003" s="54" t="n"/>
      <c r="P1003" s="5" t="n"/>
      <c r="Q1003" s="5" t="n"/>
      <c r="R1003">
        <f>IF(AND(A1003&lt;&gt;"",B1003="Paused"),COUNTIFS($A$5:A1003,"&lt;&gt;",$B$5:B1003,"Paused"),"")</f>
        <v/>
      </c>
      <c r="S1003">
        <f>IF(M1003="Yes",COUNTIF($M$5:M1003,"Yes"),"")</f>
        <v/>
      </c>
    </row>
    <row r="1004">
      <c r="A1004" s="5" t="n"/>
      <c r="B1004" s="51" t="n"/>
      <c r="C1004" s="5" t="n"/>
      <c r="D1004" s="52" t="n"/>
      <c r="E1004" s="52" t="n"/>
      <c r="F1004" s="52" t="n"/>
      <c r="G1004" s="52" t="n"/>
      <c r="H1004" s="52" t="n"/>
      <c r="I1004" s="52" t="n"/>
      <c r="J1004" s="52" t="n"/>
      <c r="K1004" s="52" t="n"/>
      <c r="L1004" s="51" t="n"/>
      <c r="M1004" s="53">
        <f>IF(A1004="","",IF(COUNTIF('AFA Rates'!$A$5:$A$1004,A1004)&gt;0,"Yes","No"))</f>
        <v/>
      </c>
      <c r="N1004" s="53">
        <f>IF(A1004="","",COUNTIF('AFA Rates'!$A$5:$A$1004,A1004))</f>
        <v/>
      </c>
      <c r="O1004" s="54" t="n"/>
      <c r="P1004" s="5" t="n"/>
      <c r="Q1004" s="5" t="n"/>
      <c r="R1004">
        <f>IF(AND(A1004&lt;&gt;"",B1004="Paused"),COUNTIFS($A$5:A1004,"&lt;&gt;",$B$5:B1004,"Paused"),"")</f>
        <v/>
      </c>
      <c r="S1004">
        <f>IF(M1004="Yes",COUNTIF($M$5:M1004,"Yes"),"")</f>
        <v/>
      </c>
    </row>
  </sheetData>
  <autoFilter ref="A4:Q1004"/>
  <conditionalFormatting sqref="A5:A1004">
    <cfRule type="expression" priority="1" dxfId="3" stopIfTrue="0">
      <formula>$B5="Paused"</formula>
    </cfRule>
    <cfRule type="expression" priority="5" dxfId="4">
      <formula>AND(A5&lt;&gt;"",COUNTIF($A$5:$A$1004,A5)&gt;1)</formula>
    </cfRule>
  </conditionalFormatting>
  <conditionalFormatting sqref="B5:Q1004">
    <cfRule type="expression" priority="2" dxfId="5">
      <formula>$B5="Paused"</formula>
    </cfRule>
  </conditionalFormatting>
  <conditionalFormatting sqref="B5:B1004">
    <cfRule type="cellIs" priority="3" operator="equal" dxfId="1">
      <formula>"Active"</formula>
    </cfRule>
  </conditionalFormatting>
  <conditionalFormatting sqref="M5:M1004">
    <cfRule type="cellIs" priority="4" operator="equal" dxfId="6">
      <formula>"Yes"</formula>
    </cfRule>
  </conditionalFormatting>
  <conditionalFormatting sqref="A5:Q1004">
    <cfRule type="expression" priority="6" dxfId="7">
      <formula>AND($A5&lt;&gt;"",MOD(ROW(),2)=0)</formula>
    </cfRule>
  </conditionalFormatting>
  <dataValidations count="4">
    <dataValidation sqref="B5:B1004" showDropDown="0" showInputMessage="0" showErrorMessage="0" allowBlank="1" errorTitle="Status" error="Choose Active or Paused." type="list">
      <formula1>=Status_List</formula1>
    </dataValidation>
    <dataValidation sqref="L5:L1004" showDropDown="0" showInputMessage="0" showErrorMessage="0" allowBlank="1" errorTitle="Cyber Status" error="Pick a value from the list (edit options on the Lists tab)." type="list">
      <formula1>=Cyber_List</formula1>
    </dataValidation>
    <dataValidation sqref="D5:K1004" showDropDown="0" showInputMessage="0" showErrorMessage="0" allowBlank="1" errorTitle="Rate" error="Enter an hourly rate as a number, e.g. 350." type="decimal" operator="greaterThanOrEqual">
      <formula1>0</formula1>
    </dataValidation>
    <dataValidation sqref="O5:O1004" showDropDown="0" showInputMessage="0" showErrorMessage="0" allowBlank="1" errorTitle="Date Paused" error="Enter a date, e.g. 3/15/2026." type="date" operator="greaterThan">
      <formula1>1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A8DCC0"/>
    <outlinePr summaryBelow="1" summaryRight="1"/>
    <pageSetUpPr fitToPage="1"/>
  </sheetPr>
  <dimension ref="A1:N1004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40" customWidth="1" min="12" max="12"/>
    <col width="18" customWidth="1" min="13" max="13"/>
    <col hidden="1" width="6" customWidth="1" min="14" max="14"/>
  </cols>
  <sheetData>
    <row r="1" ht="34" customHeight="1">
      <c r="A1" s="47" t="inlineStr">
        <is>
          <t>AFA Rates — Alternative Fee Arrangements</t>
        </is>
      </c>
    </row>
    <row r="2" ht="22" customHeight="1">
      <c r="A2" s="48" t="inlineStr">
        <is>
          <t>One row per firm per AFA type. Pick the firm and AFA type from the dropdowns, then enter the AFA rates. Add AFA types on the Lists tab.</t>
        </is>
      </c>
    </row>
    <row r="3">
      <c r="A3" s="17" t="inlineStr">
        <is>
          <t>A firm can have several rows (one per AFA type). Duplicate firm + type combinations turn red. “AFA on File?” on the Firms tab updates automatically.</t>
        </is>
      </c>
    </row>
    <row r="4" ht="36" customHeight="1">
      <c r="A4" s="49" t="inlineStr">
        <is>
          <t>Firm Name</t>
        </is>
      </c>
      <c r="B4" s="49" t="inlineStr">
        <is>
          <t>AFA Type</t>
        </is>
      </c>
      <c r="C4" s="49" t="inlineStr">
        <is>
          <t>Counsel
AFA Rate</t>
        </is>
      </c>
      <c r="D4" s="49" t="inlineStr">
        <is>
          <t>Senior Partner
AFA Rate</t>
        </is>
      </c>
      <c r="E4" s="49" t="inlineStr">
        <is>
          <t>Junior Partner
AFA Rate</t>
        </is>
      </c>
      <c r="F4" s="49" t="inlineStr">
        <is>
          <t>Partner
AFA Rate</t>
        </is>
      </c>
      <c r="G4" s="49" t="inlineStr">
        <is>
          <t>Senior Associate
AFA Rate</t>
        </is>
      </c>
      <c r="H4" s="49" t="inlineStr">
        <is>
          <t>Junior Associate
AFA Rate</t>
        </is>
      </c>
      <c r="I4" s="49" t="inlineStr">
        <is>
          <t>Associate
AFA Rate</t>
        </is>
      </c>
      <c r="J4" s="49" t="inlineStr">
        <is>
          <t>Paralegal
AFA Rate</t>
        </is>
      </c>
      <c r="K4" s="49" t="inlineStr">
        <is>
          <t>Effective Date</t>
        </is>
      </c>
      <c r="L4" s="49" t="inlineStr">
        <is>
          <t>Notes</t>
        </is>
      </c>
      <c r="M4" s="50" t="inlineStr">
        <is>
          <t>Firm Status
(auto)</t>
        </is>
      </c>
      <c r="N4" s="50" t="inlineStr">
        <is>
          <t>_srch</t>
        </is>
      </c>
    </row>
    <row r="5">
      <c r="A5" s="5" t="inlineStr">
        <is>
          <t>Sample: Alder &amp; Pine LLP</t>
        </is>
      </c>
      <c r="B5" s="5" t="inlineStr">
        <is>
          <t>Company Counsel</t>
        </is>
      </c>
      <c r="C5" s="52" t="n">
        <v>425</v>
      </c>
      <c r="D5" s="52" t="n">
        <v>575</v>
      </c>
      <c r="E5" s="52" t="n">
        <v>385</v>
      </c>
      <c r="F5" s="52" t="n">
        <v>475</v>
      </c>
      <c r="G5" s="52" t="n">
        <v>355</v>
      </c>
      <c r="H5" s="52" t="n">
        <v>265</v>
      </c>
      <c r="I5" s="52" t="n">
        <v>310</v>
      </c>
      <c r="J5" s="52" t="n">
        <v>150</v>
      </c>
      <c r="K5" s="54" t="n">
        <v>46023</v>
      </c>
      <c r="L5" s="5" t="inlineStr">
        <is>
          <t>Flat-rate review on monthly reporting.</t>
        </is>
      </c>
      <c r="M5" s="53">
        <f>IF(A5="","",IFERROR(INDEX(Firms!$B$5:$B$1004,MATCH(A5,Firms!$A$5:$A$1004,0)),"Not on Firms tab"))</f>
        <v/>
      </c>
      <c r="N5">
        <f>IF(AND(A5&lt;&gt;"",A5='Firm Search'!$C$7),COUNTIF($A$5:A5,'Firm Search'!$C$7),"")</f>
        <v/>
      </c>
    </row>
    <row r="6">
      <c r="A6" s="5" t="inlineStr">
        <is>
          <t>Sample: Brookstone Legal Group</t>
        </is>
      </c>
      <c r="B6" s="5" t="inlineStr">
        <is>
          <t>Commercial Trucking</t>
        </is>
      </c>
      <c r="C6" s="52" t="n">
        <v>375</v>
      </c>
      <c r="D6" s="52" t="n">
        <v>500</v>
      </c>
      <c r="E6" s="52" t="n">
        <v>350</v>
      </c>
      <c r="F6" s="52" t="n">
        <v>440</v>
      </c>
      <c r="G6" s="52" t="n">
        <v>310</v>
      </c>
      <c r="H6" s="52" t="n">
        <v>230</v>
      </c>
      <c r="I6" s="52" t="n">
        <v>275</v>
      </c>
      <c r="J6" s="52" t="n">
        <v>135</v>
      </c>
      <c r="K6" s="54" t="n">
        <v>46082</v>
      </c>
      <c r="L6" s="5" t="inlineStr">
        <is>
          <t>Includes 24/7 accident response.</t>
        </is>
      </c>
      <c r="M6" s="53">
        <f>IF(A6="","",IFERROR(INDEX(Firms!$B$5:$B$1004,MATCH(A6,Firms!$A$5:$A$1004,0)),"Not on Firms tab"))</f>
        <v/>
      </c>
      <c r="N6">
        <f>IF(AND(A6&lt;&gt;"",A6='Firm Search'!$C$7),COUNTIF($A$5:A6,'Firm Search'!$C$7),"")</f>
        <v/>
      </c>
    </row>
    <row r="7">
      <c r="A7" s="5" t="inlineStr">
        <is>
          <t>Sample: Brookstone Legal Group</t>
        </is>
      </c>
      <c r="B7" s="5" t="inlineStr">
        <is>
          <t>Bad Faith</t>
        </is>
      </c>
      <c r="C7" s="52" t="n">
        <v>400</v>
      </c>
      <c r="D7" s="52" t="n">
        <v>540</v>
      </c>
      <c r="E7" s="52" t="n">
        <v>370</v>
      </c>
      <c r="F7" s="52" t="n">
        <v>465</v>
      </c>
      <c r="G7" s="52" t="n">
        <v>330</v>
      </c>
      <c r="H7" s="52" t="n">
        <v>245</v>
      </c>
      <c r="I7" s="52" t="n">
        <v>290</v>
      </c>
      <c r="J7" s="52" t="n">
        <v>140</v>
      </c>
      <c r="K7" s="54" t="n">
        <v>46082</v>
      </c>
      <c r="L7" s="5" t="n"/>
      <c r="M7" s="53">
        <f>IF(A7="","",IFERROR(INDEX(Firms!$B$5:$B$1004,MATCH(A7,Firms!$A$5:$A$1004,0)),"Not on Firms tab"))</f>
        <v/>
      </c>
      <c r="N7">
        <f>IF(AND(A7&lt;&gt;"",A7='Firm Search'!$C$7),COUNTIF($A$5:A7,'Firm Search'!$C$7),"")</f>
        <v/>
      </c>
    </row>
    <row r="8">
      <c r="A8" s="5" t="inlineStr">
        <is>
          <t>Sample: Cedar Ridge Partners</t>
        </is>
      </c>
      <c r="B8" s="5" t="inlineStr">
        <is>
          <t>Commercial Auto</t>
        </is>
      </c>
      <c r="C8" s="52" t="n">
        <v>360</v>
      </c>
      <c r="D8" s="52" t="n">
        <v>490</v>
      </c>
      <c r="E8" s="52" t="n">
        <v>340</v>
      </c>
      <c r="F8" s="52" t="n">
        <v>410</v>
      </c>
      <c r="G8" s="52" t="n">
        <v>295</v>
      </c>
      <c r="H8" s="52" t="n">
        <v>220</v>
      </c>
      <c r="I8" s="52" t="n">
        <v>260</v>
      </c>
      <c r="J8" s="52" t="n">
        <v>125</v>
      </c>
      <c r="K8" s="54" t="n">
        <v>45839</v>
      </c>
      <c r="L8" s="5" t="n"/>
      <c r="M8" s="53">
        <f>IF(A8="","",IFERROR(INDEX(Firms!$B$5:$B$1004,MATCH(A8,Firms!$A$5:$A$1004,0)),"Not on Firms tab"))</f>
        <v/>
      </c>
      <c r="N8">
        <f>IF(AND(A8&lt;&gt;"",A8='Firm Search'!$C$7),COUNTIF($A$5:A8,'Firm Search'!$C$7),"")</f>
        <v/>
      </c>
    </row>
    <row r="9">
      <c r="A9" s="5" t="inlineStr">
        <is>
          <t>Sample: Dunmore Whitfield PC</t>
        </is>
      </c>
      <c r="B9" s="5" t="inlineStr">
        <is>
          <t>Appellate</t>
        </is>
      </c>
      <c r="C9" s="52" t="n">
        <v>495</v>
      </c>
      <c r="D9" s="52" t="n">
        <v>650</v>
      </c>
      <c r="E9" s="52" t="n">
        <v>450</v>
      </c>
      <c r="F9" s="52" t="n">
        <v>565</v>
      </c>
      <c r="G9" s="52" t="n">
        <v>405</v>
      </c>
      <c r="H9" s="52" t="n">
        <v>295</v>
      </c>
      <c r="I9" s="52" t="n">
        <v>355</v>
      </c>
      <c r="J9" s="52" t="n">
        <v>165</v>
      </c>
      <c r="K9" s="54" t="n">
        <v>46068</v>
      </c>
      <c r="L9" s="5" t="inlineStr">
        <is>
          <t>Blended cap per appeal.</t>
        </is>
      </c>
      <c r="M9" s="53">
        <f>IF(A9="","",IFERROR(INDEX(Firms!$B$5:$B$1004,MATCH(A9,Firms!$A$5:$A$1004,0)),"Not on Firms tab"))</f>
        <v/>
      </c>
      <c r="N9">
        <f>IF(AND(A9&lt;&gt;"",A9='Firm Search'!$C$7),COUNTIF($A$5:A9,'Firm Search'!$C$7),"")</f>
        <v/>
      </c>
    </row>
    <row r="10">
      <c r="A10" s="5" t="inlineStr">
        <is>
          <t>Sample: Dunmore Whitfield PC</t>
        </is>
      </c>
      <c r="B10" s="5" t="inlineStr">
        <is>
          <t>Commercial Auto</t>
        </is>
      </c>
      <c r="C10" s="52" t="n">
        <v>480</v>
      </c>
      <c r="D10" s="52" t="n">
        <v>640</v>
      </c>
      <c r="E10" s="52" t="n">
        <v>440</v>
      </c>
      <c r="F10" s="52" t="n">
        <v>550</v>
      </c>
      <c r="G10" s="52" t="n">
        <v>395</v>
      </c>
      <c r="H10" s="52" t="n">
        <v>285</v>
      </c>
      <c r="I10" s="52" t="n">
        <v>345</v>
      </c>
      <c r="J10" s="52" t="n">
        <v>160</v>
      </c>
      <c r="K10" s="54" t="n">
        <v>46068</v>
      </c>
      <c r="L10" s="5" t="n"/>
      <c r="M10" s="53">
        <f>IF(A10="","",IFERROR(INDEX(Firms!$B$5:$B$1004,MATCH(A10,Firms!$A$5:$A$1004,0)),"Not on Firms tab"))</f>
        <v/>
      </c>
      <c r="N10">
        <f>IF(AND(A10&lt;&gt;"",A10='Firm Search'!$C$7),COUNTIF($A$5:A10,'Firm Search'!$C$7),"")</f>
        <v/>
      </c>
    </row>
    <row r="11">
      <c r="A11" s="5" t="n"/>
      <c r="B11" s="5" t="n"/>
      <c r="C11" s="52" t="n"/>
      <c r="D11" s="52" t="n"/>
      <c r="E11" s="52" t="n"/>
      <c r="F11" s="52" t="n"/>
      <c r="G11" s="52" t="n"/>
      <c r="H11" s="52" t="n"/>
      <c r="I11" s="52" t="n"/>
      <c r="J11" s="52" t="n"/>
      <c r="K11" s="54" t="n"/>
      <c r="L11" s="5" t="n"/>
      <c r="M11" s="53">
        <f>IF(A11="","",IFERROR(INDEX(Firms!$B$5:$B$1004,MATCH(A11,Firms!$A$5:$A$1004,0)),"Not on Firms tab"))</f>
        <v/>
      </c>
      <c r="N11">
        <f>IF(AND(A11&lt;&gt;"",A11='Firm Search'!$C$7),COUNTIF($A$5:A11,'Firm Search'!$C$7),"")</f>
        <v/>
      </c>
    </row>
    <row r="12">
      <c r="A12" s="5" t="n"/>
      <c r="B12" s="5" t="n"/>
      <c r="C12" s="52" t="n"/>
      <c r="D12" s="52" t="n"/>
      <c r="E12" s="52" t="n"/>
      <c r="F12" s="52" t="n"/>
      <c r="G12" s="52" t="n"/>
      <c r="H12" s="52" t="n"/>
      <c r="I12" s="52" t="n"/>
      <c r="J12" s="52" t="n"/>
      <c r="K12" s="54" t="n"/>
      <c r="L12" s="5" t="n"/>
      <c r="M12" s="53">
        <f>IF(A12="","",IFERROR(INDEX(Firms!$B$5:$B$1004,MATCH(A12,Firms!$A$5:$A$1004,0)),"Not on Firms tab"))</f>
        <v/>
      </c>
      <c r="N12">
        <f>IF(AND(A12&lt;&gt;"",A12='Firm Search'!$C$7),COUNTIF($A$5:A12,'Firm Search'!$C$7),"")</f>
        <v/>
      </c>
    </row>
    <row r="13">
      <c r="A13" s="5" t="n"/>
      <c r="B13" s="5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4" t="n"/>
      <c r="L13" s="5" t="n"/>
      <c r="M13" s="53">
        <f>IF(A13="","",IFERROR(INDEX(Firms!$B$5:$B$1004,MATCH(A13,Firms!$A$5:$A$1004,0)),"Not on Firms tab"))</f>
        <v/>
      </c>
      <c r="N13">
        <f>IF(AND(A13&lt;&gt;"",A13='Firm Search'!$C$7),COUNTIF($A$5:A13,'Firm Search'!$C$7),"")</f>
        <v/>
      </c>
    </row>
    <row r="14">
      <c r="A14" s="5" t="n"/>
      <c r="B14" s="5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4" t="n"/>
      <c r="L14" s="5" t="n"/>
      <c r="M14" s="53">
        <f>IF(A14="","",IFERROR(INDEX(Firms!$B$5:$B$1004,MATCH(A14,Firms!$A$5:$A$1004,0)),"Not on Firms tab"))</f>
        <v/>
      </c>
      <c r="N14">
        <f>IF(AND(A14&lt;&gt;"",A14='Firm Search'!$C$7),COUNTIF($A$5:A14,'Firm Search'!$C$7),"")</f>
        <v/>
      </c>
    </row>
    <row r="15">
      <c r="A15" s="5" t="n"/>
      <c r="B15" s="5" t="n"/>
      <c r="C15" s="52" t="n"/>
      <c r="D15" s="52" t="n"/>
      <c r="E15" s="52" t="n"/>
      <c r="F15" s="52" t="n"/>
      <c r="G15" s="52" t="n"/>
      <c r="H15" s="52" t="n"/>
      <c r="I15" s="52" t="n"/>
      <c r="J15" s="52" t="n"/>
      <c r="K15" s="54" t="n"/>
      <c r="L15" s="5" t="n"/>
      <c r="M15" s="53">
        <f>IF(A15="","",IFERROR(INDEX(Firms!$B$5:$B$1004,MATCH(A15,Firms!$A$5:$A$1004,0)),"Not on Firms tab"))</f>
        <v/>
      </c>
      <c r="N15">
        <f>IF(AND(A15&lt;&gt;"",A15='Firm Search'!$C$7),COUNTIF($A$5:A15,'Firm Search'!$C$7),"")</f>
        <v/>
      </c>
    </row>
    <row r="16">
      <c r="A16" s="5" t="n"/>
      <c r="B16" s="5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4" t="n"/>
      <c r="L16" s="5" t="n"/>
      <c r="M16" s="53">
        <f>IF(A16="","",IFERROR(INDEX(Firms!$B$5:$B$1004,MATCH(A16,Firms!$A$5:$A$1004,0)),"Not on Firms tab"))</f>
        <v/>
      </c>
      <c r="N16">
        <f>IF(AND(A16&lt;&gt;"",A16='Firm Search'!$C$7),COUNTIF($A$5:A16,'Firm Search'!$C$7),"")</f>
        <v/>
      </c>
    </row>
    <row r="17">
      <c r="A17" s="5" t="n"/>
      <c r="B17" s="5" t="n"/>
      <c r="C17" s="52" t="n"/>
      <c r="D17" s="52" t="n"/>
      <c r="E17" s="52" t="n"/>
      <c r="F17" s="52" t="n"/>
      <c r="G17" s="52" t="n"/>
      <c r="H17" s="52" t="n"/>
      <c r="I17" s="52" t="n"/>
      <c r="J17" s="52" t="n"/>
      <c r="K17" s="54" t="n"/>
      <c r="L17" s="5" t="n"/>
      <c r="M17" s="53">
        <f>IF(A17="","",IFERROR(INDEX(Firms!$B$5:$B$1004,MATCH(A17,Firms!$A$5:$A$1004,0)),"Not on Firms tab"))</f>
        <v/>
      </c>
      <c r="N17">
        <f>IF(AND(A17&lt;&gt;"",A17='Firm Search'!$C$7),COUNTIF($A$5:A17,'Firm Search'!$C$7),"")</f>
        <v/>
      </c>
    </row>
    <row r="18">
      <c r="A18" s="5" t="n"/>
      <c r="B18" s="5" t="n"/>
      <c r="C18" s="52" t="n"/>
      <c r="D18" s="52" t="n"/>
      <c r="E18" s="52" t="n"/>
      <c r="F18" s="52" t="n"/>
      <c r="G18" s="52" t="n"/>
      <c r="H18" s="52" t="n"/>
      <c r="I18" s="52" t="n"/>
      <c r="J18" s="52" t="n"/>
      <c r="K18" s="54" t="n"/>
      <c r="L18" s="5" t="n"/>
      <c r="M18" s="53">
        <f>IF(A18="","",IFERROR(INDEX(Firms!$B$5:$B$1004,MATCH(A18,Firms!$A$5:$A$1004,0)),"Not on Firms tab"))</f>
        <v/>
      </c>
      <c r="N18">
        <f>IF(AND(A18&lt;&gt;"",A18='Firm Search'!$C$7),COUNTIF($A$5:A18,'Firm Search'!$C$7),"")</f>
        <v/>
      </c>
    </row>
    <row r="19">
      <c r="A19" s="5" t="n"/>
      <c r="B19" s="5" t="n"/>
      <c r="C19" s="52" t="n"/>
      <c r="D19" s="52" t="n"/>
      <c r="E19" s="52" t="n"/>
      <c r="F19" s="52" t="n"/>
      <c r="G19" s="52" t="n"/>
      <c r="H19" s="52" t="n"/>
      <c r="I19" s="52" t="n"/>
      <c r="J19" s="52" t="n"/>
      <c r="K19" s="54" t="n"/>
      <c r="L19" s="5" t="n"/>
      <c r="M19" s="53">
        <f>IF(A19="","",IFERROR(INDEX(Firms!$B$5:$B$1004,MATCH(A19,Firms!$A$5:$A$1004,0)),"Not on Firms tab"))</f>
        <v/>
      </c>
      <c r="N19">
        <f>IF(AND(A19&lt;&gt;"",A19='Firm Search'!$C$7),COUNTIF($A$5:A19,'Firm Search'!$C$7),"")</f>
        <v/>
      </c>
    </row>
    <row r="20">
      <c r="A20" s="5" t="n"/>
      <c r="B20" s="5" t="n"/>
      <c r="C20" s="52" t="n"/>
      <c r="D20" s="52" t="n"/>
      <c r="E20" s="52" t="n"/>
      <c r="F20" s="52" t="n"/>
      <c r="G20" s="52" t="n"/>
      <c r="H20" s="52" t="n"/>
      <c r="I20" s="52" t="n"/>
      <c r="J20" s="52" t="n"/>
      <c r="K20" s="54" t="n"/>
      <c r="L20" s="5" t="n"/>
      <c r="M20" s="53">
        <f>IF(A20="","",IFERROR(INDEX(Firms!$B$5:$B$1004,MATCH(A20,Firms!$A$5:$A$1004,0)),"Not on Firms tab"))</f>
        <v/>
      </c>
      <c r="N20">
        <f>IF(AND(A20&lt;&gt;"",A20='Firm Search'!$C$7),COUNTIF($A$5:A20,'Firm Search'!$C$7),"")</f>
        <v/>
      </c>
    </row>
    <row r="21">
      <c r="A21" s="5" t="n"/>
      <c r="B21" s="5" t="n"/>
      <c r="C21" s="52" t="n"/>
      <c r="D21" s="52" t="n"/>
      <c r="E21" s="52" t="n"/>
      <c r="F21" s="52" t="n"/>
      <c r="G21" s="52" t="n"/>
      <c r="H21" s="52" t="n"/>
      <c r="I21" s="52" t="n"/>
      <c r="J21" s="52" t="n"/>
      <c r="K21" s="54" t="n"/>
      <c r="L21" s="5" t="n"/>
      <c r="M21" s="53">
        <f>IF(A21="","",IFERROR(INDEX(Firms!$B$5:$B$1004,MATCH(A21,Firms!$A$5:$A$1004,0)),"Not on Firms tab"))</f>
        <v/>
      </c>
      <c r="N21">
        <f>IF(AND(A21&lt;&gt;"",A21='Firm Search'!$C$7),COUNTIF($A$5:A21,'Firm Search'!$C$7),"")</f>
        <v/>
      </c>
    </row>
    <row r="22">
      <c r="A22" s="5" t="n"/>
      <c r="B22" s="5" t="n"/>
      <c r="C22" s="52" t="n"/>
      <c r="D22" s="52" t="n"/>
      <c r="E22" s="52" t="n"/>
      <c r="F22" s="52" t="n"/>
      <c r="G22" s="52" t="n"/>
      <c r="H22" s="52" t="n"/>
      <c r="I22" s="52" t="n"/>
      <c r="J22" s="52" t="n"/>
      <c r="K22" s="54" t="n"/>
      <c r="L22" s="5" t="n"/>
      <c r="M22" s="53">
        <f>IF(A22="","",IFERROR(INDEX(Firms!$B$5:$B$1004,MATCH(A22,Firms!$A$5:$A$1004,0)),"Not on Firms tab"))</f>
        <v/>
      </c>
      <c r="N22">
        <f>IF(AND(A22&lt;&gt;"",A22='Firm Search'!$C$7),COUNTIF($A$5:A22,'Firm Search'!$C$7),"")</f>
        <v/>
      </c>
    </row>
    <row r="23">
      <c r="A23" s="5" t="n"/>
      <c r="B23" s="5" t="n"/>
      <c r="C23" s="52" t="n"/>
      <c r="D23" s="52" t="n"/>
      <c r="E23" s="52" t="n"/>
      <c r="F23" s="52" t="n"/>
      <c r="G23" s="52" t="n"/>
      <c r="H23" s="52" t="n"/>
      <c r="I23" s="52" t="n"/>
      <c r="J23" s="52" t="n"/>
      <c r="K23" s="54" t="n"/>
      <c r="L23" s="5" t="n"/>
      <c r="M23" s="53">
        <f>IF(A23="","",IFERROR(INDEX(Firms!$B$5:$B$1004,MATCH(A23,Firms!$A$5:$A$1004,0)),"Not on Firms tab"))</f>
        <v/>
      </c>
      <c r="N23">
        <f>IF(AND(A23&lt;&gt;"",A23='Firm Search'!$C$7),COUNTIF($A$5:A23,'Firm Search'!$C$7),"")</f>
        <v/>
      </c>
    </row>
    <row r="24">
      <c r="A24" s="5" t="n"/>
      <c r="B24" s="5" t="n"/>
      <c r="C24" s="52" t="n"/>
      <c r="D24" s="52" t="n"/>
      <c r="E24" s="52" t="n"/>
      <c r="F24" s="52" t="n"/>
      <c r="G24" s="52" t="n"/>
      <c r="H24" s="52" t="n"/>
      <c r="I24" s="52" t="n"/>
      <c r="J24" s="52" t="n"/>
      <c r="K24" s="54" t="n"/>
      <c r="L24" s="5" t="n"/>
      <c r="M24" s="53">
        <f>IF(A24="","",IFERROR(INDEX(Firms!$B$5:$B$1004,MATCH(A24,Firms!$A$5:$A$1004,0)),"Not on Firms tab"))</f>
        <v/>
      </c>
      <c r="N24">
        <f>IF(AND(A24&lt;&gt;"",A24='Firm Search'!$C$7),COUNTIF($A$5:A24,'Firm Search'!$C$7),"")</f>
        <v/>
      </c>
    </row>
    <row r="25">
      <c r="A25" s="5" t="n"/>
      <c r="B25" s="5" t="n"/>
      <c r="C25" s="52" t="n"/>
      <c r="D25" s="52" t="n"/>
      <c r="E25" s="52" t="n"/>
      <c r="F25" s="52" t="n"/>
      <c r="G25" s="52" t="n"/>
      <c r="H25" s="52" t="n"/>
      <c r="I25" s="52" t="n"/>
      <c r="J25" s="52" t="n"/>
      <c r="K25" s="54" t="n"/>
      <c r="L25" s="5" t="n"/>
      <c r="M25" s="53">
        <f>IF(A25="","",IFERROR(INDEX(Firms!$B$5:$B$1004,MATCH(A25,Firms!$A$5:$A$1004,0)),"Not on Firms tab"))</f>
        <v/>
      </c>
      <c r="N25">
        <f>IF(AND(A25&lt;&gt;"",A25='Firm Search'!$C$7),COUNTIF($A$5:A25,'Firm Search'!$C$7),"")</f>
        <v/>
      </c>
    </row>
    <row r="26">
      <c r="A26" s="5" t="n"/>
      <c r="B26" s="5" t="n"/>
      <c r="C26" s="52" t="n"/>
      <c r="D26" s="52" t="n"/>
      <c r="E26" s="52" t="n"/>
      <c r="F26" s="52" t="n"/>
      <c r="G26" s="52" t="n"/>
      <c r="H26" s="52" t="n"/>
      <c r="I26" s="52" t="n"/>
      <c r="J26" s="52" t="n"/>
      <c r="K26" s="54" t="n"/>
      <c r="L26" s="5" t="n"/>
      <c r="M26" s="53">
        <f>IF(A26="","",IFERROR(INDEX(Firms!$B$5:$B$1004,MATCH(A26,Firms!$A$5:$A$1004,0)),"Not on Firms tab"))</f>
        <v/>
      </c>
      <c r="N26">
        <f>IF(AND(A26&lt;&gt;"",A26='Firm Search'!$C$7),COUNTIF($A$5:A26,'Firm Search'!$C$7),"")</f>
        <v/>
      </c>
    </row>
    <row r="27">
      <c r="A27" s="5" t="n"/>
      <c r="B27" s="5" t="n"/>
      <c r="C27" s="52" t="n"/>
      <c r="D27" s="52" t="n"/>
      <c r="E27" s="52" t="n"/>
      <c r="F27" s="52" t="n"/>
      <c r="G27" s="52" t="n"/>
      <c r="H27" s="52" t="n"/>
      <c r="I27" s="52" t="n"/>
      <c r="J27" s="52" t="n"/>
      <c r="K27" s="54" t="n"/>
      <c r="L27" s="5" t="n"/>
      <c r="M27" s="53">
        <f>IF(A27="","",IFERROR(INDEX(Firms!$B$5:$B$1004,MATCH(A27,Firms!$A$5:$A$1004,0)),"Not on Firms tab"))</f>
        <v/>
      </c>
      <c r="N27">
        <f>IF(AND(A27&lt;&gt;"",A27='Firm Search'!$C$7),COUNTIF($A$5:A27,'Firm Search'!$C$7),"")</f>
        <v/>
      </c>
    </row>
    <row r="28">
      <c r="A28" s="5" t="n"/>
      <c r="B28" s="5" t="n"/>
      <c r="C28" s="52" t="n"/>
      <c r="D28" s="52" t="n"/>
      <c r="E28" s="52" t="n"/>
      <c r="F28" s="52" t="n"/>
      <c r="G28" s="52" t="n"/>
      <c r="H28" s="52" t="n"/>
      <c r="I28" s="52" t="n"/>
      <c r="J28" s="52" t="n"/>
      <c r="K28" s="54" t="n"/>
      <c r="L28" s="5" t="n"/>
      <c r="M28" s="53">
        <f>IF(A28="","",IFERROR(INDEX(Firms!$B$5:$B$1004,MATCH(A28,Firms!$A$5:$A$1004,0)),"Not on Firms tab"))</f>
        <v/>
      </c>
      <c r="N28">
        <f>IF(AND(A28&lt;&gt;"",A28='Firm Search'!$C$7),COUNTIF($A$5:A28,'Firm Search'!$C$7),"")</f>
        <v/>
      </c>
    </row>
    <row r="29">
      <c r="A29" s="5" t="n"/>
      <c r="B29" s="5" t="n"/>
      <c r="C29" s="52" t="n"/>
      <c r="D29" s="52" t="n"/>
      <c r="E29" s="52" t="n"/>
      <c r="F29" s="52" t="n"/>
      <c r="G29" s="52" t="n"/>
      <c r="H29" s="52" t="n"/>
      <c r="I29" s="52" t="n"/>
      <c r="J29" s="52" t="n"/>
      <c r="K29" s="54" t="n"/>
      <c r="L29" s="5" t="n"/>
      <c r="M29" s="53">
        <f>IF(A29="","",IFERROR(INDEX(Firms!$B$5:$B$1004,MATCH(A29,Firms!$A$5:$A$1004,0)),"Not on Firms tab"))</f>
        <v/>
      </c>
      <c r="N29">
        <f>IF(AND(A29&lt;&gt;"",A29='Firm Search'!$C$7),COUNTIF($A$5:A29,'Firm Search'!$C$7),"")</f>
        <v/>
      </c>
    </row>
    <row r="30">
      <c r="A30" s="5" t="n"/>
      <c r="B30" s="5" t="n"/>
      <c r="C30" s="52" t="n"/>
      <c r="D30" s="52" t="n"/>
      <c r="E30" s="52" t="n"/>
      <c r="F30" s="52" t="n"/>
      <c r="G30" s="52" t="n"/>
      <c r="H30" s="52" t="n"/>
      <c r="I30" s="52" t="n"/>
      <c r="J30" s="52" t="n"/>
      <c r="K30" s="54" t="n"/>
      <c r="L30" s="5" t="n"/>
      <c r="M30" s="53">
        <f>IF(A30="","",IFERROR(INDEX(Firms!$B$5:$B$1004,MATCH(A30,Firms!$A$5:$A$1004,0)),"Not on Firms tab"))</f>
        <v/>
      </c>
      <c r="N30">
        <f>IF(AND(A30&lt;&gt;"",A30='Firm Search'!$C$7),COUNTIF($A$5:A30,'Firm Search'!$C$7),"")</f>
        <v/>
      </c>
    </row>
    <row r="31">
      <c r="A31" s="5" t="n"/>
      <c r="B31" s="5" t="n"/>
      <c r="C31" s="52" t="n"/>
      <c r="D31" s="52" t="n"/>
      <c r="E31" s="52" t="n"/>
      <c r="F31" s="52" t="n"/>
      <c r="G31" s="52" t="n"/>
      <c r="H31" s="52" t="n"/>
      <c r="I31" s="52" t="n"/>
      <c r="J31" s="52" t="n"/>
      <c r="K31" s="54" t="n"/>
      <c r="L31" s="5" t="n"/>
      <c r="M31" s="53">
        <f>IF(A31="","",IFERROR(INDEX(Firms!$B$5:$B$1004,MATCH(A31,Firms!$A$5:$A$1004,0)),"Not on Firms tab"))</f>
        <v/>
      </c>
      <c r="N31">
        <f>IF(AND(A31&lt;&gt;"",A31='Firm Search'!$C$7),COUNTIF($A$5:A31,'Firm Search'!$C$7),"")</f>
        <v/>
      </c>
    </row>
    <row r="32">
      <c r="A32" s="5" t="n"/>
      <c r="B32" s="5" t="n"/>
      <c r="C32" s="52" t="n"/>
      <c r="D32" s="52" t="n"/>
      <c r="E32" s="52" t="n"/>
      <c r="F32" s="52" t="n"/>
      <c r="G32" s="52" t="n"/>
      <c r="H32" s="52" t="n"/>
      <c r="I32" s="52" t="n"/>
      <c r="J32" s="52" t="n"/>
      <c r="K32" s="54" t="n"/>
      <c r="L32" s="5" t="n"/>
      <c r="M32" s="53">
        <f>IF(A32="","",IFERROR(INDEX(Firms!$B$5:$B$1004,MATCH(A32,Firms!$A$5:$A$1004,0)),"Not on Firms tab"))</f>
        <v/>
      </c>
      <c r="N32">
        <f>IF(AND(A32&lt;&gt;"",A32='Firm Search'!$C$7),COUNTIF($A$5:A32,'Firm Search'!$C$7),"")</f>
        <v/>
      </c>
    </row>
    <row r="33">
      <c r="A33" s="5" t="n"/>
      <c r="B33" s="5" t="n"/>
      <c r="C33" s="52" t="n"/>
      <c r="D33" s="52" t="n"/>
      <c r="E33" s="52" t="n"/>
      <c r="F33" s="52" t="n"/>
      <c r="G33" s="52" t="n"/>
      <c r="H33" s="52" t="n"/>
      <c r="I33" s="52" t="n"/>
      <c r="J33" s="52" t="n"/>
      <c r="K33" s="54" t="n"/>
      <c r="L33" s="5" t="n"/>
      <c r="M33" s="53">
        <f>IF(A33="","",IFERROR(INDEX(Firms!$B$5:$B$1004,MATCH(A33,Firms!$A$5:$A$1004,0)),"Not on Firms tab"))</f>
        <v/>
      </c>
      <c r="N33">
        <f>IF(AND(A33&lt;&gt;"",A33='Firm Search'!$C$7),COUNTIF($A$5:A33,'Firm Search'!$C$7),"")</f>
        <v/>
      </c>
    </row>
    <row r="34">
      <c r="A34" s="5" t="n"/>
      <c r="B34" s="5" t="n"/>
      <c r="C34" s="52" t="n"/>
      <c r="D34" s="52" t="n"/>
      <c r="E34" s="52" t="n"/>
      <c r="F34" s="52" t="n"/>
      <c r="G34" s="52" t="n"/>
      <c r="H34" s="52" t="n"/>
      <c r="I34" s="52" t="n"/>
      <c r="J34" s="52" t="n"/>
      <c r="K34" s="54" t="n"/>
      <c r="L34" s="5" t="n"/>
      <c r="M34" s="53">
        <f>IF(A34="","",IFERROR(INDEX(Firms!$B$5:$B$1004,MATCH(A34,Firms!$A$5:$A$1004,0)),"Not on Firms tab"))</f>
        <v/>
      </c>
      <c r="N34">
        <f>IF(AND(A34&lt;&gt;"",A34='Firm Search'!$C$7),COUNTIF($A$5:A34,'Firm Search'!$C$7),"")</f>
        <v/>
      </c>
    </row>
    <row r="35">
      <c r="A35" s="5" t="n"/>
      <c r="B35" s="5" t="n"/>
      <c r="C35" s="52" t="n"/>
      <c r="D35" s="52" t="n"/>
      <c r="E35" s="52" t="n"/>
      <c r="F35" s="52" t="n"/>
      <c r="G35" s="52" t="n"/>
      <c r="H35" s="52" t="n"/>
      <c r="I35" s="52" t="n"/>
      <c r="J35" s="52" t="n"/>
      <c r="K35" s="54" t="n"/>
      <c r="L35" s="5" t="n"/>
      <c r="M35" s="53">
        <f>IF(A35="","",IFERROR(INDEX(Firms!$B$5:$B$1004,MATCH(A35,Firms!$A$5:$A$1004,0)),"Not on Firms tab"))</f>
        <v/>
      </c>
      <c r="N35">
        <f>IF(AND(A35&lt;&gt;"",A35='Firm Search'!$C$7),COUNTIF($A$5:A35,'Firm Search'!$C$7),"")</f>
        <v/>
      </c>
    </row>
    <row r="36">
      <c r="A36" s="5" t="n"/>
      <c r="B36" s="5" t="n"/>
      <c r="C36" s="52" t="n"/>
      <c r="D36" s="52" t="n"/>
      <c r="E36" s="52" t="n"/>
      <c r="F36" s="52" t="n"/>
      <c r="G36" s="52" t="n"/>
      <c r="H36" s="52" t="n"/>
      <c r="I36" s="52" t="n"/>
      <c r="J36" s="52" t="n"/>
      <c r="K36" s="54" t="n"/>
      <c r="L36" s="5" t="n"/>
      <c r="M36" s="53">
        <f>IF(A36="","",IFERROR(INDEX(Firms!$B$5:$B$1004,MATCH(A36,Firms!$A$5:$A$1004,0)),"Not on Firms tab"))</f>
        <v/>
      </c>
      <c r="N36">
        <f>IF(AND(A36&lt;&gt;"",A36='Firm Search'!$C$7),COUNTIF($A$5:A36,'Firm Search'!$C$7),"")</f>
        <v/>
      </c>
    </row>
    <row r="37">
      <c r="A37" s="5" t="n"/>
      <c r="B37" s="5" t="n"/>
      <c r="C37" s="52" t="n"/>
      <c r="D37" s="52" t="n"/>
      <c r="E37" s="52" t="n"/>
      <c r="F37" s="52" t="n"/>
      <c r="G37" s="52" t="n"/>
      <c r="H37" s="52" t="n"/>
      <c r="I37" s="52" t="n"/>
      <c r="J37" s="52" t="n"/>
      <c r="K37" s="54" t="n"/>
      <c r="L37" s="5" t="n"/>
      <c r="M37" s="53">
        <f>IF(A37="","",IFERROR(INDEX(Firms!$B$5:$B$1004,MATCH(A37,Firms!$A$5:$A$1004,0)),"Not on Firms tab"))</f>
        <v/>
      </c>
      <c r="N37">
        <f>IF(AND(A37&lt;&gt;"",A37='Firm Search'!$C$7),COUNTIF($A$5:A37,'Firm Search'!$C$7),"")</f>
        <v/>
      </c>
    </row>
    <row r="38">
      <c r="A38" s="5" t="n"/>
      <c r="B38" s="5" t="n"/>
      <c r="C38" s="52" t="n"/>
      <c r="D38" s="52" t="n"/>
      <c r="E38" s="52" t="n"/>
      <c r="F38" s="52" t="n"/>
      <c r="G38" s="52" t="n"/>
      <c r="H38" s="52" t="n"/>
      <c r="I38" s="52" t="n"/>
      <c r="J38" s="52" t="n"/>
      <c r="K38" s="54" t="n"/>
      <c r="L38" s="5" t="n"/>
      <c r="M38" s="53">
        <f>IF(A38="","",IFERROR(INDEX(Firms!$B$5:$B$1004,MATCH(A38,Firms!$A$5:$A$1004,0)),"Not on Firms tab"))</f>
        <v/>
      </c>
      <c r="N38">
        <f>IF(AND(A38&lt;&gt;"",A38='Firm Search'!$C$7),COUNTIF($A$5:A38,'Firm Search'!$C$7),"")</f>
        <v/>
      </c>
    </row>
    <row r="39">
      <c r="A39" s="5" t="n"/>
      <c r="B39" s="5" t="n"/>
      <c r="C39" s="52" t="n"/>
      <c r="D39" s="52" t="n"/>
      <c r="E39" s="52" t="n"/>
      <c r="F39" s="52" t="n"/>
      <c r="G39" s="52" t="n"/>
      <c r="H39" s="52" t="n"/>
      <c r="I39" s="52" t="n"/>
      <c r="J39" s="52" t="n"/>
      <c r="K39" s="54" t="n"/>
      <c r="L39" s="5" t="n"/>
      <c r="M39" s="53">
        <f>IF(A39="","",IFERROR(INDEX(Firms!$B$5:$B$1004,MATCH(A39,Firms!$A$5:$A$1004,0)),"Not on Firms tab"))</f>
        <v/>
      </c>
      <c r="N39">
        <f>IF(AND(A39&lt;&gt;"",A39='Firm Search'!$C$7),COUNTIF($A$5:A39,'Firm Search'!$C$7),"")</f>
        <v/>
      </c>
    </row>
    <row r="40">
      <c r="A40" s="5" t="n"/>
      <c r="B40" s="5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4" t="n"/>
      <c r="L40" s="5" t="n"/>
      <c r="M40" s="53">
        <f>IF(A40="","",IFERROR(INDEX(Firms!$B$5:$B$1004,MATCH(A40,Firms!$A$5:$A$1004,0)),"Not on Firms tab"))</f>
        <v/>
      </c>
      <c r="N40">
        <f>IF(AND(A40&lt;&gt;"",A40='Firm Search'!$C$7),COUNTIF($A$5:A40,'Firm Search'!$C$7),"")</f>
        <v/>
      </c>
    </row>
    <row r="41">
      <c r="A41" s="5" t="n"/>
      <c r="B41" s="5" t="n"/>
      <c r="C41" s="52" t="n"/>
      <c r="D41" s="52" t="n"/>
      <c r="E41" s="52" t="n"/>
      <c r="F41" s="52" t="n"/>
      <c r="G41" s="52" t="n"/>
      <c r="H41" s="52" t="n"/>
      <c r="I41" s="52" t="n"/>
      <c r="J41" s="52" t="n"/>
      <c r="K41" s="54" t="n"/>
      <c r="L41" s="5" t="n"/>
      <c r="M41" s="53">
        <f>IF(A41="","",IFERROR(INDEX(Firms!$B$5:$B$1004,MATCH(A41,Firms!$A$5:$A$1004,0)),"Not on Firms tab"))</f>
        <v/>
      </c>
      <c r="N41">
        <f>IF(AND(A41&lt;&gt;"",A41='Firm Search'!$C$7),COUNTIF($A$5:A41,'Firm Search'!$C$7),"")</f>
        <v/>
      </c>
    </row>
    <row r="42">
      <c r="A42" s="5" t="n"/>
      <c r="B42" s="5" t="n"/>
      <c r="C42" s="52" t="n"/>
      <c r="D42" s="52" t="n"/>
      <c r="E42" s="52" t="n"/>
      <c r="F42" s="52" t="n"/>
      <c r="G42" s="52" t="n"/>
      <c r="H42" s="52" t="n"/>
      <c r="I42" s="52" t="n"/>
      <c r="J42" s="52" t="n"/>
      <c r="K42" s="54" t="n"/>
      <c r="L42" s="5" t="n"/>
      <c r="M42" s="53">
        <f>IF(A42="","",IFERROR(INDEX(Firms!$B$5:$B$1004,MATCH(A42,Firms!$A$5:$A$1004,0)),"Not on Firms tab"))</f>
        <v/>
      </c>
      <c r="N42">
        <f>IF(AND(A42&lt;&gt;"",A42='Firm Search'!$C$7),COUNTIF($A$5:A42,'Firm Search'!$C$7),"")</f>
        <v/>
      </c>
    </row>
    <row r="43">
      <c r="A43" s="5" t="n"/>
      <c r="B43" s="5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4" t="n"/>
      <c r="L43" s="5" t="n"/>
      <c r="M43" s="53">
        <f>IF(A43="","",IFERROR(INDEX(Firms!$B$5:$B$1004,MATCH(A43,Firms!$A$5:$A$1004,0)),"Not on Firms tab"))</f>
        <v/>
      </c>
      <c r="N43">
        <f>IF(AND(A43&lt;&gt;"",A43='Firm Search'!$C$7),COUNTIF($A$5:A43,'Firm Search'!$C$7),"")</f>
        <v/>
      </c>
    </row>
    <row r="44">
      <c r="A44" s="5" t="n"/>
      <c r="B44" s="5" t="n"/>
      <c r="C44" s="52" t="n"/>
      <c r="D44" s="52" t="n"/>
      <c r="E44" s="52" t="n"/>
      <c r="F44" s="52" t="n"/>
      <c r="G44" s="52" t="n"/>
      <c r="H44" s="52" t="n"/>
      <c r="I44" s="52" t="n"/>
      <c r="J44" s="52" t="n"/>
      <c r="K44" s="54" t="n"/>
      <c r="L44" s="5" t="n"/>
      <c r="M44" s="53">
        <f>IF(A44="","",IFERROR(INDEX(Firms!$B$5:$B$1004,MATCH(A44,Firms!$A$5:$A$1004,0)),"Not on Firms tab"))</f>
        <v/>
      </c>
      <c r="N44">
        <f>IF(AND(A44&lt;&gt;"",A44='Firm Search'!$C$7),COUNTIF($A$5:A44,'Firm Search'!$C$7),"")</f>
        <v/>
      </c>
    </row>
    <row r="45">
      <c r="A45" s="5" t="n"/>
      <c r="B45" s="5" t="n"/>
      <c r="C45" s="52" t="n"/>
      <c r="D45" s="52" t="n"/>
      <c r="E45" s="52" t="n"/>
      <c r="F45" s="52" t="n"/>
      <c r="G45" s="52" t="n"/>
      <c r="H45" s="52" t="n"/>
      <c r="I45" s="52" t="n"/>
      <c r="J45" s="52" t="n"/>
      <c r="K45" s="54" t="n"/>
      <c r="L45" s="5" t="n"/>
      <c r="M45" s="53">
        <f>IF(A45="","",IFERROR(INDEX(Firms!$B$5:$B$1004,MATCH(A45,Firms!$A$5:$A$1004,0)),"Not on Firms tab"))</f>
        <v/>
      </c>
      <c r="N45">
        <f>IF(AND(A45&lt;&gt;"",A45='Firm Search'!$C$7),COUNTIF($A$5:A45,'Firm Search'!$C$7),"")</f>
        <v/>
      </c>
    </row>
    <row r="46">
      <c r="A46" s="5" t="n"/>
      <c r="B46" s="5" t="n"/>
      <c r="C46" s="52" t="n"/>
      <c r="D46" s="52" t="n"/>
      <c r="E46" s="52" t="n"/>
      <c r="F46" s="52" t="n"/>
      <c r="G46" s="52" t="n"/>
      <c r="H46" s="52" t="n"/>
      <c r="I46" s="52" t="n"/>
      <c r="J46" s="52" t="n"/>
      <c r="K46" s="54" t="n"/>
      <c r="L46" s="5" t="n"/>
      <c r="M46" s="53">
        <f>IF(A46="","",IFERROR(INDEX(Firms!$B$5:$B$1004,MATCH(A46,Firms!$A$5:$A$1004,0)),"Not on Firms tab"))</f>
        <v/>
      </c>
      <c r="N46">
        <f>IF(AND(A46&lt;&gt;"",A46='Firm Search'!$C$7),COUNTIF($A$5:A46,'Firm Search'!$C$7),"")</f>
        <v/>
      </c>
    </row>
    <row r="47">
      <c r="A47" s="5" t="n"/>
      <c r="B47" s="5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4" t="n"/>
      <c r="L47" s="5" t="n"/>
      <c r="M47" s="53">
        <f>IF(A47="","",IFERROR(INDEX(Firms!$B$5:$B$1004,MATCH(A47,Firms!$A$5:$A$1004,0)),"Not on Firms tab"))</f>
        <v/>
      </c>
      <c r="N47">
        <f>IF(AND(A47&lt;&gt;"",A47='Firm Search'!$C$7),COUNTIF($A$5:A47,'Firm Search'!$C$7),"")</f>
        <v/>
      </c>
    </row>
    <row r="48">
      <c r="A48" s="5" t="n"/>
      <c r="B48" s="5" t="n"/>
      <c r="C48" s="52" t="n"/>
      <c r="D48" s="52" t="n"/>
      <c r="E48" s="52" t="n"/>
      <c r="F48" s="52" t="n"/>
      <c r="G48" s="52" t="n"/>
      <c r="H48" s="52" t="n"/>
      <c r="I48" s="52" t="n"/>
      <c r="J48" s="52" t="n"/>
      <c r="K48" s="54" t="n"/>
      <c r="L48" s="5" t="n"/>
      <c r="M48" s="53">
        <f>IF(A48="","",IFERROR(INDEX(Firms!$B$5:$B$1004,MATCH(A48,Firms!$A$5:$A$1004,0)),"Not on Firms tab"))</f>
        <v/>
      </c>
      <c r="N48">
        <f>IF(AND(A48&lt;&gt;"",A48='Firm Search'!$C$7),COUNTIF($A$5:A48,'Firm Search'!$C$7),"")</f>
        <v/>
      </c>
    </row>
    <row r="49">
      <c r="A49" s="5" t="n"/>
      <c r="B49" s="5" t="n"/>
      <c r="C49" s="52" t="n"/>
      <c r="D49" s="52" t="n"/>
      <c r="E49" s="52" t="n"/>
      <c r="F49" s="52" t="n"/>
      <c r="G49" s="52" t="n"/>
      <c r="H49" s="52" t="n"/>
      <c r="I49" s="52" t="n"/>
      <c r="J49" s="52" t="n"/>
      <c r="K49" s="54" t="n"/>
      <c r="L49" s="5" t="n"/>
      <c r="M49" s="53">
        <f>IF(A49="","",IFERROR(INDEX(Firms!$B$5:$B$1004,MATCH(A49,Firms!$A$5:$A$1004,0)),"Not on Firms tab"))</f>
        <v/>
      </c>
      <c r="N49">
        <f>IF(AND(A49&lt;&gt;"",A49='Firm Search'!$C$7),COUNTIF($A$5:A49,'Firm Search'!$C$7),"")</f>
        <v/>
      </c>
    </row>
    <row r="50">
      <c r="A50" s="5" t="n"/>
      <c r="B50" s="5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4" t="n"/>
      <c r="L50" s="5" t="n"/>
      <c r="M50" s="53">
        <f>IF(A50="","",IFERROR(INDEX(Firms!$B$5:$B$1004,MATCH(A50,Firms!$A$5:$A$1004,0)),"Not on Firms tab"))</f>
        <v/>
      </c>
      <c r="N50">
        <f>IF(AND(A50&lt;&gt;"",A50='Firm Search'!$C$7),COUNTIF($A$5:A50,'Firm Search'!$C$7),"")</f>
        <v/>
      </c>
    </row>
    <row r="51">
      <c r="A51" s="5" t="n"/>
      <c r="B51" s="5" t="n"/>
      <c r="C51" s="52" t="n"/>
      <c r="D51" s="52" t="n"/>
      <c r="E51" s="52" t="n"/>
      <c r="F51" s="52" t="n"/>
      <c r="G51" s="52" t="n"/>
      <c r="H51" s="52" t="n"/>
      <c r="I51" s="52" t="n"/>
      <c r="J51" s="52" t="n"/>
      <c r="K51" s="54" t="n"/>
      <c r="L51" s="5" t="n"/>
      <c r="M51" s="53">
        <f>IF(A51="","",IFERROR(INDEX(Firms!$B$5:$B$1004,MATCH(A51,Firms!$A$5:$A$1004,0)),"Not on Firms tab"))</f>
        <v/>
      </c>
      <c r="N51">
        <f>IF(AND(A51&lt;&gt;"",A51='Firm Search'!$C$7),COUNTIF($A$5:A51,'Firm Search'!$C$7),"")</f>
        <v/>
      </c>
    </row>
    <row r="52">
      <c r="A52" s="5" t="n"/>
      <c r="B52" s="5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4" t="n"/>
      <c r="L52" s="5" t="n"/>
      <c r="M52" s="53">
        <f>IF(A52="","",IFERROR(INDEX(Firms!$B$5:$B$1004,MATCH(A52,Firms!$A$5:$A$1004,0)),"Not on Firms tab"))</f>
        <v/>
      </c>
      <c r="N52">
        <f>IF(AND(A52&lt;&gt;"",A52='Firm Search'!$C$7),COUNTIF($A$5:A52,'Firm Search'!$C$7),"")</f>
        <v/>
      </c>
    </row>
    <row r="53">
      <c r="A53" s="5" t="n"/>
      <c r="B53" s="5" t="n"/>
      <c r="C53" s="52" t="n"/>
      <c r="D53" s="52" t="n"/>
      <c r="E53" s="52" t="n"/>
      <c r="F53" s="52" t="n"/>
      <c r="G53" s="52" t="n"/>
      <c r="H53" s="52" t="n"/>
      <c r="I53" s="52" t="n"/>
      <c r="J53" s="52" t="n"/>
      <c r="K53" s="54" t="n"/>
      <c r="L53" s="5" t="n"/>
      <c r="M53" s="53">
        <f>IF(A53="","",IFERROR(INDEX(Firms!$B$5:$B$1004,MATCH(A53,Firms!$A$5:$A$1004,0)),"Not on Firms tab"))</f>
        <v/>
      </c>
      <c r="N53">
        <f>IF(AND(A53&lt;&gt;"",A53='Firm Search'!$C$7),COUNTIF($A$5:A53,'Firm Search'!$C$7),"")</f>
        <v/>
      </c>
    </row>
    <row r="54">
      <c r="A54" s="5" t="n"/>
      <c r="B54" s="5" t="n"/>
      <c r="C54" s="52" t="n"/>
      <c r="D54" s="52" t="n"/>
      <c r="E54" s="52" t="n"/>
      <c r="F54" s="52" t="n"/>
      <c r="G54" s="52" t="n"/>
      <c r="H54" s="52" t="n"/>
      <c r="I54" s="52" t="n"/>
      <c r="J54" s="52" t="n"/>
      <c r="K54" s="54" t="n"/>
      <c r="L54" s="5" t="n"/>
      <c r="M54" s="53">
        <f>IF(A54="","",IFERROR(INDEX(Firms!$B$5:$B$1004,MATCH(A54,Firms!$A$5:$A$1004,0)),"Not on Firms tab"))</f>
        <v/>
      </c>
      <c r="N54">
        <f>IF(AND(A54&lt;&gt;"",A54='Firm Search'!$C$7),COUNTIF($A$5:A54,'Firm Search'!$C$7),"")</f>
        <v/>
      </c>
    </row>
    <row r="55">
      <c r="A55" s="5" t="n"/>
      <c r="B55" s="5" t="n"/>
      <c r="C55" s="52" t="n"/>
      <c r="D55" s="52" t="n"/>
      <c r="E55" s="52" t="n"/>
      <c r="F55" s="52" t="n"/>
      <c r="G55" s="52" t="n"/>
      <c r="H55" s="52" t="n"/>
      <c r="I55" s="52" t="n"/>
      <c r="J55" s="52" t="n"/>
      <c r="K55" s="54" t="n"/>
      <c r="L55" s="5" t="n"/>
      <c r="M55" s="53">
        <f>IF(A55="","",IFERROR(INDEX(Firms!$B$5:$B$1004,MATCH(A55,Firms!$A$5:$A$1004,0)),"Not on Firms tab"))</f>
        <v/>
      </c>
      <c r="N55">
        <f>IF(AND(A55&lt;&gt;"",A55='Firm Search'!$C$7),COUNTIF($A$5:A55,'Firm Search'!$C$7),"")</f>
        <v/>
      </c>
    </row>
    <row r="56">
      <c r="A56" s="5" t="n"/>
      <c r="B56" s="5" t="n"/>
      <c r="C56" s="52" t="n"/>
      <c r="D56" s="52" t="n"/>
      <c r="E56" s="52" t="n"/>
      <c r="F56" s="52" t="n"/>
      <c r="G56" s="52" t="n"/>
      <c r="H56" s="52" t="n"/>
      <c r="I56" s="52" t="n"/>
      <c r="J56" s="52" t="n"/>
      <c r="K56" s="54" t="n"/>
      <c r="L56" s="5" t="n"/>
      <c r="M56" s="53">
        <f>IF(A56="","",IFERROR(INDEX(Firms!$B$5:$B$1004,MATCH(A56,Firms!$A$5:$A$1004,0)),"Not on Firms tab"))</f>
        <v/>
      </c>
      <c r="N56">
        <f>IF(AND(A56&lt;&gt;"",A56='Firm Search'!$C$7),COUNTIF($A$5:A56,'Firm Search'!$C$7),"")</f>
        <v/>
      </c>
    </row>
    <row r="57">
      <c r="A57" s="5" t="n"/>
      <c r="B57" s="5" t="n"/>
      <c r="C57" s="52" t="n"/>
      <c r="D57" s="52" t="n"/>
      <c r="E57" s="52" t="n"/>
      <c r="F57" s="52" t="n"/>
      <c r="G57" s="52" t="n"/>
      <c r="H57" s="52" t="n"/>
      <c r="I57" s="52" t="n"/>
      <c r="J57" s="52" t="n"/>
      <c r="K57" s="54" t="n"/>
      <c r="L57" s="5" t="n"/>
      <c r="M57" s="53">
        <f>IF(A57="","",IFERROR(INDEX(Firms!$B$5:$B$1004,MATCH(A57,Firms!$A$5:$A$1004,0)),"Not on Firms tab"))</f>
        <v/>
      </c>
      <c r="N57">
        <f>IF(AND(A57&lt;&gt;"",A57='Firm Search'!$C$7),COUNTIF($A$5:A57,'Firm Search'!$C$7),"")</f>
        <v/>
      </c>
    </row>
    <row r="58">
      <c r="A58" s="5" t="n"/>
      <c r="B58" s="5" t="n"/>
      <c r="C58" s="52" t="n"/>
      <c r="D58" s="52" t="n"/>
      <c r="E58" s="52" t="n"/>
      <c r="F58" s="52" t="n"/>
      <c r="G58" s="52" t="n"/>
      <c r="H58" s="52" t="n"/>
      <c r="I58" s="52" t="n"/>
      <c r="J58" s="52" t="n"/>
      <c r="K58" s="54" t="n"/>
      <c r="L58" s="5" t="n"/>
      <c r="M58" s="53">
        <f>IF(A58="","",IFERROR(INDEX(Firms!$B$5:$B$1004,MATCH(A58,Firms!$A$5:$A$1004,0)),"Not on Firms tab"))</f>
        <v/>
      </c>
      <c r="N58">
        <f>IF(AND(A58&lt;&gt;"",A58='Firm Search'!$C$7),COUNTIF($A$5:A58,'Firm Search'!$C$7),"")</f>
        <v/>
      </c>
    </row>
    <row r="59">
      <c r="A59" s="5" t="n"/>
      <c r="B59" s="5" t="n"/>
      <c r="C59" s="52" t="n"/>
      <c r="D59" s="52" t="n"/>
      <c r="E59" s="52" t="n"/>
      <c r="F59" s="52" t="n"/>
      <c r="G59" s="52" t="n"/>
      <c r="H59" s="52" t="n"/>
      <c r="I59" s="52" t="n"/>
      <c r="J59" s="52" t="n"/>
      <c r="K59" s="54" t="n"/>
      <c r="L59" s="5" t="n"/>
      <c r="M59" s="53">
        <f>IF(A59="","",IFERROR(INDEX(Firms!$B$5:$B$1004,MATCH(A59,Firms!$A$5:$A$1004,0)),"Not on Firms tab"))</f>
        <v/>
      </c>
      <c r="N59">
        <f>IF(AND(A59&lt;&gt;"",A59='Firm Search'!$C$7),COUNTIF($A$5:A59,'Firm Search'!$C$7),"")</f>
        <v/>
      </c>
    </row>
    <row r="60">
      <c r="A60" s="5" t="n"/>
      <c r="B60" s="5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4" t="n"/>
      <c r="L60" s="5" t="n"/>
      <c r="M60" s="53">
        <f>IF(A60="","",IFERROR(INDEX(Firms!$B$5:$B$1004,MATCH(A60,Firms!$A$5:$A$1004,0)),"Not on Firms tab"))</f>
        <v/>
      </c>
      <c r="N60">
        <f>IF(AND(A60&lt;&gt;"",A60='Firm Search'!$C$7),COUNTIF($A$5:A60,'Firm Search'!$C$7),"")</f>
        <v/>
      </c>
    </row>
    <row r="61">
      <c r="A61" s="5" t="n"/>
      <c r="B61" s="5" t="n"/>
      <c r="C61" s="52" t="n"/>
      <c r="D61" s="52" t="n"/>
      <c r="E61" s="52" t="n"/>
      <c r="F61" s="52" t="n"/>
      <c r="G61" s="52" t="n"/>
      <c r="H61" s="52" t="n"/>
      <c r="I61" s="52" t="n"/>
      <c r="J61" s="52" t="n"/>
      <c r="K61" s="54" t="n"/>
      <c r="L61" s="5" t="n"/>
      <c r="M61" s="53">
        <f>IF(A61="","",IFERROR(INDEX(Firms!$B$5:$B$1004,MATCH(A61,Firms!$A$5:$A$1004,0)),"Not on Firms tab"))</f>
        <v/>
      </c>
      <c r="N61">
        <f>IF(AND(A61&lt;&gt;"",A61='Firm Search'!$C$7),COUNTIF($A$5:A61,'Firm Search'!$C$7),"")</f>
        <v/>
      </c>
    </row>
    <row r="62">
      <c r="A62" s="5" t="n"/>
      <c r="B62" s="5" t="n"/>
      <c r="C62" s="52" t="n"/>
      <c r="D62" s="52" t="n"/>
      <c r="E62" s="52" t="n"/>
      <c r="F62" s="52" t="n"/>
      <c r="G62" s="52" t="n"/>
      <c r="H62" s="52" t="n"/>
      <c r="I62" s="52" t="n"/>
      <c r="J62" s="52" t="n"/>
      <c r="K62" s="54" t="n"/>
      <c r="L62" s="5" t="n"/>
      <c r="M62" s="53">
        <f>IF(A62="","",IFERROR(INDEX(Firms!$B$5:$B$1004,MATCH(A62,Firms!$A$5:$A$1004,0)),"Not on Firms tab"))</f>
        <v/>
      </c>
      <c r="N62">
        <f>IF(AND(A62&lt;&gt;"",A62='Firm Search'!$C$7),COUNTIF($A$5:A62,'Firm Search'!$C$7),"")</f>
        <v/>
      </c>
    </row>
    <row r="63">
      <c r="A63" s="5" t="n"/>
      <c r="B63" s="5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4" t="n"/>
      <c r="L63" s="5" t="n"/>
      <c r="M63" s="53">
        <f>IF(A63="","",IFERROR(INDEX(Firms!$B$5:$B$1004,MATCH(A63,Firms!$A$5:$A$1004,0)),"Not on Firms tab"))</f>
        <v/>
      </c>
      <c r="N63">
        <f>IF(AND(A63&lt;&gt;"",A63='Firm Search'!$C$7),COUNTIF($A$5:A63,'Firm Search'!$C$7),"")</f>
        <v/>
      </c>
    </row>
    <row r="64">
      <c r="A64" s="5" t="n"/>
      <c r="B64" s="5" t="n"/>
      <c r="C64" s="52" t="n"/>
      <c r="D64" s="52" t="n"/>
      <c r="E64" s="52" t="n"/>
      <c r="F64" s="52" t="n"/>
      <c r="G64" s="52" t="n"/>
      <c r="H64" s="52" t="n"/>
      <c r="I64" s="52" t="n"/>
      <c r="J64" s="52" t="n"/>
      <c r="K64" s="54" t="n"/>
      <c r="L64" s="5" t="n"/>
      <c r="M64" s="53">
        <f>IF(A64="","",IFERROR(INDEX(Firms!$B$5:$B$1004,MATCH(A64,Firms!$A$5:$A$1004,0)),"Not on Firms tab"))</f>
        <v/>
      </c>
      <c r="N64">
        <f>IF(AND(A64&lt;&gt;"",A64='Firm Search'!$C$7),COUNTIF($A$5:A64,'Firm Search'!$C$7),"")</f>
        <v/>
      </c>
    </row>
    <row r="65">
      <c r="A65" s="5" t="n"/>
      <c r="B65" s="5" t="n"/>
      <c r="C65" s="52" t="n"/>
      <c r="D65" s="52" t="n"/>
      <c r="E65" s="52" t="n"/>
      <c r="F65" s="52" t="n"/>
      <c r="G65" s="52" t="n"/>
      <c r="H65" s="52" t="n"/>
      <c r="I65" s="52" t="n"/>
      <c r="J65" s="52" t="n"/>
      <c r="K65" s="54" t="n"/>
      <c r="L65" s="5" t="n"/>
      <c r="M65" s="53">
        <f>IF(A65="","",IFERROR(INDEX(Firms!$B$5:$B$1004,MATCH(A65,Firms!$A$5:$A$1004,0)),"Not on Firms tab"))</f>
        <v/>
      </c>
      <c r="N65">
        <f>IF(AND(A65&lt;&gt;"",A65='Firm Search'!$C$7),COUNTIF($A$5:A65,'Firm Search'!$C$7),"")</f>
        <v/>
      </c>
    </row>
    <row r="66">
      <c r="A66" s="5" t="n"/>
      <c r="B66" s="5" t="n"/>
      <c r="C66" s="52" t="n"/>
      <c r="D66" s="52" t="n"/>
      <c r="E66" s="52" t="n"/>
      <c r="F66" s="52" t="n"/>
      <c r="G66" s="52" t="n"/>
      <c r="H66" s="52" t="n"/>
      <c r="I66" s="52" t="n"/>
      <c r="J66" s="52" t="n"/>
      <c r="K66" s="54" t="n"/>
      <c r="L66" s="5" t="n"/>
      <c r="M66" s="53">
        <f>IF(A66="","",IFERROR(INDEX(Firms!$B$5:$B$1004,MATCH(A66,Firms!$A$5:$A$1004,0)),"Not on Firms tab"))</f>
        <v/>
      </c>
      <c r="N66">
        <f>IF(AND(A66&lt;&gt;"",A66='Firm Search'!$C$7),COUNTIF($A$5:A66,'Firm Search'!$C$7),"")</f>
        <v/>
      </c>
    </row>
    <row r="67">
      <c r="A67" s="5" t="n"/>
      <c r="B67" s="5" t="n"/>
      <c r="C67" s="52" t="n"/>
      <c r="D67" s="52" t="n"/>
      <c r="E67" s="52" t="n"/>
      <c r="F67" s="52" t="n"/>
      <c r="G67" s="52" t="n"/>
      <c r="H67" s="52" t="n"/>
      <c r="I67" s="52" t="n"/>
      <c r="J67" s="52" t="n"/>
      <c r="K67" s="54" t="n"/>
      <c r="L67" s="5" t="n"/>
      <c r="M67" s="53">
        <f>IF(A67="","",IFERROR(INDEX(Firms!$B$5:$B$1004,MATCH(A67,Firms!$A$5:$A$1004,0)),"Not on Firms tab"))</f>
        <v/>
      </c>
      <c r="N67">
        <f>IF(AND(A67&lt;&gt;"",A67='Firm Search'!$C$7),COUNTIF($A$5:A67,'Firm Search'!$C$7),"")</f>
        <v/>
      </c>
    </row>
    <row r="68">
      <c r="A68" s="5" t="n"/>
      <c r="B68" s="5" t="n"/>
      <c r="C68" s="52" t="n"/>
      <c r="D68" s="52" t="n"/>
      <c r="E68" s="52" t="n"/>
      <c r="F68" s="52" t="n"/>
      <c r="G68" s="52" t="n"/>
      <c r="H68" s="52" t="n"/>
      <c r="I68" s="52" t="n"/>
      <c r="J68" s="52" t="n"/>
      <c r="K68" s="54" t="n"/>
      <c r="L68" s="5" t="n"/>
      <c r="M68" s="53">
        <f>IF(A68="","",IFERROR(INDEX(Firms!$B$5:$B$1004,MATCH(A68,Firms!$A$5:$A$1004,0)),"Not on Firms tab"))</f>
        <v/>
      </c>
      <c r="N68">
        <f>IF(AND(A68&lt;&gt;"",A68='Firm Search'!$C$7),COUNTIF($A$5:A68,'Firm Search'!$C$7),"")</f>
        <v/>
      </c>
    </row>
    <row r="69">
      <c r="A69" s="5" t="n"/>
      <c r="B69" s="5" t="n"/>
      <c r="C69" s="52" t="n"/>
      <c r="D69" s="52" t="n"/>
      <c r="E69" s="52" t="n"/>
      <c r="F69" s="52" t="n"/>
      <c r="G69" s="52" t="n"/>
      <c r="H69" s="52" t="n"/>
      <c r="I69" s="52" t="n"/>
      <c r="J69" s="52" t="n"/>
      <c r="K69" s="54" t="n"/>
      <c r="L69" s="5" t="n"/>
      <c r="M69" s="53">
        <f>IF(A69="","",IFERROR(INDEX(Firms!$B$5:$B$1004,MATCH(A69,Firms!$A$5:$A$1004,0)),"Not on Firms tab"))</f>
        <v/>
      </c>
      <c r="N69">
        <f>IF(AND(A69&lt;&gt;"",A69='Firm Search'!$C$7),COUNTIF($A$5:A69,'Firm Search'!$C$7),"")</f>
        <v/>
      </c>
    </row>
    <row r="70">
      <c r="A70" s="5" t="n"/>
      <c r="B70" s="5" t="n"/>
      <c r="C70" s="52" t="n"/>
      <c r="D70" s="52" t="n"/>
      <c r="E70" s="52" t="n"/>
      <c r="F70" s="52" t="n"/>
      <c r="G70" s="52" t="n"/>
      <c r="H70" s="52" t="n"/>
      <c r="I70" s="52" t="n"/>
      <c r="J70" s="52" t="n"/>
      <c r="K70" s="54" t="n"/>
      <c r="L70" s="5" t="n"/>
      <c r="M70" s="53">
        <f>IF(A70="","",IFERROR(INDEX(Firms!$B$5:$B$1004,MATCH(A70,Firms!$A$5:$A$1004,0)),"Not on Firms tab"))</f>
        <v/>
      </c>
      <c r="N70">
        <f>IF(AND(A70&lt;&gt;"",A70='Firm Search'!$C$7),COUNTIF($A$5:A70,'Firm Search'!$C$7),"")</f>
        <v/>
      </c>
    </row>
    <row r="71">
      <c r="A71" s="5" t="n"/>
      <c r="B71" s="5" t="n"/>
      <c r="C71" s="52" t="n"/>
      <c r="D71" s="52" t="n"/>
      <c r="E71" s="52" t="n"/>
      <c r="F71" s="52" t="n"/>
      <c r="G71" s="52" t="n"/>
      <c r="H71" s="52" t="n"/>
      <c r="I71" s="52" t="n"/>
      <c r="J71" s="52" t="n"/>
      <c r="K71" s="54" t="n"/>
      <c r="L71" s="5" t="n"/>
      <c r="M71" s="53">
        <f>IF(A71="","",IFERROR(INDEX(Firms!$B$5:$B$1004,MATCH(A71,Firms!$A$5:$A$1004,0)),"Not on Firms tab"))</f>
        <v/>
      </c>
      <c r="N71">
        <f>IF(AND(A71&lt;&gt;"",A71='Firm Search'!$C$7),COUNTIF($A$5:A71,'Firm Search'!$C$7),"")</f>
        <v/>
      </c>
    </row>
    <row r="72">
      <c r="A72" s="5" t="n"/>
      <c r="B72" s="5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4" t="n"/>
      <c r="L72" s="5" t="n"/>
      <c r="M72" s="53">
        <f>IF(A72="","",IFERROR(INDEX(Firms!$B$5:$B$1004,MATCH(A72,Firms!$A$5:$A$1004,0)),"Not on Firms tab"))</f>
        <v/>
      </c>
      <c r="N72">
        <f>IF(AND(A72&lt;&gt;"",A72='Firm Search'!$C$7),COUNTIF($A$5:A72,'Firm Search'!$C$7),"")</f>
        <v/>
      </c>
    </row>
    <row r="73">
      <c r="A73" s="5" t="n"/>
      <c r="B73" s="5" t="n"/>
      <c r="C73" s="52" t="n"/>
      <c r="D73" s="52" t="n"/>
      <c r="E73" s="52" t="n"/>
      <c r="F73" s="52" t="n"/>
      <c r="G73" s="52" t="n"/>
      <c r="H73" s="52" t="n"/>
      <c r="I73" s="52" t="n"/>
      <c r="J73" s="52" t="n"/>
      <c r="K73" s="54" t="n"/>
      <c r="L73" s="5" t="n"/>
      <c r="M73" s="53">
        <f>IF(A73="","",IFERROR(INDEX(Firms!$B$5:$B$1004,MATCH(A73,Firms!$A$5:$A$1004,0)),"Not on Firms tab"))</f>
        <v/>
      </c>
      <c r="N73">
        <f>IF(AND(A73&lt;&gt;"",A73='Firm Search'!$C$7),COUNTIF($A$5:A73,'Firm Search'!$C$7),"")</f>
        <v/>
      </c>
    </row>
    <row r="74">
      <c r="A74" s="5" t="n"/>
      <c r="B74" s="5" t="n"/>
      <c r="C74" s="52" t="n"/>
      <c r="D74" s="52" t="n"/>
      <c r="E74" s="52" t="n"/>
      <c r="F74" s="52" t="n"/>
      <c r="G74" s="52" t="n"/>
      <c r="H74" s="52" t="n"/>
      <c r="I74" s="52" t="n"/>
      <c r="J74" s="52" t="n"/>
      <c r="K74" s="54" t="n"/>
      <c r="L74" s="5" t="n"/>
      <c r="M74" s="53">
        <f>IF(A74="","",IFERROR(INDEX(Firms!$B$5:$B$1004,MATCH(A74,Firms!$A$5:$A$1004,0)),"Not on Firms tab"))</f>
        <v/>
      </c>
      <c r="N74">
        <f>IF(AND(A74&lt;&gt;"",A74='Firm Search'!$C$7),COUNTIF($A$5:A74,'Firm Search'!$C$7),"")</f>
        <v/>
      </c>
    </row>
    <row r="75">
      <c r="A75" s="5" t="n"/>
      <c r="B75" s="5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4" t="n"/>
      <c r="L75" s="5" t="n"/>
      <c r="M75" s="53">
        <f>IF(A75="","",IFERROR(INDEX(Firms!$B$5:$B$1004,MATCH(A75,Firms!$A$5:$A$1004,0)),"Not on Firms tab"))</f>
        <v/>
      </c>
      <c r="N75">
        <f>IF(AND(A75&lt;&gt;"",A75='Firm Search'!$C$7),COUNTIF($A$5:A75,'Firm Search'!$C$7),"")</f>
        <v/>
      </c>
    </row>
    <row r="76">
      <c r="A76" s="5" t="n"/>
      <c r="B76" s="5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4" t="n"/>
      <c r="L76" s="5" t="n"/>
      <c r="M76" s="53">
        <f>IF(A76="","",IFERROR(INDEX(Firms!$B$5:$B$1004,MATCH(A76,Firms!$A$5:$A$1004,0)),"Not on Firms tab"))</f>
        <v/>
      </c>
      <c r="N76">
        <f>IF(AND(A76&lt;&gt;"",A76='Firm Search'!$C$7),COUNTIF($A$5:A76,'Firm Search'!$C$7),"")</f>
        <v/>
      </c>
    </row>
    <row r="77">
      <c r="A77" s="5" t="n"/>
      <c r="B77" s="5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4" t="n"/>
      <c r="L77" s="5" t="n"/>
      <c r="M77" s="53">
        <f>IF(A77="","",IFERROR(INDEX(Firms!$B$5:$B$1004,MATCH(A77,Firms!$A$5:$A$1004,0)),"Not on Firms tab"))</f>
        <v/>
      </c>
      <c r="N77">
        <f>IF(AND(A77&lt;&gt;"",A77='Firm Search'!$C$7),COUNTIF($A$5:A77,'Firm Search'!$C$7),"")</f>
        <v/>
      </c>
    </row>
    <row r="78">
      <c r="A78" s="5" t="n"/>
      <c r="B78" s="5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4" t="n"/>
      <c r="L78" s="5" t="n"/>
      <c r="M78" s="53">
        <f>IF(A78="","",IFERROR(INDEX(Firms!$B$5:$B$1004,MATCH(A78,Firms!$A$5:$A$1004,0)),"Not on Firms tab"))</f>
        <v/>
      </c>
      <c r="N78">
        <f>IF(AND(A78&lt;&gt;"",A78='Firm Search'!$C$7),COUNTIF($A$5:A78,'Firm Search'!$C$7),"")</f>
        <v/>
      </c>
    </row>
    <row r="79">
      <c r="A79" s="5" t="n"/>
      <c r="B79" s="5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4" t="n"/>
      <c r="L79" s="5" t="n"/>
      <c r="M79" s="53">
        <f>IF(A79="","",IFERROR(INDEX(Firms!$B$5:$B$1004,MATCH(A79,Firms!$A$5:$A$1004,0)),"Not on Firms tab"))</f>
        <v/>
      </c>
      <c r="N79">
        <f>IF(AND(A79&lt;&gt;"",A79='Firm Search'!$C$7),COUNTIF($A$5:A79,'Firm Search'!$C$7),"")</f>
        <v/>
      </c>
    </row>
    <row r="80">
      <c r="A80" s="5" t="n"/>
      <c r="B80" s="5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4" t="n"/>
      <c r="L80" s="5" t="n"/>
      <c r="M80" s="53">
        <f>IF(A80="","",IFERROR(INDEX(Firms!$B$5:$B$1004,MATCH(A80,Firms!$A$5:$A$1004,0)),"Not on Firms tab"))</f>
        <v/>
      </c>
      <c r="N80">
        <f>IF(AND(A80&lt;&gt;"",A80='Firm Search'!$C$7),COUNTIF($A$5:A80,'Firm Search'!$C$7),"")</f>
        <v/>
      </c>
    </row>
    <row r="81">
      <c r="A81" s="5" t="n"/>
      <c r="B81" s="5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4" t="n"/>
      <c r="L81" s="5" t="n"/>
      <c r="M81" s="53">
        <f>IF(A81="","",IFERROR(INDEX(Firms!$B$5:$B$1004,MATCH(A81,Firms!$A$5:$A$1004,0)),"Not on Firms tab"))</f>
        <v/>
      </c>
      <c r="N81">
        <f>IF(AND(A81&lt;&gt;"",A81='Firm Search'!$C$7),COUNTIF($A$5:A81,'Firm Search'!$C$7),"")</f>
        <v/>
      </c>
    </row>
    <row r="82">
      <c r="A82" s="5" t="n"/>
      <c r="B82" s="5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4" t="n"/>
      <c r="L82" s="5" t="n"/>
      <c r="M82" s="53">
        <f>IF(A82="","",IFERROR(INDEX(Firms!$B$5:$B$1004,MATCH(A82,Firms!$A$5:$A$1004,0)),"Not on Firms tab"))</f>
        <v/>
      </c>
      <c r="N82">
        <f>IF(AND(A82&lt;&gt;"",A82='Firm Search'!$C$7),COUNTIF($A$5:A82,'Firm Search'!$C$7),"")</f>
        <v/>
      </c>
    </row>
    <row r="83">
      <c r="A83" s="5" t="n"/>
      <c r="B83" s="5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4" t="n"/>
      <c r="L83" s="5" t="n"/>
      <c r="M83" s="53">
        <f>IF(A83="","",IFERROR(INDEX(Firms!$B$5:$B$1004,MATCH(A83,Firms!$A$5:$A$1004,0)),"Not on Firms tab"))</f>
        <v/>
      </c>
      <c r="N83">
        <f>IF(AND(A83&lt;&gt;"",A83='Firm Search'!$C$7),COUNTIF($A$5:A83,'Firm Search'!$C$7),"")</f>
        <v/>
      </c>
    </row>
    <row r="84">
      <c r="A84" s="5" t="n"/>
      <c r="B84" s="5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4" t="n"/>
      <c r="L84" s="5" t="n"/>
      <c r="M84" s="53">
        <f>IF(A84="","",IFERROR(INDEX(Firms!$B$5:$B$1004,MATCH(A84,Firms!$A$5:$A$1004,0)),"Not on Firms tab"))</f>
        <v/>
      </c>
      <c r="N84">
        <f>IF(AND(A84&lt;&gt;"",A84='Firm Search'!$C$7),COUNTIF($A$5:A84,'Firm Search'!$C$7),"")</f>
        <v/>
      </c>
    </row>
    <row r="85">
      <c r="A85" s="5" t="n"/>
      <c r="B85" s="5" t="n"/>
      <c r="C85" s="52" t="n"/>
      <c r="D85" s="52" t="n"/>
      <c r="E85" s="52" t="n"/>
      <c r="F85" s="52" t="n"/>
      <c r="G85" s="52" t="n"/>
      <c r="H85" s="52" t="n"/>
      <c r="I85" s="52" t="n"/>
      <c r="J85" s="52" t="n"/>
      <c r="K85" s="54" t="n"/>
      <c r="L85" s="5" t="n"/>
      <c r="M85" s="53">
        <f>IF(A85="","",IFERROR(INDEX(Firms!$B$5:$B$1004,MATCH(A85,Firms!$A$5:$A$1004,0)),"Not on Firms tab"))</f>
        <v/>
      </c>
      <c r="N85">
        <f>IF(AND(A85&lt;&gt;"",A85='Firm Search'!$C$7),COUNTIF($A$5:A85,'Firm Search'!$C$7),"")</f>
        <v/>
      </c>
    </row>
    <row r="86">
      <c r="A86" s="5" t="n"/>
      <c r="B86" s="5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54" t="n"/>
      <c r="L86" s="5" t="n"/>
      <c r="M86" s="53">
        <f>IF(A86="","",IFERROR(INDEX(Firms!$B$5:$B$1004,MATCH(A86,Firms!$A$5:$A$1004,0)),"Not on Firms tab"))</f>
        <v/>
      </c>
      <c r="N86">
        <f>IF(AND(A86&lt;&gt;"",A86='Firm Search'!$C$7),COUNTIF($A$5:A86,'Firm Search'!$C$7),"")</f>
        <v/>
      </c>
    </row>
    <row r="87">
      <c r="A87" s="5" t="n"/>
      <c r="B87" s="5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4" t="n"/>
      <c r="L87" s="5" t="n"/>
      <c r="M87" s="53">
        <f>IF(A87="","",IFERROR(INDEX(Firms!$B$5:$B$1004,MATCH(A87,Firms!$A$5:$A$1004,0)),"Not on Firms tab"))</f>
        <v/>
      </c>
      <c r="N87">
        <f>IF(AND(A87&lt;&gt;"",A87='Firm Search'!$C$7),COUNTIF($A$5:A87,'Firm Search'!$C$7),"")</f>
        <v/>
      </c>
    </row>
    <row r="88">
      <c r="A88" s="5" t="n"/>
      <c r="B88" s="5" t="n"/>
      <c r="C88" s="52" t="n"/>
      <c r="D88" s="52" t="n"/>
      <c r="E88" s="52" t="n"/>
      <c r="F88" s="52" t="n"/>
      <c r="G88" s="52" t="n"/>
      <c r="H88" s="52" t="n"/>
      <c r="I88" s="52" t="n"/>
      <c r="J88" s="52" t="n"/>
      <c r="K88" s="54" t="n"/>
      <c r="L88" s="5" t="n"/>
      <c r="M88" s="53">
        <f>IF(A88="","",IFERROR(INDEX(Firms!$B$5:$B$1004,MATCH(A88,Firms!$A$5:$A$1004,0)),"Not on Firms tab"))</f>
        <v/>
      </c>
      <c r="N88">
        <f>IF(AND(A88&lt;&gt;"",A88='Firm Search'!$C$7),COUNTIF($A$5:A88,'Firm Search'!$C$7),"")</f>
        <v/>
      </c>
    </row>
    <row r="89">
      <c r="A89" s="5" t="n"/>
      <c r="B89" s="5" t="n"/>
      <c r="C89" s="52" t="n"/>
      <c r="D89" s="52" t="n"/>
      <c r="E89" s="52" t="n"/>
      <c r="F89" s="52" t="n"/>
      <c r="G89" s="52" t="n"/>
      <c r="H89" s="52" t="n"/>
      <c r="I89" s="52" t="n"/>
      <c r="J89" s="52" t="n"/>
      <c r="K89" s="54" t="n"/>
      <c r="L89" s="5" t="n"/>
      <c r="M89" s="53">
        <f>IF(A89="","",IFERROR(INDEX(Firms!$B$5:$B$1004,MATCH(A89,Firms!$A$5:$A$1004,0)),"Not on Firms tab"))</f>
        <v/>
      </c>
      <c r="N89">
        <f>IF(AND(A89&lt;&gt;"",A89='Firm Search'!$C$7),COUNTIF($A$5:A89,'Firm Search'!$C$7),"")</f>
        <v/>
      </c>
    </row>
    <row r="90">
      <c r="A90" s="5" t="n"/>
      <c r="B90" s="5" t="n"/>
      <c r="C90" s="52" t="n"/>
      <c r="D90" s="52" t="n"/>
      <c r="E90" s="52" t="n"/>
      <c r="F90" s="52" t="n"/>
      <c r="G90" s="52" t="n"/>
      <c r="H90" s="52" t="n"/>
      <c r="I90" s="52" t="n"/>
      <c r="J90" s="52" t="n"/>
      <c r="K90" s="54" t="n"/>
      <c r="L90" s="5" t="n"/>
      <c r="M90" s="53">
        <f>IF(A90="","",IFERROR(INDEX(Firms!$B$5:$B$1004,MATCH(A90,Firms!$A$5:$A$1004,0)),"Not on Firms tab"))</f>
        <v/>
      </c>
      <c r="N90">
        <f>IF(AND(A90&lt;&gt;"",A90='Firm Search'!$C$7),COUNTIF($A$5:A90,'Firm Search'!$C$7),"")</f>
        <v/>
      </c>
    </row>
    <row r="91">
      <c r="A91" s="5" t="n"/>
      <c r="B91" s="5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54" t="n"/>
      <c r="L91" s="5" t="n"/>
      <c r="M91" s="53">
        <f>IF(A91="","",IFERROR(INDEX(Firms!$B$5:$B$1004,MATCH(A91,Firms!$A$5:$A$1004,0)),"Not on Firms tab"))</f>
        <v/>
      </c>
      <c r="N91">
        <f>IF(AND(A91&lt;&gt;"",A91='Firm Search'!$C$7),COUNTIF($A$5:A91,'Firm Search'!$C$7),"")</f>
        <v/>
      </c>
    </row>
    <row r="92">
      <c r="A92" s="5" t="n"/>
      <c r="B92" s="5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54" t="n"/>
      <c r="L92" s="5" t="n"/>
      <c r="M92" s="53">
        <f>IF(A92="","",IFERROR(INDEX(Firms!$B$5:$B$1004,MATCH(A92,Firms!$A$5:$A$1004,0)),"Not on Firms tab"))</f>
        <v/>
      </c>
      <c r="N92">
        <f>IF(AND(A92&lt;&gt;"",A92='Firm Search'!$C$7),COUNTIF($A$5:A92,'Firm Search'!$C$7),"")</f>
        <v/>
      </c>
    </row>
    <row r="93">
      <c r="A93" s="5" t="n"/>
      <c r="B93" s="5" t="n"/>
      <c r="C93" s="52" t="n"/>
      <c r="D93" s="52" t="n"/>
      <c r="E93" s="52" t="n"/>
      <c r="F93" s="52" t="n"/>
      <c r="G93" s="52" t="n"/>
      <c r="H93" s="52" t="n"/>
      <c r="I93" s="52" t="n"/>
      <c r="J93" s="52" t="n"/>
      <c r="K93" s="54" t="n"/>
      <c r="L93" s="5" t="n"/>
      <c r="M93" s="53">
        <f>IF(A93="","",IFERROR(INDEX(Firms!$B$5:$B$1004,MATCH(A93,Firms!$A$5:$A$1004,0)),"Not on Firms tab"))</f>
        <v/>
      </c>
      <c r="N93">
        <f>IF(AND(A93&lt;&gt;"",A93='Firm Search'!$C$7),COUNTIF($A$5:A93,'Firm Search'!$C$7),"")</f>
        <v/>
      </c>
    </row>
    <row r="94">
      <c r="A94" s="5" t="n"/>
      <c r="B94" s="5" t="n"/>
      <c r="C94" s="52" t="n"/>
      <c r="D94" s="52" t="n"/>
      <c r="E94" s="52" t="n"/>
      <c r="F94" s="52" t="n"/>
      <c r="G94" s="52" t="n"/>
      <c r="H94" s="52" t="n"/>
      <c r="I94" s="52" t="n"/>
      <c r="J94" s="52" t="n"/>
      <c r="K94" s="54" t="n"/>
      <c r="L94" s="5" t="n"/>
      <c r="M94" s="53">
        <f>IF(A94="","",IFERROR(INDEX(Firms!$B$5:$B$1004,MATCH(A94,Firms!$A$5:$A$1004,0)),"Not on Firms tab"))</f>
        <v/>
      </c>
      <c r="N94">
        <f>IF(AND(A94&lt;&gt;"",A94='Firm Search'!$C$7),COUNTIF($A$5:A94,'Firm Search'!$C$7),"")</f>
        <v/>
      </c>
    </row>
    <row r="95">
      <c r="A95" s="5" t="n"/>
      <c r="B95" s="5" t="n"/>
      <c r="C95" s="52" t="n"/>
      <c r="D95" s="52" t="n"/>
      <c r="E95" s="52" t="n"/>
      <c r="F95" s="52" t="n"/>
      <c r="G95" s="52" t="n"/>
      <c r="H95" s="52" t="n"/>
      <c r="I95" s="52" t="n"/>
      <c r="J95" s="52" t="n"/>
      <c r="K95" s="54" t="n"/>
      <c r="L95" s="5" t="n"/>
      <c r="M95" s="53">
        <f>IF(A95="","",IFERROR(INDEX(Firms!$B$5:$B$1004,MATCH(A95,Firms!$A$5:$A$1004,0)),"Not on Firms tab"))</f>
        <v/>
      </c>
      <c r="N95">
        <f>IF(AND(A95&lt;&gt;"",A95='Firm Search'!$C$7),COUNTIF($A$5:A95,'Firm Search'!$C$7),"")</f>
        <v/>
      </c>
    </row>
    <row r="96">
      <c r="A96" s="5" t="n"/>
      <c r="B96" s="5" t="n"/>
      <c r="C96" s="52" t="n"/>
      <c r="D96" s="52" t="n"/>
      <c r="E96" s="52" t="n"/>
      <c r="F96" s="52" t="n"/>
      <c r="G96" s="52" t="n"/>
      <c r="H96" s="52" t="n"/>
      <c r="I96" s="52" t="n"/>
      <c r="J96" s="52" t="n"/>
      <c r="K96" s="54" t="n"/>
      <c r="L96" s="5" t="n"/>
      <c r="M96" s="53">
        <f>IF(A96="","",IFERROR(INDEX(Firms!$B$5:$B$1004,MATCH(A96,Firms!$A$5:$A$1004,0)),"Not on Firms tab"))</f>
        <v/>
      </c>
      <c r="N96">
        <f>IF(AND(A96&lt;&gt;"",A96='Firm Search'!$C$7),COUNTIF($A$5:A96,'Firm Search'!$C$7),"")</f>
        <v/>
      </c>
    </row>
    <row r="97">
      <c r="A97" s="5" t="n"/>
      <c r="B97" s="5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4" t="n"/>
      <c r="L97" s="5" t="n"/>
      <c r="M97" s="53">
        <f>IF(A97="","",IFERROR(INDEX(Firms!$B$5:$B$1004,MATCH(A97,Firms!$A$5:$A$1004,0)),"Not on Firms tab"))</f>
        <v/>
      </c>
      <c r="N97">
        <f>IF(AND(A97&lt;&gt;"",A97='Firm Search'!$C$7),COUNTIF($A$5:A97,'Firm Search'!$C$7),"")</f>
        <v/>
      </c>
    </row>
    <row r="98">
      <c r="A98" s="5" t="n"/>
      <c r="B98" s="5" t="n"/>
      <c r="C98" s="52" t="n"/>
      <c r="D98" s="52" t="n"/>
      <c r="E98" s="52" t="n"/>
      <c r="F98" s="52" t="n"/>
      <c r="G98" s="52" t="n"/>
      <c r="H98" s="52" t="n"/>
      <c r="I98" s="52" t="n"/>
      <c r="J98" s="52" t="n"/>
      <c r="K98" s="54" t="n"/>
      <c r="L98" s="5" t="n"/>
      <c r="M98" s="53">
        <f>IF(A98="","",IFERROR(INDEX(Firms!$B$5:$B$1004,MATCH(A98,Firms!$A$5:$A$1004,0)),"Not on Firms tab"))</f>
        <v/>
      </c>
      <c r="N98">
        <f>IF(AND(A98&lt;&gt;"",A98='Firm Search'!$C$7),COUNTIF($A$5:A98,'Firm Search'!$C$7),"")</f>
        <v/>
      </c>
    </row>
    <row r="99">
      <c r="A99" s="5" t="n"/>
      <c r="B99" s="5" t="n"/>
      <c r="C99" s="52" t="n"/>
      <c r="D99" s="52" t="n"/>
      <c r="E99" s="52" t="n"/>
      <c r="F99" s="52" t="n"/>
      <c r="G99" s="52" t="n"/>
      <c r="H99" s="52" t="n"/>
      <c r="I99" s="52" t="n"/>
      <c r="J99" s="52" t="n"/>
      <c r="K99" s="54" t="n"/>
      <c r="L99" s="5" t="n"/>
      <c r="M99" s="53">
        <f>IF(A99="","",IFERROR(INDEX(Firms!$B$5:$B$1004,MATCH(A99,Firms!$A$5:$A$1004,0)),"Not on Firms tab"))</f>
        <v/>
      </c>
      <c r="N99">
        <f>IF(AND(A99&lt;&gt;"",A99='Firm Search'!$C$7),COUNTIF($A$5:A99,'Firm Search'!$C$7),"")</f>
        <v/>
      </c>
    </row>
    <row r="100">
      <c r="A100" s="5" t="n"/>
      <c r="B100" s="5" t="n"/>
      <c r="C100" s="52" t="n"/>
      <c r="D100" s="52" t="n"/>
      <c r="E100" s="52" t="n"/>
      <c r="F100" s="52" t="n"/>
      <c r="G100" s="52" t="n"/>
      <c r="H100" s="52" t="n"/>
      <c r="I100" s="52" t="n"/>
      <c r="J100" s="52" t="n"/>
      <c r="K100" s="54" t="n"/>
      <c r="L100" s="5" t="n"/>
      <c r="M100" s="53">
        <f>IF(A100="","",IFERROR(INDEX(Firms!$B$5:$B$1004,MATCH(A100,Firms!$A$5:$A$1004,0)),"Not on Firms tab"))</f>
        <v/>
      </c>
      <c r="N100">
        <f>IF(AND(A100&lt;&gt;"",A100='Firm Search'!$C$7),COUNTIF($A$5:A100,'Firm Search'!$C$7),"")</f>
        <v/>
      </c>
    </row>
    <row r="101">
      <c r="A101" s="5" t="n"/>
      <c r="B101" s="5" t="n"/>
      <c r="C101" s="52" t="n"/>
      <c r="D101" s="52" t="n"/>
      <c r="E101" s="52" t="n"/>
      <c r="F101" s="52" t="n"/>
      <c r="G101" s="52" t="n"/>
      <c r="H101" s="52" t="n"/>
      <c r="I101" s="52" t="n"/>
      <c r="J101" s="52" t="n"/>
      <c r="K101" s="54" t="n"/>
      <c r="L101" s="5" t="n"/>
      <c r="M101" s="53">
        <f>IF(A101="","",IFERROR(INDEX(Firms!$B$5:$B$1004,MATCH(A101,Firms!$A$5:$A$1004,0)),"Not on Firms tab"))</f>
        <v/>
      </c>
      <c r="N101">
        <f>IF(AND(A101&lt;&gt;"",A101='Firm Search'!$C$7),COUNTIF($A$5:A101,'Firm Search'!$C$7),"")</f>
        <v/>
      </c>
    </row>
    <row r="102">
      <c r="A102" s="5" t="n"/>
      <c r="B102" s="5" t="n"/>
      <c r="C102" s="52" t="n"/>
      <c r="D102" s="52" t="n"/>
      <c r="E102" s="52" t="n"/>
      <c r="F102" s="52" t="n"/>
      <c r="G102" s="52" t="n"/>
      <c r="H102" s="52" t="n"/>
      <c r="I102" s="52" t="n"/>
      <c r="J102" s="52" t="n"/>
      <c r="K102" s="54" t="n"/>
      <c r="L102" s="5" t="n"/>
      <c r="M102" s="53">
        <f>IF(A102="","",IFERROR(INDEX(Firms!$B$5:$B$1004,MATCH(A102,Firms!$A$5:$A$1004,0)),"Not on Firms tab"))</f>
        <v/>
      </c>
      <c r="N102">
        <f>IF(AND(A102&lt;&gt;"",A102='Firm Search'!$C$7),COUNTIF($A$5:A102,'Firm Search'!$C$7),"")</f>
        <v/>
      </c>
    </row>
    <row r="103">
      <c r="A103" s="5" t="n"/>
      <c r="B103" s="5" t="n"/>
      <c r="C103" s="52" t="n"/>
      <c r="D103" s="52" t="n"/>
      <c r="E103" s="52" t="n"/>
      <c r="F103" s="52" t="n"/>
      <c r="G103" s="52" t="n"/>
      <c r="H103" s="52" t="n"/>
      <c r="I103" s="52" t="n"/>
      <c r="J103" s="52" t="n"/>
      <c r="K103" s="54" t="n"/>
      <c r="L103" s="5" t="n"/>
      <c r="M103" s="53">
        <f>IF(A103="","",IFERROR(INDEX(Firms!$B$5:$B$1004,MATCH(A103,Firms!$A$5:$A$1004,0)),"Not on Firms tab"))</f>
        <v/>
      </c>
      <c r="N103">
        <f>IF(AND(A103&lt;&gt;"",A103='Firm Search'!$C$7),COUNTIF($A$5:A103,'Firm Search'!$C$7),"")</f>
        <v/>
      </c>
    </row>
    <row r="104">
      <c r="A104" s="5" t="n"/>
      <c r="B104" s="5" t="n"/>
      <c r="C104" s="52" t="n"/>
      <c r="D104" s="52" t="n"/>
      <c r="E104" s="52" t="n"/>
      <c r="F104" s="52" t="n"/>
      <c r="G104" s="52" t="n"/>
      <c r="H104" s="52" t="n"/>
      <c r="I104" s="52" t="n"/>
      <c r="J104" s="52" t="n"/>
      <c r="K104" s="54" t="n"/>
      <c r="L104" s="5" t="n"/>
      <c r="M104" s="53">
        <f>IF(A104="","",IFERROR(INDEX(Firms!$B$5:$B$1004,MATCH(A104,Firms!$A$5:$A$1004,0)),"Not on Firms tab"))</f>
        <v/>
      </c>
      <c r="N104">
        <f>IF(AND(A104&lt;&gt;"",A104='Firm Search'!$C$7),COUNTIF($A$5:A104,'Firm Search'!$C$7),"")</f>
        <v/>
      </c>
    </row>
    <row r="105">
      <c r="A105" s="5" t="n"/>
      <c r="B105" s="5" t="n"/>
      <c r="C105" s="52" t="n"/>
      <c r="D105" s="52" t="n"/>
      <c r="E105" s="52" t="n"/>
      <c r="F105" s="52" t="n"/>
      <c r="G105" s="52" t="n"/>
      <c r="H105" s="52" t="n"/>
      <c r="I105" s="52" t="n"/>
      <c r="J105" s="52" t="n"/>
      <c r="K105" s="54" t="n"/>
      <c r="L105" s="5" t="n"/>
      <c r="M105" s="53">
        <f>IF(A105="","",IFERROR(INDEX(Firms!$B$5:$B$1004,MATCH(A105,Firms!$A$5:$A$1004,0)),"Not on Firms tab"))</f>
        <v/>
      </c>
      <c r="N105">
        <f>IF(AND(A105&lt;&gt;"",A105='Firm Search'!$C$7),COUNTIF($A$5:A105,'Firm Search'!$C$7),"")</f>
        <v/>
      </c>
    </row>
    <row r="106">
      <c r="A106" s="5" t="n"/>
      <c r="B106" s="5" t="n"/>
      <c r="C106" s="52" t="n"/>
      <c r="D106" s="52" t="n"/>
      <c r="E106" s="52" t="n"/>
      <c r="F106" s="52" t="n"/>
      <c r="G106" s="52" t="n"/>
      <c r="H106" s="52" t="n"/>
      <c r="I106" s="52" t="n"/>
      <c r="J106" s="52" t="n"/>
      <c r="K106" s="54" t="n"/>
      <c r="L106" s="5" t="n"/>
      <c r="M106" s="53">
        <f>IF(A106="","",IFERROR(INDEX(Firms!$B$5:$B$1004,MATCH(A106,Firms!$A$5:$A$1004,0)),"Not on Firms tab"))</f>
        <v/>
      </c>
      <c r="N106">
        <f>IF(AND(A106&lt;&gt;"",A106='Firm Search'!$C$7),COUNTIF($A$5:A106,'Firm Search'!$C$7),"")</f>
        <v/>
      </c>
    </row>
    <row r="107">
      <c r="A107" s="5" t="n"/>
      <c r="B107" s="5" t="n"/>
      <c r="C107" s="52" t="n"/>
      <c r="D107" s="52" t="n"/>
      <c r="E107" s="52" t="n"/>
      <c r="F107" s="52" t="n"/>
      <c r="G107" s="52" t="n"/>
      <c r="H107" s="52" t="n"/>
      <c r="I107" s="52" t="n"/>
      <c r="J107" s="52" t="n"/>
      <c r="K107" s="54" t="n"/>
      <c r="L107" s="5" t="n"/>
      <c r="M107" s="53">
        <f>IF(A107="","",IFERROR(INDEX(Firms!$B$5:$B$1004,MATCH(A107,Firms!$A$5:$A$1004,0)),"Not on Firms tab"))</f>
        <v/>
      </c>
      <c r="N107">
        <f>IF(AND(A107&lt;&gt;"",A107='Firm Search'!$C$7),COUNTIF($A$5:A107,'Firm Search'!$C$7),"")</f>
        <v/>
      </c>
    </row>
    <row r="108">
      <c r="A108" s="5" t="n"/>
      <c r="B108" s="5" t="n"/>
      <c r="C108" s="52" t="n"/>
      <c r="D108" s="52" t="n"/>
      <c r="E108" s="52" t="n"/>
      <c r="F108" s="52" t="n"/>
      <c r="G108" s="52" t="n"/>
      <c r="H108" s="52" t="n"/>
      <c r="I108" s="52" t="n"/>
      <c r="J108" s="52" t="n"/>
      <c r="K108" s="54" t="n"/>
      <c r="L108" s="5" t="n"/>
      <c r="M108" s="53">
        <f>IF(A108="","",IFERROR(INDEX(Firms!$B$5:$B$1004,MATCH(A108,Firms!$A$5:$A$1004,0)),"Not on Firms tab"))</f>
        <v/>
      </c>
      <c r="N108">
        <f>IF(AND(A108&lt;&gt;"",A108='Firm Search'!$C$7),COUNTIF($A$5:A108,'Firm Search'!$C$7),"")</f>
        <v/>
      </c>
    </row>
    <row r="109">
      <c r="A109" s="5" t="n"/>
      <c r="B109" s="5" t="n"/>
      <c r="C109" s="52" t="n"/>
      <c r="D109" s="52" t="n"/>
      <c r="E109" s="52" t="n"/>
      <c r="F109" s="52" t="n"/>
      <c r="G109" s="52" t="n"/>
      <c r="H109" s="52" t="n"/>
      <c r="I109" s="52" t="n"/>
      <c r="J109" s="52" t="n"/>
      <c r="K109" s="54" t="n"/>
      <c r="L109" s="5" t="n"/>
      <c r="M109" s="53">
        <f>IF(A109="","",IFERROR(INDEX(Firms!$B$5:$B$1004,MATCH(A109,Firms!$A$5:$A$1004,0)),"Not on Firms tab"))</f>
        <v/>
      </c>
      <c r="N109">
        <f>IF(AND(A109&lt;&gt;"",A109='Firm Search'!$C$7),COUNTIF($A$5:A109,'Firm Search'!$C$7),"")</f>
        <v/>
      </c>
    </row>
    <row r="110">
      <c r="A110" s="5" t="n"/>
      <c r="B110" s="5" t="n"/>
      <c r="C110" s="52" t="n"/>
      <c r="D110" s="52" t="n"/>
      <c r="E110" s="52" t="n"/>
      <c r="F110" s="52" t="n"/>
      <c r="G110" s="52" t="n"/>
      <c r="H110" s="52" t="n"/>
      <c r="I110" s="52" t="n"/>
      <c r="J110" s="52" t="n"/>
      <c r="K110" s="54" t="n"/>
      <c r="L110" s="5" t="n"/>
      <c r="M110" s="53">
        <f>IF(A110="","",IFERROR(INDEX(Firms!$B$5:$B$1004,MATCH(A110,Firms!$A$5:$A$1004,0)),"Not on Firms tab"))</f>
        <v/>
      </c>
      <c r="N110">
        <f>IF(AND(A110&lt;&gt;"",A110='Firm Search'!$C$7),COUNTIF($A$5:A110,'Firm Search'!$C$7),"")</f>
        <v/>
      </c>
    </row>
    <row r="111">
      <c r="A111" s="5" t="n"/>
      <c r="B111" s="5" t="n"/>
      <c r="C111" s="52" t="n"/>
      <c r="D111" s="52" t="n"/>
      <c r="E111" s="52" t="n"/>
      <c r="F111" s="52" t="n"/>
      <c r="G111" s="52" t="n"/>
      <c r="H111" s="52" t="n"/>
      <c r="I111" s="52" t="n"/>
      <c r="J111" s="52" t="n"/>
      <c r="K111" s="54" t="n"/>
      <c r="L111" s="5" t="n"/>
      <c r="M111" s="53">
        <f>IF(A111="","",IFERROR(INDEX(Firms!$B$5:$B$1004,MATCH(A111,Firms!$A$5:$A$1004,0)),"Not on Firms tab"))</f>
        <v/>
      </c>
      <c r="N111">
        <f>IF(AND(A111&lt;&gt;"",A111='Firm Search'!$C$7),COUNTIF($A$5:A111,'Firm Search'!$C$7),"")</f>
        <v/>
      </c>
    </row>
    <row r="112">
      <c r="A112" s="5" t="n"/>
      <c r="B112" s="5" t="n"/>
      <c r="C112" s="52" t="n"/>
      <c r="D112" s="52" t="n"/>
      <c r="E112" s="52" t="n"/>
      <c r="F112" s="52" t="n"/>
      <c r="G112" s="52" t="n"/>
      <c r="H112" s="52" t="n"/>
      <c r="I112" s="52" t="n"/>
      <c r="J112" s="52" t="n"/>
      <c r="K112" s="54" t="n"/>
      <c r="L112" s="5" t="n"/>
      <c r="M112" s="53">
        <f>IF(A112="","",IFERROR(INDEX(Firms!$B$5:$B$1004,MATCH(A112,Firms!$A$5:$A$1004,0)),"Not on Firms tab"))</f>
        <v/>
      </c>
      <c r="N112">
        <f>IF(AND(A112&lt;&gt;"",A112='Firm Search'!$C$7),COUNTIF($A$5:A112,'Firm Search'!$C$7),"")</f>
        <v/>
      </c>
    </row>
    <row r="113">
      <c r="A113" s="5" t="n"/>
      <c r="B113" s="5" t="n"/>
      <c r="C113" s="52" t="n"/>
      <c r="D113" s="52" t="n"/>
      <c r="E113" s="52" t="n"/>
      <c r="F113" s="52" t="n"/>
      <c r="G113" s="52" t="n"/>
      <c r="H113" s="52" t="n"/>
      <c r="I113" s="52" t="n"/>
      <c r="J113" s="52" t="n"/>
      <c r="K113" s="54" t="n"/>
      <c r="L113" s="5" t="n"/>
      <c r="M113" s="53">
        <f>IF(A113="","",IFERROR(INDEX(Firms!$B$5:$B$1004,MATCH(A113,Firms!$A$5:$A$1004,0)),"Not on Firms tab"))</f>
        <v/>
      </c>
      <c r="N113">
        <f>IF(AND(A113&lt;&gt;"",A113='Firm Search'!$C$7),COUNTIF($A$5:A113,'Firm Search'!$C$7),"")</f>
        <v/>
      </c>
    </row>
    <row r="114">
      <c r="A114" s="5" t="n"/>
      <c r="B114" s="5" t="n"/>
      <c r="C114" s="52" t="n"/>
      <c r="D114" s="52" t="n"/>
      <c r="E114" s="52" t="n"/>
      <c r="F114" s="52" t="n"/>
      <c r="G114" s="52" t="n"/>
      <c r="H114" s="52" t="n"/>
      <c r="I114" s="52" t="n"/>
      <c r="J114" s="52" t="n"/>
      <c r="K114" s="54" t="n"/>
      <c r="L114" s="5" t="n"/>
      <c r="M114" s="53">
        <f>IF(A114="","",IFERROR(INDEX(Firms!$B$5:$B$1004,MATCH(A114,Firms!$A$5:$A$1004,0)),"Not on Firms tab"))</f>
        <v/>
      </c>
      <c r="N114">
        <f>IF(AND(A114&lt;&gt;"",A114='Firm Search'!$C$7),COUNTIF($A$5:A114,'Firm Search'!$C$7),"")</f>
        <v/>
      </c>
    </row>
    <row r="115">
      <c r="A115" s="5" t="n"/>
      <c r="B115" s="5" t="n"/>
      <c r="C115" s="52" t="n"/>
      <c r="D115" s="52" t="n"/>
      <c r="E115" s="52" t="n"/>
      <c r="F115" s="52" t="n"/>
      <c r="G115" s="52" t="n"/>
      <c r="H115" s="52" t="n"/>
      <c r="I115" s="52" t="n"/>
      <c r="J115" s="52" t="n"/>
      <c r="K115" s="54" t="n"/>
      <c r="L115" s="5" t="n"/>
      <c r="M115" s="53">
        <f>IF(A115="","",IFERROR(INDEX(Firms!$B$5:$B$1004,MATCH(A115,Firms!$A$5:$A$1004,0)),"Not on Firms tab"))</f>
        <v/>
      </c>
      <c r="N115">
        <f>IF(AND(A115&lt;&gt;"",A115='Firm Search'!$C$7),COUNTIF($A$5:A115,'Firm Search'!$C$7),"")</f>
        <v/>
      </c>
    </row>
    <row r="116">
      <c r="A116" s="5" t="n"/>
      <c r="B116" s="5" t="n"/>
      <c r="C116" s="52" t="n"/>
      <c r="D116" s="52" t="n"/>
      <c r="E116" s="52" t="n"/>
      <c r="F116" s="52" t="n"/>
      <c r="G116" s="52" t="n"/>
      <c r="H116" s="52" t="n"/>
      <c r="I116" s="52" t="n"/>
      <c r="J116" s="52" t="n"/>
      <c r="K116" s="54" t="n"/>
      <c r="L116" s="5" t="n"/>
      <c r="M116" s="53">
        <f>IF(A116="","",IFERROR(INDEX(Firms!$B$5:$B$1004,MATCH(A116,Firms!$A$5:$A$1004,0)),"Not on Firms tab"))</f>
        <v/>
      </c>
      <c r="N116">
        <f>IF(AND(A116&lt;&gt;"",A116='Firm Search'!$C$7),COUNTIF($A$5:A116,'Firm Search'!$C$7),"")</f>
        <v/>
      </c>
    </row>
    <row r="117">
      <c r="A117" s="5" t="n"/>
      <c r="B117" s="5" t="n"/>
      <c r="C117" s="52" t="n"/>
      <c r="D117" s="52" t="n"/>
      <c r="E117" s="52" t="n"/>
      <c r="F117" s="52" t="n"/>
      <c r="G117" s="52" t="n"/>
      <c r="H117" s="52" t="n"/>
      <c r="I117" s="52" t="n"/>
      <c r="J117" s="52" t="n"/>
      <c r="K117" s="54" t="n"/>
      <c r="L117" s="5" t="n"/>
      <c r="M117" s="53">
        <f>IF(A117="","",IFERROR(INDEX(Firms!$B$5:$B$1004,MATCH(A117,Firms!$A$5:$A$1004,0)),"Not on Firms tab"))</f>
        <v/>
      </c>
      <c r="N117">
        <f>IF(AND(A117&lt;&gt;"",A117='Firm Search'!$C$7),COUNTIF($A$5:A117,'Firm Search'!$C$7),"")</f>
        <v/>
      </c>
    </row>
    <row r="118">
      <c r="A118" s="5" t="n"/>
      <c r="B118" s="5" t="n"/>
      <c r="C118" s="52" t="n"/>
      <c r="D118" s="52" t="n"/>
      <c r="E118" s="52" t="n"/>
      <c r="F118" s="52" t="n"/>
      <c r="G118" s="52" t="n"/>
      <c r="H118" s="52" t="n"/>
      <c r="I118" s="52" t="n"/>
      <c r="J118" s="52" t="n"/>
      <c r="K118" s="54" t="n"/>
      <c r="L118" s="5" t="n"/>
      <c r="M118" s="53">
        <f>IF(A118="","",IFERROR(INDEX(Firms!$B$5:$B$1004,MATCH(A118,Firms!$A$5:$A$1004,0)),"Not on Firms tab"))</f>
        <v/>
      </c>
      <c r="N118">
        <f>IF(AND(A118&lt;&gt;"",A118='Firm Search'!$C$7),COUNTIF($A$5:A118,'Firm Search'!$C$7),"")</f>
        <v/>
      </c>
    </row>
    <row r="119">
      <c r="A119" s="5" t="n"/>
      <c r="B119" s="5" t="n"/>
      <c r="C119" s="52" t="n"/>
      <c r="D119" s="52" t="n"/>
      <c r="E119" s="52" t="n"/>
      <c r="F119" s="52" t="n"/>
      <c r="G119" s="52" t="n"/>
      <c r="H119" s="52" t="n"/>
      <c r="I119" s="52" t="n"/>
      <c r="J119" s="52" t="n"/>
      <c r="K119" s="54" t="n"/>
      <c r="L119" s="5" t="n"/>
      <c r="M119" s="53">
        <f>IF(A119="","",IFERROR(INDEX(Firms!$B$5:$B$1004,MATCH(A119,Firms!$A$5:$A$1004,0)),"Not on Firms tab"))</f>
        <v/>
      </c>
      <c r="N119">
        <f>IF(AND(A119&lt;&gt;"",A119='Firm Search'!$C$7),COUNTIF($A$5:A119,'Firm Search'!$C$7),"")</f>
        <v/>
      </c>
    </row>
    <row r="120">
      <c r="A120" s="5" t="n"/>
      <c r="B120" s="5" t="n"/>
      <c r="C120" s="52" t="n"/>
      <c r="D120" s="52" t="n"/>
      <c r="E120" s="52" t="n"/>
      <c r="F120" s="52" t="n"/>
      <c r="G120" s="52" t="n"/>
      <c r="H120" s="52" t="n"/>
      <c r="I120" s="52" t="n"/>
      <c r="J120" s="52" t="n"/>
      <c r="K120" s="54" t="n"/>
      <c r="L120" s="5" t="n"/>
      <c r="M120" s="53">
        <f>IF(A120="","",IFERROR(INDEX(Firms!$B$5:$B$1004,MATCH(A120,Firms!$A$5:$A$1004,0)),"Not on Firms tab"))</f>
        <v/>
      </c>
      <c r="N120">
        <f>IF(AND(A120&lt;&gt;"",A120='Firm Search'!$C$7),COUNTIF($A$5:A120,'Firm Search'!$C$7),"")</f>
        <v/>
      </c>
    </row>
    <row r="121">
      <c r="A121" s="5" t="n"/>
      <c r="B121" s="5" t="n"/>
      <c r="C121" s="52" t="n"/>
      <c r="D121" s="52" t="n"/>
      <c r="E121" s="52" t="n"/>
      <c r="F121" s="52" t="n"/>
      <c r="G121" s="52" t="n"/>
      <c r="H121" s="52" t="n"/>
      <c r="I121" s="52" t="n"/>
      <c r="J121" s="52" t="n"/>
      <c r="K121" s="54" t="n"/>
      <c r="L121" s="5" t="n"/>
      <c r="M121" s="53">
        <f>IF(A121="","",IFERROR(INDEX(Firms!$B$5:$B$1004,MATCH(A121,Firms!$A$5:$A$1004,0)),"Not on Firms tab"))</f>
        <v/>
      </c>
      <c r="N121">
        <f>IF(AND(A121&lt;&gt;"",A121='Firm Search'!$C$7),COUNTIF($A$5:A121,'Firm Search'!$C$7),"")</f>
        <v/>
      </c>
    </row>
    <row r="122">
      <c r="A122" s="5" t="n"/>
      <c r="B122" s="5" t="n"/>
      <c r="C122" s="52" t="n"/>
      <c r="D122" s="52" t="n"/>
      <c r="E122" s="52" t="n"/>
      <c r="F122" s="52" t="n"/>
      <c r="G122" s="52" t="n"/>
      <c r="H122" s="52" t="n"/>
      <c r="I122" s="52" t="n"/>
      <c r="J122" s="52" t="n"/>
      <c r="K122" s="54" t="n"/>
      <c r="L122" s="5" t="n"/>
      <c r="M122" s="53">
        <f>IF(A122="","",IFERROR(INDEX(Firms!$B$5:$B$1004,MATCH(A122,Firms!$A$5:$A$1004,0)),"Not on Firms tab"))</f>
        <v/>
      </c>
      <c r="N122">
        <f>IF(AND(A122&lt;&gt;"",A122='Firm Search'!$C$7),COUNTIF($A$5:A122,'Firm Search'!$C$7),"")</f>
        <v/>
      </c>
    </row>
    <row r="123">
      <c r="A123" s="5" t="n"/>
      <c r="B123" s="5" t="n"/>
      <c r="C123" s="52" t="n"/>
      <c r="D123" s="52" t="n"/>
      <c r="E123" s="52" t="n"/>
      <c r="F123" s="52" t="n"/>
      <c r="G123" s="52" t="n"/>
      <c r="H123" s="52" t="n"/>
      <c r="I123" s="52" t="n"/>
      <c r="J123" s="52" t="n"/>
      <c r="K123" s="54" t="n"/>
      <c r="L123" s="5" t="n"/>
      <c r="M123" s="53">
        <f>IF(A123="","",IFERROR(INDEX(Firms!$B$5:$B$1004,MATCH(A123,Firms!$A$5:$A$1004,0)),"Not on Firms tab"))</f>
        <v/>
      </c>
      <c r="N123">
        <f>IF(AND(A123&lt;&gt;"",A123='Firm Search'!$C$7),COUNTIF($A$5:A123,'Firm Search'!$C$7),"")</f>
        <v/>
      </c>
    </row>
    <row r="124">
      <c r="A124" s="5" t="n"/>
      <c r="B124" s="5" t="n"/>
      <c r="C124" s="52" t="n"/>
      <c r="D124" s="52" t="n"/>
      <c r="E124" s="52" t="n"/>
      <c r="F124" s="52" t="n"/>
      <c r="G124" s="52" t="n"/>
      <c r="H124" s="52" t="n"/>
      <c r="I124" s="52" t="n"/>
      <c r="J124" s="52" t="n"/>
      <c r="K124" s="54" t="n"/>
      <c r="L124" s="5" t="n"/>
      <c r="M124" s="53">
        <f>IF(A124="","",IFERROR(INDEX(Firms!$B$5:$B$1004,MATCH(A124,Firms!$A$5:$A$1004,0)),"Not on Firms tab"))</f>
        <v/>
      </c>
      <c r="N124">
        <f>IF(AND(A124&lt;&gt;"",A124='Firm Search'!$C$7),COUNTIF($A$5:A124,'Firm Search'!$C$7),"")</f>
        <v/>
      </c>
    </row>
    <row r="125">
      <c r="A125" s="5" t="n"/>
      <c r="B125" s="5" t="n"/>
      <c r="C125" s="52" t="n"/>
      <c r="D125" s="52" t="n"/>
      <c r="E125" s="52" t="n"/>
      <c r="F125" s="52" t="n"/>
      <c r="G125" s="52" t="n"/>
      <c r="H125" s="52" t="n"/>
      <c r="I125" s="52" t="n"/>
      <c r="J125" s="52" t="n"/>
      <c r="K125" s="54" t="n"/>
      <c r="L125" s="5" t="n"/>
      <c r="M125" s="53">
        <f>IF(A125="","",IFERROR(INDEX(Firms!$B$5:$B$1004,MATCH(A125,Firms!$A$5:$A$1004,0)),"Not on Firms tab"))</f>
        <v/>
      </c>
      <c r="N125">
        <f>IF(AND(A125&lt;&gt;"",A125='Firm Search'!$C$7),COUNTIF($A$5:A125,'Firm Search'!$C$7),"")</f>
        <v/>
      </c>
    </row>
    <row r="126">
      <c r="A126" s="5" t="n"/>
      <c r="B126" s="5" t="n"/>
      <c r="C126" s="52" t="n"/>
      <c r="D126" s="52" t="n"/>
      <c r="E126" s="52" t="n"/>
      <c r="F126" s="52" t="n"/>
      <c r="G126" s="52" t="n"/>
      <c r="H126" s="52" t="n"/>
      <c r="I126" s="52" t="n"/>
      <c r="J126" s="52" t="n"/>
      <c r="K126" s="54" t="n"/>
      <c r="L126" s="5" t="n"/>
      <c r="M126" s="53">
        <f>IF(A126="","",IFERROR(INDEX(Firms!$B$5:$B$1004,MATCH(A126,Firms!$A$5:$A$1004,0)),"Not on Firms tab"))</f>
        <v/>
      </c>
      <c r="N126">
        <f>IF(AND(A126&lt;&gt;"",A126='Firm Search'!$C$7),COUNTIF($A$5:A126,'Firm Search'!$C$7),"")</f>
        <v/>
      </c>
    </row>
    <row r="127">
      <c r="A127" s="5" t="n"/>
      <c r="B127" s="5" t="n"/>
      <c r="C127" s="52" t="n"/>
      <c r="D127" s="52" t="n"/>
      <c r="E127" s="52" t="n"/>
      <c r="F127" s="52" t="n"/>
      <c r="G127" s="52" t="n"/>
      <c r="H127" s="52" t="n"/>
      <c r="I127" s="52" t="n"/>
      <c r="J127" s="52" t="n"/>
      <c r="K127" s="54" t="n"/>
      <c r="L127" s="5" t="n"/>
      <c r="M127" s="53">
        <f>IF(A127="","",IFERROR(INDEX(Firms!$B$5:$B$1004,MATCH(A127,Firms!$A$5:$A$1004,0)),"Not on Firms tab"))</f>
        <v/>
      </c>
      <c r="N127">
        <f>IF(AND(A127&lt;&gt;"",A127='Firm Search'!$C$7),COUNTIF($A$5:A127,'Firm Search'!$C$7),"")</f>
        <v/>
      </c>
    </row>
    <row r="128">
      <c r="A128" s="5" t="n"/>
      <c r="B128" s="5" t="n"/>
      <c r="C128" s="52" t="n"/>
      <c r="D128" s="52" t="n"/>
      <c r="E128" s="52" t="n"/>
      <c r="F128" s="52" t="n"/>
      <c r="G128" s="52" t="n"/>
      <c r="H128" s="52" t="n"/>
      <c r="I128" s="52" t="n"/>
      <c r="J128" s="52" t="n"/>
      <c r="K128" s="54" t="n"/>
      <c r="L128" s="5" t="n"/>
      <c r="M128" s="53">
        <f>IF(A128="","",IFERROR(INDEX(Firms!$B$5:$B$1004,MATCH(A128,Firms!$A$5:$A$1004,0)),"Not on Firms tab"))</f>
        <v/>
      </c>
      <c r="N128">
        <f>IF(AND(A128&lt;&gt;"",A128='Firm Search'!$C$7),COUNTIF($A$5:A128,'Firm Search'!$C$7),"")</f>
        <v/>
      </c>
    </row>
    <row r="129">
      <c r="A129" s="5" t="n"/>
      <c r="B129" s="5" t="n"/>
      <c r="C129" s="52" t="n"/>
      <c r="D129" s="52" t="n"/>
      <c r="E129" s="52" t="n"/>
      <c r="F129" s="52" t="n"/>
      <c r="G129" s="52" t="n"/>
      <c r="H129" s="52" t="n"/>
      <c r="I129" s="52" t="n"/>
      <c r="J129" s="52" t="n"/>
      <c r="K129" s="54" t="n"/>
      <c r="L129" s="5" t="n"/>
      <c r="M129" s="53">
        <f>IF(A129="","",IFERROR(INDEX(Firms!$B$5:$B$1004,MATCH(A129,Firms!$A$5:$A$1004,0)),"Not on Firms tab"))</f>
        <v/>
      </c>
      <c r="N129">
        <f>IF(AND(A129&lt;&gt;"",A129='Firm Search'!$C$7),COUNTIF($A$5:A129,'Firm Search'!$C$7),"")</f>
        <v/>
      </c>
    </row>
    <row r="130">
      <c r="A130" s="5" t="n"/>
      <c r="B130" s="5" t="n"/>
      <c r="C130" s="52" t="n"/>
      <c r="D130" s="52" t="n"/>
      <c r="E130" s="52" t="n"/>
      <c r="F130" s="52" t="n"/>
      <c r="G130" s="52" t="n"/>
      <c r="H130" s="52" t="n"/>
      <c r="I130" s="52" t="n"/>
      <c r="J130" s="52" t="n"/>
      <c r="K130" s="54" t="n"/>
      <c r="L130" s="5" t="n"/>
      <c r="M130" s="53">
        <f>IF(A130="","",IFERROR(INDEX(Firms!$B$5:$B$1004,MATCH(A130,Firms!$A$5:$A$1004,0)),"Not on Firms tab"))</f>
        <v/>
      </c>
      <c r="N130">
        <f>IF(AND(A130&lt;&gt;"",A130='Firm Search'!$C$7),COUNTIF($A$5:A130,'Firm Search'!$C$7),"")</f>
        <v/>
      </c>
    </row>
    <row r="131">
      <c r="A131" s="5" t="n"/>
      <c r="B131" s="5" t="n"/>
      <c r="C131" s="52" t="n"/>
      <c r="D131" s="52" t="n"/>
      <c r="E131" s="52" t="n"/>
      <c r="F131" s="52" t="n"/>
      <c r="G131" s="52" t="n"/>
      <c r="H131" s="52" t="n"/>
      <c r="I131" s="52" t="n"/>
      <c r="J131" s="52" t="n"/>
      <c r="K131" s="54" t="n"/>
      <c r="L131" s="5" t="n"/>
      <c r="M131" s="53">
        <f>IF(A131="","",IFERROR(INDEX(Firms!$B$5:$B$1004,MATCH(A131,Firms!$A$5:$A$1004,0)),"Not on Firms tab"))</f>
        <v/>
      </c>
      <c r="N131">
        <f>IF(AND(A131&lt;&gt;"",A131='Firm Search'!$C$7),COUNTIF($A$5:A131,'Firm Search'!$C$7),"")</f>
        <v/>
      </c>
    </row>
    <row r="132">
      <c r="A132" s="5" t="n"/>
      <c r="B132" s="5" t="n"/>
      <c r="C132" s="52" t="n"/>
      <c r="D132" s="52" t="n"/>
      <c r="E132" s="52" t="n"/>
      <c r="F132" s="52" t="n"/>
      <c r="G132" s="52" t="n"/>
      <c r="H132" s="52" t="n"/>
      <c r="I132" s="52" t="n"/>
      <c r="J132" s="52" t="n"/>
      <c r="K132" s="54" t="n"/>
      <c r="L132" s="5" t="n"/>
      <c r="M132" s="53">
        <f>IF(A132="","",IFERROR(INDEX(Firms!$B$5:$B$1004,MATCH(A132,Firms!$A$5:$A$1004,0)),"Not on Firms tab"))</f>
        <v/>
      </c>
      <c r="N132">
        <f>IF(AND(A132&lt;&gt;"",A132='Firm Search'!$C$7),COUNTIF($A$5:A132,'Firm Search'!$C$7),"")</f>
        <v/>
      </c>
    </row>
    <row r="133">
      <c r="A133" s="5" t="n"/>
      <c r="B133" s="5" t="n"/>
      <c r="C133" s="52" t="n"/>
      <c r="D133" s="52" t="n"/>
      <c r="E133" s="52" t="n"/>
      <c r="F133" s="52" t="n"/>
      <c r="G133" s="52" t="n"/>
      <c r="H133" s="52" t="n"/>
      <c r="I133" s="52" t="n"/>
      <c r="J133" s="52" t="n"/>
      <c r="K133" s="54" t="n"/>
      <c r="L133" s="5" t="n"/>
      <c r="M133" s="53">
        <f>IF(A133="","",IFERROR(INDEX(Firms!$B$5:$B$1004,MATCH(A133,Firms!$A$5:$A$1004,0)),"Not on Firms tab"))</f>
        <v/>
      </c>
      <c r="N133">
        <f>IF(AND(A133&lt;&gt;"",A133='Firm Search'!$C$7),COUNTIF($A$5:A133,'Firm Search'!$C$7),"")</f>
        <v/>
      </c>
    </row>
    <row r="134">
      <c r="A134" s="5" t="n"/>
      <c r="B134" s="5" t="n"/>
      <c r="C134" s="52" t="n"/>
      <c r="D134" s="52" t="n"/>
      <c r="E134" s="52" t="n"/>
      <c r="F134" s="52" t="n"/>
      <c r="G134" s="52" t="n"/>
      <c r="H134" s="52" t="n"/>
      <c r="I134" s="52" t="n"/>
      <c r="J134" s="52" t="n"/>
      <c r="K134" s="54" t="n"/>
      <c r="L134" s="5" t="n"/>
      <c r="M134" s="53">
        <f>IF(A134="","",IFERROR(INDEX(Firms!$B$5:$B$1004,MATCH(A134,Firms!$A$5:$A$1004,0)),"Not on Firms tab"))</f>
        <v/>
      </c>
      <c r="N134">
        <f>IF(AND(A134&lt;&gt;"",A134='Firm Search'!$C$7),COUNTIF($A$5:A134,'Firm Search'!$C$7),"")</f>
        <v/>
      </c>
    </row>
    <row r="135">
      <c r="A135" s="5" t="n"/>
      <c r="B135" s="5" t="n"/>
      <c r="C135" s="52" t="n"/>
      <c r="D135" s="52" t="n"/>
      <c r="E135" s="52" t="n"/>
      <c r="F135" s="52" t="n"/>
      <c r="G135" s="52" t="n"/>
      <c r="H135" s="52" t="n"/>
      <c r="I135" s="52" t="n"/>
      <c r="J135" s="52" t="n"/>
      <c r="K135" s="54" t="n"/>
      <c r="L135" s="5" t="n"/>
      <c r="M135" s="53">
        <f>IF(A135="","",IFERROR(INDEX(Firms!$B$5:$B$1004,MATCH(A135,Firms!$A$5:$A$1004,0)),"Not on Firms tab"))</f>
        <v/>
      </c>
      <c r="N135">
        <f>IF(AND(A135&lt;&gt;"",A135='Firm Search'!$C$7),COUNTIF($A$5:A135,'Firm Search'!$C$7),"")</f>
        <v/>
      </c>
    </row>
    <row r="136">
      <c r="A136" s="5" t="n"/>
      <c r="B136" s="5" t="n"/>
      <c r="C136" s="52" t="n"/>
      <c r="D136" s="52" t="n"/>
      <c r="E136" s="52" t="n"/>
      <c r="F136" s="52" t="n"/>
      <c r="G136" s="52" t="n"/>
      <c r="H136" s="52" t="n"/>
      <c r="I136" s="52" t="n"/>
      <c r="J136" s="52" t="n"/>
      <c r="K136" s="54" t="n"/>
      <c r="L136" s="5" t="n"/>
      <c r="M136" s="53">
        <f>IF(A136="","",IFERROR(INDEX(Firms!$B$5:$B$1004,MATCH(A136,Firms!$A$5:$A$1004,0)),"Not on Firms tab"))</f>
        <v/>
      </c>
      <c r="N136">
        <f>IF(AND(A136&lt;&gt;"",A136='Firm Search'!$C$7),COUNTIF($A$5:A136,'Firm Search'!$C$7),"")</f>
        <v/>
      </c>
    </row>
    <row r="137">
      <c r="A137" s="5" t="n"/>
      <c r="B137" s="5" t="n"/>
      <c r="C137" s="52" t="n"/>
      <c r="D137" s="52" t="n"/>
      <c r="E137" s="52" t="n"/>
      <c r="F137" s="52" t="n"/>
      <c r="G137" s="52" t="n"/>
      <c r="H137" s="52" t="n"/>
      <c r="I137" s="52" t="n"/>
      <c r="J137" s="52" t="n"/>
      <c r="K137" s="54" t="n"/>
      <c r="L137" s="5" t="n"/>
      <c r="M137" s="53">
        <f>IF(A137="","",IFERROR(INDEX(Firms!$B$5:$B$1004,MATCH(A137,Firms!$A$5:$A$1004,0)),"Not on Firms tab"))</f>
        <v/>
      </c>
      <c r="N137">
        <f>IF(AND(A137&lt;&gt;"",A137='Firm Search'!$C$7),COUNTIF($A$5:A137,'Firm Search'!$C$7),"")</f>
        <v/>
      </c>
    </row>
    <row r="138">
      <c r="A138" s="5" t="n"/>
      <c r="B138" s="5" t="n"/>
      <c r="C138" s="52" t="n"/>
      <c r="D138" s="52" t="n"/>
      <c r="E138" s="52" t="n"/>
      <c r="F138" s="52" t="n"/>
      <c r="G138" s="52" t="n"/>
      <c r="H138" s="52" t="n"/>
      <c r="I138" s="52" t="n"/>
      <c r="J138" s="52" t="n"/>
      <c r="K138" s="54" t="n"/>
      <c r="L138" s="5" t="n"/>
      <c r="M138" s="53">
        <f>IF(A138="","",IFERROR(INDEX(Firms!$B$5:$B$1004,MATCH(A138,Firms!$A$5:$A$1004,0)),"Not on Firms tab"))</f>
        <v/>
      </c>
      <c r="N138">
        <f>IF(AND(A138&lt;&gt;"",A138='Firm Search'!$C$7),COUNTIF($A$5:A138,'Firm Search'!$C$7),"")</f>
        <v/>
      </c>
    </row>
    <row r="139">
      <c r="A139" s="5" t="n"/>
      <c r="B139" s="5" t="n"/>
      <c r="C139" s="52" t="n"/>
      <c r="D139" s="52" t="n"/>
      <c r="E139" s="52" t="n"/>
      <c r="F139" s="52" t="n"/>
      <c r="G139" s="52" t="n"/>
      <c r="H139" s="52" t="n"/>
      <c r="I139" s="52" t="n"/>
      <c r="J139" s="52" t="n"/>
      <c r="K139" s="54" t="n"/>
      <c r="L139" s="5" t="n"/>
      <c r="M139" s="53">
        <f>IF(A139="","",IFERROR(INDEX(Firms!$B$5:$B$1004,MATCH(A139,Firms!$A$5:$A$1004,0)),"Not on Firms tab"))</f>
        <v/>
      </c>
      <c r="N139">
        <f>IF(AND(A139&lt;&gt;"",A139='Firm Search'!$C$7),COUNTIF($A$5:A139,'Firm Search'!$C$7),"")</f>
        <v/>
      </c>
    </row>
    <row r="140">
      <c r="A140" s="5" t="n"/>
      <c r="B140" s="5" t="n"/>
      <c r="C140" s="52" t="n"/>
      <c r="D140" s="52" t="n"/>
      <c r="E140" s="52" t="n"/>
      <c r="F140" s="52" t="n"/>
      <c r="G140" s="52" t="n"/>
      <c r="H140" s="52" t="n"/>
      <c r="I140" s="52" t="n"/>
      <c r="J140" s="52" t="n"/>
      <c r="K140" s="54" t="n"/>
      <c r="L140" s="5" t="n"/>
      <c r="M140" s="53">
        <f>IF(A140="","",IFERROR(INDEX(Firms!$B$5:$B$1004,MATCH(A140,Firms!$A$5:$A$1004,0)),"Not on Firms tab"))</f>
        <v/>
      </c>
      <c r="N140">
        <f>IF(AND(A140&lt;&gt;"",A140='Firm Search'!$C$7),COUNTIF($A$5:A140,'Firm Search'!$C$7),"")</f>
        <v/>
      </c>
    </row>
    <row r="141">
      <c r="A141" s="5" t="n"/>
      <c r="B141" s="5" t="n"/>
      <c r="C141" s="52" t="n"/>
      <c r="D141" s="52" t="n"/>
      <c r="E141" s="52" t="n"/>
      <c r="F141" s="52" t="n"/>
      <c r="G141" s="52" t="n"/>
      <c r="H141" s="52" t="n"/>
      <c r="I141" s="52" t="n"/>
      <c r="J141" s="52" t="n"/>
      <c r="K141" s="54" t="n"/>
      <c r="L141" s="5" t="n"/>
      <c r="M141" s="53">
        <f>IF(A141="","",IFERROR(INDEX(Firms!$B$5:$B$1004,MATCH(A141,Firms!$A$5:$A$1004,0)),"Not on Firms tab"))</f>
        <v/>
      </c>
      <c r="N141">
        <f>IF(AND(A141&lt;&gt;"",A141='Firm Search'!$C$7),COUNTIF($A$5:A141,'Firm Search'!$C$7),"")</f>
        <v/>
      </c>
    </row>
    <row r="142">
      <c r="A142" s="5" t="n"/>
      <c r="B142" s="5" t="n"/>
      <c r="C142" s="52" t="n"/>
      <c r="D142" s="52" t="n"/>
      <c r="E142" s="52" t="n"/>
      <c r="F142" s="52" t="n"/>
      <c r="G142" s="52" t="n"/>
      <c r="H142" s="52" t="n"/>
      <c r="I142" s="52" t="n"/>
      <c r="J142" s="52" t="n"/>
      <c r="K142" s="54" t="n"/>
      <c r="L142" s="5" t="n"/>
      <c r="M142" s="53">
        <f>IF(A142="","",IFERROR(INDEX(Firms!$B$5:$B$1004,MATCH(A142,Firms!$A$5:$A$1004,0)),"Not on Firms tab"))</f>
        <v/>
      </c>
      <c r="N142">
        <f>IF(AND(A142&lt;&gt;"",A142='Firm Search'!$C$7),COUNTIF($A$5:A142,'Firm Search'!$C$7),"")</f>
        <v/>
      </c>
    </row>
    <row r="143">
      <c r="A143" s="5" t="n"/>
      <c r="B143" s="5" t="n"/>
      <c r="C143" s="52" t="n"/>
      <c r="D143" s="52" t="n"/>
      <c r="E143" s="52" t="n"/>
      <c r="F143" s="52" t="n"/>
      <c r="G143" s="52" t="n"/>
      <c r="H143" s="52" t="n"/>
      <c r="I143" s="52" t="n"/>
      <c r="J143" s="52" t="n"/>
      <c r="K143" s="54" t="n"/>
      <c r="L143" s="5" t="n"/>
      <c r="M143" s="53">
        <f>IF(A143="","",IFERROR(INDEX(Firms!$B$5:$B$1004,MATCH(A143,Firms!$A$5:$A$1004,0)),"Not on Firms tab"))</f>
        <v/>
      </c>
      <c r="N143">
        <f>IF(AND(A143&lt;&gt;"",A143='Firm Search'!$C$7),COUNTIF($A$5:A143,'Firm Search'!$C$7),"")</f>
        <v/>
      </c>
    </row>
    <row r="144">
      <c r="A144" s="5" t="n"/>
      <c r="B144" s="5" t="n"/>
      <c r="C144" s="52" t="n"/>
      <c r="D144" s="52" t="n"/>
      <c r="E144" s="52" t="n"/>
      <c r="F144" s="52" t="n"/>
      <c r="G144" s="52" t="n"/>
      <c r="H144" s="52" t="n"/>
      <c r="I144" s="52" t="n"/>
      <c r="J144" s="52" t="n"/>
      <c r="K144" s="54" t="n"/>
      <c r="L144" s="5" t="n"/>
      <c r="M144" s="53">
        <f>IF(A144="","",IFERROR(INDEX(Firms!$B$5:$B$1004,MATCH(A144,Firms!$A$5:$A$1004,0)),"Not on Firms tab"))</f>
        <v/>
      </c>
      <c r="N144">
        <f>IF(AND(A144&lt;&gt;"",A144='Firm Search'!$C$7),COUNTIF($A$5:A144,'Firm Search'!$C$7),"")</f>
        <v/>
      </c>
    </row>
    <row r="145">
      <c r="A145" s="5" t="n"/>
      <c r="B145" s="5" t="n"/>
      <c r="C145" s="52" t="n"/>
      <c r="D145" s="52" t="n"/>
      <c r="E145" s="52" t="n"/>
      <c r="F145" s="52" t="n"/>
      <c r="G145" s="52" t="n"/>
      <c r="H145" s="52" t="n"/>
      <c r="I145" s="52" t="n"/>
      <c r="J145" s="52" t="n"/>
      <c r="K145" s="54" t="n"/>
      <c r="L145" s="5" t="n"/>
      <c r="M145" s="53">
        <f>IF(A145="","",IFERROR(INDEX(Firms!$B$5:$B$1004,MATCH(A145,Firms!$A$5:$A$1004,0)),"Not on Firms tab"))</f>
        <v/>
      </c>
      <c r="N145">
        <f>IF(AND(A145&lt;&gt;"",A145='Firm Search'!$C$7),COUNTIF($A$5:A145,'Firm Search'!$C$7),"")</f>
        <v/>
      </c>
    </row>
    <row r="146">
      <c r="A146" s="5" t="n"/>
      <c r="B146" s="5" t="n"/>
      <c r="C146" s="52" t="n"/>
      <c r="D146" s="52" t="n"/>
      <c r="E146" s="52" t="n"/>
      <c r="F146" s="52" t="n"/>
      <c r="G146" s="52" t="n"/>
      <c r="H146" s="52" t="n"/>
      <c r="I146" s="52" t="n"/>
      <c r="J146" s="52" t="n"/>
      <c r="K146" s="54" t="n"/>
      <c r="L146" s="5" t="n"/>
      <c r="M146" s="53">
        <f>IF(A146="","",IFERROR(INDEX(Firms!$B$5:$B$1004,MATCH(A146,Firms!$A$5:$A$1004,0)),"Not on Firms tab"))</f>
        <v/>
      </c>
      <c r="N146">
        <f>IF(AND(A146&lt;&gt;"",A146='Firm Search'!$C$7),COUNTIF($A$5:A146,'Firm Search'!$C$7),"")</f>
        <v/>
      </c>
    </row>
    <row r="147">
      <c r="A147" s="5" t="n"/>
      <c r="B147" s="5" t="n"/>
      <c r="C147" s="52" t="n"/>
      <c r="D147" s="52" t="n"/>
      <c r="E147" s="52" t="n"/>
      <c r="F147" s="52" t="n"/>
      <c r="G147" s="52" t="n"/>
      <c r="H147" s="52" t="n"/>
      <c r="I147" s="52" t="n"/>
      <c r="J147" s="52" t="n"/>
      <c r="K147" s="54" t="n"/>
      <c r="L147" s="5" t="n"/>
      <c r="M147" s="53">
        <f>IF(A147="","",IFERROR(INDEX(Firms!$B$5:$B$1004,MATCH(A147,Firms!$A$5:$A$1004,0)),"Not on Firms tab"))</f>
        <v/>
      </c>
      <c r="N147">
        <f>IF(AND(A147&lt;&gt;"",A147='Firm Search'!$C$7),COUNTIF($A$5:A147,'Firm Search'!$C$7),"")</f>
        <v/>
      </c>
    </row>
    <row r="148">
      <c r="A148" s="5" t="n"/>
      <c r="B148" s="5" t="n"/>
      <c r="C148" s="52" t="n"/>
      <c r="D148" s="52" t="n"/>
      <c r="E148" s="52" t="n"/>
      <c r="F148" s="52" t="n"/>
      <c r="G148" s="52" t="n"/>
      <c r="H148" s="52" t="n"/>
      <c r="I148" s="52" t="n"/>
      <c r="J148" s="52" t="n"/>
      <c r="K148" s="54" t="n"/>
      <c r="L148" s="5" t="n"/>
      <c r="M148" s="53">
        <f>IF(A148="","",IFERROR(INDEX(Firms!$B$5:$B$1004,MATCH(A148,Firms!$A$5:$A$1004,0)),"Not on Firms tab"))</f>
        <v/>
      </c>
      <c r="N148">
        <f>IF(AND(A148&lt;&gt;"",A148='Firm Search'!$C$7),COUNTIF($A$5:A148,'Firm Search'!$C$7),"")</f>
        <v/>
      </c>
    </row>
    <row r="149">
      <c r="A149" s="5" t="n"/>
      <c r="B149" s="5" t="n"/>
      <c r="C149" s="52" t="n"/>
      <c r="D149" s="52" t="n"/>
      <c r="E149" s="52" t="n"/>
      <c r="F149" s="52" t="n"/>
      <c r="G149" s="52" t="n"/>
      <c r="H149" s="52" t="n"/>
      <c r="I149" s="52" t="n"/>
      <c r="J149" s="52" t="n"/>
      <c r="K149" s="54" t="n"/>
      <c r="L149" s="5" t="n"/>
      <c r="M149" s="53">
        <f>IF(A149="","",IFERROR(INDEX(Firms!$B$5:$B$1004,MATCH(A149,Firms!$A$5:$A$1004,0)),"Not on Firms tab"))</f>
        <v/>
      </c>
      <c r="N149">
        <f>IF(AND(A149&lt;&gt;"",A149='Firm Search'!$C$7),COUNTIF($A$5:A149,'Firm Search'!$C$7),"")</f>
        <v/>
      </c>
    </row>
    <row r="150">
      <c r="A150" s="5" t="n"/>
      <c r="B150" s="5" t="n"/>
      <c r="C150" s="52" t="n"/>
      <c r="D150" s="52" t="n"/>
      <c r="E150" s="52" t="n"/>
      <c r="F150" s="52" t="n"/>
      <c r="G150" s="52" t="n"/>
      <c r="H150" s="52" t="n"/>
      <c r="I150" s="52" t="n"/>
      <c r="J150" s="52" t="n"/>
      <c r="K150" s="54" t="n"/>
      <c r="L150" s="5" t="n"/>
      <c r="M150" s="53">
        <f>IF(A150="","",IFERROR(INDEX(Firms!$B$5:$B$1004,MATCH(A150,Firms!$A$5:$A$1004,0)),"Not on Firms tab"))</f>
        <v/>
      </c>
      <c r="N150">
        <f>IF(AND(A150&lt;&gt;"",A150='Firm Search'!$C$7),COUNTIF($A$5:A150,'Firm Search'!$C$7),"")</f>
        <v/>
      </c>
    </row>
    <row r="151">
      <c r="A151" s="5" t="n"/>
      <c r="B151" s="5" t="n"/>
      <c r="C151" s="52" t="n"/>
      <c r="D151" s="52" t="n"/>
      <c r="E151" s="52" t="n"/>
      <c r="F151" s="52" t="n"/>
      <c r="G151" s="52" t="n"/>
      <c r="H151" s="52" t="n"/>
      <c r="I151" s="52" t="n"/>
      <c r="J151" s="52" t="n"/>
      <c r="K151" s="54" t="n"/>
      <c r="L151" s="5" t="n"/>
      <c r="M151" s="53">
        <f>IF(A151="","",IFERROR(INDEX(Firms!$B$5:$B$1004,MATCH(A151,Firms!$A$5:$A$1004,0)),"Not on Firms tab"))</f>
        <v/>
      </c>
      <c r="N151">
        <f>IF(AND(A151&lt;&gt;"",A151='Firm Search'!$C$7),COUNTIF($A$5:A151,'Firm Search'!$C$7),"")</f>
        <v/>
      </c>
    </row>
    <row r="152">
      <c r="A152" s="5" t="n"/>
      <c r="B152" s="5" t="n"/>
      <c r="C152" s="52" t="n"/>
      <c r="D152" s="52" t="n"/>
      <c r="E152" s="52" t="n"/>
      <c r="F152" s="52" t="n"/>
      <c r="G152" s="52" t="n"/>
      <c r="H152" s="52" t="n"/>
      <c r="I152" s="52" t="n"/>
      <c r="J152" s="52" t="n"/>
      <c r="K152" s="54" t="n"/>
      <c r="L152" s="5" t="n"/>
      <c r="M152" s="53">
        <f>IF(A152="","",IFERROR(INDEX(Firms!$B$5:$B$1004,MATCH(A152,Firms!$A$5:$A$1004,0)),"Not on Firms tab"))</f>
        <v/>
      </c>
      <c r="N152">
        <f>IF(AND(A152&lt;&gt;"",A152='Firm Search'!$C$7),COUNTIF($A$5:A152,'Firm Search'!$C$7),"")</f>
        <v/>
      </c>
    </row>
    <row r="153">
      <c r="A153" s="5" t="n"/>
      <c r="B153" s="5" t="n"/>
      <c r="C153" s="52" t="n"/>
      <c r="D153" s="52" t="n"/>
      <c r="E153" s="52" t="n"/>
      <c r="F153" s="52" t="n"/>
      <c r="G153" s="52" t="n"/>
      <c r="H153" s="52" t="n"/>
      <c r="I153" s="52" t="n"/>
      <c r="J153" s="52" t="n"/>
      <c r="K153" s="54" t="n"/>
      <c r="L153" s="5" t="n"/>
      <c r="M153" s="53">
        <f>IF(A153="","",IFERROR(INDEX(Firms!$B$5:$B$1004,MATCH(A153,Firms!$A$5:$A$1004,0)),"Not on Firms tab"))</f>
        <v/>
      </c>
      <c r="N153">
        <f>IF(AND(A153&lt;&gt;"",A153='Firm Search'!$C$7),COUNTIF($A$5:A153,'Firm Search'!$C$7),"")</f>
        <v/>
      </c>
    </row>
    <row r="154">
      <c r="A154" s="5" t="n"/>
      <c r="B154" s="5" t="n"/>
      <c r="C154" s="52" t="n"/>
      <c r="D154" s="52" t="n"/>
      <c r="E154" s="52" t="n"/>
      <c r="F154" s="52" t="n"/>
      <c r="G154" s="52" t="n"/>
      <c r="H154" s="52" t="n"/>
      <c r="I154" s="52" t="n"/>
      <c r="J154" s="52" t="n"/>
      <c r="K154" s="54" t="n"/>
      <c r="L154" s="5" t="n"/>
      <c r="M154" s="53">
        <f>IF(A154="","",IFERROR(INDEX(Firms!$B$5:$B$1004,MATCH(A154,Firms!$A$5:$A$1004,0)),"Not on Firms tab"))</f>
        <v/>
      </c>
      <c r="N154">
        <f>IF(AND(A154&lt;&gt;"",A154='Firm Search'!$C$7),COUNTIF($A$5:A154,'Firm Search'!$C$7),"")</f>
        <v/>
      </c>
    </row>
    <row r="155">
      <c r="A155" s="5" t="n"/>
      <c r="B155" s="5" t="n"/>
      <c r="C155" s="52" t="n"/>
      <c r="D155" s="52" t="n"/>
      <c r="E155" s="52" t="n"/>
      <c r="F155" s="52" t="n"/>
      <c r="G155" s="52" t="n"/>
      <c r="H155" s="52" t="n"/>
      <c r="I155" s="52" t="n"/>
      <c r="J155" s="52" t="n"/>
      <c r="K155" s="54" t="n"/>
      <c r="L155" s="5" t="n"/>
      <c r="M155" s="53">
        <f>IF(A155="","",IFERROR(INDEX(Firms!$B$5:$B$1004,MATCH(A155,Firms!$A$5:$A$1004,0)),"Not on Firms tab"))</f>
        <v/>
      </c>
      <c r="N155">
        <f>IF(AND(A155&lt;&gt;"",A155='Firm Search'!$C$7),COUNTIF($A$5:A155,'Firm Search'!$C$7),"")</f>
        <v/>
      </c>
    </row>
    <row r="156">
      <c r="A156" s="5" t="n"/>
      <c r="B156" s="5" t="n"/>
      <c r="C156" s="52" t="n"/>
      <c r="D156" s="52" t="n"/>
      <c r="E156" s="52" t="n"/>
      <c r="F156" s="52" t="n"/>
      <c r="G156" s="52" t="n"/>
      <c r="H156" s="52" t="n"/>
      <c r="I156" s="52" t="n"/>
      <c r="J156" s="52" t="n"/>
      <c r="K156" s="54" t="n"/>
      <c r="L156" s="5" t="n"/>
      <c r="M156" s="53">
        <f>IF(A156="","",IFERROR(INDEX(Firms!$B$5:$B$1004,MATCH(A156,Firms!$A$5:$A$1004,0)),"Not on Firms tab"))</f>
        <v/>
      </c>
      <c r="N156">
        <f>IF(AND(A156&lt;&gt;"",A156='Firm Search'!$C$7),COUNTIF($A$5:A156,'Firm Search'!$C$7),"")</f>
        <v/>
      </c>
    </row>
    <row r="157">
      <c r="A157" s="5" t="n"/>
      <c r="B157" s="5" t="n"/>
      <c r="C157" s="52" t="n"/>
      <c r="D157" s="52" t="n"/>
      <c r="E157" s="52" t="n"/>
      <c r="F157" s="52" t="n"/>
      <c r="G157" s="52" t="n"/>
      <c r="H157" s="52" t="n"/>
      <c r="I157" s="52" t="n"/>
      <c r="J157" s="52" t="n"/>
      <c r="K157" s="54" t="n"/>
      <c r="L157" s="5" t="n"/>
      <c r="M157" s="53">
        <f>IF(A157="","",IFERROR(INDEX(Firms!$B$5:$B$1004,MATCH(A157,Firms!$A$5:$A$1004,0)),"Not on Firms tab"))</f>
        <v/>
      </c>
      <c r="N157">
        <f>IF(AND(A157&lt;&gt;"",A157='Firm Search'!$C$7),COUNTIF($A$5:A157,'Firm Search'!$C$7),"")</f>
        <v/>
      </c>
    </row>
    <row r="158">
      <c r="A158" s="5" t="n"/>
      <c r="B158" s="5" t="n"/>
      <c r="C158" s="52" t="n"/>
      <c r="D158" s="52" t="n"/>
      <c r="E158" s="52" t="n"/>
      <c r="F158" s="52" t="n"/>
      <c r="G158" s="52" t="n"/>
      <c r="H158" s="52" t="n"/>
      <c r="I158" s="52" t="n"/>
      <c r="J158" s="52" t="n"/>
      <c r="K158" s="54" t="n"/>
      <c r="L158" s="5" t="n"/>
      <c r="M158" s="53">
        <f>IF(A158="","",IFERROR(INDEX(Firms!$B$5:$B$1004,MATCH(A158,Firms!$A$5:$A$1004,0)),"Not on Firms tab"))</f>
        <v/>
      </c>
      <c r="N158">
        <f>IF(AND(A158&lt;&gt;"",A158='Firm Search'!$C$7),COUNTIF($A$5:A158,'Firm Search'!$C$7),"")</f>
        <v/>
      </c>
    </row>
    <row r="159">
      <c r="A159" s="5" t="n"/>
      <c r="B159" s="5" t="n"/>
      <c r="C159" s="52" t="n"/>
      <c r="D159" s="52" t="n"/>
      <c r="E159" s="52" t="n"/>
      <c r="F159" s="52" t="n"/>
      <c r="G159" s="52" t="n"/>
      <c r="H159" s="52" t="n"/>
      <c r="I159" s="52" t="n"/>
      <c r="J159" s="52" t="n"/>
      <c r="K159" s="54" t="n"/>
      <c r="L159" s="5" t="n"/>
      <c r="M159" s="53">
        <f>IF(A159="","",IFERROR(INDEX(Firms!$B$5:$B$1004,MATCH(A159,Firms!$A$5:$A$1004,0)),"Not on Firms tab"))</f>
        <v/>
      </c>
      <c r="N159">
        <f>IF(AND(A159&lt;&gt;"",A159='Firm Search'!$C$7),COUNTIF($A$5:A159,'Firm Search'!$C$7),"")</f>
        <v/>
      </c>
    </row>
    <row r="160">
      <c r="A160" s="5" t="n"/>
      <c r="B160" s="5" t="n"/>
      <c r="C160" s="52" t="n"/>
      <c r="D160" s="52" t="n"/>
      <c r="E160" s="52" t="n"/>
      <c r="F160" s="52" t="n"/>
      <c r="G160" s="52" t="n"/>
      <c r="H160" s="52" t="n"/>
      <c r="I160" s="52" t="n"/>
      <c r="J160" s="52" t="n"/>
      <c r="K160" s="54" t="n"/>
      <c r="L160" s="5" t="n"/>
      <c r="M160" s="53">
        <f>IF(A160="","",IFERROR(INDEX(Firms!$B$5:$B$1004,MATCH(A160,Firms!$A$5:$A$1004,0)),"Not on Firms tab"))</f>
        <v/>
      </c>
      <c r="N160">
        <f>IF(AND(A160&lt;&gt;"",A160='Firm Search'!$C$7),COUNTIF($A$5:A160,'Firm Search'!$C$7),"")</f>
        <v/>
      </c>
    </row>
    <row r="161">
      <c r="A161" s="5" t="n"/>
      <c r="B161" s="5" t="n"/>
      <c r="C161" s="52" t="n"/>
      <c r="D161" s="52" t="n"/>
      <c r="E161" s="52" t="n"/>
      <c r="F161" s="52" t="n"/>
      <c r="G161" s="52" t="n"/>
      <c r="H161" s="52" t="n"/>
      <c r="I161" s="52" t="n"/>
      <c r="J161" s="52" t="n"/>
      <c r="K161" s="54" t="n"/>
      <c r="L161" s="5" t="n"/>
      <c r="M161" s="53">
        <f>IF(A161="","",IFERROR(INDEX(Firms!$B$5:$B$1004,MATCH(A161,Firms!$A$5:$A$1004,0)),"Not on Firms tab"))</f>
        <v/>
      </c>
      <c r="N161">
        <f>IF(AND(A161&lt;&gt;"",A161='Firm Search'!$C$7),COUNTIF($A$5:A161,'Firm Search'!$C$7),"")</f>
        <v/>
      </c>
    </row>
    <row r="162">
      <c r="A162" s="5" t="n"/>
      <c r="B162" s="5" t="n"/>
      <c r="C162" s="52" t="n"/>
      <c r="D162" s="52" t="n"/>
      <c r="E162" s="52" t="n"/>
      <c r="F162" s="52" t="n"/>
      <c r="G162" s="52" t="n"/>
      <c r="H162" s="52" t="n"/>
      <c r="I162" s="52" t="n"/>
      <c r="J162" s="52" t="n"/>
      <c r="K162" s="54" t="n"/>
      <c r="L162" s="5" t="n"/>
      <c r="M162" s="53">
        <f>IF(A162="","",IFERROR(INDEX(Firms!$B$5:$B$1004,MATCH(A162,Firms!$A$5:$A$1004,0)),"Not on Firms tab"))</f>
        <v/>
      </c>
      <c r="N162">
        <f>IF(AND(A162&lt;&gt;"",A162='Firm Search'!$C$7),COUNTIF($A$5:A162,'Firm Search'!$C$7),"")</f>
        <v/>
      </c>
    </row>
    <row r="163">
      <c r="A163" s="5" t="n"/>
      <c r="B163" s="5" t="n"/>
      <c r="C163" s="52" t="n"/>
      <c r="D163" s="52" t="n"/>
      <c r="E163" s="52" t="n"/>
      <c r="F163" s="52" t="n"/>
      <c r="G163" s="52" t="n"/>
      <c r="H163" s="52" t="n"/>
      <c r="I163" s="52" t="n"/>
      <c r="J163" s="52" t="n"/>
      <c r="K163" s="54" t="n"/>
      <c r="L163" s="5" t="n"/>
      <c r="M163" s="53">
        <f>IF(A163="","",IFERROR(INDEX(Firms!$B$5:$B$1004,MATCH(A163,Firms!$A$5:$A$1004,0)),"Not on Firms tab"))</f>
        <v/>
      </c>
      <c r="N163">
        <f>IF(AND(A163&lt;&gt;"",A163='Firm Search'!$C$7),COUNTIF($A$5:A163,'Firm Search'!$C$7),"")</f>
        <v/>
      </c>
    </row>
    <row r="164">
      <c r="A164" s="5" t="n"/>
      <c r="B164" s="5" t="n"/>
      <c r="C164" s="52" t="n"/>
      <c r="D164" s="52" t="n"/>
      <c r="E164" s="52" t="n"/>
      <c r="F164" s="52" t="n"/>
      <c r="G164" s="52" t="n"/>
      <c r="H164" s="52" t="n"/>
      <c r="I164" s="52" t="n"/>
      <c r="J164" s="52" t="n"/>
      <c r="K164" s="54" t="n"/>
      <c r="L164" s="5" t="n"/>
      <c r="M164" s="53">
        <f>IF(A164="","",IFERROR(INDEX(Firms!$B$5:$B$1004,MATCH(A164,Firms!$A$5:$A$1004,0)),"Not on Firms tab"))</f>
        <v/>
      </c>
      <c r="N164">
        <f>IF(AND(A164&lt;&gt;"",A164='Firm Search'!$C$7),COUNTIF($A$5:A164,'Firm Search'!$C$7),"")</f>
        <v/>
      </c>
    </row>
    <row r="165">
      <c r="A165" s="5" t="n"/>
      <c r="B165" s="5" t="n"/>
      <c r="C165" s="52" t="n"/>
      <c r="D165" s="52" t="n"/>
      <c r="E165" s="52" t="n"/>
      <c r="F165" s="52" t="n"/>
      <c r="G165" s="52" t="n"/>
      <c r="H165" s="52" t="n"/>
      <c r="I165" s="52" t="n"/>
      <c r="J165" s="52" t="n"/>
      <c r="K165" s="54" t="n"/>
      <c r="L165" s="5" t="n"/>
      <c r="M165" s="53">
        <f>IF(A165="","",IFERROR(INDEX(Firms!$B$5:$B$1004,MATCH(A165,Firms!$A$5:$A$1004,0)),"Not on Firms tab"))</f>
        <v/>
      </c>
      <c r="N165">
        <f>IF(AND(A165&lt;&gt;"",A165='Firm Search'!$C$7),COUNTIF($A$5:A165,'Firm Search'!$C$7),"")</f>
        <v/>
      </c>
    </row>
    <row r="166">
      <c r="A166" s="5" t="n"/>
      <c r="B166" s="5" t="n"/>
      <c r="C166" s="52" t="n"/>
      <c r="D166" s="52" t="n"/>
      <c r="E166" s="52" t="n"/>
      <c r="F166" s="52" t="n"/>
      <c r="G166" s="52" t="n"/>
      <c r="H166" s="52" t="n"/>
      <c r="I166" s="52" t="n"/>
      <c r="J166" s="52" t="n"/>
      <c r="K166" s="54" t="n"/>
      <c r="L166" s="5" t="n"/>
      <c r="M166" s="53">
        <f>IF(A166="","",IFERROR(INDEX(Firms!$B$5:$B$1004,MATCH(A166,Firms!$A$5:$A$1004,0)),"Not on Firms tab"))</f>
        <v/>
      </c>
      <c r="N166">
        <f>IF(AND(A166&lt;&gt;"",A166='Firm Search'!$C$7),COUNTIF($A$5:A166,'Firm Search'!$C$7),"")</f>
        <v/>
      </c>
    </row>
    <row r="167">
      <c r="A167" s="5" t="n"/>
      <c r="B167" s="5" t="n"/>
      <c r="C167" s="52" t="n"/>
      <c r="D167" s="52" t="n"/>
      <c r="E167" s="52" t="n"/>
      <c r="F167" s="52" t="n"/>
      <c r="G167" s="52" t="n"/>
      <c r="H167" s="52" t="n"/>
      <c r="I167" s="52" t="n"/>
      <c r="J167" s="52" t="n"/>
      <c r="K167" s="54" t="n"/>
      <c r="L167" s="5" t="n"/>
      <c r="M167" s="53">
        <f>IF(A167="","",IFERROR(INDEX(Firms!$B$5:$B$1004,MATCH(A167,Firms!$A$5:$A$1004,0)),"Not on Firms tab"))</f>
        <v/>
      </c>
      <c r="N167">
        <f>IF(AND(A167&lt;&gt;"",A167='Firm Search'!$C$7),COUNTIF($A$5:A167,'Firm Search'!$C$7),"")</f>
        <v/>
      </c>
    </row>
    <row r="168">
      <c r="A168" s="5" t="n"/>
      <c r="B168" s="5" t="n"/>
      <c r="C168" s="52" t="n"/>
      <c r="D168" s="52" t="n"/>
      <c r="E168" s="52" t="n"/>
      <c r="F168" s="52" t="n"/>
      <c r="G168" s="52" t="n"/>
      <c r="H168" s="52" t="n"/>
      <c r="I168" s="52" t="n"/>
      <c r="J168" s="52" t="n"/>
      <c r="K168" s="54" t="n"/>
      <c r="L168" s="5" t="n"/>
      <c r="M168" s="53">
        <f>IF(A168="","",IFERROR(INDEX(Firms!$B$5:$B$1004,MATCH(A168,Firms!$A$5:$A$1004,0)),"Not on Firms tab"))</f>
        <v/>
      </c>
      <c r="N168">
        <f>IF(AND(A168&lt;&gt;"",A168='Firm Search'!$C$7),COUNTIF($A$5:A168,'Firm Search'!$C$7),"")</f>
        <v/>
      </c>
    </row>
    <row r="169">
      <c r="A169" s="5" t="n"/>
      <c r="B169" s="5" t="n"/>
      <c r="C169" s="52" t="n"/>
      <c r="D169" s="52" t="n"/>
      <c r="E169" s="52" t="n"/>
      <c r="F169" s="52" t="n"/>
      <c r="G169" s="52" t="n"/>
      <c r="H169" s="52" t="n"/>
      <c r="I169" s="52" t="n"/>
      <c r="J169" s="52" t="n"/>
      <c r="K169" s="54" t="n"/>
      <c r="L169" s="5" t="n"/>
      <c r="M169" s="53">
        <f>IF(A169="","",IFERROR(INDEX(Firms!$B$5:$B$1004,MATCH(A169,Firms!$A$5:$A$1004,0)),"Not on Firms tab"))</f>
        <v/>
      </c>
      <c r="N169">
        <f>IF(AND(A169&lt;&gt;"",A169='Firm Search'!$C$7),COUNTIF($A$5:A169,'Firm Search'!$C$7),"")</f>
        <v/>
      </c>
    </row>
    <row r="170">
      <c r="A170" s="5" t="n"/>
      <c r="B170" s="5" t="n"/>
      <c r="C170" s="52" t="n"/>
      <c r="D170" s="52" t="n"/>
      <c r="E170" s="52" t="n"/>
      <c r="F170" s="52" t="n"/>
      <c r="G170" s="52" t="n"/>
      <c r="H170" s="52" t="n"/>
      <c r="I170" s="52" t="n"/>
      <c r="J170" s="52" t="n"/>
      <c r="K170" s="54" t="n"/>
      <c r="L170" s="5" t="n"/>
      <c r="M170" s="53">
        <f>IF(A170="","",IFERROR(INDEX(Firms!$B$5:$B$1004,MATCH(A170,Firms!$A$5:$A$1004,0)),"Not on Firms tab"))</f>
        <v/>
      </c>
      <c r="N170">
        <f>IF(AND(A170&lt;&gt;"",A170='Firm Search'!$C$7),COUNTIF($A$5:A170,'Firm Search'!$C$7),"")</f>
        <v/>
      </c>
    </row>
    <row r="171">
      <c r="A171" s="5" t="n"/>
      <c r="B171" s="5" t="n"/>
      <c r="C171" s="52" t="n"/>
      <c r="D171" s="52" t="n"/>
      <c r="E171" s="52" t="n"/>
      <c r="F171" s="52" t="n"/>
      <c r="G171" s="52" t="n"/>
      <c r="H171" s="52" t="n"/>
      <c r="I171" s="52" t="n"/>
      <c r="J171" s="52" t="n"/>
      <c r="K171" s="54" t="n"/>
      <c r="L171" s="5" t="n"/>
      <c r="M171" s="53">
        <f>IF(A171="","",IFERROR(INDEX(Firms!$B$5:$B$1004,MATCH(A171,Firms!$A$5:$A$1004,0)),"Not on Firms tab"))</f>
        <v/>
      </c>
      <c r="N171">
        <f>IF(AND(A171&lt;&gt;"",A171='Firm Search'!$C$7),COUNTIF($A$5:A171,'Firm Search'!$C$7),"")</f>
        <v/>
      </c>
    </row>
    <row r="172">
      <c r="A172" s="5" t="n"/>
      <c r="B172" s="5" t="n"/>
      <c r="C172" s="52" t="n"/>
      <c r="D172" s="52" t="n"/>
      <c r="E172" s="52" t="n"/>
      <c r="F172" s="52" t="n"/>
      <c r="G172" s="52" t="n"/>
      <c r="H172" s="52" t="n"/>
      <c r="I172" s="52" t="n"/>
      <c r="J172" s="52" t="n"/>
      <c r="K172" s="54" t="n"/>
      <c r="L172" s="5" t="n"/>
      <c r="M172" s="53">
        <f>IF(A172="","",IFERROR(INDEX(Firms!$B$5:$B$1004,MATCH(A172,Firms!$A$5:$A$1004,0)),"Not on Firms tab"))</f>
        <v/>
      </c>
      <c r="N172">
        <f>IF(AND(A172&lt;&gt;"",A172='Firm Search'!$C$7),COUNTIF($A$5:A172,'Firm Search'!$C$7),"")</f>
        <v/>
      </c>
    </row>
    <row r="173">
      <c r="A173" s="5" t="n"/>
      <c r="B173" s="5" t="n"/>
      <c r="C173" s="52" t="n"/>
      <c r="D173" s="52" t="n"/>
      <c r="E173" s="52" t="n"/>
      <c r="F173" s="52" t="n"/>
      <c r="G173" s="52" t="n"/>
      <c r="H173" s="52" t="n"/>
      <c r="I173" s="52" t="n"/>
      <c r="J173" s="52" t="n"/>
      <c r="K173" s="54" t="n"/>
      <c r="L173" s="5" t="n"/>
      <c r="M173" s="53">
        <f>IF(A173="","",IFERROR(INDEX(Firms!$B$5:$B$1004,MATCH(A173,Firms!$A$5:$A$1004,0)),"Not on Firms tab"))</f>
        <v/>
      </c>
      <c r="N173">
        <f>IF(AND(A173&lt;&gt;"",A173='Firm Search'!$C$7),COUNTIF($A$5:A173,'Firm Search'!$C$7),"")</f>
        <v/>
      </c>
    </row>
    <row r="174">
      <c r="A174" s="5" t="n"/>
      <c r="B174" s="5" t="n"/>
      <c r="C174" s="52" t="n"/>
      <c r="D174" s="52" t="n"/>
      <c r="E174" s="52" t="n"/>
      <c r="F174" s="52" t="n"/>
      <c r="G174" s="52" t="n"/>
      <c r="H174" s="52" t="n"/>
      <c r="I174" s="52" t="n"/>
      <c r="J174" s="52" t="n"/>
      <c r="K174" s="54" t="n"/>
      <c r="L174" s="5" t="n"/>
      <c r="M174" s="53">
        <f>IF(A174="","",IFERROR(INDEX(Firms!$B$5:$B$1004,MATCH(A174,Firms!$A$5:$A$1004,0)),"Not on Firms tab"))</f>
        <v/>
      </c>
      <c r="N174">
        <f>IF(AND(A174&lt;&gt;"",A174='Firm Search'!$C$7),COUNTIF($A$5:A174,'Firm Search'!$C$7),"")</f>
        <v/>
      </c>
    </row>
    <row r="175">
      <c r="A175" s="5" t="n"/>
      <c r="B175" s="5" t="n"/>
      <c r="C175" s="52" t="n"/>
      <c r="D175" s="52" t="n"/>
      <c r="E175" s="52" t="n"/>
      <c r="F175" s="52" t="n"/>
      <c r="G175" s="52" t="n"/>
      <c r="H175" s="52" t="n"/>
      <c r="I175" s="52" t="n"/>
      <c r="J175" s="52" t="n"/>
      <c r="K175" s="54" t="n"/>
      <c r="L175" s="5" t="n"/>
      <c r="M175" s="53">
        <f>IF(A175="","",IFERROR(INDEX(Firms!$B$5:$B$1004,MATCH(A175,Firms!$A$5:$A$1004,0)),"Not on Firms tab"))</f>
        <v/>
      </c>
      <c r="N175">
        <f>IF(AND(A175&lt;&gt;"",A175='Firm Search'!$C$7),COUNTIF($A$5:A175,'Firm Search'!$C$7),"")</f>
        <v/>
      </c>
    </row>
    <row r="176">
      <c r="A176" s="5" t="n"/>
      <c r="B176" s="5" t="n"/>
      <c r="C176" s="52" t="n"/>
      <c r="D176" s="52" t="n"/>
      <c r="E176" s="52" t="n"/>
      <c r="F176" s="52" t="n"/>
      <c r="G176" s="52" t="n"/>
      <c r="H176" s="52" t="n"/>
      <c r="I176" s="52" t="n"/>
      <c r="J176" s="52" t="n"/>
      <c r="K176" s="54" t="n"/>
      <c r="L176" s="5" t="n"/>
      <c r="M176" s="53">
        <f>IF(A176="","",IFERROR(INDEX(Firms!$B$5:$B$1004,MATCH(A176,Firms!$A$5:$A$1004,0)),"Not on Firms tab"))</f>
        <v/>
      </c>
      <c r="N176">
        <f>IF(AND(A176&lt;&gt;"",A176='Firm Search'!$C$7),COUNTIF($A$5:A176,'Firm Search'!$C$7),"")</f>
        <v/>
      </c>
    </row>
    <row r="177">
      <c r="A177" s="5" t="n"/>
      <c r="B177" s="5" t="n"/>
      <c r="C177" s="52" t="n"/>
      <c r="D177" s="52" t="n"/>
      <c r="E177" s="52" t="n"/>
      <c r="F177" s="52" t="n"/>
      <c r="G177" s="52" t="n"/>
      <c r="H177" s="52" t="n"/>
      <c r="I177" s="52" t="n"/>
      <c r="J177" s="52" t="n"/>
      <c r="K177" s="54" t="n"/>
      <c r="L177" s="5" t="n"/>
      <c r="M177" s="53">
        <f>IF(A177="","",IFERROR(INDEX(Firms!$B$5:$B$1004,MATCH(A177,Firms!$A$5:$A$1004,0)),"Not on Firms tab"))</f>
        <v/>
      </c>
      <c r="N177">
        <f>IF(AND(A177&lt;&gt;"",A177='Firm Search'!$C$7),COUNTIF($A$5:A177,'Firm Search'!$C$7),"")</f>
        <v/>
      </c>
    </row>
    <row r="178">
      <c r="A178" s="5" t="n"/>
      <c r="B178" s="5" t="n"/>
      <c r="C178" s="52" t="n"/>
      <c r="D178" s="52" t="n"/>
      <c r="E178" s="52" t="n"/>
      <c r="F178" s="52" t="n"/>
      <c r="G178" s="52" t="n"/>
      <c r="H178" s="52" t="n"/>
      <c r="I178" s="52" t="n"/>
      <c r="J178" s="52" t="n"/>
      <c r="K178" s="54" t="n"/>
      <c r="L178" s="5" t="n"/>
      <c r="M178" s="53">
        <f>IF(A178="","",IFERROR(INDEX(Firms!$B$5:$B$1004,MATCH(A178,Firms!$A$5:$A$1004,0)),"Not on Firms tab"))</f>
        <v/>
      </c>
      <c r="N178">
        <f>IF(AND(A178&lt;&gt;"",A178='Firm Search'!$C$7),COUNTIF($A$5:A178,'Firm Search'!$C$7),"")</f>
        <v/>
      </c>
    </row>
    <row r="179">
      <c r="A179" s="5" t="n"/>
      <c r="B179" s="5" t="n"/>
      <c r="C179" s="52" t="n"/>
      <c r="D179" s="52" t="n"/>
      <c r="E179" s="52" t="n"/>
      <c r="F179" s="52" t="n"/>
      <c r="G179" s="52" t="n"/>
      <c r="H179" s="52" t="n"/>
      <c r="I179" s="52" t="n"/>
      <c r="J179" s="52" t="n"/>
      <c r="K179" s="54" t="n"/>
      <c r="L179" s="5" t="n"/>
      <c r="M179" s="53">
        <f>IF(A179="","",IFERROR(INDEX(Firms!$B$5:$B$1004,MATCH(A179,Firms!$A$5:$A$1004,0)),"Not on Firms tab"))</f>
        <v/>
      </c>
      <c r="N179">
        <f>IF(AND(A179&lt;&gt;"",A179='Firm Search'!$C$7),COUNTIF($A$5:A179,'Firm Search'!$C$7),"")</f>
        <v/>
      </c>
    </row>
    <row r="180">
      <c r="A180" s="5" t="n"/>
      <c r="B180" s="5" t="n"/>
      <c r="C180" s="52" t="n"/>
      <c r="D180" s="52" t="n"/>
      <c r="E180" s="52" t="n"/>
      <c r="F180" s="52" t="n"/>
      <c r="G180" s="52" t="n"/>
      <c r="H180" s="52" t="n"/>
      <c r="I180" s="52" t="n"/>
      <c r="J180" s="52" t="n"/>
      <c r="K180" s="54" t="n"/>
      <c r="L180" s="5" t="n"/>
      <c r="M180" s="53">
        <f>IF(A180="","",IFERROR(INDEX(Firms!$B$5:$B$1004,MATCH(A180,Firms!$A$5:$A$1004,0)),"Not on Firms tab"))</f>
        <v/>
      </c>
      <c r="N180">
        <f>IF(AND(A180&lt;&gt;"",A180='Firm Search'!$C$7),COUNTIF($A$5:A180,'Firm Search'!$C$7),"")</f>
        <v/>
      </c>
    </row>
    <row r="181">
      <c r="A181" s="5" t="n"/>
      <c r="B181" s="5" t="n"/>
      <c r="C181" s="52" t="n"/>
      <c r="D181" s="52" t="n"/>
      <c r="E181" s="52" t="n"/>
      <c r="F181" s="52" t="n"/>
      <c r="G181" s="52" t="n"/>
      <c r="H181" s="52" t="n"/>
      <c r="I181" s="52" t="n"/>
      <c r="J181" s="52" t="n"/>
      <c r="K181" s="54" t="n"/>
      <c r="L181" s="5" t="n"/>
      <c r="M181" s="53">
        <f>IF(A181="","",IFERROR(INDEX(Firms!$B$5:$B$1004,MATCH(A181,Firms!$A$5:$A$1004,0)),"Not on Firms tab"))</f>
        <v/>
      </c>
      <c r="N181">
        <f>IF(AND(A181&lt;&gt;"",A181='Firm Search'!$C$7),COUNTIF($A$5:A181,'Firm Search'!$C$7),"")</f>
        <v/>
      </c>
    </row>
    <row r="182">
      <c r="A182" s="5" t="n"/>
      <c r="B182" s="5" t="n"/>
      <c r="C182" s="52" t="n"/>
      <c r="D182" s="52" t="n"/>
      <c r="E182" s="52" t="n"/>
      <c r="F182" s="52" t="n"/>
      <c r="G182" s="52" t="n"/>
      <c r="H182" s="52" t="n"/>
      <c r="I182" s="52" t="n"/>
      <c r="J182" s="52" t="n"/>
      <c r="K182" s="54" t="n"/>
      <c r="L182" s="5" t="n"/>
      <c r="M182" s="53">
        <f>IF(A182="","",IFERROR(INDEX(Firms!$B$5:$B$1004,MATCH(A182,Firms!$A$5:$A$1004,0)),"Not on Firms tab"))</f>
        <v/>
      </c>
      <c r="N182">
        <f>IF(AND(A182&lt;&gt;"",A182='Firm Search'!$C$7),COUNTIF($A$5:A182,'Firm Search'!$C$7),"")</f>
        <v/>
      </c>
    </row>
    <row r="183">
      <c r="A183" s="5" t="n"/>
      <c r="B183" s="5" t="n"/>
      <c r="C183" s="52" t="n"/>
      <c r="D183" s="52" t="n"/>
      <c r="E183" s="52" t="n"/>
      <c r="F183" s="52" t="n"/>
      <c r="G183" s="52" t="n"/>
      <c r="H183" s="52" t="n"/>
      <c r="I183" s="52" t="n"/>
      <c r="J183" s="52" t="n"/>
      <c r="K183" s="54" t="n"/>
      <c r="L183" s="5" t="n"/>
      <c r="M183" s="53">
        <f>IF(A183="","",IFERROR(INDEX(Firms!$B$5:$B$1004,MATCH(A183,Firms!$A$5:$A$1004,0)),"Not on Firms tab"))</f>
        <v/>
      </c>
      <c r="N183">
        <f>IF(AND(A183&lt;&gt;"",A183='Firm Search'!$C$7),COUNTIF($A$5:A183,'Firm Search'!$C$7),"")</f>
        <v/>
      </c>
    </row>
    <row r="184">
      <c r="A184" s="5" t="n"/>
      <c r="B184" s="5" t="n"/>
      <c r="C184" s="52" t="n"/>
      <c r="D184" s="52" t="n"/>
      <c r="E184" s="52" t="n"/>
      <c r="F184" s="52" t="n"/>
      <c r="G184" s="52" t="n"/>
      <c r="H184" s="52" t="n"/>
      <c r="I184" s="52" t="n"/>
      <c r="J184" s="52" t="n"/>
      <c r="K184" s="54" t="n"/>
      <c r="L184" s="5" t="n"/>
      <c r="M184" s="53">
        <f>IF(A184="","",IFERROR(INDEX(Firms!$B$5:$B$1004,MATCH(A184,Firms!$A$5:$A$1004,0)),"Not on Firms tab"))</f>
        <v/>
      </c>
      <c r="N184">
        <f>IF(AND(A184&lt;&gt;"",A184='Firm Search'!$C$7),COUNTIF($A$5:A184,'Firm Search'!$C$7),"")</f>
        <v/>
      </c>
    </row>
    <row r="185">
      <c r="A185" s="5" t="n"/>
      <c r="B185" s="5" t="n"/>
      <c r="C185" s="52" t="n"/>
      <c r="D185" s="52" t="n"/>
      <c r="E185" s="52" t="n"/>
      <c r="F185" s="52" t="n"/>
      <c r="G185" s="52" t="n"/>
      <c r="H185" s="52" t="n"/>
      <c r="I185" s="52" t="n"/>
      <c r="J185" s="52" t="n"/>
      <c r="K185" s="54" t="n"/>
      <c r="L185" s="5" t="n"/>
      <c r="M185" s="53">
        <f>IF(A185="","",IFERROR(INDEX(Firms!$B$5:$B$1004,MATCH(A185,Firms!$A$5:$A$1004,0)),"Not on Firms tab"))</f>
        <v/>
      </c>
      <c r="N185">
        <f>IF(AND(A185&lt;&gt;"",A185='Firm Search'!$C$7),COUNTIF($A$5:A185,'Firm Search'!$C$7),"")</f>
        <v/>
      </c>
    </row>
    <row r="186">
      <c r="A186" s="5" t="n"/>
      <c r="B186" s="5" t="n"/>
      <c r="C186" s="52" t="n"/>
      <c r="D186" s="52" t="n"/>
      <c r="E186" s="52" t="n"/>
      <c r="F186" s="52" t="n"/>
      <c r="G186" s="52" t="n"/>
      <c r="H186" s="52" t="n"/>
      <c r="I186" s="52" t="n"/>
      <c r="J186" s="52" t="n"/>
      <c r="K186" s="54" t="n"/>
      <c r="L186" s="5" t="n"/>
      <c r="M186" s="53">
        <f>IF(A186="","",IFERROR(INDEX(Firms!$B$5:$B$1004,MATCH(A186,Firms!$A$5:$A$1004,0)),"Not on Firms tab"))</f>
        <v/>
      </c>
      <c r="N186">
        <f>IF(AND(A186&lt;&gt;"",A186='Firm Search'!$C$7),COUNTIF($A$5:A186,'Firm Search'!$C$7),"")</f>
        <v/>
      </c>
    </row>
    <row r="187">
      <c r="A187" s="5" t="n"/>
      <c r="B187" s="5" t="n"/>
      <c r="C187" s="52" t="n"/>
      <c r="D187" s="52" t="n"/>
      <c r="E187" s="52" t="n"/>
      <c r="F187" s="52" t="n"/>
      <c r="G187" s="52" t="n"/>
      <c r="H187" s="52" t="n"/>
      <c r="I187" s="52" t="n"/>
      <c r="J187" s="52" t="n"/>
      <c r="K187" s="54" t="n"/>
      <c r="L187" s="5" t="n"/>
      <c r="M187" s="53">
        <f>IF(A187="","",IFERROR(INDEX(Firms!$B$5:$B$1004,MATCH(A187,Firms!$A$5:$A$1004,0)),"Not on Firms tab"))</f>
        <v/>
      </c>
      <c r="N187">
        <f>IF(AND(A187&lt;&gt;"",A187='Firm Search'!$C$7),COUNTIF($A$5:A187,'Firm Search'!$C$7),"")</f>
        <v/>
      </c>
    </row>
    <row r="188">
      <c r="A188" s="5" t="n"/>
      <c r="B188" s="5" t="n"/>
      <c r="C188" s="52" t="n"/>
      <c r="D188" s="52" t="n"/>
      <c r="E188" s="52" t="n"/>
      <c r="F188" s="52" t="n"/>
      <c r="G188" s="52" t="n"/>
      <c r="H188" s="52" t="n"/>
      <c r="I188" s="52" t="n"/>
      <c r="J188" s="52" t="n"/>
      <c r="K188" s="54" t="n"/>
      <c r="L188" s="5" t="n"/>
      <c r="M188" s="53">
        <f>IF(A188="","",IFERROR(INDEX(Firms!$B$5:$B$1004,MATCH(A188,Firms!$A$5:$A$1004,0)),"Not on Firms tab"))</f>
        <v/>
      </c>
      <c r="N188">
        <f>IF(AND(A188&lt;&gt;"",A188='Firm Search'!$C$7),COUNTIF($A$5:A188,'Firm Search'!$C$7),"")</f>
        <v/>
      </c>
    </row>
    <row r="189">
      <c r="A189" s="5" t="n"/>
      <c r="B189" s="5" t="n"/>
      <c r="C189" s="52" t="n"/>
      <c r="D189" s="52" t="n"/>
      <c r="E189" s="52" t="n"/>
      <c r="F189" s="52" t="n"/>
      <c r="G189" s="52" t="n"/>
      <c r="H189" s="52" t="n"/>
      <c r="I189" s="52" t="n"/>
      <c r="J189" s="52" t="n"/>
      <c r="K189" s="54" t="n"/>
      <c r="L189" s="5" t="n"/>
      <c r="M189" s="53">
        <f>IF(A189="","",IFERROR(INDEX(Firms!$B$5:$B$1004,MATCH(A189,Firms!$A$5:$A$1004,0)),"Not on Firms tab"))</f>
        <v/>
      </c>
      <c r="N189">
        <f>IF(AND(A189&lt;&gt;"",A189='Firm Search'!$C$7),COUNTIF($A$5:A189,'Firm Search'!$C$7),"")</f>
        <v/>
      </c>
    </row>
    <row r="190">
      <c r="A190" s="5" t="n"/>
      <c r="B190" s="5" t="n"/>
      <c r="C190" s="52" t="n"/>
      <c r="D190" s="52" t="n"/>
      <c r="E190" s="52" t="n"/>
      <c r="F190" s="52" t="n"/>
      <c r="G190" s="52" t="n"/>
      <c r="H190" s="52" t="n"/>
      <c r="I190" s="52" t="n"/>
      <c r="J190" s="52" t="n"/>
      <c r="K190" s="54" t="n"/>
      <c r="L190" s="5" t="n"/>
      <c r="M190" s="53">
        <f>IF(A190="","",IFERROR(INDEX(Firms!$B$5:$B$1004,MATCH(A190,Firms!$A$5:$A$1004,0)),"Not on Firms tab"))</f>
        <v/>
      </c>
      <c r="N190">
        <f>IF(AND(A190&lt;&gt;"",A190='Firm Search'!$C$7),COUNTIF($A$5:A190,'Firm Search'!$C$7),"")</f>
        <v/>
      </c>
    </row>
    <row r="191">
      <c r="A191" s="5" t="n"/>
      <c r="B191" s="5" t="n"/>
      <c r="C191" s="52" t="n"/>
      <c r="D191" s="52" t="n"/>
      <c r="E191" s="52" t="n"/>
      <c r="F191" s="52" t="n"/>
      <c r="G191" s="52" t="n"/>
      <c r="H191" s="52" t="n"/>
      <c r="I191" s="52" t="n"/>
      <c r="J191" s="52" t="n"/>
      <c r="K191" s="54" t="n"/>
      <c r="L191" s="5" t="n"/>
      <c r="M191" s="53">
        <f>IF(A191="","",IFERROR(INDEX(Firms!$B$5:$B$1004,MATCH(A191,Firms!$A$5:$A$1004,0)),"Not on Firms tab"))</f>
        <v/>
      </c>
      <c r="N191">
        <f>IF(AND(A191&lt;&gt;"",A191='Firm Search'!$C$7),COUNTIF($A$5:A191,'Firm Search'!$C$7),"")</f>
        <v/>
      </c>
    </row>
    <row r="192">
      <c r="A192" s="5" t="n"/>
      <c r="B192" s="5" t="n"/>
      <c r="C192" s="52" t="n"/>
      <c r="D192" s="52" t="n"/>
      <c r="E192" s="52" t="n"/>
      <c r="F192" s="52" t="n"/>
      <c r="G192" s="52" t="n"/>
      <c r="H192" s="52" t="n"/>
      <c r="I192" s="52" t="n"/>
      <c r="J192" s="52" t="n"/>
      <c r="K192" s="54" t="n"/>
      <c r="L192" s="5" t="n"/>
      <c r="M192" s="53">
        <f>IF(A192="","",IFERROR(INDEX(Firms!$B$5:$B$1004,MATCH(A192,Firms!$A$5:$A$1004,0)),"Not on Firms tab"))</f>
        <v/>
      </c>
      <c r="N192">
        <f>IF(AND(A192&lt;&gt;"",A192='Firm Search'!$C$7),COUNTIF($A$5:A192,'Firm Search'!$C$7),"")</f>
        <v/>
      </c>
    </row>
    <row r="193">
      <c r="A193" s="5" t="n"/>
      <c r="B193" s="5" t="n"/>
      <c r="C193" s="52" t="n"/>
      <c r="D193" s="52" t="n"/>
      <c r="E193" s="52" t="n"/>
      <c r="F193" s="52" t="n"/>
      <c r="G193" s="52" t="n"/>
      <c r="H193" s="52" t="n"/>
      <c r="I193" s="52" t="n"/>
      <c r="J193" s="52" t="n"/>
      <c r="K193" s="54" t="n"/>
      <c r="L193" s="5" t="n"/>
      <c r="M193" s="53">
        <f>IF(A193="","",IFERROR(INDEX(Firms!$B$5:$B$1004,MATCH(A193,Firms!$A$5:$A$1004,0)),"Not on Firms tab"))</f>
        <v/>
      </c>
      <c r="N193">
        <f>IF(AND(A193&lt;&gt;"",A193='Firm Search'!$C$7),COUNTIF($A$5:A193,'Firm Search'!$C$7),"")</f>
        <v/>
      </c>
    </row>
    <row r="194">
      <c r="A194" s="5" t="n"/>
      <c r="B194" s="5" t="n"/>
      <c r="C194" s="52" t="n"/>
      <c r="D194" s="52" t="n"/>
      <c r="E194" s="52" t="n"/>
      <c r="F194" s="52" t="n"/>
      <c r="G194" s="52" t="n"/>
      <c r="H194" s="52" t="n"/>
      <c r="I194" s="52" t="n"/>
      <c r="J194" s="52" t="n"/>
      <c r="K194" s="54" t="n"/>
      <c r="L194" s="5" t="n"/>
      <c r="M194" s="53">
        <f>IF(A194="","",IFERROR(INDEX(Firms!$B$5:$B$1004,MATCH(A194,Firms!$A$5:$A$1004,0)),"Not on Firms tab"))</f>
        <v/>
      </c>
      <c r="N194">
        <f>IF(AND(A194&lt;&gt;"",A194='Firm Search'!$C$7),COUNTIF($A$5:A194,'Firm Search'!$C$7),"")</f>
        <v/>
      </c>
    </row>
    <row r="195">
      <c r="A195" s="5" t="n"/>
      <c r="B195" s="5" t="n"/>
      <c r="C195" s="52" t="n"/>
      <c r="D195" s="52" t="n"/>
      <c r="E195" s="52" t="n"/>
      <c r="F195" s="52" t="n"/>
      <c r="G195" s="52" t="n"/>
      <c r="H195" s="52" t="n"/>
      <c r="I195" s="52" t="n"/>
      <c r="J195" s="52" t="n"/>
      <c r="K195" s="54" t="n"/>
      <c r="L195" s="5" t="n"/>
      <c r="M195" s="53">
        <f>IF(A195="","",IFERROR(INDEX(Firms!$B$5:$B$1004,MATCH(A195,Firms!$A$5:$A$1004,0)),"Not on Firms tab"))</f>
        <v/>
      </c>
      <c r="N195">
        <f>IF(AND(A195&lt;&gt;"",A195='Firm Search'!$C$7),COUNTIF($A$5:A195,'Firm Search'!$C$7),"")</f>
        <v/>
      </c>
    </row>
    <row r="196">
      <c r="A196" s="5" t="n"/>
      <c r="B196" s="5" t="n"/>
      <c r="C196" s="52" t="n"/>
      <c r="D196" s="52" t="n"/>
      <c r="E196" s="52" t="n"/>
      <c r="F196" s="52" t="n"/>
      <c r="G196" s="52" t="n"/>
      <c r="H196" s="52" t="n"/>
      <c r="I196" s="52" t="n"/>
      <c r="J196" s="52" t="n"/>
      <c r="K196" s="54" t="n"/>
      <c r="L196" s="5" t="n"/>
      <c r="M196" s="53">
        <f>IF(A196="","",IFERROR(INDEX(Firms!$B$5:$B$1004,MATCH(A196,Firms!$A$5:$A$1004,0)),"Not on Firms tab"))</f>
        <v/>
      </c>
      <c r="N196">
        <f>IF(AND(A196&lt;&gt;"",A196='Firm Search'!$C$7),COUNTIF($A$5:A196,'Firm Search'!$C$7),"")</f>
        <v/>
      </c>
    </row>
    <row r="197">
      <c r="A197" s="5" t="n"/>
      <c r="B197" s="5" t="n"/>
      <c r="C197" s="52" t="n"/>
      <c r="D197" s="52" t="n"/>
      <c r="E197" s="52" t="n"/>
      <c r="F197" s="52" t="n"/>
      <c r="G197" s="52" t="n"/>
      <c r="H197" s="52" t="n"/>
      <c r="I197" s="52" t="n"/>
      <c r="J197" s="52" t="n"/>
      <c r="K197" s="54" t="n"/>
      <c r="L197" s="5" t="n"/>
      <c r="M197" s="53">
        <f>IF(A197="","",IFERROR(INDEX(Firms!$B$5:$B$1004,MATCH(A197,Firms!$A$5:$A$1004,0)),"Not on Firms tab"))</f>
        <v/>
      </c>
      <c r="N197">
        <f>IF(AND(A197&lt;&gt;"",A197='Firm Search'!$C$7),COUNTIF($A$5:A197,'Firm Search'!$C$7),"")</f>
        <v/>
      </c>
    </row>
    <row r="198">
      <c r="A198" s="5" t="n"/>
      <c r="B198" s="5" t="n"/>
      <c r="C198" s="52" t="n"/>
      <c r="D198" s="52" t="n"/>
      <c r="E198" s="52" t="n"/>
      <c r="F198" s="52" t="n"/>
      <c r="G198" s="52" t="n"/>
      <c r="H198" s="52" t="n"/>
      <c r="I198" s="52" t="n"/>
      <c r="J198" s="52" t="n"/>
      <c r="K198" s="54" t="n"/>
      <c r="L198" s="5" t="n"/>
      <c r="M198" s="53">
        <f>IF(A198="","",IFERROR(INDEX(Firms!$B$5:$B$1004,MATCH(A198,Firms!$A$5:$A$1004,0)),"Not on Firms tab"))</f>
        <v/>
      </c>
      <c r="N198">
        <f>IF(AND(A198&lt;&gt;"",A198='Firm Search'!$C$7),COUNTIF($A$5:A198,'Firm Search'!$C$7),"")</f>
        <v/>
      </c>
    </row>
    <row r="199">
      <c r="A199" s="5" t="n"/>
      <c r="B199" s="5" t="n"/>
      <c r="C199" s="52" t="n"/>
      <c r="D199" s="52" t="n"/>
      <c r="E199" s="52" t="n"/>
      <c r="F199" s="52" t="n"/>
      <c r="G199" s="52" t="n"/>
      <c r="H199" s="52" t="n"/>
      <c r="I199" s="52" t="n"/>
      <c r="J199" s="52" t="n"/>
      <c r="K199" s="54" t="n"/>
      <c r="L199" s="5" t="n"/>
      <c r="M199" s="53">
        <f>IF(A199="","",IFERROR(INDEX(Firms!$B$5:$B$1004,MATCH(A199,Firms!$A$5:$A$1004,0)),"Not on Firms tab"))</f>
        <v/>
      </c>
      <c r="N199">
        <f>IF(AND(A199&lt;&gt;"",A199='Firm Search'!$C$7),COUNTIF($A$5:A199,'Firm Search'!$C$7),"")</f>
        <v/>
      </c>
    </row>
    <row r="200">
      <c r="A200" s="5" t="n"/>
      <c r="B200" s="5" t="n"/>
      <c r="C200" s="52" t="n"/>
      <c r="D200" s="52" t="n"/>
      <c r="E200" s="52" t="n"/>
      <c r="F200" s="52" t="n"/>
      <c r="G200" s="52" t="n"/>
      <c r="H200" s="52" t="n"/>
      <c r="I200" s="52" t="n"/>
      <c r="J200" s="52" t="n"/>
      <c r="K200" s="54" t="n"/>
      <c r="L200" s="5" t="n"/>
      <c r="M200" s="53">
        <f>IF(A200="","",IFERROR(INDEX(Firms!$B$5:$B$1004,MATCH(A200,Firms!$A$5:$A$1004,0)),"Not on Firms tab"))</f>
        <v/>
      </c>
      <c r="N200">
        <f>IF(AND(A200&lt;&gt;"",A200='Firm Search'!$C$7),COUNTIF($A$5:A200,'Firm Search'!$C$7),"")</f>
        <v/>
      </c>
    </row>
    <row r="201">
      <c r="A201" s="5" t="n"/>
      <c r="B201" s="5" t="n"/>
      <c r="C201" s="52" t="n"/>
      <c r="D201" s="52" t="n"/>
      <c r="E201" s="52" t="n"/>
      <c r="F201" s="52" t="n"/>
      <c r="G201" s="52" t="n"/>
      <c r="H201" s="52" t="n"/>
      <c r="I201" s="52" t="n"/>
      <c r="J201" s="52" t="n"/>
      <c r="K201" s="54" t="n"/>
      <c r="L201" s="5" t="n"/>
      <c r="M201" s="53">
        <f>IF(A201="","",IFERROR(INDEX(Firms!$B$5:$B$1004,MATCH(A201,Firms!$A$5:$A$1004,0)),"Not on Firms tab"))</f>
        <v/>
      </c>
      <c r="N201">
        <f>IF(AND(A201&lt;&gt;"",A201='Firm Search'!$C$7),COUNTIF($A$5:A201,'Firm Search'!$C$7),"")</f>
        <v/>
      </c>
    </row>
    <row r="202">
      <c r="A202" s="5" t="n"/>
      <c r="B202" s="5" t="n"/>
      <c r="C202" s="52" t="n"/>
      <c r="D202" s="52" t="n"/>
      <c r="E202" s="52" t="n"/>
      <c r="F202" s="52" t="n"/>
      <c r="G202" s="52" t="n"/>
      <c r="H202" s="52" t="n"/>
      <c r="I202" s="52" t="n"/>
      <c r="J202" s="52" t="n"/>
      <c r="K202" s="54" t="n"/>
      <c r="L202" s="5" t="n"/>
      <c r="M202" s="53">
        <f>IF(A202="","",IFERROR(INDEX(Firms!$B$5:$B$1004,MATCH(A202,Firms!$A$5:$A$1004,0)),"Not on Firms tab"))</f>
        <v/>
      </c>
      <c r="N202">
        <f>IF(AND(A202&lt;&gt;"",A202='Firm Search'!$C$7),COUNTIF($A$5:A202,'Firm Search'!$C$7),"")</f>
        <v/>
      </c>
    </row>
    <row r="203">
      <c r="A203" s="5" t="n"/>
      <c r="B203" s="5" t="n"/>
      <c r="C203" s="52" t="n"/>
      <c r="D203" s="52" t="n"/>
      <c r="E203" s="52" t="n"/>
      <c r="F203" s="52" t="n"/>
      <c r="G203" s="52" t="n"/>
      <c r="H203" s="52" t="n"/>
      <c r="I203" s="52" t="n"/>
      <c r="J203" s="52" t="n"/>
      <c r="K203" s="54" t="n"/>
      <c r="L203" s="5" t="n"/>
      <c r="M203" s="53">
        <f>IF(A203="","",IFERROR(INDEX(Firms!$B$5:$B$1004,MATCH(A203,Firms!$A$5:$A$1004,0)),"Not on Firms tab"))</f>
        <v/>
      </c>
      <c r="N203">
        <f>IF(AND(A203&lt;&gt;"",A203='Firm Search'!$C$7),COUNTIF($A$5:A203,'Firm Search'!$C$7),"")</f>
        <v/>
      </c>
    </row>
    <row r="204">
      <c r="A204" s="5" t="n"/>
      <c r="B204" s="5" t="n"/>
      <c r="C204" s="52" t="n"/>
      <c r="D204" s="52" t="n"/>
      <c r="E204" s="52" t="n"/>
      <c r="F204" s="52" t="n"/>
      <c r="G204" s="52" t="n"/>
      <c r="H204" s="52" t="n"/>
      <c r="I204" s="52" t="n"/>
      <c r="J204" s="52" t="n"/>
      <c r="K204" s="54" t="n"/>
      <c r="L204" s="5" t="n"/>
      <c r="M204" s="53">
        <f>IF(A204="","",IFERROR(INDEX(Firms!$B$5:$B$1004,MATCH(A204,Firms!$A$5:$A$1004,0)),"Not on Firms tab"))</f>
        <v/>
      </c>
      <c r="N204">
        <f>IF(AND(A204&lt;&gt;"",A204='Firm Search'!$C$7),COUNTIF($A$5:A204,'Firm Search'!$C$7),"")</f>
        <v/>
      </c>
    </row>
    <row r="205">
      <c r="A205" s="5" t="n"/>
      <c r="B205" s="5" t="n"/>
      <c r="C205" s="52" t="n"/>
      <c r="D205" s="52" t="n"/>
      <c r="E205" s="52" t="n"/>
      <c r="F205" s="52" t="n"/>
      <c r="G205" s="52" t="n"/>
      <c r="H205" s="52" t="n"/>
      <c r="I205" s="52" t="n"/>
      <c r="J205" s="52" t="n"/>
      <c r="K205" s="54" t="n"/>
      <c r="L205" s="5" t="n"/>
      <c r="M205" s="53">
        <f>IF(A205="","",IFERROR(INDEX(Firms!$B$5:$B$1004,MATCH(A205,Firms!$A$5:$A$1004,0)),"Not on Firms tab"))</f>
        <v/>
      </c>
      <c r="N205">
        <f>IF(AND(A205&lt;&gt;"",A205='Firm Search'!$C$7),COUNTIF($A$5:A205,'Firm Search'!$C$7),"")</f>
        <v/>
      </c>
    </row>
    <row r="206">
      <c r="A206" s="5" t="n"/>
      <c r="B206" s="5" t="n"/>
      <c r="C206" s="52" t="n"/>
      <c r="D206" s="52" t="n"/>
      <c r="E206" s="52" t="n"/>
      <c r="F206" s="52" t="n"/>
      <c r="G206" s="52" t="n"/>
      <c r="H206" s="52" t="n"/>
      <c r="I206" s="52" t="n"/>
      <c r="J206" s="52" t="n"/>
      <c r="K206" s="54" t="n"/>
      <c r="L206" s="5" t="n"/>
      <c r="M206" s="53">
        <f>IF(A206="","",IFERROR(INDEX(Firms!$B$5:$B$1004,MATCH(A206,Firms!$A$5:$A$1004,0)),"Not on Firms tab"))</f>
        <v/>
      </c>
      <c r="N206">
        <f>IF(AND(A206&lt;&gt;"",A206='Firm Search'!$C$7),COUNTIF($A$5:A206,'Firm Search'!$C$7),"")</f>
        <v/>
      </c>
    </row>
    <row r="207">
      <c r="A207" s="5" t="n"/>
      <c r="B207" s="5" t="n"/>
      <c r="C207" s="52" t="n"/>
      <c r="D207" s="52" t="n"/>
      <c r="E207" s="52" t="n"/>
      <c r="F207" s="52" t="n"/>
      <c r="G207" s="52" t="n"/>
      <c r="H207" s="52" t="n"/>
      <c r="I207" s="52" t="n"/>
      <c r="J207" s="52" t="n"/>
      <c r="K207" s="54" t="n"/>
      <c r="L207" s="5" t="n"/>
      <c r="M207" s="53">
        <f>IF(A207="","",IFERROR(INDEX(Firms!$B$5:$B$1004,MATCH(A207,Firms!$A$5:$A$1004,0)),"Not on Firms tab"))</f>
        <v/>
      </c>
      <c r="N207">
        <f>IF(AND(A207&lt;&gt;"",A207='Firm Search'!$C$7),COUNTIF($A$5:A207,'Firm Search'!$C$7),"")</f>
        <v/>
      </c>
    </row>
    <row r="208">
      <c r="A208" s="5" t="n"/>
      <c r="B208" s="5" t="n"/>
      <c r="C208" s="52" t="n"/>
      <c r="D208" s="52" t="n"/>
      <c r="E208" s="52" t="n"/>
      <c r="F208" s="52" t="n"/>
      <c r="G208" s="52" t="n"/>
      <c r="H208" s="52" t="n"/>
      <c r="I208" s="52" t="n"/>
      <c r="J208" s="52" t="n"/>
      <c r="K208" s="54" t="n"/>
      <c r="L208" s="5" t="n"/>
      <c r="M208" s="53">
        <f>IF(A208="","",IFERROR(INDEX(Firms!$B$5:$B$1004,MATCH(A208,Firms!$A$5:$A$1004,0)),"Not on Firms tab"))</f>
        <v/>
      </c>
      <c r="N208">
        <f>IF(AND(A208&lt;&gt;"",A208='Firm Search'!$C$7),COUNTIF($A$5:A208,'Firm Search'!$C$7),"")</f>
        <v/>
      </c>
    </row>
    <row r="209">
      <c r="A209" s="5" t="n"/>
      <c r="B209" s="5" t="n"/>
      <c r="C209" s="52" t="n"/>
      <c r="D209" s="52" t="n"/>
      <c r="E209" s="52" t="n"/>
      <c r="F209" s="52" t="n"/>
      <c r="G209" s="52" t="n"/>
      <c r="H209" s="52" t="n"/>
      <c r="I209" s="52" t="n"/>
      <c r="J209" s="52" t="n"/>
      <c r="K209" s="54" t="n"/>
      <c r="L209" s="5" t="n"/>
      <c r="M209" s="53">
        <f>IF(A209="","",IFERROR(INDEX(Firms!$B$5:$B$1004,MATCH(A209,Firms!$A$5:$A$1004,0)),"Not on Firms tab"))</f>
        <v/>
      </c>
      <c r="N209">
        <f>IF(AND(A209&lt;&gt;"",A209='Firm Search'!$C$7),COUNTIF($A$5:A209,'Firm Search'!$C$7),"")</f>
        <v/>
      </c>
    </row>
    <row r="210">
      <c r="A210" s="5" t="n"/>
      <c r="B210" s="5" t="n"/>
      <c r="C210" s="52" t="n"/>
      <c r="D210" s="52" t="n"/>
      <c r="E210" s="52" t="n"/>
      <c r="F210" s="52" t="n"/>
      <c r="G210" s="52" t="n"/>
      <c r="H210" s="52" t="n"/>
      <c r="I210" s="52" t="n"/>
      <c r="J210" s="52" t="n"/>
      <c r="K210" s="54" t="n"/>
      <c r="L210" s="5" t="n"/>
      <c r="M210" s="53">
        <f>IF(A210="","",IFERROR(INDEX(Firms!$B$5:$B$1004,MATCH(A210,Firms!$A$5:$A$1004,0)),"Not on Firms tab"))</f>
        <v/>
      </c>
      <c r="N210">
        <f>IF(AND(A210&lt;&gt;"",A210='Firm Search'!$C$7),COUNTIF($A$5:A210,'Firm Search'!$C$7),"")</f>
        <v/>
      </c>
    </row>
    <row r="211">
      <c r="A211" s="5" t="n"/>
      <c r="B211" s="5" t="n"/>
      <c r="C211" s="52" t="n"/>
      <c r="D211" s="52" t="n"/>
      <c r="E211" s="52" t="n"/>
      <c r="F211" s="52" t="n"/>
      <c r="G211" s="52" t="n"/>
      <c r="H211" s="52" t="n"/>
      <c r="I211" s="52" t="n"/>
      <c r="J211" s="52" t="n"/>
      <c r="K211" s="54" t="n"/>
      <c r="L211" s="5" t="n"/>
      <c r="M211" s="53">
        <f>IF(A211="","",IFERROR(INDEX(Firms!$B$5:$B$1004,MATCH(A211,Firms!$A$5:$A$1004,0)),"Not on Firms tab"))</f>
        <v/>
      </c>
      <c r="N211">
        <f>IF(AND(A211&lt;&gt;"",A211='Firm Search'!$C$7),COUNTIF($A$5:A211,'Firm Search'!$C$7),"")</f>
        <v/>
      </c>
    </row>
    <row r="212">
      <c r="A212" s="5" t="n"/>
      <c r="B212" s="5" t="n"/>
      <c r="C212" s="52" t="n"/>
      <c r="D212" s="52" t="n"/>
      <c r="E212" s="52" t="n"/>
      <c r="F212" s="52" t="n"/>
      <c r="G212" s="52" t="n"/>
      <c r="H212" s="52" t="n"/>
      <c r="I212" s="52" t="n"/>
      <c r="J212" s="52" t="n"/>
      <c r="K212" s="54" t="n"/>
      <c r="L212" s="5" t="n"/>
      <c r="M212" s="53">
        <f>IF(A212="","",IFERROR(INDEX(Firms!$B$5:$B$1004,MATCH(A212,Firms!$A$5:$A$1004,0)),"Not on Firms tab"))</f>
        <v/>
      </c>
      <c r="N212">
        <f>IF(AND(A212&lt;&gt;"",A212='Firm Search'!$C$7),COUNTIF($A$5:A212,'Firm Search'!$C$7),"")</f>
        <v/>
      </c>
    </row>
    <row r="213">
      <c r="A213" s="5" t="n"/>
      <c r="B213" s="5" t="n"/>
      <c r="C213" s="52" t="n"/>
      <c r="D213" s="52" t="n"/>
      <c r="E213" s="52" t="n"/>
      <c r="F213" s="52" t="n"/>
      <c r="G213" s="52" t="n"/>
      <c r="H213" s="52" t="n"/>
      <c r="I213" s="52" t="n"/>
      <c r="J213" s="52" t="n"/>
      <c r="K213" s="54" t="n"/>
      <c r="L213" s="5" t="n"/>
      <c r="M213" s="53">
        <f>IF(A213="","",IFERROR(INDEX(Firms!$B$5:$B$1004,MATCH(A213,Firms!$A$5:$A$1004,0)),"Not on Firms tab"))</f>
        <v/>
      </c>
      <c r="N213">
        <f>IF(AND(A213&lt;&gt;"",A213='Firm Search'!$C$7),COUNTIF($A$5:A213,'Firm Search'!$C$7),"")</f>
        <v/>
      </c>
    </row>
    <row r="214">
      <c r="A214" s="5" t="n"/>
      <c r="B214" s="5" t="n"/>
      <c r="C214" s="52" t="n"/>
      <c r="D214" s="52" t="n"/>
      <c r="E214" s="52" t="n"/>
      <c r="F214" s="52" t="n"/>
      <c r="G214" s="52" t="n"/>
      <c r="H214" s="52" t="n"/>
      <c r="I214" s="52" t="n"/>
      <c r="J214" s="52" t="n"/>
      <c r="K214" s="54" t="n"/>
      <c r="L214" s="5" t="n"/>
      <c r="M214" s="53">
        <f>IF(A214="","",IFERROR(INDEX(Firms!$B$5:$B$1004,MATCH(A214,Firms!$A$5:$A$1004,0)),"Not on Firms tab"))</f>
        <v/>
      </c>
      <c r="N214">
        <f>IF(AND(A214&lt;&gt;"",A214='Firm Search'!$C$7),COUNTIF($A$5:A214,'Firm Search'!$C$7),"")</f>
        <v/>
      </c>
    </row>
    <row r="215">
      <c r="A215" s="5" t="n"/>
      <c r="B215" s="5" t="n"/>
      <c r="C215" s="52" t="n"/>
      <c r="D215" s="52" t="n"/>
      <c r="E215" s="52" t="n"/>
      <c r="F215" s="52" t="n"/>
      <c r="G215" s="52" t="n"/>
      <c r="H215" s="52" t="n"/>
      <c r="I215" s="52" t="n"/>
      <c r="J215" s="52" t="n"/>
      <c r="K215" s="54" t="n"/>
      <c r="L215" s="5" t="n"/>
      <c r="M215" s="53">
        <f>IF(A215="","",IFERROR(INDEX(Firms!$B$5:$B$1004,MATCH(A215,Firms!$A$5:$A$1004,0)),"Not on Firms tab"))</f>
        <v/>
      </c>
      <c r="N215">
        <f>IF(AND(A215&lt;&gt;"",A215='Firm Search'!$C$7),COUNTIF($A$5:A215,'Firm Search'!$C$7),"")</f>
        <v/>
      </c>
    </row>
    <row r="216">
      <c r="A216" s="5" t="n"/>
      <c r="B216" s="5" t="n"/>
      <c r="C216" s="52" t="n"/>
      <c r="D216" s="52" t="n"/>
      <c r="E216" s="52" t="n"/>
      <c r="F216" s="52" t="n"/>
      <c r="G216" s="52" t="n"/>
      <c r="H216" s="52" t="n"/>
      <c r="I216" s="52" t="n"/>
      <c r="J216" s="52" t="n"/>
      <c r="K216" s="54" t="n"/>
      <c r="L216" s="5" t="n"/>
      <c r="M216" s="53">
        <f>IF(A216="","",IFERROR(INDEX(Firms!$B$5:$B$1004,MATCH(A216,Firms!$A$5:$A$1004,0)),"Not on Firms tab"))</f>
        <v/>
      </c>
      <c r="N216">
        <f>IF(AND(A216&lt;&gt;"",A216='Firm Search'!$C$7),COUNTIF($A$5:A216,'Firm Search'!$C$7),"")</f>
        <v/>
      </c>
    </row>
    <row r="217">
      <c r="A217" s="5" t="n"/>
      <c r="B217" s="5" t="n"/>
      <c r="C217" s="52" t="n"/>
      <c r="D217" s="52" t="n"/>
      <c r="E217" s="52" t="n"/>
      <c r="F217" s="52" t="n"/>
      <c r="G217" s="52" t="n"/>
      <c r="H217" s="52" t="n"/>
      <c r="I217" s="52" t="n"/>
      <c r="J217" s="52" t="n"/>
      <c r="K217" s="54" t="n"/>
      <c r="L217" s="5" t="n"/>
      <c r="M217" s="53">
        <f>IF(A217="","",IFERROR(INDEX(Firms!$B$5:$B$1004,MATCH(A217,Firms!$A$5:$A$1004,0)),"Not on Firms tab"))</f>
        <v/>
      </c>
      <c r="N217">
        <f>IF(AND(A217&lt;&gt;"",A217='Firm Search'!$C$7),COUNTIF($A$5:A217,'Firm Search'!$C$7),"")</f>
        <v/>
      </c>
    </row>
    <row r="218">
      <c r="A218" s="5" t="n"/>
      <c r="B218" s="5" t="n"/>
      <c r="C218" s="52" t="n"/>
      <c r="D218" s="52" t="n"/>
      <c r="E218" s="52" t="n"/>
      <c r="F218" s="52" t="n"/>
      <c r="G218" s="52" t="n"/>
      <c r="H218" s="52" t="n"/>
      <c r="I218" s="52" t="n"/>
      <c r="J218" s="52" t="n"/>
      <c r="K218" s="54" t="n"/>
      <c r="L218" s="5" t="n"/>
      <c r="M218" s="53">
        <f>IF(A218="","",IFERROR(INDEX(Firms!$B$5:$B$1004,MATCH(A218,Firms!$A$5:$A$1004,0)),"Not on Firms tab"))</f>
        <v/>
      </c>
      <c r="N218">
        <f>IF(AND(A218&lt;&gt;"",A218='Firm Search'!$C$7),COUNTIF($A$5:A218,'Firm Search'!$C$7),"")</f>
        <v/>
      </c>
    </row>
    <row r="219">
      <c r="A219" s="5" t="n"/>
      <c r="B219" s="5" t="n"/>
      <c r="C219" s="52" t="n"/>
      <c r="D219" s="52" t="n"/>
      <c r="E219" s="52" t="n"/>
      <c r="F219" s="52" t="n"/>
      <c r="G219" s="52" t="n"/>
      <c r="H219" s="52" t="n"/>
      <c r="I219" s="52" t="n"/>
      <c r="J219" s="52" t="n"/>
      <c r="K219" s="54" t="n"/>
      <c r="L219" s="5" t="n"/>
      <c r="M219" s="53">
        <f>IF(A219="","",IFERROR(INDEX(Firms!$B$5:$B$1004,MATCH(A219,Firms!$A$5:$A$1004,0)),"Not on Firms tab"))</f>
        <v/>
      </c>
      <c r="N219">
        <f>IF(AND(A219&lt;&gt;"",A219='Firm Search'!$C$7),COUNTIF($A$5:A219,'Firm Search'!$C$7),"")</f>
        <v/>
      </c>
    </row>
    <row r="220">
      <c r="A220" s="5" t="n"/>
      <c r="B220" s="5" t="n"/>
      <c r="C220" s="52" t="n"/>
      <c r="D220" s="52" t="n"/>
      <c r="E220" s="52" t="n"/>
      <c r="F220" s="52" t="n"/>
      <c r="G220" s="52" t="n"/>
      <c r="H220" s="52" t="n"/>
      <c r="I220" s="52" t="n"/>
      <c r="J220" s="52" t="n"/>
      <c r="K220" s="54" t="n"/>
      <c r="L220" s="5" t="n"/>
      <c r="M220" s="53">
        <f>IF(A220="","",IFERROR(INDEX(Firms!$B$5:$B$1004,MATCH(A220,Firms!$A$5:$A$1004,0)),"Not on Firms tab"))</f>
        <v/>
      </c>
      <c r="N220">
        <f>IF(AND(A220&lt;&gt;"",A220='Firm Search'!$C$7),COUNTIF($A$5:A220,'Firm Search'!$C$7),"")</f>
        <v/>
      </c>
    </row>
    <row r="221">
      <c r="A221" s="5" t="n"/>
      <c r="B221" s="5" t="n"/>
      <c r="C221" s="52" t="n"/>
      <c r="D221" s="52" t="n"/>
      <c r="E221" s="52" t="n"/>
      <c r="F221" s="52" t="n"/>
      <c r="G221" s="52" t="n"/>
      <c r="H221" s="52" t="n"/>
      <c r="I221" s="52" t="n"/>
      <c r="J221" s="52" t="n"/>
      <c r="K221" s="54" t="n"/>
      <c r="L221" s="5" t="n"/>
      <c r="M221" s="53">
        <f>IF(A221="","",IFERROR(INDEX(Firms!$B$5:$B$1004,MATCH(A221,Firms!$A$5:$A$1004,0)),"Not on Firms tab"))</f>
        <v/>
      </c>
      <c r="N221">
        <f>IF(AND(A221&lt;&gt;"",A221='Firm Search'!$C$7),COUNTIF($A$5:A221,'Firm Search'!$C$7),"")</f>
        <v/>
      </c>
    </row>
    <row r="222">
      <c r="A222" s="5" t="n"/>
      <c r="B222" s="5" t="n"/>
      <c r="C222" s="52" t="n"/>
      <c r="D222" s="52" t="n"/>
      <c r="E222" s="52" t="n"/>
      <c r="F222" s="52" t="n"/>
      <c r="G222" s="52" t="n"/>
      <c r="H222" s="52" t="n"/>
      <c r="I222" s="52" t="n"/>
      <c r="J222" s="52" t="n"/>
      <c r="K222" s="54" t="n"/>
      <c r="L222" s="5" t="n"/>
      <c r="M222" s="53">
        <f>IF(A222="","",IFERROR(INDEX(Firms!$B$5:$B$1004,MATCH(A222,Firms!$A$5:$A$1004,0)),"Not on Firms tab"))</f>
        <v/>
      </c>
      <c r="N222">
        <f>IF(AND(A222&lt;&gt;"",A222='Firm Search'!$C$7),COUNTIF($A$5:A222,'Firm Search'!$C$7),"")</f>
        <v/>
      </c>
    </row>
    <row r="223">
      <c r="A223" s="5" t="n"/>
      <c r="B223" s="5" t="n"/>
      <c r="C223" s="52" t="n"/>
      <c r="D223" s="52" t="n"/>
      <c r="E223" s="52" t="n"/>
      <c r="F223" s="52" t="n"/>
      <c r="G223" s="52" t="n"/>
      <c r="H223" s="52" t="n"/>
      <c r="I223" s="52" t="n"/>
      <c r="J223" s="52" t="n"/>
      <c r="K223" s="54" t="n"/>
      <c r="L223" s="5" t="n"/>
      <c r="M223" s="53">
        <f>IF(A223="","",IFERROR(INDEX(Firms!$B$5:$B$1004,MATCH(A223,Firms!$A$5:$A$1004,0)),"Not on Firms tab"))</f>
        <v/>
      </c>
      <c r="N223">
        <f>IF(AND(A223&lt;&gt;"",A223='Firm Search'!$C$7),COUNTIF($A$5:A223,'Firm Search'!$C$7),"")</f>
        <v/>
      </c>
    </row>
    <row r="224">
      <c r="A224" s="5" t="n"/>
      <c r="B224" s="5" t="n"/>
      <c r="C224" s="52" t="n"/>
      <c r="D224" s="52" t="n"/>
      <c r="E224" s="52" t="n"/>
      <c r="F224" s="52" t="n"/>
      <c r="G224" s="52" t="n"/>
      <c r="H224" s="52" t="n"/>
      <c r="I224" s="52" t="n"/>
      <c r="J224" s="52" t="n"/>
      <c r="K224" s="54" t="n"/>
      <c r="L224" s="5" t="n"/>
      <c r="M224" s="53">
        <f>IF(A224="","",IFERROR(INDEX(Firms!$B$5:$B$1004,MATCH(A224,Firms!$A$5:$A$1004,0)),"Not on Firms tab"))</f>
        <v/>
      </c>
      <c r="N224">
        <f>IF(AND(A224&lt;&gt;"",A224='Firm Search'!$C$7),COUNTIF($A$5:A224,'Firm Search'!$C$7),"")</f>
        <v/>
      </c>
    </row>
    <row r="225">
      <c r="A225" s="5" t="n"/>
      <c r="B225" s="5" t="n"/>
      <c r="C225" s="52" t="n"/>
      <c r="D225" s="52" t="n"/>
      <c r="E225" s="52" t="n"/>
      <c r="F225" s="52" t="n"/>
      <c r="G225" s="52" t="n"/>
      <c r="H225" s="52" t="n"/>
      <c r="I225" s="52" t="n"/>
      <c r="J225" s="52" t="n"/>
      <c r="K225" s="54" t="n"/>
      <c r="L225" s="5" t="n"/>
      <c r="M225" s="53">
        <f>IF(A225="","",IFERROR(INDEX(Firms!$B$5:$B$1004,MATCH(A225,Firms!$A$5:$A$1004,0)),"Not on Firms tab"))</f>
        <v/>
      </c>
      <c r="N225">
        <f>IF(AND(A225&lt;&gt;"",A225='Firm Search'!$C$7),COUNTIF($A$5:A225,'Firm Search'!$C$7),"")</f>
        <v/>
      </c>
    </row>
    <row r="226">
      <c r="A226" s="5" t="n"/>
      <c r="B226" s="5" t="n"/>
      <c r="C226" s="52" t="n"/>
      <c r="D226" s="52" t="n"/>
      <c r="E226" s="52" t="n"/>
      <c r="F226" s="52" t="n"/>
      <c r="G226" s="52" t="n"/>
      <c r="H226" s="52" t="n"/>
      <c r="I226" s="52" t="n"/>
      <c r="J226" s="52" t="n"/>
      <c r="K226" s="54" t="n"/>
      <c r="L226" s="5" t="n"/>
      <c r="M226" s="53">
        <f>IF(A226="","",IFERROR(INDEX(Firms!$B$5:$B$1004,MATCH(A226,Firms!$A$5:$A$1004,0)),"Not on Firms tab"))</f>
        <v/>
      </c>
      <c r="N226">
        <f>IF(AND(A226&lt;&gt;"",A226='Firm Search'!$C$7),COUNTIF($A$5:A226,'Firm Search'!$C$7),"")</f>
        <v/>
      </c>
    </row>
    <row r="227">
      <c r="A227" s="5" t="n"/>
      <c r="B227" s="5" t="n"/>
      <c r="C227" s="52" t="n"/>
      <c r="D227" s="52" t="n"/>
      <c r="E227" s="52" t="n"/>
      <c r="F227" s="52" t="n"/>
      <c r="G227" s="52" t="n"/>
      <c r="H227" s="52" t="n"/>
      <c r="I227" s="52" t="n"/>
      <c r="J227" s="52" t="n"/>
      <c r="K227" s="54" t="n"/>
      <c r="L227" s="5" t="n"/>
      <c r="M227" s="53">
        <f>IF(A227="","",IFERROR(INDEX(Firms!$B$5:$B$1004,MATCH(A227,Firms!$A$5:$A$1004,0)),"Not on Firms tab"))</f>
        <v/>
      </c>
      <c r="N227">
        <f>IF(AND(A227&lt;&gt;"",A227='Firm Search'!$C$7),COUNTIF($A$5:A227,'Firm Search'!$C$7),"")</f>
        <v/>
      </c>
    </row>
    <row r="228">
      <c r="A228" s="5" t="n"/>
      <c r="B228" s="5" t="n"/>
      <c r="C228" s="52" t="n"/>
      <c r="D228" s="52" t="n"/>
      <c r="E228" s="52" t="n"/>
      <c r="F228" s="52" t="n"/>
      <c r="G228" s="52" t="n"/>
      <c r="H228" s="52" t="n"/>
      <c r="I228" s="52" t="n"/>
      <c r="J228" s="52" t="n"/>
      <c r="K228" s="54" t="n"/>
      <c r="L228" s="5" t="n"/>
      <c r="M228" s="53">
        <f>IF(A228="","",IFERROR(INDEX(Firms!$B$5:$B$1004,MATCH(A228,Firms!$A$5:$A$1004,0)),"Not on Firms tab"))</f>
        <v/>
      </c>
      <c r="N228">
        <f>IF(AND(A228&lt;&gt;"",A228='Firm Search'!$C$7),COUNTIF($A$5:A228,'Firm Search'!$C$7),"")</f>
        <v/>
      </c>
    </row>
    <row r="229">
      <c r="A229" s="5" t="n"/>
      <c r="B229" s="5" t="n"/>
      <c r="C229" s="52" t="n"/>
      <c r="D229" s="52" t="n"/>
      <c r="E229" s="52" t="n"/>
      <c r="F229" s="52" t="n"/>
      <c r="G229" s="52" t="n"/>
      <c r="H229" s="52" t="n"/>
      <c r="I229" s="52" t="n"/>
      <c r="J229" s="52" t="n"/>
      <c r="K229" s="54" t="n"/>
      <c r="L229" s="5" t="n"/>
      <c r="M229" s="53">
        <f>IF(A229="","",IFERROR(INDEX(Firms!$B$5:$B$1004,MATCH(A229,Firms!$A$5:$A$1004,0)),"Not on Firms tab"))</f>
        <v/>
      </c>
      <c r="N229">
        <f>IF(AND(A229&lt;&gt;"",A229='Firm Search'!$C$7),COUNTIF($A$5:A229,'Firm Search'!$C$7),"")</f>
        <v/>
      </c>
    </row>
    <row r="230">
      <c r="A230" s="5" t="n"/>
      <c r="B230" s="5" t="n"/>
      <c r="C230" s="52" t="n"/>
      <c r="D230" s="52" t="n"/>
      <c r="E230" s="52" t="n"/>
      <c r="F230" s="52" t="n"/>
      <c r="G230" s="52" t="n"/>
      <c r="H230" s="52" t="n"/>
      <c r="I230" s="52" t="n"/>
      <c r="J230" s="52" t="n"/>
      <c r="K230" s="54" t="n"/>
      <c r="L230" s="5" t="n"/>
      <c r="M230" s="53">
        <f>IF(A230="","",IFERROR(INDEX(Firms!$B$5:$B$1004,MATCH(A230,Firms!$A$5:$A$1004,0)),"Not on Firms tab"))</f>
        <v/>
      </c>
      <c r="N230">
        <f>IF(AND(A230&lt;&gt;"",A230='Firm Search'!$C$7),COUNTIF($A$5:A230,'Firm Search'!$C$7),"")</f>
        <v/>
      </c>
    </row>
    <row r="231">
      <c r="A231" s="5" t="n"/>
      <c r="B231" s="5" t="n"/>
      <c r="C231" s="52" t="n"/>
      <c r="D231" s="52" t="n"/>
      <c r="E231" s="52" t="n"/>
      <c r="F231" s="52" t="n"/>
      <c r="G231" s="52" t="n"/>
      <c r="H231" s="52" t="n"/>
      <c r="I231" s="52" t="n"/>
      <c r="J231" s="52" t="n"/>
      <c r="K231" s="54" t="n"/>
      <c r="L231" s="5" t="n"/>
      <c r="M231" s="53">
        <f>IF(A231="","",IFERROR(INDEX(Firms!$B$5:$B$1004,MATCH(A231,Firms!$A$5:$A$1004,0)),"Not on Firms tab"))</f>
        <v/>
      </c>
      <c r="N231">
        <f>IF(AND(A231&lt;&gt;"",A231='Firm Search'!$C$7),COUNTIF($A$5:A231,'Firm Search'!$C$7),"")</f>
        <v/>
      </c>
    </row>
    <row r="232">
      <c r="A232" s="5" t="n"/>
      <c r="B232" s="5" t="n"/>
      <c r="C232" s="52" t="n"/>
      <c r="D232" s="52" t="n"/>
      <c r="E232" s="52" t="n"/>
      <c r="F232" s="52" t="n"/>
      <c r="G232" s="52" t="n"/>
      <c r="H232" s="52" t="n"/>
      <c r="I232" s="52" t="n"/>
      <c r="J232" s="52" t="n"/>
      <c r="K232" s="54" t="n"/>
      <c r="L232" s="5" t="n"/>
      <c r="M232" s="53">
        <f>IF(A232="","",IFERROR(INDEX(Firms!$B$5:$B$1004,MATCH(A232,Firms!$A$5:$A$1004,0)),"Not on Firms tab"))</f>
        <v/>
      </c>
      <c r="N232">
        <f>IF(AND(A232&lt;&gt;"",A232='Firm Search'!$C$7),COUNTIF($A$5:A232,'Firm Search'!$C$7),"")</f>
        <v/>
      </c>
    </row>
    <row r="233">
      <c r="A233" s="5" t="n"/>
      <c r="B233" s="5" t="n"/>
      <c r="C233" s="52" t="n"/>
      <c r="D233" s="52" t="n"/>
      <c r="E233" s="52" t="n"/>
      <c r="F233" s="52" t="n"/>
      <c r="G233" s="52" t="n"/>
      <c r="H233" s="52" t="n"/>
      <c r="I233" s="52" t="n"/>
      <c r="J233" s="52" t="n"/>
      <c r="K233" s="54" t="n"/>
      <c r="L233" s="5" t="n"/>
      <c r="M233" s="53">
        <f>IF(A233="","",IFERROR(INDEX(Firms!$B$5:$B$1004,MATCH(A233,Firms!$A$5:$A$1004,0)),"Not on Firms tab"))</f>
        <v/>
      </c>
      <c r="N233">
        <f>IF(AND(A233&lt;&gt;"",A233='Firm Search'!$C$7),COUNTIF($A$5:A233,'Firm Search'!$C$7),"")</f>
        <v/>
      </c>
    </row>
    <row r="234">
      <c r="A234" s="5" t="n"/>
      <c r="B234" s="5" t="n"/>
      <c r="C234" s="52" t="n"/>
      <c r="D234" s="52" t="n"/>
      <c r="E234" s="52" t="n"/>
      <c r="F234" s="52" t="n"/>
      <c r="G234" s="52" t="n"/>
      <c r="H234" s="52" t="n"/>
      <c r="I234" s="52" t="n"/>
      <c r="J234" s="52" t="n"/>
      <c r="K234" s="54" t="n"/>
      <c r="L234" s="5" t="n"/>
      <c r="M234" s="53">
        <f>IF(A234="","",IFERROR(INDEX(Firms!$B$5:$B$1004,MATCH(A234,Firms!$A$5:$A$1004,0)),"Not on Firms tab"))</f>
        <v/>
      </c>
      <c r="N234">
        <f>IF(AND(A234&lt;&gt;"",A234='Firm Search'!$C$7),COUNTIF($A$5:A234,'Firm Search'!$C$7),"")</f>
        <v/>
      </c>
    </row>
    <row r="235">
      <c r="A235" s="5" t="n"/>
      <c r="B235" s="5" t="n"/>
      <c r="C235" s="52" t="n"/>
      <c r="D235" s="52" t="n"/>
      <c r="E235" s="52" t="n"/>
      <c r="F235" s="52" t="n"/>
      <c r="G235" s="52" t="n"/>
      <c r="H235" s="52" t="n"/>
      <c r="I235" s="52" t="n"/>
      <c r="J235" s="52" t="n"/>
      <c r="K235" s="54" t="n"/>
      <c r="L235" s="5" t="n"/>
      <c r="M235" s="53">
        <f>IF(A235="","",IFERROR(INDEX(Firms!$B$5:$B$1004,MATCH(A235,Firms!$A$5:$A$1004,0)),"Not on Firms tab"))</f>
        <v/>
      </c>
      <c r="N235">
        <f>IF(AND(A235&lt;&gt;"",A235='Firm Search'!$C$7),COUNTIF($A$5:A235,'Firm Search'!$C$7),"")</f>
        <v/>
      </c>
    </row>
    <row r="236">
      <c r="A236" s="5" t="n"/>
      <c r="B236" s="5" t="n"/>
      <c r="C236" s="52" t="n"/>
      <c r="D236" s="52" t="n"/>
      <c r="E236" s="52" t="n"/>
      <c r="F236" s="52" t="n"/>
      <c r="G236" s="52" t="n"/>
      <c r="H236" s="52" t="n"/>
      <c r="I236" s="52" t="n"/>
      <c r="J236" s="52" t="n"/>
      <c r="K236" s="54" t="n"/>
      <c r="L236" s="5" t="n"/>
      <c r="M236" s="53">
        <f>IF(A236="","",IFERROR(INDEX(Firms!$B$5:$B$1004,MATCH(A236,Firms!$A$5:$A$1004,0)),"Not on Firms tab"))</f>
        <v/>
      </c>
      <c r="N236">
        <f>IF(AND(A236&lt;&gt;"",A236='Firm Search'!$C$7),COUNTIF($A$5:A236,'Firm Search'!$C$7),"")</f>
        <v/>
      </c>
    </row>
    <row r="237">
      <c r="A237" s="5" t="n"/>
      <c r="B237" s="5" t="n"/>
      <c r="C237" s="52" t="n"/>
      <c r="D237" s="52" t="n"/>
      <c r="E237" s="52" t="n"/>
      <c r="F237" s="52" t="n"/>
      <c r="G237" s="52" t="n"/>
      <c r="H237" s="52" t="n"/>
      <c r="I237" s="52" t="n"/>
      <c r="J237" s="52" t="n"/>
      <c r="K237" s="54" t="n"/>
      <c r="L237" s="5" t="n"/>
      <c r="M237" s="53">
        <f>IF(A237="","",IFERROR(INDEX(Firms!$B$5:$B$1004,MATCH(A237,Firms!$A$5:$A$1004,0)),"Not on Firms tab"))</f>
        <v/>
      </c>
      <c r="N237">
        <f>IF(AND(A237&lt;&gt;"",A237='Firm Search'!$C$7),COUNTIF($A$5:A237,'Firm Search'!$C$7),"")</f>
        <v/>
      </c>
    </row>
    <row r="238">
      <c r="A238" s="5" t="n"/>
      <c r="B238" s="5" t="n"/>
      <c r="C238" s="52" t="n"/>
      <c r="D238" s="52" t="n"/>
      <c r="E238" s="52" t="n"/>
      <c r="F238" s="52" t="n"/>
      <c r="G238" s="52" t="n"/>
      <c r="H238" s="52" t="n"/>
      <c r="I238" s="52" t="n"/>
      <c r="J238" s="52" t="n"/>
      <c r="K238" s="54" t="n"/>
      <c r="L238" s="5" t="n"/>
      <c r="M238" s="53">
        <f>IF(A238="","",IFERROR(INDEX(Firms!$B$5:$B$1004,MATCH(A238,Firms!$A$5:$A$1004,0)),"Not on Firms tab"))</f>
        <v/>
      </c>
      <c r="N238">
        <f>IF(AND(A238&lt;&gt;"",A238='Firm Search'!$C$7),COUNTIF($A$5:A238,'Firm Search'!$C$7),"")</f>
        <v/>
      </c>
    </row>
    <row r="239">
      <c r="A239" s="5" t="n"/>
      <c r="B239" s="5" t="n"/>
      <c r="C239" s="52" t="n"/>
      <c r="D239" s="52" t="n"/>
      <c r="E239" s="52" t="n"/>
      <c r="F239" s="52" t="n"/>
      <c r="G239" s="52" t="n"/>
      <c r="H239" s="52" t="n"/>
      <c r="I239" s="52" t="n"/>
      <c r="J239" s="52" t="n"/>
      <c r="K239" s="54" t="n"/>
      <c r="L239" s="5" t="n"/>
      <c r="M239" s="53">
        <f>IF(A239="","",IFERROR(INDEX(Firms!$B$5:$B$1004,MATCH(A239,Firms!$A$5:$A$1004,0)),"Not on Firms tab"))</f>
        <v/>
      </c>
      <c r="N239">
        <f>IF(AND(A239&lt;&gt;"",A239='Firm Search'!$C$7),COUNTIF($A$5:A239,'Firm Search'!$C$7),"")</f>
        <v/>
      </c>
    </row>
    <row r="240">
      <c r="A240" s="5" t="n"/>
      <c r="B240" s="5" t="n"/>
      <c r="C240" s="52" t="n"/>
      <c r="D240" s="52" t="n"/>
      <c r="E240" s="52" t="n"/>
      <c r="F240" s="52" t="n"/>
      <c r="G240" s="52" t="n"/>
      <c r="H240" s="52" t="n"/>
      <c r="I240" s="52" t="n"/>
      <c r="J240" s="52" t="n"/>
      <c r="K240" s="54" t="n"/>
      <c r="L240" s="5" t="n"/>
      <c r="M240" s="53">
        <f>IF(A240="","",IFERROR(INDEX(Firms!$B$5:$B$1004,MATCH(A240,Firms!$A$5:$A$1004,0)),"Not on Firms tab"))</f>
        <v/>
      </c>
      <c r="N240">
        <f>IF(AND(A240&lt;&gt;"",A240='Firm Search'!$C$7),COUNTIF($A$5:A240,'Firm Search'!$C$7),"")</f>
        <v/>
      </c>
    </row>
    <row r="241">
      <c r="A241" s="5" t="n"/>
      <c r="B241" s="5" t="n"/>
      <c r="C241" s="52" t="n"/>
      <c r="D241" s="52" t="n"/>
      <c r="E241" s="52" t="n"/>
      <c r="F241" s="52" t="n"/>
      <c r="G241" s="52" t="n"/>
      <c r="H241" s="52" t="n"/>
      <c r="I241" s="52" t="n"/>
      <c r="J241" s="52" t="n"/>
      <c r="K241" s="54" t="n"/>
      <c r="L241" s="5" t="n"/>
      <c r="M241" s="53">
        <f>IF(A241="","",IFERROR(INDEX(Firms!$B$5:$B$1004,MATCH(A241,Firms!$A$5:$A$1004,0)),"Not on Firms tab"))</f>
        <v/>
      </c>
      <c r="N241">
        <f>IF(AND(A241&lt;&gt;"",A241='Firm Search'!$C$7),COUNTIF($A$5:A241,'Firm Search'!$C$7),"")</f>
        <v/>
      </c>
    </row>
    <row r="242">
      <c r="A242" s="5" t="n"/>
      <c r="B242" s="5" t="n"/>
      <c r="C242" s="52" t="n"/>
      <c r="D242" s="52" t="n"/>
      <c r="E242" s="52" t="n"/>
      <c r="F242" s="52" t="n"/>
      <c r="G242" s="52" t="n"/>
      <c r="H242" s="52" t="n"/>
      <c r="I242" s="52" t="n"/>
      <c r="J242" s="52" t="n"/>
      <c r="K242" s="54" t="n"/>
      <c r="L242" s="5" t="n"/>
      <c r="M242" s="53">
        <f>IF(A242="","",IFERROR(INDEX(Firms!$B$5:$B$1004,MATCH(A242,Firms!$A$5:$A$1004,0)),"Not on Firms tab"))</f>
        <v/>
      </c>
      <c r="N242">
        <f>IF(AND(A242&lt;&gt;"",A242='Firm Search'!$C$7),COUNTIF($A$5:A242,'Firm Search'!$C$7),"")</f>
        <v/>
      </c>
    </row>
    <row r="243">
      <c r="A243" s="5" t="n"/>
      <c r="B243" s="5" t="n"/>
      <c r="C243" s="52" t="n"/>
      <c r="D243" s="52" t="n"/>
      <c r="E243" s="52" t="n"/>
      <c r="F243" s="52" t="n"/>
      <c r="G243" s="52" t="n"/>
      <c r="H243" s="52" t="n"/>
      <c r="I243" s="52" t="n"/>
      <c r="J243" s="52" t="n"/>
      <c r="K243" s="54" t="n"/>
      <c r="L243" s="5" t="n"/>
      <c r="M243" s="53">
        <f>IF(A243="","",IFERROR(INDEX(Firms!$B$5:$B$1004,MATCH(A243,Firms!$A$5:$A$1004,0)),"Not on Firms tab"))</f>
        <v/>
      </c>
      <c r="N243">
        <f>IF(AND(A243&lt;&gt;"",A243='Firm Search'!$C$7),COUNTIF($A$5:A243,'Firm Search'!$C$7),"")</f>
        <v/>
      </c>
    </row>
    <row r="244">
      <c r="A244" s="5" t="n"/>
      <c r="B244" s="5" t="n"/>
      <c r="C244" s="52" t="n"/>
      <c r="D244" s="52" t="n"/>
      <c r="E244" s="52" t="n"/>
      <c r="F244" s="52" t="n"/>
      <c r="G244" s="52" t="n"/>
      <c r="H244" s="52" t="n"/>
      <c r="I244" s="52" t="n"/>
      <c r="J244" s="52" t="n"/>
      <c r="K244" s="54" t="n"/>
      <c r="L244" s="5" t="n"/>
      <c r="M244" s="53">
        <f>IF(A244="","",IFERROR(INDEX(Firms!$B$5:$B$1004,MATCH(A244,Firms!$A$5:$A$1004,0)),"Not on Firms tab"))</f>
        <v/>
      </c>
      <c r="N244">
        <f>IF(AND(A244&lt;&gt;"",A244='Firm Search'!$C$7),COUNTIF($A$5:A244,'Firm Search'!$C$7),"")</f>
        <v/>
      </c>
    </row>
    <row r="245">
      <c r="A245" s="5" t="n"/>
      <c r="B245" s="5" t="n"/>
      <c r="C245" s="52" t="n"/>
      <c r="D245" s="52" t="n"/>
      <c r="E245" s="52" t="n"/>
      <c r="F245" s="52" t="n"/>
      <c r="G245" s="52" t="n"/>
      <c r="H245" s="52" t="n"/>
      <c r="I245" s="52" t="n"/>
      <c r="J245" s="52" t="n"/>
      <c r="K245" s="54" t="n"/>
      <c r="L245" s="5" t="n"/>
      <c r="M245" s="53">
        <f>IF(A245="","",IFERROR(INDEX(Firms!$B$5:$B$1004,MATCH(A245,Firms!$A$5:$A$1004,0)),"Not on Firms tab"))</f>
        <v/>
      </c>
      <c r="N245">
        <f>IF(AND(A245&lt;&gt;"",A245='Firm Search'!$C$7),COUNTIF($A$5:A245,'Firm Search'!$C$7),"")</f>
        <v/>
      </c>
    </row>
    <row r="246">
      <c r="A246" s="5" t="n"/>
      <c r="B246" s="5" t="n"/>
      <c r="C246" s="52" t="n"/>
      <c r="D246" s="52" t="n"/>
      <c r="E246" s="52" t="n"/>
      <c r="F246" s="52" t="n"/>
      <c r="G246" s="52" t="n"/>
      <c r="H246" s="52" t="n"/>
      <c r="I246" s="52" t="n"/>
      <c r="J246" s="52" t="n"/>
      <c r="K246" s="54" t="n"/>
      <c r="L246" s="5" t="n"/>
      <c r="M246" s="53">
        <f>IF(A246="","",IFERROR(INDEX(Firms!$B$5:$B$1004,MATCH(A246,Firms!$A$5:$A$1004,0)),"Not on Firms tab"))</f>
        <v/>
      </c>
      <c r="N246">
        <f>IF(AND(A246&lt;&gt;"",A246='Firm Search'!$C$7),COUNTIF($A$5:A246,'Firm Search'!$C$7),"")</f>
        <v/>
      </c>
    </row>
    <row r="247">
      <c r="A247" s="5" t="n"/>
      <c r="B247" s="5" t="n"/>
      <c r="C247" s="52" t="n"/>
      <c r="D247" s="52" t="n"/>
      <c r="E247" s="52" t="n"/>
      <c r="F247" s="52" t="n"/>
      <c r="G247" s="52" t="n"/>
      <c r="H247" s="52" t="n"/>
      <c r="I247" s="52" t="n"/>
      <c r="J247" s="52" t="n"/>
      <c r="K247" s="54" t="n"/>
      <c r="L247" s="5" t="n"/>
      <c r="M247" s="53">
        <f>IF(A247="","",IFERROR(INDEX(Firms!$B$5:$B$1004,MATCH(A247,Firms!$A$5:$A$1004,0)),"Not on Firms tab"))</f>
        <v/>
      </c>
      <c r="N247">
        <f>IF(AND(A247&lt;&gt;"",A247='Firm Search'!$C$7),COUNTIF($A$5:A247,'Firm Search'!$C$7),"")</f>
        <v/>
      </c>
    </row>
    <row r="248">
      <c r="A248" s="5" t="n"/>
      <c r="B248" s="5" t="n"/>
      <c r="C248" s="52" t="n"/>
      <c r="D248" s="52" t="n"/>
      <c r="E248" s="52" t="n"/>
      <c r="F248" s="52" t="n"/>
      <c r="G248" s="52" t="n"/>
      <c r="H248" s="52" t="n"/>
      <c r="I248" s="52" t="n"/>
      <c r="J248" s="52" t="n"/>
      <c r="K248" s="54" t="n"/>
      <c r="L248" s="5" t="n"/>
      <c r="M248" s="53">
        <f>IF(A248="","",IFERROR(INDEX(Firms!$B$5:$B$1004,MATCH(A248,Firms!$A$5:$A$1004,0)),"Not on Firms tab"))</f>
        <v/>
      </c>
      <c r="N248">
        <f>IF(AND(A248&lt;&gt;"",A248='Firm Search'!$C$7),COUNTIF($A$5:A248,'Firm Search'!$C$7),"")</f>
        <v/>
      </c>
    </row>
    <row r="249">
      <c r="A249" s="5" t="n"/>
      <c r="B249" s="5" t="n"/>
      <c r="C249" s="52" t="n"/>
      <c r="D249" s="52" t="n"/>
      <c r="E249" s="52" t="n"/>
      <c r="F249" s="52" t="n"/>
      <c r="G249" s="52" t="n"/>
      <c r="H249" s="52" t="n"/>
      <c r="I249" s="52" t="n"/>
      <c r="J249" s="52" t="n"/>
      <c r="K249" s="54" t="n"/>
      <c r="L249" s="5" t="n"/>
      <c r="M249" s="53">
        <f>IF(A249="","",IFERROR(INDEX(Firms!$B$5:$B$1004,MATCH(A249,Firms!$A$5:$A$1004,0)),"Not on Firms tab"))</f>
        <v/>
      </c>
      <c r="N249">
        <f>IF(AND(A249&lt;&gt;"",A249='Firm Search'!$C$7),COUNTIF($A$5:A249,'Firm Search'!$C$7),"")</f>
        <v/>
      </c>
    </row>
    <row r="250">
      <c r="A250" s="5" t="n"/>
      <c r="B250" s="5" t="n"/>
      <c r="C250" s="52" t="n"/>
      <c r="D250" s="52" t="n"/>
      <c r="E250" s="52" t="n"/>
      <c r="F250" s="52" t="n"/>
      <c r="G250" s="52" t="n"/>
      <c r="H250" s="52" t="n"/>
      <c r="I250" s="52" t="n"/>
      <c r="J250" s="52" t="n"/>
      <c r="K250" s="54" t="n"/>
      <c r="L250" s="5" t="n"/>
      <c r="M250" s="53">
        <f>IF(A250="","",IFERROR(INDEX(Firms!$B$5:$B$1004,MATCH(A250,Firms!$A$5:$A$1004,0)),"Not on Firms tab"))</f>
        <v/>
      </c>
      <c r="N250">
        <f>IF(AND(A250&lt;&gt;"",A250='Firm Search'!$C$7),COUNTIF($A$5:A250,'Firm Search'!$C$7),"")</f>
        <v/>
      </c>
    </row>
    <row r="251">
      <c r="A251" s="5" t="n"/>
      <c r="B251" s="5" t="n"/>
      <c r="C251" s="52" t="n"/>
      <c r="D251" s="52" t="n"/>
      <c r="E251" s="52" t="n"/>
      <c r="F251" s="52" t="n"/>
      <c r="G251" s="52" t="n"/>
      <c r="H251" s="52" t="n"/>
      <c r="I251" s="52" t="n"/>
      <c r="J251" s="52" t="n"/>
      <c r="K251" s="54" t="n"/>
      <c r="L251" s="5" t="n"/>
      <c r="M251" s="53">
        <f>IF(A251="","",IFERROR(INDEX(Firms!$B$5:$B$1004,MATCH(A251,Firms!$A$5:$A$1004,0)),"Not on Firms tab"))</f>
        <v/>
      </c>
      <c r="N251">
        <f>IF(AND(A251&lt;&gt;"",A251='Firm Search'!$C$7),COUNTIF($A$5:A251,'Firm Search'!$C$7),"")</f>
        <v/>
      </c>
    </row>
    <row r="252">
      <c r="A252" s="5" t="n"/>
      <c r="B252" s="5" t="n"/>
      <c r="C252" s="52" t="n"/>
      <c r="D252" s="52" t="n"/>
      <c r="E252" s="52" t="n"/>
      <c r="F252" s="52" t="n"/>
      <c r="G252" s="52" t="n"/>
      <c r="H252" s="52" t="n"/>
      <c r="I252" s="52" t="n"/>
      <c r="J252" s="52" t="n"/>
      <c r="K252" s="54" t="n"/>
      <c r="L252" s="5" t="n"/>
      <c r="M252" s="53">
        <f>IF(A252="","",IFERROR(INDEX(Firms!$B$5:$B$1004,MATCH(A252,Firms!$A$5:$A$1004,0)),"Not on Firms tab"))</f>
        <v/>
      </c>
      <c r="N252">
        <f>IF(AND(A252&lt;&gt;"",A252='Firm Search'!$C$7),COUNTIF($A$5:A252,'Firm Search'!$C$7),"")</f>
        <v/>
      </c>
    </row>
    <row r="253">
      <c r="A253" s="5" t="n"/>
      <c r="B253" s="5" t="n"/>
      <c r="C253" s="52" t="n"/>
      <c r="D253" s="52" t="n"/>
      <c r="E253" s="52" t="n"/>
      <c r="F253" s="52" t="n"/>
      <c r="G253" s="52" t="n"/>
      <c r="H253" s="52" t="n"/>
      <c r="I253" s="52" t="n"/>
      <c r="J253" s="52" t="n"/>
      <c r="K253" s="54" t="n"/>
      <c r="L253" s="5" t="n"/>
      <c r="M253" s="53">
        <f>IF(A253="","",IFERROR(INDEX(Firms!$B$5:$B$1004,MATCH(A253,Firms!$A$5:$A$1004,0)),"Not on Firms tab"))</f>
        <v/>
      </c>
      <c r="N253">
        <f>IF(AND(A253&lt;&gt;"",A253='Firm Search'!$C$7),COUNTIF($A$5:A253,'Firm Search'!$C$7),"")</f>
        <v/>
      </c>
    </row>
    <row r="254">
      <c r="A254" s="5" t="n"/>
      <c r="B254" s="5" t="n"/>
      <c r="C254" s="52" t="n"/>
      <c r="D254" s="52" t="n"/>
      <c r="E254" s="52" t="n"/>
      <c r="F254" s="52" t="n"/>
      <c r="G254" s="52" t="n"/>
      <c r="H254" s="52" t="n"/>
      <c r="I254" s="52" t="n"/>
      <c r="J254" s="52" t="n"/>
      <c r="K254" s="54" t="n"/>
      <c r="L254" s="5" t="n"/>
      <c r="M254" s="53">
        <f>IF(A254="","",IFERROR(INDEX(Firms!$B$5:$B$1004,MATCH(A254,Firms!$A$5:$A$1004,0)),"Not on Firms tab"))</f>
        <v/>
      </c>
      <c r="N254">
        <f>IF(AND(A254&lt;&gt;"",A254='Firm Search'!$C$7),COUNTIF($A$5:A254,'Firm Search'!$C$7),"")</f>
        <v/>
      </c>
    </row>
    <row r="255">
      <c r="A255" s="5" t="n"/>
      <c r="B255" s="5" t="n"/>
      <c r="C255" s="52" t="n"/>
      <c r="D255" s="52" t="n"/>
      <c r="E255" s="52" t="n"/>
      <c r="F255" s="52" t="n"/>
      <c r="G255" s="52" t="n"/>
      <c r="H255" s="52" t="n"/>
      <c r="I255" s="52" t="n"/>
      <c r="J255" s="52" t="n"/>
      <c r="K255" s="54" t="n"/>
      <c r="L255" s="5" t="n"/>
      <c r="M255" s="53">
        <f>IF(A255="","",IFERROR(INDEX(Firms!$B$5:$B$1004,MATCH(A255,Firms!$A$5:$A$1004,0)),"Not on Firms tab"))</f>
        <v/>
      </c>
      <c r="N255">
        <f>IF(AND(A255&lt;&gt;"",A255='Firm Search'!$C$7),COUNTIF($A$5:A255,'Firm Search'!$C$7),"")</f>
        <v/>
      </c>
    </row>
    <row r="256">
      <c r="A256" s="5" t="n"/>
      <c r="B256" s="5" t="n"/>
      <c r="C256" s="52" t="n"/>
      <c r="D256" s="52" t="n"/>
      <c r="E256" s="52" t="n"/>
      <c r="F256" s="52" t="n"/>
      <c r="G256" s="52" t="n"/>
      <c r="H256" s="52" t="n"/>
      <c r="I256" s="52" t="n"/>
      <c r="J256" s="52" t="n"/>
      <c r="K256" s="54" t="n"/>
      <c r="L256" s="5" t="n"/>
      <c r="M256" s="53">
        <f>IF(A256="","",IFERROR(INDEX(Firms!$B$5:$B$1004,MATCH(A256,Firms!$A$5:$A$1004,0)),"Not on Firms tab"))</f>
        <v/>
      </c>
      <c r="N256">
        <f>IF(AND(A256&lt;&gt;"",A256='Firm Search'!$C$7),COUNTIF($A$5:A256,'Firm Search'!$C$7),"")</f>
        <v/>
      </c>
    </row>
    <row r="257">
      <c r="A257" s="5" t="n"/>
      <c r="B257" s="5" t="n"/>
      <c r="C257" s="52" t="n"/>
      <c r="D257" s="52" t="n"/>
      <c r="E257" s="52" t="n"/>
      <c r="F257" s="52" t="n"/>
      <c r="G257" s="52" t="n"/>
      <c r="H257" s="52" t="n"/>
      <c r="I257" s="52" t="n"/>
      <c r="J257" s="52" t="n"/>
      <c r="K257" s="54" t="n"/>
      <c r="L257" s="5" t="n"/>
      <c r="M257" s="53">
        <f>IF(A257="","",IFERROR(INDEX(Firms!$B$5:$B$1004,MATCH(A257,Firms!$A$5:$A$1004,0)),"Not on Firms tab"))</f>
        <v/>
      </c>
      <c r="N257">
        <f>IF(AND(A257&lt;&gt;"",A257='Firm Search'!$C$7),COUNTIF($A$5:A257,'Firm Search'!$C$7),"")</f>
        <v/>
      </c>
    </row>
    <row r="258">
      <c r="A258" s="5" t="n"/>
      <c r="B258" s="5" t="n"/>
      <c r="C258" s="52" t="n"/>
      <c r="D258" s="52" t="n"/>
      <c r="E258" s="52" t="n"/>
      <c r="F258" s="52" t="n"/>
      <c r="G258" s="52" t="n"/>
      <c r="H258" s="52" t="n"/>
      <c r="I258" s="52" t="n"/>
      <c r="J258" s="52" t="n"/>
      <c r="K258" s="54" t="n"/>
      <c r="L258" s="5" t="n"/>
      <c r="M258" s="53">
        <f>IF(A258="","",IFERROR(INDEX(Firms!$B$5:$B$1004,MATCH(A258,Firms!$A$5:$A$1004,0)),"Not on Firms tab"))</f>
        <v/>
      </c>
      <c r="N258">
        <f>IF(AND(A258&lt;&gt;"",A258='Firm Search'!$C$7),COUNTIF($A$5:A258,'Firm Search'!$C$7),"")</f>
        <v/>
      </c>
    </row>
    <row r="259">
      <c r="A259" s="5" t="n"/>
      <c r="B259" s="5" t="n"/>
      <c r="C259" s="52" t="n"/>
      <c r="D259" s="52" t="n"/>
      <c r="E259" s="52" t="n"/>
      <c r="F259" s="52" t="n"/>
      <c r="G259" s="52" t="n"/>
      <c r="H259" s="52" t="n"/>
      <c r="I259" s="52" t="n"/>
      <c r="J259" s="52" t="n"/>
      <c r="K259" s="54" t="n"/>
      <c r="L259" s="5" t="n"/>
      <c r="M259" s="53">
        <f>IF(A259="","",IFERROR(INDEX(Firms!$B$5:$B$1004,MATCH(A259,Firms!$A$5:$A$1004,0)),"Not on Firms tab"))</f>
        <v/>
      </c>
      <c r="N259">
        <f>IF(AND(A259&lt;&gt;"",A259='Firm Search'!$C$7),COUNTIF($A$5:A259,'Firm Search'!$C$7),"")</f>
        <v/>
      </c>
    </row>
    <row r="260">
      <c r="A260" s="5" t="n"/>
      <c r="B260" s="5" t="n"/>
      <c r="C260" s="52" t="n"/>
      <c r="D260" s="52" t="n"/>
      <c r="E260" s="52" t="n"/>
      <c r="F260" s="52" t="n"/>
      <c r="G260" s="52" t="n"/>
      <c r="H260" s="52" t="n"/>
      <c r="I260" s="52" t="n"/>
      <c r="J260" s="52" t="n"/>
      <c r="K260" s="54" t="n"/>
      <c r="L260" s="5" t="n"/>
      <c r="M260" s="53">
        <f>IF(A260="","",IFERROR(INDEX(Firms!$B$5:$B$1004,MATCH(A260,Firms!$A$5:$A$1004,0)),"Not on Firms tab"))</f>
        <v/>
      </c>
      <c r="N260">
        <f>IF(AND(A260&lt;&gt;"",A260='Firm Search'!$C$7),COUNTIF($A$5:A260,'Firm Search'!$C$7),"")</f>
        <v/>
      </c>
    </row>
    <row r="261">
      <c r="A261" s="5" t="n"/>
      <c r="B261" s="5" t="n"/>
      <c r="C261" s="52" t="n"/>
      <c r="D261" s="52" t="n"/>
      <c r="E261" s="52" t="n"/>
      <c r="F261" s="52" t="n"/>
      <c r="G261" s="52" t="n"/>
      <c r="H261" s="52" t="n"/>
      <c r="I261" s="52" t="n"/>
      <c r="J261" s="52" t="n"/>
      <c r="K261" s="54" t="n"/>
      <c r="L261" s="5" t="n"/>
      <c r="M261" s="53">
        <f>IF(A261="","",IFERROR(INDEX(Firms!$B$5:$B$1004,MATCH(A261,Firms!$A$5:$A$1004,0)),"Not on Firms tab"))</f>
        <v/>
      </c>
      <c r="N261">
        <f>IF(AND(A261&lt;&gt;"",A261='Firm Search'!$C$7),COUNTIF($A$5:A261,'Firm Search'!$C$7),"")</f>
        <v/>
      </c>
    </row>
    <row r="262">
      <c r="A262" s="5" t="n"/>
      <c r="B262" s="5" t="n"/>
      <c r="C262" s="52" t="n"/>
      <c r="D262" s="52" t="n"/>
      <c r="E262" s="52" t="n"/>
      <c r="F262" s="52" t="n"/>
      <c r="G262" s="52" t="n"/>
      <c r="H262" s="52" t="n"/>
      <c r="I262" s="52" t="n"/>
      <c r="J262" s="52" t="n"/>
      <c r="K262" s="54" t="n"/>
      <c r="L262" s="5" t="n"/>
      <c r="M262" s="53">
        <f>IF(A262="","",IFERROR(INDEX(Firms!$B$5:$B$1004,MATCH(A262,Firms!$A$5:$A$1004,0)),"Not on Firms tab"))</f>
        <v/>
      </c>
      <c r="N262">
        <f>IF(AND(A262&lt;&gt;"",A262='Firm Search'!$C$7),COUNTIF($A$5:A262,'Firm Search'!$C$7),"")</f>
        <v/>
      </c>
    </row>
    <row r="263">
      <c r="A263" s="5" t="n"/>
      <c r="B263" s="5" t="n"/>
      <c r="C263" s="52" t="n"/>
      <c r="D263" s="52" t="n"/>
      <c r="E263" s="52" t="n"/>
      <c r="F263" s="52" t="n"/>
      <c r="G263" s="52" t="n"/>
      <c r="H263" s="52" t="n"/>
      <c r="I263" s="52" t="n"/>
      <c r="J263" s="52" t="n"/>
      <c r="K263" s="54" t="n"/>
      <c r="L263" s="5" t="n"/>
      <c r="M263" s="53">
        <f>IF(A263="","",IFERROR(INDEX(Firms!$B$5:$B$1004,MATCH(A263,Firms!$A$5:$A$1004,0)),"Not on Firms tab"))</f>
        <v/>
      </c>
      <c r="N263">
        <f>IF(AND(A263&lt;&gt;"",A263='Firm Search'!$C$7),COUNTIF($A$5:A263,'Firm Search'!$C$7),"")</f>
        <v/>
      </c>
    </row>
    <row r="264">
      <c r="A264" s="5" t="n"/>
      <c r="B264" s="5" t="n"/>
      <c r="C264" s="52" t="n"/>
      <c r="D264" s="52" t="n"/>
      <c r="E264" s="52" t="n"/>
      <c r="F264" s="52" t="n"/>
      <c r="G264" s="52" t="n"/>
      <c r="H264" s="52" t="n"/>
      <c r="I264" s="52" t="n"/>
      <c r="J264" s="52" t="n"/>
      <c r="K264" s="54" t="n"/>
      <c r="L264" s="5" t="n"/>
      <c r="M264" s="53">
        <f>IF(A264="","",IFERROR(INDEX(Firms!$B$5:$B$1004,MATCH(A264,Firms!$A$5:$A$1004,0)),"Not on Firms tab"))</f>
        <v/>
      </c>
      <c r="N264">
        <f>IF(AND(A264&lt;&gt;"",A264='Firm Search'!$C$7),COUNTIF($A$5:A264,'Firm Search'!$C$7),"")</f>
        <v/>
      </c>
    </row>
    <row r="265">
      <c r="A265" s="5" t="n"/>
      <c r="B265" s="5" t="n"/>
      <c r="C265" s="52" t="n"/>
      <c r="D265" s="52" t="n"/>
      <c r="E265" s="52" t="n"/>
      <c r="F265" s="52" t="n"/>
      <c r="G265" s="52" t="n"/>
      <c r="H265" s="52" t="n"/>
      <c r="I265" s="52" t="n"/>
      <c r="J265" s="52" t="n"/>
      <c r="K265" s="54" t="n"/>
      <c r="L265" s="5" t="n"/>
      <c r="M265" s="53">
        <f>IF(A265="","",IFERROR(INDEX(Firms!$B$5:$B$1004,MATCH(A265,Firms!$A$5:$A$1004,0)),"Not on Firms tab"))</f>
        <v/>
      </c>
      <c r="N265">
        <f>IF(AND(A265&lt;&gt;"",A265='Firm Search'!$C$7),COUNTIF($A$5:A265,'Firm Search'!$C$7),"")</f>
        <v/>
      </c>
    </row>
    <row r="266">
      <c r="A266" s="5" t="n"/>
      <c r="B266" s="5" t="n"/>
      <c r="C266" s="52" t="n"/>
      <c r="D266" s="52" t="n"/>
      <c r="E266" s="52" t="n"/>
      <c r="F266" s="52" t="n"/>
      <c r="G266" s="52" t="n"/>
      <c r="H266" s="52" t="n"/>
      <c r="I266" s="52" t="n"/>
      <c r="J266" s="52" t="n"/>
      <c r="K266" s="54" t="n"/>
      <c r="L266" s="5" t="n"/>
      <c r="M266" s="53">
        <f>IF(A266="","",IFERROR(INDEX(Firms!$B$5:$B$1004,MATCH(A266,Firms!$A$5:$A$1004,0)),"Not on Firms tab"))</f>
        <v/>
      </c>
      <c r="N266">
        <f>IF(AND(A266&lt;&gt;"",A266='Firm Search'!$C$7),COUNTIF($A$5:A266,'Firm Search'!$C$7),"")</f>
        <v/>
      </c>
    </row>
    <row r="267">
      <c r="A267" s="5" t="n"/>
      <c r="B267" s="5" t="n"/>
      <c r="C267" s="52" t="n"/>
      <c r="D267" s="52" t="n"/>
      <c r="E267" s="52" t="n"/>
      <c r="F267" s="52" t="n"/>
      <c r="G267" s="52" t="n"/>
      <c r="H267" s="52" t="n"/>
      <c r="I267" s="52" t="n"/>
      <c r="J267" s="52" t="n"/>
      <c r="K267" s="54" t="n"/>
      <c r="L267" s="5" t="n"/>
      <c r="M267" s="53">
        <f>IF(A267="","",IFERROR(INDEX(Firms!$B$5:$B$1004,MATCH(A267,Firms!$A$5:$A$1004,0)),"Not on Firms tab"))</f>
        <v/>
      </c>
      <c r="N267">
        <f>IF(AND(A267&lt;&gt;"",A267='Firm Search'!$C$7),COUNTIF($A$5:A267,'Firm Search'!$C$7),"")</f>
        <v/>
      </c>
    </row>
    <row r="268">
      <c r="A268" s="5" t="n"/>
      <c r="B268" s="5" t="n"/>
      <c r="C268" s="52" t="n"/>
      <c r="D268" s="52" t="n"/>
      <c r="E268" s="52" t="n"/>
      <c r="F268" s="52" t="n"/>
      <c r="G268" s="52" t="n"/>
      <c r="H268" s="52" t="n"/>
      <c r="I268" s="52" t="n"/>
      <c r="J268" s="52" t="n"/>
      <c r="K268" s="54" t="n"/>
      <c r="L268" s="5" t="n"/>
      <c r="M268" s="53">
        <f>IF(A268="","",IFERROR(INDEX(Firms!$B$5:$B$1004,MATCH(A268,Firms!$A$5:$A$1004,0)),"Not on Firms tab"))</f>
        <v/>
      </c>
      <c r="N268">
        <f>IF(AND(A268&lt;&gt;"",A268='Firm Search'!$C$7),COUNTIF($A$5:A268,'Firm Search'!$C$7),"")</f>
        <v/>
      </c>
    </row>
    <row r="269">
      <c r="A269" s="5" t="n"/>
      <c r="B269" s="5" t="n"/>
      <c r="C269" s="52" t="n"/>
      <c r="D269" s="52" t="n"/>
      <c r="E269" s="52" t="n"/>
      <c r="F269" s="52" t="n"/>
      <c r="G269" s="52" t="n"/>
      <c r="H269" s="52" t="n"/>
      <c r="I269" s="52" t="n"/>
      <c r="J269" s="52" t="n"/>
      <c r="K269" s="54" t="n"/>
      <c r="L269" s="5" t="n"/>
      <c r="M269" s="53">
        <f>IF(A269="","",IFERROR(INDEX(Firms!$B$5:$B$1004,MATCH(A269,Firms!$A$5:$A$1004,0)),"Not on Firms tab"))</f>
        <v/>
      </c>
      <c r="N269">
        <f>IF(AND(A269&lt;&gt;"",A269='Firm Search'!$C$7),COUNTIF($A$5:A269,'Firm Search'!$C$7),"")</f>
        <v/>
      </c>
    </row>
    <row r="270">
      <c r="A270" s="5" t="n"/>
      <c r="B270" s="5" t="n"/>
      <c r="C270" s="52" t="n"/>
      <c r="D270" s="52" t="n"/>
      <c r="E270" s="52" t="n"/>
      <c r="F270" s="52" t="n"/>
      <c r="G270" s="52" t="n"/>
      <c r="H270" s="52" t="n"/>
      <c r="I270" s="52" t="n"/>
      <c r="J270" s="52" t="n"/>
      <c r="K270" s="54" t="n"/>
      <c r="L270" s="5" t="n"/>
      <c r="M270" s="53">
        <f>IF(A270="","",IFERROR(INDEX(Firms!$B$5:$B$1004,MATCH(A270,Firms!$A$5:$A$1004,0)),"Not on Firms tab"))</f>
        <v/>
      </c>
      <c r="N270">
        <f>IF(AND(A270&lt;&gt;"",A270='Firm Search'!$C$7),COUNTIF($A$5:A270,'Firm Search'!$C$7),"")</f>
        <v/>
      </c>
    </row>
    <row r="271">
      <c r="A271" s="5" t="n"/>
      <c r="B271" s="5" t="n"/>
      <c r="C271" s="52" t="n"/>
      <c r="D271" s="52" t="n"/>
      <c r="E271" s="52" t="n"/>
      <c r="F271" s="52" t="n"/>
      <c r="G271" s="52" t="n"/>
      <c r="H271" s="52" t="n"/>
      <c r="I271" s="52" t="n"/>
      <c r="J271" s="52" t="n"/>
      <c r="K271" s="54" t="n"/>
      <c r="L271" s="5" t="n"/>
      <c r="M271" s="53">
        <f>IF(A271="","",IFERROR(INDEX(Firms!$B$5:$B$1004,MATCH(A271,Firms!$A$5:$A$1004,0)),"Not on Firms tab"))</f>
        <v/>
      </c>
      <c r="N271">
        <f>IF(AND(A271&lt;&gt;"",A271='Firm Search'!$C$7),COUNTIF($A$5:A271,'Firm Search'!$C$7),"")</f>
        <v/>
      </c>
    </row>
    <row r="272">
      <c r="A272" s="5" t="n"/>
      <c r="B272" s="5" t="n"/>
      <c r="C272" s="52" t="n"/>
      <c r="D272" s="52" t="n"/>
      <c r="E272" s="52" t="n"/>
      <c r="F272" s="52" t="n"/>
      <c r="G272" s="52" t="n"/>
      <c r="H272" s="52" t="n"/>
      <c r="I272" s="52" t="n"/>
      <c r="J272" s="52" t="n"/>
      <c r="K272" s="54" t="n"/>
      <c r="L272" s="5" t="n"/>
      <c r="M272" s="53">
        <f>IF(A272="","",IFERROR(INDEX(Firms!$B$5:$B$1004,MATCH(A272,Firms!$A$5:$A$1004,0)),"Not on Firms tab"))</f>
        <v/>
      </c>
      <c r="N272">
        <f>IF(AND(A272&lt;&gt;"",A272='Firm Search'!$C$7),COUNTIF($A$5:A272,'Firm Search'!$C$7),"")</f>
        <v/>
      </c>
    </row>
    <row r="273">
      <c r="A273" s="5" t="n"/>
      <c r="B273" s="5" t="n"/>
      <c r="C273" s="52" t="n"/>
      <c r="D273" s="52" t="n"/>
      <c r="E273" s="52" t="n"/>
      <c r="F273" s="52" t="n"/>
      <c r="G273" s="52" t="n"/>
      <c r="H273" s="52" t="n"/>
      <c r="I273" s="52" t="n"/>
      <c r="J273" s="52" t="n"/>
      <c r="K273" s="54" t="n"/>
      <c r="L273" s="5" t="n"/>
      <c r="M273" s="53">
        <f>IF(A273="","",IFERROR(INDEX(Firms!$B$5:$B$1004,MATCH(A273,Firms!$A$5:$A$1004,0)),"Not on Firms tab"))</f>
        <v/>
      </c>
      <c r="N273">
        <f>IF(AND(A273&lt;&gt;"",A273='Firm Search'!$C$7),COUNTIF($A$5:A273,'Firm Search'!$C$7),"")</f>
        <v/>
      </c>
    </row>
    <row r="274">
      <c r="A274" s="5" t="n"/>
      <c r="B274" s="5" t="n"/>
      <c r="C274" s="52" t="n"/>
      <c r="D274" s="52" t="n"/>
      <c r="E274" s="52" t="n"/>
      <c r="F274" s="52" t="n"/>
      <c r="G274" s="52" t="n"/>
      <c r="H274" s="52" t="n"/>
      <c r="I274" s="52" t="n"/>
      <c r="J274" s="52" t="n"/>
      <c r="K274" s="54" t="n"/>
      <c r="L274" s="5" t="n"/>
      <c r="M274" s="53">
        <f>IF(A274="","",IFERROR(INDEX(Firms!$B$5:$B$1004,MATCH(A274,Firms!$A$5:$A$1004,0)),"Not on Firms tab"))</f>
        <v/>
      </c>
      <c r="N274">
        <f>IF(AND(A274&lt;&gt;"",A274='Firm Search'!$C$7),COUNTIF($A$5:A274,'Firm Search'!$C$7),"")</f>
        <v/>
      </c>
    </row>
    <row r="275">
      <c r="A275" s="5" t="n"/>
      <c r="B275" s="5" t="n"/>
      <c r="C275" s="52" t="n"/>
      <c r="D275" s="52" t="n"/>
      <c r="E275" s="52" t="n"/>
      <c r="F275" s="52" t="n"/>
      <c r="G275" s="52" t="n"/>
      <c r="H275" s="52" t="n"/>
      <c r="I275" s="52" t="n"/>
      <c r="J275" s="52" t="n"/>
      <c r="K275" s="54" t="n"/>
      <c r="L275" s="5" t="n"/>
      <c r="M275" s="53">
        <f>IF(A275="","",IFERROR(INDEX(Firms!$B$5:$B$1004,MATCH(A275,Firms!$A$5:$A$1004,0)),"Not on Firms tab"))</f>
        <v/>
      </c>
      <c r="N275">
        <f>IF(AND(A275&lt;&gt;"",A275='Firm Search'!$C$7),COUNTIF($A$5:A275,'Firm Search'!$C$7),"")</f>
        <v/>
      </c>
    </row>
    <row r="276">
      <c r="A276" s="5" t="n"/>
      <c r="B276" s="5" t="n"/>
      <c r="C276" s="52" t="n"/>
      <c r="D276" s="52" t="n"/>
      <c r="E276" s="52" t="n"/>
      <c r="F276" s="52" t="n"/>
      <c r="G276" s="52" t="n"/>
      <c r="H276" s="52" t="n"/>
      <c r="I276" s="52" t="n"/>
      <c r="J276" s="52" t="n"/>
      <c r="K276" s="54" t="n"/>
      <c r="L276" s="5" t="n"/>
      <c r="M276" s="53">
        <f>IF(A276="","",IFERROR(INDEX(Firms!$B$5:$B$1004,MATCH(A276,Firms!$A$5:$A$1004,0)),"Not on Firms tab"))</f>
        <v/>
      </c>
      <c r="N276">
        <f>IF(AND(A276&lt;&gt;"",A276='Firm Search'!$C$7),COUNTIF($A$5:A276,'Firm Search'!$C$7),"")</f>
        <v/>
      </c>
    </row>
    <row r="277">
      <c r="A277" s="5" t="n"/>
      <c r="B277" s="5" t="n"/>
      <c r="C277" s="52" t="n"/>
      <c r="D277" s="52" t="n"/>
      <c r="E277" s="52" t="n"/>
      <c r="F277" s="52" t="n"/>
      <c r="G277" s="52" t="n"/>
      <c r="H277" s="52" t="n"/>
      <c r="I277" s="52" t="n"/>
      <c r="J277" s="52" t="n"/>
      <c r="K277" s="54" t="n"/>
      <c r="L277" s="5" t="n"/>
      <c r="M277" s="53">
        <f>IF(A277="","",IFERROR(INDEX(Firms!$B$5:$B$1004,MATCH(A277,Firms!$A$5:$A$1004,0)),"Not on Firms tab"))</f>
        <v/>
      </c>
      <c r="N277">
        <f>IF(AND(A277&lt;&gt;"",A277='Firm Search'!$C$7),COUNTIF($A$5:A277,'Firm Search'!$C$7),"")</f>
        <v/>
      </c>
    </row>
    <row r="278">
      <c r="A278" s="5" t="n"/>
      <c r="B278" s="5" t="n"/>
      <c r="C278" s="52" t="n"/>
      <c r="D278" s="52" t="n"/>
      <c r="E278" s="52" t="n"/>
      <c r="F278" s="52" t="n"/>
      <c r="G278" s="52" t="n"/>
      <c r="H278" s="52" t="n"/>
      <c r="I278" s="52" t="n"/>
      <c r="J278" s="52" t="n"/>
      <c r="K278" s="54" t="n"/>
      <c r="L278" s="5" t="n"/>
      <c r="M278" s="53">
        <f>IF(A278="","",IFERROR(INDEX(Firms!$B$5:$B$1004,MATCH(A278,Firms!$A$5:$A$1004,0)),"Not on Firms tab"))</f>
        <v/>
      </c>
      <c r="N278">
        <f>IF(AND(A278&lt;&gt;"",A278='Firm Search'!$C$7),COUNTIF($A$5:A278,'Firm Search'!$C$7),"")</f>
        <v/>
      </c>
    </row>
    <row r="279">
      <c r="A279" s="5" t="n"/>
      <c r="B279" s="5" t="n"/>
      <c r="C279" s="52" t="n"/>
      <c r="D279" s="52" t="n"/>
      <c r="E279" s="52" t="n"/>
      <c r="F279" s="52" t="n"/>
      <c r="G279" s="52" t="n"/>
      <c r="H279" s="52" t="n"/>
      <c r="I279" s="52" t="n"/>
      <c r="J279" s="52" t="n"/>
      <c r="K279" s="54" t="n"/>
      <c r="L279" s="5" t="n"/>
      <c r="M279" s="53">
        <f>IF(A279="","",IFERROR(INDEX(Firms!$B$5:$B$1004,MATCH(A279,Firms!$A$5:$A$1004,0)),"Not on Firms tab"))</f>
        <v/>
      </c>
      <c r="N279">
        <f>IF(AND(A279&lt;&gt;"",A279='Firm Search'!$C$7),COUNTIF($A$5:A279,'Firm Search'!$C$7),"")</f>
        <v/>
      </c>
    </row>
    <row r="280">
      <c r="A280" s="5" t="n"/>
      <c r="B280" s="5" t="n"/>
      <c r="C280" s="52" t="n"/>
      <c r="D280" s="52" t="n"/>
      <c r="E280" s="52" t="n"/>
      <c r="F280" s="52" t="n"/>
      <c r="G280" s="52" t="n"/>
      <c r="H280" s="52" t="n"/>
      <c r="I280" s="52" t="n"/>
      <c r="J280" s="52" t="n"/>
      <c r="K280" s="54" t="n"/>
      <c r="L280" s="5" t="n"/>
      <c r="M280" s="53">
        <f>IF(A280="","",IFERROR(INDEX(Firms!$B$5:$B$1004,MATCH(A280,Firms!$A$5:$A$1004,0)),"Not on Firms tab"))</f>
        <v/>
      </c>
      <c r="N280">
        <f>IF(AND(A280&lt;&gt;"",A280='Firm Search'!$C$7),COUNTIF($A$5:A280,'Firm Search'!$C$7),"")</f>
        <v/>
      </c>
    </row>
    <row r="281">
      <c r="A281" s="5" t="n"/>
      <c r="B281" s="5" t="n"/>
      <c r="C281" s="52" t="n"/>
      <c r="D281" s="52" t="n"/>
      <c r="E281" s="52" t="n"/>
      <c r="F281" s="52" t="n"/>
      <c r="G281" s="52" t="n"/>
      <c r="H281" s="52" t="n"/>
      <c r="I281" s="52" t="n"/>
      <c r="J281" s="52" t="n"/>
      <c r="K281" s="54" t="n"/>
      <c r="L281" s="5" t="n"/>
      <c r="M281" s="53">
        <f>IF(A281="","",IFERROR(INDEX(Firms!$B$5:$B$1004,MATCH(A281,Firms!$A$5:$A$1004,0)),"Not on Firms tab"))</f>
        <v/>
      </c>
      <c r="N281">
        <f>IF(AND(A281&lt;&gt;"",A281='Firm Search'!$C$7),COUNTIF($A$5:A281,'Firm Search'!$C$7),"")</f>
        <v/>
      </c>
    </row>
    <row r="282">
      <c r="A282" s="5" t="n"/>
      <c r="B282" s="5" t="n"/>
      <c r="C282" s="52" t="n"/>
      <c r="D282" s="52" t="n"/>
      <c r="E282" s="52" t="n"/>
      <c r="F282" s="52" t="n"/>
      <c r="G282" s="52" t="n"/>
      <c r="H282" s="52" t="n"/>
      <c r="I282" s="52" t="n"/>
      <c r="J282" s="52" t="n"/>
      <c r="K282" s="54" t="n"/>
      <c r="L282" s="5" t="n"/>
      <c r="M282" s="53">
        <f>IF(A282="","",IFERROR(INDEX(Firms!$B$5:$B$1004,MATCH(A282,Firms!$A$5:$A$1004,0)),"Not on Firms tab"))</f>
        <v/>
      </c>
      <c r="N282">
        <f>IF(AND(A282&lt;&gt;"",A282='Firm Search'!$C$7),COUNTIF($A$5:A282,'Firm Search'!$C$7),"")</f>
        <v/>
      </c>
    </row>
    <row r="283">
      <c r="A283" s="5" t="n"/>
      <c r="B283" s="5" t="n"/>
      <c r="C283" s="52" t="n"/>
      <c r="D283" s="52" t="n"/>
      <c r="E283" s="52" t="n"/>
      <c r="F283" s="52" t="n"/>
      <c r="G283" s="52" t="n"/>
      <c r="H283" s="52" t="n"/>
      <c r="I283" s="52" t="n"/>
      <c r="J283" s="52" t="n"/>
      <c r="K283" s="54" t="n"/>
      <c r="L283" s="5" t="n"/>
      <c r="M283" s="53">
        <f>IF(A283="","",IFERROR(INDEX(Firms!$B$5:$B$1004,MATCH(A283,Firms!$A$5:$A$1004,0)),"Not on Firms tab"))</f>
        <v/>
      </c>
      <c r="N283">
        <f>IF(AND(A283&lt;&gt;"",A283='Firm Search'!$C$7),COUNTIF($A$5:A283,'Firm Search'!$C$7),"")</f>
        <v/>
      </c>
    </row>
    <row r="284">
      <c r="A284" s="5" t="n"/>
      <c r="B284" s="5" t="n"/>
      <c r="C284" s="52" t="n"/>
      <c r="D284" s="52" t="n"/>
      <c r="E284" s="52" t="n"/>
      <c r="F284" s="52" t="n"/>
      <c r="G284" s="52" t="n"/>
      <c r="H284" s="52" t="n"/>
      <c r="I284" s="52" t="n"/>
      <c r="J284" s="52" t="n"/>
      <c r="K284" s="54" t="n"/>
      <c r="L284" s="5" t="n"/>
      <c r="M284" s="53">
        <f>IF(A284="","",IFERROR(INDEX(Firms!$B$5:$B$1004,MATCH(A284,Firms!$A$5:$A$1004,0)),"Not on Firms tab"))</f>
        <v/>
      </c>
      <c r="N284">
        <f>IF(AND(A284&lt;&gt;"",A284='Firm Search'!$C$7),COUNTIF($A$5:A284,'Firm Search'!$C$7),"")</f>
        <v/>
      </c>
    </row>
    <row r="285">
      <c r="A285" s="5" t="n"/>
      <c r="B285" s="5" t="n"/>
      <c r="C285" s="52" t="n"/>
      <c r="D285" s="52" t="n"/>
      <c r="E285" s="52" t="n"/>
      <c r="F285" s="52" t="n"/>
      <c r="G285" s="52" t="n"/>
      <c r="H285" s="52" t="n"/>
      <c r="I285" s="52" t="n"/>
      <c r="J285" s="52" t="n"/>
      <c r="K285" s="54" t="n"/>
      <c r="L285" s="5" t="n"/>
      <c r="M285" s="53">
        <f>IF(A285="","",IFERROR(INDEX(Firms!$B$5:$B$1004,MATCH(A285,Firms!$A$5:$A$1004,0)),"Not on Firms tab"))</f>
        <v/>
      </c>
      <c r="N285">
        <f>IF(AND(A285&lt;&gt;"",A285='Firm Search'!$C$7),COUNTIF($A$5:A285,'Firm Search'!$C$7),"")</f>
        <v/>
      </c>
    </row>
    <row r="286">
      <c r="A286" s="5" t="n"/>
      <c r="B286" s="5" t="n"/>
      <c r="C286" s="52" t="n"/>
      <c r="D286" s="52" t="n"/>
      <c r="E286" s="52" t="n"/>
      <c r="F286" s="52" t="n"/>
      <c r="G286" s="52" t="n"/>
      <c r="H286" s="52" t="n"/>
      <c r="I286" s="52" t="n"/>
      <c r="J286" s="52" t="n"/>
      <c r="K286" s="54" t="n"/>
      <c r="L286" s="5" t="n"/>
      <c r="M286" s="53">
        <f>IF(A286="","",IFERROR(INDEX(Firms!$B$5:$B$1004,MATCH(A286,Firms!$A$5:$A$1004,0)),"Not on Firms tab"))</f>
        <v/>
      </c>
      <c r="N286">
        <f>IF(AND(A286&lt;&gt;"",A286='Firm Search'!$C$7),COUNTIF($A$5:A286,'Firm Search'!$C$7),"")</f>
        <v/>
      </c>
    </row>
    <row r="287">
      <c r="A287" s="5" t="n"/>
      <c r="B287" s="5" t="n"/>
      <c r="C287" s="52" t="n"/>
      <c r="D287" s="52" t="n"/>
      <c r="E287" s="52" t="n"/>
      <c r="F287" s="52" t="n"/>
      <c r="G287" s="52" t="n"/>
      <c r="H287" s="52" t="n"/>
      <c r="I287" s="52" t="n"/>
      <c r="J287" s="52" t="n"/>
      <c r="K287" s="54" t="n"/>
      <c r="L287" s="5" t="n"/>
      <c r="M287" s="53">
        <f>IF(A287="","",IFERROR(INDEX(Firms!$B$5:$B$1004,MATCH(A287,Firms!$A$5:$A$1004,0)),"Not on Firms tab"))</f>
        <v/>
      </c>
      <c r="N287">
        <f>IF(AND(A287&lt;&gt;"",A287='Firm Search'!$C$7),COUNTIF($A$5:A287,'Firm Search'!$C$7),"")</f>
        <v/>
      </c>
    </row>
    <row r="288">
      <c r="A288" s="5" t="n"/>
      <c r="B288" s="5" t="n"/>
      <c r="C288" s="52" t="n"/>
      <c r="D288" s="52" t="n"/>
      <c r="E288" s="52" t="n"/>
      <c r="F288" s="52" t="n"/>
      <c r="G288" s="52" t="n"/>
      <c r="H288" s="52" t="n"/>
      <c r="I288" s="52" t="n"/>
      <c r="J288" s="52" t="n"/>
      <c r="K288" s="54" t="n"/>
      <c r="L288" s="5" t="n"/>
      <c r="M288" s="53">
        <f>IF(A288="","",IFERROR(INDEX(Firms!$B$5:$B$1004,MATCH(A288,Firms!$A$5:$A$1004,0)),"Not on Firms tab"))</f>
        <v/>
      </c>
      <c r="N288">
        <f>IF(AND(A288&lt;&gt;"",A288='Firm Search'!$C$7),COUNTIF($A$5:A288,'Firm Search'!$C$7),"")</f>
        <v/>
      </c>
    </row>
    <row r="289">
      <c r="A289" s="5" t="n"/>
      <c r="B289" s="5" t="n"/>
      <c r="C289" s="52" t="n"/>
      <c r="D289" s="52" t="n"/>
      <c r="E289" s="52" t="n"/>
      <c r="F289" s="52" t="n"/>
      <c r="G289" s="52" t="n"/>
      <c r="H289" s="52" t="n"/>
      <c r="I289" s="52" t="n"/>
      <c r="J289" s="52" t="n"/>
      <c r="K289" s="54" t="n"/>
      <c r="L289" s="5" t="n"/>
      <c r="M289" s="53">
        <f>IF(A289="","",IFERROR(INDEX(Firms!$B$5:$B$1004,MATCH(A289,Firms!$A$5:$A$1004,0)),"Not on Firms tab"))</f>
        <v/>
      </c>
      <c r="N289">
        <f>IF(AND(A289&lt;&gt;"",A289='Firm Search'!$C$7),COUNTIF($A$5:A289,'Firm Search'!$C$7),"")</f>
        <v/>
      </c>
    </row>
    <row r="290">
      <c r="A290" s="5" t="n"/>
      <c r="B290" s="5" t="n"/>
      <c r="C290" s="52" t="n"/>
      <c r="D290" s="52" t="n"/>
      <c r="E290" s="52" t="n"/>
      <c r="F290" s="52" t="n"/>
      <c r="G290" s="52" t="n"/>
      <c r="H290" s="52" t="n"/>
      <c r="I290" s="52" t="n"/>
      <c r="J290" s="52" t="n"/>
      <c r="K290" s="54" t="n"/>
      <c r="L290" s="5" t="n"/>
      <c r="M290" s="53">
        <f>IF(A290="","",IFERROR(INDEX(Firms!$B$5:$B$1004,MATCH(A290,Firms!$A$5:$A$1004,0)),"Not on Firms tab"))</f>
        <v/>
      </c>
      <c r="N290">
        <f>IF(AND(A290&lt;&gt;"",A290='Firm Search'!$C$7),COUNTIF($A$5:A290,'Firm Search'!$C$7),"")</f>
        <v/>
      </c>
    </row>
    <row r="291">
      <c r="A291" s="5" t="n"/>
      <c r="B291" s="5" t="n"/>
      <c r="C291" s="52" t="n"/>
      <c r="D291" s="52" t="n"/>
      <c r="E291" s="52" t="n"/>
      <c r="F291" s="52" t="n"/>
      <c r="G291" s="52" t="n"/>
      <c r="H291" s="52" t="n"/>
      <c r="I291" s="52" t="n"/>
      <c r="J291" s="52" t="n"/>
      <c r="K291" s="54" t="n"/>
      <c r="L291" s="5" t="n"/>
      <c r="M291" s="53">
        <f>IF(A291="","",IFERROR(INDEX(Firms!$B$5:$B$1004,MATCH(A291,Firms!$A$5:$A$1004,0)),"Not on Firms tab"))</f>
        <v/>
      </c>
      <c r="N291">
        <f>IF(AND(A291&lt;&gt;"",A291='Firm Search'!$C$7),COUNTIF($A$5:A291,'Firm Search'!$C$7),"")</f>
        <v/>
      </c>
    </row>
    <row r="292">
      <c r="A292" s="5" t="n"/>
      <c r="B292" s="5" t="n"/>
      <c r="C292" s="52" t="n"/>
      <c r="D292" s="52" t="n"/>
      <c r="E292" s="52" t="n"/>
      <c r="F292" s="52" t="n"/>
      <c r="G292" s="52" t="n"/>
      <c r="H292" s="52" t="n"/>
      <c r="I292" s="52" t="n"/>
      <c r="J292" s="52" t="n"/>
      <c r="K292" s="54" t="n"/>
      <c r="L292" s="5" t="n"/>
      <c r="M292" s="53">
        <f>IF(A292="","",IFERROR(INDEX(Firms!$B$5:$B$1004,MATCH(A292,Firms!$A$5:$A$1004,0)),"Not on Firms tab"))</f>
        <v/>
      </c>
      <c r="N292">
        <f>IF(AND(A292&lt;&gt;"",A292='Firm Search'!$C$7),COUNTIF($A$5:A292,'Firm Search'!$C$7),"")</f>
        <v/>
      </c>
    </row>
    <row r="293">
      <c r="A293" s="5" t="n"/>
      <c r="B293" s="5" t="n"/>
      <c r="C293" s="52" t="n"/>
      <c r="D293" s="52" t="n"/>
      <c r="E293" s="52" t="n"/>
      <c r="F293" s="52" t="n"/>
      <c r="G293" s="52" t="n"/>
      <c r="H293" s="52" t="n"/>
      <c r="I293" s="52" t="n"/>
      <c r="J293" s="52" t="n"/>
      <c r="K293" s="54" t="n"/>
      <c r="L293" s="5" t="n"/>
      <c r="M293" s="53">
        <f>IF(A293="","",IFERROR(INDEX(Firms!$B$5:$B$1004,MATCH(A293,Firms!$A$5:$A$1004,0)),"Not on Firms tab"))</f>
        <v/>
      </c>
      <c r="N293">
        <f>IF(AND(A293&lt;&gt;"",A293='Firm Search'!$C$7),COUNTIF($A$5:A293,'Firm Search'!$C$7),"")</f>
        <v/>
      </c>
    </row>
    <row r="294">
      <c r="A294" s="5" t="n"/>
      <c r="B294" s="5" t="n"/>
      <c r="C294" s="52" t="n"/>
      <c r="D294" s="52" t="n"/>
      <c r="E294" s="52" t="n"/>
      <c r="F294" s="52" t="n"/>
      <c r="G294" s="52" t="n"/>
      <c r="H294" s="52" t="n"/>
      <c r="I294" s="52" t="n"/>
      <c r="J294" s="52" t="n"/>
      <c r="K294" s="54" t="n"/>
      <c r="L294" s="5" t="n"/>
      <c r="M294" s="53">
        <f>IF(A294="","",IFERROR(INDEX(Firms!$B$5:$B$1004,MATCH(A294,Firms!$A$5:$A$1004,0)),"Not on Firms tab"))</f>
        <v/>
      </c>
      <c r="N294">
        <f>IF(AND(A294&lt;&gt;"",A294='Firm Search'!$C$7),COUNTIF($A$5:A294,'Firm Search'!$C$7),"")</f>
        <v/>
      </c>
    </row>
    <row r="295">
      <c r="A295" s="5" t="n"/>
      <c r="B295" s="5" t="n"/>
      <c r="C295" s="52" t="n"/>
      <c r="D295" s="52" t="n"/>
      <c r="E295" s="52" t="n"/>
      <c r="F295" s="52" t="n"/>
      <c r="G295" s="52" t="n"/>
      <c r="H295" s="52" t="n"/>
      <c r="I295" s="52" t="n"/>
      <c r="J295" s="52" t="n"/>
      <c r="K295" s="54" t="n"/>
      <c r="L295" s="5" t="n"/>
      <c r="M295" s="53">
        <f>IF(A295="","",IFERROR(INDEX(Firms!$B$5:$B$1004,MATCH(A295,Firms!$A$5:$A$1004,0)),"Not on Firms tab"))</f>
        <v/>
      </c>
      <c r="N295">
        <f>IF(AND(A295&lt;&gt;"",A295='Firm Search'!$C$7),COUNTIF($A$5:A295,'Firm Search'!$C$7),"")</f>
        <v/>
      </c>
    </row>
    <row r="296">
      <c r="A296" s="5" t="n"/>
      <c r="B296" s="5" t="n"/>
      <c r="C296" s="52" t="n"/>
      <c r="D296" s="52" t="n"/>
      <c r="E296" s="52" t="n"/>
      <c r="F296" s="52" t="n"/>
      <c r="G296" s="52" t="n"/>
      <c r="H296" s="52" t="n"/>
      <c r="I296" s="52" t="n"/>
      <c r="J296" s="52" t="n"/>
      <c r="K296" s="54" t="n"/>
      <c r="L296" s="5" t="n"/>
      <c r="M296" s="53">
        <f>IF(A296="","",IFERROR(INDEX(Firms!$B$5:$B$1004,MATCH(A296,Firms!$A$5:$A$1004,0)),"Not on Firms tab"))</f>
        <v/>
      </c>
      <c r="N296">
        <f>IF(AND(A296&lt;&gt;"",A296='Firm Search'!$C$7),COUNTIF($A$5:A296,'Firm Search'!$C$7),"")</f>
        <v/>
      </c>
    </row>
    <row r="297">
      <c r="A297" s="5" t="n"/>
      <c r="B297" s="5" t="n"/>
      <c r="C297" s="52" t="n"/>
      <c r="D297" s="52" t="n"/>
      <c r="E297" s="52" t="n"/>
      <c r="F297" s="52" t="n"/>
      <c r="G297" s="52" t="n"/>
      <c r="H297" s="52" t="n"/>
      <c r="I297" s="52" t="n"/>
      <c r="J297" s="52" t="n"/>
      <c r="K297" s="54" t="n"/>
      <c r="L297" s="5" t="n"/>
      <c r="M297" s="53">
        <f>IF(A297="","",IFERROR(INDEX(Firms!$B$5:$B$1004,MATCH(A297,Firms!$A$5:$A$1004,0)),"Not on Firms tab"))</f>
        <v/>
      </c>
      <c r="N297">
        <f>IF(AND(A297&lt;&gt;"",A297='Firm Search'!$C$7),COUNTIF($A$5:A297,'Firm Search'!$C$7),"")</f>
        <v/>
      </c>
    </row>
    <row r="298">
      <c r="A298" s="5" t="n"/>
      <c r="B298" s="5" t="n"/>
      <c r="C298" s="52" t="n"/>
      <c r="D298" s="52" t="n"/>
      <c r="E298" s="52" t="n"/>
      <c r="F298" s="52" t="n"/>
      <c r="G298" s="52" t="n"/>
      <c r="H298" s="52" t="n"/>
      <c r="I298" s="52" t="n"/>
      <c r="J298" s="52" t="n"/>
      <c r="K298" s="54" t="n"/>
      <c r="L298" s="5" t="n"/>
      <c r="M298" s="53">
        <f>IF(A298="","",IFERROR(INDEX(Firms!$B$5:$B$1004,MATCH(A298,Firms!$A$5:$A$1004,0)),"Not on Firms tab"))</f>
        <v/>
      </c>
      <c r="N298">
        <f>IF(AND(A298&lt;&gt;"",A298='Firm Search'!$C$7),COUNTIF($A$5:A298,'Firm Search'!$C$7),"")</f>
        <v/>
      </c>
    </row>
    <row r="299">
      <c r="A299" s="5" t="n"/>
      <c r="B299" s="5" t="n"/>
      <c r="C299" s="52" t="n"/>
      <c r="D299" s="52" t="n"/>
      <c r="E299" s="52" t="n"/>
      <c r="F299" s="52" t="n"/>
      <c r="G299" s="52" t="n"/>
      <c r="H299" s="52" t="n"/>
      <c r="I299" s="52" t="n"/>
      <c r="J299" s="52" t="n"/>
      <c r="K299" s="54" t="n"/>
      <c r="L299" s="5" t="n"/>
      <c r="M299" s="53">
        <f>IF(A299="","",IFERROR(INDEX(Firms!$B$5:$B$1004,MATCH(A299,Firms!$A$5:$A$1004,0)),"Not on Firms tab"))</f>
        <v/>
      </c>
      <c r="N299">
        <f>IF(AND(A299&lt;&gt;"",A299='Firm Search'!$C$7),COUNTIF($A$5:A299,'Firm Search'!$C$7),"")</f>
        <v/>
      </c>
    </row>
    <row r="300">
      <c r="A300" s="5" t="n"/>
      <c r="B300" s="5" t="n"/>
      <c r="C300" s="52" t="n"/>
      <c r="D300" s="52" t="n"/>
      <c r="E300" s="52" t="n"/>
      <c r="F300" s="52" t="n"/>
      <c r="G300" s="52" t="n"/>
      <c r="H300" s="52" t="n"/>
      <c r="I300" s="52" t="n"/>
      <c r="J300" s="52" t="n"/>
      <c r="K300" s="54" t="n"/>
      <c r="L300" s="5" t="n"/>
      <c r="M300" s="53">
        <f>IF(A300="","",IFERROR(INDEX(Firms!$B$5:$B$1004,MATCH(A300,Firms!$A$5:$A$1004,0)),"Not on Firms tab"))</f>
        <v/>
      </c>
      <c r="N300">
        <f>IF(AND(A300&lt;&gt;"",A300='Firm Search'!$C$7),COUNTIF($A$5:A300,'Firm Search'!$C$7),"")</f>
        <v/>
      </c>
    </row>
    <row r="301">
      <c r="A301" s="5" t="n"/>
      <c r="B301" s="5" t="n"/>
      <c r="C301" s="52" t="n"/>
      <c r="D301" s="52" t="n"/>
      <c r="E301" s="52" t="n"/>
      <c r="F301" s="52" t="n"/>
      <c r="G301" s="52" t="n"/>
      <c r="H301" s="52" t="n"/>
      <c r="I301" s="52" t="n"/>
      <c r="J301" s="52" t="n"/>
      <c r="K301" s="54" t="n"/>
      <c r="L301" s="5" t="n"/>
      <c r="M301" s="53">
        <f>IF(A301="","",IFERROR(INDEX(Firms!$B$5:$B$1004,MATCH(A301,Firms!$A$5:$A$1004,0)),"Not on Firms tab"))</f>
        <v/>
      </c>
      <c r="N301">
        <f>IF(AND(A301&lt;&gt;"",A301='Firm Search'!$C$7),COUNTIF($A$5:A301,'Firm Search'!$C$7),"")</f>
        <v/>
      </c>
    </row>
    <row r="302">
      <c r="A302" s="5" t="n"/>
      <c r="B302" s="5" t="n"/>
      <c r="C302" s="52" t="n"/>
      <c r="D302" s="52" t="n"/>
      <c r="E302" s="52" t="n"/>
      <c r="F302" s="52" t="n"/>
      <c r="G302" s="52" t="n"/>
      <c r="H302" s="52" t="n"/>
      <c r="I302" s="52" t="n"/>
      <c r="J302" s="52" t="n"/>
      <c r="K302" s="54" t="n"/>
      <c r="L302" s="5" t="n"/>
      <c r="M302" s="53">
        <f>IF(A302="","",IFERROR(INDEX(Firms!$B$5:$B$1004,MATCH(A302,Firms!$A$5:$A$1004,0)),"Not on Firms tab"))</f>
        <v/>
      </c>
      <c r="N302">
        <f>IF(AND(A302&lt;&gt;"",A302='Firm Search'!$C$7),COUNTIF($A$5:A302,'Firm Search'!$C$7),"")</f>
        <v/>
      </c>
    </row>
    <row r="303">
      <c r="A303" s="5" t="n"/>
      <c r="B303" s="5" t="n"/>
      <c r="C303" s="52" t="n"/>
      <c r="D303" s="52" t="n"/>
      <c r="E303" s="52" t="n"/>
      <c r="F303" s="52" t="n"/>
      <c r="G303" s="52" t="n"/>
      <c r="H303" s="52" t="n"/>
      <c r="I303" s="52" t="n"/>
      <c r="J303" s="52" t="n"/>
      <c r="K303" s="54" t="n"/>
      <c r="L303" s="5" t="n"/>
      <c r="M303" s="53">
        <f>IF(A303="","",IFERROR(INDEX(Firms!$B$5:$B$1004,MATCH(A303,Firms!$A$5:$A$1004,0)),"Not on Firms tab"))</f>
        <v/>
      </c>
      <c r="N303">
        <f>IF(AND(A303&lt;&gt;"",A303='Firm Search'!$C$7),COUNTIF($A$5:A303,'Firm Search'!$C$7),"")</f>
        <v/>
      </c>
    </row>
    <row r="304">
      <c r="A304" s="5" t="n"/>
      <c r="B304" s="5" t="n"/>
      <c r="C304" s="52" t="n"/>
      <c r="D304" s="52" t="n"/>
      <c r="E304" s="52" t="n"/>
      <c r="F304" s="52" t="n"/>
      <c r="G304" s="52" t="n"/>
      <c r="H304" s="52" t="n"/>
      <c r="I304" s="52" t="n"/>
      <c r="J304" s="52" t="n"/>
      <c r="K304" s="54" t="n"/>
      <c r="L304" s="5" t="n"/>
      <c r="M304" s="53">
        <f>IF(A304="","",IFERROR(INDEX(Firms!$B$5:$B$1004,MATCH(A304,Firms!$A$5:$A$1004,0)),"Not on Firms tab"))</f>
        <v/>
      </c>
      <c r="N304">
        <f>IF(AND(A304&lt;&gt;"",A304='Firm Search'!$C$7),COUNTIF($A$5:A304,'Firm Search'!$C$7),"")</f>
        <v/>
      </c>
    </row>
    <row r="305">
      <c r="A305" s="5" t="n"/>
      <c r="B305" s="5" t="n"/>
      <c r="C305" s="52" t="n"/>
      <c r="D305" s="52" t="n"/>
      <c r="E305" s="52" t="n"/>
      <c r="F305" s="52" t="n"/>
      <c r="G305" s="52" t="n"/>
      <c r="H305" s="52" t="n"/>
      <c r="I305" s="52" t="n"/>
      <c r="J305" s="52" t="n"/>
      <c r="K305" s="54" t="n"/>
      <c r="L305" s="5" t="n"/>
      <c r="M305" s="53">
        <f>IF(A305="","",IFERROR(INDEX(Firms!$B$5:$B$1004,MATCH(A305,Firms!$A$5:$A$1004,0)),"Not on Firms tab"))</f>
        <v/>
      </c>
      <c r="N305">
        <f>IF(AND(A305&lt;&gt;"",A305='Firm Search'!$C$7),COUNTIF($A$5:A305,'Firm Search'!$C$7),"")</f>
        <v/>
      </c>
    </row>
    <row r="306">
      <c r="A306" s="5" t="n"/>
      <c r="B306" s="5" t="n"/>
      <c r="C306" s="52" t="n"/>
      <c r="D306" s="52" t="n"/>
      <c r="E306" s="52" t="n"/>
      <c r="F306" s="52" t="n"/>
      <c r="G306" s="52" t="n"/>
      <c r="H306" s="52" t="n"/>
      <c r="I306" s="52" t="n"/>
      <c r="J306" s="52" t="n"/>
      <c r="K306" s="54" t="n"/>
      <c r="L306" s="5" t="n"/>
      <c r="M306" s="53">
        <f>IF(A306="","",IFERROR(INDEX(Firms!$B$5:$B$1004,MATCH(A306,Firms!$A$5:$A$1004,0)),"Not on Firms tab"))</f>
        <v/>
      </c>
      <c r="N306">
        <f>IF(AND(A306&lt;&gt;"",A306='Firm Search'!$C$7),COUNTIF($A$5:A306,'Firm Search'!$C$7),"")</f>
        <v/>
      </c>
    </row>
    <row r="307">
      <c r="A307" s="5" t="n"/>
      <c r="B307" s="5" t="n"/>
      <c r="C307" s="52" t="n"/>
      <c r="D307" s="52" t="n"/>
      <c r="E307" s="52" t="n"/>
      <c r="F307" s="52" t="n"/>
      <c r="G307" s="52" t="n"/>
      <c r="H307" s="52" t="n"/>
      <c r="I307" s="52" t="n"/>
      <c r="J307" s="52" t="n"/>
      <c r="K307" s="54" t="n"/>
      <c r="L307" s="5" t="n"/>
      <c r="M307" s="53">
        <f>IF(A307="","",IFERROR(INDEX(Firms!$B$5:$B$1004,MATCH(A307,Firms!$A$5:$A$1004,0)),"Not on Firms tab"))</f>
        <v/>
      </c>
      <c r="N307">
        <f>IF(AND(A307&lt;&gt;"",A307='Firm Search'!$C$7),COUNTIF($A$5:A307,'Firm Search'!$C$7),"")</f>
        <v/>
      </c>
    </row>
    <row r="308">
      <c r="A308" s="5" t="n"/>
      <c r="B308" s="5" t="n"/>
      <c r="C308" s="52" t="n"/>
      <c r="D308" s="52" t="n"/>
      <c r="E308" s="52" t="n"/>
      <c r="F308" s="52" t="n"/>
      <c r="G308" s="52" t="n"/>
      <c r="H308" s="52" t="n"/>
      <c r="I308" s="52" t="n"/>
      <c r="J308" s="52" t="n"/>
      <c r="K308" s="54" t="n"/>
      <c r="L308" s="5" t="n"/>
      <c r="M308" s="53">
        <f>IF(A308="","",IFERROR(INDEX(Firms!$B$5:$B$1004,MATCH(A308,Firms!$A$5:$A$1004,0)),"Not on Firms tab"))</f>
        <v/>
      </c>
      <c r="N308">
        <f>IF(AND(A308&lt;&gt;"",A308='Firm Search'!$C$7),COUNTIF($A$5:A308,'Firm Search'!$C$7),"")</f>
        <v/>
      </c>
    </row>
    <row r="309">
      <c r="A309" s="5" t="n"/>
      <c r="B309" s="5" t="n"/>
      <c r="C309" s="52" t="n"/>
      <c r="D309" s="52" t="n"/>
      <c r="E309" s="52" t="n"/>
      <c r="F309" s="52" t="n"/>
      <c r="G309" s="52" t="n"/>
      <c r="H309" s="52" t="n"/>
      <c r="I309" s="52" t="n"/>
      <c r="J309" s="52" t="n"/>
      <c r="K309" s="54" t="n"/>
      <c r="L309" s="5" t="n"/>
      <c r="M309" s="53">
        <f>IF(A309="","",IFERROR(INDEX(Firms!$B$5:$B$1004,MATCH(A309,Firms!$A$5:$A$1004,0)),"Not on Firms tab"))</f>
        <v/>
      </c>
      <c r="N309">
        <f>IF(AND(A309&lt;&gt;"",A309='Firm Search'!$C$7),COUNTIF($A$5:A309,'Firm Search'!$C$7),"")</f>
        <v/>
      </c>
    </row>
    <row r="310">
      <c r="A310" s="5" t="n"/>
      <c r="B310" s="5" t="n"/>
      <c r="C310" s="52" t="n"/>
      <c r="D310" s="52" t="n"/>
      <c r="E310" s="52" t="n"/>
      <c r="F310" s="52" t="n"/>
      <c r="G310" s="52" t="n"/>
      <c r="H310" s="52" t="n"/>
      <c r="I310" s="52" t="n"/>
      <c r="J310" s="52" t="n"/>
      <c r="K310" s="54" t="n"/>
      <c r="L310" s="5" t="n"/>
      <c r="M310" s="53">
        <f>IF(A310="","",IFERROR(INDEX(Firms!$B$5:$B$1004,MATCH(A310,Firms!$A$5:$A$1004,0)),"Not on Firms tab"))</f>
        <v/>
      </c>
      <c r="N310">
        <f>IF(AND(A310&lt;&gt;"",A310='Firm Search'!$C$7),COUNTIF($A$5:A310,'Firm Search'!$C$7),"")</f>
        <v/>
      </c>
    </row>
    <row r="311">
      <c r="A311" s="5" t="n"/>
      <c r="B311" s="5" t="n"/>
      <c r="C311" s="52" t="n"/>
      <c r="D311" s="52" t="n"/>
      <c r="E311" s="52" t="n"/>
      <c r="F311" s="52" t="n"/>
      <c r="G311" s="52" t="n"/>
      <c r="H311" s="52" t="n"/>
      <c r="I311" s="52" t="n"/>
      <c r="J311" s="52" t="n"/>
      <c r="K311" s="54" t="n"/>
      <c r="L311" s="5" t="n"/>
      <c r="M311" s="53">
        <f>IF(A311="","",IFERROR(INDEX(Firms!$B$5:$B$1004,MATCH(A311,Firms!$A$5:$A$1004,0)),"Not on Firms tab"))</f>
        <v/>
      </c>
      <c r="N311">
        <f>IF(AND(A311&lt;&gt;"",A311='Firm Search'!$C$7),COUNTIF($A$5:A311,'Firm Search'!$C$7),"")</f>
        <v/>
      </c>
    </row>
    <row r="312">
      <c r="A312" s="5" t="n"/>
      <c r="B312" s="5" t="n"/>
      <c r="C312" s="52" t="n"/>
      <c r="D312" s="52" t="n"/>
      <c r="E312" s="52" t="n"/>
      <c r="F312" s="52" t="n"/>
      <c r="G312" s="52" t="n"/>
      <c r="H312" s="52" t="n"/>
      <c r="I312" s="52" t="n"/>
      <c r="J312" s="52" t="n"/>
      <c r="K312" s="54" t="n"/>
      <c r="L312" s="5" t="n"/>
      <c r="M312" s="53">
        <f>IF(A312="","",IFERROR(INDEX(Firms!$B$5:$B$1004,MATCH(A312,Firms!$A$5:$A$1004,0)),"Not on Firms tab"))</f>
        <v/>
      </c>
      <c r="N312">
        <f>IF(AND(A312&lt;&gt;"",A312='Firm Search'!$C$7),COUNTIF($A$5:A312,'Firm Search'!$C$7),"")</f>
        <v/>
      </c>
    </row>
    <row r="313">
      <c r="A313" s="5" t="n"/>
      <c r="B313" s="5" t="n"/>
      <c r="C313" s="52" t="n"/>
      <c r="D313" s="52" t="n"/>
      <c r="E313" s="52" t="n"/>
      <c r="F313" s="52" t="n"/>
      <c r="G313" s="52" t="n"/>
      <c r="H313" s="52" t="n"/>
      <c r="I313" s="52" t="n"/>
      <c r="J313" s="52" t="n"/>
      <c r="K313" s="54" t="n"/>
      <c r="L313" s="5" t="n"/>
      <c r="M313" s="53">
        <f>IF(A313="","",IFERROR(INDEX(Firms!$B$5:$B$1004,MATCH(A313,Firms!$A$5:$A$1004,0)),"Not on Firms tab"))</f>
        <v/>
      </c>
      <c r="N313">
        <f>IF(AND(A313&lt;&gt;"",A313='Firm Search'!$C$7),COUNTIF($A$5:A313,'Firm Search'!$C$7),"")</f>
        <v/>
      </c>
    </row>
    <row r="314">
      <c r="A314" s="5" t="n"/>
      <c r="B314" s="5" t="n"/>
      <c r="C314" s="52" t="n"/>
      <c r="D314" s="52" t="n"/>
      <c r="E314" s="52" t="n"/>
      <c r="F314" s="52" t="n"/>
      <c r="G314" s="52" t="n"/>
      <c r="H314" s="52" t="n"/>
      <c r="I314" s="52" t="n"/>
      <c r="J314" s="52" t="n"/>
      <c r="K314" s="54" t="n"/>
      <c r="L314" s="5" t="n"/>
      <c r="M314" s="53">
        <f>IF(A314="","",IFERROR(INDEX(Firms!$B$5:$B$1004,MATCH(A314,Firms!$A$5:$A$1004,0)),"Not on Firms tab"))</f>
        <v/>
      </c>
      <c r="N314">
        <f>IF(AND(A314&lt;&gt;"",A314='Firm Search'!$C$7),COUNTIF($A$5:A314,'Firm Search'!$C$7),"")</f>
        <v/>
      </c>
    </row>
    <row r="315">
      <c r="A315" s="5" t="n"/>
      <c r="B315" s="5" t="n"/>
      <c r="C315" s="52" t="n"/>
      <c r="D315" s="52" t="n"/>
      <c r="E315" s="52" t="n"/>
      <c r="F315" s="52" t="n"/>
      <c r="G315" s="52" t="n"/>
      <c r="H315" s="52" t="n"/>
      <c r="I315" s="52" t="n"/>
      <c r="J315" s="52" t="n"/>
      <c r="K315" s="54" t="n"/>
      <c r="L315" s="5" t="n"/>
      <c r="M315" s="53">
        <f>IF(A315="","",IFERROR(INDEX(Firms!$B$5:$B$1004,MATCH(A315,Firms!$A$5:$A$1004,0)),"Not on Firms tab"))</f>
        <v/>
      </c>
      <c r="N315">
        <f>IF(AND(A315&lt;&gt;"",A315='Firm Search'!$C$7),COUNTIF($A$5:A315,'Firm Search'!$C$7),"")</f>
        <v/>
      </c>
    </row>
    <row r="316">
      <c r="A316" s="5" t="n"/>
      <c r="B316" s="5" t="n"/>
      <c r="C316" s="52" t="n"/>
      <c r="D316" s="52" t="n"/>
      <c r="E316" s="52" t="n"/>
      <c r="F316" s="52" t="n"/>
      <c r="G316" s="52" t="n"/>
      <c r="H316" s="52" t="n"/>
      <c r="I316" s="52" t="n"/>
      <c r="J316" s="52" t="n"/>
      <c r="K316" s="54" t="n"/>
      <c r="L316" s="5" t="n"/>
      <c r="M316" s="53">
        <f>IF(A316="","",IFERROR(INDEX(Firms!$B$5:$B$1004,MATCH(A316,Firms!$A$5:$A$1004,0)),"Not on Firms tab"))</f>
        <v/>
      </c>
      <c r="N316">
        <f>IF(AND(A316&lt;&gt;"",A316='Firm Search'!$C$7),COUNTIF($A$5:A316,'Firm Search'!$C$7),"")</f>
        <v/>
      </c>
    </row>
    <row r="317">
      <c r="A317" s="5" t="n"/>
      <c r="B317" s="5" t="n"/>
      <c r="C317" s="52" t="n"/>
      <c r="D317" s="52" t="n"/>
      <c r="E317" s="52" t="n"/>
      <c r="F317" s="52" t="n"/>
      <c r="G317" s="52" t="n"/>
      <c r="H317" s="52" t="n"/>
      <c r="I317" s="52" t="n"/>
      <c r="J317" s="52" t="n"/>
      <c r="K317" s="54" t="n"/>
      <c r="L317" s="5" t="n"/>
      <c r="M317" s="53">
        <f>IF(A317="","",IFERROR(INDEX(Firms!$B$5:$B$1004,MATCH(A317,Firms!$A$5:$A$1004,0)),"Not on Firms tab"))</f>
        <v/>
      </c>
      <c r="N317">
        <f>IF(AND(A317&lt;&gt;"",A317='Firm Search'!$C$7),COUNTIF($A$5:A317,'Firm Search'!$C$7),"")</f>
        <v/>
      </c>
    </row>
    <row r="318">
      <c r="A318" s="5" t="n"/>
      <c r="B318" s="5" t="n"/>
      <c r="C318" s="52" t="n"/>
      <c r="D318" s="52" t="n"/>
      <c r="E318" s="52" t="n"/>
      <c r="F318" s="52" t="n"/>
      <c r="G318" s="52" t="n"/>
      <c r="H318" s="52" t="n"/>
      <c r="I318" s="52" t="n"/>
      <c r="J318" s="52" t="n"/>
      <c r="K318" s="54" t="n"/>
      <c r="L318" s="5" t="n"/>
      <c r="M318" s="53">
        <f>IF(A318="","",IFERROR(INDEX(Firms!$B$5:$B$1004,MATCH(A318,Firms!$A$5:$A$1004,0)),"Not on Firms tab"))</f>
        <v/>
      </c>
      <c r="N318">
        <f>IF(AND(A318&lt;&gt;"",A318='Firm Search'!$C$7),COUNTIF($A$5:A318,'Firm Search'!$C$7),"")</f>
        <v/>
      </c>
    </row>
    <row r="319">
      <c r="A319" s="5" t="n"/>
      <c r="B319" s="5" t="n"/>
      <c r="C319" s="52" t="n"/>
      <c r="D319" s="52" t="n"/>
      <c r="E319" s="52" t="n"/>
      <c r="F319" s="52" t="n"/>
      <c r="G319" s="52" t="n"/>
      <c r="H319" s="52" t="n"/>
      <c r="I319" s="52" t="n"/>
      <c r="J319" s="52" t="n"/>
      <c r="K319" s="54" t="n"/>
      <c r="L319" s="5" t="n"/>
      <c r="M319" s="53">
        <f>IF(A319="","",IFERROR(INDEX(Firms!$B$5:$B$1004,MATCH(A319,Firms!$A$5:$A$1004,0)),"Not on Firms tab"))</f>
        <v/>
      </c>
      <c r="N319">
        <f>IF(AND(A319&lt;&gt;"",A319='Firm Search'!$C$7),COUNTIF($A$5:A319,'Firm Search'!$C$7),"")</f>
        <v/>
      </c>
    </row>
    <row r="320">
      <c r="A320" s="5" t="n"/>
      <c r="B320" s="5" t="n"/>
      <c r="C320" s="52" t="n"/>
      <c r="D320" s="52" t="n"/>
      <c r="E320" s="52" t="n"/>
      <c r="F320" s="52" t="n"/>
      <c r="G320" s="52" t="n"/>
      <c r="H320" s="52" t="n"/>
      <c r="I320" s="52" t="n"/>
      <c r="J320" s="52" t="n"/>
      <c r="K320" s="54" t="n"/>
      <c r="L320" s="5" t="n"/>
      <c r="M320" s="53">
        <f>IF(A320="","",IFERROR(INDEX(Firms!$B$5:$B$1004,MATCH(A320,Firms!$A$5:$A$1004,0)),"Not on Firms tab"))</f>
        <v/>
      </c>
      <c r="N320">
        <f>IF(AND(A320&lt;&gt;"",A320='Firm Search'!$C$7),COUNTIF($A$5:A320,'Firm Search'!$C$7),"")</f>
        <v/>
      </c>
    </row>
    <row r="321">
      <c r="A321" s="5" t="n"/>
      <c r="B321" s="5" t="n"/>
      <c r="C321" s="52" t="n"/>
      <c r="D321" s="52" t="n"/>
      <c r="E321" s="52" t="n"/>
      <c r="F321" s="52" t="n"/>
      <c r="G321" s="52" t="n"/>
      <c r="H321" s="52" t="n"/>
      <c r="I321" s="52" t="n"/>
      <c r="J321" s="52" t="n"/>
      <c r="K321" s="54" t="n"/>
      <c r="L321" s="5" t="n"/>
      <c r="M321" s="53">
        <f>IF(A321="","",IFERROR(INDEX(Firms!$B$5:$B$1004,MATCH(A321,Firms!$A$5:$A$1004,0)),"Not on Firms tab"))</f>
        <v/>
      </c>
      <c r="N321">
        <f>IF(AND(A321&lt;&gt;"",A321='Firm Search'!$C$7),COUNTIF($A$5:A321,'Firm Search'!$C$7),"")</f>
        <v/>
      </c>
    </row>
    <row r="322">
      <c r="A322" s="5" t="n"/>
      <c r="B322" s="5" t="n"/>
      <c r="C322" s="52" t="n"/>
      <c r="D322" s="52" t="n"/>
      <c r="E322" s="52" t="n"/>
      <c r="F322" s="52" t="n"/>
      <c r="G322" s="52" t="n"/>
      <c r="H322" s="52" t="n"/>
      <c r="I322" s="52" t="n"/>
      <c r="J322" s="52" t="n"/>
      <c r="K322" s="54" t="n"/>
      <c r="L322" s="5" t="n"/>
      <c r="M322" s="53">
        <f>IF(A322="","",IFERROR(INDEX(Firms!$B$5:$B$1004,MATCH(A322,Firms!$A$5:$A$1004,0)),"Not on Firms tab"))</f>
        <v/>
      </c>
      <c r="N322">
        <f>IF(AND(A322&lt;&gt;"",A322='Firm Search'!$C$7),COUNTIF($A$5:A322,'Firm Search'!$C$7),"")</f>
        <v/>
      </c>
    </row>
    <row r="323">
      <c r="A323" s="5" t="n"/>
      <c r="B323" s="5" t="n"/>
      <c r="C323" s="52" t="n"/>
      <c r="D323" s="52" t="n"/>
      <c r="E323" s="52" t="n"/>
      <c r="F323" s="52" t="n"/>
      <c r="G323" s="52" t="n"/>
      <c r="H323" s="52" t="n"/>
      <c r="I323" s="52" t="n"/>
      <c r="J323" s="52" t="n"/>
      <c r="K323" s="54" t="n"/>
      <c r="L323" s="5" t="n"/>
      <c r="M323" s="53">
        <f>IF(A323="","",IFERROR(INDEX(Firms!$B$5:$B$1004,MATCH(A323,Firms!$A$5:$A$1004,0)),"Not on Firms tab"))</f>
        <v/>
      </c>
      <c r="N323">
        <f>IF(AND(A323&lt;&gt;"",A323='Firm Search'!$C$7),COUNTIF($A$5:A323,'Firm Search'!$C$7),"")</f>
        <v/>
      </c>
    </row>
    <row r="324">
      <c r="A324" s="5" t="n"/>
      <c r="B324" s="5" t="n"/>
      <c r="C324" s="52" t="n"/>
      <c r="D324" s="52" t="n"/>
      <c r="E324" s="52" t="n"/>
      <c r="F324" s="52" t="n"/>
      <c r="G324" s="52" t="n"/>
      <c r="H324" s="52" t="n"/>
      <c r="I324" s="52" t="n"/>
      <c r="J324" s="52" t="n"/>
      <c r="K324" s="54" t="n"/>
      <c r="L324" s="5" t="n"/>
      <c r="M324" s="53">
        <f>IF(A324="","",IFERROR(INDEX(Firms!$B$5:$B$1004,MATCH(A324,Firms!$A$5:$A$1004,0)),"Not on Firms tab"))</f>
        <v/>
      </c>
      <c r="N324">
        <f>IF(AND(A324&lt;&gt;"",A324='Firm Search'!$C$7),COUNTIF($A$5:A324,'Firm Search'!$C$7),"")</f>
        <v/>
      </c>
    </row>
    <row r="325">
      <c r="A325" s="5" t="n"/>
      <c r="B325" s="5" t="n"/>
      <c r="C325" s="52" t="n"/>
      <c r="D325" s="52" t="n"/>
      <c r="E325" s="52" t="n"/>
      <c r="F325" s="52" t="n"/>
      <c r="G325" s="52" t="n"/>
      <c r="H325" s="52" t="n"/>
      <c r="I325" s="52" t="n"/>
      <c r="J325" s="52" t="n"/>
      <c r="K325" s="54" t="n"/>
      <c r="L325" s="5" t="n"/>
      <c r="M325" s="53">
        <f>IF(A325="","",IFERROR(INDEX(Firms!$B$5:$B$1004,MATCH(A325,Firms!$A$5:$A$1004,0)),"Not on Firms tab"))</f>
        <v/>
      </c>
      <c r="N325">
        <f>IF(AND(A325&lt;&gt;"",A325='Firm Search'!$C$7),COUNTIF($A$5:A325,'Firm Search'!$C$7),"")</f>
        <v/>
      </c>
    </row>
    <row r="326">
      <c r="A326" s="5" t="n"/>
      <c r="B326" s="5" t="n"/>
      <c r="C326" s="52" t="n"/>
      <c r="D326" s="52" t="n"/>
      <c r="E326" s="52" t="n"/>
      <c r="F326" s="52" t="n"/>
      <c r="G326" s="52" t="n"/>
      <c r="H326" s="52" t="n"/>
      <c r="I326" s="52" t="n"/>
      <c r="J326" s="52" t="n"/>
      <c r="K326" s="54" t="n"/>
      <c r="L326" s="5" t="n"/>
      <c r="M326" s="53">
        <f>IF(A326="","",IFERROR(INDEX(Firms!$B$5:$B$1004,MATCH(A326,Firms!$A$5:$A$1004,0)),"Not on Firms tab"))</f>
        <v/>
      </c>
      <c r="N326">
        <f>IF(AND(A326&lt;&gt;"",A326='Firm Search'!$C$7),COUNTIF($A$5:A326,'Firm Search'!$C$7),"")</f>
        <v/>
      </c>
    </row>
    <row r="327">
      <c r="A327" s="5" t="n"/>
      <c r="B327" s="5" t="n"/>
      <c r="C327" s="52" t="n"/>
      <c r="D327" s="52" t="n"/>
      <c r="E327" s="52" t="n"/>
      <c r="F327" s="52" t="n"/>
      <c r="G327" s="52" t="n"/>
      <c r="H327" s="52" t="n"/>
      <c r="I327" s="52" t="n"/>
      <c r="J327" s="52" t="n"/>
      <c r="K327" s="54" t="n"/>
      <c r="L327" s="5" t="n"/>
      <c r="M327" s="53">
        <f>IF(A327="","",IFERROR(INDEX(Firms!$B$5:$B$1004,MATCH(A327,Firms!$A$5:$A$1004,0)),"Not on Firms tab"))</f>
        <v/>
      </c>
      <c r="N327">
        <f>IF(AND(A327&lt;&gt;"",A327='Firm Search'!$C$7),COUNTIF($A$5:A327,'Firm Search'!$C$7),"")</f>
        <v/>
      </c>
    </row>
    <row r="328">
      <c r="A328" s="5" t="n"/>
      <c r="B328" s="5" t="n"/>
      <c r="C328" s="52" t="n"/>
      <c r="D328" s="52" t="n"/>
      <c r="E328" s="52" t="n"/>
      <c r="F328" s="52" t="n"/>
      <c r="G328" s="52" t="n"/>
      <c r="H328" s="52" t="n"/>
      <c r="I328" s="52" t="n"/>
      <c r="J328" s="52" t="n"/>
      <c r="K328" s="54" t="n"/>
      <c r="L328" s="5" t="n"/>
      <c r="M328" s="53">
        <f>IF(A328="","",IFERROR(INDEX(Firms!$B$5:$B$1004,MATCH(A328,Firms!$A$5:$A$1004,0)),"Not on Firms tab"))</f>
        <v/>
      </c>
      <c r="N328">
        <f>IF(AND(A328&lt;&gt;"",A328='Firm Search'!$C$7),COUNTIF($A$5:A328,'Firm Search'!$C$7),"")</f>
        <v/>
      </c>
    </row>
    <row r="329">
      <c r="A329" s="5" t="n"/>
      <c r="B329" s="5" t="n"/>
      <c r="C329" s="52" t="n"/>
      <c r="D329" s="52" t="n"/>
      <c r="E329" s="52" t="n"/>
      <c r="F329" s="52" t="n"/>
      <c r="G329" s="52" t="n"/>
      <c r="H329" s="52" t="n"/>
      <c r="I329" s="52" t="n"/>
      <c r="J329" s="52" t="n"/>
      <c r="K329" s="54" t="n"/>
      <c r="L329" s="5" t="n"/>
      <c r="M329" s="53">
        <f>IF(A329="","",IFERROR(INDEX(Firms!$B$5:$B$1004,MATCH(A329,Firms!$A$5:$A$1004,0)),"Not on Firms tab"))</f>
        <v/>
      </c>
      <c r="N329">
        <f>IF(AND(A329&lt;&gt;"",A329='Firm Search'!$C$7),COUNTIF($A$5:A329,'Firm Search'!$C$7),"")</f>
        <v/>
      </c>
    </row>
    <row r="330">
      <c r="A330" s="5" t="n"/>
      <c r="B330" s="5" t="n"/>
      <c r="C330" s="52" t="n"/>
      <c r="D330" s="52" t="n"/>
      <c r="E330" s="52" t="n"/>
      <c r="F330" s="52" t="n"/>
      <c r="G330" s="52" t="n"/>
      <c r="H330" s="52" t="n"/>
      <c r="I330" s="52" t="n"/>
      <c r="J330" s="52" t="n"/>
      <c r="K330" s="54" t="n"/>
      <c r="L330" s="5" t="n"/>
      <c r="M330" s="53">
        <f>IF(A330="","",IFERROR(INDEX(Firms!$B$5:$B$1004,MATCH(A330,Firms!$A$5:$A$1004,0)),"Not on Firms tab"))</f>
        <v/>
      </c>
      <c r="N330">
        <f>IF(AND(A330&lt;&gt;"",A330='Firm Search'!$C$7),COUNTIF($A$5:A330,'Firm Search'!$C$7),"")</f>
        <v/>
      </c>
    </row>
    <row r="331">
      <c r="A331" s="5" t="n"/>
      <c r="B331" s="5" t="n"/>
      <c r="C331" s="52" t="n"/>
      <c r="D331" s="52" t="n"/>
      <c r="E331" s="52" t="n"/>
      <c r="F331" s="52" t="n"/>
      <c r="G331" s="52" t="n"/>
      <c r="H331" s="52" t="n"/>
      <c r="I331" s="52" t="n"/>
      <c r="J331" s="52" t="n"/>
      <c r="K331" s="54" t="n"/>
      <c r="L331" s="5" t="n"/>
      <c r="M331" s="53">
        <f>IF(A331="","",IFERROR(INDEX(Firms!$B$5:$B$1004,MATCH(A331,Firms!$A$5:$A$1004,0)),"Not on Firms tab"))</f>
        <v/>
      </c>
      <c r="N331">
        <f>IF(AND(A331&lt;&gt;"",A331='Firm Search'!$C$7),COUNTIF($A$5:A331,'Firm Search'!$C$7),"")</f>
        <v/>
      </c>
    </row>
    <row r="332">
      <c r="A332" s="5" t="n"/>
      <c r="B332" s="5" t="n"/>
      <c r="C332" s="52" t="n"/>
      <c r="D332" s="52" t="n"/>
      <c r="E332" s="52" t="n"/>
      <c r="F332" s="52" t="n"/>
      <c r="G332" s="52" t="n"/>
      <c r="H332" s="52" t="n"/>
      <c r="I332" s="52" t="n"/>
      <c r="J332" s="52" t="n"/>
      <c r="K332" s="54" t="n"/>
      <c r="L332" s="5" t="n"/>
      <c r="M332" s="53">
        <f>IF(A332="","",IFERROR(INDEX(Firms!$B$5:$B$1004,MATCH(A332,Firms!$A$5:$A$1004,0)),"Not on Firms tab"))</f>
        <v/>
      </c>
      <c r="N332">
        <f>IF(AND(A332&lt;&gt;"",A332='Firm Search'!$C$7),COUNTIF($A$5:A332,'Firm Search'!$C$7),"")</f>
        <v/>
      </c>
    </row>
    <row r="333">
      <c r="A333" s="5" t="n"/>
      <c r="B333" s="5" t="n"/>
      <c r="C333" s="52" t="n"/>
      <c r="D333" s="52" t="n"/>
      <c r="E333" s="52" t="n"/>
      <c r="F333" s="52" t="n"/>
      <c r="G333" s="52" t="n"/>
      <c r="H333" s="52" t="n"/>
      <c r="I333" s="52" t="n"/>
      <c r="J333" s="52" t="n"/>
      <c r="K333" s="54" t="n"/>
      <c r="L333" s="5" t="n"/>
      <c r="M333" s="53">
        <f>IF(A333="","",IFERROR(INDEX(Firms!$B$5:$B$1004,MATCH(A333,Firms!$A$5:$A$1004,0)),"Not on Firms tab"))</f>
        <v/>
      </c>
      <c r="N333">
        <f>IF(AND(A333&lt;&gt;"",A333='Firm Search'!$C$7),COUNTIF($A$5:A333,'Firm Search'!$C$7),"")</f>
        <v/>
      </c>
    </row>
    <row r="334">
      <c r="A334" s="5" t="n"/>
      <c r="B334" s="5" t="n"/>
      <c r="C334" s="52" t="n"/>
      <c r="D334" s="52" t="n"/>
      <c r="E334" s="52" t="n"/>
      <c r="F334" s="52" t="n"/>
      <c r="G334" s="52" t="n"/>
      <c r="H334" s="52" t="n"/>
      <c r="I334" s="52" t="n"/>
      <c r="J334" s="52" t="n"/>
      <c r="K334" s="54" t="n"/>
      <c r="L334" s="5" t="n"/>
      <c r="M334" s="53">
        <f>IF(A334="","",IFERROR(INDEX(Firms!$B$5:$B$1004,MATCH(A334,Firms!$A$5:$A$1004,0)),"Not on Firms tab"))</f>
        <v/>
      </c>
      <c r="N334">
        <f>IF(AND(A334&lt;&gt;"",A334='Firm Search'!$C$7),COUNTIF($A$5:A334,'Firm Search'!$C$7),"")</f>
        <v/>
      </c>
    </row>
    <row r="335">
      <c r="A335" s="5" t="n"/>
      <c r="B335" s="5" t="n"/>
      <c r="C335" s="52" t="n"/>
      <c r="D335" s="52" t="n"/>
      <c r="E335" s="52" t="n"/>
      <c r="F335" s="52" t="n"/>
      <c r="G335" s="52" t="n"/>
      <c r="H335" s="52" t="n"/>
      <c r="I335" s="52" t="n"/>
      <c r="J335" s="52" t="n"/>
      <c r="K335" s="54" t="n"/>
      <c r="L335" s="5" t="n"/>
      <c r="M335" s="53">
        <f>IF(A335="","",IFERROR(INDEX(Firms!$B$5:$B$1004,MATCH(A335,Firms!$A$5:$A$1004,0)),"Not on Firms tab"))</f>
        <v/>
      </c>
      <c r="N335">
        <f>IF(AND(A335&lt;&gt;"",A335='Firm Search'!$C$7),COUNTIF($A$5:A335,'Firm Search'!$C$7),"")</f>
        <v/>
      </c>
    </row>
    <row r="336">
      <c r="A336" s="5" t="n"/>
      <c r="B336" s="5" t="n"/>
      <c r="C336" s="52" t="n"/>
      <c r="D336" s="52" t="n"/>
      <c r="E336" s="52" t="n"/>
      <c r="F336" s="52" t="n"/>
      <c r="G336" s="52" t="n"/>
      <c r="H336" s="52" t="n"/>
      <c r="I336" s="52" t="n"/>
      <c r="J336" s="52" t="n"/>
      <c r="K336" s="54" t="n"/>
      <c r="L336" s="5" t="n"/>
      <c r="M336" s="53">
        <f>IF(A336="","",IFERROR(INDEX(Firms!$B$5:$B$1004,MATCH(A336,Firms!$A$5:$A$1004,0)),"Not on Firms tab"))</f>
        <v/>
      </c>
      <c r="N336">
        <f>IF(AND(A336&lt;&gt;"",A336='Firm Search'!$C$7),COUNTIF($A$5:A336,'Firm Search'!$C$7),"")</f>
        <v/>
      </c>
    </row>
    <row r="337">
      <c r="A337" s="5" t="n"/>
      <c r="B337" s="5" t="n"/>
      <c r="C337" s="52" t="n"/>
      <c r="D337" s="52" t="n"/>
      <c r="E337" s="52" t="n"/>
      <c r="F337" s="52" t="n"/>
      <c r="G337" s="52" t="n"/>
      <c r="H337" s="52" t="n"/>
      <c r="I337" s="52" t="n"/>
      <c r="J337" s="52" t="n"/>
      <c r="K337" s="54" t="n"/>
      <c r="L337" s="5" t="n"/>
      <c r="M337" s="53">
        <f>IF(A337="","",IFERROR(INDEX(Firms!$B$5:$B$1004,MATCH(A337,Firms!$A$5:$A$1004,0)),"Not on Firms tab"))</f>
        <v/>
      </c>
      <c r="N337">
        <f>IF(AND(A337&lt;&gt;"",A337='Firm Search'!$C$7),COUNTIF($A$5:A337,'Firm Search'!$C$7),"")</f>
        <v/>
      </c>
    </row>
    <row r="338">
      <c r="A338" s="5" t="n"/>
      <c r="B338" s="5" t="n"/>
      <c r="C338" s="52" t="n"/>
      <c r="D338" s="52" t="n"/>
      <c r="E338" s="52" t="n"/>
      <c r="F338" s="52" t="n"/>
      <c r="G338" s="52" t="n"/>
      <c r="H338" s="52" t="n"/>
      <c r="I338" s="52" t="n"/>
      <c r="J338" s="52" t="n"/>
      <c r="K338" s="54" t="n"/>
      <c r="L338" s="5" t="n"/>
      <c r="M338" s="53">
        <f>IF(A338="","",IFERROR(INDEX(Firms!$B$5:$B$1004,MATCH(A338,Firms!$A$5:$A$1004,0)),"Not on Firms tab"))</f>
        <v/>
      </c>
      <c r="N338">
        <f>IF(AND(A338&lt;&gt;"",A338='Firm Search'!$C$7),COUNTIF($A$5:A338,'Firm Search'!$C$7),"")</f>
        <v/>
      </c>
    </row>
    <row r="339">
      <c r="A339" s="5" t="n"/>
      <c r="B339" s="5" t="n"/>
      <c r="C339" s="52" t="n"/>
      <c r="D339" s="52" t="n"/>
      <c r="E339" s="52" t="n"/>
      <c r="F339" s="52" t="n"/>
      <c r="G339" s="52" t="n"/>
      <c r="H339" s="52" t="n"/>
      <c r="I339" s="52" t="n"/>
      <c r="J339" s="52" t="n"/>
      <c r="K339" s="54" t="n"/>
      <c r="L339" s="5" t="n"/>
      <c r="M339" s="53">
        <f>IF(A339="","",IFERROR(INDEX(Firms!$B$5:$B$1004,MATCH(A339,Firms!$A$5:$A$1004,0)),"Not on Firms tab"))</f>
        <v/>
      </c>
      <c r="N339">
        <f>IF(AND(A339&lt;&gt;"",A339='Firm Search'!$C$7),COUNTIF($A$5:A339,'Firm Search'!$C$7),"")</f>
        <v/>
      </c>
    </row>
    <row r="340">
      <c r="A340" s="5" t="n"/>
      <c r="B340" s="5" t="n"/>
      <c r="C340" s="52" t="n"/>
      <c r="D340" s="52" t="n"/>
      <c r="E340" s="52" t="n"/>
      <c r="F340" s="52" t="n"/>
      <c r="G340" s="52" t="n"/>
      <c r="H340" s="52" t="n"/>
      <c r="I340" s="52" t="n"/>
      <c r="J340" s="52" t="n"/>
      <c r="K340" s="54" t="n"/>
      <c r="L340" s="5" t="n"/>
      <c r="M340" s="53">
        <f>IF(A340="","",IFERROR(INDEX(Firms!$B$5:$B$1004,MATCH(A340,Firms!$A$5:$A$1004,0)),"Not on Firms tab"))</f>
        <v/>
      </c>
      <c r="N340">
        <f>IF(AND(A340&lt;&gt;"",A340='Firm Search'!$C$7),COUNTIF($A$5:A340,'Firm Search'!$C$7),"")</f>
        <v/>
      </c>
    </row>
    <row r="341">
      <c r="A341" s="5" t="n"/>
      <c r="B341" s="5" t="n"/>
      <c r="C341" s="52" t="n"/>
      <c r="D341" s="52" t="n"/>
      <c r="E341" s="52" t="n"/>
      <c r="F341" s="52" t="n"/>
      <c r="G341" s="52" t="n"/>
      <c r="H341" s="52" t="n"/>
      <c r="I341" s="52" t="n"/>
      <c r="J341" s="52" t="n"/>
      <c r="K341" s="54" t="n"/>
      <c r="L341" s="5" t="n"/>
      <c r="M341" s="53">
        <f>IF(A341="","",IFERROR(INDEX(Firms!$B$5:$B$1004,MATCH(A341,Firms!$A$5:$A$1004,0)),"Not on Firms tab"))</f>
        <v/>
      </c>
      <c r="N341">
        <f>IF(AND(A341&lt;&gt;"",A341='Firm Search'!$C$7),COUNTIF($A$5:A341,'Firm Search'!$C$7),"")</f>
        <v/>
      </c>
    </row>
    <row r="342">
      <c r="A342" s="5" t="n"/>
      <c r="B342" s="5" t="n"/>
      <c r="C342" s="52" t="n"/>
      <c r="D342" s="52" t="n"/>
      <c r="E342" s="52" t="n"/>
      <c r="F342" s="52" t="n"/>
      <c r="G342" s="52" t="n"/>
      <c r="H342" s="52" t="n"/>
      <c r="I342" s="52" t="n"/>
      <c r="J342" s="52" t="n"/>
      <c r="K342" s="54" t="n"/>
      <c r="L342" s="5" t="n"/>
      <c r="M342" s="53">
        <f>IF(A342="","",IFERROR(INDEX(Firms!$B$5:$B$1004,MATCH(A342,Firms!$A$5:$A$1004,0)),"Not on Firms tab"))</f>
        <v/>
      </c>
      <c r="N342">
        <f>IF(AND(A342&lt;&gt;"",A342='Firm Search'!$C$7),COUNTIF($A$5:A342,'Firm Search'!$C$7),"")</f>
        <v/>
      </c>
    </row>
    <row r="343">
      <c r="A343" s="5" t="n"/>
      <c r="B343" s="5" t="n"/>
      <c r="C343" s="52" t="n"/>
      <c r="D343" s="52" t="n"/>
      <c r="E343" s="52" t="n"/>
      <c r="F343" s="52" t="n"/>
      <c r="G343" s="52" t="n"/>
      <c r="H343" s="52" t="n"/>
      <c r="I343" s="52" t="n"/>
      <c r="J343" s="52" t="n"/>
      <c r="K343" s="54" t="n"/>
      <c r="L343" s="5" t="n"/>
      <c r="M343" s="53">
        <f>IF(A343="","",IFERROR(INDEX(Firms!$B$5:$B$1004,MATCH(A343,Firms!$A$5:$A$1004,0)),"Not on Firms tab"))</f>
        <v/>
      </c>
      <c r="N343">
        <f>IF(AND(A343&lt;&gt;"",A343='Firm Search'!$C$7),COUNTIF($A$5:A343,'Firm Search'!$C$7),"")</f>
        <v/>
      </c>
    </row>
    <row r="344">
      <c r="A344" s="5" t="n"/>
      <c r="B344" s="5" t="n"/>
      <c r="C344" s="52" t="n"/>
      <c r="D344" s="52" t="n"/>
      <c r="E344" s="52" t="n"/>
      <c r="F344" s="52" t="n"/>
      <c r="G344" s="52" t="n"/>
      <c r="H344" s="52" t="n"/>
      <c r="I344" s="52" t="n"/>
      <c r="J344" s="52" t="n"/>
      <c r="K344" s="54" t="n"/>
      <c r="L344" s="5" t="n"/>
      <c r="M344" s="53">
        <f>IF(A344="","",IFERROR(INDEX(Firms!$B$5:$B$1004,MATCH(A344,Firms!$A$5:$A$1004,0)),"Not on Firms tab"))</f>
        <v/>
      </c>
      <c r="N344">
        <f>IF(AND(A344&lt;&gt;"",A344='Firm Search'!$C$7),COUNTIF($A$5:A344,'Firm Search'!$C$7),"")</f>
        <v/>
      </c>
    </row>
    <row r="345">
      <c r="A345" s="5" t="n"/>
      <c r="B345" s="5" t="n"/>
      <c r="C345" s="52" t="n"/>
      <c r="D345" s="52" t="n"/>
      <c r="E345" s="52" t="n"/>
      <c r="F345" s="52" t="n"/>
      <c r="G345" s="52" t="n"/>
      <c r="H345" s="52" t="n"/>
      <c r="I345" s="52" t="n"/>
      <c r="J345" s="52" t="n"/>
      <c r="K345" s="54" t="n"/>
      <c r="L345" s="5" t="n"/>
      <c r="M345" s="53">
        <f>IF(A345="","",IFERROR(INDEX(Firms!$B$5:$B$1004,MATCH(A345,Firms!$A$5:$A$1004,0)),"Not on Firms tab"))</f>
        <v/>
      </c>
      <c r="N345">
        <f>IF(AND(A345&lt;&gt;"",A345='Firm Search'!$C$7),COUNTIF($A$5:A345,'Firm Search'!$C$7),"")</f>
        <v/>
      </c>
    </row>
    <row r="346">
      <c r="A346" s="5" t="n"/>
      <c r="B346" s="5" t="n"/>
      <c r="C346" s="52" t="n"/>
      <c r="D346" s="52" t="n"/>
      <c r="E346" s="52" t="n"/>
      <c r="F346" s="52" t="n"/>
      <c r="G346" s="52" t="n"/>
      <c r="H346" s="52" t="n"/>
      <c r="I346" s="52" t="n"/>
      <c r="J346" s="52" t="n"/>
      <c r="K346" s="54" t="n"/>
      <c r="L346" s="5" t="n"/>
      <c r="M346" s="53">
        <f>IF(A346="","",IFERROR(INDEX(Firms!$B$5:$B$1004,MATCH(A346,Firms!$A$5:$A$1004,0)),"Not on Firms tab"))</f>
        <v/>
      </c>
      <c r="N346">
        <f>IF(AND(A346&lt;&gt;"",A346='Firm Search'!$C$7),COUNTIF($A$5:A346,'Firm Search'!$C$7),"")</f>
        <v/>
      </c>
    </row>
    <row r="347">
      <c r="A347" s="5" t="n"/>
      <c r="B347" s="5" t="n"/>
      <c r="C347" s="52" t="n"/>
      <c r="D347" s="52" t="n"/>
      <c r="E347" s="52" t="n"/>
      <c r="F347" s="52" t="n"/>
      <c r="G347" s="52" t="n"/>
      <c r="H347" s="52" t="n"/>
      <c r="I347" s="52" t="n"/>
      <c r="J347" s="52" t="n"/>
      <c r="K347" s="54" t="n"/>
      <c r="L347" s="5" t="n"/>
      <c r="M347" s="53">
        <f>IF(A347="","",IFERROR(INDEX(Firms!$B$5:$B$1004,MATCH(A347,Firms!$A$5:$A$1004,0)),"Not on Firms tab"))</f>
        <v/>
      </c>
      <c r="N347">
        <f>IF(AND(A347&lt;&gt;"",A347='Firm Search'!$C$7),COUNTIF($A$5:A347,'Firm Search'!$C$7),"")</f>
        <v/>
      </c>
    </row>
    <row r="348">
      <c r="A348" s="5" t="n"/>
      <c r="B348" s="5" t="n"/>
      <c r="C348" s="52" t="n"/>
      <c r="D348" s="52" t="n"/>
      <c r="E348" s="52" t="n"/>
      <c r="F348" s="52" t="n"/>
      <c r="G348" s="52" t="n"/>
      <c r="H348" s="52" t="n"/>
      <c r="I348" s="52" t="n"/>
      <c r="J348" s="52" t="n"/>
      <c r="K348" s="54" t="n"/>
      <c r="L348" s="5" t="n"/>
      <c r="M348" s="53">
        <f>IF(A348="","",IFERROR(INDEX(Firms!$B$5:$B$1004,MATCH(A348,Firms!$A$5:$A$1004,0)),"Not on Firms tab"))</f>
        <v/>
      </c>
      <c r="N348">
        <f>IF(AND(A348&lt;&gt;"",A348='Firm Search'!$C$7),COUNTIF($A$5:A348,'Firm Search'!$C$7),"")</f>
        <v/>
      </c>
    </row>
    <row r="349">
      <c r="A349" s="5" t="n"/>
      <c r="B349" s="5" t="n"/>
      <c r="C349" s="52" t="n"/>
      <c r="D349" s="52" t="n"/>
      <c r="E349" s="52" t="n"/>
      <c r="F349" s="52" t="n"/>
      <c r="G349" s="52" t="n"/>
      <c r="H349" s="52" t="n"/>
      <c r="I349" s="52" t="n"/>
      <c r="J349" s="52" t="n"/>
      <c r="K349" s="54" t="n"/>
      <c r="L349" s="5" t="n"/>
      <c r="M349" s="53">
        <f>IF(A349="","",IFERROR(INDEX(Firms!$B$5:$B$1004,MATCH(A349,Firms!$A$5:$A$1004,0)),"Not on Firms tab"))</f>
        <v/>
      </c>
      <c r="N349">
        <f>IF(AND(A349&lt;&gt;"",A349='Firm Search'!$C$7),COUNTIF($A$5:A349,'Firm Search'!$C$7),"")</f>
        <v/>
      </c>
    </row>
    <row r="350">
      <c r="A350" s="5" t="n"/>
      <c r="B350" s="5" t="n"/>
      <c r="C350" s="52" t="n"/>
      <c r="D350" s="52" t="n"/>
      <c r="E350" s="52" t="n"/>
      <c r="F350" s="52" t="n"/>
      <c r="G350" s="52" t="n"/>
      <c r="H350" s="52" t="n"/>
      <c r="I350" s="52" t="n"/>
      <c r="J350" s="52" t="n"/>
      <c r="K350" s="54" t="n"/>
      <c r="L350" s="5" t="n"/>
      <c r="M350" s="53">
        <f>IF(A350="","",IFERROR(INDEX(Firms!$B$5:$B$1004,MATCH(A350,Firms!$A$5:$A$1004,0)),"Not on Firms tab"))</f>
        <v/>
      </c>
      <c r="N350">
        <f>IF(AND(A350&lt;&gt;"",A350='Firm Search'!$C$7),COUNTIF($A$5:A350,'Firm Search'!$C$7),"")</f>
        <v/>
      </c>
    </row>
    <row r="351">
      <c r="A351" s="5" t="n"/>
      <c r="B351" s="5" t="n"/>
      <c r="C351" s="52" t="n"/>
      <c r="D351" s="52" t="n"/>
      <c r="E351" s="52" t="n"/>
      <c r="F351" s="52" t="n"/>
      <c r="G351" s="52" t="n"/>
      <c r="H351" s="52" t="n"/>
      <c r="I351" s="52" t="n"/>
      <c r="J351" s="52" t="n"/>
      <c r="K351" s="54" t="n"/>
      <c r="L351" s="5" t="n"/>
      <c r="M351" s="53">
        <f>IF(A351="","",IFERROR(INDEX(Firms!$B$5:$B$1004,MATCH(A351,Firms!$A$5:$A$1004,0)),"Not on Firms tab"))</f>
        <v/>
      </c>
      <c r="N351">
        <f>IF(AND(A351&lt;&gt;"",A351='Firm Search'!$C$7),COUNTIF($A$5:A351,'Firm Search'!$C$7),"")</f>
        <v/>
      </c>
    </row>
    <row r="352">
      <c r="A352" s="5" t="n"/>
      <c r="B352" s="5" t="n"/>
      <c r="C352" s="52" t="n"/>
      <c r="D352" s="52" t="n"/>
      <c r="E352" s="52" t="n"/>
      <c r="F352" s="52" t="n"/>
      <c r="G352" s="52" t="n"/>
      <c r="H352" s="52" t="n"/>
      <c r="I352" s="52" t="n"/>
      <c r="J352" s="52" t="n"/>
      <c r="K352" s="54" t="n"/>
      <c r="L352" s="5" t="n"/>
      <c r="M352" s="53">
        <f>IF(A352="","",IFERROR(INDEX(Firms!$B$5:$B$1004,MATCH(A352,Firms!$A$5:$A$1004,0)),"Not on Firms tab"))</f>
        <v/>
      </c>
      <c r="N352">
        <f>IF(AND(A352&lt;&gt;"",A352='Firm Search'!$C$7),COUNTIF($A$5:A352,'Firm Search'!$C$7),"")</f>
        <v/>
      </c>
    </row>
    <row r="353">
      <c r="A353" s="5" t="n"/>
      <c r="B353" s="5" t="n"/>
      <c r="C353" s="52" t="n"/>
      <c r="D353" s="52" t="n"/>
      <c r="E353" s="52" t="n"/>
      <c r="F353" s="52" t="n"/>
      <c r="G353" s="52" t="n"/>
      <c r="H353" s="52" t="n"/>
      <c r="I353" s="52" t="n"/>
      <c r="J353" s="52" t="n"/>
      <c r="K353" s="54" t="n"/>
      <c r="L353" s="5" t="n"/>
      <c r="M353" s="53">
        <f>IF(A353="","",IFERROR(INDEX(Firms!$B$5:$B$1004,MATCH(A353,Firms!$A$5:$A$1004,0)),"Not on Firms tab"))</f>
        <v/>
      </c>
      <c r="N353">
        <f>IF(AND(A353&lt;&gt;"",A353='Firm Search'!$C$7),COUNTIF($A$5:A353,'Firm Search'!$C$7),"")</f>
        <v/>
      </c>
    </row>
    <row r="354">
      <c r="A354" s="5" t="n"/>
      <c r="B354" s="5" t="n"/>
      <c r="C354" s="52" t="n"/>
      <c r="D354" s="52" t="n"/>
      <c r="E354" s="52" t="n"/>
      <c r="F354" s="52" t="n"/>
      <c r="G354" s="52" t="n"/>
      <c r="H354" s="52" t="n"/>
      <c r="I354" s="52" t="n"/>
      <c r="J354" s="52" t="n"/>
      <c r="K354" s="54" t="n"/>
      <c r="L354" s="5" t="n"/>
      <c r="M354" s="53">
        <f>IF(A354="","",IFERROR(INDEX(Firms!$B$5:$B$1004,MATCH(A354,Firms!$A$5:$A$1004,0)),"Not on Firms tab"))</f>
        <v/>
      </c>
      <c r="N354">
        <f>IF(AND(A354&lt;&gt;"",A354='Firm Search'!$C$7),COUNTIF($A$5:A354,'Firm Search'!$C$7),"")</f>
        <v/>
      </c>
    </row>
    <row r="355">
      <c r="A355" s="5" t="n"/>
      <c r="B355" s="5" t="n"/>
      <c r="C355" s="52" t="n"/>
      <c r="D355" s="52" t="n"/>
      <c r="E355" s="52" t="n"/>
      <c r="F355" s="52" t="n"/>
      <c r="G355" s="52" t="n"/>
      <c r="H355" s="52" t="n"/>
      <c r="I355" s="52" t="n"/>
      <c r="J355" s="52" t="n"/>
      <c r="K355" s="54" t="n"/>
      <c r="L355" s="5" t="n"/>
      <c r="M355" s="53">
        <f>IF(A355="","",IFERROR(INDEX(Firms!$B$5:$B$1004,MATCH(A355,Firms!$A$5:$A$1004,0)),"Not on Firms tab"))</f>
        <v/>
      </c>
      <c r="N355">
        <f>IF(AND(A355&lt;&gt;"",A355='Firm Search'!$C$7),COUNTIF($A$5:A355,'Firm Search'!$C$7),"")</f>
        <v/>
      </c>
    </row>
    <row r="356">
      <c r="A356" s="5" t="n"/>
      <c r="B356" s="5" t="n"/>
      <c r="C356" s="52" t="n"/>
      <c r="D356" s="52" t="n"/>
      <c r="E356" s="52" t="n"/>
      <c r="F356" s="52" t="n"/>
      <c r="G356" s="52" t="n"/>
      <c r="H356" s="52" t="n"/>
      <c r="I356" s="52" t="n"/>
      <c r="J356" s="52" t="n"/>
      <c r="K356" s="54" t="n"/>
      <c r="L356" s="5" t="n"/>
      <c r="M356" s="53">
        <f>IF(A356="","",IFERROR(INDEX(Firms!$B$5:$B$1004,MATCH(A356,Firms!$A$5:$A$1004,0)),"Not on Firms tab"))</f>
        <v/>
      </c>
      <c r="N356">
        <f>IF(AND(A356&lt;&gt;"",A356='Firm Search'!$C$7),COUNTIF($A$5:A356,'Firm Search'!$C$7),"")</f>
        <v/>
      </c>
    </row>
    <row r="357">
      <c r="A357" s="5" t="n"/>
      <c r="B357" s="5" t="n"/>
      <c r="C357" s="52" t="n"/>
      <c r="D357" s="52" t="n"/>
      <c r="E357" s="52" t="n"/>
      <c r="F357" s="52" t="n"/>
      <c r="G357" s="52" t="n"/>
      <c r="H357" s="52" t="n"/>
      <c r="I357" s="52" t="n"/>
      <c r="J357" s="52" t="n"/>
      <c r="K357" s="54" t="n"/>
      <c r="L357" s="5" t="n"/>
      <c r="M357" s="53">
        <f>IF(A357="","",IFERROR(INDEX(Firms!$B$5:$B$1004,MATCH(A357,Firms!$A$5:$A$1004,0)),"Not on Firms tab"))</f>
        <v/>
      </c>
      <c r="N357">
        <f>IF(AND(A357&lt;&gt;"",A357='Firm Search'!$C$7),COUNTIF($A$5:A357,'Firm Search'!$C$7),"")</f>
        <v/>
      </c>
    </row>
    <row r="358">
      <c r="A358" s="5" t="n"/>
      <c r="B358" s="5" t="n"/>
      <c r="C358" s="52" t="n"/>
      <c r="D358" s="52" t="n"/>
      <c r="E358" s="52" t="n"/>
      <c r="F358" s="52" t="n"/>
      <c r="G358" s="52" t="n"/>
      <c r="H358" s="52" t="n"/>
      <c r="I358" s="52" t="n"/>
      <c r="J358" s="52" t="n"/>
      <c r="K358" s="54" t="n"/>
      <c r="L358" s="5" t="n"/>
      <c r="M358" s="53">
        <f>IF(A358="","",IFERROR(INDEX(Firms!$B$5:$B$1004,MATCH(A358,Firms!$A$5:$A$1004,0)),"Not on Firms tab"))</f>
        <v/>
      </c>
      <c r="N358">
        <f>IF(AND(A358&lt;&gt;"",A358='Firm Search'!$C$7),COUNTIF($A$5:A358,'Firm Search'!$C$7),"")</f>
        <v/>
      </c>
    </row>
    <row r="359">
      <c r="A359" s="5" t="n"/>
      <c r="B359" s="5" t="n"/>
      <c r="C359" s="52" t="n"/>
      <c r="D359" s="52" t="n"/>
      <c r="E359" s="52" t="n"/>
      <c r="F359" s="52" t="n"/>
      <c r="G359" s="52" t="n"/>
      <c r="H359" s="52" t="n"/>
      <c r="I359" s="52" t="n"/>
      <c r="J359" s="52" t="n"/>
      <c r="K359" s="54" t="n"/>
      <c r="L359" s="5" t="n"/>
      <c r="M359" s="53">
        <f>IF(A359="","",IFERROR(INDEX(Firms!$B$5:$B$1004,MATCH(A359,Firms!$A$5:$A$1004,0)),"Not on Firms tab"))</f>
        <v/>
      </c>
      <c r="N359">
        <f>IF(AND(A359&lt;&gt;"",A359='Firm Search'!$C$7),COUNTIF($A$5:A359,'Firm Search'!$C$7),"")</f>
        <v/>
      </c>
    </row>
    <row r="360">
      <c r="A360" s="5" t="n"/>
      <c r="B360" s="5" t="n"/>
      <c r="C360" s="52" t="n"/>
      <c r="D360" s="52" t="n"/>
      <c r="E360" s="52" t="n"/>
      <c r="F360" s="52" t="n"/>
      <c r="G360" s="52" t="n"/>
      <c r="H360" s="52" t="n"/>
      <c r="I360" s="52" t="n"/>
      <c r="J360" s="52" t="n"/>
      <c r="K360" s="54" t="n"/>
      <c r="L360" s="5" t="n"/>
      <c r="M360" s="53">
        <f>IF(A360="","",IFERROR(INDEX(Firms!$B$5:$B$1004,MATCH(A360,Firms!$A$5:$A$1004,0)),"Not on Firms tab"))</f>
        <v/>
      </c>
      <c r="N360">
        <f>IF(AND(A360&lt;&gt;"",A360='Firm Search'!$C$7),COUNTIF($A$5:A360,'Firm Search'!$C$7),"")</f>
        <v/>
      </c>
    </row>
    <row r="361">
      <c r="A361" s="5" t="n"/>
      <c r="B361" s="5" t="n"/>
      <c r="C361" s="52" t="n"/>
      <c r="D361" s="52" t="n"/>
      <c r="E361" s="52" t="n"/>
      <c r="F361" s="52" t="n"/>
      <c r="G361" s="52" t="n"/>
      <c r="H361" s="52" t="n"/>
      <c r="I361" s="52" t="n"/>
      <c r="J361" s="52" t="n"/>
      <c r="K361" s="54" t="n"/>
      <c r="L361" s="5" t="n"/>
      <c r="M361" s="53">
        <f>IF(A361="","",IFERROR(INDEX(Firms!$B$5:$B$1004,MATCH(A361,Firms!$A$5:$A$1004,0)),"Not on Firms tab"))</f>
        <v/>
      </c>
      <c r="N361">
        <f>IF(AND(A361&lt;&gt;"",A361='Firm Search'!$C$7),COUNTIF($A$5:A361,'Firm Search'!$C$7),"")</f>
        <v/>
      </c>
    </row>
    <row r="362">
      <c r="A362" s="5" t="n"/>
      <c r="B362" s="5" t="n"/>
      <c r="C362" s="52" t="n"/>
      <c r="D362" s="52" t="n"/>
      <c r="E362" s="52" t="n"/>
      <c r="F362" s="52" t="n"/>
      <c r="G362" s="52" t="n"/>
      <c r="H362" s="52" t="n"/>
      <c r="I362" s="52" t="n"/>
      <c r="J362" s="52" t="n"/>
      <c r="K362" s="54" t="n"/>
      <c r="L362" s="5" t="n"/>
      <c r="M362" s="53">
        <f>IF(A362="","",IFERROR(INDEX(Firms!$B$5:$B$1004,MATCH(A362,Firms!$A$5:$A$1004,0)),"Not on Firms tab"))</f>
        <v/>
      </c>
      <c r="N362">
        <f>IF(AND(A362&lt;&gt;"",A362='Firm Search'!$C$7),COUNTIF($A$5:A362,'Firm Search'!$C$7),"")</f>
        <v/>
      </c>
    </row>
    <row r="363">
      <c r="A363" s="5" t="n"/>
      <c r="B363" s="5" t="n"/>
      <c r="C363" s="52" t="n"/>
      <c r="D363" s="52" t="n"/>
      <c r="E363" s="52" t="n"/>
      <c r="F363" s="52" t="n"/>
      <c r="G363" s="52" t="n"/>
      <c r="H363" s="52" t="n"/>
      <c r="I363" s="52" t="n"/>
      <c r="J363" s="52" t="n"/>
      <c r="K363" s="54" t="n"/>
      <c r="L363" s="5" t="n"/>
      <c r="M363" s="53">
        <f>IF(A363="","",IFERROR(INDEX(Firms!$B$5:$B$1004,MATCH(A363,Firms!$A$5:$A$1004,0)),"Not on Firms tab"))</f>
        <v/>
      </c>
      <c r="N363">
        <f>IF(AND(A363&lt;&gt;"",A363='Firm Search'!$C$7),COUNTIF($A$5:A363,'Firm Search'!$C$7),"")</f>
        <v/>
      </c>
    </row>
    <row r="364">
      <c r="A364" s="5" t="n"/>
      <c r="B364" s="5" t="n"/>
      <c r="C364" s="52" t="n"/>
      <c r="D364" s="52" t="n"/>
      <c r="E364" s="52" t="n"/>
      <c r="F364" s="52" t="n"/>
      <c r="G364" s="52" t="n"/>
      <c r="H364" s="52" t="n"/>
      <c r="I364" s="52" t="n"/>
      <c r="J364" s="52" t="n"/>
      <c r="K364" s="54" t="n"/>
      <c r="L364" s="5" t="n"/>
      <c r="M364" s="53">
        <f>IF(A364="","",IFERROR(INDEX(Firms!$B$5:$B$1004,MATCH(A364,Firms!$A$5:$A$1004,0)),"Not on Firms tab"))</f>
        <v/>
      </c>
      <c r="N364">
        <f>IF(AND(A364&lt;&gt;"",A364='Firm Search'!$C$7),COUNTIF($A$5:A364,'Firm Search'!$C$7),"")</f>
        <v/>
      </c>
    </row>
    <row r="365">
      <c r="A365" s="5" t="n"/>
      <c r="B365" s="5" t="n"/>
      <c r="C365" s="52" t="n"/>
      <c r="D365" s="52" t="n"/>
      <c r="E365" s="52" t="n"/>
      <c r="F365" s="52" t="n"/>
      <c r="G365" s="52" t="n"/>
      <c r="H365" s="52" t="n"/>
      <c r="I365" s="52" t="n"/>
      <c r="J365" s="52" t="n"/>
      <c r="K365" s="54" t="n"/>
      <c r="L365" s="5" t="n"/>
      <c r="M365" s="53">
        <f>IF(A365="","",IFERROR(INDEX(Firms!$B$5:$B$1004,MATCH(A365,Firms!$A$5:$A$1004,0)),"Not on Firms tab"))</f>
        <v/>
      </c>
      <c r="N365">
        <f>IF(AND(A365&lt;&gt;"",A365='Firm Search'!$C$7),COUNTIF($A$5:A365,'Firm Search'!$C$7),"")</f>
        <v/>
      </c>
    </row>
    <row r="366">
      <c r="A366" s="5" t="n"/>
      <c r="B366" s="5" t="n"/>
      <c r="C366" s="52" t="n"/>
      <c r="D366" s="52" t="n"/>
      <c r="E366" s="52" t="n"/>
      <c r="F366" s="52" t="n"/>
      <c r="G366" s="52" t="n"/>
      <c r="H366" s="52" t="n"/>
      <c r="I366" s="52" t="n"/>
      <c r="J366" s="52" t="n"/>
      <c r="K366" s="54" t="n"/>
      <c r="L366" s="5" t="n"/>
      <c r="M366" s="53">
        <f>IF(A366="","",IFERROR(INDEX(Firms!$B$5:$B$1004,MATCH(A366,Firms!$A$5:$A$1004,0)),"Not on Firms tab"))</f>
        <v/>
      </c>
      <c r="N366">
        <f>IF(AND(A366&lt;&gt;"",A366='Firm Search'!$C$7),COUNTIF($A$5:A366,'Firm Search'!$C$7),"")</f>
        <v/>
      </c>
    </row>
    <row r="367">
      <c r="A367" s="5" t="n"/>
      <c r="B367" s="5" t="n"/>
      <c r="C367" s="52" t="n"/>
      <c r="D367" s="52" t="n"/>
      <c r="E367" s="52" t="n"/>
      <c r="F367" s="52" t="n"/>
      <c r="G367" s="52" t="n"/>
      <c r="H367" s="52" t="n"/>
      <c r="I367" s="52" t="n"/>
      <c r="J367" s="52" t="n"/>
      <c r="K367" s="54" t="n"/>
      <c r="L367" s="5" t="n"/>
      <c r="M367" s="53">
        <f>IF(A367="","",IFERROR(INDEX(Firms!$B$5:$B$1004,MATCH(A367,Firms!$A$5:$A$1004,0)),"Not on Firms tab"))</f>
        <v/>
      </c>
      <c r="N367">
        <f>IF(AND(A367&lt;&gt;"",A367='Firm Search'!$C$7),COUNTIF($A$5:A367,'Firm Search'!$C$7),"")</f>
        <v/>
      </c>
    </row>
    <row r="368">
      <c r="A368" s="5" t="n"/>
      <c r="B368" s="5" t="n"/>
      <c r="C368" s="52" t="n"/>
      <c r="D368" s="52" t="n"/>
      <c r="E368" s="52" t="n"/>
      <c r="F368" s="52" t="n"/>
      <c r="G368" s="52" t="n"/>
      <c r="H368" s="52" t="n"/>
      <c r="I368" s="52" t="n"/>
      <c r="J368" s="52" t="n"/>
      <c r="K368" s="54" t="n"/>
      <c r="L368" s="5" t="n"/>
      <c r="M368" s="53">
        <f>IF(A368="","",IFERROR(INDEX(Firms!$B$5:$B$1004,MATCH(A368,Firms!$A$5:$A$1004,0)),"Not on Firms tab"))</f>
        <v/>
      </c>
      <c r="N368">
        <f>IF(AND(A368&lt;&gt;"",A368='Firm Search'!$C$7),COUNTIF($A$5:A368,'Firm Search'!$C$7),"")</f>
        <v/>
      </c>
    </row>
    <row r="369">
      <c r="A369" s="5" t="n"/>
      <c r="B369" s="5" t="n"/>
      <c r="C369" s="52" t="n"/>
      <c r="D369" s="52" t="n"/>
      <c r="E369" s="52" t="n"/>
      <c r="F369" s="52" t="n"/>
      <c r="G369" s="52" t="n"/>
      <c r="H369" s="52" t="n"/>
      <c r="I369" s="52" t="n"/>
      <c r="J369" s="52" t="n"/>
      <c r="K369" s="54" t="n"/>
      <c r="L369" s="5" t="n"/>
      <c r="M369" s="53">
        <f>IF(A369="","",IFERROR(INDEX(Firms!$B$5:$B$1004,MATCH(A369,Firms!$A$5:$A$1004,0)),"Not on Firms tab"))</f>
        <v/>
      </c>
      <c r="N369">
        <f>IF(AND(A369&lt;&gt;"",A369='Firm Search'!$C$7),COUNTIF($A$5:A369,'Firm Search'!$C$7),"")</f>
        <v/>
      </c>
    </row>
    <row r="370">
      <c r="A370" s="5" t="n"/>
      <c r="B370" s="5" t="n"/>
      <c r="C370" s="52" t="n"/>
      <c r="D370" s="52" t="n"/>
      <c r="E370" s="52" t="n"/>
      <c r="F370" s="52" t="n"/>
      <c r="G370" s="52" t="n"/>
      <c r="H370" s="52" t="n"/>
      <c r="I370" s="52" t="n"/>
      <c r="J370" s="52" t="n"/>
      <c r="K370" s="54" t="n"/>
      <c r="L370" s="5" t="n"/>
      <c r="M370" s="53">
        <f>IF(A370="","",IFERROR(INDEX(Firms!$B$5:$B$1004,MATCH(A370,Firms!$A$5:$A$1004,0)),"Not on Firms tab"))</f>
        <v/>
      </c>
      <c r="N370">
        <f>IF(AND(A370&lt;&gt;"",A370='Firm Search'!$C$7),COUNTIF($A$5:A370,'Firm Search'!$C$7),"")</f>
        <v/>
      </c>
    </row>
    <row r="371">
      <c r="A371" s="5" t="n"/>
      <c r="B371" s="5" t="n"/>
      <c r="C371" s="52" t="n"/>
      <c r="D371" s="52" t="n"/>
      <c r="E371" s="52" t="n"/>
      <c r="F371" s="52" t="n"/>
      <c r="G371" s="52" t="n"/>
      <c r="H371" s="52" t="n"/>
      <c r="I371" s="52" t="n"/>
      <c r="J371" s="52" t="n"/>
      <c r="K371" s="54" t="n"/>
      <c r="L371" s="5" t="n"/>
      <c r="M371" s="53">
        <f>IF(A371="","",IFERROR(INDEX(Firms!$B$5:$B$1004,MATCH(A371,Firms!$A$5:$A$1004,0)),"Not on Firms tab"))</f>
        <v/>
      </c>
      <c r="N371">
        <f>IF(AND(A371&lt;&gt;"",A371='Firm Search'!$C$7),COUNTIF($A$5:A371,'Firm Search'!$C$7),"")</f>
        <v/>
      </c>
    </row>
    <row r="372">
      <c r="A372" s="5" t="n"/>
      <c r="B372" s="5" t="n"/>
      <c r="C372" s="52" t="n"/>
      <c r="D372" s="52" t="n"/>
      <c r="E372" s="52" t="n"/>
      <c r="F372" s="52" t="n"/>
      <c r="G372" s="52" t="n"/>
      <c r="H372" s="52" t="n"/>
      <c r="I372" s="52" t="n"/>
      <c r="J372" s="52" t="n"/>
      <c r="K372" s="54" t="n"/>
      <c r="L372" s="5" t="n"/>
      <c r="M372" s="53">
        <f>IF(A372="","",IFERROR(INDEX(Firms!$B$5:$B$1004,MATCH(A372,Firms!$A$5:$A$1004,0)),"Not on Firms tab"))</f>
        <v/>
      </c>
      <c r="N372">
        <f>IF(AND(A372&lt;&gt;"",A372='Firm Search'!$C$7),COUNTIF($A$5:A372,'Firm Search'!$C$7),"")</f>
        <v/>
      </c>
    </row>
    <row r="373">
      <c r="A373" s="5" t="n"/>
      <c r="B373" s="5" t="n"/>
      <c r="C373" s="52" t="n"/>
      <c r="D373" s="52" t="n"/>
      <c r="E373" s="52" t="n"/>
      <c r="F373" s="52" t="n"/>
      <c r="G373" s="52" t="n"/>
      <c r="H373" s="52" t="n"/>
      <c r="I373" s="52" t="n"/>
      <c r="J373" s="52" t="n"/>
      <c r="K373" s="54" t="n"/>
      <c r="L373" s="5" t="n"/>
      <c r="M373" s="53">
        <f>IF(A373="","",IFERROR(INDEX(Firms!$B$5:$B$1004,MATCH(A373,Firms!$A$5:$A$1004,0)),"Not on Firms tab"))</f>
        <v/>
      </c>
      <c r="N373">
        <f>IF(AND(A373&lt;&gt;"",A373='Firm Search'!$C$7),COUNTIF($A$5:A373,'Firm Search'!$C$7),"")</f>
        <v/>
      </c>
    </row>
    <row r="374">
      <c r="A374" s="5" t="n"/>
      <c r="B374" s="5" t="n"/>
      <c r="C374" s="52" t="n"/>
      <c r="D374" s="52" t="n"/>
      <c r="E374" s="52" t="n"/>
      <c r="F374" s="52" t="n"/>
      <c r="G374" s="52" t="n"/>
      <c r="H374" s="52" t="n"/>
      <c r="I374" s="52" t="n"/>
      <c r="J374" s="52" t="n"/>
      <c r="K374" s="54" t="n"/>
      <c r="L374" s="5" t="n"/>
      <c r="M374" s="53">
        <f>IF(A374="","",IFERROR(INDEX(Firms!$B$5:$B$1004,MATCH(A374,Firms!$A$5:$A$1004,0)),"Not on Firms tab"))</f>
        <v/>
      </c>
      <c r="N374">
        <f>IF(AND(A374&lt;&gt;"",A374='Firm Search'!$C$7),COUNTIF($A$5:A374,'Firm Search'!$C$7),"")</f>
        <v/>
      </c>
    </row>
    <row r="375">
      <c r="A375" s="5" t="n"/>
      <c r="B375" s="5" t="n"/>
      <c r="C375" s="52" t="n"/>
      <c r="D375" s="52" t="n"/>
      <c r="E375" s="52" t="n"/>
      <c r="F375" s="52" t="n"/>
      <c r="G375" s="52" t="n"/>
      <c r="H375" s="52" t="n"/>
      <c r="I375" s="52" t="n"/>
      <c r="J375" s="52" t="n"/>
      <c r="K375" s="54" t="n"/>
      <c r="L375" s="5" t="n"/>
      <c r="M375" s="53">
        <f>IF(A375="","",IFERROR(INDEX(Firms!$B$5:$B$1004,MATCH(A375,Firms!$A$5:$A$1004,0)),"Not on Firms tab"))</f>
        <v/>
      </c>
      <c r="N375">
        <f>IF(AND(A375&lt;&gt;"",A375='Firm Search'!$C$7),COUNTIF($A$5:A375,'Firm Search'!$C$7),"")</f>
        <v/>
      </c>
    </row>
    <row r="376">
      <c r="A376" s="5" t="n"/>
      <c r="B376" s="5" t="n"/>
      <c r="C376" s="52" t="n"/>
      <c r="D376" s="52" t="n"/>
      <c r="E376" s="52" t="n"/>
      <c r="F376" s="52" t="n"/>
      <c r="G376" s="52" t="n"/>
      <c r="H376" s="52" t="n"/>
      <c r="I376" s="52" t="n"/>
      <c r="J376" s="52" t="n"/>
      <c r="K376" s="54" t="n"/>
      <c r="L376" s="5" t="n"/>
      <c r="M376" s="53">
        <f>IF(A376="","",IFERROR(INDEX(Firms!$B$5:$B$1004,MATCH(A376,Firms!$A$5:$A$1004,0)),"Not on Firms tab"))</f>
        <v/>
      </c>
      <c r="N376">
        <f>IF(AND(A376&lt;&gt;"",A376='Firm Search'!$C$7),COUNTIF($A$5:A376,'Firm Search'!$C$7),"")</f>
        <v/>
      </c>
    </row>
    <row r="377">
      <c r="A377" s="5" t="n"/>
      <c r="B377" s="5" t="n"/>
      <c r="C377" s="52" t="n"/>
      <c r="D377" s="52" t="n"/>
      <c r="E377" s="52" t="n"/>
      <c r="F377" s="52" t="n"/>
      <c r="G377" s="52" t="n"/>
      <c r="H377" s="52" t="n"/>
      <c r="I377" s="52" t="n"/>
      <c r="J377" s="52" t="n"/>
      <c r="K377" s="54" t="n"/>
      <c r="L377" s="5" t="n"/>
      <c r="M377" s="53">
        <f>IF(A377="","",IFERROR(INDEX(Firms!$B$5:$B$1004,MATCH(A377,Firms!$A$5:$A$1004,0)),"Not on Firms tab"))</f>
        <v/>
      </c>
      <c r="N377">
        <f>IF(AND(A377&lt;&gt;"",A377='Firm Search'!$C$7),COUNTIF($A$5:A377,'Firm Search'!$C$7),"")</f>
        <v/>
      </c>
    </row>
    <row r="378">
      <c r="A378" s="5" t="n"/>
      <c r="B378" s="5" t="n"/>
      <c r="C378" s="52" t="n"/>
      <c r="D378" s="52" t="n"/>
      <c r="E378" s="52" t="n"/>
      <c r="F378" s="52" t="n"/>
      <c r="G378" s="52" t="n"/>
      <c r="H378" s="52" t="n"/>
      <c r="I378" s="52" t="n"/>
      <c r="J378" s="52" t="n"/>
      <c r="K378" s="54" t="n"/>
      <c r="L378" s="5" t="n"/>
      <c r="M378" s="53">
        <f>IF(A378="","",IFERROR(INDEX(Firms!$B$5:$B$1004,MATCH(A378,Firms!$A$5:$A$1004,0)),"Not on Firms tab"))</f>
        <v/>
      </c>
      <c r="N378">
        <f>IF(AND(A378&lt;&gt;"",A378='Firm Search'!$C$7),COUNTIF($A$5:A378,'Firm Search'!$C$7),"")</f>
        <v/>
      </c>
    </row>
    <row r="379">
      <c r="A379" s="5" t="n"/>
      <c r="B379" s="5" t="n"/>
      <c r="C379" s="52" t="n"/>
      <c r="D379" s="52" t="n"/>
      <c r="E379" s="52" t="n"/>
      <c r="F379" s="52" t="n"/>
      <c r="G379" s="52" t="n"/>
      <c r="H379" s="52" t="n"/>
      <c r="I379" s="52" t="n"/>
      <c r="J379" s="52" t="n"/>
      <c r="K379" s="54" t="n"/>
      <c r="L379" s="5" t="n"/>
      <c r="M379" s="53">
        <f>IF(A379="","",IFERROR(INDEX(Firms!$B$5:$B$1004,MATCH(A379,Firms!$A$5:$A$1004,0)),"Not on Firms tab"))</f>
        <v/>
      </c>
      <c r="N379">
        <f>IF(AND(A379&lt;&gt;"",A379='Firm Search'!$C$7),COUNTIF($A$5:A379,'Firm Search'!$C$7),"")</f>
        <v/>
      </c>
    </row>
    <row r="380">
      <c r="A380" s="5" t="n"/>
      <c r="B380" s="5" t="n"/>
      <c r="C380" s="52" t="n"/>
      <c r="D380" s="52" t="n"/>
      <c r="E380" s="52" t="n"/>
      <c r="F380" s="52" t="n"/>
      <c r="G380" s="52" t="n"/>
      <c r="H380" s="52" t="n"/>
      <c r="I380" s="52" t="n"/>
      <c r="J380" s="52" t="n"/>
      <c r="K380" s="54" t="n"/>
      <c r="L380" s="5" t="n"/>
      <c r="M380" s="53">
        <f>IF(A380="","",IFERROR(INDEX(Firms!$B$5:$B$1004,MATCH(A380,Firms!$A$5:$A$1004,0)),"Not on Firms tab"))</f>
        <v/>
      </c>
      <c r="N380">
        <f>IF(AND(A380&lt;&gt;"",A380='Firm Search'!$C$7),COUNTIF($A$5:A380,'Firm Search'!$C$7),"")</f>
        <v/>
      </c>
    </row>
    <row r="381">
      <c r="A381" s="5" t="n"/>
      <c r="B381" s="5" t="n"/>
      <c r="C381" s="52" t="n"/>
      <c r="D381" s="52" t="n"/>
      <c r="E381" s="52" t="n"/>
      <c r="F381" s="52" t="n"/>
      <c r="G381" s="52" t="n"/>
      <c r="H381" s="52" t="n"/>
      <c r="I381" s="52" t="n"/>
      <c r="J381" s="52" t="n"/>
      <c r="K381" s="54" t="n"/>
      <c r="L381" s="5" t="n"/>
      <c r="M381" s="53">
        <f>IF(A381="","",IFERROR(INDEX(Firms!$B$5:$B$1004,MATCH(A381,Firms!$A$5:$A$1004,0)),"Not on Firms tab"))</f>
        <v/>
      </c>
      <c r="N381">
        <f>IF(AND(A381&lt;&gt;"",A381='Firm Search'!$C$7),COUNTIF($A$5:A381,'Firm Search'!$C$7),"")</f>
        <v/>
      </c>
    </row>
    <row r="382">
      <c r="A382" s="5" t="n"/>
      <c r="B382" s="5" t="n"/>
      <c r="C382" s="52" t="n"/>
      <c r="D382" s="52" t="n"/>
      <c r="E382" s="52" t="n"/>
      <c r="F382" s="52" t="n"/>
      <c r="G382" s="52" t="n"/>
      <c r="H382" s="52" t="n"/>
      <c r="I382" s="52" t="n"/>
      <c r="J382" s="52" t="n"/>
      <c r="K382" s="54" t="n"/>
      <c r="L382" s="5" t="n"/>
      <c r="M382" s="53">
        <f>IF(A382="","",IFERROR(INDEX(Firms!$B$5:$B$1004,MATCH(A382,Firms!$A$5:$A$1004,0)),"Not on Firms tab"))</f>
        <v/>
      </c>
      <c r="N382">
        <f>IF(AND(A382&lt;&gt;"",A382='Firm Search'!$C$7),COUNTIF($A$5:A382,'Firm Search'!$C$7),"")</f>
        <v/>
      </c>
    </row>
    <row r="383">
      <c r="A383" s="5" t="n"/>
      <c r="B383" s="5" t="n"/>
      <c r="C383" s="52" t="n"/>
      <c r="D383" s="52" t="n"/>
      <c r="E383" s="52" t="n"/>
      <c r="F383" s="52" t="n"/>
      <c r="G383" s="52" t="n"/>
      <c r="H383" s="52" t="n"/>
      <c r="I383" s="52" t="n"/>
      <c r="J383" s="52" t="n"/>
      <c r="K383" s="54" t="n"/>
      <c r="L383" s="5" t="n"/>
      <c r="M383" s="53">
        <f>IF(A383="","",IFERROR(INDEX(Firms!$B$5:$B$1004,MATCH(A383,Firms!$A$5:$A$1004,0)),"Not on Firms tab"))</f>
        <v/>
      </c>
      <c r="N383">
        <f>IF(AND(A383&lt;&gt;"",A383='Firm Search'!$C$7),COUNTIF($A$5:A383,'Firm Search'!$C$7),"")</f>
        <v/>
      </c>
    </row>
    <row r="384">
      <c r="A384" s="5" t="n"/>
      <c r="B384" s="5" t="n"/>
      <c r="C384" s="52" t="n"/>
      <c r="D384" s="52" t="n"/>
      <c r="E384" s="52" t="n"/>
      <c r="F384" s="52" t="n"/>
      <c r="G384" s="52" t="n"/>
      <c r="H384" s="52" t="n"/>
      <c r="I384" s="52" t="n"/>
      <c r="J384" s="52" t="n"/>
      <c r="K384" s="54" t="n"/>
      <c r="L384" s="5" t="n"/>
      <c r="M384" s="53">
        <f>IF(A384="","",IFERROR(INDEX(Firms!$B$5:$B$1004,MATCH(A384,Firms!$A$5:$A$1004,0)),"Not on Firms tab"))</f>
        <v/>
      </c>
      <c r="N384">
        <f>IF(AND(A384&lt;&gt;"",A384='Firm Search'!$C$7),COUNTIF($A$5:A384,'Firm Search'!$C$7),"")</f>
        <v/>
      </c>
    </row>
    <row r="385">
      <c r="A385" s="5" t="n"/>
      <c r="B385" s="5" t="n"/>
      <c r="C385" s="52" t="n"/>
      <c r="D385" s="52" t="n"/>
      <c r="E385" s="52" t="n"/>
      <c r="F385" s="52" t="n"/>
      <c r="G385" s="52" t="n"/>
      <c r="H385" s="52" t="n"/>
      <c r="I385" s="52" t="n"/>
      <c r="J385" s="52" t="n"/>
      <c r="K385" s="54" t="n"/>
      <c r="L385" s="5" t="n"/>
      <c r="M385" s="53">
        <f>IF(A385="","",IFERROR(INDEX(Firms!$B$5:$B$1004,MATCH(A385,Firms!$A$5:$A$1004,0)),"Not on Firms tab"))</f>
        <v/>
      </c>
      <c r="N385">
        <f>IF(AND(A385&lt;&gt;"",A385='Firm Search'!$C$7),COUNTIF($A$5:A385,'Firm Search'!$C$7),"")</f>
        <v/>
      </c>
    </row>
    <row r="386">
      <c r="A386" s="5" t="n"/>
      <c r="B386" s="5" t="n"/>
      <c r="C386" s="52" t="n"/>
      <c r="D386" s="52" t="n"/>
      <c r="E386" s="52" t="n"/>
      <c r="F386" s="52" t="n"/>
      <c r="G386" s="52" t="n"/>
      <c r="H386" s="52" t="n"/>
      <c r="I386" s="52" t="n"/>
      <c r="J386" s="52" t="n"/>
      <c r="K386" s="54" t="n"/>
      <c r="L386" s="5" t="n"/>
      <c r="M386" s="53">
        <f>IF(A386="","",IFERROR(INDEX(Firms!$B$5:$B$1004,MATCH(A386,Firms!$A$5:$A$1004,0)),"Not on Firms tab"))</f>
        <v/>
      </c>
      <c r="N386">
        <f>IF(AND(A386&lt;&gt;"",A386='Firm Search'!$C$7),COUNTIF($A$5:A386,'Firm Search'!$C$7),"")</f>
        <v/>
      </c>
    </row>
    <row r="387">
      <c r="A387" s="5" t="n"/>
      <c r="B387" s="5" t="n"/>
      <c r="C387" s="52" t="n"/>
      <c r="D387" s="52" t="n"/>
      <c r="E387" s="52" t="n"/>
      <c r="F387" s="52" t="n"/>
      <c r="G387" s="52" t="n"/>
      <c r="H387" s="52" t="n"/>
      <c r="I387" s="52" t="n"/>
      <c r="J387" s="52" t="n"/>
      <c r="K387" s="54" t="n"/>
      <c r="L387" s="5" t="n"/>
      <c r="M387" s="53">
        <f>IF(A387="","",IFERROR(INDEX(Firms!$B$5:$B$1004,MATCH(A387,Firms!$A$5:$A$1004,0)),"Not on Firms tab"))</f>
        <v/>
      </c>
      <c r="N387">
        <f>IF(AND(A387&lt;&gt;"",A387='Firm Search'!$C$7),COUNTIF($A$5:A387,'Firm Search'!$C$7),"")</f>
        <v/>
      </c>
    </row>
    <row r="388">
      <c r="A388" s="5" t="n"/>
      <c r="B388" s="5" t="n"/>
      <c r="C388" s="52" t="n"/>
      <c r="D388" s="52" t="n"/>
      <c r="E388" s="52" t="n"/>
      <c r="F388" s="52" t="n"/>
      <c r="G388" s="52" t="n"/>
      <c r="H388" s="52" t="n"/>
      <c r="I388" s="52" t="n"/>
      <c r="J388" s="52" t="n"/>
      <c r="K388" s="54" t="n"/>
      <c r="L388" s="5" t="n"/>
      <c r="M388" s="53">
        <f>IF(A388="","",IFERROR(INDEX(Firms!$B$5:$B$1004,MATCH(A388,Firms!$A$5:$A$1004,0)),"Not on Firms tab"))</f>
        <v/>
      </c>
      <c r="N388">
        <f>IF(AND(A388&lt;&gt;"",A388='Firm Search'!$C$7),COUNTIF($A$5:A388,'Firm Search'!$C$7),"")</f>
        <v/>
      </c>
    </row>
    <row r="389">
      <c r="A389" s="5" t="n"/>
      <c r="B389" s="5" t="n"/>
      <c r="C389" s="52" t="n"/>
      <c r="D389" s="52" t="n"/>
      <c r="E389" s="52" t="n"/>
      <c r="F389" s="52" t="n"/>
      <c r="G389" s="52" t="n"/>
      <c r="H389" s="52" t="n"/>
      <c r="I389" s="52" t="n"/>
      <c r="J389" s="52" t="n"/>
      <c r="K389" s="54" t="n"/>
      <c r="L389" s="5" t="n"/>
      <c r="M389" s="53">
        <f>IF(A389="","",IFERROR(INDEX(Firms!$B$5:$B$1004,MATCH(A389,Firms!$A$5:$A$1004,0)),"Not on Firms tab"))</f>
        <v/>
      </c>
      <c r="N389">
        <f>IF(AND(A389&lt;&gt;"",A389='Firm Search'!$C$7),COUNTIF($A$5:A389,'Firm Search'!$C$7),"")</f>
        <v/>
      </c>
    </row>
    <row r="390">
      <c r="A390" s="5" t="n"/>
      <c r="B390" s="5" t="n"/>
      <c r="C390" s="52" t="n"/>
      <c r="D390" s="52" t="n"/>
      <c r="E390" s="52" t="n"/>
      <c r="F390" s="52" t="n"/>
      <c r="G390" s="52" t="n"/>
      <c r="H390" s="52" t="n"/>
      <c r="I390" s="52" t="n"/>
      <c r="J390" s="52" t="n"/>
      <c r="K390" s="54" t="n"/>
      <c r="L390" s="5" t="n"/>
      <c r="M390" s="53">
        <f>IF(A390="","",IFERROR(INDEX(Firms!$B$5:$B$1004,MATCH(A390,Firms!$A$5:$A$1004,0)),"Not on Firms tab"))</f>
        <v/>
      </c>
      <c r="N390">
        <f>IF(AND(A390&lt;&gt;"",A390='Firm Search'!$C$7),COUNTIF($A$5:A390,'Firm Search'!$C$7),"")</f>
        <v/>
      </c>
    </row>
    <row r="391">
      <c r="A391" s="5" t="n"/>
      <c r="B391" s="5" t="n"/>
      <c r="C391" s="52" t="n"/>
      <c r="D391" s="52" t="n"/>
      <c r="E391" s="52" t="n"/>
      <c r="F391" s="52" t="n"/>
      <c r="G391" s="52" t="n"/>
      <c r="H391" s="52" t="n"/>
      <c r="I391" s="52" t="n"/>
      <c r="J391" s="52" t="n"/>
      <c r="K391" s="54" t="n"/>
      <c r="L391" s="5" t="n"/>
      <c r="M391" s="53">
        <f>IF(A391="","",IFERROR(INDEX(Firms!$B$5:$B$1004,MATCH(A391,Firms!$A$5:$A$1004,0)),"Not on Firms tab"))</f>
        <v/>
      </c>
      <c r="N391">
        <f>IF(AND(A391&lt;&gt;"",A391='Firm Search'!$C$7),COUNTIF($A$5:A391,'Firm Search'!$C$7),"")</f>
        <v/>
      </c>
    </row>
    <row r="392">
      <c r="A392" s="5" t="n"/>
      <c r="B392" s="5" t="n"/>
      <c r="C392" s="52" t="n"/>
      <c r="D392" s="52" t="n"/>
      <c r="E392" s="52" t="n"/>
      <c r="F392" s="52" t="n"/>
      <c r="G392" s="52" t="n"/>
      <c r="H392" s="52" t="n"/>
      <c r="I392" s="52" t="n"/>
      <c r="J392" s="52" t="n"/>
      <c r="K392" s="54" t="n"/>
      <c r="L392" s="5" t="n"/>
      <c r="M392" s="53">
        <f>IF(A392="","",IFERROR(INDEX(Firms!$B$5:$B$1004,MATCH(A392,Firms!$A$5:$A$1004,0)),"Not on Firms tab"))</f>
        <v/>
      </c>
      <c r="N392">
        <f>IF(AND(A392&lt;&gt;"",A392='Firm Search'!$C$7),COUNTIF($A$5:A392,'Firm Search'!$C$7),"")</f>
        <v/>
      </c>
    </row>
    <row r="393">
      <c r="A393" s="5" t="n"/>
      <c r="B393" s="5" t="n"/>
      <c r="C393" s="52" t="n"/>
      <c r="D393" s="52" t="n"/>
      <c r="E393" s="52" t="n"/>
      <c r="F393" s="52" t="n"/>
      <c r="G393" s="52" t="n"/>
      <c r="H393" s="52" t="n"/>
      <c r="I393" s="52" t="n"/>
      <c r="J393" s="52" t="n"/>
      <c r="K393" s="54" t="n"/>
      <c r="L393" s="5" t="n"/>
      <c r="M393" s="53">
        <f>IF(A393="","",IFERROR(INDEX(Firms!$B$5:$B$1004,MATCH(A393,Firms!$A$5:$A$1004,0)),"Not on Firms tab"))</f>
        <v/>
      </c>
      <c r="N393">
        <f>IF(AND(A393&lt;&gt;"",A393='Firm Search'!$C$7),COUNTIF($A$5:A393,'Firm Search'!$C$7),"")</f>
        <v/>
      </c>
    </row>
    <row r="394">
      <c r="A394" s="5" t="n"/>
      <c r="B394" s="5" t="n"/>
      <c r="C394" s="52" t="n"/>
      <c r="D394" s="52" t="n"/>
      <c r="E394" s="52" t="n"/>
      <c r="F394" s="52" t="n"/>
      <c r="G394" s="52" t="n"/>
      <c r="H394" s="52" t="n"/>
      <c r="I394" s="52" t="n"/>
      <c r="J394" s="52" t="n"/>
      <c r="K394" s="54" t="n"/>
      <c r="L394" s="5" t="n"/>
      <c r="M394" s="53">
        <f>IF(A394="","",IFERROR(INDEX(Firms!$B$5:$B$1004,MATCH(A394,Firms!$A$5:$A$1004,0)),"Not on Firms tab"))</f>
        <v/>
      </c>
      <c r="N394">
        <f>IF(AND(A394&lt;&gt;"",A394='Firm Search'!$C$7),COUNTIF($A$5:A394,'Firm Search'!$C$7),"")</f>
        <v/>
      </c>
    </row>
    <row r="395">
      <c r="A395" s="5" t="n"/>
      <c r="B395" s="5" t="n"/>
      <c r="C395" s="52" t="n"/>
      <c r="D395" s="52" t="n"/>
      <c r="E395" s="52" t="n"/>
      <c r="F395" s="52" t="n"/>
      <c r="G395" s="52" t="n"/>
      <c r="H395" s="52" t="n"/>
      <c r="I395" s="52" t="n"/>
      <c r="J395" s="52" t="n"/>
      <c r="K395" s="54" t="n"/>
      <c r="L395" s="5" t="n"/>
      <c r="M395" s="53">
        <f>IF(A395="","",IFERROR(INDEX(Firms!$B$5:$B$1004,MATCH(A395,Firms!$A$5:$A$1004,0)),"Not on Firms tab"))</f>
        <v/>
      </c>
      <c r="N395">
        <f>IF(AND(A395&lt;&gt;"",A395='Firm Search'!$C$7),COUNTIF($A$5:A395,'Firm Search'!$C$7),"")</f>
        <v/>
      </c>
    </row>
    <row r="396">
      <c r="A396" s="5" t="n"/>
      <c r="B396" s="5" t="n"/>
      <c r="C396" s="52" t="n"/>
      <c r="D396" s="52" t="n"/>
      <c r="E396" s="52" t="n"/>
      <c r="F396" s="52" t="n"/>
      <c r="G396" s="52" t="n"/>
      <c r="H396" s="52" t="n"/>
      <c r="I396" s="52" t="n"/>
      <c r="J396" s="52" t="n"/>
      <c r="K396" s="54" t="n"/>
      <c r="L396" s="5" t="n"/>
      <c r="M396" s="53">
        <f>IF(A396="","",IFERROR(INDEX(Firms!$B$5:$B$1004,MATCH(A396,Firms!$A$5:$A$1004,0)),"Not on Firms tab"))</f>
        <v/>
      </c>
      <c r="N396">
        <f>IF(AND(A396&lt;&gt;"",A396='Firm Search'!$C$7),COUNTIF($A$5:A396,'Firm Search'!$C$7),"")</f>
        <v/>
      </c>
    </row>
    <row r="397">
      <c r="A397" s="5" t="n"/>
      <c r="B397" s="5" t="n"/>
      <c r="C397" s="52" t="n"/>
      <c r="D397" s="52" t="n"/>
      <c r="E397" s="52" t="n"/>
      <c r="F397" s="52" t="n"/>
      <c r="G397" s="52" t="n"/>
      <c r="H397" s="52" t="n"/>
      <c r="I397" s="52" t="n"/>
      <c r="J397" s="52" t="n"/>
      <c r="K397" s="54" t="n"/>
      <c r="L397" s="5" t="n"/>
      <c r="M397" s="53">
        <f>IF(A397="","",IFERROR(INDEX(Firms!$B$5:$B$1004,MATCH(A397,Firms!$A$5:$A$1004,0)),"Not on Firms tab"))</f>
        <v/>
      </c>
      <c r="N397">
        <f>IF(AND(A397&lt;&gt;"",A397='Firm Search'!$C$7),COUNTIF($A$5:A397,'Firm Search'!$C$7),"")</f>
        <v/>
      </c>
    </row>
    <row r="398">
      <c r="A398" s="5" t="n"/>
      <c r="B398" s="5" t="n"/>
      <c r="C398" s="52" t="n"/>
      <c r="D398" s="52" t="n"/>
      <c r="E398" s="52" t="n"/>
      <c r="F398" s="52" t="n"/>
      <c r="G398" s="52" t="n"/>
      <c r="H398" s="52" t="n"/>
      <c r="I398" s="52" t="n"/>
      <c r="J398" s="52" t="n"/>
      <c r="K398" s="54" t="n"/>
      <c r="L398" s="5" t="n"/>
      <c r="M398" s="53">
        <f>IF(A398="","",IFERROR(INDEX(Firms!$B$5:$B$1004,MATCH(A398,Firms!$A$5:$A$1004,0)),"Not on Firms tab"))</f>
        <v/>
      </c>
      <c r="N398">
        <f>IF(AND(A398&lt;&gt;"",A398='Firm Search'!$C$7),COUNTIF($A$5:A398,'Firm Search'!$C$7),"")</f>
        <v/>
      </c>
    </row>
    <row r="399">
      <c r="A399" s="5" t="n"/>
      <c r="B399" s="5" t="n"/>
      <c r="C399" s="52" t="n"/>
      <c r="D399" s="52" t="n"/>
      <c r="E399" s="52" t="n"/>
      <c r="F399" s="52" t="n"/>
      <c r="G399" s="52" t="n"/>
      <c r="H399" s="52" t="n"/>
      <c r="I399" s="52" t="n"/>
      <c r="J399" s="52" t="n"/>
      <c r="K399" s="54" t="n"/>
      <c r="L399" s="5" t="n"/>
      <c r="M399" s="53">
        <f>IF(A399="","",IFERROR(INDEX(Firms!$B$5:$B$1004,MATCH(A399,Firms!$A$5:$A$1004,0)),"Not on Firms tab"))</f>
        <v/>
      </c>
      <c r="N399">
        <f>IF(AND(A399&lt;&gt;"",A399='Firm Search'!$C$7),COUNTIF($A$5:A399,'Firm Search'!$C$7),"")</f>
        <v/>
      </c>
    </row>
    <row r="400">
      <c r="A400" s="5" t="n"/>
      <c r="B400" s="5" t="n"/>
      <c r="C400" s="52" t="n"/>
      <c r="D400" s="52" t="n"/>
      <c r="E400" s="52" t="n"/>
      <c r="F400" s="52" t="n"/>
      <c r="G400" s="52" t="n"/>
      <c r="H400" s="52" t="n"/>
      <c r="I400" s="52" t="n"/>
      <c r="J400" s="52" t="n"/>
      <c r="K400" s="54" t="n"/>
      <c r="L400" s="5" t="n"/>
      <c r="M400" s="53">
        <f>IF(A400="","",IFERROR(INDEX(Firms!$B$5:$B$1004,MATCH(A400,Firms!$A$5:$A$1004,0)),"Not on Firms tab"))</f>
        <v/>
      </c>
      <c r="N400">
        <f>IF(AND(A400&lt;&gt;"",A400='Firm Search'!$C$7),COUNTIF($A$5:A400,'Firm Search'!$C$7),"")</f>
        <v/>
      </c>
    </row>
    <row r="401">
      <c r="A401" s="5" t="n"/>
      <c r="B401" s="5" t="n"/>
      <c r="C401" s="52" t="n"/>
      <c r="D401" s="52" t="n"/>
      <c r="E401" s="52" t="n"/>
      <c r="F401" s="52" t="n"/>
      <c r="G401" s="52" t="n"/>
      <c r="H401" s="52" t="n"/>
      <c r="I401" s="52" t="n"/>
      <c r="J401" s="52" t="n"/>
      <c r="K401" s="54" t="n"/>
      <c r="L401" s="5" t="n"/>
      <c r="M401" s="53">
        <f>IF(A401="","",IFERROR(INDEX(Firms!$B$5:$B$1004,MATCH(A401,Firms!$A$5:$A$1004,0)),"Not on Firms tab"))</f>
        <v/>
      </c>
      <c r="N401">
        <f>IF(AND(A401&lt;&gt;"",A401='Firm Search'!$C$7),COUNTIF($A$5:A401,'Firm Search'!$C$7),"")</f>
        <v/>
      </c>
    </row>
    <row r="402">
      <c r="A402" s="5" t="n"/>
      <c r="B402" s="5" t="n"/>
      <c r="C402" s="52" t="n"/>
      <c r="D402" s="52" t="n"/>
      <c r="E402" s="52" t="n"/>
      <c r="F402" s="52" t="n"/>
      <c r="G402" s="52" t="n"/>
      <c r="H402" s="52" t="n"/>
      <c r="I402" s="52" t="n"/>
      <c r="J402" s="52" t="n"/>
      <c r="K402" s="54" t="n"/>
      <c r="L402" s="5" t="n"/>
      <c r="M402" s="53">
        <f>IF(A402="","",IFERROR(INDEX(Firms!$B$5:$B$1004,MATCH(A402,Firms!$A$5:$A$1004,0)),"Not on Firms tab"))</f>
        <v/>
      </c>
      <c r="N402">
        <f>IF(AND(A402&lt;&gt;"",A402='Firm Search'!$C$7),COUNTIF($A$5:A402,'Firm Search'!$C$7),"")</f>
        <v/>
      </c>
    </row>
    <row r="403">
      <c r="A403" s="5" t="n"/>
      <c r="B403" s="5" t="n"/>
      <c r="C403" s="52" t="n"/>
      <c r="D403" s="52" t="n"/>
      <c r="E403" s="52" t="n"/>
      <c r="F403" s="52" t="n"/>
      <c r="G403" s="52" t="n"/>
      <c r="H403" s="52" t="n"/>
      <c r="I403" s="52" t="n"/>
      <c r="J403" s="52" t="n"/>
      <c r="K403" s="54" t="n"/>
      <c r="L403" s="5" t="n"/>
      <c r="M403" s="53">
        <f>IF(A403="","",IFERROR(INDEX(Firms!$B$5:$B$1004,MATCH(A403,Firms!$A$5:$A$1004,0)),"Not on Firms tab"))</f>
        <v/>
      </c>
      <c r="N403">
        <f>IF(AND(A403&lt;&gt;"",A403='Firm Search'!$C$7),COUNTIF($A$5:A403,'Firm Search'!$C$7),"")</f>
        <v/>
      </c>
    </row>
    <row r="404">
      <c r="A404" s="5" t="n"/>
      <c r="B404" s="5" t="n"/>
      <c r="C404" s="52" t="n"/>
      <c r="D404" s="52" t="n"/>
      <c r="E404" s="52" t="n"/>
      <c r="F404" s="52" t="n"/>
      <c r="G404" s="52" t="n"/>
      <c r="H404" s="52" t="n"/>
      <c r="I404" s="52" t="n"/>
      <c r="J404" s="52" t="n"/>
      <c r="K404" s="54" t="n"/>
      <c r="L404" s="5" t="n"/>
      <c r="M404" s="53">
        <f>IF(A404="","",IFERROR(INDEX(Firms!$B$5:$B$1004,MATCH(A404,Firms!$A$5:$A$1004,0)),"Not on Firms tab"))</f>
        <v/>
      </c>
      <c r="N404">
        <f>IF(AND(A404&lt;&gt;"",A404='Firm Search'!$C$7),COUNTIF($A$5:A404,'Firm Search'!$C$7),"")</f>
        <v/>
      </c>
    </row>
    <row r="405">
      <c r="A405" s="5" t="n"/>
      <c r="B405" s="5" t="n"/>
      <c r="C405" s="52" t="n"/>
      <c r="D405" s="52" t="n"/>
      <c r="E405" s="52" t="n"/>
      <c r="F405" s="52" t="n"/>
      <c r="G405" s="52" t="n"/>
      <c r="H405" s="52" t="n"/>
      <c r="I405" s="52" t="n"/>
      <c r="J405" s="52" t="n"/>
      <c r="K405" s="54" t="n"/>
      <c r="L405" s="5" t="n"/>
      <c r="M405" s="53">
        <f>IF(A405="","",IFERROR(INDEX(Firms!$B$5:$B$1004,MATCH(A405,Firms!$A$5:$A$1004,0)),"Not on Firms tab"))</f>
        <v/>
      </c>
      <c r="N405">
        <f>IF(AND(A405&lt;&gt;"",A405='Firm Search'!$C$7),COUNTIF($A$5:A405,'Firm Search'!$C$7),"")</f>
        <v/>
      </c>
    </row>
    <row r="406">
      <c r="A406" s="5" t="n"/>
      <c r="B406" s="5" t="n"/>
      <c r="C406" s="52" t="n"/>
      <c r="D406" s="52" t="n"/>
      <c r="E406" s="52" t="n"/>
      <c r="F406" s="52" t="n"/>
      <c r="G406" s="52" t="n"/>
      <c r="H406" s="52" t="n"/>
      <c r="I406" s="52" t="n"/>
      <c r="J406" s="52" t="n"/>
      <c r="K406" s="54" t="n"/>
      <c r="L406" s="5" t="n"/>
      <c r="M406" s="53">
        <f>IF(A406="","",IFERROR(INDEX(Firms!$B$5:$B$1004,MATCH(A406,Firms!$A$5:$A$1004,0)),"Not on Firms tab"))</f>
        <v/>
      </c>
      <c r="N406">
        <f>IF(AND(A406&lt;&gt;"",A406='Firm Search'!$C$7),COUNTIF($A$5:A406,'Firm Search'!$C$7),"")</f>
        <v/>
      </c>
    </row>
    <row r="407">
      <c r="A407" s="5" t="n"/>
      <c r="B407" s="5" t="n"/>
      <c r="C407" s="52" t="n"/>
      <c r="D407" s="52" t="n"/>
      <c r="E407" s="52" t="n"/>
      <c r="F407" s="52" t="n"/>
      <c r="G407" s="52" t="n"/>
      <c r="H407" s="52" t="n"/>
      <c r="I407" s="52" t="n"/>
      <c r="J407" s="52" t="n"/>
      <c r="K407" s="54" t="n"/>
      <c r="L407" s="5" t="n"/>
      <c r="M407" s="53">
        <f>IF(A407="","",IFERROR(INDEX(Firms!$B$5:$B$1004,MATCH(A407,Firms!$A$5:$A$1004,0)),"Not on Firms tab"))</f>
        <v/>
      </c>
      <c r="N407">
        <f>IF(AND(A407&lt;&gt;"",A407='Firm Search'!$C$7),COUNTIF($A$5:A407,'Firm Search'!$C$7),"")</f>
        <v/>
      </c>
    </row>
    <row r="408">
      <c r="A408" s="5" t="n"/>
      <c r="B408" s="5" t="n"/>
      <c r="C408" s="52" t="n"/>
      <c r="D408" s="52" t="n"/>
      <c r="E408" s="52" t="n"/>
      <c r="F408" s="52" t="n"/>
      <c r="G408" s="52" t="n"/>
      <c r="H408" s="52" t="n"/>
      <c r="I408" s="52" t="n"/>
      <c r="J408" s="52" t="n"/>
      <c r="K408" s="54" t="n"/>
      <c r="L408" s="5" t="n"/>
      <c r="M408" s="53">
        <f>IF(A408="","",IFERROR(INDEX(Firms!$B$5:$B$1004,MATCH(A408,Firms!$A$5:$A$1004,0)),"Not on Firms tab"))</f>
        <v/>
      </c>
      <c r="N408">
        <f>IF(AND(A408&lt;&gt;"",A408='Firm Search'!$C$7),COUNTIF($A$5:A408,'Firm Search'!$C$7),"")</f>
        <v/>
      </c>
    </row>
    <row r="409">
      <c r="A409" s="5" t="n"/>
      <c r="B409" s="5" t="n"/>
      <c r="C409" s="52" t="n"/>
      <c r="D409" s="52" t="n"/>
      <c r="E409" s="52" t="n"/>
      <c r="F409" s="52" t="n"/>
      <c r="G409" s="52" t="n"/>
      <c r="H409" s="52" t="n"/>
      <c r="I409" s="52" t="n"/>
      <c r="J409" s="52" t="n"/>
      <c r="K409" s="54" t="n"/>
      <c r="L409" s="5" t="n"/>
      <c r="M409" s="53">
        <f>IF(A409="","",IFERROR(INDEX(Firms!$B$5:$B$1004,MATCH(A409,Firms!$A$5:$A$1004,0)),"Not on Firms tab"))</f>
        <v/>
      </c>
      <c r="N409">
        <f>IF(AND(A409&lt;&gt;"",A409='Firm Search'!$C$7),COUNTIF($A$5:A409,'Firm Search'!$C$7),"")</f>
        <v/>
      </c>
    </row>
    <row r="410">
      <c r="A410" s="5" t="n"/>
      <c r="B410" s="5" t="n"/>
      <c r="C410" s="52" t="n"/>
      <c r="D410" s="52" t="n"/>
      <c r="E410" s="52" t="n"/>
      <c r="F410" s="52" t="n"/>
      <c r="G410" s="52" t="n"/>
      <c r="H410" s="52" t="n"/>
      <c r="I410" s="52" t="n"/>
      <c r="J410" s="52" t="n"/>
      <c r="K410" s="54" t="n"/>
      <c r="L410" s="5" t="n"/>
      <c r="M410" s="53">
        <f>IF(A410="","",IFERROR(INDEX(Firms!$B$5:$B$1004,MATCH(A410,Firms!$A$5:$A$1004,0)),"Not on Firms tab"))</f>
        <v/>
      </c>
      <c r="N410">
        <f>IF(AND(A410&lt;&gt;"",A410='Firm Search'!$C$7),COUNTIF($A$5:A410,'Firm Search'!$C$7),"")</f>
        <v/>
      </c>
    </row>
    <row r="411">
      <c r="A411" s="5" t="n"/>
      <c r="B411" s="5" t="n"/>
      <c r="C411" s="52" t="n"/>
      <c r="D411" s="52" t="n"/>
      <c r="E411" s="52" t="n"/>
      <c r="F411" s="52" t="n"/>
      <c r="G411" s="52" t="n"/>
      <c r="H411" s="52" t="n"/>
      <c r="I411" s="52" t="n"/>
      <c r="J411" s="52" t="n"/>
      <c r="K411" s="54" t="n"/>
      <c r="L411" s="5" t="n"/>
      <c r="M411" s="53">
        <f>IF(A411="","",IFERROR(INDEX(Firms!$B$5:$B$1004,MATCH(A411,Firms!$A$5:$A$1004,0)),"Not on Firms tab"))</f>
        <v/>
      </c>
      <c r="N411">
        <f>IF(AND(A411&lt;&gt;"",A411='Firm Search'!$C$7),COUNTIF($A$5:A411,'Firm Search'!$C$7),"")</f>
        <v/>
      </c>
    </row>
    <row r="412">
      <c r="A412" s="5" t="n"/>
      <c r="B412" s="5" t="n"/>
      <c r="C412" s="52" t="n"/>
      <c r="D412" s="52" t="n"/>
      <c r="E412" s="52" t="n"/>
      <c r="F412" s="52" t="n"/>
      <c r="G412" s="52" t="n"/>
      <c r="H412" s="52" t="n"/>
      <c r="I412" s="52" t="n"/>
      <c r="J412" s="52" t="n"/>
      <c r="K412" s="54" t="n"/>
      <c r="L412" s="5" t="n"/>
      <c r="M412" s="53">
        <f>IF(A412="","",IFERROR(INDEX(Firms!$B$5:$B$1004,MATCH(A412,Firms!$A$5:$A$1004,0)),"Not on Firms tab"))</f>
        <v/>
      </c>
      <c r="N412">
        <f>IF(AND(A412&lt;&gt;"",A412='Firm Search'!$C$7),COUNTIF($A$5:A412,'Firm Search'!$C$7),"")</f>
        <v/>
      </c>
    </row>
    <row r="413">
      <c r="A413" s="5" t="n"/>
      <c r="B413" s="5" t="n"/>
      <c r="C413" s="52" t="n"/>
      <c r="D413" s="52" t="n"/>
      <c r="E413" s="52" t="n"/>
      <c r="F413" s="52" t="n"/>
      <c r="G413" s="52" t="n"/>
      <c r="H413" s="52" t="n"/>
      <c r="I413" s="52" t="n"/>
      <c r="J413" s="52" t="n"/>
      <c r="K413" s="54" t="n"/>
      <c r="L413" s="5" t="n"/>
      <c r="M413" s="53">
        <f>IF(A413="","",IFERROR(INDEX(Firms!$B$5:$B$1004,MATCH(A413,Firms!$A$5:$A$1004,0)),"Not on Firms tab"))</f>
        <v/>
      </c>
      <c r="N413">
        <f>IF(AND(A413&lt;&gt;"",A413='Firm Search'!$C$7),COUNTIF($A$5:A413,'Firm Search'!$C$7),"")</f>
        <v/>
      </c>
    </row>
    <row r="414">
      <c r="A414" s="5" t="n"/>
      <c r="B414" s="5" t="n"/>
      <c r="C414" s="52" t="n"/>
      <c r="D414" s="52" t="n"/>
      <c r="E414" s="52" t="n"/>
      <c r="F414" s="52" t="n"/>
      <c r="G414" s="52" t="n"/>
      <c r="H414" s="52" t="n"/>
      <c r="I414" s="52" t="n"/>
      <c r="J414" s="52" t="n"/>
      <c r="K414" s="54" t="n"/>
      <c r="L414" s="5" t="n"/>
      <c r="M414" s="53">
        <f>IF(A414="","",IFERROR(INDEX(Firms!$B$5:$B$1004,MATCH(A414,Firms!$A$5:$A$1004,0)),"Not on Firms tab"))</f>
        <v/>
      </c>
      <c r="N414">
        <f>IF(AND(A414&lt;&gt;"",A414='Firm Search'!$C$7),COUNTIF($A$5:A414,'Firm Search'!$C$7),"")</f>
        <v/>
      </c>
    </row>
    <row r="415">
      <c r="A415" s="5" t="n"/>
      <c r="B415" s="5" t="n"/>
      <c r="C415" s="52" t="n"/>
      <c r="D415" s="52" t="n"/>
      <c r="E415" s="52" t="n"/>
      <c r="F415" s="52" t="n"/>
      <c r="G415" s="52" t="n"/>
      <c r="H415" s="52" t="n"/>
      <c r="I415" s="52" t="n"/>
      <c r="J415" s="52" t="n"/>
      <c r="K415" s="54" t="n"/>
      <c r="L415" s="5" t="n"/>
      <c r="M415" s="53">
        <f>IF(A415="","",IFERROR(INDEX(Firms!$B$5:$B$1004,MATCH(A415,Firms!$A$5:$A$1004,0)),"Not on Firms tab"))</f>
        <v/>
      </c>
      <c r="N415">
        <f>IF(AND(A415&lt;&gt;"",A415='Firm Search'!$C$7),COUNTIF($A$5:A415,'Firm Search'!$C$7),"")</f>
        <v/>
      </c>
    </row>
    <row r="416">
      <c r="A416" s="5" t="n"/>
      <c r="B416" s="5" t="n"/>
      <c r="C416" s="52" t="n"/>
      <c r="D416" s="52" t="n"/>
      <c r="E416" s="52" t="n"/>
      <c r="F416" s="52" t="n"/>
      <c r="G416" s="52" t="n"/>
      <c r="H416" s="52" t="n"/>
      <c r="I416" s="52" t="n"/>
      <c r="J416" s="52" t="n"/>
      <c r="K416" s="54" t="n"/>
      <c r="L416" s="5" t="n"/>
      <c r="M416" s="53">
        <f>IF(A416="","",IFERROR(INDEX(Firms!$B$5:$B$1004,MATCH(A416,Firms!$A$5:$A$1004,0)),"Not on Firms tab"))</f>
        <v/>
      </c>
      <c r="N416">
        <f>IF(AND(A416&lt;&gt;"",A416='Firm Search'!$C$7),COUNTIF($A$5:A416,'Firm Search'!$C$7),"")</f>
        <v/>
      </c>
    </row>
    <row r="417">
      <c r="A417" s="5" t="n"/>
      <c r="B417" s="5" t="n"/>
      <c r="C417" s="52" t="n"/>
      <c r="D417" s="52" t="n"/>
      <c r="E417" s="52" t="n"/>
      <c r="F417" s="52" t="n"/>
      <c r="G417" s="52" t="n"/>
      <c r="H417" s="52" t="n"/>
      <c r="I417" s="52" t="n"/>
      <c r="J417" s="52" t="n"/>
      <c r="K417" s="54" t="n"/>
      <c r="L417" s="5" t="n"/>
      <c r="M417" s="53">
        <f>IF(A417="","",IFERROR(INDEX(Firms!$B$5:$B$1004,MATCH(A417,Firms!$A$5:$A$1004,0)),"Not on Firms tab"))</f>
        <v/>
      </c>
      <c r="N417">
        <f>IF(AND(A417&lt;&gt;"",A417='Firm Search'!$C$7),COUNTIF($A$5:A417,'Firm Search'!$C$7),"")</f>
        <v/>
      </c>
    </row>
    <row r="418">
      <c r="A418" s="5" t="n"/>
      <c r="B418" s="5" t="n"/>
      <c r="C418" s="52" t="n"/>
      <c r="D418" s="52" t="n"/>
      <c r="E418" s="52" t="n"/>
      <c r="F418" s="52" t="n"/>
      <c r="G418" s="52" t="n"/>
      <c r="H418" s="52" t="n"/>
      <c r="I418" s="52" t="n"/>
      <c r="J418" s="52" t="n"/>
      <c r="K418" s="54" t="n"/>
      <c r="L418" s="5" t="n"/>
      <c r="M418" s="53">
        <f>IF(A418="","",IFERROR(INDEX(Firms!$B$5:$B$1004,MATCH(A418,Firms!$A$5:$A$1004,0)),"Not on Firms tab"))</f>
        <v/>
      </c>
      <c r="N418">
        <f>IF(AND(A418&lt;&gt;"",A418='Firm Search'!$C$7),COUNTIF($A$5:A418,'Firm Search'!$C$7),"")</f>
        <v/>
      </c>
    </row>
    <row r="419">
      <c r="A419" s="5" t="n"/>
      <c r="B419" s="5" t="n"/>
      <c r="C419" s="52" t="n"/>
      <c r="D419" s="52" t="n"/>
      <c r="E419" s="52" t="n"/>
      <c r="F419" s="52" t="n"/>
      <c r="G419" s="52" t="n"/>
      <c r="H419" s="52" t="n"/>
      <c r="I419" s="52" t="n"/>
      <c r="J419" s="52" t="n"/>
      <c r="K419" s="54" t="n"/>
      <c r="L419" s="5" t="n"/>
      <c r="M419" s="53">
        <f>IF(A419="","",IFERROR(INDEX(Firms!$B$5:$B$1004,MATCH(A419,Firms!$A$5:$A$1004,0)),"Not on Firms tab"))</f>
        <v/>
      </c>
      <c r="N419">
        <f>IF(AND(A419&lt;&gt;"",A419='Firm Search'!$C$7),COUNTIF($A$5:A419,'Firm Search'!$C$7),"")</f>
        <v/>
      </c>
    </row>
    <row r="420">
      <c r="A420" s="5" t="n"/>
      <c r="B420" s="5" t="n"/>
      <c r="C420" s="52" t="n"/>
      <c r="D420" s="52" t="n"/>
      <c r="E420" s="52" t="n"/>
      <c r="F420" s="52" t="n"/>
      <c r="G420" s="52" t="n"/>
      <c r="H420" s="52" t="n"/>
      <c r="I420" s="52" t="n"/>
      <c r="J420" s="52" t="n"/>
      <c r="K420" s="54" t="n"/>
      <c r="L420" s="5" t="n"/>
      <c r="M420" s="53">
        <f>IF(A420="","",IFERROR(INDEX(Firms!$B$5:$B$1004,MATCH(A420,Firms!$A$5:$A$1004,0)),"Not on Firms tab"))</f>
        <v/>
      </c>
      <c r="N420">
        <f>IF(AND(A420&lt;&gt;"",A420='Firm Search'!$C$7),COUNTIF($A$5:A420,'Firm Search'!$C$7),"")</f>
        <v/>
      </c>
    </row>
    <row r="421">
      <c r="A421" s="5" t="n"/>
      <c r="B421" s="5" t="n"/>
      <c r="C421" s="52" t="n"/>
      <c r="D421" s="52" t="n"/>
      <c r="E421" s="52" t="n"/>
      <c r="F421" s="52" t="n"/>
      <c r="G421" s="52" t="n"/>
      <c r="H421" s="52" t="n"/>
      <c r="I421" s="52" t="n"/>
      <c r="J421" s="52" t="n"/>
      <c r="K421" s="54" t="n"/>
      <c r="L421" s="5" t="n"/>
      <c r="M421" s="53">
        <f>IF(A421="","",IFERROR(INDEX(Firms!$B$5:$B$1004,MATCH(A421,Firms!$A$5:$A$1004,0)),"Not on Firms tab"))</f>
        <v/>
      </c>
      <c r="N421">
        <f>IF(AND(A421&lt;&gt;"",A421='Firm Search'!$C$7),COUNTIF($A$5:A421,'Firm Search'!$C$7),"")</f>
        <v/>
      </c>
    </row>
    <row r="422">
      <c r="A422" s="5" t="n"/>
      <c r="B422" s="5" t="n"/>
      <c r="C422" s="52" t="n"/>
      <c r="D422" s="52" t="n"/>
      <c r="E422" s="52" t="n"/>
      <c r="F422" s="52" t="n"/>
      <c r="G422" s="52" t="n"/>
      <c r="H422" s="52" t="n"/>
      <c r="I422" s="52" t="n"/>
      <c r="J422" s="52" t="n"/>
      <c r="K422" s="54" t="n"/>
      <c r="L422" s="5" t="n"/>
      <c r="M422" s="53">
        <f>IF(A422="","",IFERROR(INDEX(Firms!$B$5:$B$1004,MATCH(A422,Firms!$A$5:$A$1004,0)),"Not on Firms tab"))</f>
        <v/>
      </c>
      <c r="N422">
        <f>IF(AND(A422&lt;&gt;"",A422='Firm Search'!$C$7),COUNTIF($A$5:A422,'Firm Search'!$C$7),"")</f>
        <v/>
      </c>
    </row>
    <row r="423">
      <c r="A423" s="5" t="n"/>
      <c r="B423" s="5" t="n"/>
      <c r="C423" s="52" t="n"/>
      <c r="D423" s="52" t="n"/>
      <c r="E423" s="52" t="n"/>
      <c r="F423" s="52" t="n"/>
      <c r="G423" s="52" t="n"/>
      <c r="H423" s="52" t="n"/>
      <c r="I423" s="52" t="n"/>
      <c r="J423" s="52" t="n"/>
      <c r="K423" s="54" t="n"/>
      <c r="L423" s="5" t="n"/>
      <c r="M423" s="53">
        <f>IF(A423="","",IFERROR(INDEX(Firms!$B$5:$B$1004,MATCH(A423,Firms!$A$5:$A$1004,0)),"Not on Firms tab"))</f>
        <v/>
      </c>
      <c r="N423">
        <f>IF(AND(A423&lt;&gt;"",A423='Firm Search'!$C$7),COUNTIF($A$5:A423,'Firm Search'!$C$7),"")</f>
        <v/>
      </c>
    </row>
    <row r="424">
      <c r="A424" s="5" t="n"/>
      <c r="B424" s="5" t="n"/>
      <c r="C424" s="52" t="n"/>
      <c r="D424" s="52" t="n"/>
      <c r="E424" s="52" t="n"/>
      <c r="F424" s="52" t="n"/>
      <c r="G424" s="52" t="n"/>
      <c r="H424" s="52" t="n"/>
      <c r="I424" s="52" t="n"/>
      <c r="J424" s="52" t="n"/>
      <c r="K424" s="54" t="n"/>
      <c r="L424" s="5" t="n"/>
      <c r="M424" s="53">
        <f>IF(A424="","",IFERROR(INDEX(Firms!$B$5:$B$1004,MATCH(A424,Firms!$A$5:$A$1004,0)),"Not on Firms tab"))</f>
        <v/>
      </c>
      <c r="N424">
        <f>IF(AND(A424&lt;&gt;"",A424='Firm Search'!$C$7),COUNTIF($A$5:A424,'Firm Search'!$C$7),"")</f>
        <v/>
      </c>
    </row>
    <row r="425">
      <c r="A425" s="5" t="n"/>
      <c r="B425" s="5" t="n"/>
      <c r="C425" s="52" t="n"/>
      <c r="D425" s="52" t="n"/>
      <c r="E425" s="52" t="n"/>
      <c r="F425" s="52" t="n"/>
      <c r="G425" s="52" t="n"/>
      <c r="H425" s="52" t="n"/>
      <c r="I425" s="52" t="n"/>
      <c r="J425" s="52" t="n"/>
      <c r="K425" s="54" t="n"/>
      <c r="L425" s="5" t="n"/>
      <c r="M425" s="53">
        <f>IF(A425="","",IFERROR(INDEX(Firms!$B$5:$B$1004,MATCH(A425,Firms!$A$5:$A$1004,0)),"Not on Firms tab"))</f>
        <v/>
      </c>
      <c r="N425">
        <f>IF(AND(A425&lt;&gt;"",A425='Firm Search'!$C$7),COUNTIF($A$5:A425,'Firm Search'!$C$7),"")</f>
        <v/>
      </c>
    </row>
    <row r="426">
      <c r="A426" s="5" t="n"/>
      <c r="B426" s="5" t="n"/>
      <c r="C426" s="52" t="n"/>
      <c r="D426" s="52" t="n"/>
      <c r="E426" s="52" t="n"/>
      <c r="F426" s="52" t="n"/>
      <c r="G426" s="52" t="n"/>
      <c r="H426" s="52" t="n"/>
      <c r="I426" s="52" t="n"/>
      <c r="J426" s="52" t="n"/>
      <c r="K426" s="54" t="n"/>
      <c r="L426" s="5" t="n"/>
      <c r="M426" s="53">
        <f>IF(A426="","",IFERROR(INDEX(Firms!$B$5:$B$1004,MATCH(A426,Firms!$A$5:$A$1004,0)),"Not on Firms tab"))</f>
        <v/>
      </c>
      <c r="N426">
        <f>IF(AND(A426&lt;&gt;"",A426='Firm Search'!$C$7),COUNTIF($A$5:A426,'Firm Search'!$C$7),"")</f>
        <v/>
      </c>
    </row>
    <row r="427">
      <c r="A427" s="5" t="n"/>
      <c r="B427" s="5" t="n"/>
      <c r="C427" s="52" t="n"/>
      <c r="D427" s="52" t="n"/>
      <c r="E427" s="52" t="n"/>
      <c r="F427" s="52" t="n"/>
      <c r="G427" s="52" t="n"/>
      <c r="H427" s="52" t="n"/>
      <c r="I427" s="52" t="n"/>
      <c r="J427" s="52" t="n"/>
      <c r="K427" s="54" t="n"/>
      <c r="L427" s="5" t="n"/>
      <c r="M427" s="53">
        <f>IF(A427="","",IFERROR(INDEX(Firms!$B$5:$B$1004,MATCH(A427,Firms!$A$5:$A$1004,0)),"Not on Firms tab"))</f>
        <v/>
      </c>
      <c r="N427">
        <f>IF(AND(A427&lt;&gt;"",A427='Firm Search'!$C$7),COUNTIF($A$5:A427,'Firm Search'!$C$7),"")</f>
        <v/>
      </c>
    </row>
    <row r="428">
      <c r="A428" s="5" t="n"/>
      <c r="B428" s="5" t="n"/>
      <c r="C428" s="52" t="n"/>
      <c r="D428" s="52" t="n"/>
      <c r="E428" s="52" t="n"/>
      <c r="F428" s="52" t="n"/>
      <c r="G428" s="52" t="n"/>
      <c r="H428" s="52" t="n"/>
      <c r="I428" s="52" t="n"/>
      <c r="J428" s="52" t="n"/>
      <c r="K428" s="54" t="n"/>
      <c r="L428" s="5" t="n"/>
      <c r="M428" s="53">
        <f>IF(A428="","",IFERROR(INDEX(Firms!$B$5:$B$1004,MATCH(A428,Firms!$A$5:$A$1004,0)),"Not on Firms tab"))</f>
        <v/>
      </c>
      <c r="N428">
        <f>IF(AND(A428&lt;&gt;"",A428='Firm Search'!$C$7),COUNTIF($A$5:A428,'Firm Search'!$C$7),"")</f>
        <v/>
      </c>
    </row>
    <row r="429">
      <c r="A429" s="5" t="n"/>
      <c r="B429" s="5" t="n"/>
      <c r="C429" s="52" t="n"/>
      <c r="D429" s="52" t="n"/>
      <c r="E429" s="52" t="n"/>
      <c r="F429" s="52" t="n"/>
      <c r="G429" s="52" t="n"/>
      <c r="H429" s="52" t="n"/>
      <c r="I429" s="52" t="n"/>
      <c r="J429" s="52" t="n"/>
      <c r="K429" s="54" t="n"/>
      <c r="L429" s="5" t="n"/>
      <c r="M429" s="53">
        <f>IF(A429="","",IFERROR(INDEX(Firms!$B$5:$B$1004,MATCH(A429,Firms!$A$5:$A$1004,0)),"Not on Firms tab"))</f>
        <v/>
      </c>
      <c r="N429">
        <f>IF(AND(A429&lt;&gt;"",A429='Firm Search'!$C$7),COUNTIF($A$5:A429,'Firm Search'!$C$7),"")</f>
        <v/>
      </c>
    </row>
    <row r="430">
      <c r="A430" s="5" t="n"/>
      <c r="B430" s="5" t="n"/>
      <c r="C430" s="52" t="n"/>
      <c r="D430" s="52" t="n"/>
      <c r="E430" s="52" t="n"/>
      <c r="F430" s="52" t="n"/>
      <c r="G430" s="52" t="n"/>
      <c r="H430" s="52" t="n"/>
      <c r="I430" s="52" t="n"/>
      <c r="J430" s="52" t="n"/>
      <c r="K430" s="54" t="n"/>
      <c r="L430" s="5" t="n"/>
      <c r="M430" s="53">
        <f>IF(A430="","",IFERROR(INDEX(Firms!$B$5:$B$1004,MATCH(A430,Firms!$A$5:$A$1004,0)),"Not on Firms tab"))</f>
        <v/>
      </c>
      <c r="N430">
        <f>IF(AND(A430&lt;&gt;"",A430='Firm Search'!$C$7),COUNTIF($A$5:A430,'Firm Search'!$C$7),"")</f>
        <v/>
      </c>
    </row>
    <row r="431">
      <c r="A431" s="5" t="n"/>
      <c r="B431" s="5" t="n"/>
      <c r="C431" s="52" t="n"/>
      <c r="D431" s="52" t="n"/>
      <c r="E431" s="52" t="n"/>
      <c r="F431" s="52" t="n"/>
      <c r="G431" s="52" t="n"/>
      <c r="H431" s="52" t="n"/>
      <c r="I431" s="52" t="n"/>
      <c r="J431" s="52" t="n"/>
      <c r="K431" s="54" t="n"/>
      <c r="L431" s="5" t="n"/>
      <c r="M431" s="53">
        <f>IF(A431="","",IFERROR(INDEX(Firms!$B$5:$B$1004,MATCH(A431,Firms!$A$5:$A$1004,0)),"Not on Firms tab"))</f>
        <v/>
      </c>
      <c r="N431">
        <f>IF(AND(A431&lt;&gt;"",A431='Firm Search'!$C$7),COUNTIF($A$5:A431,'Firm Search'!$C$7),"")</f>
        <v/>
      </c>
    </row>
    <row r="432">
      <c r="A432" s="5" t="n"/>
      <c r="B432" s="5" t="n"/>
      <c r="C432" s="52" t="n"/>
      <c r="D432" s="52" t="n"/>
      <c r="E432" s="52" t="n"/>
      <c r="F432" s="52" t="n"/>
      <c r="G432" s="52" t="n"/>
      <c r="H432" s="52" t="n"/>
      <c r="I432" s="52" t="n"/>
      <c r="J432" s="52" t="n"/>
      <c r="K432" s="54" t="n"/>
      <c r="L432" s="5" t="n"/>
      <c r="M432" s="53">
        <f>IF(A432="","",IFERROR(INDEX(Firms!$B$5:$B$1004,MATCH(A432,Firms!$A$5:$A$1004,0)),"Not on Firms tab"))</f>
        <v/>
      </c>
      <c r="N432">
        <f>IF(AND(A432&lt;&gt;"",A432='Firm Search'!$C$7),COUNTIF($A$5:A432,'Firm Search'!$C$7),"")</f>
        <v/>
      </c>
    </row>
    <row r="433">
      <c r="A433" s="5" t="n"/>
      <c r="B433" s="5" t="n"/>
      <c r="C433" s="52" t="n"/>
      <c r="D433" s="52" t="n"/>
      <c r="E433" s="52" t="n"/>
      <c r="F433" s="52" t="n"/>
      <c r="G433" s="52" t="n"/>
      <c r="H433" s="52" t="n"/>
      <c r="I433" s="52" t="n"/>
      <c r="J433" s="52" t="n"/>
      <c r="K433" s="54" t="n"/>
      <c r="L433" s="5" t="n"/>
      <c r="M433" s="53">
        <f>IF(A433="","",IFERROR(INDEX(Firms!$B$5:$B$1004,MATCH(A433,Firms!$A$5:$A$1004,0)),"Not on Firms tab"))</f>
        <v/>
      </c>
      <c r="N433">
        <f>IF(AND(A433&lt;&gt;"",A433='Firm Search'!$C$7),COUNTIF($A$5:A433,'Firm Search'!$C$7),"")</f>
        <v/>
      </c>
    </row>
    <row r="434">
      <c r="A434" s="5" t="n"/>
      <c r="B434" s="5" t="n"/>
      <c r="C434" s="52" t="n"/>
      <c r="D434" s="52" t="n"/>
      <c r="E434" s="52" t="n"/>
      <c r="F434" s="52" t="n"/>
      <c r="G434" s="52" t="n"/>
      <c r="H434" s="52" t="n"/>
      <c r="I434" s="52" t="n"/>
      <c r="J434" s="52" t="n"/>
      <c r="K434" s="54" t="n"/>
      <c r="L434" s="5" t="n"/>
      <c r="M434" s="53">
        <f>IF(A434="","",IFERROR(INDEX(Firms!$B$5:$B$1004,MATCH(A434,Firms!$A$5:$A$1004,0)),"Not on Firms tab"))</f>
        <v/>
      </c>
      <c r="N434">
        <f>IF(AND(A434&lt;&gt;"",A434='Firm Search'!$C$7),COUNTIF($A$5:A434,'Firm Search'!$C$7),"")</f>
        <v/>
      </c>
    </row>
    <row r="435">
      <c r="A435" s="5" t="n"/>
      <c r="B435" s="5" t="n"/>
      <c r="C435" s="52" t="n"/>
      <c r="D435" s="52" t="n"/>
      <c r="E435" s="52" t="n"/>
      <c r="F435" s="52" t="n"/>
      <c r="G435" s="52" t="n"/>
      <c r="H435" s="52" t="n"/>
      <c r="I435" s="52" t="n"/>
      <c r="J435" s="52" t="n"/>
      <c r="K435" s="54" t="n"/>
      <c r="L435" s="5" t="n"/>
      <c r="M435" s="53">
        <f>IF(A435="","",IFERROR(INDEX(Firms!$B$5:$B$1004,MATCH(A435,Firms!$A$5:$A$1004,0)),"Not on Firms tab"))</f>
        <v/>
      </c>
      <c r="N435">
        <f>IF(AND(A435&lt;&gt;"",A435='Firm Search'!$C$7),COUNTIF($A$5:A435,'Firm Search'!$C$7),"")</f>
        <v/>
      </c>
    </row>
    <row r="436">
      <c r="A436" s="5" t="n"/>
      <c r="B436" s="5" t="n"/>
      <c r="C436" s="52" t="n"/>
      <c r="D436" s="52" t="n"/>
      <c r="E436" s="52" t="n"/>
      <c r="F436" s="52" t="n"/>
      <c r="G436" s="52" t="n"/>
      <c r="H436" s="52" t="n"/>
      <c r="I436" s="52" t="n"/>
      <c r="J436" s="52" t="n"/>
      <c r="K436" s="54" t="n"/>
      <c r="L436" s="5" t="n"/>
      <c r="M436" s="53">
        <f>IF(A436="","",IFERROR(INDEX(Firms!$B$5:$B$1004,MATCH(A436,Firms!$A$5:$A$1004,0)),"Not on Firms tab"))</f>
        <v/>
      </c>
      <c r="N436">
        <f>IF(AND(A436&lt;&gt;"",A436='Firm Search'!$C$7),COUNTIF($A$5:A436,'Firm Search'!$C$7),"")</f>
        <v/>
      </c>
    </row>
    <row r="437">
      <c r="A437" s="5" t="n"/>
      <c r="B437" s="5" t="n"/>
      <c r="C437" s="52" t="n"/>
      <c r="D437" s="52" t="n"/>
      <c r="E437" s="52" t="n"/>
      <c r="F437" s="52" t="n"/>
      <c r="G437" s="52" t="n"/>
      <c r="H437" s="52" t="n"/>
      <c r="I437" s="52" t="n"/>
      <c r="J437" s="52" t="n"/>
      <c r="K437" s="54" t="n"/>
      <c r="L437" s="5" t="n"/>
      <c r="M437" s="53">
        <f>IF(A437="","",IFERROR(INDEX(Firms!$B$5:$B$1004,MATCH(A437,Firms!$A$5:$A$1004,0)),"Not on Firms tab"))</f>
        <v/>
      </c>
      <c r="N437">
        <f>IF(AND(A437&lt;&gt;"",A437='Firm Search'!$C$7),COUNTIF($A$5:A437,'Firm Search'!$C$7),"")</f>
        <v/>
      </c>
    </row>
    <row r="438">
      <c r="A438" s="5" t="n"/>
      <c r="B438" s="5" t="n"/>
      <c r="C438" s="52" t="n"/>
      <c r="D438" s="52" t="n"/>
      <c r="E438" s="52" t="n"/>
      <c r="F438" s="52" t="n"/>
      <c r="G438" s="52" t="n"/>
      <c r="H438" s="52" t="n"/>
      <c r="I438" s="52" t="n"/>
      <c r="J438" s="52" t="n"/>
      <c r="K438" s="54" t="n"/>
      <c r="L438" s="5" t="n"/>
      <c r="M438" s="53">
        <f>IF(A438="","",IFERROR(INDEX(Firms!$B$5:$B$1004,MATCH(A438,Firms!$A$5:$A$1004,0)),"Not on Firms tab"))</f>
        <v/>
      </c>
      <c r="N438">
        <f>IF(AND(A438&lt;&gt;"",A438='Firm Search'!$C$7),COUNTIF($A$5:A438,'Firm Search'!$C$7),"")</f>
        <v/>
      </c>
    </row>
    <row r="439">
      <c r="A439" s="5" t="n"/>
      <c r="B439" s="5" t="n"/>
      <c r="C439" s="52" t="n"/>
      <c r="D439" s="52" t="n"/>
      <c r="E439" s="52" t="n"/>
      <c r="F439" s="52" t="n"/>
      <c r="G439" s="52" t="n"/>
      <c r="H439" s="52" t="n"/>
      <c r="I439" s="52" t="n"/>
      <c r="J439" s="52" t="n"/>
      <c r="K439" s="54" t="n"/>
      <c r="L439" s="5" t="n"/>
      <c r="M439" s="53">
        <f>IF(A439="","",IFERROR(INDEX(Firms!$B$5:$B$1004,MATCH(A439,Firms!$A$5:$A$1004,0)),"Not on Firms tab"))</f>
        <v/>
      </c>
      <c r="N439">
        <f>IF(AND(A439&lt;&gt;"",A439='Firm Search'!$C$7),COUNTIF($A$5:A439,'Firm Search'!$C$7),"")</f>
        <v/>
      </c>
    </row>
    <row r="440">
      <c r="A440" s="5" t="n"/>
      <c r="B440" s="5" t="n"/>
      <c r="C440" s="52" t="n"/>
      <c r="D440" s="52" t="n"/>
      <c r="E440" s="52" t="n"/>
      <c r="F440" s="52" t="n"/>
      <c r="G440" s="52" t="n"/>
      <c r="H440" s="52" t="n"/>
      <c r="I440" s="52" t="n"/>
      <c r="J440" s="52" t="n"/>
      <c r="K440" s="54" t="n"/>
      <c r="L440" s="5" t="n"/>
      <c r="M440" s="53">
        <f>IF(A440="","",IFERROR(INDEX(Firms!$B$5:$B$1004,MATCH(A440,Firms!$A$5:$A$1004,0)),"Not on Firms tab"))</f>
        <v/>
      </c>
      <c r="N440">
        <f>IF(AND(A440&lt;&gt;"",A440='Firm Search'!$C$7),COUNTIF($A$5:A440,'Firm Search'!$C$7),"")</f>
        <v/>
      </c>
    </row>
    <row r="441">
      <c r="A441" s="5" t="n"/>
      <c r="B441" s="5" t="n"/>
      <c r="C441" s="52" t="n"/>
      <c r="D441" s="52" t="n"/>
      <c r="E441" s="52" t="n"/>
      <c r="F441" s="52" t="n"/>
      <c r="G441" s="52" t="n"/>
      <c r="H441" s="52" t="n"/>
      <c r="I441" s="52" t="n"/>
      <c r="J441" s="52" t="n"/>
      <c r="K441" s="54" t="n"/>
      <c r="L441" s="5" t="n"/>
      <c r="M441" s="53">
        <f>IF(A441="","",IFERROR(INDEX(Firms!$B$5:$B$1004,MATCH(A441,Firms!$A$5:$A$1004,0)),"Not on Firms tab"))</f>
        <v/>
      </c>
      <c r="N441">
        <f>IF(AND(A441&lt;&gt;"",A441='Firm Search'!$C$7),COUNTIF($A$5:A441,'Firm Search'!$C$7),"")</f>
        <v/>
      </c>
    </row>
    <row r="442">
      <c r="A442" s="5" t="n"/>
      <c r="B442" s="5" t="n"/>
      <c r="C442" s="52" t="n"/>
      <c r="D442" s="52" t="n"/>
      <c r="E442" s="52" t="n"/>
      <c r="F442" s="52" t="n"/>
      <c r="G442" s="52" t="n"/>
      <c r="H442" s="52" t="n"/>
      <c r="I442" s="52" t="n"/>
      <c r="J442" s="52" t="n"/>
      <c r="K442" s="54" t="n"/>
      <c r="L442" s="5" t="n"/>
      <c r="M442" s="53">
        <f>IF(A442="","",IFERROR(INDEX(Firms!$B$5:$B$1004,MATCH(A442,Firms!$A$5:$A$1004,0)),"Not on Firms tab"))</f>
        <v/>
      </c>
      <c r="N442">
        <f>IF(AND(A442&lt;&gt;"",A442='Firm Search'!$C$7),COUNTIF($A$5:A442,'Firm Search'!$C$7),"")</f>
        <v/>
      </c>
    </row>
    <row r="443">
      <c r="A443" s="5" t="n"/>
      <c r="B443" s="5" t="n"/>
      <c r="C443" s="52" t="n"/>
      <c r="D443" s="52" t="n"/>
      <c r="E443" s="52" t="n"/>
      <c r="F443" s="52" t="n"/>
      <c r="G443" s="52" t="n"/>
      <c r="H443" s="52" t="n"/>
      <c r="I443" s="52" t="n"/>
      <c r="J443" s="52" t="n"/>
      <c r="K443" s="54" t="n"/>
      <c r="L443" s="5" t="n"/>
      <c r="M443" s="53">
        <f>IF(A443="","",IFERROR(INDEX(Firms!$B$5:$B$1004,MATCH(A443,Firms!$A$5:$A$1004,0)),"Not on Firms tab"))</f>
        <v/>
      </c>
      <c r="N443">
        <f>IF(AND(A443&lt;&gt;"",A443='Firm Search'!$C$7),COUNTIF($A$5:A443,'Firm Search'!$C$7),"")</f>
        <v/>
      </c>
    </row>
    <row r="444">
      <c r="A444" s="5" t="n"/>
      <c r="B444" s="5" t="n"/>
      <c r="C444" s="52" t="n"/>
      <c r="D444" s="52" t="n"/>
      <c r="E444" s="52" t="n"/>
      <c r="F444" s="52" t="n"/>
      <c r="G444" s="52" t="n"/>
      <c r="H444" s="52" t="n"/>
      <c r="I444" s="52" t="n"/>
      <c r="J444" s="52" t="n"/>
      <c r="K444" s="54" t="n"/>
      <c r="L444" s="5" t="n"/>
      <c r="M444" s="53">
        <f>IF(A444="","",IFERROR(INDEX(Firms!$B$5:$B$1004,MATCH(A444,Firms!$A$5:$A$1004,0)),"Not on Firms tab"))</f>
        <v/>
      </c>
      <c r="N444">
        <f>IF(AND(A444&lt;&gt;"",A444='Firm Search'!$C$7),COUNTIF($A$5:A444,'Firm Search'!$C$7),"")</f>
        <v/>
      </c>
    </row>
    <row r="445">
      <c r="A445" s="5" t="n"/>
      <c r="B445" s="5" t="n"/>
      <c r="C445" s="52" t="n"/>
      <c r="D445" s="52" t="n"/>
      <c r="E445" s="52" t="n"/>
      <c r="F445" s="52" t="n"/>
      <c r="G445" s="52" t="n"/>
      <c r="H445" s="52" t="n"/>
      <c r="I445" s="52" t="n"/>
      <c r="J445" s="52" t="n"/>
      <c r="K445" s="54" t="n"/>
      <c r="L445" s="5" t="n"/>
      <c r="M445" s="53">
        <f>IF(A445="","",IFERROR(INDEX(Firms!$B$5:$B$1004,MATCH(A445,Firms!$A$5:$A$1004,0)),"Not on Firms tab"))</f>
        <v/>
      </c>
      <c r="N445">
        <f>IF(AND(A445&lt;&gt;"",A445='Firm Search'!$C$7),COUNTIF($A$5:A445,'Firm Search'!$C$7),"")</f>
        <v/>
      </c>
    </row>
    <row r="446">
      <c r="A446" s="5" t="n"/>
      <c r="B446" s="5" t="n"/>
      <c r="C446" s="52" t="n"/>
      <c r="D446" s="52" t="n"/>
      <c r="E446" s="52" t="n"/>
      <c r="F446" s="52" t="n"/>
      <c r="G446" s="52" t="n"/>
      <c r="H446" s="52" t="n"/>
      <c r="I446" s="52" t="n"/>
      <c r="J446" s="52" t="n"/>
      <c r="K446" s="54" t="n"/>
      <c r="L446" s="5" t="n"/>
      <c r="M446" s="53">
        <f>IF(A446="","",IFERROR(INDEX(Firms!$B$5:$B$1004,MATCH(A446,Firms!$A$5:$A$1004,0)),"Not on Firms tab"))</f>
        <v/>
      </c>
      <c r="N446">
        <f>IF(AND(A446&lt;&gt;"",A446='Firm Search'!$C$7),COUNTIF($A$5:A446,'Firm Search'!$C$7),"")</f>
        <v/>
      </c>
    </row>
    <row r="447">
      <c r="A447" s="5" t="n"/>
      <c r="B447" s="5" t="n"/>
      <c r="C447" s="52" t="n"/>
      <c r="D447" s="52" t="n"/>
      <c r="E447" s="52" t="n"/>
      <c r="F447" s="52" t="n"/>
      <c r="G447" s="52" t="n"/>
      <c r="H447" s="52" t="n"/>
      <c r="I447" s="52" t="n"/>
      <c r="J447" s="52" t="n"/>
      <c r="K447" s="54" t="n"/>
      <c r="L447" s="5" t="n"/>
      <c r="M447" s="53">
        <f>IF(A447="","",IFERROR(INDEX(Firms!$B$5:$B$1004,MATCH(A447,Firms!$A$5:$A$1004,0)),"Not on Firms tab"))</f>
        <v/>
      </c>
      <c r="N447">
        <f>IF(AND(A447&lt;&gt;"",A447='Firm Search'!$C$7),COUNTIF($A$5:A447,'Firm Search'!$C$7),"")</f>
        <v/>
      </c>
    </row>
    <row r="448">
      <c r="A448" s="5" t="n"/>
      <c r="B448" s="5" t="n"/>
      <c r="C448" s="52" t="n"/>
      <c r="D448" s="52" t="n"/>
      <c r="E448" s="52" t="n"/>
      <c r="F448" s="52" t="n"/>
      <c r="G448" s="52" t="n"/>
      <c r="H448" s="52" t="n"/>
      <c r="I448" s="52" t="n"/>
      <c r="J448" s="52" t="n"/>
      <c r="K448" s="54" t="n"/>
      <c r="L448" s="5" t="n"/>
      <c r="M448" s="53">
        <f>IF(A448="","",IFERROR(INDEX(Firms!$B$5:$B$1004,MATCH(A448,Firms!$A$5:$A$1004,0)),"Not on Firms tab"))</f>
        <v/>
      </c>
      <c r="N448">
        <f>IF(AND(A448&lt;&gt;"",A448='Firm Search'!$C$7),COUNTIF($A$5:A448,'Firm Search'!$C$7),"")</f>
        <v/>
      </c>
    </row>
    <row r="449">
      <c r="A449" s="5" t="n"/>
      <c r="B449" s="5" t="n"/>
      <c r="C449" s="52" t="n"/>
      <c r="D449" s="52" t="n"/>
      <c r="E449" s="52" t="n"/>
      <c r="F449" s="52" t="n"/>
      <c r="G449" s="52" t="n"/>
      <c r="H449" s="52" t="n"/>
      <c r="I449" s="52" t="n"/>
      <c r="J449" s="52" t="n"/>
      <c r="K449" s="54" t="n"/>
      <c r="L449" s="5" t="n"/>
      <c r="M449" s="53">
        <f>IF(A449="","",IFERROR(INDEX(Firms!$B$5:$B$1004,MATCH(A449,Firms!$A$5:$A$1004,0)),"Not on Firms tab"))</f>
        <v/>
      </c>
      <c r="N449">
        <f>IF(AND(A449&lt;&gt;"",A449='Firm Search'!$C$7),COUNTIF($A$5:A449,'Firm Search'!$C$7),"")</f>
        <v/>
      </c>
    </row>
    <row r="450">
      <c r="A450" s="5" t="n"/>
      <c r="B450" s="5" t="n"/>
      <c r="C450" s="52" t="n"/>
      <c r="D450" s="52" t="n"/>
      <c r="E450" s="52" t="n"/>
      <c r="F450" s="52" t="n"/>
      <c r="G450" s="52" t="n"/>
      <c r="H450" s="52" t="n"/>
      <c r="I450" s="52" t="n"/>
      <c r="J450" s="52" t="n"/>
      <c r="K450" s="54" t="n"/>
      <c r="L450" s="5" t="n"/>
      <c r="M450" s="53">
        <f>IF(A450="","",IFERROR(INDEX(Firms!$B$5:$B$1004,MATCH(A450,Firms!$A$5:$A$1004,0)),"Not on Firms tab"))</f>
        <v/>
      </c>
      <c r="N450">
        <f>IF(AND(A450&lt;&gt;"",A450='Firm Search'!$C$7),COUNTIF($A$5:A450,'Firm Search'!$C$7),"")</f>
        <v/>
      </c>
    </row>
    <row r="451">
      <c r="A451" s="5" t="n"/>
      <c r="B451" s="5" t="n"/>
      <c r="C451" s="52" t="n"/>
      <c r="D451" s="52" t="n"/>
      <c r="E451" s="52" t="n"/>
      <c r="F451" s="52" t="n"/>
      <c r="G451" s="52" t="n"/>
      <c r="H451" s="52" t="n"/>
      <c r="I451" s="52" t="n"/>
      <c r="J451" s="52" t="n"/>
      <c r="K451" s="54" t="n"/>
      <c r="L451" s="5" t="n"/>
      <c r="M451" s="53">
        <f>IF(A451="","",IFERROR(INDEX(Firms!$B$5:$B$1004,MATCH(A451,Firms!$A$5:$A$1004,0)),"Not on Firms tab"))</f>
        <v/>
      </c>
      <c r="N451">
        <f>IF(AND(A451&lt;&gt;"",A451='Firm Search'!$C$7),COUNTIF($A$5:A451,'Firm Search'!$C$7),"")</f>
        <v/>
      </c>
    </row>
    <row r="452">
      <c r="A452" s="5" t="n"/>
      <c r="B452" s="5" t="n"/>
      <c r="C452" s="52" t="n"/>
      <c r="D452" s="52" t="n"/>
      <c r="E452" s="52" t="n"/>
      <c r="F452" s="52" t="n"/>
      <c r="G452" s="52" t="n"/>
      <c r="H452" s="52" t="n"/>
      <c r="I452" s="52" t="n"/>
      <c r="J452" s="52" t="n"/>
      <c r="K452" s="54" t="n"/>
      <c r="L452" s="5" t="n"/>
      <c r="M452" s="53">
        <f>IF(A452="","",IFERROR(INDEX(Firms!$B$5:$B$1004,MATCH(A452,Firms!$A$5:$A$1004,0)),"Not on Firms tab"))</f>
        <v/>
      </c>
      <c r="N452">
        <f>IF(AND(A452&lt;&gt;"",A452='Firm Search'!$C$7),COUNTIF($A$5:A452,'Firm Search'!$C$7),"")</f>
        <v/>
      </c>
    </row>
    <row r="453">
      <c r="A453" s="5" t="n"/>
      <c r="B453" s="5" t="n"/>
      <c r="C453" s="52" t="n"/>
      <c r="D453" s="52" t="n"/>
      <c r="E453" s="52" t="n"/>
      <c r="F453" s="52" t="n"/>
      <c r="G453" s="52" t="n"/>
      <c r="H453" s="52" t="n"/>
      <c r="I453" s="52" t="n"/>
      <c r="J453" s="52" t="n"/>
      <c r="K453" s="54" t="n"/>
      <c r="L453" s="5" t="n"/>
      <c r="M453" s="53">
        <f>IF(A453="","",IFERROR(INDEX(Firms!$B$5:$B$1004,MATCH(A453,Firms!$A$5:$A$1004,0)),"Not on Firms tab"))</f>
        <v/>
      </c>
      <c r="N453">
        <f>IF(AND(A453&lt;&gt;"",A453='Firm Search'!$C$7),COUNTIF($A$5:A453,'Firm Search'!$C$7),"")</f>
        <v/>
      </c>
    </row>
    <row r="454">
      <c r="A454" s="5" t="n"/>
      <c r="B454" s="5" t="n"/>
      <c r="C454" s="52" t="n"/>
      <c r="D454" s="52" t="n"/>
      <c r="E454" s="52" t="n"/>
      <c r="F454" s="52" t="n"/>
      <c r="G454" s="52" t="n"/>
      <c r="H454" s="52" t="n"/>
      <c r="I454" s="52" t="n"/>
      <c r="J454" s="52" t="n"/>
      <c r="K454" s="54" t="n"/>
      <c r="L454" s="5" t="n"/>
      <c r="M454" s="53">
        <f>IF(A454="","",IFERROR(INDEX(Firms!$B$5:$B$1004,MATCH(A454,Firms!$A$5:$A$1004,0)),"Not on Firms tab"))</f>
        <v/>
      </c>
      <c r="N454">
        <f>IF(AND(A454&lt;&gt;"",A454='Firm Search'!$C$7),COUNTIF($A$5:A454,'Firm Search'!$C$7),"")</f>
        <v/>
      </c>
    </row>
    <row r="455">
      <c r="A455" s="5" t="n"/>
      <c r="B455" s="5" t="n"/>
      <c r="C455" s="52" t="n"/>
      <c r="D455" s="52" t="n"/>
      <c r="E455" s="52" t="n"/>
      <c r="F455" s="52" t="n"/>
      <c r="G455" s="52" t="n"/>
      <c r="H455" s="52" t="n"/>
      <c r="I455" s="52" t="n"/>
      <c r="J455" s="52" t="n"/>
      <c r="K455" s="54" t="n"/>
      <c r="L455" s="5" t="n"/>
      <c r="M455" s="53">
        <f>IF(A455="","",IFERROR(INDEX(Firms!$B$5:$B$1004,MATCH(A455,Firms!$A$5:$A$1004,0)),"Not on Firms tab"))</f>
        <v/>
      </c>
      <c r="N455">
        <f>IF(AND(A455&lt;&gt;"",A455='Firm Search'!$C$7),COUNTIF($A$5:A455,'Firm Search'!$C$7),"")</f>
        <v/>
      </c>
    </row>
    <row r="456">
      <c r="A456" s="5" t="n"/>
      <c r="B456" s="5" t="n"/>
      <c r="C456" s="52" t="n"/>
      <c r="D456" s="52" t="n"/>
      <c r="E456" s="52" t="n"/>
      <c r="F456" s="52" t="n"/>
      <c r="G456" s="52" t="n"/>
      <c r="H456" s="52" t="n"/>
      <c r="I456" s="52" t="n"/>
      <c r="J456" s="52" t="n"/>
      <c r="K456" s="54" t="n"/>
      <c r="L456" s="5" t="n"/>
      <c r="M456" s="53">
        <f>IF(A456="","",IFERROR(INDEX(Firms!$B$5:$B$1004,MATCH(A456,Firms!$A$5:$A$1004,0)),"Not on Firms tab"))</f>
        <v/>
      </c>
      <c r="N456">
        <f>IF(AND(A456&lt;&gt;"",A456='Firm Search'!$C$7),COUNTIF($A$5:A456,'Firm Search'!$C$7),"")</f>
        <v/>
      </c>
    </row>
    <row r="457">
      <c r="A457" s="5" t="n"/>
      <c r="B457" s="5" t="n"/>
      <c r="C457" s="52" t="n"/>
      <c r="D457" s="52" t="n"/>
      <c r="E457" s="52" t="n"/>
      <c r="F457" s="52" t="n"/>
      <c r="G457" s="52" t="n"/>
      <c r="H457" s="52" t="n"/>
      <c r="I457" s="52" t="n"/>
      <c r="J457" s="52" t="n"/>
      <c r="K457" s="54" t="n"/>
      <c r="L457" s="5" t="n"/>
      <c r="M457" s="53">
        <f>IF(A457="","",IFERROR(INDEX(Firms!$B$5:$B$1004,MATCH(A457,Firms!$A$5:$A$1004,0)),"Not on Firms tab"))</f>
        <v/>
      </c>
      <c r="N457">
        <f>IF(AND(A457&lt;&gt;"",A457='Firm Search'!$C$7),COUNTIF($A$5:A457,'Firm Search'!$C$7),"")</f>
        <v/>
      </c>
    </row>
    <row r="458">
      <c r="A458" s="5" t="n"/>
      <c r="B458" s="5" t="n"/>
      <c r="C458" s="52" t="n"/>
      <c r="D458" s="52" t="n"/>
      <c r="E458" s="52" t="n"/>
      <c r="F458" s="52" t="n"/>
      <c r="G458" s="52" t="n"/>
      <c r="H458" s="52" t="n"/>
      <c r="I458" s="52" t="n"/>
      <c r="J458" s="52" t="n"/>
      <c r="K458" s="54" t="n"/>
      <c r="L458" s="5" t="n"/>
      <c r="M458" s="53">
        <f>IF(A458="","",IFERROR(INDEX(Firms!$B$5:$B$1004,MATCH(A458,Firms!$A$5:$A$1004,0)),"Not on Firms tab"))</f>
        <v/>
      </c>
      <c r="N458">
        <f>IF(AND(A458&lt;&gt;"",A458='Firm Search'!$C$7),COUNTIF($A$5:A458,'Firm Search'!$C$7),"")</f>
        <v/>
      </c>
    </row>
    <row r="459">
      <c r="A459" s="5" t="n"/>
      <c r="B459" s="5" t="n"/>
      <c r="C459" s="52" t="n"/>
      <c r="D459" s="52" t="n"/>
      <c r="E459" s="52" t="n"/>
      <c r="F459" s="52" t="n"/>
      <c r="G459" s="52" t="n"/>
      <c r="H459" s="52" t="n"/>
      <c r="I459" s="52" t="n"/>
      <c r="J459" s="52" t="n"/>
      <c r="K459" s="54" t="n"/>
      <c r="L459" s="5" t="n"/>
      <c r="M459" s="53">
        <f>IF(A459="","",IFERROR(INDEX(Firms!$B$5:$B$1004,MATCH(A459,Firms!$A$5:$A$1004,0)),"Not on Firms tab"))</f>
        <v/>
      </c>
      <c r="N459">
        <f>IF(AND(A459&lt;&gt;"",A459='Firm Search'!$C$7),COUNTIF($A$5:A459,'Firm Search'!$C$7),"")</f>
        <v/>
      </c>
    </row>
    <row r="460">
      <c r="A460" s="5" t="n"/>
      <c r="B460" s="5" t="n"/>
      <c r="C460" s="52" t="n"/>
      <c r="D460" s="52" t="n"/>
      <c r="E460" s="52" t="n"/>
      <c r="F460" s="52" t="n"/>
      <c r="G460" s="52" t="n"/>
      <c r="H460" s="52" t="n"/>
      <c r="I460" s="52" t="n"/>
      <c r="J460" s="52" t="n"/>
      <c r="K460" s="54" t="n"/>
      <c r="L460" s="5" t="n"/>
      <c r="M460" s="53">
        <f>IF(A460="","",IFERROR(INDEX(Firms!$B$5:$B$1004,MATCH(A460,Firms!$A$5:$A$1004,0)),"Not on Firms tab"))</f>
        <v/>
      </c>
      <c r="N460">
        <f>IF(AND(A460&lt;&gt;"",A460='Firm Search'!$C$7),COUNTIF($A$5:A460,'Firm Search'!$C$7),"")</f>
        <v/>
      </c>
    </row>
    <row r="461">
      <c r="A461" s="5" t="n"/>
      <c r="B461" s="5" t="n"/>
      <c r="C461" s="52" t="n"/>
      <c r="D461" s="52" t="n"/>
      <c r="E461" s="52" t="n"/>
      <c r="F461" s="52" t="n"/>
      <c r="G461" s="52" t="n"/>
      <c r="H461" s="52" t="n"/>
      <c r="I461" s="52" t="n"/>
      <c r="J461" s="52" t="n"/>
      <c r="K461" s="54" t="n"/>
      <c r="L461" s="5" t="n"/>
      <c r="M461" s="53">
        <f>IF(A461="","",IFERROR(INDEX(Firms!$B$5:$B$1004,MATCH(A461,Firms!$A$5:$A$1004,0)),"Not on Firms tab"))</f>
        <v/>
      </c>
      <c r="N461">
        <f>IF(AND(A461&lt;&gt;"",A461='Firm Search'!$C$7),COUNTIF($A$5:A461,'Firm Search'!$C$7),"")</f>
        <v/>
      </c>
    </row>
    <row r="462">
      <c r="A462" s="5" t="n"/>
      <c r="B462" s="5" t="n"/>
      <c r="C462" s="52" t="n"/>
      <c r="D462" s="52" t="n"/>
      <c r="E462" s="52" t="n"/>
      <c r="F462" s="52" t="n"/>
      <c r="G462" s="52" t="n"/>
      <c r="H462" s="52" t="n"/>
      <c r="I462" s="52" t="n"/>
      <c r="J462" s="52" t="n"/>
      <c r="K462" s="54" t="n"/>
      <c r="L462" s="5" t="n"/>
      <c r="M462" s="53">
        <f>IF(A462="","",IFERROR(INDEX(Firms!$B$5:$B$1004,MATCH(A462,Firms!$A$5:$A$1004,0)),"Not on Firms tab"))</f>
        <v/>
      </c>
      <c r="N462">
        <f>IF(AND(A462&lt;&gt;"",A462='Firm Search'!$C$7),COUNTIF($A$5:A462,'Firm Search'!$C$7),"")</f>
        <v/>
      </c>
    </row>
    <row r="463">
      <c r="A463" s="5" t="n"/>
      <c r="B463" s="5" t="n"/>
      <c r="C463" s="52" t="n"/>
      <c r="D463" s="52" t="n"/>
      <c r="E463" s="52" t="n"/>
      <c r="F463" s="52" t="n"/>
      <c r="G463" s="52" t="n"/>
      <c r="H463" s="52" t="n"/>
      <c r="I463" s="52" t="n"/>
      <c r="J463" s="52" t="n"/>
      <c r="K463" s="54" t="n"/>
      <c r="L463" s="5" t="n"/>
      <c r="M463" s="53">
        <f>IF(A463="","",IFERROR(INDEX(Firms!$B$5:$B$1004,MATCH(A463,Firms!$A$5:$A$1004,0)),"Not on Firms tab"))</f>
        <v/>
      </c>
      <c r="N463">
        <f>IF(AND(A463&lt;&gt;"",A463='Firm Search'!$C$7),COUNTIF($A$5:A463,'Firm Search'!$C$7),"")</f>
        <v/>
      </c>
    </row>
    <row r="464">
      <c r="A464" s="5" t="n"/>
      <c r="B464" s="5" t="n"/>
      <c r="C464" s="52" t="n"/>
      <c r="D464" s="52" t="n"/>
      <c r="E464" s="52" t="n"/>
      <c r="F464" s="52" t="n"/>
      <c r="G464" s="52" t="n"/>
      <c r="H464" s="52" t="n"/>
      <c r="I464" s="52" t="n"/>
      <c r="J464" s="52" t="n"/>
      <c r="K464" s="54" t="n"/>
      <c r="L464" s="5" t="n"/>
      <c r="M464" s="53">
        <f>IF(A464="","",IFERROR(INDEX(Firms!$B$5:$B$1004,MATCH(A464,Firms!$A$5:$A$1004,0)),"Not on Firms tab"))</f>
        <v/>
      </c>
      <c r="N464">
        <f>IF(AND(A464&lt;&gt;"",A464='Firm Search'!$C$7),COUNTIF($A$5:A464,'Firm Search'!$C$7),"")</f>
        <v/>
      </c>
    </row>
    <row r="465">
      <c r="A465" s="5" t="n"/>
      <c r="B465" s="5" t="n"/>
      <c r="C465" s="52" t="n"/>
      <c r="D465" s="52" t="n"/>
      <c r="E465" s="52" t="n"/>
      <c r="F465" s="52" t="n"/>
      <c r="G465" s="52" t="n"/>
      <c r="H465" s="52" t="n"/>
      <c r="I465" s="52" t="n"/>
      <c r="J465" s="52" t="n"/>
      <c r="K465" s="54" t="n"/>
      <c r="L465" s="5" t="n"/>
      <c r="M465" s="53">
        <f>IF(A465="","",IFERROR(INDEX(Firms!$B$5:$B$1004,MATCH(A465,Firms!$A$5:$A$1004,0)),"Not on Firms tab"))</f>
        <v/>
      </c>
      <c r="N465">
        <f>IF(AND(A465&lt;&gt;"",A465='Firm Search'!$C$7),COUNTIF($A$5:A465,'Firm Search'!$C$7),"")</f>
        <v/>
      </c>
    </row>
    <row r="466">
      <c r="A466" s="5" t="n"/>
      <c r="B466" s="5" t="n"/>
      <c r="C466" s="52" t="n"/>
      <c r="D466" s="52" t="n"/>
      <c r="E466" s="52" t="n"/>
      <c r="F466" s="52" t="n"/>
      <c r="G466" s="52" t="n"/>
      <c r="H466" s="52" t="n"/>
      <c r="I466" s="52" t="n"/>
      <c r="J466" s="52" t="n"/>
      <c r="K466" s="54" t="n"/>
      <c r="L466" s="5" t="n"/>
      <c r="M466" s="53">
        <f>IF(A466="","",IFERROR(INDEX(Firms!$B$5:$B$1004,MATCH(A466,Firms!$A$5:$A$1004,0)),"Not on Firms tab"))</f>
        <v/>
      </c>
      <c r="N466">
        <f>IF(AND(A466&lt;&gt;"",A466='Firm Search'!$C$7),COUNTIF($A$5:A466,'Firm Search'!$C$7),"")</f>
        <v/>
      </c>
    </row>
    <row r="467">
      <c r="A467" s="5" t="n"/>
      <c r="B467" s="5" t="n"/>
      <c r="C467" s="52" t="n"/>
      <c r="D467" s="52" t="n"/>
      <c r="E467" s="52" t="n"/>
      <c r="F467" s="52" t="n"/>
      <c r="G467" s="52" t="n"/>
      <c r="H467" s="52" t="n"/>
      <c r="I467" s="52" t="n"/>
      <c r="J467" s="52" t="n"/>
      <c r="K467" s="54" t="n"/>
      <c r="L467" s="5" t="n"/>
      <c r="M467" s="53">
        <f>IF(A467="","",IFERROR(INDEX(Firms!$B$5:$B$1004,MATCH(A467,Firms!$A$5:$A$1004,0)),"Not on Firms tab"))</f>
        <v/>
      </c>
      <c r="N467">
        <f>IF(AND(A467&lt;&gt;"",A467='Firm Search'!$C$7),COUNTIF($A$5:A467,'Firm Search'!$C$7),"")</f>
        <v/>
      </c>
    </row>
    <row r="468">
      <c r="A468" s="5" t="n"/>
      <c r="B468" s="5" t="n"/>
      <c r="C468" s="52" t="n"/>
      <c r="D468" s="52" t="n"/>
      <c r="E468" s="52" t="n"/>
      <c r="F468" s="52" t="n"/>
      <c r="G468" s="52" t="n"/>
      <c r="H468" s="52" t="n"/>
      <c r="I468" s="52" t="n"/>
      <c r="J468" s="52" t="n"/>
      <c r="K468" s="54" t="n"/>
      <c r="L468" s="5" t="n"/>
      <c r="M468" s="53">
        <f>IF(A468="","",IFERROR(INDEX(Firms!$B$5:$B$1004,MATCH(A468,Firms!$A$5:$A$1004,0)),"Not on Firms tab"))</f>
        <v/>
      </c>
      <c r="N468">
        <f>IF(AND(A468&lt;&gt;"",A468='Firm Search'!$C$7),COUNTIF($A$5:A468,'Firm Search'!$C$7),"")</f>
        <v/>
      </c>
    </row>
    <row r="469">
      <c r="A469" s="5" t="n"/>
      <c r="B469" s="5" t="n"/>
      <c r="C469" s="52" t="n"/>
      <c r="D469" s="52" t="n"/>
      <c r="E469" s="52" t="n"/>
      <c r="F469" s="52" t="n"/>
      <c r="G469" s="52" t="n"/>
      <c r="H469" s="52" t="n"/>
      <c r="I469" s="52" t="n"/>
      <c r="J469" s="52" t="n"/>
      <c r="K469" s="54" t="n"/>
      <c r="L469" s="5" t="n"/>
      <c r="M469" s="53">
        <f>IF(A469="","",IFERROR(INDEX(Firms!$B$5:$B$1004,MATCH(A469,Firms!$A$5:$A$1004,0)),"Not on Firms tab"))</f>
        <v/>
      </c>
      <c r="N469">
        <f>IF(AND(A469&lt;&gt;"",A469='Firm Search'!$C$7),COUNTIF($A$5:A469,'Firm Search'!$C$7),"")</f>
        <v/>
      </c>
    </row>
    <row r="470">
      <c r="A470" s="5" t="n"/>
      <c r="B470" s="5" t="n"/>
      <c r="C470" s="52" t="n"/>
      <c r="D470" s="52" t="n"/>
      <c r="E470" s="52" t="n"/>
      <c r="F470" s="52" t="n"/>
      <c r="G470" s="52" t="n"/>
      <c r="H470" s="52" t="n"/>
      <c r="I470" s="52" t="n"/>
      <c r="J470" s="52" t="n"/>
      <c r="K470" s="54" t="n"/>
      <c r="L470" s="5" t="n"/>
      <c r="M470" s="53">
        <f>IF(A470="","",IFERROR(INDEX(Firms!$B$5:$B$1004,MATCH(A470,Firms!$A$5:$A$1004,0)),"Not on Firms tab"))</f>
        <v/>
      </c>
      <c r="N470">
        <f>IF(AND(A470&lt;&gt;"",A470='Firm Search'!$C$7),COUNTIF($A$5:A470,'Firm Search'!$C$7),"")</f>
        <v/>
      </c>
    </row>
    <row r="471">
      <c r="A471" s="5" t="n"/>
      <c r="B471" s="5" t="n"/>
      <c r="C471" s="52" t="n"/>
      <c r="D471" s="52" t="n"/>
      <c r="E471" s="52" t="n"/>
      <c r="F471" s="52" t="n"/>
      <c r="G471" s="52" t="n"/>
      <c r="H471" s="52" t="n"/>
      <c r="I471" s="52" t="n"/>
      <c r="J471" s="52" t="n"/>
      <c r="K471" s="54" t="n"/>
      <c r="L471" s="5" t="n"/>
      <c r="M471" s="53">
        <f>IF(A471="","",IFERROR(INDEX(Firms!$B$5:$B$1004,MATCH(A471,Firms!$A$5:$A$1004,0)),"Not on Firms tab"))</f>
        <v/>
      </c>
      <c r="N471">
        <f>IF(AND(A471&lt;&gt;"",A471='Firm Search'!$C$7),COUNTIF($A$5:A471,'Firm Search'!$C$7),"")</f>
        <v/>
      </c>
    </row>
    <row r="472">
      <c r="A472" s="5" t="n"/>
      <c r="B472" s="5" t="n"/>
      <c r="C472" s="52" t="n"/>
      <c r="D472" s="52" t="n"/>
      <c r="E472" s="52" t="n"/>
      <c r="F472" s="52" t="n"/>
      <c r="G472" s="52" t="n"/>
      <c r="H472" s="52" t="n"/>
      <c r="I472" s="52" t="n"/>
      <c r="J472" s="52" t="n"/>
      <c r="K472" s="54" t="n"/>
      <c r="L472" s="5" t="n"/>
      <c r="M472" s="53">
        <f>IF(A472="","",IFERROR(INDEX(Firms!$B$5:$B$1004,MATCH(A472,Firms!$A$5:$A$1004,0)),"Not on Firms tab"))</f>
        <v/>
      </c>
      <c r="N472">
        <f>IF(AND(A472&lt;&gt;"",A472='Firm Search'!$C$7),COUNTIF($A$5:A472,'Firm Search'!$C$7),"")</f>
        <v/>
      </c>
    </row>
    <row r="473">
      <c r="A473" s="5" t="n"/>
      <c r="B473" s="5" t="n"/>
      <c r="C473" s="52" t="n"/>
      <c r="D473" s="52" t="n"/>
      <c r="E473" s="52" t="n"/>
      <c r="F473" s="52" t="n"/>
      <c r="G473" s="52" t="n"/>
      <c r="H473" s="52" t="n"/>
      <c r="I473" s="52" t="n"/>
      <c r="J473" s="52" t="n"/>
      <c r="K473" s="54" t="n"/>
      <c r="L473" s="5" t="n"/>
      <c r="M473" s="53">
        <f>IF(A473="","",IFERROR(INDEX(Firms!$B$5:$B$1004,MATCH(A473,Firms!$A$5:$A$1004,0)),"Not on Firms tab"))</f>
        <v/>
      </c>
      <c r="N473">
        <f>IF(AND(A473&lt;&gt;"",A473='Firm Search'!$C$7),COUNTIF($A$5:A473,'Firm Search'!$C$7),"")</f>
        <v/>
      </c>
    </row>
    <row r="474">
      <c r="A474" s="5" t="n"/>
      <c r="B474" s="5" t="n"/>
      <c r="C474" s="52" t="n"/>
      <c r="D474" s="52" t="n"/>
      <c r="E474" s="52" t="n"/>
      <c r="F474" s="52" t="n"/>
      <c r="G474" s="52" t="n"/>
      <c r="H474" s="52" t="n"/>
      <c r="I474" s="52" t="n"/>
      <c r="J474" s="52" t="n"/>
      <c r="K474" s="54" t="n"/>
      <c r="L474" s="5" t="n"/>
      <c r="M474" s="53">
        <f>IF(A474="","",IFERROR(INDEX(Firms!$B$5:$B$1004,MATCH(A474,Firms!$A$5:$A$1004,0)),"Not on Firms tab"))</f>
        <v/>
      </c>
      <c r="N474">
        <f>IF(AND(A474&lt;&gt;"",A474='Firm Search'!$C$7),COUNTIF($A$5:A474,'Firm Search'!$C$7),"")</f>
        <v/>
      </c>
    </row>
    <row r="475">
      <c r="A475" s="5" t="n"/>
      <c r="B475" s="5" t="n"/>
      <c r="C475" s="52" t="n"/>
      <c r="D475" s="52" t="n"/>
      <c r="E475" s="52" t="n"/>
      <c r="F475" s="52" t="n"/>
      <c r="G475" s="52" t="n"/>
      <c r="H475" s="52" t="n"/>
      <c r="I475" s="52" t="n"/>
      <c r="J475" s="52" t="n"/>
      <c r="K475" s="54" t="n"/>
      <c r="L475" s="5" t="n"/>
      <c r="M475" s="53">
        <f>IF(A475="","",IFERROR(INDEX(Firms!$B$5:$B$1004,MATCH(A475,Firms!$A$5:$A$1004,0)),"Not on Firms tab"))</f>
        <v/>
      </c>
      <c r="N475">
        <f>IF(AND(A475&lt;&gt;"",A475='Firm Search'!$C$7),COUNTIF($A$5:A475,'Firm Search'!$C$7),"")</f>
        <v/>
      </c>
    </row>
    <row r="476">
      <c r="A476" s="5" t="n"/>
      <c r="B476" s="5" t="n"/>
      <c r="C476" s="52" t="n"/>
      <c r="D476" s="52" t="n"/>
      <c r="E476" s="52" t="n"/>
      <c r="F476" s="52" t="n"/>
      <c r="G476" s="52" t="n"/>
      <c r="H476" s="52" t="n"/>
      <c r="I476" s="52" t="n"/>
      <c r="J476" s="52" t="n"/>
      <c r="K476" s="54" t="n"/>
      <c r="L476" s="5" t="n"/>
      <c r="M476" s="53">
        <f>IF(A476="","",IFERROR(INDEX(Firms!$B$5:$B$1004,MATCH(A476,Firms!$A$5:$A$1004,0)),"Not on Firms tab"))</f>
        <v/>
      </c>
      <c r="N476">
        <f>IF(AND(A476&lt;&gt;"",A476='Firm Search'!$C$7),COUNTIF($A$5:A476,'Firm Search'!$C$7),"")</f>
        <v/>
      </c>
    </row>
    <row r="477">
      <c r="A477" s="5" t="n"/>
      <c r="B477" s="5" t="n"/>
      <c r="C477" s="52" t="n"/>
      <c r="D477" s="52" t="n"/>
      <c r="E477" s="52" t="n"/>
      <c r="F477" s="52" t="n"/>
      <c r="G477" s="52" t="n"/>
      <c r="H477" s="52" t="n"/>
      <c r="I477" s="52" t="n"/>
      <c r="J477" s="52" t="n"/>
      <c r="K477" s="54" t="n"/>
      <c r="L477" s="5" t="n"/>
      <c r="M477" s="53">
        <f>IF(A477="","",IFERROR(INDEX(Firms!$B$5:$B$1004,MATCH(A477,Firms!$A$5:$A$1004,0)),"Not on Firms tab"))</f>
        <v/>
      </c>
      <c r="N477">
        <f>IF(AND(A477&lt;&gt;"",A477='Firm Search'!$C$7),COUNTIF($A$5:A477,'Firm Search'!$C$7),"")</f>
        <v/>
      </c>
    </row>
    <row r="478">
      <c r="A478" s="5" t="n"/>
      <c r="B478" s="5" t="n"/>
      <c r="C478" s="52" t="n"/>
      <c r="D478" s="52" t="n"/>
      <c r="E478" s="52" t="n"/>
      <c r="F478" s="52" t="n"/>
      <c r="G478" s="52" t="n"/>
      <c r="H478" s="52" t="n"/>
      <c r="I478" s="52" t="n"/>
      <c r="J478" s="52" t="n"/>
      <c r="K478" s="54" t="n"/>
      <c r="L478" s="5" t="n"/>
      <c r="M478" s="53">
        <f>IF(A478="","",IFERROR(INDEX(Firms!$B$5:$B$1004,MATCH(A478,Firms!$A$5:$A$1004,0)),"Not on Firms tab"))</f>
        <v/>
      </c>
      <c r="N478">
        <f>IF(AND(A478&lt;&gt;"",A478='Firm Search'!$C$7),COUNTIF($A$5:A478,'Firm Search'!$C$7),"")</f>
        <v/>
      </c>
    </row>
    <row r="479">
      <c r="A479" s="5" t="n"/>
      <c r="B479" s="5" t="n"/>
      <c r="C479" s="52" t="n"/>
      <c r="D479" s="52" t="n"/>
      <c r="E479" s="52" t="n"/>
      <c r="F479" s="52" t="n"/>
      <c r="G479" s="52" t="n"/>
      <c r="H479" s="52" t="n"/>
      <c r="I479" s="52" t="n"/>
      <c r="J479" s="52" t="n"/>
      <c r="K479" s="54" t="n"/>
      <c r="L479" s="5" t="n"/>
      <c r="M479" s="53">
        <f>IF(A479="","",IFERROR(INDEX(Firms!$B$5:$B$1004,MATCH(A479,Firms!$A$5:$A$1004,0)),"Not on Firms tab"))</f>
        <v/>
      </c>
      <c r="N479">
        <f>IF(AND(A479&lt;&gt;"",A479='Firm Search'!$C$7),COUNTIF($A$5:A479,'Firm Search'!$C$7),"")</f>
        <v/>
      </c>
    </row>
    <row r="480">
      <c r="A480" s="5" t="n"/>
      <c r="B480" s="5" t="n"/>
      <c r="C480" s="52" t="n"/>
      <c r="D480" s="52" t="n"/>
      <c r="E480" s="52" t="n"/>
      <c r="F480" s="52" t="n"/>
      <c r="G480" s="52" t="n"/>
      <c r="H480" s="52" t="n"/>
      <c r="I480" s="52" t="n"/>
      <c r="J480" s="52" t="n"/>
      <c r="K480" s="54" t="n"/>
      <c r="L480" s="5" t="n"/>
      <c r="M480" s="53">
        <f>IF(A480="","",IFERROR(INDEX(Firms!$B$5:$B$1004,MATCH(A480,Firms!$A$5:$A$1004,0)),"Not on Firms tab"))</f>
        <v/>
      </c>
      <c r="N480">
        <f>IF(AND(A480&lt;&gt;"",A480='Firm Search'!$C$7),COUNTIF($A$5:A480,'Firm Search'!$C$7),"")</f>
        <v/>
      </c>
    </row>
    <row r="481">
      <c r="A481" s="5" t="n"/>
      <c r="B481" s="5" t="n"/>
      <c r="C481" s="52" t="n"/>
      <c r="D481" s="52" t="n"/>
      <c r="E481" s="52" t="n"/>
      <c r="F481" s="52" t="n"/>
      <c r="G481" s="52" t="n"/>
      <c r="H481" s="52" t="n"/>
      <c r="I481" s="52" t="n"/>
      <c r="J481" s="52" t="n"/>
      <c r="K481" s="54" t="n"/>
      <c r="L481" s="5" t="n"/>
      <c r="M481" s="53">
        <f>IF(A481="","",IFERROR(INDEX(Firms!$B$5:$B$1004,MATCH(A481,Firms!$A$5:$A$1004,0)),"Not on Firms tab"))</f>
        <v/>
      </c>
      <c r="N481">
        <f>IF(AND(A481&lt;&gt;"",A481='Firm Search'!$C$7),COUNTIF($A$5:A481,'Firm Search'!$C$7),"")</f>
        <v/>
      </c>
    </row>
    <row r="482">
      <c r="A482" s="5" t="n"/>
      <c r="B482" s="5" t="n"/>
      <c r="C482" s="52" t="n"/>
      <c r="D482" s="52" t="n"/>
      <c r="E482" s="52" t="n"/>
      <c r="F482" s="52" t="n"/>
      <c r="G482" s="52" t="n"/>
      <c r="H482" s="52" t="n"/>
      <c r="I482" s="52" t="n"/>
      <c r="J482" s="52" t="n"/>
      <c r="K482" s="54" t="n"/>
      <c r="L482" s="5" t="n"/>
      <c r="M482" s="53">
        <f>IF(A482="","",IFERROR(INDEX(Firms!$B$5:$B$1004,MATCH(A482,Firms!$A$5:$A$1004,0)),"Not on Firms tab"))</f>
        <v/>
      </c>
      <c r="N482">
        <f>IF(AND(A482&lt;&gt;"",A482='Firm Search'!$C$7),COUNTIF($A$5:A482,'Firm Search'!$C$7),"")</f>
        <v/>
      </c>
    </row>
    <row r="483">
      <c r="A483" s="5" t="n"/>
      <c r="B483" s="5" t="n"/>
      <c r="C483" s="52" t="n"/>
      <c r="D483" s="52" t="n"/>
      <c r="E483" s="52" t="n"/>
      <c r="F483" s="52" t="n"/>
      <c r="G483" s="52" t="n"/>
      <c r="H483" s="52" t="n"/>
      <c r="I483" s="52" t="n"/>
      <c r="J483" s="52" t="n"/>
      <c r="K483" s="54" t="n"/>
      <c r="L483" s="5" t="n"/>
      <c r="M483" s="53">
        <f>IF(A483="","",IFERROR(INDEX(Firms!$B$5:$B$1004,MATCH(A483,Firms!$A$5:$A$1004,0)),"Not on Firms tab"))</f>
        <v/>
      </c>
      <c r="N483">
        <f>IF(AND(A483&lt;&gt;"",A483='Firm Search'!$C$7),COUNTIF($A$5:A483,'Firm Search'!$C$7),"")</f>
        <v/>
      </c>
    </row>
    <row r="484">
      <c r="A484" s="5" t="n"/>
      <c r="B484" s="5" t="n"/>
      <c r="C484" s="52" t="n"/>
      <c r="D484" s="52" t="n"/>
      <c r="E484" s="52" t="n"/>
      <c r="F484" s="52" t="n"/>
      <c r="G484" s="52" t="n"/>
      <c r="H484" s="52" t="n"/>
      <c r="I484" s="52" t="n"/>
      <c r="J484" s="52" t="n"/>
      <c r="K484" s="54" t="n"/>
      <c r="L484" s="5" t="n"/>
      <c r="M484" s="53">
        <f>IF(A484="","",IFERROR(INDEX(Firms!$B$5:$B$1004,MATCH(A484,Firms!$A$5:$A$1004,0)),"Not on Firms tab"))</f>
        <v/>
      </c>
      <c r="N484">
        <f>IF(AND(A484&lt;&gt;"",A484='Firm Search'!$C$7),COUNTIF($A$5:A484,'Firm Search'!$C$7),"")</f>
        <v/>
      </c>
    </row>
    <row r="485">
      <c r="A485" s="5" t="n"/>
      <c r="B485" s="5" t="n"/>
      <c r="C485" s="52" t="n"/>
      <c r="D485" s="52" t="n"/>
      <c r="E485" s="52" t="n"/>
      <c r="F485" s="52" t="n"/>
      <c r="G485" s="52" t="n"/>
      <c r="H485" s="52" t="n"/>
      <c r="I485" s="52" t="n"/>
      <c r="J485" s="52" t="n"/>
      <c r="K485" s="54" t="n"/>
      <c r="L485" s="5" t="n"/>
      <c r="M485" s="53">
        <f>IF(A485="","",IFERROR(INDEX(Firms!$B$5:$B$1004,MATCH(A485,Firms!$A$5:$A$1004,0)),"Not on Firms tab"))</f>
        <v/>
      </c>
      <c r="N485">
        <f>IF(AND(A485&lt;&gt;"",A485='Firm Search'!$C$7),COUNTIF($A$5:A485,'Firm Search'!$C$7),"")</f>
        <v/>
      </c>
    </row>
    <row r="486">
      <c r="A486" s="5" t="n"/>
      <c r="B486" s="5" t="n"/>
      <c r="C486" s="52" t="n"/>
      <c r="D486" s="52" t="n"/>
      <c r="E486" s="52" t="n"/>
      <c r="F486" s="52" t="n"/>
      <c r="G486" s="52" t="n"/>
      <c r="H486" s="52" t="n"/>
      <c r="I486" s="52" t="n"/>
      <c r="J486" s="52" t="n"/>
      <c r="K486" s="54" t="n"/>
      <c r="L486" s="5" t="n"/>
      <c r="M486" s="53">
        <f>IF(A486="","",IFERROR(INDEX(Firms!$B$5:$B$1004,MATCH(A486,Firms!$A$5:$A$1004,0)),"Not on Firms tab"))</f>
        <v/>
      </c>
      <c r="N486">
        <f>IF(AND(A486&lt;&gt;"",A486='Firm Search'!$C$7),COUNTIF($A$5:A486,'Firm Search'!$C$7),"")</f>
        <v/>
      </c>
    </row>
    <row r="487">
      <c r="A487" s="5" t="n"/>
      <c r="B487" s="5" t="n"/>
      <c r="C487" s="52" t="n"/>
      <c r="D487" s="52" t="n"/>
      <c r="E487" s="52" t="n"/>
      <c r="F487" s="52" t="n"/>
      <c r="G487" s="52" t="n"/>
      <c r="H487" s="52" t="n"/>
      <c r="I487" s="52" t="n"/>
      <c r="J487" s="52" t="n"/>
      <c r="K487" s="54" t="n"/>
      <c r="L487" s="5" t="n"/>
      <c r="M487" s="53">
        <f>IF(A487="","",IFERROR(INDEX(Firms!$B$5:$B$1004,MATCH(A487,Firms!$A$5:$A$1004,0)),"Not on Firms tab"))</f>
        <v/>
      </c>
      <c r="N487">
        <f>IF(AND(A487&lt;&gt;"",A487='Firm Search'!$C$7),COUNTIF($A$5:A487,'Firm Search'!$C$7),"")</f>
        <v/>
      </c>
    </row>
    <row r="488">
      <c r="A488" s="5" t="n"/>
      <c r="B488" s="5" t="n"/>
      <c r="C488" s="52" t="n"/>
      <c r="D488" s="52" t="n"/>
      <c r="E488" s="52" t="n"/>
      <c r="F488" s="52" t="n"/>
      <c r="G488" s="52" t="n"/>
      <c r="H488" s="52" t="n"/>
      <c r="I488" s="52" t="n"/>
      <c r="J488" s="52" t="n"/>
      <c r="K488" s="54" t="n"/>
      <c r="L488" s="5" t="n"/>
      <c r="M488" s="53">
        <f>IF(A488="","",IFERROR(INDEX(Firms!$B$5:$B$1004,MATCH(A488,Firms!$A$5:$A$1004,0)),"Not on Firms tab"))</f>
        <v/>
      </c>
      <c r="N488">
        <f>IF(AND(A488&lt;&gt;"",A488='Firm Search'!$C$7),COUNTIF($A$5:A488,'Firm Search'!$C$7),"")</f>
        <v/>
      </c>
    </row>
    <row r="489">
      <c r="A489" s="5" t="n"/>
      <c r="B489" s="5" t="n"/>
      <c r="C489" s="52" t="n"/>
      <c r="D489" s="52" t="n"/>
      <c r="E489" s="52" t="n"/>
      <c r="F489" s="52" t="n"/>
      <c r="G489" s="52" t="n"/>
      <c r="H489" s="52" t="n"/>
      <c r="I489" s="52" t="n"/>
      <c r="J489" s="52" t="n"/>
      <c r="K489" s="54" t="n"/>
      <c r="L489" s="5" t="n"/>
      <c r="M489" s="53">
        <f>IF(A489="","",IFERROR(INDEX(Firms!$B$5:$B$1004,MATCH(A489,Firms!$A$5:$A$1004,0)),"Not on Firms tab"))</f>
        <v/>
      </c>
      <c r="N489">
        <f>IF(AND(A489&lt;&gt;"",A489='Firm Search'!$C$7),COUNTIF($A$5:A489,'Firm Search'!$C$7),"")</f>
        <v/>
      </c>
    </row>
    <row r="490">
      <c r="A490" s="5" t="n"/>
      <c r="B490" s="5" t="n"/>
      <c r="C490" s="52" t="n"/>
      <c r="D490" s="52" t="n"/>
      <c r="E490" s="52" t="n"/>
      <c r="F490" s="52" t="n"/>
      <c r="G490" s="52" t="n"/>
      <c r="H490" s="52" t="n"/>
      <c r="I490" s="52" t="n"/>
      <c r="J490" s="52" t="n"/>
      <c r="K490" s="54" t="n"/>
      <c r="L490" s="5" t="n"/>
      <c r="M490" s="53">
        <f>IF(A490="","",IFERROR(INDEX(Firms!$B$5:$B$1004,MATCH(A490,Firms!$A$5:$A$1004,0)),"Not on Firms tab"))</f>
        <v/>
      </c>
      <c r="N490">
        <f>IF(AND(A490&lt;&gt;"",A490='Firm Search'!$C$7),COUNTIF($A$5:A490,'Firm Search'!$C$7),"")</f>
        <v/>
      </c>
    </row>
    <row r="491">
      <c r="A491" s="5" t="n"/>
      <c r="B491" s="5" t="n"/>
      <c r="C491" s="52" t="n"/>
      <c r="D491" s="52" t="n"/>
      <c r="E491" s="52" t="n"/>
      <c r="F491" s="52" t="n"/>
      <c r="G491" s="52" t="n"/>
      <c r="H491" s="52" t="n"/>
      <c r="I491" s="52" t="n"/>
      <c r="J491" s="52" t="n"/>
      <c r="K491" s="54" t="n"/>
      <c r="L491" s="5" t="n"/>
      <c r="M491" s="53">
        <f>IF(A491="","",IFERROR(INDEX(Firms!$B$5:$B$1004,MATCH(A491,Firms!$A$5:$A$1004,0)),"Not on Firms tab"))</f>
        <v/>
      </c>
      <c r="N491">
        <f>IF(AND(A491&lt;&gt;"",A491='Firm Search'!$C$7),COUNTIF($A$5:A491,'Firm Search'!$C$7),"")</f>
        <v/>
      </c>
    </row>
    <row r="492">
      <c r="A492" s="5" t="n"/>
      <c r="B492" s="5" t="n"/>
      <c r="C492" s="52" t="n"/>
      <c r="D492" s="52" t="n"/>
      <c r="E492" s="52" t="n"/>
      <c r="F492" s="52" t="n"/>
      <c r="G492" s="52" t="n"/>
      <c r="H492" s="52" t="n"/>
      <c r="I492" s="52" t="n"/>
      <c r="J492" s="52" t="n"/>
      <c r="K492" s="54" t="n"/>
      <c r="L492" s="5" t="n"/>
      <c r="M492" s="53">
        <f>IF(A492="","",IFERROR(INDEX(Firms!$B$5:$B$1004,MATCH(A492,Firms!$A$5:$A$1004,0)),"Not on Firms tab"))</f>
        <v/>
      </c>
      <c r="N492">
        <f>IF(AND(A492&lt;&gt;"",A492='Firm Search'!$C$7),COUNTIF($A$5:A492,'Firm Search'!$C$7),"")</f>
        <v/>
      </c>
    </row>
    <row r="493">
      <c r="A493" s="5" t="n"/>
      <c r="B493" s="5" t="n"/>
      <c r="C493" s="52" t="n"/>
      <c r="D493" s="52" t="n"/>
      <c r="E493" s="52" t="n"/>
      <c r="F493" s="52" t="n"/>
      <c r="G493" s="52" t="n"/>
      <c r="H493" s="52" t="n"/>
      <c r="I493" s="52" t="n"/>
      <c r="J493" s="52" t="n"/>
      <c r="K493" s="54" t="n"/>
      <c r="L493" s="5" t="n"/>
      <c r="M493" s="53">
        <f>IF(A493="","",IFERROR(INDEX(Firms!$B$5:$B$1004,MATCH(A493,Firms!$A$5:$A$1004,0)),"Not on Firms tab"))</f>
        <v/>
      </c>
      <c r="N493">
        <f>IF(AND(A493&lt;&gt;"",A493='Firm Search'!$C$7),COUNTIF($A$5:A493,'Firm Search'!$C$7),"")</f>
        <v/>
      </c>
    </row>
    <row r="494">
      <c r="A494" s="5" t="n"/>
      <c r="B494" s="5" t="n"/>
      <c r="C494" s="52" t="n"/>
      <c r="D494" s="52" t="n"/>
      <c r="E494" s="52" t="n"/>
      <c r="F494" s="52" t="n"/>
      <c r="G494" s="52" t="n"/>
      <c r="H494" s="52" t="n"/>
      <c r="I494" s="52" t="n"/>
      <c r="J494" s="52" t="n"/>
      <c r="K494" s="54" t="n"/>
      <c r="L494" s="5" t="n"/>
      <c r="M494" s="53">
        <f>IF(A494="","",IFERROR(INDEX(Firms!$B$5:$B$1004,MATCH(A494,Firms!$A$5:$A$1004,0)),"Not on Firms tab"))</f>
        <v/>
      </c>
      <c r="N494">
        <f>IF(AND(A494&lt;&gt;"",A494='Firm Search'!$C$7),COUNTIF($A$5:A494,'Firm Search'!$C$7),"")</f>
        <v/>
      </c>
    </row>
    <row r="495">
      <c r="A495" s="5" t="n"/>
      <c r="B495" s="5" t="n"/>
      <c r="C495" s="52" t="n"/>
      <c r="D495" s="52" t="n"/>
      <c r="E495" s="52" t="n"/>
      <c r="F495" s="52" t="n"/>
      <c r="G495" s="52" t="n"/>
      <c r="H495" s="52" t="n"/>
      <c r="I495" s="52" t="n"/>
      <c r="J495" s="52" t="n"/>
      <c r="K495" s="54" t="n"/>
      <c r="L495" s="5" t="n"/>
      <c r="M495" s="53">
        <f>IF(A495="","",IFERROR(INDEX(Firms!$B$5:$B$1004,MATCH(A495,Firms!$A$5:$A$1004,0)),"Not on Firms tab"))</f>
        <v/>
      </c>
      <c r="N495">
        <f>IF(AND(A495&lt;&gt;"",A495='Firm Search'!$C$7),COUNTIF($A$5:A495,'Firm Search'!$C$7),"")</f>
        <v/>
      </c>
    </row>
    <row r="496">
      <c r="A496" s="5" t="n"/>
      <c r="B496" s="5" t="n"/>
      <c r="C496" s="52" t="n"/>
      <c r="D496" s="52" t="n"/>
      <c r="E496" s="52" t="n"/>
      <c r="F496" s="52" t="n"/>
      <c r="G496" s="52" t="n"/>
      <c r="H496" s="52" t="n"/>
      <c r="I496" s="52" t="n"/>
      <c r="J496" s="52" t="n"/>
      <c r="K496" s="54" t="n"/>
      <c r="L496" s="5" t="n"/>
      <c r="M496" s="53">
        <f>IF(A496="","",IFERROR(INDEX(Firms!$B$5:$B$1004,MATCH(A496,Firms!$A$5:$A$1004,0)),"Not on Firms tab"))</f>
        <v/>
      </c>
      <c r="N496">
        <f>IF(AND(A496&lt;&gt;"",A496='Firm Search'!$C$7),COUNTIF($A$5:A496,'Firm Search'!$C$7),"")</f>
        <v/>
      </c>
    </row>
    <row r="497">
      <c r="A497" s="5" t="n"/>
      <c r="B497" s="5" t="n"/>
      <c r="C497" s="52" t="n"/>
      <c r="D497" s="52" t="n"/>
      <c r="E497" s="52" t="n"/>
      <c r="F497" s="52" t="n"/>
      <c r="G497" s="52" t="n"/>
      <c r="H497" s="52" t="n"/>
      <c r="I497" s="52" t="n"/>
      <c r="J497" s="52" t="n"/>
      <c r="K497" s="54" t="n"/>
      <c r="L497" s="5" t="n"/>
      <c r="M497" s="53">
        <f>IF(A497="","",IFERROR(INDEX(Firms!$B$5:$B$1004,MATCH(A497,Firms!$A$5:$A$1004,0)),"Not on Firms tab"))</f>
        <v/>
      </c>
      <c r="N497">
        <f>IF(AND(A497&lt;&gt;"",A497='Firm Search'!$C$7),COUNTIF($A$5:A497,'Firm Search'!$C$7),"")</f>
        <v/>
      </c>
    </row>
    <row r="498">
      <c r="A498" s="5" t="n"/>
      <c r="B498" s="5" t="n"/>
      <c r="C498" s="52" t="n"/>
      <c r="D498" s="52" t="n"/>
      <c r="E498" s="52" t="n"/>
      <c r="F498" s="52" t="n"/>
      <c r="G498" s="52" t="n"/>
      <c r="H498" s="52" t="n"/>
      <c r="I498" s="52" t="n"/>
      <c r="J498" s="52" t="n"/>
      <c r="K498" s="54" t="n"/>
      <c r="L498" s="5" t="n"/>
      <c r="M498" s="53">
        <f>IF(A498="","",IFERROR(INDEX(Firms!$B$5:$B$1004,MATCH(A498,Firms!$A$5:$A$1004,0)),"Not on Firms tab"))</f>
        <v/>
      </c>
      <c r="N498">
        <f>IF(AND(A498&lt;&gt;"",A498='Firm Search'!$C$7),COUNTIF($A$5:A498,'Firm Search'!$C$7),"")</f>
        <v/>
      </c>
    </row>
    <row r="499">
      <c r="A499" s="5" t="n"/>
      <c r="B499" s="5" t="n"/>
      <c r="C499" s="52" t="n"/>
      <c r="D499" s="52" t="n"/>
      <c r="E499" s="52" t="n"/>
      <c r="F499" s="52" t="n"/>
      <c r="G499" s="52" t="n"/>
      <c r="H499" s="52" t="n"/>
      <c r="I499" s="52" t="n"/>
      <c r="J499" s="52" t="n"/>
      <c r="K499" s="54" t="n"/>
      <c r="L499" s="5" t="n"/>
      <c r="M499" s="53">
        <f>IF(A499="","",IFERROR(INDEX(Firms!$B$5:$B$1004,MATCH(A499,Firms!$A$5:$A$1004,0)),"Not on Firms tab"))</f>
        <v/>
      </c>
      <c r="N499">
        <f>IF(AND(A499&lt;&gt;"",A499='Firm Search'!$C$7),COUNTIF($A$5:A499,'Firm Search'!$C$7),"")</f>
        <v/>
      </c>
    </row>
    <row r="500">
      <c r="A500" s="5" t="n"/>
      <c r="B500" s="5" t="n"/>
      <c r="C500" s="52" t="n"/>
      <c r="D500" s="52" t="n"/>
      <c r="E500" s="52" t="n"/>
      <c r="F500" s="52" t="n"/>
      <c r="G500" s="52" t="n"/>
      <c r="H500" s="52" t="n"/>
      <c r="I500" s="52" t="n"/>
      <c r="J500" s="52" t="n"/>
      <c r="K500" s="54" t="n"/>
      <c r="L500" s="5" t="n"/>
      <c r="M500" s="53">
        <f>IF(A500="","",IFERROR(INDEX(Firms!$B$5:$B$1004,MATCH(A500,Firms!$A$5:$A$1004,0)),"Not on Firms tab"))</f>
        <v/>
      </c>
      <c r="N500">
        <f>IF(AND(A500&lt;&gt;"",A500='Firm Search'!$C$7),COUNTIF($A$5:A500,'Firm Search'!$C$7),"")</f>
        <v/>
      </c>
    </row>
    <row r="501">
      <c r="A501" s="5" t="n"/>
      <c r="B501" s="5" t="n"/>
      <c r="C501" s="52" t="n"/>
      <c r="D501" s="52" t="n"/>
      <c r="E501" s="52" t="n"/>
      <c r="F501" s="52" t="n"/>
      <c r="G501" s="52" t="n"/>
      <c r="H501" s="52" t="n"/>
      <c r="I501" s="52" t="n"/>
      <c r="J501" s="52" t="n"/>
      <c r="K501" s="54" t="n"/>
      <c r="L501" s="5" t="n"/>
      <c r="M501" s="53">
        <f>IF(A501="","",IFERROR(INDEX(Firms!$B$5:$B$1004,MATCH(A501,Firms!$A$5:$A$1004,0)),"Not on Firms tab"))</f>
        <v/>
      </c>
      <c r="N501">
        <f>IF(AND(A501&lt;&gt;"",A501='Firm Search'!$C$7),COUNTIF($A$5:A501,'Firm Search'!$C$7),"")</f>
        <v/>
      </c>
    </row>
    <row r="502">
      <c r="A502" s="5" t="n"/>
      <c r="B502" s="5" t="n"/>
      <c r="C502" s="52" t="n"/>
      <c r="D502" s="52" t="n"/>
      <c r="E502" s="52" t="n"/>
      <c r="F502" s="52" t="n"/>
      <c r="G502" s="52" t="n"/>
      <c r="H502" s="52" t="n"/>
      <c r="I502" s="52" t="n"/>
      <c r="J502" s="52" t="n"/>
      <c r="K502" s="54" t="n"/>
      <c r="L502" s="5" t="n"/>
      <c r="M502" s="53">
        <f>IF(A502="","",IFERROR(INDEX(Firms!$B$5:$B$1004,MATCH(A502,Firms!$A$5:$A$1004,0)),"Not on Firms tab"))</f>
        <v/>
      </c>
      <c r="N502">
        <f>IF(AND(A502&lt;&gt;"",A502='Firm Search'!$C$7),COUNTIF($A$5:A502,'Firm Search'!$C$7),"")</f>
        <v/>
      </c>
    </row>
    <row r="503">
      <c r="A503" s="5" t="n"/>
      <c r="B503" s="5" t="n"/>
      <c r="C503" s="52" t="n"/>
      <c r="D503" s="52" t="n"/>
      <c r="E503" s="52" t="n"/>
      <c r="F503" s="52" t="n"/>
      <c r="G503" s="52" t="n"/>
      <c r="H503" s="52" t="n"/>
      <c r="I503" s="52" t="n"/>
      <c r="J503" s="52" t="n"/>
      <c r="K503" s="54" t="n"/>
      <c r="L503" s="5" t="n"/>
      <c r="M503" s="53">
        <f>IF(A503="","",IFERROR(INDEX(Firms!$B$5:$B$1004,MATCH(A503,Firms!$A$5:$A$1004,0)),"Not on Firms tab"))</f>
        <v/>
      </c>
      <c r="N503">
        <f>IF(AND(A503&lt;&gt;"",A503='Firm Search'!$C$7),COUNTIF($A$5:A503,'Firm Search'!$C$7),"")</f>
        <v/>
      </c>
    </row>
    <row r="504">
      <c r="A504" s="5" t="n"/>
      <c r="B504" s="5" t="n"/>
      <c r="C504" s="52" t="n"/>
      <c r="D504" s="52" t="n"/>
      <c r="E504" s="52" t="n"/>
      <c r="F504" s="52" t="n"/>
      <c r="G504" s="52" t="n"/>
      <c r="H504" s="52" t="n"/>
      <c r="I504" s="52" t="n"/>
      <c r="J504" s="52" t="n"/>
      <c r="K504" s="54" t="n"/>
      <c r="L504" s="5" t="n"/>
      <c r="M504" s="53">
        <f>IF(A504="","",IFERROR(INDEX(Firms!$B$5:$B$1004,MATCH(A504,Firms!$A$5:$A$1004,0)),"Not on Firms tab"))</f>
        <v/>
      </c>
      <c r="N504">
        <f>IF(AND(A504&lt;&gt;"",A504='Firm Search'!$C$7),COUNTIF($A$5:A504,'Firm Search'!$C$7),"")</f>
        <v/>
      </c>
    </row>
    <row r="505">
      <c r="A505" s="5" t="n"/>
      <c r="B505" s="5" t="n"/>
      <c r="C505" s="52" t="n"/>
      <c r="D505" s="52" t="n"/>
      <c r="E505" s="52" t="n"/>
      <c r="F505" s="52" t="n"/>
      <c r="G505" s="52" t="n"/>
      <c r="H505" s="52" t="n"/>
      <c r="I505" s="52" t="n"/>
      <c r="J505" s="52" t="n"/>
      <c r="K505" s="54" t="n"/>
      <c r="L505" s="5" t="n"/>
      <c r="M505" s="53">
        <f>IF(A505="","",IFERROR(INDEX(Firms!$B$5:$B$1004,MATCH(A505,Firms!$A$5:$A$1004,0)),"Not on Firms tab"))</f>
        <v/>
      </c>
      <c r="N505">
        <f>IF(AND(A505&lt;&gt;"",A505='Firm Search'!$C$7),COUNTIF($A$5:A505,'Firm Search'!$C$7),"")</f>
        <v/>
      </c>
    </row>
    <row r="506">
      <c r="A506" s="5" t="n"/>
      <c r="B506" s="5" t="n"/>
      <c r="C506" s="52" t="n"/>
      <c r="D506" s="52" t="n"/>
      <c r="E506" s="52" t="n"/>
      <c r="F506" s="52" t="n"/>
      <c r="G506" s="52" t="n"/>
      <c r="H506" s="52" t="n"/>
      <c r="I506" s="52" t="n"/>
      <c r="J506" s="52" t="n"/>
      <c r="K506" s="54" t="n"/>
      <c r="L506" s="5" t="n"/>
      <c r="M506" s="53">
        <f>IF(A506="","",IFERROR(INDEX(Firms!$B$5:$B$1004,MATCH(A506,Firms!$A$5:$A$1004,0)),"Not on Firms tab"))</f>
        <v/>
      </c>
      <c r="N506">
        <f>IF(AND(A506&lt;&gt;"",A506='Firm Search'!$C$7),COUNTIF($A$5:A506,'Firm Search'!$C$7),"")</f>
        <v/>
      </c>
    </row>
    <row r="507">
      <c r="A507" s="5" t="n"/>
      <c r="B507" s="5" t="n"/>
      <c r="C507" s="52" t="n"/>
      <c r="D507" s="52" t="n"/>
      <c r="E507" s="52" t="n"/>
      <c r="F507" s="52" t="n"/>
      <c r="G507" s="52" t="n"/>
      <c r="H507" s="52" t="n"/>
      <c r="I507" s="52" t="n"/>
      <c r="J507" s="52" t="n"/>
      <c r="K507" s="54" t="n"/>
      <c r="L507" s="5" t="n"/>
      <c r="M507" s="53">
        <f>IF(A507="","",IFERROR(INDEX(Firms!$B$5:$B$1004,MATCH(A507,Firms!$A$5:$A$1004,0)),"Not on Firms tab"))</f>
        <v/>
      </c>
      <c r="N507">
        <f>IF(AND(A507&lt;&gt;"",A507='Firm Search'!$C$7),COUNTIF($A$5:A507,'Firm Search'!$C$7),"")</f>
        <v/>
      </c>
    </row>
    <row r="508">
      <c r="A508" s="5" t="n"/>
      <c r="B508" s="5" t="n"/>
      <c r="C508" s="52" t="n"/>
      <c r="D508" s="52" t="n"/>
      <c r="E508" s="52" t="n"/>
      <c r="F508" s="52" t="n"/>
      <c r="G508" s="52" t="n"/>
      <c r="H508" s="52" t="n"/>
      <c r="I508" s="52" t="n"/>
      <c r="J508" s="52" t="n"/>
      <c r="K508" s="54" t="n"/>
      <c r="L508" s="5" t="n"/>
      <c r="M508" s="53">
        <f>IF(A508="","",IFERROR(INDEX(Firms!$B$5:$B$1004,MATCH(A508,Firms!$A$5:$A$1004,0)),"Not on Firms tab"))</f>
        <v/>
      </c>
      <c r="N508">
        <f>IF(AND(A508&lt;&gt;"",A508='Firm Search'!$C$7),COUNTIF($A$5:A508,'Firm Search'!$C$7),"")</f>
        <v/>
      </c>
    </row>
    <row r="509">
      <c r="A509" s="5" t="n"/>
      <c r="B509" s="5" t="n"/>
      <c r="C509" s="52" t="n"/>
      <c r="D509" s="52" t="n"/>
      <c r="E509" s="52" t="n"/>
      <c r="F509" s="52" t="n"/>
      <c r="G509" s="52" t="n"/>
      <c r="H509" s="52" t="n"/>
      <c r="I509" s="52" t="n"/>
      <c r="J509" s="52" t="n"/>
      <c r="K509" s="54" t="n"/>
      <c r="L509" s="5" t="n"/>
      <c r="M509" s="53">
        <f>IF(A509="","",IFERROR(INDEX(Firms!$B$5:$B$1004,MATCH(A509,Firms!$A$5:$A$1004,0)),"Not on Firms tab"))</f>
        <v/>
      </c>
      <c r="N509">
        <f>IF(AND(A509&lt;&gt;"",A509='Firm Search'!$C$7),COUNTIF($A$5:A509,'Firm Search'!$C$7),"")</f>
        <v/>
      </c>
    </row>
    <row r="510">
      <c r="A510" s="5" t="n"/>
      <c r="B510" s="5" t="n"/>
      <c r="C510" s="52" t="n"/>
      <c r="D510" s="52" t="n"/>
      <c r="E510" s="52" t="n"/>
      <c r="F510" s="52" t="n"/>
      <c r="G510" s="52" t="n"/>
      <c r="H510" s="52" t="n"/>
      <c r="I510" s="52" t="n"/>
      <c r="J510" s="52" t="n"/>
      <c r="K510" s="54" t="n"/>
      <c r="L510" s="5" t="n"/>
      <c r="M510" s="53">
        <f>IF(A510="","",IFERROR(INDEX(Firms!$B$5:$B$1004,MATCH(A510,Firms!$A$5:$A$1004,0)),"Not on Firms tab"))</f>
        <v/>
      </c>
      <c r="N510">
        <f>IF(AND(A510&lt;&gt;"",A510='Firm Search'!$C$7),COUNTIF($A$5:A510,'Firm Search'!$C$7),"")</f>
        <v/>
      </c>
    </row>
    <row r="511">
      <c r="A511" s="5" t="n"/>
      <c r="B511" s="5" t="n"/>
      <c r="C511" s="52" t="n"/>
      <c r="D511" s="52" t="n"/>
      <c r="E511" s="52" t="n"/>
      <c r="F511" s="52" t="n"/>
      <c r="G511" s="52" t="n"/>
      <c r="H511" s="52" t="n"/>
      <c r="I511" s="52" t="n"/>
      <c r="J511" s="52" t="n"/>
      <c r="K511" s="54" t="n"/>
      <c r="L511" s="5" t="n"/>
      <c r="M511" s="53">
        <f>IF(A511="","",IFERROR(INDEX(Firms!$B$5:$B$1004,MATCH(A511,Firms!$A$5:$A$1004,0)),"Not on Firms tab"))</f>
        <v/>
      </c>
      <c r="N511">
        <f>IF(AND(A511&lt;&gt;"",A511='Firm Search'!$C$7),COUNTIF($A$5:A511,'Firm Search'!$C$7),"")</f>
        <v/>
      </c>
    </row>
    <row r="512">
      <c r="A512" s="5" t="n"/>
      <c r="B512" s="5" t="n"/>
      <c r="C512" s="52" t="n"/>
      <c r="D512" s="52" t="n"/>
      <c r="E512" s="52" t="n"/>
      <c r="F512" s="52" t="n"/>
      <c r="G512" s="52" t="n"/>
      <c r="H512" s="52" t="n"/>
      <c r="I512" s="52" t="n"/>
      <c r="J512" s="52" t="n"/>
      <c r="K512" s="54" t="n"/>
      <c r="L512" s="5" t="n"/>
      <c r="M512" s="53">
        <f>IF(A512="","",IFERROR(INDEX(Firms!$B$5:$B$1004,MATCH(A512,Firms!$A$5:$A$1004,0)),"Not on Firms tab"))</f>
        <v/>
      </c>
      <c r="N512">
        <f>IF(AND(A512&lt;&gt;"",A512='Firm Search'!$C$7),COUNTIF($A$5:A512,'Firm Search'!$C$7),"")</f>
        <v/>
      </c>
    </row>
    <row r="513">
      <c r="A513" s="5" t="n"/>
      <c r="B513" s="5" t="n"/>
      <c r="C513" s="52" t="n"/>
      <c r="D513" s="52" t="n"/>
      <c r="E513" s="52" t="n"/>
      <c r="F513" s="52" t="n"/>
      <c r="G513" s="52" t="n"/>
      <c r="H513" s="52" t="n"/>
      <c r="I513" s="52" t="n"/>
      <c r="J513" s="52" t="n"/>
      <c r="K513" s="54" t="n"/>
      <c r="L513" s="5" t="n"/>
      <c r="M513" s="53">
        <f>IF(A513="","",IFERROR(INDEX(Firms!$B$5:$B$1004,MATCH(A513,Firms!$A$5:$A$1004,0)),"Not on Firms tab"))</f>
        <v/>
      </c>
      <c r="N513">
        <f>IF(AND(A513&lt;&gt;"",A513='Firm Search'!$C$7),COUNTIF($A$5:A513,'Firm Search'!$C$7),"")</f>
        <v/>
      </c>
    </row>
    <row r="514">
      <c r="A514" s="5" t="n"/>
      <c r="B514" s="5" t="n"/>
      <c r="C514" s="52" t="n"/>
      <c r="D514" s="52" t="n"/>
      <c r="E514" s="52" t="n"/>
      <c r="F514" s="52" t="n"/>
      <c r="G514" s="52" t="n"/>
      <c r="H514" s="52" t="n"/>
      <c r="I514" s="52" t="n"/>
      <c r="J514" s="52" t="n"/>
      <c r="K514" s="54" t="n"/>
      <c r="L514" s="5" t="n"/>
      <c r="M514" s="53">
        <f>IF(A514="","",IFERROR(INDEX(Firms!$B$5:$B$1004,MATCH(A514,Firms!$A$5:$A$1004,0)),"Not on Firms tab"))</f>
        <v/>
      </c>
      <c r="N514">
        <f>IF(AND(A514&lt;&gt;"",A514='Firm Search'!$C$7),COUNTIF($A$5:A514,'Firm Search'!$C$7),"")</f>
        <v/>
      </c>
    </row>
    <row r="515">
      <c r="A515" s="5" t="n"/>
      <c r="B515" s="5" t="n"/>
      <c r="C515" s="52" t="n"/>
      <c r="D515" s="52" t="n"/>
      <c r="E515" s="52" t="n"/>
      <c r="F515" s="52" t="n"/>
      <c r="G515" s="52" t="n"/>
      <c r="H515" s="52" t="n"/>
      <c r="I515" s="52" t="n"/>
      <c r="J515" s="52" t="n"/>
      <c r="K515" s="54" t="n"/>
      <c r="L515" s="5" t="n"/>
      <c r="M515" s="53">
        <f>IF(A515="","",IFERROR(INDEX(Firms!$B$5:$B$1004,MATCH(A515,Firms!$A$5:$A$1004,0)),"Not on Firms tab"))</f>
        <v/>
      </c>
      <c r="N515">
        <f>IF(AND(A515&lt;&gt;"",A515='Firm Search'!$C$7),COUNTIF($A$5:A515,'Firm Search'!$C$7),"")</f>
        <v/>
      </c>
    </row>
    <row r="516">
      <c r="A516" s="5" t="n"/>
      <c r="B516" s="5" t="n"/>
      <c r="C516" s="52" t="n"/>
      <c r="D516" s="52" t="n"/>
      <c r="E516" s="52" t="n"/>
      <c r="F516" s="52" t="n"/>
      <c r="G516" s="52" t="n"/>
      <c r="H516" s="52" t="n"/>
      <c r="I516" s="52" t="n"/>
      <c r="J516" s="52" t="n"/>
      <c r="K516" s="54" t="n"/>
      <c r="L516" s="5" t="n"/>
      <c r="M516" s="53">
        <f>IF(A516="","",IFERROR(INDEX(Firms!$B$5:$B$1004,MATCH(A516,Firms!$A$5:$A$1004,0)),"Not on Firms tab"))</f>
        <v/>
      </c>
      <c r="N516">
        <f>IF(AND(A516&lt;&gt;"",A516='Firm Search'!$C$7),COUNTIF($A$5:A516,'Firm Search'!$C$7),"")</f>
        <v/>
      </c>
    </row>
    <row r="517">
      <c r="A517" s="5" t="n"/>
      <c r="B517" s="5" t="n"/>
      <c r="C517" s="52" t="n"/>
      <c r="D517" s="52" t="n"/>
      <c r="E517" s="52" t="n"/>
      <c r="F517" s="52" t="n"/>
      <c r="G517" s="52" t="n"/>
      <c r="H517" s="52" t="n"/>
      <c r="I517" s="52" t="n"/>
      <c r="J517" s="52" t="n"/>
      <c r="K517" s="54" t="n"/>
      <c r="L517" s="5" t="n"/>
      <c r="M517" s="53">
        <f>IF(A517="","",IFERROR(INDEX(Firms!$B$5:$B$1004,MATCH(A517,Firms!$A$5:$A$1004,0)),"Not on Firms tab"))</f>
        <v/>
      </c>
      <c r="N517">
        <f>IF(AND(A517&lt;&gt;"",A517='Firm Search'!$C$7),COUNTIF($A$5:A517,'Firm Search'!$C$7),"")</f>
        <v/>
      </c>
    </row>
    <row r="518">
      <c r="A518" s="5" t="n"/>
      <c r="B518" s="5" t="n"/>
      <c r="C518" s="52" t="n"/>
      <c r="D518" s="52" t="n"/>
      <c r="E518" s="52" t="n"/>
      <c r="F518" s="52" t="n"/>
      <c r="G518" s="52" t="n"/>
      <c r="H518" s="52" t="n"/>
      <c r="I518" s="52" t="n"/>
      <c r="J518" s="52" t="n"/>
      <c r="K518" s="54" t="n"/>
      <c r="L518" s="5" t="n"/>
      <c r="M518" s="53">
        <f>IF(A518="","",IFERROR(INDEX(Firms!$B$5:$B$1004,MATCH(A518,Firms!$A$5:$A$1004,0)),"Not on Firms tab"))</f>
        <v/>
      </c>
      <c r="N518">
        <f>IF(AND(A518&lt;&gt;"",A518='Firm Search'!$C$7),COUNTIF($A$5:A518,'Firm Search'!$C$7),"")</f>
        <v/>
      </c>
    </row>
    <row r="519">
      <c r="A519" s="5" t="n"/>
      <c r="B519" s="5" t="n"/>
      <c r="C519" s="52" t="n"/>
      <c r="D519" s="52" t="n"/>
      <c r="E519" s="52" t="n"/>
      <c r="F519" s="52" t="n"/>
      <c r="G519" s="52" t="n"/>
      <c r="H519" s="52" t="n"/>
      <c r="I519" s="52" t="n"/>
      <c r="J519" s="52" t="n"/>
      <c r="K519" s="54" t="n"/>
      <c r="L519" s="5" t="n"/>
      <c r="M519" s="53">
        <f>IF(A519="","",IFERROR(INDEX(Firms!$B$5:$B$1004,MATCH(A519,Firms!$A$5:$A$1004,0)),"Not on Firms tab"))</f>
        <v/>
      </c>
      <c r="N519">
        <f>IF(AND(A519&lt;&gt;"",A519='Firm Search'!$C$7),COUNTIF($A$5:A519,'Firm Search'!$C$7),"")</f>
        <v/>
      </c>
    </row>
    <row r="520">
      <c r="A520" s="5" t="n"/>
      <c r="B520" s="5" t="n"/>
      <c r="C520" s="52" t="n"/>
      <c r="D520" s="52" t="n"/>
      <c r="E520" s="52" t="n"/>
      <c r="F520" s="52" t="n"/>
      <c r="G520" s="52" t="n"/>
      <c r="H520" s="52" t="n"/>
      <c r="I520" s="52" t="n"/>
      <c r="J520" s="52" t="n"/>
      <c r="K520" s="54" t="n"/>
      <c r="L520" s="5" t="n"/>
      <c r="M520" s="53">
        <f>IF(A520="","",IFERROR(INDEX(Firms!$B$5:$B$1004,MATCH(A520,Firms!$A$5:$A$1004,0)),"Not on Firms tab"))</f>
        <v/>
      </c>
      <c r="N520">
        <f>IF(AND(A520&lt;&gt;"",A520='Firm Search'!$C$7),COUNTIF($A$5:A520,'Firm Search'!$C$7),"")</f>
        <v/>
      </c>
    </row>
    <row r="521">
      <c r="A521" s="5" t="n"/>
      <c r="B521" s="5" t="n"/>
      <c r="C521" s="52" t="n"/>
      <c r="D521" s="52" t="n"/>
      <c r="E521" s="52" t="n"/>
      <c r="F521" s="52" t="n"/>
      <c r="G521" s="52" t="n"/>
      <c r="H521" s="52" t="n"/>
      <c r="I521" s="52" t="n"/>
      <c r="J521" s="52" t="n"/>
      <c r="K521" s="54" t="n"/>
      <c r="L521" s="5" t="n"/>
      <c r="M521" s="53">
        <f>IF(A521="","",IFERROR(INDEX(Firms!$B$5:$B$1004,MATCH(A521,Firms!$A$5:$A$1004,0)),"Not on Firms tab"))</f>
        <v/>
      </c>
      <c r="N521">
        <f>IF(AND(A521&lt;&gt;"",A521='Firm Search'!$C$7),COUNTIF($A$5:A521,'Firm Search'!$C$7),"")</f>
        <v/>
      </c>
    </row>
    <row r="522">
      <c r="A522" s="5" t="n"/>
      <c r="B522" s="5" t="n"/>
      <c r="C522" s="52" t="n"/>
      <c r="D522" s="52" t="n"/>
      <c r="E522" s="52" t="n"/>
      <c r="F522" s="52" t="n"/>
      <c r="G522" s="52" t="n"/>
      <c r="H522" s="52" t="n"/>
      <c r="I522" s="52" t="n"/>
      <c r="J522" s="52" t="n"/>
      <c r="K522" s="54" t="n"/>
      <c r="L522" s="5" t="n"/>
      <c r="M522" s="53">
        <f>IF(A522="","",IFERROR(INDEX(Firms!$B$5:$B$1004,MATCH(A522,Firms!$A$5:$A$1004,0)),"Not on Firms tab"))</f>
        <v/>
      </c>
      <c r="N522">
        <f>IF(AND(A522&lt;&gt;"",A522='Firm Search'!$C$7),COUNTIF($A$5:A522,'Firm Search'!$C$7),"")</f>
        <v/>
      </c>
    </row>
    <row r="523">
      <c r="A523" s="5" t="n"/>
      <c r="B523" s="5" t="n"/>
      <c r="C523" s="52" t="n"/>
      <c r="D523" s="52" t="n"/>
      <c r="E523" s="52" t="n"/>
      <c r="F523" s="52" t="n"/>
      <c r="G523" s="52" t="n"/>
      <c r="H523" s="52" t="n"/>
      <c r="I523" s="52" t="n"/>
      <c r="J523" s="52" t="n"/>
      <c r="K523" s="54" t="n"/>
      <c r="L523" s="5" t="n"/>
      <c r="M523" s="53">
        <f>IF(A523="","",IFERROR(INDEX(Firms!$B$5:$B$1004,MATCH(A523,Firms!$A$5:$A$1004,0)),"Not on Firms tab"))</f>
        <v/>
      </c>
      <c r="N523">
        <f>IF(AND(A523&lt;&gt;"",A523='Firm Search'!$C$7),COUNTIF($A$5:A523,'Firm Search'!$C$7),"")</f>
        <v/>
      </c>
    </row>
    <row r="524">
      <c r="A524" s="5" t="n"/>
      <c r="B524" s="5" t="n"/>
      <c r="C524" s="52" t="n"/>
      <c r="D524" s="52" t="n"/>
      <c r="E524" s="52" t="n"/>
      <c r="F524" s="52" t="n"/>
      <c r="G524" s="52" t="n"/>
      <c r="H524" s="52" t="n"/>
      <c r="I524" s="52" t="n"/>
      <c r="J524" s="52" t="n"/>
      <c r="K524" s="54" t="n"/>
      <c r="L524" s="5" t="n"/>
      <c r="M524" s="53">
        <f>IF(A524="","",IFERROR(INDEX(Firms!$B$5:$B$1004,MATCH(A524,Firms!$A$5:$A$1004,0)),"Not on Firms tab"))</f>
        <v/>
      </c>
      <c r="N524">
        <f>IF(AND(A524&lt;&gt;"",A524='Firm Search'!$C$7),COUNTIF($A$5:A524,'Firm Search'!$C$7),"")</f>
        <v/>
      </c>
    </row>
    <row r="525">
      <c r="A525" s="5" t="n"/>
      <c r="B525" s="5" t="n"/>
      <c r="C525" s="52" t="n"/>
      <c r="D525" s="52" t="n"/>
      <c r="E525" s="52" t="n"/>
      <c r="F525" s="52" t="n"/>
      <c r="G525" s="52" t="n"/>
      <c r="H525" s="52" t="n"/>
      <c r="I525" s="52" t="n"/>
      <c r="J525" s="52" t="n"/>
      <c r="K525" s="54" t="n"/>
      <c r="L525" s="5" t="n"/>
      <c r="M525" s="53">
        <f>IF(A525="","",IFERROR(INDEX(Firms!$B$5:$B$1004,MATCH(A525,Firms!$A$5:$A$1004,0)),"Not on Firms tab"))</f>
        <v/>
      </c>
      <c r="N525">
        <f>IF(AND(A525&lt;&gt;"",A525='Firm Search'!$C$7),COUNTIF($A$5:A525,'Firm Search'!$C$7),"")</f>
        <v/>
      </c>
    </row>
    <row r="526">
      <c r="A526" s="5" t="n"/>
      <c r="B526" s="5" t="n"/>
      <c r="C526" s="52" t="n"/>
      <c r="D526" s="52" t="n"/>
      <c r="E526" s="52" t="n"/>
      <c r="F526" s="52" t="n"/>
      <c r="G526" s="52" t="n"/>
      <c r="H526" s="52" t="n"/>
      <c r="I526" s="52" t="n"/>
      <c r="J526" s="52" t="n"/>
      <c r="K526" s="54" t="n"/>
      <c r="L526" s="5" t="n"/>
      <c r="M526" s="53">
        <f>IF(A526="","",IFERROR(INDEX(Firms!$B$5:$B$1004,MATCH(A526,Firms!$A$5:$A$1004,0)),"Not on Firms tab"))</f>
        <v/>
      </c>
      <c r="N526">
        <f>IF(AND(A526&lt;&gt;"",A526='Firm Search'!$C$7),COUNTIF($A$5:A526,'Firm Search'!$C$7),"")</f>
        <v/>
      </c>
    </row>
    <row r="527">
      <c r="A527" s="5" t="n"/>
      <c r="B527" s="5" t="n"/>
      <c r="C527" s="52" t="n"/>
      <c r="D527" s="52" t="n"/>
      <c r="E527" s="52" t="n"/>
      <c r="F527" s="52" t="n"/>
      <c r="G527" s="52" t="n"/>
      <c r="H527" s="52" t="n"/>
      <c r="I527" s="52" t="n"/>
      <c r="J527" s="52" t="n"/>
      <c r="K527" s="54" t="n"/>
      <c r="L527" s="5" t="n"/>
      <c r="M527" s="53">
        <f>IF(A527="","",IFERROR(INDEX(Firms!$B$5:$B$1004,MATCH(A527,Firms!$A$5:$A$1004,0)),"Not on Firms tab"))</f>
        <v/>
      </c>
      <c r="N527">
        <f>IF(AND(A527&lt;&gt;"",A527='Firm Search'!$C$7),COUNTIF($A$5:A527,'Firm Search'!$C$7),"")</f>
        <v/>
      </c>
    </row>
    <row r="528">
      <c r="A528" s="5" t="n"/>
      <c r="B528" s="5" t="n"/>
      <c r="C528" s="52" t="n"/>
      <c r="D528" s="52" t="n"/>
      <c r="E528" s="52" t="n"/>
      <c r="F528" s="52" t="n"/>
      <c r="G528" s="52" t="n"/>
      <c r="H528" s="52" t="n"/>
      <c r="I528" s="52" t="n"/>
      <c r="J528" s="52" t="n"/>
      <c r="K528" s="54" t="n"/>
      <c r="L528" s="5" t="n"/>
      <c r="M528" s="53">
        <f>IF(A528="","",IFERROR(INDEX(Firms!$B$5:$B$1004,MATCH(A528,Firms!$A$5:$A$1004,0)),"Not on Firms tab"))</f>
        <v/>
      </c>
      <c r="N528">
        <f>IF(AND(A528&lt;&gt;"",A528='Firm Search'!$C$7),COUNTIF($A$5:A528,'Firm Search'!$C$7),"")</f>
        <v/>
      </c>
    </row>
    <row r="529">
      <c r="A529" s="5" t="n"/>
      <c r="B529" s="5" t="n"/>
      <c r="C529" s="52" t="n"/>
      <c r="D529" s="52" t="n"/>
      <c r="E529" s="52" t="n"/>
      <c r="F529" s="52" t="n"/>
      <c r="G529" s="52" t="n"/>
      <c r="H529" s="52" t="n"/>
      <c r="I529" s="52" t="n"/>
      <c r="J529" s="52" t="n"/>
      <c r="K529" s="54" t="n"/>
      <c r="L529" s="5" t="n"/>
      <c r="M529" s="53">
        <f>IF(A529="","",IFERROR(INDEX(Firms!$B$5:$B$1004,MATCH(A529,Firms!$A$5:$A$1004,0)),"Not on Firms tab"))</f>
        <v/>
      </c>
      <c r="N529">
        <f>IF(AND(A529&lt;&gt;"",A529='Firm Search'!$C$7),COUNTIF($A$5:A529,'Firm Search'!$C$7),"")</f>
        <v/>
      </c>
    </row>
    <row r="530">
      <c r="A530" s="5" t="n"/>
      <c r="B530" s="5" t="n"/>
      <c r="C530" s="52" t="n"/>
      <c r="D530" s="52" t="n"/>
      <c r="E530" s="52" t="n"/>
      <c r="F530" s="52" t="n"/>
      <c r="G530" s="52" t="n"/>
      <c r="H530" s="52" t="n"/>
      <c r="I530" s="52" t="n"/>
      <c r="J530" s="52" t="n"/>
      <c r="K530" s="54" t="n"/>
      <c r="L530" s="5" t="n"/>
      <c r="M530" s="53">
        <f>IF(A530="","",IFERROR(INDEX(Firms!$B$5:$B$1004,MATCH(A530,Firms!$A$5:$A$1004,0)),"Not on Firms tab"))</f>
        <v/>
      </c>
      <c r="N530">
        <f>IF(AND(A530&lt;&gt;"",A530='Firm Search'!$C$7),COUNTIF($A$5:A530,'Firm Search'!$C$7),"")</f>
        <v/>
      </c>
    </row>
    <row r="531">
      <c r="A531" s="5" t="n"/>
      <c r="B531" s="5" t="n"/>
      <c r="C531" s="52" t="n"/>
      <c r="D531" s="52" t="n"/>
      <c r="E531" s="52" t="n"/>
      <c r="F531" s="52" t="n"/>
      <c r="G531" s="52" t="n"/>
      <c r="H531" s="52" t="n"/>
      <c r="I531" s="52" t="n"/>
      <c r="J531" s="52" t="n"/>
      <c r="K531" s="54" t="n"/>
      <c r="L531" s="5" t="n"/>
      <c r="M531" s="53">
        <f>IF(A531="","",IFERROR(INDEX(Firms!$B$5:$B$1004,MATCH(A531,Firms!$A$5:$A$1004,0)),"Not on Firms tab"))</f>
        <v/>
      </c>
      <c r="N531">
        <f>IF(AND(A531&lt;&gt;"",A531='Firm Search'!$C$7),COUNTIF($A$5:A531,'Firm Search'!$C$7),"")</f>
        <v/>
      </c>
    </row>
    <row r="532">
      <c r="A532" s="5" t="n"/>
      <c r="B532" s="5" t="n"/>
      <c r="C532" s="52" t="n"/>
      <c r="D532" s="52" t="n"/>
      <c r="E532" s="52" t="n"/>
      <c r="F532" s="52" t="n"/>
      <c r="G532" s="52" t="n"/>
      <c r="H532" s="52" t="n"/>
      <c r="I532" s="52" t="n"/>
      <c r="J532" s="52" t="n"/>
      <c r="K532" s="54" t="n"/>
      <c r="L532" s="5" t="n"/>
      <c r="M532" s="53">
        <f>IF(A532="","",IFERROR(INDEX(Firms!$B$5:$B$1004,MATCH(A532,Firms!$A$5:$A$1004,0)),"Not on Firms tab"))</f>
        <v/>
      </c>
      <c r="N532">
        <f>IF(AND(A532&lt;&gt;"",A532='Firm Search'!$C$7),COUNTIF($A$5:A532,'Firm Search'!$C$7),"")</f>
        <v/>
      </c>
    </row>
    <row r="533">
      <c r="A533" s="5" t="n"/>
      <c r="B533" s="5" t="n"/>
      <c r="C533" s="52" t="n"/>
      <c r="D533" s="52" t="n"/>
      <c r="E533" s="52" t="n"/>
      <c r="F533" s="52" t="n"/>
      <c r="G533" s="52" t="n"/>
      <c r="H533" s="52" t="n"/>
      <c r="I533" s="52" t="n"/>
      <c r="J533" s="52" t="n"/>
      <c r="K533" s="54" t="n"/>
      <c r="L533" s="5" t="n"/>
      <c r="M533" s="53">
        <f>IF(A533="","",IFERROR(INDEX(Firms!$B$5:$B$1004,MATCH(A533,Firms!$A$5:$A$1004,0)),"Not on Firms tab"))</f>
        <v/>
      </c>
      <c r="N533">
        <f>IF(AND(A533&lt;&gt;"",A533='Firm Search'!$C$7),COUNTIF($A$5:A533,'Firm Search'!$C$7),"")</f>
        <v/>
      </c>
    </row>
    <row r="534">
      <c r="A534" s="5" t="n"/>
      <c r="B534" s="5" t="n"/>
      <c r="C534" s="52" t="n"/>
      <c r="D534" s="52" t="n"/>
      <c r="E534" s="52" t="n"/>
      <c r="F534" s="52" t="n"/>
      <c r="G534" s="52" t="n"/>
      <c r="H534" s="52" t="n"/>
      <c r="I534" s="52" t="n"/>
      <c r="J534" s="52" t="n"/>
      <c r="K534" s="54" t="n"/>
      <c r="L534" s="5" t="n"/>
      <c r="M534" s="53">
        <f>IF(A534="","",IFERROR(INDEX(Firms!$B$5:$B$1004,MATCH(A534,Firms!$A$5:$A$1004,0)),"Not on Firms tab"))</f>
        <v/>
      </c>
      <c r="N534">
        <f>IF(AND(A534&lt;&gt;"",A534='Firm Search'!$C$7),COUNTIF($A$5:A534,'Firm Search'!$C$7),"")</f>
        <v/>
      </c>
    </row>
    <row r="535">
      <c r="A535" s="5" t="n"/>
      <c r="B535" s="5" t="n"/>
      <c r="C535" s="52" t="n"/>
      <c r="D535" s="52" t="n"/>
      <c r="E535" s="52" t="n"/>
      <c r="F535" s="52" t="n"/>
      <c r="G535" s="52" t="n"/>
      <c r="H535" s="52" t="n"/>
      <c r="I535" s="52" t="n"/>
      <c r="J535" s="52" t="n"/>
      <c r="K535" s="54" t="n"/>
      <c r="L535" s="5" t="n"/>
      <c r="M535" s="53">
        <f>IF(A535="","",IFERROR(INDEX(Firms!$B$5:$B$1004,MATCH(A535,Firms!$A$5:$A$1004,0)),"Not on Firms tab"))</f>
        <v/>
      </c>
      <c r="N535">
        <f>IF(AND(A535&lt;&gt;"",A535='Firm Search'!$C$7),COUNTIF($A$5:A535,'Firm Search'!$C$7),"")</f>
        <v/>
      </c>
    </row>
    <row r="536">
      <c r="A536" s="5" t="n"/>
      <c r="B536" s="5" t="n"/>
      <c r="C536" s="52" t="n"/>
      <c r="D536" s="52" t="n"/>
      <c r="E536" s="52" t="n"/>
      <c r="F536" s="52" t="n"/>
      <c r="G536" s="52" t="n"/>
      <c r="H536" s="52" t="n"/>
      <c r="I536" s="52" t="n"/>
      <c r="J536" s="52" t="n"/>
      <c r="K536" s="54" t="n"/>
      <c r="L536" s="5" t="n"/>
      <c r="M536" s="53">
        <f>IF(A536="","",IFERROR(INDEX(Firms!$B$5:$B$1004,MATCH(A536,Firms!$A$5:$A$1004,0)),"Not on Firms tab"))</f>
        <v/>
      </c>
      <c r="N536">
        <f>IF(AND(A536&lt;&gt;"",A536='Firm Search'!$C$7),COUNTIF($A$5:A536,'Firm Search'!$C$7),"")</f>
        <v/>
      </c>
    </row>
    <row r="537">
      <c r="A537" s="5" t="n"/>
      <c r="B537" s="5" t="n"/>
      <c r="C537" s="52" t="n"/>
      <c r="D537" s="52" t="n"/>
      <c r="E537" s="52" t="n"/>
      <c r="F537" s="52" t="n"/>
      <c r="G537" s="52" t="n"/>
      <c r="H537" s="52" t="n"/>
      <c r="I537" s="52" t="n"/>
      <c r="J537" s="52" t="n"/>
      <c r="K537" s="54" t="n"/>
      <c r="L537" s="5" t="n"/>
      <c r="M537" s="53">
        <f>IF(A537="","",IFERROR(INDEX(Firms!$B$5:$B$1004,MATCH(A537,Firms!$A$5:$A$1004,0)),"Not on Firms tab"))</f>
        <v/>
      </c>
      <c r="N537">
        <f>IF(AND(A537&lt;&gt;"",A537='Firm Search'!$C$7),COUNTIF($A$5:A537,'Firm Search'!$C$7),"")</f>
        <v/>
      </c>
    </row>
    <row r="538">
      <c r="A538" s="5" t="n"/>
      <c r="B538" s="5" t="n"/>
      <c r="C538" s="52" t="n"/>
      <c r="D538" s="52" t="n"/>
      <c r="E538" s="52" t="n"/>
      <c r="F538" s="52" t="n"/>
      <c r="G538" s="52" t="n"/>
      <c r="H538" s="52" t="n"/>
      <c r="I538" s="52" t="n"/>
      <c r="J538" s="52" t="n"/>
      <c r="K538" s="54" t="n"/>
      <c r="L538" s="5" t="n"/>
      <c r="M538" s="53">
        <f>IF(A538="","",IFERROR(INDEX(Firms!$B$5:$B$1004,MATCH(A538,Firms!$A$5:$A$1004,0)),"Not on Firms tab"))</f>
        <v/>
      </c>
      <c r="N538">
        <f>IF(AND(A538&lt;&gt;"",A538='Firm Search'!$C$7),COUNTIF($A$5:A538,'Firm Search'!$C$7),"")</f>
        <v/>
      </c>
    </row>
    <row r="539">
      <c r="A539" s="5" t="n"/>
      <c r="B539" s="5" t="n"/>
      <c r="C539" s="52" t="n"/>
      <c r="D539" s="52" t="n"/>
      <c r="E539" s="52" t="n"/>
      <c r="F539" s="52" t="n"/>
      <c r="G539" s="52" t="n"/>
      <c r="H539" s="52" t="n"/>
      <c r="I539" s="52" t="n"/>
      <c r="J539" s="52" t="n"/>
      <c r="K539" s="54" t="n"/>
      <c r="L539" s="5" t="n"/>
      <c r="M539" s="53">
        <f>IF(A539="","",IFERROR(INDEX(Firms!$B$5:$B$1004,MATCH(A539,Firms!$A$5:$A$1004,0)),"Not on Firms tab"))</f>
        <v/>
      </c>
      <c r="N539">
        <f>IF(AND(A539&lt;&gt;"",A539='Firm Search'!$C$7),COUNTIF($A$5:A539,'Firm Search'!$C$7),"")</f>
        <v/>
      </c>
    </row>
    <row r="540">
      <c r="A540" s="5" t="n"/>
      <c r="B540" s="5" t="n"/>
      <c r="C540" s="52" t="n"/>
      <c r="D540" s="52" t="n"/>
      <c r="E540" s="52" t="n"/>
      <c r="F540" s="52" t="n"/>
      <c r="G540" s="52" t="n"/>
      <c r="H540" s="52" t="n"/>
      <c r="I540" s="52" t="n"/>
      <c r="J540" s="52" t="n"/>
      <c r="K540" s="54" t="n"/>
      <c r="L540" s="5" t="n"/>
      <c r="M540" s="53">
        <f>IF(A540="","",IFERROR(INDEX(Firms!$B$5:$B$1004,MATCH(A540,Firms!$A$5:$A$1004,0)),"Not on Firms tab"))</f>
        <v/>
      </c>
      <c r="N540">
        <f>IF(AND(A540&lt;&gt;"",A540='Firm Search'!$C$7),COUNTIF($A$5:A540,'Firm Search'!$C$7),"")</f>
        <v/>
      </c>
    </row>
    <row r="541">
      <c r="A541" s="5" t="n"/>
      <c r="B541" s="5" t="n"/>
      <c r="C541" s="52" t="n"/>
      <c r="D541" s="52" t="n"/>
      <c r="E541" s="52" t="n"/>
      <c r="F541" s="52" t="n"/>
      <c r="G541" s="52" t="n"/>
      <c r="H541" s="52" t="n"/>
      <c r="I541" s="52" t="n"/>
      <c r="J541" s="52" t="n"/>
      <c r="K541" s="54" t="n"/>
      <c r="L541" s="5" t="n"/>
      <c r="M541" s="53">
        <f>IF(A541="","",IFERROR(INDEX(Firms!$B$5:$B$1004,MATCH(A541,Firms!$A$5:$A$1004,0)),"Not on Firms tab"))</f>
        <v/>
      </c>
      <c r="N541">
        <f>IF(AND(A541&lt;&gt;"",A541='Firm Search'!$C$7),COUNTIF($A$5:A541,'Firm Search'!$C$7),"")</f>
        <v/>
      </c>
    </row>
    <row r="542">
      <c r="A542" s="5" t="n"/>
      <c r="B542" s="5" t="n"/>
      <c r="C542" s="52" t="n"/>
      <c r="D542" s="52" t="n"/>
      <c r="E542" s="52" t="n"/>
      <c r="F542" s="52" t="n"/>
      <c r="G542" s="52" t="n"/>
      <c r="H542" s="52" t="n"/>
      <c r="I542" s="52" t="n"/>
      <c r="J542" s="52" t="n"/>
      <c r="K542" s="54" t="n"/>
      <c r="L542" s="5" t="n"/>
      <c r="M542" s="53">
        <f>IF(A542="","",IFERROR(INDEX(Firms!$B$5:$B$1004,MATCH(A542,Firms!$A$5:$A$1004,0)),"Not on Firms tab"))</f>
        <v/>
      </c>
      <c r="N542">
        <f>IF(AND(A542&lt;&gt;"",A542='Firm Search'!$C$7),COUNTIF($A$5:A542,'Firm Search'!$C$7),"")</f>
        <v/>
      </c>
    </row>
    <row r="543">
      <c r="A543" s="5" t="n"/>
      <c r="B543" s="5" t="n"/>
      <c r="C543" s="52" t="n"/>
      <c r="D543" s="52" t="n"/>
      <c r="E543" s="52" t="n"/>
      <c r="F543" s="52" t="n"/>
      <c r="G543" s="52" t="n"/>
      <c r="H543" s="52" t="n"/>
      <c r="I543" s="52" t="n"/>
      <c r="J543" s="52" t="n"/>
      <c r="K543" s="54" t="n"/>
      <c r="L543" s="5" t="n"/>
      <c r="M543" s="53">
        <f>IF(A543="","",IFERROR(INDEX(Firms!$B$5:$B$1004,MATCH(A543,Firms!$A$5:$A$1004,0)),"Not on Firms tab"))</f>
        <v/>
      </c>
      <c r="N543">
        <f>IF(AND(A543&lt;&gt;"",A543='Firm Search'!$C$7),COUNTIF($A$5:A543,'Firm Search'!$C$7),"")</f>
        <v/>
      </c>
    </row>
    <row r="544">
      <c r="A544" s="5" t="n"/>
      <c r="B544" s="5" t="n"/>
      <c r="C544" s="52" t="n"/>
      <c r="D544" s="52" t="n"/>
      <c r="E544" s="52" t="n"/>
      <c r="F544" s="52" t="n"/>
      <c r="G544" s="52" t="n"/>
      <c r="H544" s="52" t="n"/>
      <c r="I544" s="52" t="n"/>
      <c r="J544" s="52" t="n"/>
      <c r="K544" s="54" t="n"/>
      <c r="L544" s="5" t="n"/>
      <c r="M544" s="53">
        <f>IF(A544="","",IFERROR(INDEX(Firms!$B$5:$B$1004,MATCH(A544,Firms!$A$5:$A$1004,0)),"Not on Firms tab"))</f>
        <v/>
      </c>
      <c r="N544">
        <f>IF(AND(A544&lt;&gt;"",A544='Firm Search'!$C$7),COUNTIF($A$5:A544,'Firm Search'!$C$7),"")</f>
        <v/>
      </c>
    </row>
    <row r="545">
      <c r="A545" s="5" t="n"/>
      <c r="B545" s="5" t="n"/>
      <c r="C545" s="52" t="n"/>
      <c r="D545" s="52" t="n"/>
      <c r="E545" s="52" t="n"/>
      <c r="F545" s="52" t="n"/>
      <c r="G545" s="52" t="n"/>
      <c r="H545" s="52" t="n"/>
      <c r="I545" s="52" t="n"/>
      <c r="J545" s="52" t="n"/>
      <c r="K545" s="54" t="n"/>
      <c r="L545" s="5" t="n"/>
      <c r="M545" s="53">
        <f>IF(A545="","",IFERROR(INDEX(Firms!$B$5:$B$1004,MATCH(A545,Firms!$A$5:$A$1004,0)),"Not on Firms tab"))</f>
        <v/>
      </c>
      <c r="N545">
        <f>IF(AND(A545&lt;&gt;"",A545='Firm Search'!$C$7),COUNTIF($A$5:A545,'Firm Search'!$C$7),"")</f>
        <v/>
      </c>
    </row>
    <row r="546">
      <c r="A546" s="5" t="n"/>
      <c r="B546" s="5" t="n"/>
      <c r="C546" s="52" t="n"/>
      <c r="D546" s="52" t="n"/>
      <c r="E546" s="52" t="n"/>
      <c r="F546" s="52" t="n"/>
      <c r="G546" s="52" t="n"/>
      <c r="H546" s="52" t="n"/>
      <c r="I546" s="52" t="n"/>
      <c r="J546" s="52" t="n"/>
      <c r="K546" s="54" t="n"/>
      <c r="L546" s="5" t="n"/>
      <c r="M546" s="53">
        <f>IF(A546="","",IFERROR(INDEX(Firms!$B$5:$B$1004,MATCH(A546,Firms!$A$5:$A$1004,0)),"Not on Firms tab"))</f>
        <v/>
      </c>
      <c r="N546">
        <f>IF(AND(A546&lt;&gt;"",A546='Firm Search'!$C$7),COUNTIF($A$5:A546,'Firm Search'!$C$7),"")</f>
        <v/>
      </c>
    </row>
    <row r="547">
      <c r="A547" s="5" t="n"/>
      <c r="B547" s="5" t="n"/>
      <c r="C547" s="52" t="n"/>
      <c r="D547" s="52" t="n"/>
      <c r="E547" s="52" t="n"/>
      <c r="F547" s="52" t="n"/>
      <c r="G547" s="52" t="n"/>
      <c r="H547" s="52" t="n"/>
      <c r="I547" s="52" t="n"/>
      <c r="J547" s="52" t="n"/>
      <c r="K547" s="54" t="n"/>
      <c r="L547" s="5" t="n"/>
      <c r="M547" s="53">
        <f>IF(A547="","",IFERROR(INDEX(Firms!$B$5:$B$1004,MATCH(A547,Firms!$A$5:$A$1004,0)),"Not on Firms tab"))</f>
        <v/>
      </c>
      <c r="N547">
        <f>IF(AND(A547&lt;&gt;"",A547='Firm Search'!$C$7),COUNTIF($A$5:A547,'Firm Search'!$C$7),"")</f>
        <v/>
      </c>
    </row>
    <row r="548">
      <c r="A548" s="5" t="n"/>
      <c r="B548" s="5" t="n"/>
      <c r="C548" s="52" t="n"/>
      <c r="D548" s="52" t="n"/>
      <c r="E548" s="52" t="n"/>
      <c r="F548" s="52" t="n"/>
      <c r="G548" s="52" t="n"/>
      <c r="H548" s="52" t="n"/>
      <c r="I548" s="52" t="n"/>
      <c r="J548" s="52" t="n"/>
      <c r="K548" s="54" t="n"/>
      <c r="L548" s="5" t="n"/>
      <c r="M548" s="53">
        <f>IF(A548="","",IFERROR(INDEX(Firms!$B$5:$B$1004,MATCH(A548,Firms!$A$5:$A$1004,0)),"Not on Firms tab"))</f>
        <v/>
      </c>
      <c r="N548">
        <f>IF(AND(A548&lt;&gt;"",A548='Firm Search'!$C$7),COUNTIF($A$5:A548,'Firm Search'!$C$7),"")</f>
        <v/>
      </c>
    </row>
    <row r="549">
      <c r="A549" s="5" t="n"/>
      <c r="B549" s="5" t="n"/>
      <c r="C549" s="52" t="n"/>
      <c r="D549" s="52" t="n"/>
      <c r="E549" s="52" t="n"/>
      <c r="F549" s="52" t="n"/>
      <c r="G549" s="52" t="n"/>
      <c r="H549" s="52" t="n"/>
      <c r="I549" s="52" t="n"/>
      <c r="J549" s="52" t="n"/>
      <c r="K549" s="54" t="n"/>
      <c r="L549" s="5" t="n"/>
      <c r="M549" s="53">
        <f>IF(A549="","",IFERROR(INDEX(Firms!$B$5:$B$1004,MATCH(A549,Firms!$A$5:$A$1004,0)),"Not on Firms tab"))</f>
        <v/>
      </c>
      <c r="N549">
        <f>IF(AND(A549&lt;&gt;"",A549='Firm Search'!$C$7),COUNTIF($A$5:A549,'Firm Search'!$C$7),"")</f>
        <v/>
      </c>
    </row>
    <row r="550">
      <c r="A550" s="5" t="n"/>
      <c r="B550" s="5" t="n"/>
      <c r="C550" s="52" t="n"/>
      <c r="D550" s="52" t="n"/>
      <c r="E550" s="52" t="n"/>
      <c r="F550" s="52" t="n"/>
      <c r="G550" s="52" t="n"/>
      <c r="H550" s="52" t="n"/>
      <c r="I550" s="52" t="n"/>
      <c r="J550" s="52" t="n"/>
      <c r="K550" s="54" t="n"/>
      <c r="L550" s="5" t="n"/>
      <c r="M550" s="53">
        <f>IF(A550="","",IFERROR(INDEX(Firms!$B$5:$B$1004,MATCH(A550,Firms!$A$5:$A$1004,0)),"Not on Firms tab"))</f>
        <v/>
      </c>
      <c r="N550">
        <f>IF(AND(A550&lt;&gt;"",A550='Firm Search'!$C$7),COUNTIF($A$5:A550,'Firm Search'!$C$7),"")</f>
        <v/>
      </c>
    </row>
    <row r="551">
      <c r="A551" s="5" t="n"/>
      <c r="B551" s="5" t="n"/>
      <c r="C551" s="52" t="n"/>
      <c r="D551" s="52" t="n"/>
      <c r="E551" s="52" t="n"/>
      <c r="F551" s="52" t="n"/>
      <c r="G551" s="52" t="n"/>
      <c r="H551" s="52" t="n"/>
      <c r="I551" s="52" t="n"/>
      <c r="J551" s="52" t="n"/>
      <c r="K551" s="54" t="n"/>
      <c r="L551" s="5" t="n"/>
      <c r="M551" s="53">
        <f>IF(A551="","",IFERROR(INDEX(Firms!$B$5:$B$1004,MATCH(A551,Firms!$A$5:$A$1004,0)),"Not on Firms tab"))</f>
        <v/>
      </c>
      <c r="N551">
        <f>IF(AND(A551&lt;&gt;"",A551='Firm Search'!$C$7),COUNTIF($A$5:A551,'Firm Search'!$C$7),"")</f>
        <v/>
      </c>
    </row>
    <row r="552">
      <c r="A552" s="5" t="n"/>
      <c r="B552" s="5" t="n"/>
      <c r="C552" s="52" t="n"/>
      <c r="D552" s="52" t="n"/>
      <c r="E552" s="52" t="n"/>
      <c r="F552" s="52" t="n"/>
      <c r="G552" s="52" t="n"/>
      <c r="H552" s="52" t="n"/>
      <c r="I552" s="52" t="n"/>
      <c r="J552" s="52" t="n"/>
      <c r="K552" s="54" t="n"/>
      <c r="L552" s="5" t="n"/>
      <c r="M552" s="53">
        <f>IF(A552="","",IFERROR(INDEX(Firms!$B$5:$B$1004,MATCH(A552,Firms!$A$5:$A$1004,0)),"Not on Firms tab"))</f>
        <v/>
      </c>
      <c r="N552">
        <f>IF(AND(A552&lt;&gt;"",A552='Firm Search'!$C$7),COUNTIF($A$5:A552,'Firm Search'!$C$7),"")</f>
        <v/>
      </c>
    </row>
    <row r="553">
      <c r="A553" s="5" t="n"/>
      <c r="B553" s="5" t="n"/>
      <c r="C553" s="52" t="n"/>
      <c r="D553" s="52" t="n"/>
      <c r="E553" s="52" t="n"/>
      <c r="F553" s="52" t="n"/>
      <c r="G553" s="52" t="n"/>
      <c r="H553" s="52" t="n"/>
      <c r="I553" s="52" t="n"/>
      <c r="J553" s="52" t="n"/>
      <c r="K553" s="54" t="n"/>
      <c r="L553" s="5" t="n"/>
      <c r="M553" s="53">
        <f>IF(A553="","",IFERROR(INDEX(Firms!$B$5:$B$1004,MATCH(A553,Firms!$A$5:$A$1004,0)),"Not on Firms tab"))</f>
        <v/>
      </c>
      <c r="N553">
        <f>IF(AND(A553&lt;&gt;"",A553='Firm Search'!$C$7),COUNTIF($A$5:A553,'Firm Search'!$C$7),"")</f>
        <v/>
      </c>
    </row>
    <row r="554">
      <c r="A554" s="5" t="n"/>
      <c r="B554" s="5" t="n"/>
      <c r="C554" s="52" t="n"/>
      <c r="D554" s="52" t="n"/>
      <c r="E554" s="52" t="n"/>
      <c r="F554" s="52" t="n"/>
      <c r="G554" s="52" t="n"/>
      <c r="H554" s="52" t="n"/>
      <c r="I554" s="52" t="n"/>
      <c r="J554" s="52" t="n"/>
      <c r="K554" s="54" t="n"/>
      <c r="L554" s="5" t="n"/>
      <c r="M554" s="53">
        <f>IF(A554="","",IFERROR(INDEX(Firms!$B$5:$B$1004,MATCH(A554,Firms!$A$5:$A$1004,0)),"Not on Firms tab"))</f>
        <v/>
      </c>
      <c r="N554">
        <f>IF(AND(A554&lt;&gt;"",A554='Firm Search'!$C$7),COUNTIF($A$5:A554,'Firm Search'!$C$7),"")</f>
        <v/>
      </c>
    </row>
    <row r="555">
      <c r="A555" s="5" t="n"/>
      <c r="B555" s="5" t="n"/>
      <c r="C555" s="52" t="n"/>
      <c r="D555" s="52" t="n"/>
      <c r="E555" s="52" t="n"/>
      <c r="F555" s="52" t="n"/>
      <c r="G555" s="52" t="n"/>
      <c r="H555" s="52" t="n"/>
      <c r="I555" s="52" t="n"/>
      <c r="J555" s="52" t="n"/>
      <c r="K555" s="54" t="n"/>
      <c r="L555" s="5" t="n"/>
      <c r="M555" s="53">
        <f>IF(A555="","",IFERROR(INDEX(Firms!$B$5:$B$1004,MATCH(A555,Firms!$A$5:$A$1004,0)),"Not on Firms tab"))</f>
        <v/>
      </c>
      <c r="N555">
        <f>IF(AND(A555&lt;&gt;"",A555='Firm Search'!$C$7),COUNTIF($A$5:A555,'Firm Search'!$C$7),"")</f>
        <v/>
      </c>
    </row>
    <row r="556">
      <c r="A556" s="5" t="n"/>
      <c r="B556" s="5" t="n"/>
      <c r="C556" s="52" t="n"/>
      <c r="D556" s="52" t="n"/>
      <c r="E556" s="52" t="n"/>
      <c r="F556" s="52" t="n"/>
      <c r="G556" s="52" t="n"/>
      <c r="H556" s="52" t="n"/>
      <c r="I556" s="52" t="n"/>
      <c r="J556" s="52" t="n"/>
      <c r="K556" s="54" t="n"/>
      <c r="L556" s="5" t="n"/>
      <c r="M556" s="53">
        <f>IF(A556="","",IFERROR(INDEX(Firms!$B$5:$B$1004,MATCH(A556,Firms!$A$5:$A$1004,0)),"Not on Firms tab"))</f>
        <v/>
      </c>
      <c r="N556">
        <f>IF(AND(A556&lt;&gt;"",A556='Firm Search'!$C$7),COUNTIF($A$5:A556,'Firm Search'!$C$7),"")</f>
        <v/>
      </c>
    </row>
    <row r="557">
      <c r="A557" s="5" t="n"/>
      <c r="B557" s="5" t="n"/>
      <c r="C557" s="52" t="n"/>
      <c r="D557" s="52" t="n"/>
      <c r="E557" s="52" t="n"/>
      <c r="F557" s="52" t="n"/>
      <c r="G557" s="52" t="n"/>
      <c r="H557" s="52" t="n"/>
      <c r="I557" s="52" t="n"/>
      <c r="J557" s="52" t="n"/>
      <c r="K557" s="54" t="n"/>
      <c r="L557" s="5" t="n"/>
      <c r="M557" s="53">
        <f>IF(A557="","",IFERROR(INDEX(Firms!$B$5:$B$1004,MATCH(A557,Firms!$A$5:$A$1004,0)),"Not on Firms tab"))</f>
        <v/>
      </c>
      <c r="N557">
        <f>IF(AND(A557&lt;&gt;"",A557='Firm Search'!$C$7),COUNTIF($A$5:A557,'Firm Search'!$C$7),"")</f>
        <v/>
      </c>
    </row>
    <row r="558">
      <c r="A558" s="5" t="n"/>
      <c r="B558" s="5" t="n"/>
      <c r="C558" s="52" t="n"/>
      <c r="D558" s="52" t="n"/>
      <c r="E558" s="52" t="n"/>
      <c r="F558" s="52" t="n"/>
      <c r="G558" s="52" t="n"/>
      <c r="H558" s="52" t="n"/>
      <c r="I558" s="52" t="n"/>
      <c r="J558" s="52" t="n"/>
      <c r="K558" s="54" t="n"/>
      <c r="L558" s="5" t="n"/>
      <c r="M558" s="53">
        <f>IF(A558="","",IFERROR(INDEX(Firms!$B$5:$B$1004,MATCH(A558,Firms!$A$5:$A$1004,0)),"Not on Firms tab"))</f>
        <v/>
      </c>
      <c r="N558">
        <f>IF(AND(A558&lt;&gt;"",A558='Firm Search'!$C$7),COUNTIF($A$5:A558,'Firm Search'!$C$7),"")</f>
        <v/>
      </c>
    </row>
    <row r="559">
      <c r="A559" s="5" t="n"/>
      <c r="B559" s="5" t="n"/>
      <c r="C559" s="52" t="n"/>
      <c r="D559" s="52" t="n"/>
      <c r="E559" s="52" t="n"/>
      <c r="F559" s="52" t="n"/>
      <c r="G559" s="52" t="n"/>
      <c r="H559" s="52" t="n"/>
      <c r="I559" s="52" t="n"/>
      <c r="J559" s="52" t="n"/>
      <c r="K559" s="54" t="n"/>
      <c r="L559" s="5" t="n"/>
      <c r="M559" s="53">
        <f>IF(A559="","",IFERROR(INDEX(Firms!$B$5:$B$1004,MATCH(A559,Firms!$A$5:$A$1004,0)),"Not on Firms tab"))</f>
        <v/>
      </c>
      <c r="N559">
        <f>IF(AND(A559&lt;&gt;"",A559='Firm Search'!$C$7),COUNTIF($A$5:A559,'Firm Search'!$C$7),"")</f>
        <v/>
      </c>
    </row>
    <row r="560">
      <c r="A560" s="5" t="n"/>
      <c r="B560" s="5" t="n"/>
      <c r="C560" s="52" t="n"/>
      <c r="D560" s="52" t="n"/>
      <c r="E560" s="52" t="n"/>
      <c r="F560" s="52" t="n"/>
      <c r="G560" s="52" t="n"/>
      <c r="H560" s="52" t="n"/>
      <c r="I560" s="52" t="n"/>
      <c r="J560" s="52" t="n"/>
      <c r="K560" s="54" t="n"/>
      <c r="L560" s="5" t="n"/>
      <c r="M560" s="53">
        <f>IF(A560="","",IFERROR(INDEX(Firms!$B$5:$B$1004,MATCH(A560,Firms!$A$5:$A$1004,0)),"Not on Firms tab"))</f>
        <v/>
      </c>
      <c r="N560">
        <f>IF(AND(A560&lt;&gt;"",A560='Firm Search'!$C$7),COUNTIF($A$5:A560,'Firm Search'!$C$7),"")</f>
        <v/>
      </c>
    </row>
    <row r="561">
      <c r="A561" s="5" t="n"/>
      <c r="B561" s="5" t="n"/>
      <c r="C561" s="52" t="n"/>
      <c r="D561" s="52" t="n"/>
      <c r="E561" s="52" t="n"/>
      <c r="F561" s="52" t="n"/>
      <c r="G561" s="52" t="n"/>
      <c r="H561" s="52" t="n"/>
      <c r="I561" s="52" t="n"/>
      <c r="J561" s="52" t="n"/>
      <c r="K561" s="54" t="n"/>
      <c r="L561" s="5" t="n"/>
      <c r="M561" s="53">
        <f>IF(A561="","",IFERROR(INDEX(Firms!$B$5:$B$1004,MATCH(A561,Firms!$A$5:$A$1004,0)),"Not on Firms tab"))</f>
        <v/>
      </c>
      <c r="N561">
        <f>IF(AND(A561&lt;&gt;"",A561='Firm Search'!$C$7),COUNTIF($A$5:A561,'Firm Search'!$C$7),"")</f>
        <v/>
      </c>
    </row>
    <row r="562">
      <c r="A562" s="5" t="n"/>
      <c r="B562" s="5" t="n"/>
      <c r="C562" s="52" t="n"/>
      <c r="D562" s="52" t="n"/>
      <c r="E562" s="52" t="n"/>
      <c r="F562" s="52" t="n"/>
      <c r="G562" s="52" t="n"/>
      <c r="H562" s="52" t="n"/>
      <c r="I562" s="52" t="n"/>
      <c r="J562" s="52" t="n"/>
      <c r="K562" s="54" t="n"/>
      <c r="L562" s="5" t="n"/>
      <c r="M562" s="53">
        <f>IF(A562="","",IFERROR(INDEX(Firms!$B$5:$B$1004,MATCH(A562,Firms!$A$5:$A$1004,0)),"Not on Firms tab"))</f>
        <v/>
      </c>
      <c r="N562">
        <f>IF(AND(A562&lt;&gt;"",A562='Firm Search'!$C$7),COUNTIF($A$5:A562,'Firm Search'!$C$7),"")</f>
        <v/>
      </c>
    </row>
    <row r="563">
      <c r="A563" s="5" t="n"/>
      <c r="B563" s="5" t="n"/>
      <c r="C563" s="52" t="n"/>
      <c r="D563" s="52" t="n"/>
      <c r="E563" s="52" t="n"/>
      <c r="F563" s="52" t="n"/>
      <c r="G563" s="52" t="n"/>
      <c r="H563" s="52" t="n"/>
      <c r="I563" s="52" t="n"/>
      <c r="J563" s="52" t="n"/>
      <c r="K563" s="54" t="n"/>
      <c r="L563" s="5" t="n"/>
      <c r="M563" s="53">
        <f>IF(A563="","",IFERROR(INDEX(Firms!$B$5:$B$1004,MATCH(A563,Firms!$A$5:$A$1004,0)),"Not on Firms tab"))</f>
        <v/>
      </c>
      <c r="N563">
        <f>IF(AND(A563&lt;&gt;"",A563='Firm Search'!$C$7),COUNTIF($A$5:A563,'Firm Search'!$C$7),"")</f>
        <v/>
      </c>
    </row>
    <row r="564">
      <c r="A564" s="5" t="n"/>
      <c r="B564" s="5" t="n"/>
      <c r="C564" s="52" t="n"/>
      <c r="D564" s="52" t="n"/>
      <c r="E564" s="52" t="n"/>
      <c r="F564" s="52" t="n"/>
      <c r="G564" s="52" t="n"/>
      <c r="H564" s="52" t="n"/>
      <c r="I564" s="52" t="n"/>
      <c r="J564" s="52" t="n"/>
      <c r="K564" s="54" t="n"/>
      <c r="L564" s="5" t="n"/>
      <c r="M564" s="53">
        <f>IF(A564="","",IFERROR(INDEX(Firms!$B$5:$B$1004,MATCH(A564,Firms!$A$5:$A$1004,0)),"Not on Firms tab"))</f>
        <v/>
      </c>
      <c r="N564">
        <f>IF(AND(A564&lt;&gt;"",A564='Firm Search'!$C$7),COUNTIF($A$5:A564,'Firm Search'!$C$7),"")</f>
        <v/>
      </c>
    </row>
    <row r="565">
      <c r="A565" s="5" t="n"/>
      <c r="B565" s="5" t="n"/>
      <c r="C565" s="52" t="n"/>
      <c r="D565" s="52" t="n"/>
      <c r="E565" s="52" t="n"/>
      <c r="F565" s="52" t="n"/>
      <c r="G565" s="52" t="n"/>
      <c r="H565" s="52" t="n"/>
      <c r="I565" s="52" t="n"/>
      <c r="J565" s="52" t="n"/>
      <c r="K565" s="54" t="n"/>
      <c r="L565" s="5" t="n"/>
      <c r="M565" s="53">
        <f>IF(A565="","",IFERROR(INDEX(Firms!$B$5:$B$1004,MATCH(A565,Firms!$A$5:$A$1004,0)),"Not on Firms tab"))</f>
        <v/>
      </c>
      <c r="N565">
        <f>IF(AND(A565&lt;&gt;"",A565='Firm Search'!$C$7),COUNTIF($A$5:A565,'Firm Search'!$C$7),"")</f>
        <v/>
      </c>
    </row>
    <row r="566">
      <c r="A566" s="5" t="n"/>
      <c r="B566" s="5" t="n"/>
      <c r="C566" s="52" t="n"/>
      <c r="D566" s="52" t="n"/>
      <c r="E566" s="52" t="n"/>
      <c r="F566" s="52" t="n"/>
      <c r="G566" s="52" t="n"/>
      <c r="H566" s="52" t="n"/>
      <c r="I566" s="52" t="n"/>
      <c r="J566" s="52" t="n"/>
      <c r="K566" s="54" t="n"/>
      <c r="L566" s="5" t="n"/>
      <c r="M566" s="53">
        <f>IF(A566="","",IFERROR(INDEX(Firms!$B$5:$B$1004,MATCH(A566,Firms!$A$5:$A$1004,0)),"Not on Firms tab"))</f>
        <v/>
      </c>
      <c r="N566">
        <f>IF(AND(A566&lt;&gt;"",A566='Firm Search'!$C$7),COUNTIF($A$5:A566,'Firm Search'!$C$7),"")</f>
        <v/>
      </c>
    </row>
    <row r="567">
      <c r="A567" s="5" t="n"/>
      <c r="B567" s="5" t="n"/>
      <c r="C567" s="52" t="n"/>
      <c r="D567" s="52" t="n"/>
      <c r="E567" s="52" t="n"/>
      <c r="F567" s="52" t="n"/>
      <c r="G567" s="52" t="n"/>
      <c r="H567" s="52" t="n"/>
      <c r="I567" s="52" t="n"/>
      <c r="J567" s="52" t="n"/>
      <c r="K567" s="54" t="n"/>
      <c r="L567" s="5" t="n"/>
      <c r="M567" s="53">
        <f>IF(A567="","",IFERROR(INDEX(Firms!$B$5:$B$1004,MATCH(A567,Firms!$A$5:$A$1004,0)),"Not on Firms tab"))</f>
        <v/>
      </c>
      <c r="N567">
        <f>IF(AND(A567&lt;&gt;"",A567='Firm Search'!$C$7),COUNTIF($A$5:A567,'Firm Search'!$C$7),"")</f>
        <v/>
      </c>
    </row>
    <row r="568">
      <c r="A568" s="5" t="n"/>
      <c r="B568" s="5" t="n"/>
      <c r="C568" s="52" t="n"/>
      <c r="D568" s="52" t="n"/>
      <c r="E568" s="52" t="n"/>
      <c r="F568" s="52" t="n"/>
      <c r="G568" s="52" t="n"/>
      <c r="H568" s="52" t="n"/>
      <c r="I568" s="52" t="n"/>
      <c r="J568" s="52" t="n"/>
      <c r="K568" s="54" t="n"/>
      <c r="L568" s="5" t="n"/>
      <c r="M568" s="53">
        <f>IF(A568="","",IFERROR(INDEX(Firms!$B$5:$B$1004,MATCH(A568,Firms!$A$5:$A$1004,0)),"Not on Firms tab"))</f>
        <v/>
      </c>
      <c r="N568">
        <f>IF(AND(A568&lt;&gt;"",A568='Firm Search'!$C$7),COUNTIF($A$5:A568,'Firm Search'!$C$7),"")</f>
        <v/>
      </c>
    </row>
    <row r="569">
      <c r="A569" s="5" t="n"/>
      <c r="B569" s="5" t="n"/>
      <c r="C569" s="52" t="n"/>
      <c r="D569" s="52" t="n"/>
      <c r="E569" s="52" t="n"/>
      <c r="F569" s="52" t="n"/>
      <c r="G569" s="52" t="n"/>
      <c r="H569" s="52" t="n"/>
      <c r="I569" s="52" t="n"/>
      <c r="J569" s="52" t="n"/>
      <c r="K569" s="54" t="n"/>
      <c r="L569" s="5" t="n"/>
      <c r="M569" s="53">
        <f>IF(A569="","",IFERROR(INDEX(Firms!$B$5:$B$1004,MATCH(A569,Firms!$A$5:$A$1004,0)),"Not on Firms tab"))</f>
        <v/>
      </c>
      <c r="N569">
        <f>IF(AND(A569&lt;&gt;"",A569='Firm Search'!$C$7),COUNTIF($A$5:A569,'Firm Search'!$C$7),"")</f>
        <v/>
      </c>
    </row>
    <row r="570">
      <c r="A570" s="5" t="n"/>
      <c r="B570" s="5" t="n"/>
      <c r="C570" s="52" t="n"/>
      <c r="D570" s="52" t="n"/>
      <c r="E570" s="52" t="n"/>
      <c r="F570" s="52" t="n"/>
      <c r="G570" s="52" t="n"/>
      <c r="H570" s="52" t="n"/>
      <c r="I570" s="52" t="n"/>
      <c r="J570" s="52" t="n"/>
      <c r="K570" s="54" t="n"/>
      <c r="L570" s="5" t="n"/>
      <c r="M570" s="53">
        <f>IF(A570="","",IFERROR(INDEX(Firms!$B$5:$B$1004,MATCH(A570,Firms!$A$5:$A$1004,0)),"Not on Firms tab"))</f>
        <v/>
      </c>
      <c r="N570">
        <f>IF(AND(A570&lt;&gt;"",A570='Firm Search'!$C$7),COUNTIF($A$5:A570,'Firm Search'!$C$7),"")</f>
        <v/>
      </c>
    </row>
    <row r="571">
      <c r="A571" s="5" t="n"/>
      <c r="B571" s="5" t="n"/>
      <c r="C571" s="52" t="n"/>
      <c r="D571" s="52" t="n"/>
      <c r="E571" s="52" t="n"/>
      <c r="F571" s="52" t="n"/>
      <c r="G571" s="52" t="n"/>
      <c r="H571" s="52" t="n"/>
      <c r="I571" s="52" t="n"/>
      <c r="J571" s="52" t="n"/>
      <c r="K571" s="54" t="n"/>
      <c r="L571" s="5" t="n"/>
      <c r="M571" s="53">
        <f>IF(A571="","",IFERROR(INDEX(Firms!$B$5:$B$1004,MATCH(A571,Firms!$A$5:$A$1004,0)),"Not on Firms tab"))</f>
        <v/>
      </c>
      <c r="N571">
        <f>IF(AND(A571&lt;&gt;"",A571='Firm Search'!$C$7),COUNTIF($A$5:A571,'Firm Search'!$C$7),"")</f>
        <v/>
      </c>
    </row>
    <row r="572">
      <c r="A572" s="5" t="n"/>
      <c r="B572" s="5" t="n"/>
      <c r="C572" s="52" t="n"/>
      <c r="D572" s="52" t="n"/>
      <c r="E572" s="52" t="n"/>
      <c r="F572" s="52" t="n"/>
      <c r="G572" s="52" t="n"/>
      <c r="H572" s="52" t="n"/>
      <c r="I572" s="52" t="n"/>
      <c r="J572" s="52" t="n"/>
      <c r="K572" s="54" t="n"/>
      <c r="L572" s="5" t="n"/>
      <c r="M572" s="53">
        <f>IF(A572="","",IFERROR(INDEX(Firms!$B$5:$B$1004,MATCH(A572,Firms!$A$5:$A$1004,0)),"Not on Firms tab"))</f>
        <v/>
      </c>
      <c r="N572">
        <f>IF(AND(A572&lt;&gt;"",A572='Firm Search'!$C$7),COUNTIF($A$5:A572,'Firm Search'!$C$7),"")</f>
        <v/>
      </c>
    </row>
    <row r="573">
      <c r="A573" s="5" t="n"/>
      <c r="B573" s="5" t="n"/>
      <c r="C573" s="52" t="n"/>
      <c r="D573" s="52" t="n"/>
      <c r="E573" s="52" t="n"/>
      <c r="F573" s="52" t="n"/>
      <c r="G573" s="52" t="n"/>
      <c r="H573" s="52" t="n"/>
      <c r="I573" s="52" t="n"/>
      <c r="J573" s="52" t="n"/>
      <c r="K573" s="54" t="n"/>
      <c r="L573" s="5" t="n"/>
      <c r="M573" s="53">
        <f>IF(A573="","",IFERROR(INDEX(Firms!$B$5:$B$1004,MATCH(A573,Firms!$A$5:$A$1004,0)),"Not on Firms tab"))</f>
        <v/>
      </c>
      <c r="N573">
        <f>IF(AND(A573&lt;&gt;"",A573='Firm Search'!$C$7),COUNTIF($A$5:A573,'Firm Search'!$C$7),"")</f>
        <v/>
      </c>
    </row>
    <row r="574">
      <c r="A574" s="5" t="n"/>
      <c r="B574" s="5" t="n"/>
      <c r="C574" s="52" t="n"/>
      <c r="D574" s="52" t="n"/>
      <c r="E574" s="52" t="n"/>
      <c r="F574" s="52" t="n"/>
      <c r="G574" s="52" t="n"/>
      <c r="H574" s="52" t="n"/>
      <c r="I574" s="52" t="n"/>
      <c r="J574" s="52" t="n"/>
      <c r="K574" s="54" t="n"/>
      <c r="L574" s="5" t="n"/>
      <c r="M574" s="53">
        <f>IF(A574="","",IFERROR(INDEX(Firms!$B$5:$B$1004,MATCH(A574,Firms!$A$5:$A$1004,0)),"Not on Firms tab"))</f>
        <v/>
      </c>
      <c r="N574">
        <f>IF(AND(A574&lt;&gt;"",A574='Firm Search'!$C$7),COUNTIF($A$5:A574,'Firm Search'!$C$7),"")</f>
        <v/>
      </c>
    </row>
    <row r="575">
      <c r="A575" s="5" t="n"/>
      <c r="B575" s="5" t="n"/>
      <c r="C575" s="52" t="n"/>
      <c r="D575" s="52" t="n"/>
      <c r="E575" s="52" t="n"/>
      <c r="F575" s="52" t="n"/>
      <c r="G575" s="52" t="n"/>
      <c r="H575" s="52" t="n"/>
      <c r="I575" s="52" t="n"/>
      <c r="J575" s="52" t="n"/>
      <c r="K575" s="54" t="n"/>
      <c r="L575" s="5" t="n"/>
      <c r="M575" s="53">
        <f>IF(A575="","",IFERROR(INDEX(Firms!$B$5:$B$1004,MATCH(A575,Firms!$A$5:$A$1004,0)),"Not on Firms tab"))</f>
        <v/>
      </c>
      <c r="N575">
        <f>IF(AND(A575&lt;&gt;"",A575='Firm Search'!$C$7),COUNTIF($A$5:A575,'Firm Search'!$C$7),"")</f>
        <v/>
      </c>
    </row>
    <row r="576">
      <c r="A576" s="5" t="n"/>
      <c r="B576" s="5" t="n"/>
      <c r="C576" s="52" t="n"/>
      <c r="D576" s="52" t="n"/>
      <c r="E576" s="52" t="n"/>
      <c r="F576" s="52" t="n"/>
      <c r="G576" s="52" t="n"/>
      <c r="H576" s="52" t="n"/>
      <c r="I576" s="52" t="n"/>
      <c r="J576" s="52" t="n"/>
      <c r="K576" s="54" t="n"/>
      <c r="L576" s="5" t="n"/>
      <c r="M576" s="53">
        <f>IF(A576="","",IFERROR(INDEX(Firms!$B$5:$B$1004,MATCH(A576,Firms!$A$5:$A$1004,0)),"Not on Firms tab"))</f>
        <v/>
      </c>
      <c r="N576">
        <f>IF(AND(A576&lt;&gt;"",A576='Firm Search'!$C$7),COUNTIF($A$5:A576,'Firm Search'!$C$7),"")</f>
        <v/>
      </c>
    </row>
    <row r="577">
      <c r="A577" s="5" t="n"/>
      <c r="B577" s="5" t="n"/>
      <c r="C577" s="52" t="n"/>
      <c r="D577" s="52" t="n"/>
      <c r="E577" s="52" t="n"/>
      <c r="F577" s="52" t="n"/>
      <c r="G577" s="52" t="n"/>
      <c r="H577" s="52" t="n"/>
      <c r="I577" s="52" t="n"/>
      <c r="J577" s="52" t="n"/>
      <c r="K577" s="54" t="n"/>
      <c r="L577" s="5" t="n"/>
      <c r="M577" s="53">
        <f>IF(A577="","",IFERROR(INDEX(Firms!$B$5:$B$1004,MATCH(A577,Firms!$A$5:$A$1004,0)),"Not on Firms tab"))</f>
        <v/>
      </c>
      <c r="N577">
        <f>IF(AND(A577&lt;&gt;"",A577='Firm Search'!$C$7),COUNTIF($A$5:A577,'Firm Search'!$C$7),"")</f>
        <v/>
      </c>
    </row>
    <row r="578">
      <c r="A578" s="5" t="n"/>
      <c r="B578" s="5" t="n"/>
      <c r="C578" s="52" t="n"/>
      <c r="D578" s="52" t="n"/>
      <c r="E578" s="52" t="n"/>
      <c r="F578" s="52" t="n"/>
      <c r="G578" s="52" t="n"/>
      <c r="H578" s="52" t="n"/>
      <c r="I578" s="52" t="n"/>
      <c r="J578" s="52" t="n"/>
      <c r="K578" s="54" t="n"/>
      <c r="L578" s="5" t="n"/>
      <c r="M578" s="53">
        <f>IF(A578="","",IFERROR(INDEX(Firms!$B$5:$B$1004,MATCH(A578,Firms!$A$5:$A$1004,0)),"Not on Firms tab"))</f>
        <v/>
      </c>
      <c r="N578">
        <f>IF(AND(A578&lt;&gt;"",A578='Firm Search'!$C$7),COUNTIF($A$5:A578,'Firm Search'!$C$7),"")</f>
        <v/>
      </c>
    </row>
    <row r="579">
      <c r="A579" s="5" t="n"/>
      <c r="B579" s="5" t="n"/>
      <c r="C579" s="52" t="n"/>
      <c r="D579" s="52" t="n"/>
      <c r="E579" s="52" t="n"/>
      <c r="F579" s="52" t="n"/>
      <c r="G579" s="52" t="n"/>
      <c r="H579" s="52" t="n"/>
      <c r="I579" s="52" t="n"/>
      <c r="J579" s="52" t="n"/>
      <c r="K579" s="54" t="n"/>
      <c r="L579" s="5" t="n"/>
      <c r="M579" s="53">
        <f>IF(A579="","",IFERROR(INDEX(Firms!$B$5:$B$1004,MATCH(A579,Firms!$A$5:$A$1004,0)),"Not on Firms tab"))</f>
        <v/>
      </c>
      <c r="N579">
        <f>IF(AND(A579&lt;&gt;"",A579='Firm Search'!$C$7),COUNTIF($A$5:A579,'Firm Search'!$C$7),"")</f>
        <v/>
      </c>
    </row>
    <row r="580">
      <c r="A580" s="5" t="n"/>
      <c r="B580" s="5" t="n"/>
      <c r="C580" s="52" t="n"/>
      <c r="D580" s="52" t="n"/>
      <c r="E580" s="52" t="n"/>
      <c r="F580" s="52" t="n"/>
      <c r="G580" s="52" t="n"/>
      <c r="H580" s="52" t="n"/>
      <c r="I580" s="52" t="n"/>
      <c r="J580" s="52" t="n"/>
      <c r="K580" s="54" t="n"/>
      <c r="L580" s="5" t="n"/>
      <c r="M580" s="53">
        <f>IF(A580="","",IFERROR(INDEX(Firms!$B$5:$B$1004,MATCH(A580,Firms!$A$5:$A$1004,0)),"Not on Firms tab"))</f>
        <v/>
      </c>
      <c r="N580">
        <f>IF(AND(A580&lt;&gt;"",A580='Firm Search'!$C$7),COUNTIF($A$5:A580,'Firm Search'!$C$7),"")</f>
        <v/>
      </c>
    </row>
    <row r="581">
      <c r="A581" s="5" t="n"/>
      <c r="B581" s="5" t="n"/>
      <c r="C581" s="52" t="n"/>
      <c r="D581" s="52" t="n"/>
      <c r="E581" s="52" t="n"/>
      <c r="F581" s="52" t="n"/>
      <c r="G581" s="52" t="n"/>
      <c r="H581" s="52" t="n"/>
      <c r="I581" s="52" t="n"/>
      <c r="J581" s="52" t="n"/>
      <c r="K581" s="54" t="n"/>
      <c r="L581" s="5" t="n"/>
      <c r="M581" s="53">
        <f>IF(A581="","",IFERROR(INDEX(Firms!$B$5:$B$1004,MATCH(A581,Firms!$A$5:$A$1004,0)),"Not on Firms tab"))</f>
        <v/>
      </c>
      <c r="N581">
        <f>IF(AND(A581&lt;&gt;"",A581='Firm Search'!$C$7),COUNTIF($A$5:A581,'Firm Search'!$C$7),"")</f>
        <v/>
      </c>
    </row>
    <row r="582">
      <c r="A582" s="5" t="n"/>
      <c r="B582" s="5" t="n"/>
      <c r="C582" s="52" t="n"/>
      <c r="D582" s="52" t="n"/>
      <c r="E582" s="52" t="n"/>
      <c r="F582" s="52" t="n"/>
      <c r="G582" s="52" t="n"/>
      <c r="H582" s="52" t="n"/>
      <c r="I582" s="52" t="n"/>
      <c r="J582" s="52" t="n"/>
      <c r="K582" s="54" t="n"/>
      <c r="L582" s="5" t="n"/>
      <c r="M582" s="53">
        <f>IF(A582="","",IFERROR(INDEX(Firms!$B$5:$B$1004,MATCH(A582,Firms!$A$5:$A$1004,0)),"Not on Firms tab"))</f>
        <v/>
      </c>
      <c r="N582">
        <f>IF(AND(A582&lt;&gt;"",A582='Firm Search'!$C$7),COUNTIF($A$5:A582,'Firm Search'!$C$7),"")</f>
        <v/>
      </c>
    </row>
    <row r="583">
      <c r="A583" s="5" t="n"/>
      <c r="B583" s="5" t="n"/>
      <c r="C583" s="52" t="n"/>
      <c r="D583" s="52" t="n"/>
      <c r="E583" s="52" t="n"/>
      <c r="F583" s="52" t="n"/>
      <c r="G583" s="52" t="n"/>
      <c r="H583" s="52" t="n"/>
      <c r="I583" s="52" t="n"/>
      <c r="J583" s="52" t="n"/>
      <c r="K583" s="54" t="n"/>
      <c r="L583" s="5" t="n"/>
      <c r="M583" s="53">
        <f>IF(A583="","",IFERROR(INDEX(Firms!$B$5:$B$1004,MATCH(A583,Firms!$A$5:$A$1004,0)),"Not on Firms tab"))</f>
        <v/>
      </c>
      <c r="N583">
        <f>IF(AND(A583&lt;&gt;"",A583='Firm Search'!$C$7),COUNTIF($A$5:A583,'Firm Search'!$C$7),"")</f>
        <v/>
      </c>
    </row>
    <row r="584">
      <c r="A584" s="5" t="n"/>
      <c r="B584" s="5" t="n"/>
      <c r="C584" s="52" t="n"/>
      <c r="D584" s="52" t="n"/>
      <c r="E584" s="52" t="n"/>
      <c r="F584" s="52" t="n"/>
      <c r="G584" s="52" t="n"/>
      <c r="H584" s="52" t="n"/>
      <c r="I584" s="52" t="n"/>
      <c r="J584" s="52" t="n"/>
      <c r="K584" s="54" t="n"/>
      <c r="L584" s="5" t="n"/>
      <c r="M584" s="53">
        <f>IF(A584="","",IFERROR(INDEX(Firms!$B$5:$B$1004,MATCH(A584,Firms!$A$5:$A$1004,0)),"Not on Firms tab"))</f>
        <v/>
      </c>
      <c r="N584">
        <f>IF(AND(A584&lt;&gt;"",A584='Firm Search'!$C$7),COUNTIF($A$5:A584,'Firm Search'!$C$7),"")</f>
        <v/>
      </c>
    </row>
    <row r="585">
      <c r="A585" s="5" t="n"/>
      <c r="B585" s="5" t="n"/>
      <c r="C585" s="52" t="n"/>
      <c r="D585" s="52" t="n"/>
      <c r="E585" s="52" t="n"/>
      <c r="F585" s="52" t="n"/>
      <c r="G585" s="52" t="n"/>
      <c r="H585" s="52" t="n"/>
      <c r="I585" s="52" t="n"/>
      <c r="J585" s="52" t="n"/>
      <c r="K585" s="54" t="n"/>
      <c r="L585" s="5" t="n"/>
      <c r="M585" s="53">
        <f>IF(A585="","",IFERROR(INDEX(Firms!$B$5:$B$1004,MATCH(A585,Firms!$A$5:$A$1004,0)),"Not on Firms tab"))</f>
        <v/>
      </c>
      <c r="N585">
        <f>IF(AND(A585&lt;&gt;"",A585='Firm Search'!$C$7),COUNTIF($A$5:A585,'Firm Search'!$C$7),"")</f>
        <v/>
      </c>
    </row>
    <row r="586">
      <c r="A586" s="5" t="n"/>
      <c r="B586" s="5" t="n"/>
      <c r="C586" s="52" t="n"/>
      <c r="D586" s="52" t="n"/>
      <c r="E586" s="52" t="n"/>
      <c r="F586" s="52" t="n"/>
      <c r="G586" s="52" t="n"/>
      <c r="H586" s="52" t="n"/>
      <c r="I586" s="52" t="n"/>
      <c r="J586" s="52" t="n"/>
      <c r="K586" s="54" t="n"/>
      <c r="L586" s="5" t="n"/>
      <c r="M586" s="53">
        <f>IF(A586="","",IFERROR(INDEX(Firms!$B$5:$B$1004,MATCH(A586,Firms!$A$5:$A$1004,0)),"Not on Firms tab"))</f>
        <v/>
      </c>
      <c r="N586">
        <f>IF(AND(A586&lt;&gt;"",A586='Firm Search'!$C$7),COUNTIF($A$5:A586,'Firm Search'!$C$7),"")</f>
        <v/>
      </c>
    </row>
    <row r="587">
      <c r="A587" s="5" t="n"/>
      <c r="B587" s="5" t="n"/>
      <c r="C587" s="52" t="n"/>
      <c r="D587" s="52" t="n"/>
      <c r="E587" s="52" t="n"/>
      <c r="F587" s="52" t="n"/>
      <c r="G587" s="52" t="n"/>
      <c r="H587" s="52" t="n"/>
      <c r="I587" s="52" t="n"/>
      <c r="J587" s="52" t="n"/>
      <c r="K587" s="54" t="n"/>
      <c r="L587" s="5" t="n"/>
      <c r="M587" s="53">
        <f>IF(A587="","",IFERROR(INDEX(Firms!$B$5:$B$1004,MATCH(A587,Firms!$A$5:$A$1004,0)),"Not on Firms tab"))</f>
        <v/>
      </c>
      <c r="N587">
        <f>IF(AND(A587&lt;&gt;"",A587='Firm Search'!$C$7),COUNTIF($A$5:A587,'Firm Search'!$C$7),"")</f>
        <v/>
      </c>
    </row>
    <row r="588">
      <c r="A588" s="5" t="n"/>
      <c r="B588" s="5" t="n"/>
      <c r="C588" s="52" t="n"/>
      <c r="D588" s="52" t="n"/>
      <c r="E588" s="52" t="n"/>
      <c r="F588" s="52" t="n"/>
      <c r="G588" s="52" t="n"/>
      <c r="H588" s="52" t="n"/>
      <c r="I588" s="52" t="n"/>
      <c r="J588" s="52" t="n"/>
      <c r="K588" s="54" t="n"/>
      <c r="L588" s="5" t="n"/>
      <c r="M588" s="53">
        <f>IF(A588="","",IFERROR(INDEX(Firms!$B$5:$B$1004,MATCH(A588,Firms!$A$5:$A$1004,0)),"Not on Firms tab"))</f>
        <v/>
      </c>
      <c r="N588">
        <f>IF(AND(A588&lt;&gt;"",A588='Firm Search'!$C$7),COUNTIF($A$5:A588,'Firm Search'!$C$7),"")</f>
        <v/>
      </c>
    </row>
    <row r="589">
      <c r="A589" s="5" t="n"/>
      <c r="B589" s="5" t="n"/>
      <c r="C589" s="52" t="n"/>
      <c r="D589" s="52" t="n"/>
      <c r="E589" s="52" t="n"/>
      <c r="F589" s="52" t="n"/>
      <c r="G589" s="52" t="n"/>
      <c r="H589" s="52" t="n"/>
      <c r="I589" s="52" t="n"/>
      <c r="J589" s="52" t="n"/>
      <c r="K589" s="54" t="n"/>
      <c r="L589" s="5" t="n"/>
      <c r="M589" s="53">
        <f>IF(A589="","",IFERROR(INDEX(Firms!$B$5:$B$1004,MATCH(A589,Firms!$A$5:$A$1004,0)),"Not on Firms tab"))</f>
        <v/>
      </c>
      <c r="N589">
        <f>IF(AND(A589&lt;&gt;"",A589='Firm Search'!$C$7),COUNTIF($A$5:A589,'Firm Search'!$C$7),"")</f>
        <v/>
      </c>
    </row>
    <row r="590">
      <c r="A590" s="5" t="n"/>
      <c r="B590" s="5" t="n"/>
      <c r="C590" s="52" t="n"/>
      <c r="D590" s="52" t="n"/>
      <c r="E590" s="52" t="n"/>
      <c r="F590" s="52" t="n"/>
      <c r="G590" s="52" t="n"/>
      <c r="H590" s="52" t="n"/>
      <c r="I590" s="52" t="n"/>
      <c r="J590" s="52" t="n"/>
      <c r="K590" s="54" t="n"/>
      <c r="L590" s="5" t="n"/>
      <c r="M590" s="53">
        <f>IF(A590="","",IFERROR(INDEX(Firms!$B$5:$B$1004,MATCH(A590,Firms!$A$5:$A$1004,0)),"Not on Firms tab"))</f>
        <v/>
      </c>
      <c r="N590">
        <f>IF(AND(A590&lt;&gt;"",A590='Firm Search'!$C$7),COUNTIF($A$5:A590,'Firm Search'!$C$7),"")</f>
        <v/>
      </c>
    </row>
    <row r="591">
      <c r="A591" s="5" t="n"/>
      <c r="B591" s="5" t="n"/>
      <c r="C591" s="52" t="n"/>
      <c r="D591" s="52" t="n"/>
      <c r="E591" s="52" t="n"/>
      <c r="F591" s="52" t="n"/>
      <c r="G591" s="52" t="n"/>
      <c r="H591" s="52" t="n"/>
      <c r="I591" s="52" t="n"/>
      <c r="J591" s="52" t="n"/>
      <c r="K591" s="54" t="n"/>
      <c r="L591" s="5" t="n"/>
      <c r="M591" s="53">
        <f>IF(A591="","",IFERROR(INDEX(Firms!$B$5:$B$1004,MATCH(A591,Firms!$A$5:$A$1004,0)),"Not on Firms tab"))</f>
        <v/>
      </c>
      <c r="N591">
        <f>IF(AND(A591&lt;&gt;"",A591='Firm Search'!$C$7),COUNTIF($A$5:A591,'Firm Search'!$C$7),"")</f>
        <v/>
      </c>
    </row>
    <row r="592">
      <c r="A592" s="5" t="n"/>
      <c r="B592" s="5" t="n"/>
      <c r="C592" s="52" t="n"/>
      <c r="D592" s="52" t="n"/>
      <c r="E592" s="52" t="n"/>
      <c r="F592" s="52" t="n"/>
      <c r="G592" s="52" t="n"/>
      <c r="H592" s="52" t="n"/>
      <c r="I592" s="52" t="n"/>
      <c r="J592" s="52" t="n"/>
      <c r="K592" s="54" t="n"/>
      <c r="L592" s="5" t="n"/>
      <c r="M592" s="53">
        <f>IF(A592="","",IFERROR(INDEX(Firms!$B$5:$B$1004,MATCH(A592,Firms!$A$5:$A$1004,0)),"Not on Firms tab"))</f>
        <v/>
      </c>
      <c r="N592">
        <f>IF(AND(A592&lt;&gt;"",A592='Firm Search'!$C$7),COUNTIF($A$5:A592,'Firm Search'!$C$7),"")</f>
        <v/>
      </c>
    </row>
    <row r="593">
      <c r="A593" s="5" t="n"/>
      <c r="B593" s="5" t="n"/>
      <c r="C593" s="52" t="n"/>
      <c r="D593" s="52" t="n"/>
      <c r="E593" s="52" t="n"/>
      <c r="F593" s="52" t="n"/>
      <c r="G593" s="52" t="n"/>
      <c r="H593" s="52" t="n"/>
      <c r="I593" s="52" t="n"/>
      <c r="J593" s="52" t="n"/>
      <c r="K593" s="54" t="n"/>
      <c r="L593" s="5" t="n"/>
      <c r="M593" s="53">
        <f>IF(A593="","",IFERROR(INDEX(Firms!$B$5:$B$1004,MATCH(A593,Firms!$A$5:$A$1004,0)),"Not on Firms tab"))</f>
        <v/>
      </c>
      <c r="N593">
        <f>IF(AND(A593&lt;&gt;"",A593='Firm Search'!$C$7),COUNTIF($A$5:A593,'Firm Search'!$C$7),"")</f>
        <v/>
      </c>
    </row>
    <row r="594">
      <c r="A594" s="5" t="n"/>
      <c r="B594" s="5" t="n"/>
      <c r="C594" s="52" t="n"/>
      <c r="D594" s="52" t="n"/>
      <c r="E594" s="52" t="n"/>
      <c r="F594" s="52" t="n"/>
      <c r="G594" s="52" t="n"/>
      <c r="H594" s="52" t="n"/>
      <c r="I594" s="52" t="n"/>
      <c r="J594" s="52" t="n"/>
      <c r="K594" s="54" t="n"/>
      <c r="L594" s="5" t="n"/>
      <c r="M594" s="53">
        <f>IF(A594="","",IFERROR(INDEX(Firms!$B$5:$B$1004,MATCH(A594,Firms!$A$5:$A$1004,0)),"Not on Firms tab"))</f>
        <v/>
      </c>
      <c r="N594">
        <f>IF(AND(A594&lt;&gt;"",A594='Firm Search'!$C$7),COUNTIF($A$5:A594,'Firm Search'!$C$7),"")</f>
        <v/>
      </c>
    </row>
    <row r="595">
      <c r="A595" s="5" t="n"/>
      <c r="B595" s="5" t="n"/>
      <c r="C595" s="52" t="n"/>
      <c r="D595" s="52" t="n"/>
      <c r="E595" s="52" t="n"/>
      <c r="F595" s="52" t="n"/>
      <c r="G595" s="52" t="n"/>
      <c r="H595" s="52" t="n"/>
      <c r="I595" s="52" t="n"/>
      <c r="J595" s="52" t="n"/>
      <c r="K595" s="54" t="n"/>
      <c r="L595" s="5" t="n"/>
      <c r="M595" s="53">
        <f>IF(A595="","",IFERROR(INDEX(Firms!$B$5:$B$1004,MATCH(A595,Firms!$A$5:$A$1004,0)),"Not on Firms tab"))</f>
        <v/>
      </c>
      <c r="N595">
        <f>IF(AND(A595&lt;&gt;"",A595='Firm Search'!$C$7),COUNTIF($A$5:A595,'Firm Search'!$C$7),"")</f>
        <v/>
      </c>
    </row>
    <row r="596">
      <c r="A596" s="5" t="n"/>
      <c r="B596" s="5" t="n"/>
      <c r="C596" s="52" t="n"/>
      <c r="D596" s="52" t="n"/>
      <c r="E596" s="52" t="n"/>
      <c r="F596" s="52" t="n"/>
      <c r="G596" s="52" t="n"/>
      <c r="H596" s="52" t="n"/>
      <c r="I596" s="52" t="n"/>
      <c r="J596" s="52" t="n"/>
      <c r="K596" s="54" t="n"/>
      <c r="L596" s="5" t="n"/>
      <c r="M596" s="53">
        <f>IF(A596="","",IFERROR(INDEX(Firms!$B$5:$B$1004,MATCH(A596,Firms!$A$5:$A$1004,0)),"Not on Firms tab"))</f>
        <v/>
      </c>
      <c r="N596">
        <f>IF(AND(A596&lt;&gt;"",A596='Firm Search'!$C$7),COUNTIF($A$5:A596,'Firm Search'!$C$7),"")</f>
        <v/>
      </c>
    </row>
    <row r="597">
      <c r="A597" s="5" t="n"/>
      <c r="B597" s="5" t="n"/>
      <c r="C597" s="52" t="n"/>
      <c r="D597" s="52" t="n"/>
      <c r="E597" s="52" t="n"/>
      <c r="F597" s="52" t="n"/>
      <c r="G597" s="52" t="n"/>
      <c r="H597" s="52" t="n"/>
      <c r="I597" s="52" t="n"/>
      <c r="J597" s="52" t="n"/>
      <c r="K597" s="54" t="n"/>
      <c r="L597" s="5" t="n"/>
      <c r="M597" s="53">
        <f>IF(A597="","",IFERROR(INDEX(Firms!$B$5:$B$1004,MATCH(A597,Firms!$A$5:$A$1004,0)),"Not on Firms tab"))</f>
        <v/>
      </c>
      <c r="N597">
        <f>IF(AND(A597&lt;&gt;"",A597='Firm Search'!$C$7),COUNTIF($A$5:A597,'Firm Search'!$C$7),"")</f>
        <v/>
      </c>
    </row>
    <row r="598">
      <c r="A598" s="5" t="n"/>
      <c r="B598" s="5" t="n"/>
      <c r="C598" s="52" t="n"/>
      <c r="D598" s="52" t="n"/>
      <c r="E598" s="52" t="n"/>
      <c r="F598" s="52" t="n"/>
      <c r="G598" s="52" t="n"/>
      <c r="H598" s="52" t="n"/>
      <c r="I598" s="52" t="n"/>
      <c r="J598" s="52" t="n"/>
      <c r="K598" s="54" t="n"/>
      <c r="L598" s="5" t="n"/>
      <c r="M598" s="53">
        <f>IF(A598="","",IFERROR(INDEX(Firms!$B$5:$B$1004,MATCH(A598,Firms!$A$5:$A$1004,0)),"Not on Firms tab"))</f>
        <v/>
      </c>
      <c r="N598">
        <f>IF(AND(A598&lt;&gt;"",A598='Firm Search'!$C$7),COUNTIF($A$5:A598,'Firm Search'!$C$7),"")</f>
        <v/>
      </c>
    </row>
    <row r="599">
      <c r="A599" s="5" t="n"/>
      <c r="B599" s="5" t="n"/>
      <c r="C599" s="52" t="n"/>
      <c r="D599" s="52" t="n"/>
      <c r="E599" s="52" t="n"/>
      <c r="F599" s="52" t="n"/>
      <c r="G599" s="52" t="n"/>
      <c r="H599" s="52" t="n"/>
      <c r="I599" s="52" t="n"/>
      <c r="J599" s="52" t="n"/>
      <c r="K599" s="54" t="n"/>
      <c r="L599" s="5" t="n"/>
      <c r="M599" s="53">
        <f>IF(A599="","",IFERROR(INDEX(Firms!$B$5:$B$1004,MATCH(A599,Firms!$A$5:$A$1004,0)),"Not on Firms tab"))</f>
        <v/>
      </c>
      <c r="N599">
        <f>IF(AND(A599&lt;&gt;"",A599='Firm Search'!$C$7),COUNTIF($A$5:A599,'Firm Search'!$C$7),"")</f>
        <v/>
      </c>
    </row>
    <row r="600">
      <c r="A600" s="5" t="n"/>
      <c r="B600" s="5" t="n"/>
      <c r="C600" s="52" t="n"/>
      <c r="D600" s="52" t="n"/>
      <c r="E600" s="52" t="n"/>
      <c r="F600" s="52" t="n"/>
      <c r="G600" s="52" t="n"/>
      <c r="H600" s="52" t="n"/>
      <c r="I600" s="52" t="n"/>
      <c r="J600" s="52" t="n"/>
      <c r="K600" s="54" t="n"/>
      <c r="L600" s="5" t="n"/>
      <c r="M600" s="53">
        <f>IF(A600="","",IFERROR(INDEX(Firms!$B$5:$B$1004,MATCH(A600,Firms!$A$5:$A$1004,0)),"Not on Firms tab"))</f>
        <v/>
      </c>
      <c r="N600">
        <f>IF(AND(A600&lt;&gt;"",A600='Firm Search'!$C$7),COUNTIF($A$5:A600,'Firm Search'!$C$7),"")</f>
        <v/>
      </c>
    </row>
    <row r="601">
      <c r="A601" s="5" t="n"/>
      <c r="B601" s="5" t="n"/>
      <c r="C601" s="52" t="n"/>
      <c r="D601" s="52" t="n"/>
      <c r="E601" s="52" t="n"/>
      <c r="F601" s="52" t="n"/>
      <c r="G601" s="52" t="n"/>
      <c r="H601" s="52" t="n"/>
      <c r="I601" s="52" t="n"/>
      <c r="J601" s="52" t="n"/>
      <c r="K601" s="54" t="n"/>
      <c r="L601" s="5" t="n"/>
      <c r="M601" s="53">
        <f>IF(A601="","",IFERROR(INDEX(Firms!$B$5:$B$1004,MATCH(A601,Firms!$A$5:$A$1004,0)),"Not on Firms tab"))</f>
        <v/>
      </c>
      <c r="N601">
        <f>IF(AND(A601&lt;&gt;"",A601='Firm Search'!$C$7),COUNTIF($A$5:A601,'Firm Search'!$C$7),"")</f>
        <v/>
      </c>
    </row>
    <row r="602">
      <c r="A602" s="5" t="n"/>
      <c r="B602" s="5" t="n"/>
      <c r="C602" s="52" t="n"/>
      <c r="D602" s="52" t="n"/>
      <c r="E602" s="52" t="n"/>
      <c r="F602" s="52" t="n"/>
      <c r="G602" s="52" t="n"/>
      <c r="H602" s="52" t="n"/>
      <c r="I602" s="52" t="n"/>
      <c r="J602" s="52" t="n"/>
      <c r="K602" s="54" t="n"/>
      <c r="L602" s="5" t="n"/>
      <c r="M602" s="53">
        <f>IF(A602="","",IFERROR(INDEX(Firms!$B$5:$B$1004,MATCH(A602,Firms!$A$5:$A$1004,0)),"Not on Firms tab"))</f>
        <v/>
      </c>
      <c r="N602">
        <f>IF(AND(A602&lt;&gt;"",A602='Firm Search'!$C$7),COUNTIF($A$5:A602,'Firm Search'!$C$7),"")</f>
        <v/>
      </c>
    </row>
    <row r="603">
      <c r="A603" s="5" t="n"/>
      <c r="B603" s="5" t="n"/>
      <c r="C603" s="52" t="n"/>
      <c r="D603" s="52" t="n"/>
      <c r="E603" s="52" t="n"/>
      <c r="F603" s="52" t="n"/>
      <c r="G603" s="52" t="n"/>
      <c r="H603" s="52" t="n"/>
      <c r="I603" s="52" t="n"/>
      <c r="J603" s="52" t="n"/>
      <c r="K603" s="54" t="n"/>
      <c r="L603" s="5" t="n"/>
      <c r="M603" s="53">
        <f>IF(A603="","",IFERROR(INDEX(Firms!$B$5:$B$1004,MATCH(A603,Firms!$A$5:$A$1004,0)),"Not on Firms tab"))</f>
        <v/>
      </c>
      <c r="N603">
        <f>IF(AND(A603&lt;&gt;"",A603='Firm Search'!$C$7),COUNTIF($A$5:A603,'Firm Search'!$C$7),"")</f>
        <v/>
      </c>
    </row>
    <row r="604">
      <c r="A604" s="5" t="n"/>
      <c r="B604" s="5" t="n"/>
      <c r="C604" s="52" t="n"/>
      <c r="D604" s="52" t="n"/>
      <c r="E604" s="52" t="n"/>
      <c r="F604" s="52" t="n"/>
      <c r="G604" s="52" t="n"/>
      <c r="H604" s="52" t="n"/>
      <c r="I604" s="52" t="n"/>
      <c r="J604" s="52" t="n"/>
      <c r="K604" s="54" t="n"/>
      <c r="L604" s="5" t="n"/>
      <c r="M604" s="53">
        <f>IF(A604="","",IFERROR(INDEX(Firms!$B$5:$B$1004,MATCH(A604,Firms!$A$5:$A$1004,0)),"Not on Firms tab"))</f>
        <v/>
      </c>
      <c r="N604">
        <f>IF(AND(A604&lt;&gt;"",A604='Firm Search'!$C$7),COUNTIF($A$5:A604,'Firm Search'!$C$7),"")</f>
        <v/>
      </c>
    </row>
    <row r="605">
      <c r="A605" s="5" t="n"/>
      <c r="B605" s="5" t="n"/>
      <c r="C605" s="52" t="n"/>
      <c r="D605" s="52" t="n"/>
      <c r="E605" s="52" t="n"/>
      <c r="F605" s="52" t="n"/>
      <c r="G605" s="52" t="n"/>
      <c r="H605" s="52" t="n"/>
      <c r="I605" s="52" t="n"/>
      <c r="J605" s="52" t="n"/>
      <c r="K605" s="54" t="n"/>
      <c r="L605" s="5" t="n"/>
      <c r="M605" s="53">
        <f>IF(A605="","",IFERROR(INDEX(Firms!$B$5:$B$1004,MATCH(A605,Firms!$A$5:$A$1004,0)),"Not on Firms tab"))</f>
        <v/>
      </c>
      <c r="N605">
        <f>IF(AND(A605&lt;&gt;"",A605='Firm Search'!$C$7),COUNTIF($A$5:A605,'Firm Search'!$C$7),"")</f>
        <v/>
      </c>
    </row>
    <row r="606">
      <c r="A606" s="5" t="n"/>
      <c r="B606" s="5" t="n"/>
      <c r="C606" s="52" t="n"/>
      <c r="D606" s="52" t="n"/>
      <c r="E606" s="52" t="n"/>
      <c r="F606" s="52" t="n"/>
      <c r="G606" s="52" t="n"/>
      <c r="H606" s="52" t="n"/>
      <c r="I606" s="52" t="n"/>
      <c r="J606" s="52" t="n"/>
      <c r="K606" s="54" t="n"/>
      <c r="L606" s="5" t="n"/>
      <c r="M606" s="53">
        <f>IF(A606="","",IFERROR(INDEX(Firms!$B$5:$B$1004,MATCH(A606,Firms!$A$5:$A$1004,0)),"Not on Firms tab"))</f>
        <v/>
      </c>
      <c r="N606">
        <f>IF(AND(A606&lt;&gt;"",A606='Firm Search'!$C$7),COUNTIF($A$5:A606,'Firm Search'!$C$7),"")</f>
        <v/>
      </c>
    </row>
    <row r="607">
      <c r="A607" s="5" t="n"/>
      <c r="B607" s="5" t="n"/>
      <c r="C607" s="52" t="n"/>
      <c r="D607" s="52" t="n"/>
      <c r="E607" s="52" t="n"/>
      <c r="F607" s="52" t="n"/>
      <c r="G607" s="52" t="n"/>
      <c r="H607" s="52" t="n"/>
      <c r="I607" s="52" t="n"/>
      <c r="J607" s="52" t="n"/>
      <c r="K607" s="54" t="n"/>
      <c r="L607" s="5" t="n"/>
      <c r="M607" s="53">
        <f>IF(A607="","",IFERROR(INDEX(Firms!$B$5:$B$1004,MATCH(A607,Firms!$A$5:$A$1004,0)),"Not on Firms tab"))</f>
        <v/>
      </c>
      <c r="N607">
        <f>IF(AND(A607&lt;&gt;"",A607='Firm Search'!$C$7),COUNTIF($A$5:A607,'Firm Search'!$C$7),"")</f>
        <v/>
      </c>
    </row>
    <row r="608">
      <c r="A608" s="5" t="n"/>
      <c r="B608" s="5" t="n"/>
      <c r="C608" s="52" t="n"/>
      <c r="D608" s="52" t="n"/>
      <c r="E608" s="52" t="n"/>
      <c r="F608" s="52" t="n"/>
      <c r="G608" s="52" t="n"/>
      <c r="H608" s="52" t="n"/>
      <c r="I608" s="52" t="n"/>
      <c r="J608" s="52" t="n"/>
      <c r="K608" s="54" t="n"/>
      <c r="L608" s="5" t="n"/>
      <c r="M608" s="53">
        <f>IF(A608="","",IFERROR(INDEX(Firms!$B$5:$B$1004,MATCH(A608,Firms!$A$5:$A$1004,0)),"Not on Firms tab"))</f>
        <v/>
      </c>
      <c r="N608">
        <f>IF(AND(A608&lt;&gt;"",A608='Firm Search'!$C$7),COUNTIF($A$5:A608,'Firm Search'!$C$7),"")</f>
        <v/>
      </c>
    </row>
    <row r="609">
      <c r="A609" s="5" t="n"/>
      <c r="B609" s="5" t="n"/>
      <c r="C609" s="52" t="n"/>
      <c r="D609" s="52" t="n"/>
      <c r="E609" s="52" t="n"/>
      <c r="F609" s="52" t="n"/>
      <c r="G609" s="52" t="n"/>
      <c r="H609" s="52" t="n"/>
      <c r="I609" s="52" t="n"/>
      <c r="J609" s="52" t="n"/>
      <c r="K609" s="54" t="n"/>
      <c r="L609" s="5" t="n"/>
      <c r="M609" s="53">
        <f>IF(A609="","",IFERROR(INDEX(Firms!$B$5:$B$1004,MATCH(A609,Firms!$A$5:$A$1004,0)),"Not on Firms tab"))</f>
        <v/>
      </c>
      <c r="N609">
        <f>IF(AND(A609&lt;&gt;"",A609='Firm Search'!$C$7),COUNTIF($A$5:A609,'Firm Search'!$C$7),"")</f>
        <v/>
      </c>
    </row>
    <row r="610">
      <c r="A610" s="5" t="n"/>
      <c r="B610" s="5" t="n"/>
      <c r="C610" s="52" t="n"/>
      <c r="D610" s="52" t="n"/>
      <c r="E610" s="52" t="n"/>
      <c r="F610" s="52" t="n"/>
      <c r="G610" s="52" t="n"/>
      <c r="H610" s="52" t="n"/>
      <c r="I610" s="52" t="n"/>
      <c r="J610" s="52" t="n"/>
      <c r="K610" s="54" t="n"/>
      <c r="L610" s="5" t="n"/>
      <c r="M610" s="53">
        <f>IF(A610="","",IFERROR(INDEX(Firms!$B$5:$B$1004,MATCH(A610,Firms!$A$5:$A$1004,0)),"Not on Firms tab"))</f>
        <v/>
      </c>
      <c r="N610">
        <f>IF(AND(A610&lt;&gt;"",A610='Firm Search'!$C$7),COUNTIF($A$5:A610,'Firm Search'!$C$7),"")</f>
        <v/>
      </c>
    </row>
    <row r="611">
      <c r="A611" s="5" t="n"/>
      <c r="B611" s="5" t="n"/>
      <c r="C611" s="52" t="n"/>
      <c r="D611" s="52" t="n"/>
      <c r="E611" s="52" t="n"/>
      <c r="F611" s="52" t="n"/>
      <c r="G611" s="52" t="n"/>
      <c r="H611" s="52" t="n"/>
      <c r="I611" s="52" t="n"/>
      <c r="J611" s="52" t="n"/>
      <c r="K611" s="54" t="n"/>
      <c r="L611" s="5" t="n"/>
      <c r="M611" s="53">
        <f>IF(A611="","",IFERROR(INDEX(Firms!$B$5:$B$1004,MATCH(A611,Firms!$A$5:$A$1004,0)),"Not on Firms tab"))</f>
        <v/>
      </c>
      <c r="N611">
        <f>IF(AND(A611&lt;&gt;"",A611='Firm Search'!$C$7),COUNTIF($A$5:A611,'Firm Search'!$C$7),"")</f>
        <v/>
      </c>
    </row>
    <row r="612">
      <c r="A612" s="5" t="n"/>
      <c r="B612" s="5" t="n"/>
      <c r="C612" s="52" t="n"/>
      <c r="D612" s="52" t="n"/>
      <c r="E612" s="52" t="n"/>
      <c r="F612" s="52" t="n"/>
      <c r="G612" s="52" t="n"/>
      <c r="H612" s="52" t="n"/>
      <c r="I612" s="52" t="n"/>
      <c r="J612" s="52" t="n"/>
      <c r="K612" s="54" t="n"/>
      <c r="L612" s="5" t="n"/>
      <c r="M612" s="53">
        <f>IF(A612="","",IFERROR(INDEX(Firms!$B$5:$B$1004,MATCH(A612,Firms!$A$5:$A$1004,0)),"Not on Firms tab"))</f>
        <v/>
      </c>
      <c r="N612">
        <f>IF(AND(A612&lt;&gt;"",A612='Firm Search'!$C$7),COUNTIF($A$5:A612,'Firm Search'!$C$7),"")</f>
        <v/>
      </c>
    </row>
    <row r="613">
      <c r="A613" s="5" t="n"/>
      <c r="B613" s="5" t="n"/>
      <c r="C613" s="52" t="n"/>
      <c r="D613" s="52" t="n"/>
      <c r="E613" s="52" t="n"/>
      <c r="F613" s="52" t="n"/>
      <c r="G613" s="52" t="n"/>
      <c r="H613" s="52" t="n"/>
      <c r="I613" s="52" t="n"/>
      <c r="J613" s="52" t="n"/>
      <c r="K613" s="54" t="n"/>
      <c r="L613" s="5" t="n"/>
      <c r="M613" s="53">
        <f>IF(A613="","",IFERROR(INDEX(Firms!$B$5:$B$1004,MATCH(A613,Firms!$A$5:$A$1004,0)),"Not on Firms tab"))</f>
        <v/>
      </c>
      <c r="N613">
        <f>IF(AND(A613&lt;&gt;"",A613='Firm Search'!$C$7),COUNTIF($A$5:A613,'Firm Search'!$C$7),"")</f>
        <v/>
      </c>
    </row>
    <row r="614">
      <c r="A614" s="5" t="n"/>
      <c r="B614" s="5" t="n"/>
      <c r="C614" s="52" t="n"/>
      <c r="D614" s="52" t="n"/>
      <c r="E614" s="52" t="n"/>
      <c r="F614" s="52" t="n"/>
      <c r="G614" s="52" t="n"/>
      <c r="H614" s="52" t="n"/>
      <c r="I614" s="52" t="n"/>
      <c r="J614" s="52" t="n"/>
      <c r="K614" s="54" t="n"/>
      <c r="L614" s="5" t="n"/>
      <c r="M614" s="53">
        <f>IF(A614="","",IFERROR(INDEX(Firms!$B$5:$B$1004,MATCH(A614,Firms!$A$5:$A$1004,0)),"Not on Firms tab"))</f>
        <v/>
      </c>
      <c r="N614">
        <f>IF(AND(A614&lt;&gt;"",A614='Firm Search'!$C$7),COUNTIF($A$5:A614,'Firm Search'!$C$7),"")</f>
        <v/>
      </c>
    </row>
    <row r="615">
      <c r="A615" s="5" t="n"/>
      <c r="B615" s="5" t="n"/>
      <c r="C615" s="52" t="n"/>
      <c r="D615" s="52" t="n"/>
      <c r="E615" s="52" t="n"/>
      <c r="F615" s="52" t="n"/>
      <c r="G615" s="52" t="n"/>
      <c r="H615" s="52" t="n"/>
      <c r="I615" s="52" t="n"/>
      <c r="J615" s="52" t="n"/>
      <c r="K615" s="54" t="n"/>
      <c r="L615" s="5" t="n"/>
      <c r="M615" s="53">
        <f>IF(A615="","",IFERROR(INDEX(Firms!$B$5:$B$1004,MATCH(A615,Firms!$A$5:$A$1004,0)),"Not on Firms tab"))</f>
        <v/>
      </c>
      <c r="N615">
        <f>IF(AND(A615&lt;&gt;"",A615='Firm Search'!$C$7),COUNTIF($A$5:A615,'Firm Search'!$C$7),"")</f>
        <v/>
      </c>
    </row>
    <row r="616">
      <c r="A616" s="5" t="n"/>
      <c r="B616" s="5" t="n"/>
      <c r="C616" s="52" t="n"/>
      <c r="D616" s="52" t="n"/>
      <c r="E616" s="52" t="n"/>
      <c r="F616" s="52" t="n"/>
      <c r="G616" s="52" t="n"/>
      <c r="H616" s="52" t="n"/>
      <c r="I616" s="52" t="n"/>
      <c r="J616" s="52" t="n"/>
      <c r="K616" s="54" t="n"/>
      <c r="L616" s="5" t="n"/>
      <c r="M616" s="53">
        <f>IF(A616="","",IFERROR(INDEX(Firms!$B$5:$B$1004,MATCH(A616,Firms!$A$5:$A$1004,0)),"Not on Firms tab"))</f>
        <v/>
      </c>
      <c r="N616">
        <f>IF(AND(A616&lt;&gt;"",A616='Firm Search'!$C$7),COUNTIF($A$5:A616,'Firm Search'!$C$7),"")</f>
        <v/>
      </c>
    </row>
    <row r="617">
      <c r="A617" s="5" t="n"/>
      <c r="B617" s="5" t="n"/>
      <c r="C617" s="52" t="n"/>
      <c r="D617" s="52" t="n"/>
      <c r="E617" s="52" t="n"/>
      <c r="F617" s="52" t="n"/>
      <c r="G617" s="52" t="n"/>
      <c r="H617" s="52" t="n"/>
      <c r="I617" s="52" t="n"/>
      <c r="J617" s="52" t="n"/>
      <c r="K617" s="54" t="n"/>
      <c r="L617" s="5" t="n"/>
      <c r="M617" s="53">
        <f>IF(A617="","",IFERROR(INDEX(Firms!$B$5:$B$1004,MATCH(A617,Firms!$A$5:$A$1004,0)),"Not on Firms tab"))</f>
        <v/>
      </c>
      <c r="N617">
        <f>IF(AND(A617&lt;&gt;"",A617='Firm Search'!$C$7),COUNTIF($A$5:A617,'Firm Search'!$C$7),"")</f>
        <v/>
      </c>
    </row>
    <row r="618">
      <c r="A618" s="5" t="n"/>
      <c r="B618" s="5" t="n"/>
      <c r="C618" s="52" t="n"/>
      <c r="D618" s="52" t="n"/>
      <c r="E618" s="52" t="n"/>
      <c r="F618" s="52" t="n"/>
      <c r="G618" s="52" t="n"/>
      <c r="H618" s="52" t="n"/>
      <c r="I618" s="52" t="n"/>
      <c r="J618" s="52" t="n"/>
      <c r="K618" s="54" t="n"/>
      <c r="L618" s="5" t="n"/>
      <c r="M618" s="53">
        <f>IF(A618="","",IFERROR(INDEX(Firms!$B$5:$B$1004,MATCH(A618,Firms!$A$5:$A$1004,0)),"Not on Firms tab"))</f>
        <v/>
      </c>
      <c r="N618">
        <f>IF(AND(A618&lt;&gt;"",A618='Firm Search'!$C$7),COUNTIF($A$5:A618,'Firm Search'!$C$7),"")</f>
        <v/>
      </c>
    </row>
    <row r="619">
      <c r="A619" s="5" t="n"/>
      <c r="B619" s="5" t="n"/>
      <c r="C619" s="52" t="n"/>
      <c r="D619" s="52" t="n"/>
      <c r="E619" s="52" t="n"/>
      <c r="F619" s="52" t="n"/>
      <c r="G619" s="52" t="n"/>
      <c r="H619" s="52" t="n"/>
      <c r="I619" s="52" t="n"/>
      <c r="J619" s="52" t="n"/>
      <c r="K619" s="54" t="n"/>
      <c r="L619" s="5" t="n"/>
      <c r="M619" s="53">
        <f>IF(A619="","",IFERROR(INDEX(Firms!$B$5:$B$1004,MATCH(A619,Firms!$A$5:$A$1004,0)),"Not on Firms tab"))</f>
        <v/>
      </c>
      <c r="N619">
        <f>IF(AND(A619&lt;&gt;"",A619='Firm Search'!$C$7),COUNTIF($A$5:A619,'Firm Search'!$C$7),"")</f>
        <v/>
      </c>
    </row>
    <row r="620">
      <c r="A620" s="5" t="n"/>
      <c r="B620" s="5" t="n"/>
      <c r="C620" s="52" t="n"/>
      <c r="D620" s="52" t="n"/>
      <c r="E620" s="52" t="n"/>
      <c r="F620" s="52" t="n"/>
      <c r="G620" s="52" t="n"/>
      <c r="H620" s="52" t="n"/>
      <c r="I620" s="52" t="n"/>
      <c r="J620" s="52" t="n"/>
      <c r="K620" s="54" t="n"/>
      <c r="L620" s="5" t="n"/>
      <c r="M620" s="53">
        <f>IF(A620="","",IFERROR(INDEX(Firms!$B$5:$B$1004,MATCH(A620,Firms!$A$5:$A$1004,0)),"Not on Firms tab"))</f>
        <v/>
      </c>
      <c r="N620">
        <f>IF(AND(A620&lt;&gt;"",A620='Firm Search'!$C$7),COUNTIF($A$5:A620,'Firm Search'!$C$7),"")</f>
        <v/>
      </c>
    </row>
    <row r="621">
      <c r="A621" s="5" t="n"/>
      <c r="B621" s="5" t="n"/>
      <c r="C621" s="52" t="n"/>
      <c r="D621" s="52" t="n"/>
      <c r="E621" s="52" t="n"/>
      <c r="F621" s="52" t="n"/>
      <c r="G621" s="52" t="n"/>
      <c r="H621" s="52" t="n"/>
      <c r="I621" s="52" t="n"/>
      <c r="J621" s="52" t="n"/>
      <c r="K621" s="54" t="n"/>
      <c r="L621" s="5" t="n"/>
      <c r="M621" s="53">
        <f>IF(A621="","",IFERROR(INDEX(Firms!$B$5:$B$1004,MATCH(A621,Firms!$A$5:$A$1004,0)),"Not on Firms tab"))</f>
        <v/>
      </c>
      <c r="N621">
        <f>IF(AND(A621&lt;&gt;"",A621='Firm Search'!$C$7),COUNTIF($A$5:A621,'Firm Search'!$C$7),"")</f>
        <v/>
      </c>
    </row>
    <row r="622">
      <c r="A622" s="5" t="n"/>
      <c r="B622" s="5" t="n"/>
      <c r="C622" s="52" t="n"/>
      <c r="D622" s="52" t="n"/>
      <c r="E622" s="52" t="n"/>
      <c r="F622" s="52" t="n"/>
      <c r="G622" s="52" t="n"/>
      <c r="H622" s="52" t="n"/>
      <c r="I622" s="52" t="n"/>
      <c r="J622" s="52" t="n"/>
      <c r="K622" s="54" t="n"/>
      <c r="L622" s="5" t="n"/>
      <c r="M622" s="53">
        <f>IF(A622="","",IFERROR(INDEX(Firms!$B$5:$B$1004,MATCH(A622,Firms!$A$5:$A$1004,0)),"Not on Firms tab"))</f>
        <v/>
      </c>
      <c r="N622">
        <f>IF(AND(A622&lt;&gt;"",A622='Firm Search'!$C$7),COUNTIF($A$5:A622,'Firm Search'!$C$7),"")</f>
        <v/>
      </c>
    </row>
    <row r="623">
      <c r="A623" s="5" t="n"/>
      <c r="B623" s="5" t="n"/>
      <c r="C623" s="52" t="n"/>
      <c r="D623" s="52" t="n"/>
      <c r="E623" s="52" t="n"/>
      <c r="F623" s="52" t="n"/>
      <c r="G623" s="52" t="n"/>
      <c r="H623" s="52" t="n"/>
      <c r="I623" s="52" t="n"/>
      <c r="J623" s="52" t="n"/>
      <c r="K623" s="54" t="n"/>
      <c r="L623" s="5" t="n"/>
      <c r="M623" s="53">
        <f>IF(A623="","",IFERROR(INDEX(Firms!$B$5:$B$1004,MATCH(A623,Firms!$A$5:$A$1004,0)),"Not on Firms tab"))</f>
        <v/>
      </c>
      <c r="N623">
        <f>IF(AND(A623&lt;&gt;"",A623='Firm Search'!$C$7),COUNTIF($A$5:A623,'Firm Search'!$C$7),"")</f>
        <v/>
      </c>
    </row>
    <row r="624">
      <c r="A624" s="5" t="n"/>
      <c r="B624" s="5" t="n"/>
      <c r="C624" s="52" t="n"/>
      <c r="D624" s="52" t="n"/>
      <c r="E624" s="52" t="n"/>
      <c r="F624" s="52" t="n"/>
      <c r="G624" s="52" t="n"/>
      <c r="H624" s="52" t="n"/>
      <c r="I624" s="52" t="n"/>
      <c r="J624" s="52" t="n"/>
      <c r="K624" s="54" t="n"/>
      <c r="L624" s="5" t="n"/>
      <c r="M624" s="53">
        <f>IF(A624="","",IFERROR(INDEX(Firms!$B$5:$B$1004,MATCH(A624,Firms!$A$5:$A$1004,0)),"Not on Firms tab"))</f>
        <v/>
      </c>
      <c r="N624">
        <f>IF(AND(A624&lt;&gt;"",A624='Firm Search'!$C$7),COUNTIF($A$5:A624,'Firm Search'!$C$7),"")</f>
        <v/>
      </c>
    </row>
    <row r="625">
      <c r="A625" s="5" t="n"/>
      <c r="B625" s="5" t="n"/>
      <c r="C625" s="52" t="n"/>
      <c r="D625" s="52" t="n"/>
      <c r="E625" s="52" t="n"/>
      <c r="F625" s="52" t="n"/>
      <c r="G625" s="52" t="n"/>
      <c r="H625" s="52" t="n"/>
      <c r="I625" s="52" t="n"/>
      <c r="J625" s="52" t="n"/>
      <c r="K625" s="54" t="n"/>
      <c r="L625" s="5" t="n"/>
      <c r="M625" s="53">
        <f>IF(A625="","",IFERROR(INDEX(Firms!$B$5:$B$1004,MATCH(A625,Firms!$A$5:$A$1004,0)),"Not on Firms tab"))</f>
        <v/>
      </c>
      <c r="N625">
        <f>IF(AND(A625&lt;&gt;"",A625='Firm Search'!$C$7),COUNTIF($A$5:A625,'Firm Search'!$C$7),"")</f>
        <v/>
      </c>
    </row>
    <row r="626">
      <c r="A626" s="5" t="n"/>
      <c r="B626" s="5" t="n"/>
      <c r="C626" s="52" t="n"/>
      <c r="D626" s="52" t="n"/>
      <c r="E626" s="52" t="n"/>
      <c r="F626" s="52" t="n"/>
      <c r="G626" s="52" t="n"/>
      <c r="H626" s="52" t="n"/>
      <c r="I626" s="52" t="n"/>
      <c r="J626" s="52" t="n"/>
      <c r="K626" s="54" t="n"/>
      <c r="L626" s="5" t="n"/>
      <c r="M626" s="53">
        <f>IF(A626="","",IFERROR(INDEX(Firms!$B$5:$B$1004,MATCH(A626,Firms!$A$5:$A$1004,0)),"Not on Firms tab"))</f>
        <v/>
      </c>
      <c r="N626">
        <f>IF(AND(A626&lt;&gt;"",A626='Firm Search'!$C$7),COUNTIF($A$5:A626,'Firm Search'!$C$7),"")</f>
        <v/>
      </c>
    </row>
    <row r="627">
      <c r="A627" s="5" t="n"/>
      <c r="B627" s="5" t="n"/>
      <c r="C627" s="52" t="n"/>
      <c r="D627" s="52" t="n"/>
      <c r="E627" s="52" t="n"/>
      <c r="F627" s="52" t="n"/>
      <c r="G627" s="52" t="n"/>
      <c r="H627" s="52" t="n"/>
      <c r="I627" s="52" t="n"/>
      <c r="J627" s="52" t="n"/>
      <c r="K627" s="54" t="n"/>
      <c r="L627" s="5" t="n"/>
      <c r="M627" s="53">
        <f>IF(A627="","",IFERROR(INDEX(Firms!$B$5:$B$1004,MATCH(A627,Firms!$A$5:$A$1004,0)),"Not on Firms tab"))</f>
        <v/>
      </c>
      <c r="N627">
        <f>IF(AND(A627&lt;&gt;"",A627='Firm Search'!$C$7),COUNTIF($A$5:A627,'Firm Search'!$C$7),"")</f>
        <v/>
      </c>
    </row>
    <row r="628">
      <c r="A628" s="5" t="n"/>
      <c r="B628" s="5" t="n"/>
      <c r="C628" s="52" t="n"/>
      <c r="D628" s="52" t="n"/>
      <c r="E628" s="52" t="n"/>
      <c r="F628" s="52" t="n"/>
      <c r="G628" s="52" t="n"/>
      <c r="H628" s="52" t="n"/>
      <c r="I628" s="52" t="n"/>
      <c r="J628" s="52" t="n"/>
      <c r="K628" s="54" t="n"/>
      <c r="L628" s="5" t="n"/>
      <c r="M628" s="53">
        <f>IF(A628="","",IFERROR(INDEX(Firms!$B$5:$B$1004,MATCH(A628,Firms!$A$5:$A$1004,0)),"Not on Firms tab"))</f>
        <v/>
      </c>
      <c r="N628">
        <f>IF(AND(A628&lt;&gt;"",A628='Firm Search'!$C$7),COUNTIF($A$5:A628,'Firm Search'!$C$7),"")</f>
        <v/>
      </c>
    </row>
    <row r="629">
      <c r="A629" s="5" t="n"/>
      <c r="B629" s="5" t="n"/>
      <c r="C629" s="52" t="n"/>
      <c r="D629" s="52" t="n"/>
      <c r="E629" s="52" t="n"/>
      <c r="F629" s="52" t="n"/>
      <c r="G629" s="52" t="n"/>
      <c r="H629" s="52" t="n"/>
      <c r="I629" s="52" t="n"/>
      <c r="J629" s="52" t="n"/>
      <c r="K629" s="54" t="n"/>
      <c r="L629" s="5" t="n"/>
      <c r="M629" s="53">
        <f>IF(A629="","",IFERROR(INDEX(Firms!$B$5:$B$1004,MATCH(A629,Firms!$A$5:$A$1004,0)),"Not on Firms tab"))</f>
        <v/>
      </c>
      <c r="N629">
        <f>IF(AND(A629&lt;&gt;"",A629='Firm Search'!$C$7),COUNTIF($A$5:A629,'Firm Search'!$C$7),"")</f>
        <v/>
      </c>
    </row>
    <row r="630">
      <c r="A630" s="5" t="n"/>
      <c r="B630" s="5" t="n"/>
      <c r="C630" s="52" t="n"/>
      <c r="D630" s="52" t="n"/>
      <c r="E630" s="52" t="n"/>
      <c r="F630" s="52" t="n"/>
      <c r="G630" s="52" t="n"/>
      <c r="H630" s="52" t="n"/>
      <c r="I630" s="52" t="n"/>
      <c r="J630" s="52" t="n"/>
      <c r="K630" s="54" t="n"/>
      <c r="L630" s="5" t="n"/>
      <c r="M630" s="53">
        <f>IF(A630="","",IFERROR(INDEX(Firms!$B$5:$B$1004,MATCH(A630,Firms!$A$5:$A$1004,0)),"Not on Firms tab"))</f>
        <v/>
      </c>
      <c r="N630">
        <f>IF(AND(A630&lt;&gt;"",A630='Firm Search'!$C$7),COUNTIF($A$5:A630,'Firm Search'!$C$7),"")</f>
        <v/>
      </c>
    </row>
    <row r="631">
      <c r="A631" s="5" t="n"/>
      <c r="B631" s="5" t="n"/>
      <c r="C631" s="52" t="n"/>
      <c r="D631" s="52" t="n"/>
      <c r="E631" s="52" t="n"/>
      <c r="F631" s="52" t="n"/>
      <c r="G631" s="52" t="n"/>
      <c r="H631" s="52" t="n"/>
      <c r="I631" s="52" t="n"/>
      <c r="J631" s="52" t="n"/>
      <c r="K631" s="54" t="n"/>
      <c r="L631" s="5" t="n"/>
      <c r="M631" s="53">
        <f>IF(A631="","",IFERROR(INDEX(Firms!$B$5:$B$1004,MATCH(A631,Firms!$A$5:$A$1004,0)),"Not on Firms tab"))</f>
        <v/>
      </c>
      <c r="N631">
        <f>IF(AND(A631&lt;&gt;"",A631='Firm Search'!$C$7),COUNTIF($A$5:A631,'Firm Search'!$C$7),"")</f>
        <v/>
      </c>
    </row>
    <row r="632">
      <c r="A632" s="5" t="n"/>
      <c r="B632" s="5" t="n"/>
      <c r="C632" s="52" t="n"/>
      <c r="D632" s="52" t="n"/>
      <c r="E632" s="52" t="n"/>
      <c r="F632" s="52" t="n"/>
      <c r="G632" s="52" t="n"/>
      <c r="H632" s="52" t="n"/>
      <c r="I632" s="52" t="n"/>
      <c r="J632" s="52" t="n"/>
      <c r="K632" s="54" t="n"/>
      <c r="L632" s="5" t="n"/>
      <c r="M632" s="53">
        <f>IF(A632="","",IFERROR(INDEX(Firms!$B$5:$B$1004,MATCH(A632,Firms!$A$5:$A$1004,0)),"Not on Firms tab"))</f>
        <v/>
      </c>
      <c r="N632">
        <f>IF(AND(A632&lt;&gt;"",A632='Firm Search'!$C$7),COUNTIF($A$5:A632,'Firm Search'!$C$7),"")</f>
        <v/>
      </c>
    </row>
    <row r="633">
      <c r="A633" s="5" t="n"/>
      <c r="B633" s="5" t="n"/>
      <c r="C633" s="52" t="n"/>
      <c r="D633" s="52" t="n"/>
      <c r="E633" s="52" t="n"/>
      <c r="F633" s="52" t="n"/>
      <c r="G633" s="52" t="n"/>
      <c r="H633" s="52" t="n"/>
      <c r="I633" s="52" t="n"/>
      <c r="J633" s="52" t="n"/>
      <c r="K633" s="54" t="n"/>
      <c r="L633" s="5" t="n"/>
      <c r="M633" s="53">
        <f>IF(A633="","",IFERROR(INDEX(Firms!$B$5:$B$1004,MATCH(A633,Firms!$A$5:$A$1004,0)),"Not on Firms tab"))</f>
        <v/>
      </c>
      <c r="N633">
        <f>IF(AND(A633&lt;&gt;"",A633='Firm Search'!$C$7),COUNTIF($A$5:A633,'Firm Search'!$C$7),"")</f>
        <v/>
      </c>
    </row>
    <row r="634">
      <c r="A634" s="5" t="n"/>
      <c r="B634" s="5" t="n"/>
      <c r="C634" s="52" t="n"/>
      <c r="D634" s="52" t="n"/>
      <c r="E634" s="52" t="n"/>
      <c r="F634" s="52" t="n"/>
      <c r="G634" s="52" t="n"/>
      <c r="H634" s="52" t="n"/>
      <c r="I634" s="52" t="n"/>
      <c r="J634" s="52" t="n"/>
      <c r="K634" s="54" t="n"/>
      <c r="L634" s="5" t="n"/>
      <c r="M634" s="53">
        <f>IF(A634="","",IFERROR(INDEX(Firms!$B$5:$B$1004,MATCH(A634,Firms!$A$5:$A$1004,0)),"Not on Firms tab"))</f>
        <v/>
      </c>
      <c r="N634">
        <f>IF(AND(A634&lt;&gt;"",A634='Firm Search'!$C$7),COUNTIF($A$5:A634,'Firm Search'!$C$7),"")</f>
        <v/>
      </c>
    </row>
    <row r="635">
      <c r="A635" s="5" t="n"/>
      <c r="B635" s="5" t="n"/>
      <c r="C635" s="52" t="n"/>
      <c r="D635" s="52" t="n"/>
      <c r="E635" s="52" t="n"/>
      <c r="F635" s="52" t="n"/>
      <c r="G635" s="52" t="n"/>
      <c r="H635" s="52" t="n"/>
      <c r="I635" s="52" t="n"/>
      <c r="J635" s="52" t="n"/>
      <c r="K635" s="54" t="n"/>
      <c r="L635" s="5" t="n"/>
      <c r="M635" s="53">
        <f>IF(A635="","",IFERROR(INDEX(Firms!$B$5:$B$1004,MATCH(A635,Firms!$A$5:$A$1004,0)),"Not on Firms tab"))</f>
        <v/>
      </c>
      <c r="N635">
        <f>IF(AND(A635&lt;&gt;"",A635='Firm Search'!$C$7),COUNTIF($A$5:A635,'Firm Search'!$C$7),"")</f>
        <v/>
      </c>
    </row>
    <row r="636">
      <c r="A636" s="5" t="n"/>
      <c r="B636" s="5" t="n"/>
      <c r="C636" s="52" t="n"/>
      <c r="D636" s="52" t="n"/>
      <c r="E636" s="52" t="n"/>
      <c r="F636" s="52" t="n"/>
      <c r="G636" s="52" t="n"/>
      <c r="H636" s="52" t="n"/>
      <c r="I636" s="52" t="n"/>
      <c r="J636" s="52" t="n"/>
      <c r="K636" s="54" t="n"/>
      <c r="L636" s="5" t="n"/>
      <c r="M636" s="53">
        <f>IF(A636="","",IFERROR(INDEX(Firms!$B$5:$B$1004,MATCH(A636,Firms!$A$5:$A$1004,0)),"Not on Firms tab"))</f>
        <v/>
      </c>
      <c r="N636">
        <f>IF(AND(A636&lt;&gt;"",A636='Firm Search'!$C$7),COUNTIF($A$5:A636,'Firm Search'!$C$7),"")</f>
        <v/>
      </c>
    </row>
    <row r="637">
      <c r="A637" s="5" t="n"/>
      <c r="B637" s="5" t="n"/>
      <c r="C637" s="52" t="n"/>
      <c r="D637" s="52" t="n"/>
      <c r="E637" s="52" t="n"/>
      <c r="F637" s="52" t="n"/>
      <c r="G637" s="52" t="n"/>
      <c r="H637" s="52" t="n"/>
      <c r="I637" s="52" t="n"/>
      <c r="J637" s="52" t="n"/>
      <c r="K637" s="54" t="n"/>
      <c r="L637" s="5" t="n"/>
      <c r="M637" s="53">
        <f>IF(A637="","",IFERROR(INDEX(Firms!$B$5:$B$1004,MATCH(A637,Firms!$A$5:$A$1004,0)),"Not on Firms tab"))</f>
        <v/>
      </c>
      <c r="N637">
        <f>IF(AND(A637&lt;&gt;"",A637='Firm Search'!$C$7),COUNTIF($A$5:A637,'Firm Search'!$C$7),"")</f>
        <v/>
      </c>
    </row>
    <row r="638">
      <c r="A638" s="5" t="n"/>
      <c r="B638" s="5" t="n"/>
      <c r="C638" s="52" t="n"/>
      <c r="D638" s="52" t="n"/>
      <c r="E638" s="52" t="n"/>
      <c r="F638" s="52" t="n"/>
      <c r="G638" s="52" t="n"/>
      <c r="H638" s="52" t="n"/>
      <c r="I638" s="52" t="n"/>
      <c r="J638" s="52" t="n"/>
      <c r="K638" s="54" t="n"/>
      <c r="L638" s="5" t="n"/>
      <c r="M638" s="53">
        <f>IF(A638="","",IFERROR(INDEX(Firms!$B$5:$B$1004,MATCH(A638,Firms!$A$5:$A$1004,0)),"Not on Firms tab"))</f>
        <v/>
      </c>
      <c r="N638">
        <f>IF(AND(A638&lt;&gt;"",A638='Firm Search'!$C$7),COUNTIF($A$5:A638,'Firm Search'!$C$7),"")</f>
        <v/>
      </c>
    </row>
    <row r="639">
      <c r="A639" s="5" t="n"/>
      <c r="B639" s="5" t="n"/>
      <c r="C639" s="52" t="n"/>
      <c r="D639" s="52" t="n"/>
      <c r="E639" s="52" t="n"/>
      <c r="F639" s="52" t="n"/>
      <c r="G639" s="52" t="n"/>
      <c r="H639" s="52" t="n"/>
      <c r="I639" s="52" t="n"/>
      <c r="J639" s="52" t="n"/>
      <c r="K639" s="54" t="n"/>
      <c r="L639" s="5" t="n"/>
      <c r="M639" s="53">
        <f>IF(A639="","",IFERROR(INDEX(Firms!$B$5:$B$1004,MATCH(A639,Firms!$A$5:$A$1004,0)),"Not on Firms tab"))</f>
        <v/>
      </c>
      <c r="N639">
        <f>IF(AND(A639&lt;&gt;"",A639='Firm Search'!$C$7),COUNTIF($A$5:A639,'Firm Search'!$C$7),"")</f>
        <v/>
      </c>
    </row>
    <row r="640">
      <c r="A640" s="5" t="n"/>
      <c r="B640" s="5" t="n"/>
      <c r="C640" s="52" t="n"/>
      <c r="D640" s="52" t="n"/>
      <c r="E640" s="52" t="n"/>
      <c r="F640" s="52" t="n"/>
      <c r="G640" s="52" t="n"/>
      <c r="H640" s="52" t="n"/>
      <c r="I640" s="52" t="n"/>
      <c r="J640" s="52" t="n"/>
      <c r="K640" s="54" t="n"/>
      <c r="L640" s="5" t="n"/>
      <c r="M640" s="53">
        <f>IF(A640="","",IFERROR(INDEX(Firms!$B$5:$B$1004,MATCH(A640,Firms!$A$5:$A$1004,0)),"Not on Firms tab"))</f>
        <v/>
      </c>
      <c r="N640">
        <f>IF(AND(A640&lt;&gt;"",A640='Firm Search'!$C$7),COUNTIF($A$5:A640,'Firm Search'!$C$7),"")</f>
        <v/>
      </c>
    </row>
    <row r="641">
      <c r="A641" s="5" t="n"/>
      <c r="B641" s="5" t="n"/>
      <c r="C641" s="52" t="n"/>
      <c r="D641" s="52" t="n"/>
      <c r="E641" s="52" t="n"/>
      <c r="F641" s="52" t="n"/>
      <c r="G641" s="52" t="n"/>
      <c r="H641" s="52" t="n"/>
      <c r="I641" s="52" t="n"/>
      <c r="J641" s="52" t="n"/>
      <c r="K641" s="54" t="n"/>
      <c r="L641" s="5" t="n"/>
      <c r="M641" s="53">
        <f>IF(A641="","",IFERROR(INDEX(Firms!$B$5:$B$1004,MATCH(A641,Firms!$A$5:$A$1004,0)),"Not on Firms tab"))</f>
        <v/>
      </c>
      <c r="N641">
        <f>IF(AND(A641&lt;&gt;"",A641='Firm Search'!$C$7),COUNTIF($A$5:A641,'Firm Search'!$C$7),"")</f>
        <v/>
      </c>
    </row>
    <row r="642">
      <c r="A642" s="5" t="n"/>
      <c r="B642" s="5" t="n"/>
      <c r="C642" s="52" t="n"/>
      <c r="D642" s="52" t="n"/>
      <c r="E642" s="52" t="n"/>
      <c r="F642" s="52" t="n"/>
      <c r="G642" s="52" t="n"/>
      <c r="H642" s="52" t="n"/>
      <c r="I642" s="52" t="n"/>
      <c r="J642" s="52" t="n"/>
      <c r="K642" s="54" t="n"/>
      <c r="L642" s="5" t="n"/>
      <c r="M642" s="53">
        <f>IF(A642="","",IFERROR(INDEX(Firms!$B$5:$B$1004,MATCH(A642,Firms!$A$5:$A$1004,0)),"Not on Firms tab"))</f>
        <v/>
      </c>
      <c r="N642">
        <f>IF(AND(A642&lt;&gt;"",A642='Firm Search'!$C$7),COUNTIF($A$5:A642,'Firm Search'!$C$7),"")</f>
        <v/>
      </c>
    </row>
    <row r="643">
      <c r="A643" s="5" t="n"/>
      <c r="B643" s="5" t="n"/>
      <c r="C643" s="52" t="n"/>
      <c r="D643" s="52" t="n"/>
      <c r="E643" s="52" t="n"/>
      <c r="F643" s="52" t="n"/>
      <c r="G643" s="52" t="n"/>
      <c r="H643" s="52" t="n"/>
      <c r="I643" s="52" t="n"/>
      <c r="J643" s="52" t="n"/>
      <c r="K643" s="54" t="n"/>
      <c r="L643" s="5" t="n"/>
      <c r="M643" s="53">
        <f>IF(A643="","",IFERROR(INDEX(Firms!$B$5:$B$1004,MATCH(A643,Firms!$A$5:$A$1004,0)),"Not on Firms tab"))</f>
        <v/>
      </c>
      <c r="N643">
        <f>IF(AND(A643&lt;&gt;"",A643='Firm Search'!$C$7),COUNTIF($A$5:A643,'Firm Search'!$C$7),"")</f>
        <v/>
      </c>
    </row>
    <row r="644">
      <c r="A644" s="5" t="n"/>
      <c r="B644" s="5" t="n"/>
      <c r="C644" s="52" t="n"/>
      <c r="D644" s="52" t="n"/>
      <c r="E644" s="52" t="n"/>
      <c r="F644" s="52" t="n"/>
      <c r="G644" s="52" t="n"/>
      <c r="H644" s="52" t="n"/>
      <c r="I644" s="52" t="n"/>
      <c r="J644" s="52" t="n"/>
      <c r="K644" s="54" t="n"/>
      <c r="L644" s="5" t="n"/>
      <c r="M644" s="53">
        <f>IF(A644="","",IFERROR(INDEX(Firms!$B$5:$B$1004,MATCH(A644,Firms!$A$5:$A$1004,0)),"Not on Firms tab"))</f>
        <v/>
      </c>
      <c r="N644">
        <f>IF(AND(A644&lt;&gt;"",A644='Firm Search'!$C$7),COUNTIF($A$5:A644,'Firm Search'!$C$7),"")</f>
        <v/>
      </c>
    </row>
    <row r="645">
      <c r="A645" s="5" t="n"/>
      <c r="B645" s="5" t="n"/>
      <c r="C645" s="52" t="n"/>
      <c r="D645" s="52" t="n"/>
      <c r="E645" s="52" t="n"/>
      <c r="F645" s="52" t="n"/>
      <c r="G645" s="52" t="n"/>
      <c r="H645" s="52" t="n"/>
      <c r="I645" s="52" t="n"/>
      <c r="J645" s="52" t="n"/>
      <c r="K645" s="54" t="n"/>
      <c r="L645" s="5" t="n"/>
      <c r="M645" s="53">
        <f>IF(A645="","",IFERROR(INDEX(Firms!$B$5:$B$1004,MATCH(A645,Firms!$A$5:$A$1004,0)),"Not on Firms tab"))</f>
        <v/>
      </c>
      <c r="N645">
        <f>IF(AND(A645&lt;&gt;"",A645='Firm Search'!$C$7),COUNTIF($A$5:A645,'Firm Search'!$C$7),"")</f>
        <v/>
      </c>
    </row>
    <row r="646">
      <c r="A646" s="5" t="n"/>
      <c r="B646" s="5" t="n"/>
      <c r="C646" s="52" t="n"/>
      <c r="D646" s="52" t="n"/>
      <c r="E646" s="52" t="n"/>
      <c r="F646" s="52" t="n"/>
      <c r="G646" s="52" t="n"/>
      <c r="H646" s="52" t="n"/>
      <c r="I646" s="52" t="n"/>
      <c r="J646" s="52" t="n"/>
      <c r="K646" s="54" t="n"/>
      <c r="L646" s="5" t="n"/>
      <c r="M646" s="53">
        <f>IF(A646="","",IFERROR(INDEX(Firms!$B$5:$B$1004,MATCH(A646,Firms!$A$5:$A$1004,0)),"Not on Firms tab"))</f>
        <v/>
      </c>
      <c r="N646">
        <f>IF(AND(A646&lt;&gt;"",A646='Firm Search'!$C$7),COUNTIF($A$5:A646,'Firm Search'!$C$7),"")</f>
        <v/>
      </c>
    </row>
    <row r="647">
      <c r="A647" s="5" t="n"/>
      <c r="B647" s="5" t="n"/>
      <c r="C647" s="52" t="n"/>
      <c r="D647" s="52" t="n"/>
      <c r="E647" s="52" t="n"/>
      <c r="F647" s="52" t="n"/>
      <c r="G647" s="52" t="n"/>
      <c r="H647" s="52" t="n"/>
      <c r="I647" s="52" t="n"/>
      <c r="J647" s="52" t="n"/>
      <c r="K647" s="54" t="n"/>
      <c r="L647" s="5" t="n"/>
      <c r="M647" s="53">
        <f>IF(A647="","",IFERROR(INDEX(Firms!$B$5:$B$1004,MATCH(A647,Firms!$A$5:$A$1004,0)),"Not on Firms tab"))</f>
        <v/>
      </c>
      <c r="N647">
        <f>IF(AND(A647&lt;&gt;"",A647='Firm Search'!$C$7),COUNTIF($A$5:A647,'Firm Search'!$C$7),"")</f>
        <v/>
      </c>
    </row>
    <row r="648">
      <c r="A648" s="5" t="n"/>
      <c r="B648" s="5" t="n"/>
      <c r="C648" s="52" t="n"/>
      <c r="D648" s="52" t="n"/>
      <c r="E648" s="52" t="n"/>
      <c r="F648" s="52" t="n"/>
      <c r="G648" s="52" t="n"/>
      <c r="H648" s="52" t="n"/>
      <c r="I648" s="52" t="n"/>
      <c r="J648" s="52" t="n"/>
      <c r="K648" s="54" t="n"/>
      <c r="L648" s="5" t="n"/>
      <c r="M648" s="53">
        <f>IF(A648="","",IFERROR(INDEX(Firms!$B$5:$B$1004,MATCH(A648,Firms!$A$5:$A$1004,0)),"Not on Firms tab"))</f>
        <v/>
      </c>
      <c r="N648">
        <f>IF(AND(A648&lt;&gt;"",A648='Firm Search'!$C$7),COUNTIF($A$5:A648,'Firm Search'!$C$7),"")</f>
        <v/>
      </c>
    </row>
    <row r="649">
      <c r="A649" s="5" t="n"/>
      <c r="B649" s="5" t="n"/>
      <c r="C649" s="52" t="n"/>
      <c r="D649" s="52" t="n"/>
      <c r="E649" s="52" t="n"/>
      <c r="F649" s="52" t="n"/>
      <c r="G649" s="52" t="n"/>
      <c r="H649" s="52" t="n"/>
      <c r="I649" s="52" t="n"/>
      <c r="J649" s="52" t="n"/>
      <c r="K649" s="54" t="n"/>
      <c r="L649" s="5" t="n"/>
      <c r="M649" s="53">
        <f>IF(A649="","",IFERROR(INDEX(Firms!$B$5:$B$1004,MATCH(A649,Firms!$A$5:$A$1004,0)),"Not on Firms tab"))</f>
        <v/>
      </c>
      <c r="N649">
        <f>IF(AND(A649&lt;&gt;"",A649='Firm Search'!$C$7),COUNTIF($A$5:A649,'Firm Search'!$C$7),"")</f>
        <v/>
      </c>
    </row>
    <row r="650">
      <c r="A650" s="5" t="n"/>
      <c r="B650" s="5" t="n"/>
      <c r="C650" s="52" t="n"/>
      <c r="D650" s="52" t="n"/>
      <c r="E650" s="52" t="n"/>
      <c r="F650" s="52" t="n"/>
      <c r="G650" s="52" t="n"/>
      <c r="H650" s="52" t="n"/>
      <c r="I650" s="52" t="n"/>
      <c r="J650" s="52" t="n"/>
      <c r="K650" s="54" t="n"/>
      <c r="L650" s="5" t="n"/>
      <c r="M650" s="53">
        <f>IF(A650="","",IFERROR(INDEX(Firms!$B$5:$B$1004,MATCH(A650,Firms!$A$5:$A$1004,0)),"Not on Firms tab"))</f>
        <v/>
      </c>
      <c r="N650">
        <f>IF(AND(A650&lt;&gt;"",A650='Firm Search'!$C$7),COUNTIF($A$5:A650,'Firm Search'!$C$7),"")</f>
        <v/>
      </c>
    </row>
    <row r="651">
      <c r="A651" s="5" t="n"/>
      <c r="B651" s="5" t="n"/>
      <c r="C651" s="52" t="n"/>
      <c r="D651" s="52" t="n"/>
      <c r="E651" s="52" t="n"/>
      <c r="F651" s="52" t="n"/>
      <c r="G651" s="52" t="n"/>
      <c r="H651" s="52" t="n"/>
      <c r="I651" s="52" t="n"/>
      <c r="J651" s="52" t="n"/>
      <c r="K651" s="54" t="n"/>
      <c r="L651" s="5" t="n"/>
      <c r="M651" s="53">
        <f>IF(A651="","",IFERROR(INDEX(Firms!$B$5:$B$1004,MATCH(A651,Firms!$A$5:$A$1004,0)),"Not on Firms tab"))</f>
        <v/>
      </c>
      <c r="N651">
        <f>IF(AND(A651&lt;&gt;"",A651='Firm Search'!$C$7),COUNTIF($A$5:A651,'Firm Search'!$C$7),"")</f>
        <v/>
      </c>
    </row>
    <row r="652">
      <c r="A652" s="5" t="n"/>
      <c r="B652" s="5" t="n"/>
      <c r="C652" s="52" t="n"/>
      <c r="D652" s="52" t="n"/>
      <c r="E652" s="52" t="n"/>
      <c r="F652" s="52" t="n"/>
      <c r="G652" s="52" t="n"/>
      <c r="H652" s="52" t="n"/>
      <c r="I652" s="52" t="n"/>
      <c r="J652" s="52" t="n"/>
      <c r="K652" s="54" t="n"/>
      <c r="L652" s="5" t="n"/>
      <c r="M652" s="53">
        <f>IF(A652="","",IFERROR(INDEX(Firms!$B$5:$B$1004,MATCH(A652,Firms!$A$5:$A$1004,0)),"Not on Firms tab"))</f>
        <v/>
      </c>
      <c r="N652">
        <f>IF(AND(A652&lt;&gt;"",A652='Firm Search'!$C$7),COUNTIF($A$5:A652,'Firm Search'!$C$7),"")</f>
        <v/>
      </c>
    </row>
    <row r="653">
      <c r="A653" s="5" t="n"/>
      <c r="B653" s="5" t="n"/>
      <c r="C653" s="52" t="n"/>
      <c r="D653" s="52" t="n"/>
      <c r="E653" s="52" t="n"/>
      <c r="F653" s="52" t="n"/>
      <c r="G653" s="52" t="n"/>
      <c r="H653" s="52" t="n"/>
      <c r="I653" s="52" t="n"/>
      <c r="J653" s="52" t="n"/>
      <c r="K653" s="54" t="n"/>
      <c r="L653" s="5" t="n"/>
      <c r="M653" s="53">
        <f>IF(A653="","",IFERROR(INDEX(Firms!$B$5:$B$1004,MATCH(A653,Firms!$A$5:$A$1004,0)),"Not on Firms tab"))</f>
        <v/>
      </c>
      <c r="N653">
        <f>IF(AND(A653&lt;&gt;"",A653='Firm Search'!$C$7),COUNTIF($A$5:A653,'Firm Search'!$C$7),"")</f>
        <v/>
      </c>
    </row>
    <row r="654">
      <c r="A654" s="5" t="n"/>
      <c r="B654" s="5" t="n"/>
      <c r="C654" s="52" t="n"/>
      <c r="D654" s="52" t="n"/>
      <c r="E654" s="52" t="n"/>
      <c r="F654" s="52" t="n"/>
      <c r="G654" s="52" t="n"/>
      <c r="H654" s="52" t="n"/>
      <c r="I654" s="52" t="n"/>
      <c r="J654" s="52" t="n"/>
      <c r="K654" s="54" t="n"/>
      <c r="L654" s="5" t="n"/>
      <c r="M654" s="53">
        <f>IF(A654="","",IFERROR(INDEX(Firms!$B$5:$B$1004,MATCH(A654,Firms!$A$5:$A$1004,0)),"Not on Firms tab"))</f>
        <v/>
      </c>
      <c r="N654">
        <f>IF(AND(A654&lt;&gt;"",A654='Firm Search'!$C$7),COUNTIF($A$5:A654,'Firm Search'!$C$7),"")</f>
        <v/>
      </c>
    </row>
    <row r="655">
      <c r="A655" s="5" t="n"/>
      <c r="B655" s="5" t="n"/>
      <c r="C655" s="52" t="n"/>
      <c r="D655" s="52" t="n"/>
      <c r="E655" s="52" t="n"/>
      <c r="F655" s="52" t="n"/>
      <c r="G655" s="52" t="n"/>
      <c r="H655" s="52" t="n"/>
      <c r="I655" s="52" t="n"/>
      <c r="J655" s="52" t="n"/>
      <c r="K655" s="54" t="n"/>
      <c r="L655" s="5" t="n"/>
      <c r="M655" s="53">
        <f>IF(A655="","",IFERROR(INDEX(Firms!$B$5:$B$1004,MATCH(A655,Firms!$A$5:$A$1004,0)),"Not on Firms tab"))</f>
        <v/>
      </c>
      <c r="N655">
        <f>IF(AND(A655&lt;&gt;"",A655='Firm Search'!$C$7),COUNTIF($A$5:A655,'Firm Search'!$C$7),"")</f>
        <v/>
      </c>
    </row>
    <row r="656">
      <c r="A656" s="5" t="n"/>
      <c r="B656" s="5" t="n"/>
      <c r="C656" s="52" t="n"/>
      <c r="D656" s="52" t="n"/>
      <c r="E656" s="52" t="n"/>
      <c r="F656" s="52" t="n"/>
      <c r="G656" s="52" t="n"/>
      <c r="H656" s="52" t="n"/>
      <c r="I656" s="52" t="n"/>
      <c r="J656" s="52" t="n"/>
      <c r="K656" s="54" t="n"/>
      <c r="L656" s="5" t="n"/>
      <c r="M656" s="53">
        <f>IF(A656="","",IFERROR(INDEX(Firms!$B$5:$B$1004,MATCH(A656,Firms!$A$5:$A$1004,0)),"Not on Firms tab"))</f>
        <v/>
      </c>
      <c r="N656">
        <f>IF(AND(A656&lt;&gt;"",A656='Firm Search'!$C$7),COUNTIF($A$5:A656,'Firm Search'!$C$7),"")</f>
        <v/>
      </c>
    </row>
    <row r="657">
      <c r="A657" s="5" t="n"/>
      <c r="B657" s="5" t="n"/>
      <c r="C657" s="52" t="n"/>
      <c r="D657" s="52" t="n"/>
      <c r="E657" s="52" t="n"/>
      <c r="F657" s="52" t="n"/>
      <c r="G657" s="52" t="n"/>
      <c r="H657" s="52" t="n"/>
      <c r="I657" s="52" t="n"/>
      <c r="J657" s="52" t="n"/>
      <c r="K657" s="54" t="n"/>
      <c r="L657" s="5" t="n"/>
      <c r="M657" s="53">
        <f>IF(A657="","",IFERROR(INDEX(Firms!$B$5:$B$1004,MATCH(A657,Firms!$A$5:$A$1004,0)),"Not on Firms tab"))</f>
        <v/>
      </c>
      <c r="N657">
        <f>IF(AND(A657&lt;&gt;"",A657='Firm Search'!$C$7),COUNTIF($A$5:A657,'Firm Search'!$C$7),"")</f>
        <v/>
      </c>
    </row>
    <row r="658">
      <c r="A658" s="5" t="n"/>
      <c r="B658" s="5" t="n"/>
      <c r="C658" s="52" t="n"/>
      <c r="D658" s="52" t="n"/>
      <c r="E658" s="52" t="n"/>
      <c r="F658" s="52" t="n"/>
      <c r="G658" s="52" t="n"/>
      <c r="H658" s="52" t="n"/>
      <c r="I658" s="52" t="n"/>
      <c r="J658" s="52" t="n"/>
      <c r="K658" s="54" t="n"/>
      <c r="L658" s="5" t="n"/>
      <c r="M658" s="53">
        <f>IF(A658="","",IFERROR(INDEX(Firms!$B$5:$B$1004,MATCH(A658,Firms!$A$5:$A$1004,0)),"Not on Firms tab"))</f>
        <v/>
      </c>
      <c r="N658">
        <f>IF(AND(A658&lt;&gt;"",A658='Firm Search'!$C$7),COUNTIF($A$5:A658,'Firm Search'!$C$7),"")</f>
        <v/>
      </c>
    </row>
    <row r="659">
      <c r="A659" s="5" t="n"/>
      <c r="B659" s="5" t="n"/>
      <c r="C659" s="52" t="n"/>
      <c r="D659" s="52" t="n"/>
      <c r="E659" s="52" t="n"/>
      <c r="F659" s="52" t="n"/>
      <c r="G659" s="52" t="n"/>
      <c r="H659" s="52" t="n"/>
      <c r="I659" s="52" t="n"/>
      <c r="J659" s="52" t="n"/>
      <c r="K659" s="54" t="n"/>
      <c r="L659" s="5" t="n"/>
      <c r="M659" s="53">
        <f>IF(A659="","",IFERROR(INDEX(Firms!$B$5:$B$1004,MATCH(A659,Firms!$A$5:$A$1004,0)),"Not on Firms tab"))</f>
        <v/>
      </c>
      <c r="N659">
        <f>IF(AND(A659&lt;&gt;"",A659='Firm Search'!$C$7),COUNTIF($A$5:A659,'Firm Search'!$C$7),"")</f>
        <v/>
      </c>
    </row>
    <row r="660">
      <c r="A660" s="5" t="n"/>
      <c r="B660" s="5" t="n"/>
      <c r="C660" s="52" t="n"/>
      <c r="D660" s="52" t="n"/>
      <c r="E660" s="52" t="n"/>
      <c r="F660" s="52" t="n"/>
      <c r="G660" s="52" t="n"/>
      <c r="H660" s="52" t="n"/>
      <c r="I660" s="52" t="n"/>
      <c r="J660" s="52" t="n"/>
      <c r="K660" s="54" t="n"/>
      <c r="L660" s="5" t="n"/>
      <c r="M660" s="53">
        <f>IF(A660="","",IFERROR(INDEX(Firms!$B$5:$B$1004,MATCH(A660,Firms!$A$5:$A$1004,0)),"Not on Firms tab"))</f>
        <v/>
      </c>
      <c r="N660">
        <f>IF(AND(A660&lt;&gt;"",A660='Firm Search'!$C$7),COUNTIF($A$5:A660,'Firm Search'!$C$7),"")</f>
        <v/>
      </c>
    </row>
    <row r="661">
      <c r="A661" s="5" t="n"/>
      <c r="B661" s="5" t="n"/>
      <c r="C661" s="52" t="n"/>
      <c r="D661" s="52" t="n"/>
      <c r="E661" s="52" t="n"/>
      <c r="F661" s="52" t="n"/>
      <c r="G661" s="52" t="n"/>
      <c r="H661" s="52" t="n"/>
      <c r="I661" s="52" t="n"/>
      <c r="J661" s="52" t="n"/>
      <c r="K661" s="54" t="n"/>
      <c r="L661" s="5" t="n"/>
      <c r="M661" s="53">
        <f>IF(A661="","",IFERROR(INDEX(Firms!$B$5:$B$1004,MATCH(A661,Firms!$A$5:$A$1004,0)),"Not on Firms tab"))</f>
        <v/>
      </c>
      <c r="N661">
        <f>IF(AND(A661&lt;&gt;"",A661='Firm Search'!$C$7),COUNTIF($A$5:A661,'Firm Search'!$C$7),"")</f>
        <v/>
      </c>
    </row>
    <row r="662">
      <c r="A662" s="5" t="n"/>
      <c r="B662" s="5" t="n"/>
      <c r="C662" s="52" t="n"/>
      <c r="D662" s="52" t="n"/>
      <c r="E662" s="52" t="n"/>
      <c r="F662" s="52" t="n"/>
      <c r="G662" s="52" t="n"/>
      <c r="H662" s="52" t="n"/>
      <c r="I662" s="52" t="n"/>
      <c r="J662" s="52" t="n"/>
      <c r="K662" s="54" t="n"/>
      <c r="L662" s="5" t="n"/>
      <c r="M662" s="53">
        <f>IF(A662="","",IFERROR(INDEX(Firms!$B$5:$B$1004,MATCH(A662,Firms!$A$5:$A$1004,0)),"Not on Firms tab"))</f>
        <v/>
      </c>
      <c r="N662">
        <f>IF(AND(A662&lt;&gt;"",A662='Firm Search'!$C$7),COUNTIF($A$5:A662,'Firm Search'!$C$7),"")</f>
        <v/>
      </c>
    </row>
    <row r="663">
      <c r="A663" s="5" t="n"/>
      <c r="B663" s="5" t="n"/>
      <c r="C663" s="52" t="n"/>
      <c r="D663" s="52" t="n"/>
      <c r="E663" s="52" t="n"/>
      <c r="F663" s="52" t="n"/>
      <c r="G663" s="52" t="n"/>
      <c r="H663" s="52" t="n"/>
      <c r="I663" s="52" t="n"/>
      <c r="J663" s="52" t="n"/>
      <c r="K663" s="54" t="n"/>
      <c r="L663" s="5" t="n"/>
      <c r="M663" s="53">
        <f>IF(A663="","",IFERROR(INDEX(Firms!$B$5:$B$1004,MATCH(A663,Firms!$A$5:$A$1004,0)),"Not on Firms tab"))</f>
        <v/>
      </c>
      <c r="N663">
        <f>IF(AND(A663&lt;&gt;"",A663='Firm Search'!$C$7),COUNTIF($A$5:A663,'Firm Search'!$C$7),"")</f>
        <v/>
      </c>
    </row>
    <row r="664">
      <c r="A664" s="5" t="n"/>
      <c r="B664" s="5" t="n"/>
      <c r="C664" s="52" t="n"/>
      <c r="D664" s="52" t="n"/>
      <c r="E664" s="52" t="n"/>
      <c r="F664" s="52" t="n"/>
      <c r="G664" s="52" t="n"/>
      <c r="H664" s="52" t="n"/>
      <c r="I664" s="52" t="n"/>
      <c r="J664" s="52" t="n"/>
      <c r="K664" s="54" t="n"/>
      <c r="L664" s="5" t="n"/>
      <c r="M664" s="53">
        <f>IF(A664="","",IFERROR(INDEX(Firms!$B$5:$B$1004,MATCH(A664,Firms!$A$5:$A$1004,0)),"Not on Firms tab"))</f>
        <v/>
      </c>
      <c r="N664">
        <f>IF(AND(A664&lt;&gt;"",A664='Firm Search'!$C$7),COUNTIF($A$5:A664,'Firm Search'!$C$7),"")</f>
        <v/>
      </c>
    </row>
    <row r="665">
      <c r="A665" s="5" t="n"/>
      <c r="B665" s="5" t="n"/>
      <c r="C665" s="52" t="n"/>
      <c r="D665" s="52" t="n"/>
      <c r="E665" s="52" t="n"/>
      <c r="F665" s="52" t="n"/>
      <c r="G665" s="52" t="n"/>
      <c r="H665" s="52" t="n"/>
      <c r="I665" s="52" t="n"/>
      <c r="J665" s="52" t="n"/>
      <c r="K665" s="54" t="n"/>
      <c r="L665" s="5" t="n"/>
      <c r="M665" s="53">
        <f>IF(A665="","",IFERROR(INDEX(Firms!$B$5:$B$1004,MATCH(A665,Firms!$A$5:$A$1004,0)),"Not on Firms tab"))</f>
        <v/>
      </c>
      <c r="N665">
        <f>IF(AND(A665&lt;&gt;"",A665='Firm Search'!$C$7),COUNTIF($A$5:A665,'Firm Search'!$C$7),"")</f>
        <v/>
      </c>
    </row>
    <row r="666">
      <c r="A666" s="5" t="n"/>
      <c r="B666" s="5" t="n"/>
      <c r="C666" s="52" t="n"/>
      <c r="D666" s="52" t="n"/>
      <c r="E666" s="52" t="n"/>
      <c r="F666" s="52" t="n"/>
      <c r="G666" s="52" t="n"/>
      <c r="H666" s="52" t="n"/>
      <c r="I666" s="52" t="n"/>
      <c r="J666" s="52" t="n"/>
      <c r="K666" s="54" t="n"/>
      <c r="L666" s="5" t="n"/>
      <c r="M666" s="53">
        <f>IF(A666="","",IFERROR(INDEX(Firms!$B$5:$B$1004,MATCH(A666,Firms!$A$5:$A$1004,0)),"Not on Firms tab"))</f>
        <v/>
      </c>
      <c r="N666">
        <f>IF(AND(A666&lt;&gt;"",A666='Firm Search'!$C$7),COUNTIF($A$5:A666,'Firm Search'!$C$7),"")</f>
        <v/>
      </c>
    </row>
    <row r="667">
      <c r="A667" s="5" t="n"/>
      <c r="B667" s="5" t="n"/>
      <c r="C667" s="52" t="n"/>
      <c r="D667" s="52" t="n"/>
      <c r="E667" s="52" t="n"/>
      <c r="F667" s="52" t="n"/>
      <c r="G667" s="52" t="n"/>
      <c r="H667" s="52" t="n"/>
      <c r="I667" s="52" t="n"/>
      <c r="J667" s="52" t="n"/>
      <c r="K667" s="54" t="n"/>
      <c r="L667" s="5" t="n"/>
      <c r="M667" s="53">
        <f>IF(A667="","",IFERROR(INDEX(Firms!$B$5:$B$1004,MATCH(A667,Firms!$A$5:$A$1004,0)),"Not on Firms tab"))</f>
        <v/>
      </c>
      <c r="N667">
        <f>IF(AND(A667&lt;&gt;"",A667='Firm Search'!$C$7),COUNTIF($A$5:A667,'Firm Search'!$C$7),"")</f>
        <v/>
      </c>
    </row>
    <row r="668">
      <c r="A668" s="5" t="n"/>
      <c r="B668" s="5" t="n"/>
      <c r="C668" s="52" t="n"/>
      <c r="D668" s="52" t="n"/>
      <c r="E668" s="52" t="n"/>
      <c r="F668" s="52" t="n"/>
      <c r="G668" s="52" t="n"/>
      <c r="H668" s="52" t="n"/>
      <c r="I668" s="52" t="n"/>
      <c r="J668" s="52" t="n"/>
      <c r="K668" s="54" t="n"/>
      <c r="L668" s="5" t="n"/>
      <c r="M668" s="53">
        <f>IF(A668="","",IFERROR(INDEX(Firms!$B$5:$B$1004,MATCH(A668,Firms!$A$5:$A$1004,0)),"Not on Firms tab"))</f>
        <v/>
      </c>
      <c r="N668">
        <f>IF(AND(A668&lt;&gt;"",A668='Firm Search'!$C$7),COUNTIF($A$5:A668,'Firm Search'!$C$7),"")</f>
        <v/>
      </c>
    </row>
    <row r="669">
      <c r="A669" s="5" t="n"/>
      <c r="B669" s="5" t="n"/>
      <c r="C669" s="52" t="n"/>
      <c r="D669" s="52" t="n"/>
      <c r="E669" s="52" t="n"/>
      <c r="F669" s="52" t="n"/>
      <c r="G669" s="52" t="n"/>
      <c r="H669" s="52" t="n"/>
      <c r="I669" s="52" t="n"/>
      <c r="J669" s="52" t="n"/>
      <c r="K669" s="54" t="n"/>
      <c r="L669" s="5" t="n"/>
      <c r="M669" s="53">
        <f>IF(A669="","",IFERROR(INDEX(Firms!$B$5:$B$1004,MATCH(A669,Firms!$A$5:$A$1004,0)),"Not on Firms tab"))</f>
        <v/>
      </c>
      <c r="N669">
        <f>IF(AND(A669&lt;&gt;"",A669='Firm Search'!$C$7),COUNTIF($A$5:A669,'Firm Search'!$C$7),"")</f>
        <v/>
      </c>
    </row>
    <row r="670">
      <c r="A670" s="5" t="n"/>
      <c r="B670" s="5" t="n"/>
      <c r="C670" s="52" t="n"/>
      <c r="D670" s="52" t="n"/>
      <c r="E670" s="52" t="n"/>
      <c r="F670" s="52" t="n"/>
      <c r="G670" s="52" t="n"/>
      <c r="H670" s="52" t="n"/>
      <c r="I670" s="52" t="n"/>
      <c r="J670" s="52" t="n"/>
      <c r="K670" s="54" t="n"/>
      <c r="L670" s="5" t="n"/>
      <c r="M670" s="53">
        <f>IF(A670="","",IFERROR(INDEX(Firms!$B$5:$B$1004,MATCH(A670,Firms!$A$5:$A$1004,0)),"Not on Firms tab"))</f>
        <v/>
      </c>
      <c r="N670">
        <f>IF(AND(A670&lt;&gt;"",A670='Firm Search'!$C$7),COUNTIF($A$5:A670,'Firm Search'!$C$7),"")</f>
        <v/>
      </c>
    </row>
    <row r="671">
      <c r="A671" s="5" t="n"/>
      <c r="B671" s="5" t="n"/>
      <c r="C671" s="52" t="n"/>
      <c r="D671" s="52" t="n"/>
      <c r="E671" s="52" t="n"/>
      <c r="F671" s="52" t="n"/>
      <c r="G671" s="52" t="n"/>
      <c r="H671" s="52" t="n"/>
      <c r="I671" s="52" t="n"/>
      <c r="J671" s="52" t="n"/>
      <c r="K671" s="54" t="n"/>
      <c r="L671" s="5" t="n"/>
      <c r="M671" s="53">
        <f>IF(A671="","",IFERROR(INDEX(Firms!$B$5:$B$1004,MATCH(A671,Firms!$A$5:$A$1004,0)),"Not on Firms tab"))</f>
        <v/>
      </c>
      <c r="N671">
        <f>IF(AND(A671&lt;&gt;"",A671='Firm Search'!$C$7),COUNTIF($A$5:A671,'Firm Search'!$C$7),"")</f>
        <v/>
      </c>
    </row>
    <row r="672">
      <c r="A672" s="5" t="n"/>
      <c r="B672" s="5" t="n"/>
      <c r="C672" s="52" t="n"/>
      <c r="D672" s="52" t="n"/>
      <c r="E672" s="52" t="n"/>
      <c r="F672" s="52" t="n"/>
      <c r="G672" s="52" t="n"/>
      <c r="H672" s="52" t="n"/>
      <c r="I672" s="52" t="n"/>
      <c r="J672" s="52" t="n"/>
      <c r="K672" s="54" t="n"/>
      <c r="L672" s="5" t="n"/>
      <c r="M672" s="53">
        <f>IF(A672="","",IFERROR(INDEX(Firms!$B$5:$B$1004,MATCH(A672,Firms!$A$5:$A$1004,0)),"Not on Firms tab"))</f>
        <v/>
      </c>
      <c r="N672">
        <f>IF(AND(A672&lt;&gt;"",A672='Firm Search'!$C$7),COUNTIF($A$5:A672,'Firm Search'!$C$7),"")</f>
        <v/>
      </c>
    </row>
    <row r="673">
      <c r="A673" s="5" t="n"/>
      <c r="B673" s="5" t="n"/>
      <c r="C673" s="52" t="n"/>
      <c r="D673" s="52" t="n"/>
      <c r="E673" s="52" t="n"/>
      <c r="F673" s="52" t="n"/>
      <c r="G673" s="52" t="n"/>
      <c r="H673" s="52" t="n"/>
      <c r="I673" s="52" t="n"/>
      <c r="J673" s="52" t="n"/>
      <c r="K673" s="54" t="n"/>
      <c r="L673" s="5" t="n"/>
      <c r="M673" s="53">
        <f>IF(A673="","",IFERROR(INDEX(Firms!$B$5:$B$1004,MATCH(A673,Firms!$A$5:$A$1004,0)),"Not on Firms tab"))</f>
        <v/>
      </c>
      <c r="N673">
        <f>IF(AND(A673&lt;&gt;"",A673='Firm Search'!$C$7),COUNTIF($A$5:A673,'Firm Search'!$C$7),"")</f>
        <v/>
      </c>
    </row>
    <row r="674">
      <c r="A674" s="5" t="n"/>
      <c r="B674" s="5" t="n"/>
      <c r="C674" s="52" t="n"/>
      <c r="D674" s="52" t="n"/>
      <c r="E674" s="52" t="n"/>
      <c r="F674" s="52" t="n"/>
      <c r="G674" s="52" t="n"/>
      <c r="H674" s="52" t="n"/>
      <c r="I674" s="52" t="n"/>
      <c r="J674" s="52" t="n"/>
      <c r="K674" s="54" t="n"/>
      <c r="L674" s="5" t="n"/>
      <c r="M674" s="53">
        <f>IF(A674="","",IFERROR(INDEX(Firms!$B$5:$B$1004,MATCH(A674,Firms!$A$5:$A$1004,0)),"Not on Firms tab"))</f>
        <v/>
      </c>
      <c r="N674">
        <f>IF(AND(A674&lt;&gt;"",A674='Firm Search'!$C$7),COUNTIF($A$5:A674,'Firm Search'!$C$7),"")</f>
        <v/>
      </c>
    </row>
    <row r="675">
      <c r="A675" s="5" t="n"/>
      <c r="B675" s="5" t="n"/>
      <c r="C675" s="52" t="n"/>
      <c r="D675" s="52" t="n"/>
      <c r="E675" s="52" t="n"/>
      <c r="F675" s="52" t="n"/>
      <c r="G675" s="52" t="n"/>
      <c r="H675" s="52" t="n"/>
      <c r="I675" s="52" t="n"/>
      <c r="J675" s="52" t="n"/>
      <c r="K675" s="54" t="n"/>
      <c r="L675" s="5" t="n"/>
      <c r="M675" s="53">
        <f>IF(A675="","",IFERROR(INDEX(Firms!$B$5:$B$1004,MATCH(A675,Firms!$A$5:$A$1004,0)),"Not on Firms tab"))</f>
        <v/>
      </c>
      <c r="N675">
        <f>IF(AND(A675&lt;&gt;"",A675='Firm Search'!$C$7),COUNTIF($A$5:A675,'Firm Search'!$C$7),"")</f>
        <v/>
      </c>
    </row>
    <row r="676">
      <c r="A676" s="5" t="n"/>
      <c r="B676" s="5" t="n"/>
      <c r="C676" s="52" t="n"/>
      <c r="D676" s="52" t="n"/>
      <c r="E676" s="52" t="n"/>
      <c r="F676" s="52" t="n"/>
      <c r="G676" s="52" t="n"/>
      <c r="H676" s="52" t="n"/>
      <c r="I676" s="52" t="n"/>
      <c r="J676" s="52" t="n"/>
      <c r="K676" s="54" t="n"/>
      <c r="L676" s="5" t="n"/>
      <c r="M676" s="53">
        <f>IF(A676="","",IFERROR(INDEX(Firms!$B$5:$B$1004,MATCH(A676,Firms!$A$5:$A$1004,0)),"Not on Firms tab"))</f>
        <v/>
      </c>
      <c r="N676">
        <f>IF(AND(A676&lt;&gt;"",A676='Firm Search'!$C$7),COUNTIF($A$5:A676,'Firm Search'!$C$7),"")</f>
        <v/>
      </c>
    </row>
    <row r="677">
      <c r="A677" s="5" t="n"/>
      <c r="B677" s="5" t="n"/>
      <c r="C677" s="52" t="n"/>
      <c r="D677" s="52" t="n"/>
      <c r="E677" s="52" t="n"/>
      <c r="F677" s="52" t="n"/>
      <c r="G677" s="52" t="n"/>
      <c r="H677" s="52" t="n"/>
      <c r="I677" s="52" t="n"/>
      <c r="J677" s="52" t="n"/>
      <c r="K677" s="54" t="n"/>
      <c r="L677" s="5" t="n"/>
      <c r="M677" s="53">
        <f>IF(A677="","",IFERROR(INDEX(Firms!$B$5:$B$1004,MATCH(A677,Firms!$A$5:$A$1004,0)),"Not on Firms tab"))</f>
        <v/>
      </c>
      <c r="N677">
        <f>IF(AND(A677&lt;&gt;"",A677='Firm Search'!$C$7),COUNTIF($A$5:A677,'Firm Search'!$C$7),"")</f>
        <v/>
      </c>
    </row>
    <row r="678">
      <c r="A678" s="5" t="n"/>
      <c r="B678" s="5" t="n"/>
      <c r="C678" s="52" t="n"/>
      <c r="D678" s="52" t="n"/>
      <c r="E678" s="52" t="n"/>
      <c r="F678" s="52" t="n"/>
      <c r="G678" s="52" t="n"/>
      <c r="H678" s="52" t="n"/>
      <c r="I678" s="52" t="n"/>
      <c r="J678" s="52" t="n"/>
      <c r="K678" s="54" t="n"/>
      <c r="L678" s="5" t="n"/>
      <c r="M678" s="53">
        <f>IF(A678="","",IFERROR(INDEX(Firms!$B$5:$B$1004,MATCH(A678,Firms!$A$5:$A$1004,0)),"Not on Firms tab"))</f>
        <v/>
      </c>
      <c r="N678">
        <f>IF(AND(A678&lt;&gt;"",A678='Firm Search'!$C$7),COUNTIF($A$5:A678,'Firm Search'!$C$7),"")</f>
        <v/>
      </c>
    </row>
    <row r="679">
      <c r="A679" s="5" t="n"/>
      <c r="B679" s="5" t="n"/>
      <c r="C679" s="52" t="n"/>
      <c r="D679" s="52" t="n"/>
      <c r="E679" s="52" t="n"/>
      <c r="F679" s="52" t="n"/>
      <c r="G679" s="52" t="n"/>
      <c r="H679" s="52" t="n"/>
      <c r="I679" s="52" t="n"/>
      <c r="J679" s="52" t="n"/>
      <c r="K679" s="54" t="n"/>
      <c r="L679" s="5" t="n"/>
      <c r="M679" s="53">
        <f>IF(A679="","",IFERROR(INDEX(Firms!$B$5:$B$1004,MATCH(A679,Firms!$A$5:$A$1004,0)),"Not on Firms tab"))</f>
        <v/>
      </c>
      <c r="N679">
        <f>IF(AND(A679&lt;&gt;"",A679='Firm Search'!$C$7),COUNTIF($A$5:A679,'Firm Search'!$C$7),"")</f>
        <v/>
      </c>
    </row>
    <row r="680">
      <c r="A680" s="5" t="n"/>
      <c r="B680" s="5" t="n"/>
      <c r="C680" s="52" t="n"/>
      <c r="D680" s="52" t="n"/>
      <c r="E680" s="52" t="n"/>
      <c r="F680" s="52" t="n"/>
      <c r="G680" s="52" t="n"/>
      <c r="H680" s="52" t="n"/>
      <c r="I680" s="52" t="n"/>
      <c r="J680" s="52" t="n"/>
      <c r="K680" s="54" t="n"/>
      <c r="L680" s="5" t="n"/>
      <c r="M680" s="53">
        <f>IF(A680="","",IFERROR(INDEX(Firms!$B$5:$B$1004,MATCH(A680,Firms!$A$5:$A$1004,0)),"Not on Firms tab"))</f>
        <v/>
      </c>
      <c r="N680">
        <f>IF(AND(A680&lt;&gt;"",A680='Firm Search'!$C$7),COUNTIF($A$5:A680,'Firm Search'!$C$7),"")</f>
        <v/>
      </c>
    </row>
    <row r="681">
      <c r="A681" s="5" t="n"/>
      <c r="B681" s="5" t="n"/>
      <c r="C681" s="52" t="n"/>
      <c r="D681" s="52" t="n"/>
      <c r="E681" s="52" t="n"/>
      <c r="F681" s="52" t="n"/>
      <c r="G681" s="52" t="n"/>
      <c r="H681" s="52" t="n"/>
      <c r="I681" s="52" t="n"/>
      <c r="J681" s="52" t="n"/>
      <c r="K681" s="54" t="n"/>
      <c r="L681" s="5" t="n"/>
      <c r="M681" s="53">
        <f>IF(A681="","",IFERROR(INDEX(Firms!$B$5:$B$1004,MATCH(A681,Firms!$A$5:$A$1004,0)),"Not on Firms tab"))</f>
        <v/>
      </c>
      <c r="N681">
        <f>IF(AND(A681&lt;&gt;"",A681='Firm Search'!$C$7),COUNTIF($A$5:A681,'Firm Search'!$C$7),"")</f>
        <v/>
      </c>
    </row>
    <row r="682">
      <c r="A682" s="5" t="n"/>
      <c r="B682" s="5" t="n"/>
      <c r="C682" s="52" t="n"/>
      <c r="D682" s="52" t="n"/>
      <c r="E682" s="52" t="n"/>
      <c r="F682" s="52" t="n"/>
      <c r="G682" s="52" t="n"/>
      <c r="H682" s="52" t="n"/>
      <c r="I682" s="52" t="n"/>
      <c r="J682" s="52" t="n"/>
      <c r="K682" s="54" t="n"/>
      <c r="L682" s="5" t="n"/>
      <c r="M682" s="53">
        <f>IF(A682="","",IFERROR(INDEX(Firms!$B$5:$B$1004,MATCH(A682,Firms!$A$5:$A$1004,0)),"Not on Firms tab"))</f>
        <v/>
      </c>
      <c r="N682">
        <f>IF(AND(A682&lt;&gt;"",A682='Firm Search'!$C$7),COUNTIF($A$5:A682,'Firm Search'!$C$7),"")</f>
        <v/>
      </c>
    </row>
    <row r="683">
      <c r="A683" s="5" t="n"/>
      <c r="B683" s="5" t="n"/>
      <c r="C683" s="52" t="n"/>
      <c r="D683" s="52" t="n"/>
      <c r="E683" s="52" t="n"/>
      <c r="F683" s="52" t="n"/>
      <c r="G683" s="52" t="n"/>
      <c r="H683" s="52" t="n"/>
      <c r="I683" s="52" t="n"/>
      <c r="J683" s="52" t="n"/>
      <c r="K683" s="54" t="n"/>
      <c r="L683" s="5" t="n"/>
      <c r="M683" s="53">
        <f>IF(A683="","",IFERROR(INDEX(Firms!$B$5:$B$1004,MATCH(A683,Firms!$A$5:$A$1004,0)),"Not on Firms tab"))</f>
        <v/>
      </c>
      <c r="N683">
        <f>IF(AND(A683&lt;&gt;"",A683='Firm Search'!$C$7),COUNTIF($A$5:A683,'Firm Search'!$C$7),"")</f>
        <v/>
      </c>
    </row>
    <row r="684">
      <c r="A684" s="5" t="n"/>
      <c r="B684" s="5" t="n"/>
      <c r="C684" s="52" t="n"/>
      <c r="D684" s="52" t="n"/>
      <c r="E684" s="52" t="n"/>
      <c r="F684" s="52" t="n"/>
      <c r="G684" s="52" t="n"/>
      <c r="H684" s="52" t="n"/>
      <c r="I684" s="52" t="n"/>
      <c r="J684" s="52" t="n"/>
      <c r="K684" s="54" t="n"/>
      <c r="L684" s="5" t="n"/>
      <c r="M684" s="53">
        <f>IF(A684="","",IFERROR(INDEX(Firms!$B$5:$B$1004,MATCH(A684,Firms!$A$5:$A$1004,0)),"Not on Firms tab"))</f>
        <v/>
      </c>
      <c r="N684">
        <f>IF(AND(A684&lt;&gt;"",A684='Firm Search'!$C$7),COUNTIF($A$5:A684,'Firm Search'!$C$7),"")</f>
        <v/>
      </c>
    </row>
    <row r="685">
      <c r="A685" s="5" t="n"/>
      <c r="B685" s="5" t="n"/>
      <c r="C685" s="52" t="n"/>
      <c r="D685" s="52" t="n"/>
      <c r="E685" s="52" t="n"/>
      <c r="F685" s="52" t="n"/>
      <c r="G685" s="52" t="n"/>
      <c r="H685" s="52" t="n"/>
      <c r="I685" s="52" t="n"/>
      <c r="J685" s="52" t="n"/>
      <c r="K685" s="54" t="n"/>
      <c r="L685" s="5" t="n"/>
      <c r="M685" s="53">
        <f>IF(A685="","",IFERROR(INDEX(Firms!$B$5:$B$1004,MATCH(A685,Firms!$A$5:$A$1004,0)),"Not on Firms tab"))</f>
        <v/>
      </c>
      <c r="N685">
        <f>IF(AND(A685&lt;&gt;"",A685='Firm Search'!$C$7),COUNTIF($A$5:A685,'Firm Search'!$C$7),"")</f>
        <v/>
      </c>
    </row>
    <row r="686">
      <c r="A686" s="5" t="n"/>
      <c r="B686" s="5" t="n"/>
      <c r="C686" s="52" t="n"/>
      <c r="D686" s="52" t="n"/>
      <c r="E686" s="52" t="n"/>
      <c r="F686" s="52" t="n"/>
      <c r="G686" s="52" t="n"/>
      <c r="H686" s="52" t="n"/>
      <c r="I686" s="52" t="n"/>
      <c r="J686" s="52" t="n"/>
      <c r="K686" s="54" t="n"/>
      <c r="L686" s="5" t="n"/>
      <c r="M686" s="53">
        <f>IF(A686="","",IFERROR(INDEX(Firms!$B$5:$B$1004,MATCH(A686,Firms!$A$5:$A$1004,0)),"Not on Firms tab"))</f>
        <v/>
      </c>
      <c r="N686">
        <f>IF(AND(A686&lt;&gt;"",A686='Firm Search'!$C$7),COUNTIF($A$5:A686,'Firm Search'!$C$7),"")</f>
        <v/>
      </c>
    </row>
    <row r="687">
      <c r="A687" s="5" t="n"/>
      <c r="B687" s="5" t="n"/>
      <c r="C687" s="52" t="n"/>
      <c r="D687" s="52" t="n"/>
      <c r="E687" s="52" t="n"/>
      <c r="F687" s="52" t="n"/>
      <c r="G687" s="52" t="n"/>
      <c r="H687" s="52" t="n"/>
      <c r="I687" s="52" t="n"/>
      <c r="J687" s="52" t="n"/>
      <c r="K687" s="54" t="n"/>
      <c r="L687" s="5" t="n"/>
      <c r="M687" s="53">
        <f>IF(A687="","",IFERROR(INDEX(Firms!$B$5:$B$1004,MATCH(A687,Firms!$A$5:$A$1004,0)),"Not on Firms tab"))</f>
        <v/>
      </c>
      <c r="N687">
        <f>IF(AND(A687&lt;&gt;"",A687='Firm Search'!$C$7),COUNTIF($A$5:A687,'Firm Search'!$C$7),"")</f>
        <v/>
      </c>
    </row>
    <row r="688">
      <c r="A688" s="5" t="n"/>
      <c r="B688" s="5" t="n"/>
      <c r="C688" s="52" t="n"/>
      <c r="D688" s="52" t="n"/>
      <c r="E688" s="52" t="n"/>
      <c r="F688" s="52" t="n"/>
      <c r="G688" s="52" t="n"/>
      <c r="H688" s="52" t="n"/>
      <c r="I688" s="52" t="n"/>
      <c r="J688" s="52" t="n"/>
      <c r="K688" s="54" t="n"/>
      <c r="L688" s="5" t="n"/>
      <c r="M688" s="53">
        <f>IF(A688="","",IFERROR(INDEX(Firms!$B$5:$B$1004,MATCH(A688,Firms!$A$5:$A$1004,0)),"Not on Firms tab"))</f>
        <v/>
      </c>
      <c r="N688">
        <f>IF(AND(A688&lt;&gt;"",A688='Firm Search'!$C$7),COUNTIF($A$5:A688,'Firm Search'!$C$7),"")</f>
        <v/>
      </c>
    </row>
    <row r="689">
      <c r="A689" s="5" t="n"/>
      <c r="B689" s="5" t="n"/>
      <c r="C689" s="52" t="n"/>
      <c r="D689" s="52" t="n"/>
      <c r="E689" s="52" t="n"/>
      <c r="F689" s="52" t="n"/>
      <c r="G689" s="52" t="n"/>
      <c r="H689" s="52" t="n"/>
      <c r="I689" s="52" t="n"/>
      <c r="J689" s="52" t="n"/>
      <c r="K689" s="54" t="n"/>
      <c r="L689" s="5" t="n"/>
      <c r="M689" s="53">
        <f>IF(A689="","",IFERROR(INDEX(Firms!$B$5:$B$1004,MATCH(A689,Firms!$A$5:$A$1004,0)),"Not on Firms tab"))</f>
        <v/>
      </c>
      <c r="N689">
        <f>IF(AND(A689&lt;&gt;"",A689='Firm Search'!$C$7),COUNTIF($A$5:A689,'Firm Search'!$C$7),"")</f>
        <v/>
      </c>
    </row>
    <row r="690">
      <c r="A690" s="5" t="n"/>
      <c r="B690" s="5" t="n"/>
      <c r="C690" s="52" t="n"/>
      <c r="D690" s="52" t="n"/>
      <c r="E690" s="52" t="n"/>
      <c r="F690" s="52" t="n"/>
      <c r="G690" s="52" t="n"/>
      <c r="H690" s="52" t="n"/>
      <c r="I690" s="52" t="n"/>
      <c r="J690" s="52" t="n"/>
      <c r="K690" s="54" t="n"/>
      <c r="L690" s="5" t="n"/>
      <c r="M690" s="53">
        <f>IF(A690="","",IFERROR(INDEX(Firms!$B$5:$B$1004,MATCH(A690,Firms!$A$5:$A$1004,0)),"Not on Firms tab"))</f>
        <v/>
      </c>
      <c r="N690">
        <f>IF(AND(A690&lt;&gt;"",A690='Firm Search'!$C$7),COUNTIF($A$5:A690,'Firm Search'!$C$7),"")</f>
        <v/>
      </c>
    </row>
    <row r="691">
      <c r="A691" s="5" t="n"/>
      <c r="B691" s="5" t="n"/>
      <c r="C691" s="52" t="n"/>
      <c r="D691" s="52" t="n"/>
      <c r="E691" s="52" t="n"/>
      <c r="F691" s="52" t="n"/>
      <c r="G691" s="52" t="n"/>
      <c r="H691" s="52" t="n"/>
      <c r="I691" s="52" t="n"/>
      <c r="J691" s="52" t="n"/>
      <c r="K691" s="54" t="n"/>
      <c r="L691" s="5" t="n"/>
      <c r="M691" s="53">
        <f>IF(A691="","",IFERROR(INDEX(Firms!$B$5:$B$1004,MATCH(A691,Firms!$A$5:$A$1004,0)),"Not on Firms tab"))</f>
        <v/>
      </c>
      <c r="N691">
        <f>IF(AND(A691&lt;&gt;"",A691='Firm Search'!$C$7),COUNTIF($A$5:A691,'Firm Search'!$C$7),"")</f>
        <v/>
      </c>
    </row>
    <row r="692">
      <c r="A692" s="5" t="n"/>
      <c r="B692" s="5" t="n"/>
      <c r="C692" s="52" t="n"/>
      <c r="D692" s="52" t="n"/>
      <c r="E692" s="52" t="n"/>
      <c r="F692" s="52" t="n"/>
      <c r="G692" s="52" t="n"/>
      <c r="H692" s="52" t="n"/>
      <c r="I692" s="52" t="n"/>
      <c r="J692" s="52" t="n"/>
      <c r="K692" s="54" t="n"/>
      <c r="L692" s="5" t="n"/>
      <c r="M692" s="53">
        <f>IF(A692="","",IFERROR(INDEX(Firms!$B$5:$B$1004,MATCH(A692,Firms!$A$5:$A$1004,0)),"Not on Firms tab"))</f>
        <v/>
      </c>
      <c r="N692">
        <f>IF(AND(A692&lt;&gt;"",A692='Firm Search'!$C$7),COUNTIF($A$5:A692,'Firm Search'!$C$7),"")</f>
        <v/>
      </c>
    </row>
    <row r="693">
      <c r="A693" s="5" t="n"/>
      <c r="B693" s="5" t="n"/>
      <c r="C693" s="52" t="n"/>
      <c r="D693" s="52" t="n"/>
      <c r="E693" s="52" t="n"/>
      <c r="F693" s="52" t="n"/>
      <c r="G693" s="52" t="n"/>
      <c r="H693" s="52" t="n"/>
      <c r="I693" s="52" t="n"/>
      <c r="J693" s="52" t="n"/>
      <c r="K693" s="54" t="n"/>
      <c r="L693" s="5" t="n"/>
      <c r="M693" s="53">
        <f>IF(A693="","",IFERROR(INDEX(Firms!$B$5:$B$1004,MATCH(A693,Firms!$A$5:$A$1004,0)),"Not on Firms tab"))</f>
        <v/>
      </c>
      <c r="N693">
        <f>IF(AND(A693&lt;&gt;"",A693='Firm Search'!$C$7),COUNTIF($A$5:A693,'Firm Search'!$C$7),"")</f>
        <v/>
      </c>
    </row>
    <row r="694">
      <c r="A694" s="5" t="n"/>
      <c r="B694" s="5" t="n"/>
      <c r="C694" s="52" t="n"/>
      <c r="D694" s="52" t="n"/>
      <c r="E694" s="52" t="n"/>
      <c r="F694" s="52" t="n"/>
      <c r="G694" s="52" t="n"/>
      <c r="H694" s="52" t="n"/>
      <c r="I694" s="52" t="n"/>
      <c r="J694" s="52" t="n"/>
      <c r="K694" s="54" t="n"/>
      <c r="L694" s="5" t="n"/>
      <c r="M694" s="53">
        <f>IF(A694="","",IFERROR(INDEX(Firms!$B$5:$B$1004,MATCH(A694,Firms!$A$5:$A$1004,0)),"Not on Firms tab"))</f>
        <v/>
      </c>
      <c r="N694">
        <f>IF(AND(A694&lt;&gt;"",A694='Firm Search'!$C$7),COUNTIF($A$5:A694,'Firm Search'!$C$7),"")</f>
        <v/>
      </c>
    </row>
    <row r="695">
      <c r="A695" s="5" t="n"/>
      <c r="B695" s="5" t="n"/>
      <c r="C695" s="52" t="n"/>
      <c r="D695" s="52" t="n"/>
      <c r="E695" s="52" t="n"/>
      <c r="F695" s="52" t="n"/>
      <c r="G695" s="52" t="n"/>
      <c r="H695" s="52" t="n"/>
      <c r="I695" s="52" t="n"/>
      <c r="J695" s="52" t="n"/>
      <c r="K695" s="54" t="n"/>
      <c r="L695" s="5" t="n"/>
      <c r="M695" s="53">
        <f>IF(A695="","",IFERROR(INDEX(Firms!$B$5:$B$1004,MATCH(A695,Firms!$A$5:$A$1004,0)),"Not on Firms tab"))</f>
        <v/>
      </c>
      <c r="N695">
        <f>IF(AND(A695&lt;&gt;"",A695='Firm Search'!$C$7),COUNTIF($A$5:A695,'Firm Search'!$C$7),"")</f>
        <v/>
      </c>
    </row>
    <row r="696">
      <c r="A696" s="5" t="n"/>
      <c r="B696" s="5" t="n"/>
      <c r="C696" s="52" t="n"/>
      <c r="D696" s="52" t="n"/>
      <c r="E696" s="52" t="n"/>
      <c r="F696" s="52" t="n"/>
      <c r="G696" s="52" t="n"/>
      <c r="H696" s="52" t="n"/>
      <c r="I696" s="52" t="n"/>
      <c r="J696" s="52" t="n"/>
      <c r="K696" s="54" t="n"/>
      <c r="L696" s="5" t="n"/>
      <c r="M696" s="53">
        <f>IF(A696="","",IFERROR(INDEX(Firms!$B$5:$B$1004,MATCH(A696,Firms!$A$5:$A$1004,0)),"Not on Firms tab"))</f>
        <v/>
      </c>
      <c r="N696">
        <f>IF(AND(A696&lt;&gt;"",A696='Firm Search'!$C$7),COUNTIF($A$5:A696,'Firm Search'!$C$7),"")</f>
        <v/>
      </c>
    </row>
    <row r="697">
      <c r="A697" s="5" t="n"/>
      <c r="B697" s="5" t="n"/>
      <c r="C697" s="52" t="n"/>
      <c r="D697" s="52" t="n"/>
      <c r="E697" s="52" t="n"/>
      <c r="F697" s="52" t="n"/>
      <c r="G697" s="52" t="n"/>
      <c r="H697" s="52" t="n"/>
      <c r="I697" s="52" t="n"/>
      <c r="J697" s="52" t="n"/>
      <c r="K697" s="54" t="n"/>
      <c r="L697" s="5" t="n"/>
      <c r="M697" s="53">
        <f>IF(A697="","",IFERROR(INDEX(Firms!$B$5:$B$1004,MATCH(A697,Firms!$A$5:$A$1004,0)),"Not on Firms tab"))</f>
        <v/>
      </c>
      <c r="N697">
        <f>IF(AND(A697&lt;&gt;"",A697='Firm Search'!$C$7),COUNTIF($A$5:A697,'Firm Search'!$C$7),"")</f>
        <v/>
      </c>
    </row>
    <row r="698">
      <c r="A698" s="5" t="n"/>
      <c r="B698" s="5" t="n"/>
      <c r="C698" s="52" t="n"/>
      <c r="D698" s="52" t="n"/>
      <c r="E698" s="52" t="n"/>
      <c r="F698" s="52" t="n"/>
      <c r="G698" s="52" t="n"/>
      <c r="H698" s="52" t="n"/>
      <c r="I698" s="52" t="n"/>
      <c r="J698" s="52" t="n"/>
      <c r="K698" s="54" t="n"/>
      <c r="L698" s="5" t="n"/>
      <c r="M698" s="53">
        <f>IF(A698="","",IFERROR(INDEX(Firms!$B$5:$B$1004,MATCH(A698,Firms!$A$5:$A$1004,0)),"Not on Firms tab"))</f>
        <v/>
      </c>
      <c r="N698">
        <f>IF(AND(A698&lt;&gt;"",A698='Firm Search'!$C$7),COUNTIF($A$5:A698,'Firm Search'!$C$7),"")</f>
        <v/>
      </c>
    </row>
    <row r="699">
      <c r="A699" s="5" t="n"/>
      <c r="B699" s="5" t="n"/>
      <c r="C699" s="52" t="n"/>
      <c r="D699" s="52" t="n"/>
      <c r="E699" s="52" t="n"/>
      <c r="F699" s="52" t="n"/>
      <c r="G699" s="52" t="n"/>
      <c r="H699" s="52" t="n"/>
      <c r="I699" s="52" t="n"/>
      <c r="J699" s="52" t="n"/>
      <c r="K699" s="54" t="n"/>
      <c r="L699" s="5" t="n"/>
      <c r="M699" s="53">
        <f>IF(A699="","",IFERROR(INDEX(Firms!$B$5:$B$1004,MATCH(A699,Firms!$A$5:$A$1004,0)),"Not on Firms tab"))</f>
        <v/>
      </c>
      <c r="N699">
        <f>IF(AND(A699&lt;&gt;"",A699='Firm Search'!$C$7),COUNTIF($A$5:A699,'Firm Search'!$C$7),"")</f>
        <v/>
      </c>
    </row>
    <row r="700">
      <c r="A700" s="5" t="n"/>
      <c r="B700" s="5" t="n"/>
      <c r="C700" s="52" t="n"/>
      <c r="D700" s="52" t="n"/>
      <c r="E700" s="52" t="n"/>
      <c r="F700" s="52" t="n"/>
      <c r="G700" s="52" t="n"/>
      <c r="H700" s="52" t="n"/>
      <c r="I700" s="52" t="n"/>
      <c r="J700" s="52" t="n"/>
      <c r="K700" s="54" t="n"/>
      <c r="L700" s="5" t="n"/>
      <c r="M700" s="53">
        <f>IF(A700="","",IFERROR(INDEX(Firms!$B$5:$B$1004,MATCH(A700,Firms!$A$5:$A$1004,0)),"Not on Firms tab"))</f>
        <v/>
      </c>
      <c r="N700">
        <f>IF(AND(A700&lt;&gt;"",A700='Firm Search'!$C$7),COUNTIF($A$5:A700,'Firm Search'!$C$7),"")</f>
        <v/>
      </c>
    </row>
    <row r="701">
      <c r="A701" s="5" t="n"/>
      <c r="B701" s="5" t="n"/>
      <c r="C701" s="52" t="n"/>
      <c r="D701" s="52" t="n"/>
      <c r="E701" s="52" t="n"/>
      <c r="F701" s="52" t="n"/>
      <c r="G701" s="52" t="n"/>
      <c r="H701" s="52" t="n"/>
      <c r="I701" s="52" t="n"/>
      <c r="J701" s="52" t="n"/>
      <c r="K701" s="54" t="n"/>
      <c r="L701" s="5" t="n"/>
      <c r="M701" s="53">
        <f>IF(A701="","",IFERROR(INDEX(Firms!$B$5:$B$1004,MATCH(A701,Firms!$A$5:$A$1004,0)),"Not on Firms tab"))</f>
        <v/>
      </c>
      <c r="N701">
        <f>IF(AND(A701&lt;&gt;"",A701='Firm Search'!$C$7),COUNTIF($A$5:A701,'Firm Search'!$C$7),"")</f>
        <v/>
      </c>
    </row>
    <row r="702">
      <c r="A702" s="5" t="n"/>
      <c r="B702" s="5" t="n"/>
      <c r="C702" s="52" t="n"/>
      <c r="D702" s="52" t="n"/>
      <c r="E702" s="52" t="n"/>
      <c r="F702" s="52" t="n"/>
      <c r="G702" s="52" t="n"/>
      <c r="H702" s="52" t="n"/>
      <c r="I702" s="52" t="n"/>
      <c r="J702" s="52" t="n"/>
      <c r="K702" s="54" t="n"/>
      <c r="L702" s="5" t="n"/>
      <c r="M702" s="53">
        <f>IF(A702="","",IFERROR(INDEX(Firms!$B$5:$B$1004,MATCH(A702,Firms!$A$5:$A$1004,0)),"Not on Firms tab"))</f>
        <v/>
      </c>
      <c r="N702">
        <f>IF(AND(A702&lt;&gt;"",A702='Firm Search'!$C$7),COUNTIF($A$5:A702,'Firm Search'!$C$7),"")</f>
        <v/>
      </c>
    </row>
    <row r="703">
      <c r="A703" s="5" t="n"/>
      <c r="B703" s="5" t="n"/>
      <c r="C703" s="52" t="n"/>
      <c r="D703" s="52" t="n"/>
      <c r="E703" s="52" t="n"/>
      <c r="F703" s="52" t="n"/>
      <c r="G703" s="52" t="n"/>
      <c r="H703" s="52" t="n"/>
      <c r="I703" s="52" t="n"/>
      <c r="J703" s="52" t="n"/>
      <c r="K703" s="54" t="n"/>
      <c r="L703" s="5" t="n"/>
      <c r="M703" s="53">
        <f>IF(A703="","",IFERROR(INDEX(Firms!$B$5:$B$1004,MATCH(A703,Firms!$A$5:$A$1004,0)),"Not on Firms tab"))</f>
        <v/>
      </c>
      <c r="N703">
        <f>IF(AND(A703&lt;&gt;"",A703='Firm Search'!$C$7),COUNTIF($A$5:A703,'Firm Search'!$C$7),"")</f>
        <v/>
      </c>
    </row>
    <row r="704">
      <c r="A704" s="5" t="n"/>
      <c r="B704" s="5" t="n"/>
      <c r="C704" s="52" t="n"/>
      <c r="D704" s="52" t="n"/>
      <c r="E704" s="52" t="n"/>
      <c r="F704" s="52" t="n"/>
      <c r="G704" s="52" t="n"/>
      <c r="H704" s="52" t="n"/>
      <c r="I704" s="52" t="n"/>
      <c r="J704" s="52" t="n"/>
      <c r="K704" s="54" t="n"/>
      <c r="L704" s="5" t="n"/>
      <c r="M704" s="53">
        <f>IF(A704="","",IFERROR(INDEX(Firms!$B$5:$B$1004,MATCH(A704,Firms!$A$5:$A$1004,0)),"Not on Firms tab"))</f>
        <v/>
      </c>
      <c r="N704">
        <f>IF(AND(A704&lt;&gt;"",A704='Firm Search'!$C$7),COUNTIF($A$5:A704,'Firm Search'!$C$7),"")</f>
        <v/>
      </c>
    </row>
    <row r="705">
      <c r="A705" s="5" t="n"/>
      <c r="B705" s="5" t="n"/>
      <c r="C705" s="52" t="n"/>
      <c r="D705" s="52" t="n"/>
      <c r="E705" s="52" t="n"/>
      <c r="F705" s="52" t="n"/>
      <c r="G705" s="52" t="n"/>
      <c r="H705" s="52" t="n"/>
      <c r="I705" s="52" t="n"/>
      <c r="J705" s="52" t="n"/>
      <c r="K705" s="54" t="n"/>
      <c r="L705" s="5" t="n"/>
      <c r="M705" s="53">
        <f>IF(A705="","",IFERROR(INDEX(Firms!$B$5:$B$1004,MATCH(A705,Firms!$A$5:$A$1004,0)),"Not on Firms tab"))</f>
        <v/>
      </c>
      <c r="N705">
        <f>IF(AND(A705&lt;&gt;"",A705='Firm Search'!$C$7),COUNTIF($A$5:A705,'Firm Search'!$C$7),"")</f>
        <v/>
      </c>
    </row>
    <row r="706">
      <c r="A706" s="5" t="n"/>
      <c r="B706" s="5" t="n"/>
      <c r="C706" s="52" t="n"/>
      <c r="D706" s="52" t="n"/>
      <c r="E706" s="52" t="n"/>
      <c r="F706" s="52" t="n"/>
      <c r="G706" s="52" t="n"/>
      <c r="H706" s="52" t="n"/>
      <c r="I706" s="52" t="n"/>
      <c r="J706" s="52" t="n"/>
      <c r="K706" s="54" t="n"/>
      <c r="L706" s="5" t="n"/>
      <c r="M706" s="53">
        <f>IF(A706="","",IFERROR(INDEX(Firms!$B$5:$B$1004,MATCH(A706,Firms!$A$5:$A$1004,0)),"Not on Firms tab"))</f>
        <v/>
      </c>
      <c r="N706">
        <f>IF(AND(A706&lt;&gt;"",A706='Firm Search'!$C$7),COUNTIF($A$5:A706,'Firm Search'!$C$7),"")</f>
        <v/>
      </c>
    </row>
    <row r="707">
      <c r="A707" s="5" t="n"/>
      <c r="B707" s="5" t="n"/>
      <c r="C707" s="52" t="n"/>
      <c r="D707" s="52" t="n"/>
      <c r="E707" s="52" t="n"/>
      <c r="F707" s="52" t="n"/>
      <c r="G707" s="52" t="n"/>
      <c r="H707" s="52" t="n"/>
      <c r="I707" s="52" t="n"/>
      <c r="J707" s="52" t="n"/>
      <c r="K707" s="54" t="n"/>
      <c r="L707" s="5" t="n"/>
      <c r="M707" s="53">
        <f>IF(A707="","",IFERROR(INDEX(Firms!$B$5:$B$1004,MATCH(A707,Firms!$A$5:$A$1004,0)),"Not on Firms tab"))</f>
        <v/>
      </c>
      <c r="N707">
        <f>IF(AND(A707&lt;&gt;"",A707='Firm Search'!$C$7),COUNTIF($A$5:A707,'Firm Search'!$C$7),"")</f>
        <v/>
      </c>
    </row>
    <row r="708">
      <c r="A708" s="5" t="n"/>
      <c r="B708" s="5" t="n"/>
      <c r="C708" s="52" t="n"/>
      <c r="D708" s="52" t="n"/>
      <c r="E708" s="52" t="n"/>
      <c r="F708" s="52" t="n"/>
      <c r="G708" s="52" t="n"/>
      <c r="H708" s="52" t="n"/>
      <c r="I708" s="52" t="n"/>
      <c r="J708" s="52" t="n"/>
      <c r="K708" s="54" t="n"/>
      <c r="L708" s="5" t="n"/>
      <c r="M708" s="53">
        <f>IF(A708="","",IFERROR(INDEX(Firms!$B$5:$B$1004,MATCH(A708,Firms!$A$5:$A$1004,0)),"Not on Firms tab"))</f>
        <v/>
      </c>
      <c r="N708">
        <f>IF(AND(A708&lt;&gt;"",A708='Firm Search'!$C$7),COUNTIF($A$5:A708,'Firm Search'!$C$7),"")</f>
        <v/>
      </c>
    </row>
    <row r="709">
      <c r="A709" s="5" t="n"/>
      <c r="B709" s="5" t="n"/>
      <c r="C709" s="52" t="n"/>
      <c r="D709" s="52" t="n"/>
      <c r="E709" s="52" t="n"/>
      <c r="F709" s="52" t="n"/>
      <c r="G709" s="52" t="n"/>
      <c r="H709" s="52" t="n"/>
      <c r="I709" s="52" t="n"/>
      <c r="J709" s="52" t="n"/>
      <c r="K709" s="54" t="n"/>
      <c r="L709" s="5" t="n"/>
      <c r="M709" s="53">
        <f>IF(A709="","",IFERROR(INDEX(Firms!$B$5:$B$1004,MATCH(A709,Firms!$A$5:$A$1004,0)),"Not on Firms tab"))</f>
        <v/>
      </c>
      <c r="N709">
        <f>IF(AND(A709&lt;&gt;"",A709='Firm Search'!$C$7),COUNTIF($A$5:A709,'Firm Search'!$C$7),"")</f>
        <v/>
      </c>
    </row>
    <row r="710">
      <c r="A710" s="5" t="n"/>
      <c r="B710" s="5" t="n"/>
      <c r="C710" s="52" t="n"/>
      <c r="D710" s="52" t="n"/>
      <c r="E710" s="52" t="n"/>
      <c r="F710" s="52" t="n"/>
      <c r="G710" s="52" t="n"/>
      <c r="H710" s="52" t="n"/>
      <c r="I710" s="52" t="n"/>
      <c r="J710" s="52" t="n"/>
      <c r="K710" s="54" t="n"/>
      <c r="L710" s="5" t="n"/>
      <c r="M710" s="53">
        <f>IF(A710="","",IFERROR(INDEX(Firms!$B$5:$B$1004,MATCH(A710,Firms!$A$5:$A$1004,0)),"Not on Firms tab"))</f>
        <v/>
      </c>
      <c r="N710">
        <f>IF(AND(A710&lt;&gt;"",A710='Firm Search'!$C$7),COUNTIF($A$5:A710,'Firm Search'!$C$7),"")</f>
        <v/>
      </c>
    </row>
    <row r="711">
      <c r="A711" s="5" t="n"/>
      <c r="B711" s="5" t="n"/>
      <c r="C711" s="52" t="n"/>
      <c r="D711" s="52" t="n"/>
      <c r="E711" s="52" t="n"/>
      <c r="F711" s="52" t="n"/>
      <c r="G711" s="52" t="n"/>
      <c r="H711" s="52" t="n"/>
      <c r="I711" s="52" t="n"/>
      <c r="J711" s="52" t="n"/>
      <c r="K711" s="54" t="n"/>
      <c r="L711" s="5" t="n"/>
      <c r="M711" s="53">
        <f>IF(A711="","",IFERROR(INDEX(Firms!$B$5:$B$1004,MATCH(A711,Firms!$A$5:$A$1004,0)),"Not on Firms tab"))</f>
        <v/>
      </c>
      <c r="N711">
        <f>IF(AND(A711&lt;&gt;"",A711='Firm Search'!$C$7),COUNTIF($A$5:A711,'Firm Search'!$C$7),"")</f>
        <v/>
      </c>
    </row>
    <row r="712">
      <c r="A712" s="5" t="n"/>
      <c r="B712" s="5" t="n"/>
      <c r="C712" s="52" t="n"/>
      <c r="D712" s="52" t="n"/>
      <c r="E712" s="52" t="n"/>
      <c r="F712" s="52" t="n"/>
      <c r="G712" s="52" t="n"/>
      <c r="H712" s="52" t="n"/>
      <c r="I712" s="52" t="n"/>
      <c r="J712" s="52" t="n"/>
      <c r="K712" s="54" t="n"/>
      <c r="L712" s="5" t="n"/>
      <c r="M712" s="53">
        <f>IF(A712="","",IFERROR(INDEX(Firms!$B$5:$B$1004,MATCH(A712,Firms!$A$5:$A$1004,0)),"Not on Firms tab"))</f>
        <v/>
      </c>
      <c r="N712">
        <f>IF(AND(A712&lt;&gt;"",A712='Firm Search'!$C$7),COUNTIF($A$5:A712,'Firm Search'!$C$7),"")</f>
        <v/>
      </c>
    </row>
    <row r="713">
      <c r="A713" s="5" t="n"/>
      <c r="B713" s="5" t="n"/>
      <c r="C713" s="52" t="n"/>
      <c r="D713" s="52" t="n"/>
      <c r="E713" s="52" t="n"/>
      <c r="F713" s="52" t="n"/>
      <c r="G713" s="52" t="n"/>
      <c r="H713" s="52" t="n"/>
      <c r="I713" s="52" t="n"/>
      <c r="J713" s="52" t="n"/>
      <c r="K713" s="54" t="n"/>
      <c r="L713" s="5" t="n"/>
      <c r="M713" s="53">
        <f>IF(A713="","",IFERROR(INDEX(Firms!$B$5:$B$1004,MATCH(A713,Firms!$A$5:$A$1004,0)),"Not on Firms tab"))</f>
        <v/>
      </c>
      <c r="N713">
        <f>IF(AND(A713&lt;&gt;"",A713='Firm Search'!$C$7),COUNTIF($A$5:A713,'Firm Search'!$C$7),"")</f>
        <v/>
      </c>
    </row>
    <row r="714">
      <c r="A714" s="5" t="n"/>
      <c r="B714" s="5" t="n"/>
      <c r="C714" s="52" t="n"/>
      <c r="D714" s="52" t="n"/>
      <c r="E714" s="52" t="n"/>
      <c r="F714" s="52" t="n"/>
      <c r="G714" s="52" t="n"/>
      <c r="H714" s="52" t="n"/>
      <c r="I714" s="52" t="n"/>
      <c r="J714" s="52" t="n"/>
      <c r="K714" s="54" t="n"/>
      <c r="L714" s="5" t="n"/>
      <c r="M714" s="53">
        <f>IF(A714="","",IFERROR(INDEX(Firms!$B$5:$B$1004,MATCH(A714,Firms!$A$5:$A$1004,0)),"Not on Firms tab"))</f>
        <v/>
      </c>
      <c r="N714">
        <f>IF(AND(A714&lt;&gt;"",A714='Firm Search'!$C$7),COUNTIF($A$5:A714,'Firm Search'!$C$7),"")</f>
        <v/>
      </c>
    </row>
    <row r="715">
      <c r="A715" s="5" t="n"/>
      <c r="B715" s="5" t="n"/>
      <c r="C715" s="52" t="n"/>
      <c r="D715" s="52" t="n"/>
      <c r="E715" s="52" t="n"/>
      <c r="F715" s="52" t="n"/>
      <c r="G715" s="52" t="n"/>
      <c r="H715" s="52" t="n"/>
      <c r="I715" s="52" t="n"/>
      <c r="J715" s="52" t="n"/>
      <c r="K715" s="54" t="n"/>
      <c r="L715" s="5" t="n"/>
      <c r="M715" s="53">
        <f>IF(A715="","",IFERROR(INDEX(Firms!$B$5:$B$1004,MATCH(A715,Firms!$A$5:$A$1004,0)),"Not on Firms tab"))</f>
        <v/>
      </c>
      <c r="N715">
        <f>IF(AND(A715&lt;&gt;"",A715='Firm Search'!$C$7),COUNTIF($A$5:A715,'Firm Search'!$C$7),"")</f>
        <v/>
      </c>
    </row>
    <row r="716">
      <c r="A716" s="5" t="n"/>
      <c r="B716" s="5" t="n"/>
      <c r="C716" s="52" t="n"/>
      <c r="D716" s="52" t="n"/>
      <c r="E716" s="52" t="n"/>
      <c r="F716" s="52" t="n"/>
      <c r="G716" s="52" t="n"/>
      <c r="H716" s="52" t="n"/>
      <c r="I716" s="52" t="n"/>
      <c r="J716" s="52" t="n"/>
      <c r="K716" s="54" t="n"/>
      <c r="L716" s="5" t="n"/>
      <c r="M716" s="53">
        <f>IF(A716="","",IFERROR(INDEX(Firms!$B$5:$B$1004,MATCH(A716,Firms!$A$5:$A$1004,0)),"Not on Firms tab"))</f>
        <v/>
      </c>
      <c r="N716">
        <f>IF(AND(A716&lt;&gt;"",A716='Firm Search'!$C$7),COUNTIF($A$5:A716,'Firm Search'!$C$7),"")</f>
        <v/>
      </c>
    </row>
    <row r="717">
      <c r="A717" s="5" t="n"/>
      <c r="B717" s="5" t="n"/>
      <c r="C717" s="52" t="n"/>
      <c r="D717" s="52" t="n"/>
      <c r="E717" s="52" t="n"/>
      <c r="F717" s="52" t="n"/>
      <c r="G717" s="52" t="n"/>
      <c r="H717" s="52" t="n"/>
      <c r="I717" s="52" t="n"/>
      <c r="J717" s="52" t="n"/>
      <c r="K717" s="54" t="n"/>
      <c r="L717" s="5" t="n"/>
      <c r="M717" s="53">
        <f>IF(A717="","",IFERROR(INDEX(Firms!$B$5:$B$1004,MATCH(A717,Firms!$A$5:$A$1004,0)),"Not on Firms tab"))</f>
        <v/>
      </c>
      <c r="N717">
        <f>IF(AND(A717&lt;&gt;"",A717='Firm Search'!$C$7),COUNTIF($A$5:A717,'Firm Search'!$C$7),"")</f>
        <v/>
      </c>
    </row>
    <row r="718">
      <c r="A718" s="5" t="n"/>
      <c r="B718" s="5" t="n"/>
      <c r="C718" s="52" t="n"/>
      <c r="D718" s="52" t="n"/>
      <c r="E718" s="52" t="n"/>
      <c r="F718" s="52" t="n"/>
      <c r="G718" s="52" t="n"/>
      <c r="H718" s="52" t="n"/>
      <c r="I718" s="52" t="n"/>
      <c r="J718" s="52" t="n"/>
      <c r="K718" s="54" t="n"/>
      <c r="L718" s="5" t="n"/>
      <c r="M718" s="53">
        <f>IF(A718="","",IFERROR(INDEX(Firms!$B$5:$B$1004,MATCH(A718,Firms!$A$5:$A$1004,0)),"Not on Firms tab"))</f>
        <v/>
      </c>
      <c r="N718">
        <f>IF(AND(A718&lt;&gt;"",A718='Firm Search'!$C$7),COUNTIF($A$5:A718,'Firm Search'!$C$7),"")</f>
        <v/>
      </c>
    </row>
    <row r="719">
      <c r="A719" s="5" t="n"/>
      <c r="B719" s="5" t="n"/>
      <c r="C719" s="52" t="n"/>
      <c r="D719" s="52" t="n"/>
      <c r="E719" s="52" t="n"/>
      <c r="F719" s="52" t="n"/>
      <c r="G719" s="52" t="n"/>
      <c r="H719" s="52" t="n"/>
      <c r="I719" s="52" t="n"/>
      <c r="J719" s="52" t="n"/>
      <c r="K719" s="54" t="n"/>
      <c r="L719" s="5" t="n"/>
      <c r="M719" s="53">
        <f>IF(A719="","",IFERROR(INDEX(Firms!$B$5:$B$1004,MATCH(A719,Firms!$A$5:$A$1004,0)),"Not on Firms tab"))</f>
        <v/>
      </c>
      <c r="N719">
        <f>IF(AND(A719&lt;&gt;"",A719='Firm Search'!$C$7),COUNTIF($A$5:A719,'Firm Search'!$C$7),"")</f>
        <v/>
      </c>
    </row>
    <row r="720">
      <c r="A720" s="5" t="n"/>
      <c r="B720" s="5" t="n"/>
      <c r="C720" s="52" t="n"/>
      <c r="D720" s="52" t="n"/>
      <c r="E720" s="52" t="n"/>
      <c r="F720" s="52" t="n"/>
      <c r="G720" s="52" t="n"/>
      <c r="H720" s="52" t="n"/>
      <c r="I720" s="52" t="n"/>
      <c r="J720" s="52" t="n"/>
      <c r="K720" s="54" t="n"/>
      <c r="L720" s="5" t="n"/>
      <c r="M720" s="53">
        <f>IF(A720="","",IFERROR(INDEX(Firms!$B$5:$B$1004,MATCH(A720,Firms!$A$5:$A$1004,0)),"Not on Firms tab"))</f>
        <v/>
      </c>
      <c r="N720">
        <f>IF(AND(A720&lt;&gt;"",A720='Firm Search'!$C$7),COUNTIF($A$5:A720,'Firm Search'!$C$7),"")</f>
        <v/>
      </c>
    </row>
    <row r="721">
      <c r="A721" s="5" t="n"/>
      <c r="B721" s="5" t="n"/>
      <c r="C721" s="52" t="n"/>
      <c r="D721" s="52" t="n"/>
      <c r="E721" s="52" t="n"/>
      <c r="F721" s="52" t="n"/>
      <c r="G721" s="52" t="n"/>
      <c r="H721" s="52" t="n"/>
      <c r="I721" s="52" t="n"/>
      <c r="J721" s="52" t="n"/>
      <c r="K721" s="54" t="n"/>
      <c r="L721" s="5" t="n"/>
      <c r="M721" s="53">
        <f>IF(A721="","",IFERROR(INDEX(Firms!$B$5:$B$1004,MATCH(A721,Firms!$A$5:$A$1004,0)),"Not on Firms tab"))</f>
        <v/>
      </c>
      <c r="N721">
        <f>IF(AND(A721&lt;&gt;"",A721='Firm Search'!$C$7),COUNTIF($A$5:A721,'Firm Search'!$C$7),"")</f>
        <v/>
      </c>
    </row>
    <row r="722">
      <c r="A722" s="5" t="n"/>
      <c r="B722" s="5" t="n"/>
      <c r="C722" s="52" t="n"/>
      <c r="D722" s="52" t="n"/>
      <c r="E722" s="52" t="n"/>
      <c r="F722" s="52" t="n"/>
      <c r="G722" s="52" t="n"/>
      <c r="H722" s="52" t="n"/>
      <c r="I722" s="52" t="n"/>
      <c r="J722" s="52" t="n"/>
      <c r="K722" s="54" t="n"/>
      <c r="L722" s="5" t="n"/>
      <c r="M722" s="53">
        <f>IF(A722="","",IFERROR(INDEX(Firms!$B$5:$B$1004,MATCH(A722,Firms!$A$5:$A$1004,0)),"Not on Firms tab"))</f>
        <v/>
      </c>
      <c r="N722">
        <f>IF(AND(A722&lt;&gt;"",A722='Firm Search'!$C$7),COUNTIF($A$5:A722,'Firm Search'!$C$7),"")</f>
        <v/>
      </c>
    </row>
    <row r="723">
      <c r="A723" s="5" t="n"/>
      <c r="B723" s="5" t="n"/>
      <c r="C723" s="52" t="n"/>
      <c r="D723" s="52" t="n"/>
      <c r="E723" s="52" t="n"/>
      <c r="F723" s="52" t="n"/>
      <c r="G723" s="52" t="n"/>
      <c r="H723" s="52" t="n"/>
      <c r="I723" s="52" t="n"/>
      <c r="J723" s="52" t="n"/>
      <c r="K723" s="54" t="n"/>
      <c r="L723" s="5" t="n"/>
      <c r="M723" s="53">
        <f>IF(A723="","",IFERROR(INDEX(Firms!$B$5:$B$1004,MATCH(A723,Firms!$A$5:$A$1004,0)),"Not on Firms tab"))</f>
        <v/>
      </c>
      <c r="N723">
        <f>IF(AND(A723&lt;&gt;"",A723='Firm Search'!$C$7),COUNTIF($A$5:A723,'Firm Search'!$C$7),"")</f>
        <v/>
      </c>
    </row>
    <row r="724">
      <c r="A724" s="5" t="n"/>
      <c r="B724" s="5" t="n"/>
      <c r="C724" s="52" t="n"/>
      <c r="D724" s="52" t="n"/>
      <c r="E724" s="52" t="n"/>
      <c r="F724" s="52" t="n"/>
      <c r="G724" s="52" t="n"/>
      <c r="H724" s="52" t="n"/>
      <c r="I724" s="52" t="n"/>
      <c r="J724" s="52" t="n"/>
      <c r="K724" s="54" t="n"/>
      <c r="L724" s="5" t="n"/>
      <c r="M724" s="53">
        <f>IF(A724="","",IFERROR(INDEX(Firms!$B$5:$B$1004,MATCH(A724,Firms!$A$5:$A$1004,0)),"Not on Firms tab"))</f>
        <v/>
      </c>
      <c r="N724">
        <f>IF(AND(A724&lt;&gt;"",A724='Firm Search'!$C$7),COUNTIF($A$5:A724,'Firm Search'!$C$7),"")</f>
        <v/>
      </c>
    </row>
    <row r="725">
      <c r="A725" s="5" t="n"/>
      <c r="B725" s="5" t="n"/>
      <c r="C725" s="52" t="n"/>
      <c r="D725" s="52" t="n"/>
      <c r="E725" s="52" t="n"/>
      <c r="F725" s="52" t="n"/>
      <c r="G725" s="52" t="n"/>
      <c r="H725" s="52" t="n"/>
      <c r="I725" s="52" t="n"/>
      <c r="J725" s="52" t="n"/>
      <c r="K725" s="54" t="n"/>
      <c r="L725" s="5" t="n"/>
      <c r="M725" s="53">
        <f>IF(A725="","",IFERROR(INDEX(Firms!$B$5:$B$1004,MATCH(A725,Firms!$A$5:$A$1004,0)),"Not on Firms tab"))</f>
        <v/>
      </c>
      <c r="N725">
        <f>IF(AND(A725&lt;&gt;"",A725='Firm Search'!$C$7),COUNTIF($A$5:A725,'Firm Search'!$C$7),"")</f>
        <v/>
      </c>
    </row>
    <row r="726">
      <c r="A726" s="5" t="n"/>
      <c r="B726" s="5" t="n"/>
      <c r="C726" s="52" t="n"/>
      <c r="D726" s="52" t="n"/>
      <c r="E726" s="52" t="n"/>
      <c r="F726" s="52" t="n"/>
      <c r="G726" s="52" t="n"/>
      <c r="H726" s="52" t="n"/>
      <c r="I726" s="52" t="n"/>
      <c r="J726" s="52" t="n"/>
      <c r="K726" s="54" t="n"/>
      <c r="L726" s="5" t="n"/>
      <c r="M726" s="53">
        <f>IF(A726="","",IFERROR(INDEX(Firms!$B$5:$B$1004,MATCH(A726,Firms!$A$5:$A$1004,0)),"Not on Firms tab"))</f>
        <v/>
      </c>
      <c r="N726">
        <f>IF(AND(A726&lt;&gt;"",A726='Firm Search'!$C$7),COUNTIF($A$5:A726,'Firm Search'!$C$7),"")</f>
        <v/>
      </c>
    </row>
    <row r="727">
      <c r="A727" s="5" t="n"/>
      <c r="B727" s="5" t="n"/>
      <c r="C727" s="52" t="n"/>
      <c r="D727" s="52" t="n"/>
      <c r="E727" s="52" t="n"/>
      <c r="F727" s="52" t="n"/>
      <c r="G727" s="52" t="n"/>
      <c r="H727" s="52" t="n"/>
      <c r="I727" s="52" t="n"/>
      <c r="J727" s="52" t="n"/>
      <c r="K727" s="54" t="n"/>
      <c r="L727" s="5" t="n"/>
      <c r="M727" s="53">
        <f>IF(A727="","",IFERROR(INDEX(Firms!$B$5:$B$1004,MATCH(A727,Firms!$A$5:$A$1004,0)),"Not on Firms tab"))</f>
        <v/>
      </c>
      <c r="N727">
        <f>IF(AND(A727&lt;&gt;"",A727='Firm Search'!$C$7),COUNTIF($A$5:A727,'Firm Search'!$C$7),"")</f>
        <v/>
      </c>
    </row>
    <row r="728">
      <c r="A728" s="5" t="n"/>
      <c r="B728" s="5" t="n"/>
      <c r="C728" s="52" t="n"/>
      <c r="D728" s="52" t="n"/>
      <c r="E728" s="52" t="n"/>
      <c r="F728" s="52" t="n"/>
      <c r="G728" s="52" t="n"/>
      <c r="H728" s="52" t="n"/>
      <c r="I728" s="52" t="n"/>
      <c r="J728" s="52" t="n"/>
      <c r="K728" s="54" t="n"/>
      <c r="L728" s="5" t="n"/>
      <c r="M728" s="53">
        <f>IF(A728="","",IFERROR(INDEX(Firms!$B$5:$B$1004,MATCH(A728,Firms!$A$5:$A$1004,0)),"Not on Firms tab"))</f>
        <v/>
      </c>
      <c r="N728">
        <f>IF(AND(A728&lt;&gt;"",A728='Firm Search'!$C$7),COUNTIF($A$5:A728,'Firm Search'!$C$7),"")</f>
        <v/>
      </c>
    </row>
    <row r="729">
      <c r="A729" s="5" t="n"/>
      <c r="B729" s="5" t="n"/>
      <c r="C729" s="52" t="n"/>
      <c r="D729" s="52" t="n"/>
      <c r="E729" s="52" t="n"/>
      <c r="F729" s="52" t="n"/>
      <c r="G729" s="52" t="n"/>
      <c r="H729" s="52" t="n"/>
      <c r="I729" s="52" t="n"/>
      <c r="J729" s="52" t="n"/>
      <c r="K729" s="54" t="n"/>
      <c r="L729" s="5" t="n"/>
      <c r="M729" s="53">
        <f>IF(A729="","",IFERROR(INDEX(Firms!$B$5:$B$1004,MATCH(A729,Firms!$A$5:$A$1004,0)),"Not on Firms tab"))</f>
        <v/>
      </c>
      <c r="N729">
        <f>IF(AND(A729&lt;&gt;"",A729='Firm Search'!$C$7),COUNTIF($A$5:A729,'Firm Search'!$C$7),"")</f>
        <v/>
      </c>
    </row>
    <row r="730">
      <c r="A730" s="5" t="n"/>
      <c r="B730" s="5" t="n"/>
      <c r="C730" s="52" t="n"/>
      <c r="D730" s="52" t="n"/>
      <c r="E730" s="52" t="n"/>
      <c r="F730" s="52" t="n"/>
      <c r="G730" s="52" t="n"/>
      <c r="H730" s="52" t="n"/>
      <c r="I730" s="52" t="n"/>
      <c r="J730" s="52" t="n"/>
      <c r="K730" s="54" t="n"/>
      <c r="L730" s="5" t="n"/>
      <c r="M730" s="53">
        <f>IF(A730="","",IFERROR(INDEX(Firms!$B$5:$B$1004,MATCH(A730,Firms!$A$5:$A$1004,0)),"Not on Firms tab"))</f>
        <v/>
      </c>
      <c r="N730">
        <f>IF(AND(A730&lt;&gt;"",A730='Firm Search'!$C$7),COUNTIF($A$5:A730,'Firm Search'!$C$7),"")</f>
        <v/>
      </c>
    </row>
    <row r="731">
      <c r="A731" s="5" t="n"/>
      <c r="B731" s="5" t="n"/>
      <c r="C731" s="52" t="n"/>
      <c r="D731" s="52" t="n"/>
      <c r="E731" s="52" t="n"/>
      <c r="F731" s="52" t="n"/>
      <c r="G731" s="52" t="n"/>
      <c r="H731" s="52" t="n"/>
      <c r="I731" s="52" t="n"/>
      <c r="J731" s="52" t="n"/>
      <c r="K731" s="54" t="n"/>
      <c r="L731" s="5" t="n"/>
      <c r="M731" s="53">
        <f>IF(A731="","",IFERROR(INDEX(Firms!$B$5:$B$1004,MATCH(A731,Firms!$A$5:$A$1004,0)),"Not on Firms tab"))</f>
        <v/>
      </c>
      <c r="N731">
        <f>IF(AND(A731&lt;&gt;"",A731='Firm Search'!$C$7),COUNTIF($A$5:A731,'Firm Search'!$C$7),"")</f>
        <v/>
      </c>
    </row>
    <row r="732">
      <c r="A732" s="5" t="n"/>
      <c r="B732" s="5" t="n"/>
      <c r="C732" s="52" t="n"/>
      <c r="D732" s="52" t="n"/>
      <c r="E732" s="52" t="n"/>
      <c r="F732" s="52" t="n"/>
      <c r="G732" s="52" t="n"/>
      <c r="H732" s="52" t="n"/>
      <c r="I732" s="52" t="n"/>
      <c r="J732" s="52" t="n"/>
      <c r="K732" s="54" t="n"/>
      <c r="L732" s="5" t="n"/>
      <c r="M732" s="53">
        <f>IF(A732="","",IFERROR(INDEX(Firms!$B$5:$B$1004,MATCH(A732,Firms!$A$5:$A$1004,0)),"Not on Firms tab"))</f>
        <v/>
      </c>
      <c r="N732">
        <f>IF(AND(A732&lt;&gt;"",A732='Firm Search'!$C$7),COUNTIF($A$5:A732,'Firm Search'!$C$7),"")</f>
        <v/>
      </c>
    </row>
    <row r="733">
      <c r="A733" s="5" t="n"/>
      <c r="B733" s="5" t="n"/>
      <c r="C733" s="52" t="n"/>
      <c r="D733" s="52" t="n"/>
      <c r="E733" s="52" t="n"/>
      <c r="F733" s="52" t="n"/>
      <c r="G733" s="52" t="n"/>
      <c r="H733" s="52" t="n"/>
      <c r="I733" s="52" t="n"/>
      <c r="J733" s="52" t="n"/>
      <c r="K733" s="54" t="n"/>
      <c r="L733" s="5" t="n"/>
      <c r="M733" s="53">
        <f>IF(A733="","",IFERROR(INDEX(Firms!$B$5:$B$1004,MATCH(A733,Firms!$A$5:$A$1004,0)),"Not on Firms tab"))</f>
        <v/>
      </c>
      <c r="N733">
        <f>IF(AND(A733&lt;&gt;"",A733='Firm Search'!$C$7),COUNTIF($A$5:A733,'Firm Search'!$C$7),"")</f>
        <v/>
      </c>
    </row>
    <row r="734">
      <c r="A734" s="5" t="n"/>
      <c r="B734" s="5" t="n"/>
      <c r="C734" s="52" t="n"/>
      <c r="D734" s="52" t="n"/>
      <c r="E734" s="52" t="n"/>
      <c r="F734" s="52" t="n"/>
      <c r="G734" s="52" t="n"/>
      <c r="H734" s="52" t="n"/>
      <c r="I734" s="52" t="n"/>
      <c r="J734" s="52" t="n"/>
      <c r="K734" s="54" t="n"/>
      <c r="L734" s="5" t="n"/>
      <c r="M734" s="53">
        <f>IF(A734="","",IFERROR(INDEX(Firms!$B$5:$B$1004,MATCH(A734,Firms!$A$5:$A$1004,0)),"Not on Firms tab"))</f>
        <v/>
      </c>
      <c r="N734">
        <f>IF(AND(A734&lt;&gt;"",A734='Firm Search'!$C$7),COUNTIF($A$5:A734,'Firm Search'!$C$7),"")</f>
        <v/>
      </c>
    </row>
    <row r="735">
      <c r="A735" s="5" t="n"/>
      <c r="B735" s="5" t="n"/>
      <c r="C735" s="52" t="n"/>
      <c r="D735" s="52" t="n"/>
      <c r="E735" s="52" t="n"/>
      <c r="F735" s="52" t="n"/>
      <c r="G735" s="52" t="n"/>
      <c r="H735" s="52" t="n"/>
      <c r="I735" s="52" t="n"/>
      <c r="J735" s="52" t="n"/>
      <c r="K735" s="54" t="n"/>
      <c r="L735" s="5" t="n"/>
      <c r="M735" s="53">
        <f>IF(A735="","",IFERROR(INDEX(Firms!$B$5:$B$1004,MATCH(A735,Firms!$A$5:$A$1004,0)),"Not on Firms tab"))</f>
        <v/>
      </c>
      <c r="N735">
        <f>IF(AND(A735&lt;&gt;"",A735='Firm Search'!$C$7),COUNTIF($A$5:A735,'Firm Search'!$C$7),"")</f>
        <v/>
      </c>
    </row>
    <row r="736">
      <c r="A736" s="5" t="n"/>
      <c r="B736" s="5" t="n"/>
      <c r="C736" s="52" t="n"/>
      <c r="D736" s="52" t="n"/>
      <c r="E736" s="52" t="n"/>
      <c r="F736" s="52" t="n"/>
      <c r="G736" s="52" t="n"/>
      <c r="H736" s="52" t="n"/>
      <c r="I736" s="52" t="n"/>
      <c r="J736" s="52" t="n"/>
      <c r="K736" s="54" t="n"/>
      <c r="L736" s="5" t="n"/>
      <c r="M736" s="53">
        <f>IF(A736="","",IFERROR(INDEX(Firms!$B$5:$B$1004,MATCH(A736,Firms!$A$5:$A$1004,0)),"Not on Firms tab"))</f>
        <v/>
      </c>
      <c r="N736">
        <f>IF(AND(A736&lt;&gt;"",A736='Firm Search'!$C$7),COUNTIF($A$5:A736,'Firm Search'!$C$7),"")</f>
        <v/>
      </c>
    </row>
    <row r="737">
      <c r="A737" s="5" t="n"/>
      <c r="B737" s="5" t="n"/>
      <c r="C737" s="52" t="n"/>
      <c r="D737" s="52" t="n"/>
      <c r="E737" s="52" t="n"/>
      <c r="F737" s="52" t="n"/>
      <c r="G737" s="52" t="n"/>
      <c r="H737" s="52" t="n"/>
      <c r="I737" s="52" t="n"/>
      <c r="J737" s="52" t="n"/>
      <c r="K737" s="54" t="n"/>
      <c r="L737" s="5" t="n"/>
      <c r="M737" s="53">
        <f>IF(A737="","",IFERROR(INDEX(Firms!$B$5:$B$1004,MATCH(A737,Firms!$A$5:$A$1004,0)),"Not on Firms tab"))</f>
        <v/>
      </c>
      <c r="N737">
        <f>IF(AND(A737&lt;&gt;"",A737='Firm Search'!$C$7),COUNTIF($A$5:A737,'Firm Search'!$C$7),"")</f>
        <v/>
      </c>
    </row>
    <row r="738">
      <c r="A738" s="5" t="n"/>
      <c r="B738" s="5" t="n"/>
      <c r="C738" s="52" t="n"/>
      <c r="D738" s="52" t="n"/>
      <c r="E738" s="52" t="n"/>
      <c r="F738" s="52" t="n"/>
      <c r="G738" s="52" t="n"/>
      <c r="H738" s="52" t="n"/>
      <c r="I738" s="52" t="n"/>
      <c r="J738" s="52" t="n"/>
      <c r="K738" s="54" t="n"/>
      <c r="L738" s="5" t="n"/>
      <c r="M738" s="53">
        <f>IF(A738="","",IFERROR(INDEX(Firms!$B$5:$B$1004,MATCH(A738,Firms!$A$5:$A$1004,0)),"Not on Firms tab"))</f>
        <v/>
      </c>
      <c r="N738">
        <f>IF(AND(A738&lt;&gt;"",A738='Firm Search'!$C$7),COUNTIF($A$5:A738,'Firm Search'!$C$7),"")</f>
        <v/>
      </c>
    </row>
    <row r="739">
      <c r="A739" s="5" t="n"/>
      <c r="B739" s="5" t="n"/>
      <c r="C739" s="52" t="n"/>
      <c r="D739" s="52" t="n"/>
      <c r="E739" s="52" t="n"/>
      <c r="F739" s="52" t="n"/>
      <c r="G739" s="52" t="n"/>
      <c r="H739" s="52" t="n"/>
      <c r="I739" s="52" t="n"/>
      <c r="J739" s="52" t="n"/>
      <c r="K739" s="54" t="n"/>
      <c r="L739" s="5" t="n"/>
      <c r="M739" s="53">
        <f>IF(A739="","",IFERROR(INDEX(Firms!$B$5:$B$1004,MATCH(A739,Firms!$A$5:$A$1004,0)),"Not on Firms tab"))</f>
        <v/>
      </c>
      <c r="N739">
        <f>IF(AND(A739&lt;&gt;"",A739='Firm Search'!$C$7),COUNTIF($A$5:A739,'Firm Search'!$C$7),"")</f>
        <v/>
      </c>
    </row>
    <row r="740">
      <c r="A740" s="5" t="n"/>
      <c r="B740" s="5" t="n"/>
      <c r="C740" s="52" t="n"/>
      <c r="D740" s="52" t="n"/>
      <c r="E740" s="52" t="n"/>
      <c r="F740" s="52" t="n"/>
      <c r="G740" s="52" t="n"/>
      <c r="H740" s="52" t="n"/>
      <c r="I740" s="52" t="n"/>
      <c r="J740" s="52" t="n"/>
      <c r="K740" s="54" t="n"/>
      <c r="L740" s="5" t="n"/>
      <c r="M740" s="53">
        <f>IF(A740="","",IFERROR(INDEX(Firms!$B$5:$B$1004,MATCH(A740,Firms!$A$5:$A$1004,0)),"Not on Firms tab"))</f>
        <v/>
      </c>
      <c r="N740">
        <f>IF(AND(A740&lt;&gt;"",A740='Firm Search'!$C$7),COUNTIF($A$5:A740,'Firm Search'!$C$7),"")</f>
        <v/>
      </c>
    </row>
    <row r="741">
      <c r="A741" s="5" t="n"/>
      <c r="B741" s="5" t="n"/>
      <c r="C741" s="52" t="n"/>
      <c r="D741" s="52" t="n"/>
      <c r="E741" s="52" t="n"/>
      <c r="F741" s="52" t="n"/>
      <c r="G741" s="52" t="n"/>
      <c r="H741" s="52" t="n"/>
      <c r="I741" s="52" t="n"/>
      <c r="J741" s="52" t="n"/>
      <c r="K741" s="54" t="n"/>
      <c r="L741" s="5" t="n"/>
      <c r="M741" s="53">
        <f>IF(A741="","",IFERROR(INDEX(Firms!$B$5:$B$1004,MATCH(A741,Firms!$A$5:$A$1004,0)),"Not on Firms tab"))</f>
        <v/>
      </c>
      <c r="N741">
        <f>IF(AND(A741&lt;&gt;"",A741='Firm Search'!$C$7),COUNTIF($A$5:A741,'Firm Search'!$C$7),"")</f>
        <v/>
      </c>
    </row>
    <row r="742">
      <c r="A742" s="5" t="n"/>
      <c r="B742" s="5" t="n"/>
      <c r="C742" s="52" t="n"/>
      <c r="D742" s="52" t="n"/>
      <c r="E742" s="52" t="n"/>
      <c r="F742" s="52" t="n"/>
      <c r="G742" s="52" t="n"/>
      <c r="H742" s="52" t="n"/>
      <c r="I742" s="52" t="n"/>
      <c r="J742" s="52" t="n"/>
      <c r="K742" s="54" t="n"/>
      <c r="L742" s="5" t="n"/>
      <c r="M742" s="53">
        <f>IF(A742="","",IFERROR(INDEX(Firms!$B$5:$B$1004,MATCH(A742,Firms!$A$5:$A$1004,0)),"Not on Firms tab"))</f>
        <v/>
      </c>
      <c r="N742">
        <f>IF(AND(A742&lt;&gt;"",A742='Firm Search'!$C$7),COUNTIF($A$5:A742,'Firm Search'!$C$7),"")</f>
        <v/>
      </c>
    </row>
    <row r="743">
      <c r="A743" s="5" t="n"/>
      <c r="B743" s="5" t="n"/>
      <c r="C743" s="52" t="n"/>
      <c r="D743" s="52" t="n"/>
      <c r="E743" s="52" t="n"/>
      <c r="F743" s="52" t="n"/>
      <c r="G743" s="52" t="n"/>
      <c r="H743" s="52" t="n"/>
      <c r="I743" s="52" t="n"/>
      <c r="J743" s="52" t="n"/>
      <c r="K743" s="54" t="n"/>
      <c r="L743" s="5" t="n"/>
      <c r="M743" s="53">
        <f>IF(A743="","",IFERROR(INDEX(Firms!$B$5:$B$1004,MATCH(A743,Firms!$A$5:$A$1004,0)),"Not on Firms tab"))</f>
        <v/>
      </c>
      <c r="N743">
        <f>IF(AND(A743&lt;&gt;"",A743='Firm Search'!$C$7),COUNTIF($A$5:A743,'Firm Search'!$C$7),"")</f>
        <v/>
      </c>
    </row>
    <row r="744">
      <c r="A744" s="5" t="n"/>
      <c r="B744" s="5" t="n"/>
      <c r="C744" s="52" t="n"/>
      <c r="D744" s="52" t="n"/>
      <c r="E744" s="52" t="n"/>
      <c r="F744" s="52" t="n"/>
      <c r="G744" s="52" t="n"/>
      <c r="H744" s="52" t="n"/>
      <c r="I744" s="52" t="n"/>
      <c r="J744" s="52" t="n"/>
      <c r="K744" s="54" t="n"/>
      <c r="L744" s="5" t="n"/>
      <c r="M744" s="53">
        <f>IF(A744="","",IFERROR(INDEX(Firms!$B$5:$B$1004,MATCH(A744,Firms!$A$5:$A$1004,0)),"Not on Firms tab"))</f>
        <v/>
      </c>
      <c r="N744">
        <f>IF(AND(A744&lt;&gt;"",A744='Firm Search'!$C$7),COUNTIF($A$5:A744,'Firm Search'!$C$7),"")</f>
        <v/>
      </c>
    </row>
    <row r="745">
      <c r="A745" s="5" t="n"/>
      <c r="B745" s="5" t="n"/>
      <c r="C745" s="52" t="n"/>
      <c r="D745" s="52" t="n"/>
      <c r="E745" s="52" t="n"/>
      <c r="F745" s="52" t="n"/>
      <c r="G745" s="52" t="n"/>
      <c r="H745" s="52" t="n"/>
      <c r="I745" s="52" t="n"/>
      <c r="J745" s="52" t="n"/>
      <c r="K745" s="54" t="n"/>
      <c r="L745" s="5" t="n"/>
      <c r="M745" s="53">
        <f>IF(A745="","",IFERROR(INDEX(Firms!$B$5:$B$1004,MATCH(A745,Firms!$A$5:$A$1004,0)),"Not on Firms tab"))</f>
        <v/>
      </c>
      <c r="N745">
        <f>IF(AND(A745&lt;&gt;"",A745='Firm Search'!$C$7),COUNTIF($A$5:A745,'Firm Search'!$C$7),"")</f>
        <v/>
      </c>
    </row>
    <row r="746">
      <c r="A746" s="5" t="n"/>
      <c r="B746" s="5" t="n"/>
      <c r="C746" s="52" t="n"/>
      <c r="D746" s="52" t="n"/>
      <c r="E746" s="52" t="n"/>
      <c r="F746" s="52" t="n"/>
      <c r="G746" s="52" t="n"/>
      <c r="H746" s="52" t="n"/>
      <c r="I746" s="52" t="n"/>
      <c r="J746" s="52" t="n"/>
      <c r="K746" s="54" t="n"/>
      <c r="L746" s="5" t="n"/>
      <c r="M746" s="53">
        <f>IF(A746="","",IFERROR(INDEX(Firms!$B$5:$B$1004,MATCH(A746,Firms!$A$5:$A$1004,0)),"Not on Firms tab"))</f>
        <v/>
      </c>
      <c r="N746">
        <f>IF(AND(A746&lt;&gt;"",A746='Firm Search'!$C$7),COUNTIF($A$5:A746,'Firm Search'!$C$7),"")</f>
        <v/>
      </c>
    </row>
    <row r="747">
      <c r="A747" s="5" t="n"/>
      <c r="B747" s="5" t="n"/>
      <c r="C747" s="52" t="n"/>
      <c r="D747" s="52" t="n"/>
      <c r="E747" s="52" t="n"/>
      <c r="F747" s="52" t="n"/>
      <c r="G747" s="52" t="n"/>
      <c r="H747" s="52" t="n"/>
      <c r="I747" s="52" t="n"/>
      <c r="J747" s="52" t="n"/>
      <c r="K747" s="54" t="n"/>
      <c r="L747" s="5" t="n"/>
      <c r="M747" s="53">
        <f>IF(A747="","",IFERROR(INDEX(Firms!$B$5:$B$1004,MATCH(A747,Firms!$A$5:$A$1004,0)),"Not on Firms tab"))</f>
        <v/>
      </c>
      <c r="N747">
        <f>IF(AND(A747&lt;&gt;"",A747='Firm Search'!$C$7),COUNTIF($A$5:A747,'Firm Search'!$C$7),"")</f>
        <v/>
      </c>
    </row>
    <row r="748">
      <c r="A748" s="5" t="n"/>
      <c r="B748" s="5" t="n"/>
      <c r="C748" s="52" t="n"/>
      <c r="D748" s="52" t="n"/>
      <c r="E748" s="52" t="n"/>
      <c r="F748" s="52" t="n"/>
      <c r="G748" s="52" t="n"/>
      <c r="H748" s="52" t="n"/>
      <c r="I748" s="52" t="n"/>
      <c r="J748" s="52" t="n"/>
      <c r="K748" s="54" t="n"/>
      <c r="L748" s="5" t="n"/>
      <c r="M748" s="53">
        <f>IF(A748="","",IFERROR(INDEX(Firms!$B$5:$B$1004,MATCH(A748,Firms!$A$5:$A$1004,0)),"Not on Firms tab"))</f>
        <v/>
      </c>
      <c r="N748">
        <f>IF(AND(A748&lt;&gt;"",A748='Firm Search'!$C$7),COUNTIF($A$5:A748,'Firm Search'!$C$7),"")</f>
        <v/>
      </c>
    </row>
    <row r="749">
      <c r="A749" s="5" t="n"/>
      <c r="B749" s="5" t="n"/>
      <c r="C749" s="52" t="n"/>
      <c r="D749" s="52" t="n"/>
      <c r="E749" s="52" t="n"/>
      <c r="F749" s="52" t="n"/>
      <c r="G749" s="52" t="n"/>
      <c r="H749" s="52" t="n"/>
      <c r="I749" s="52" t="n"/>
      <c r="J749" s="52" t="n"/>
      <c r="K749" s="54" t="n"/>
      <c r="L749" s="5" t="n"/>
      <c r="M749" s="53">
        <f>IF(A749="","",IFERROR(INDEX(Firms!$B$5:$B$1004,MATCH(A749,Firms!$A$5:$A$1004,0)),"Not on Firms tab"))</f>
        <v/>
      </c>
      <c r="N749">
        <f>IF(AND(A749&lt;&gt;"",A749='Firm Search'!$C$7),COUNTIF($A$5:A749,'Firm Search'!$C$7),"")</f>
        <v/>
      </c>
    </row>
    <row r="750">
      <c r="A750" s="5" t="n"/>
      <c r="B750" s="5" t="n"/>
      <c r="C750" s="52" t="n"/>
      <c r="D750" s="52" t="n"/>
      <c r="E750" s="52" t="n"/>
      <c r="F750" s="52" t="n"/>
      <c r="G750" s="52" t="n"/>
      <c r="H750" s="52" t="n"/>
      <c r="I750" s="52" t="n"/>
      <c r="J750" s="52" t="n"/>
      <c r="K750" s="54" t="n"/>
      <c r="L750" s="5" t="n"/>
      <c r="M750" s="53">
        <f>IF(A750="","",IFERROR(INDEX(Firms!$B$5:$B$1004,MATCH(A750,Firms!$A$5:$A$1004,0)),"Not on Firms tab"))</f>
        <v/>
      </c>
      <c r="N750">
        <f>IF(AND(A750&lt;&gt;"",A750='Firm Search'!$C$7),COUNTIF($A$5:A750,'Firm Search'!$C$7),"")</f>
        <v/>
      </c>
    </row>
    <row r="751">
      <c r="A751" s="5" t="n"/>
      <c r="B751" s="5" t="n"/>
      <c r="C751" s="52" t="n"/>
      <c r="D751" s="52" t="n"/>
      <c r="E751" s="52" t="n"/>
      <c r="F751" s="52" t="n"/>
      <c r="G751" s="52" t="n"/>
      <c r="H751" s="52" t="n"/>
      <c r="I751" s="52" t="n"/>
      <c r="J751" s="52" t="n"/>
      <c r="K751" s="54" t="n"/>
      <c r="L751" s="5" t="n"/>
      <c r="M751" s="53">
        <f>IF(A751="","",IFERROR(INDEX(Firms!$B$5:$B$1004,MATCH(A751,Firms!$A$5:$A$1004,0)),"Not on Firms tab"))</f>
        <v/>
      </c>
      <c r="N751">
        <f>IF(AND(A751&lt;&gt;"",A751='Firm Search'!$C$7),COUNTIF($A$5:A751,'Firm Search'!$C$7),"")</f>
        <v/>
      </c>
    </row>
    <row r="752">
      <c r="A752" s="5" t="n"/>
      <c r="B752" s="5" t="n"/>
      <c r="C752" s="52" t="n"/>
      <c r="D752" s="52" t="n"/>
      <c r="E752" s="52" t="n"/>
      <c r="F752" s="52" t="n"/>
      <c r="G752" s="52" t="n"/>
      <c r="H752" s="52" t="n"/>
      <c r="I752" s="52" t="n"/>
      <c r="J752" s="52" t="n"/>
      <c r="K752" s="54" t="n"/>
      <c r="L752" s="5" t="n"/>
      <c r="M752" s="53">
        <f>IF(A752="","",IFERROR(INDEX(Firms!$B$5:$B$1004,MATCH(A752,Firms!$A$5:$A$1004,0)),"Not on Firms tab"))</f>
        <v/>
      </c>
      <c r="N752">
        <f>IF(AND(A752&lt;&gt;"",A752='Firm Search'!$C$7),COUNTIF($A$5:A752,'Firm Search'!$C$7),"")</f>
        <v/>
      </c>
    </row>
    <row r="753">
      <c r="A753" s="5" t="n"/>
      <c r="B753" s="5" t="n"/>
      <c r="C753" s="52" t="n"/>
      <c r="D753" s="52" t="n"/>
      <c r="E753" s="52" t="n"/>
      <c r="F753" s="52" t="n"/>
      <c r="G753" s="52" t="n"/>
      <c r="H753" s="52" t="n"/>
      <c r="I753" s="52" t="n"/>
      <c r="J753" s="52" t="n"/>
      <c r="K753" s="54" t="n"/>
      <c r="L753" s="5" t="n"/>
      <c r="M753" s="53">
        <f>IF(A753="","",IFERROR(INDEX(Firms!$B$5:$B$1004,MATCH(A753,Firms!$A$5:$A$1004,0)),"Not on Firms tab"))</f>
        <v/>
      </c>
      <c r="N753">
        <f>IF(AND(A753&lt;&gt;"",A753='Firm Search'!$C$7),COUNTIF($A$5:A753,'Firm Search'!$C$7),"")</f>
        <v/>
      </c>
    </row>
    <row r="754">
      <c r="A754" s="5" t="n"/>
      <c r="B754" s="5" t="n"/>
      <c r="C754" s="52" t="n"/>
      <c r="D754" s="52" t="n"/>
      <c r="E754" s="52" t="n"/>
      <c r="F754" s="52" t="n"/>
      <c r="G754" s="52" t="n"/>
      <c r="H754" s="52" t="n"/>
      <c r="I754" s="52" t="n"/>
      <c r="J754" s="52" t="n"/>
      <c r="K754" s="54" t="n"/>
      <c r="L754" s="5" t="n"/>
      <c r="M754" s="53">
        <f>IF(A754="","",IFERROR(INDEX(Firms!$B$5:$B$1004,MATCH(A754,Firms!$A$5:$A$1004,0)),"Not on Firms tab"))</f>
        <v/>
      </c>
      <c r="N754">
        <f>IF(AND(A754&lt;&gt;"",A754='Firm Search'!$C$7),COUNTIF($A$5:A754,'Firm Search'!$C$7),"")</f>
        <v/>
      </c>
    </row>
    <row r="755">
      <c r="A755" s="5" t="n"/>
      <c r="B755" s="5" t="n"/>
      <c r="C755" s="52" t="n"/>
      <c r="D755" s="52" t="n"/>
      <c r="E755" s="52" t="n"/>
      <c r="F755" s="52" t="n"/>
      <c r="G755" s="52" t="n"/>
      <c r="H755" s="52" t="n"/>
      <c r="I755" s="52" t="n"/>
      <c r="J755" s="52" t="n"/>
      <c r="K755" s="54" t="n"/>
      <c r="L755" s="5" t="n"/>
      <c r="M755" s="53">
        <f>IF(A755="","",IFERROR(INDEX(Firms!$B$5:$B$1004,MATCH(A755,Firms!$A$5:$A$1004,0)),"Not on Firms tab"))</f>
        <v/>
      </c>
      <c r="N755">
        <f>IF(AND(A755&lt;&gt;"",A755='Firm Search'!$C$7),COUNTIF($A$5:A755,'Firm Search'!$C$7),"")</f>
        <v/>
      </c>
    </row>
    <row r="756">
      <c r="A756" s="5" t="n"/>
      <c r="B756" s="5" t="n"/>
      <c r="C756" s="52" t="n"/>
      <c r="D756" s="52" t="n"/>
      <c r="E756" s="52" t="n"/>
      <c r="F756" s="52" t="n"/>
      <c r="G756" s="52" t="n"/>
      <c r="H756" s="52" t="n"/>
      <c r="I756" s="52" t="n"/>
      <c r="J756" s="52" t="n"/>
      <c r="K756" s="54" t="n"/>
      <c r="L756" s="5" t="n"/>
      <c r="M756" s="53">
        <f>IF(A756="","",IFERROR(INDEX(Firms!$B$5:$B$1004,MATCH(A756,Firms!$A$5:$A$1004,0)),"Not on Firms tab"))</f>
        <v/>
      </c>
      <c r="N756">
        <f>IF(AND(A756&lt;&gt;"",A756='Firm Search'!$C$7),COUNTIF($A$5:A756,'Firm Search'!$C$7),"")</f>
        <v/>
      </c>
    </row>
    <row r="757">
      <c r="A757" s="5" t="n"/>
      <c r="B757" s="5" t="n"/>
      <c r="C757" s="52" t="n"/>
      <c r="D757" s="52" t="n"/>
      <c r="E757" s="52" t="n"/>
      <c r="F757" s="52" t="n"/>
      <c r="G757" s="52" t="n"/>
      <c r="H757" s="52" t="n"/>
      <c r="I757" s="52" t="n"/>
      <c r="J757" s="52" t="n"/>
      <c r="K757" s="54" t="n"/>
      <c r="L757" s="5" t="n"/>
      <c r="M757" s="53">
        <f>IF(A757="","",IFERROR(INDEX(Firms!$B$5:$B$1004,MATCH(A757,Firms!$A$5:$A$1004,0)),"Not on Firms tab"))</f>
        <v/>
      </c>
      <c r="N757">
        <f>IF(AND(A757&lt;&gt;"",A757='Firm Search'!$C$7),COUNTIF($A$5:A757,'Firm Search'!$C$7),"")</f>
        <v/>
      </c>
    </row>
    <row r="758">
      <c r="A758" s="5" t="n"/>
      <c r="B758" s="5" t="n"/>
      <c r="C758" s="52" t="n"/>
      <c r="D758" s="52" t="n"/>
      <c r="E758" s="52" t="n"/>
      <c r="F758" s="52" t="n"/>
      <c r="G758" s="52" t="n"/>
      <c r="H758" s="52" t="n"/>
      <c r="I758" s="52" t="n"/>
      <c r="J758" s="52" t="n"/>
      <c r="K758" s="54" t="n"/>
      <c r="L758" s="5" t="n"/>
      <c r="M758" s="53">
        <f>IF(A758="","",IFERROR(INDEX(Firms!$B$5:$B$1004,MATCH(A758,Firms!$A$5:$A$1004,0)),"Not on Firms tab"))</f>
        <v/>
      </c>
      <c r="N758">
        <f>IF(AND(A758&lt;&gt;"",A758='Firm Search'!$C$7),COUNTIF($A$5:A758,'Firm Search'!$C$7),"")</f>
        <v/>
      </c>
    </row>
    <row r="759">
      <c r="A759" s="5" t="n"/>
      <c r="B759" s="5" t="n"/>
      <c r="C759" s="52" t="n"/>
      <c r="D759" s="52" t="n"/>
      <c r="E759" s="52" t="n"/>
      <c r="F759" s="52" t="n"/>
      <c r="G759" s="52" t="n"/>
      <c r="H759" s="52" t="n"/>
      <c r="I759" s="52" t="n"/>
      <c r="J759" s="52" t="n"/>
      <c r="K759" s="54" t="n"/>
      <c r="L759" s="5" t="n"/>
      <c r="M759" s="53">
        <f>IF(A759="","",IFERROR(INDEX(Firms!$B$5:$B$1004,MATCH(A759,Firms!$A$5:$A$1004,0)),"Not on Firms tab"))</f>
        <v/>
      </c>
      <c r="N759">
        <f>IF(AND(A759&lt;&gt;"",A759='Firm Search'!$C$7),COUNTIF($A$5:A759,'Firm Search'!$C$7),"")</f>
        <v/>
      </c>
    </row>
    <row r="760">
      <c r="A760" s="5" t="n"/>
      <c r="B760" s="5" t="n"/>
      <c r="C760" s="52" t="n"/>
      <c r="D760" s="52" t="n"/>
      <c r="E760" s="52" t="n"/>
      <c r="F760" s="52" t="n"/>
      <c r="G760" s="52" t="n"/>
      <c r="H760" s="52" t="n"/>
      <c r="I760" s="52" t="n"/>
      <c r="J760" s="52" t="n"/>
      <c r="K760" s="54" t="n"/>
      <c r="L760" s="5" t="n"/>
      <c r="M760" s="53">
        <f>IF(A760="","",IFERROR(INDEX(Firms!$B$5:$B$1004,MATCH(A760,Firms!$A$5:$A$1004,0)),"Not on Firms tab"))</f>
        <v/>
      </c>
      <c r="N760">
        <f>IF(AND(A760&lt;&gt;"",A760='Firm Search'!$C$7),COUNTIF($A$5:A760,'Firm Search'!$C$7),"")</f>
        <v/>
      </c>
    </row>
    <row r="761">
      <c r="A761" s="5" t="n"/>
      <c r="B761" s="5" t="n"/>
      <c r="C761" s="52" t="n"/>
      <c r="D761" s="52" t="n"/>
      <c r="E761" s="52" t="n"/>
      <c r="F761" s="52" t="n"/>
      <c r="G761" s="52" t="n"/>
      <c r="H761" s="52" t="n"/>
      <c r="I761" s="52" t="n"/>
      <c r="J761" s="52" t="n"/>
      <c r="K761" s="54" t="n"/>
      <c r="L761" s="5" t="n"/>
      <c r="M761" s="53">
        <f>IF(A761="","",IFERROR(INDEX(Firms!$B$5:$B$1004,MATCH(A761,Firms!$A$5:$A$1004,0)),"Not on Firms tab"))</f>
        <v/>
      </c>
      <c r="N761">
        <f>IF(AND(A761&lt;&gt;"",A761='Firm Search'!$C$7),COUNTIF($A$5:A761,'Firm Search'!$C$7),"")</f>
        <v/>
      </c>
    </row>
    <row r="762">
      <c r="A762" s="5" t="n"/>
      <c r="B762" s="5" t="n"/>
      <c r="C762" s="52" t="n"/>
      <c r="D762" s="52" t="n"/>
      <c r="E762" s="52" t="n"/>
      <c r="F762" s="52" t="n"/>
      <c r="G762" s="52" t="n"/>
      <c r="H762" s="52" t="n"/>
      <c r="I762" s="52" t="n"/>
      <c r="J762" s="52" t="n"/>
      <c r="K762" s="54" t="n"/>
      <c r="L762" s="5" t="n"/>
      <c r="M762" s="53">
        <f>IF(A762="","",IFERROR(INDEX(Firms!$B$5:$B$1004,MATCH(A762,Firms!$A$5:$A$1004,0)),"Not on Firms tab"))</f>
        <v/>
      </c>
      <c r="N762">
        <f>IF(AND(A762&lt;&gt;"",A762='Firm Search'!$C$7),COUNTIF($A$5:A762,'Firm Search'!$C$7),"")</f>
        <v/>
      </c>
    </row>
    <row r="763">
      <c r="A763" s="5" t="n"/>
      <c r="B763" s="5" t="n"/>
      <c r="C763" s="52" t="n"/>
      <c r="D763" s="52" t="n"/>
      <c r="E763" s="52" t="n"/>
      <c r="F763" s="52" t="n"/>
      <c r="G763" s="52" t="n"/>
      <c r="H763" s="52" t="n"/>
      <c r="I763" s="52" t="n"/>
      <c r="J763" s="52" t="n"/>
      <c r="K763" s="54" t="n"/>
      <c r="L763" s="5" t="n"/>
      <c r="M763" s="53">
        <f>IF(A763="","",IFERROR(INDEX(Firms!$B$5:$B$1004,MATCH(A763,Firms!$A$5:$A$1004,0)),"Not on Firms tab"))</f>
        <v/>
      </c>
      <c r="N763">
        <f>IF(AND(A763&lt;&gt;"",A763='Firm Search'!$C$7),COUNTIF($A$5:A763,'Firm Search'!$C$7),"")</f>
        <v/>
      </c>
    </row>
    <row r="764">
      <c r="A764" s="5" t="n"/>
      <c r="B764" s="5" t="n"/>
      <c r="C764" s="52" t="n"/>
      <c r="D764" s="52" t="n"/>
      <c r="E764" s="52" t="n"/>
      <c r="F764" s="52" t="n"/>
      <c r="G764" s="52" t="n"/>
      <c r="H764" s="52" t="n"/>
      <c r="I764" s="52" t="n"/>
      <c r="J764" s="52" t="n"/>
      <c r="K764" s="54" t="n"/>
      <c r="L764" s="5" t="n"/>
      <c r="M764" s="53">
        <f>IF(A764="","",IFERROR(INDEX(Firms!$B$5:$B$1004,MATCH(A764,Firms!$A$5:$A$1004,0)),"Not on Firms tab"))</f>
        <v/>
      </c>
      <c r="N764">
        <f>IF(AND(A764&lt;&gt;"",A764='Firm Search'!$C$7),COUNTIF($A$5:A764,'Firm Search'!$C$7),"")</f>
        <v/>
      </c>
    </row>
    <row r="765">
      <c r="A765" s="5" t="n"/>
      <c r="B765" s="5" t="n"/>
      <c r="C765" s="52" t="n"/>
      <c r="D765" s="52" t="n"/>
      <c r="E765" s="52" t="n"/>
      <c r="F765" s="52" t="n"/>
      <c r="G765" s="52" t="n"/>
      <c r="H765" s="52" t="n"/>
      <c r="I765" s="52" t="n"/>
      <c r="J765" s="52" t="n"/>
      <c r="K765" s="54" t="n"/>
      <c r="L765" s="5" t="n"/>
      <c r="M765" s="53">
        <f>IF(A765="","",IFERROR(INDEX(Firms!$B$5:$B$1004,MATCH(A765,Firms!$A$5:$A$1004,0)),"Not on Firms tab"))</f>
        <v/>
      </c>
      <c r="N765">
        <f>IF(AND(A765&lt;&gt;"",A765='Firm Search'!$C$7),COUNTIF($A$5:A765,'Firm Search'!$C$7),"")</f>
        <v/>
      </c>
    </row>
    <row r="766">
      <c r="A766" s="5" t="n"/>
      <c r="B766" s="5" t="n"/>
      <c r="C766" s="52" t="n"/>
      <c r="D766" s="52" t="n"/>
      <c r="E766" s="52" t="n"/>
      <c r="F766" s="52" t="n"/>
      <c r="G766" s="52" t="n"/>
      <c r="H766" s="52" t="n"/>
      <c r="I766" s="52" t="n"/>
      <c r="J766" s="52" t="n"/>
      <c r="K766" s="54" t="n"/>
      <c r="L766" s="5" t="n"/>
      <c r="M766" s="53">
        <f>IF(A766="","",IFERROR(INDEX(Firms!$B$5:$B$1004,MATCH(A766,Firms!$A$5:$A$1004,0)),"Not on Firms tab"))</f>
        <v/>
      </c>
      <c r="N766">
        <f>IF(AND(A766&lt;&gt;"",A766='Firm Search'!$C$7),COUNTIF($A$5:A766,'Firm Search'!$C$7),"")</f>
        <v/>
      </c>
    </row>
    <row r="767">
      <c r="A767" s="5" t="n"/>
      <c r="B767" s="5" t="n"/>
      <c r="C767" s="52" t="n"/>
      <c r="D767" s="52" t="n"/>
      <c r="E767" s="52" t="n"/>
      <c r="F767" s="52" t="n"/>
      <c r="G767" s="52" t="n"/>
      <c r="H767" s="52" t="n"/>
      <c r="I767" s="52" t="n"/>
      <c r="J767" s="52" t="n"/>
      <c r="K767" s="54" t="n"/>
      <c r="L767" s="5" t="n"/>
      <c r="M767" s="53">
        <f>IF(A767="","",IFERROR(INDEX(Firms!$B$5:$B$1004,MATCH(A767,Firms!$A$5:$A$1004,0)),"Not on Firms tab"))</f>
        <v/>
      </c>
      <c r="N767">
        <f>IF(AND(A767&lt;&gt;"",A767='Firm Search'!$C$7),COUNTIF($A$5:A767,'Firm Search'!$C$7),"")</f>
        <v/>
      </c>
    </row>
    <row r="768">
      <c r="A768" s="5" t="n"/>
      <c r="B768" s="5" t="n"/>
      <c r="C768" s="52" t="n"/>
      <c r="D768" s="52" t="n"/>
      <c r="E768" s="52" t="n"/>
      <c r="F768" s="52" t="n"/>
      <c r="G768" s="52" t="n"/>
      <c r="H768" s="52" t="n"/>
      <c r="I768" s="52" t="n"/>
      <c r="J768" s="52" t="n"/>
      <c r="K768" s="54" t="n"/>
      <c r="L768" s="5" t="n"/>
      <c r="M768" s="53">
        <f>IF(A768="","",IFERROR(INDEX(Firms!$B$5:$B$1004,MATCH(A768,Firms!$A$5:$A$1004,0)),"Not on Firms tab"))</f>
        <v/>
      </c>
      <c r="N768">
        <f>IF(AND(A768&lt;&gt;"",A768='Firm Search'!$C$7),COUNTIF($A$5:A768,'Firm Search'!$C$7),"")</f>
        <v/>
      </c>
    </row>
    <row r="769">
      <c r="A769" s="5" t="n"/>
      <c r="B769" s="5" t="n"/>
      <c r="C769" s="52" t="n"/>
      <c r="D769" s="52" t="n"/>
      <c r="E769" s="52" t="n"/>
      <c r="F769" s="52" t="n"/>
      <c r="G769" s="52" t="n"/>
      <c r="H769" s="52" t="n"/>
      <c r="I769" s="52" t="n"/>
      <c r="J769" s="52" t="n"/>
      <c r="K769" s="54" t="n"/>
      <c r="L769" s="5" t="n"/>
      <c r="M769" s="53">
        <f>IF(A769="","",IFERROR(INDEX(Firms!$B$5:$B$1004,MATCH(A769,Firms!$A$5:$A$1004,0)),"Not on Firms tab"))</f>
        <v/>
      </c>
      <c r="N769">
        <f>IF(AND(A769&lt;&gt;"",A769='Firm Search'!$C$7),COUNTIF($A$5:A769,'Firm Search'!$C$7),"")</f>
        <v/>
      </c>
    </row>
    <row r="770">
      <c r="A770" s="5" t="n"/>
      <c r="B770" s="5" t="n"/>
      <c r="C770" s="52" t="n"/>
      <c r="D770" s="52" t="n"/>
      <c r="E770" s="52" t="n"/>
      <c r="F770" s="52" t="n"/>
      <c r="G770" s="52" t="n"/>
      <c r="H770" s="52" t="n"/>
      <c r="I770" s="52" t="n"/>
      <c r="J770" s="52" t="n"/>
      <c r="K770" s="54" t="n"/>
      <c r="L770" s="5" t="n"/>
      <c r="M770" s="53">
        <f>IF(A770="","",IFERROR(INDEX(Firms!$B$5:$B$1004,MATCH(A770,Firms!$A$5:$A$1004,0)),"Not on Firms tab"))</f>
        <v/>
      </c>
      <c r="N770">
        <f>IF(AND(A770&lt;&gt;"",A770='Firm Search'!$C$7),COUNTIF($A$5:A770,'Firm Search'!$C$7),"")</f>
        <v/>
      </c>
    </row>
    <row r="771">
      <c r="A771" s="5" t="n"/>
      <c r="B771" s="5" t="n"/>
      <c r="C771" s="52" t="n"/>
      <c r="D771" s="52" t="n"/>
      <c r="E771" s="52" t="n"/>
      <c r="F771" s="52" t="n"/>
      <c r="G771" s="52" t="n"/>
      <c r="H771" s="52" t="n"/>
      <c r="I771" s="52" t="n"/>
      <c r="J771" s="52" t="n"/>
      <c r="K771" s="54" t="n"/>
      <c r="L771" s="5" t="n"/>
      <c r="M771" s="53">
        <f>IF(A771="","",IFERROR(INDEX(Firms!$B$5:$B$1004,MATCH(A771,Firms!$A$5:$A$1004,0)),"Not on Firms tab"))</f>
        <v/>
      </c>
      <c r="N771">
        <f>IF(AND(A771&lt;&gt;"",A771='Firm Search'!$C$7),COUNTIF($A$5:A771,'Firm Search'!$C$7),"")</f>
        <v/>
      </c>
    </row>
    <row r="772">
      <c r="A772" s="5" t="n"/>
      <c r="B772" s="5" t="n"/>
      <c r="C772" s="52" t="n"/>
      <c r="D772" s="52" t="n"/>
      <c r="E772" s="52" t="n"/>
      <c r="F772" s="52" t="n"/>
      <c r="G772" s="52" t="n"/>
      <c r="H772" s="52" t="n"/>
      <c r="I772" s="52" t="n"/>
      <c r="J772" s="52" t="n"/>
      <c r="K772" s="54" t="n"/>
      <c r="L772" s="5" t="n"/>
      <c r="M772" s="53">
        <f>IF(A772="","",IFERROR(INDEX(Firms!$B$5:$B$1004,MATCH(A772,Firms!$A$5:$A$1004,0)),"Not on Firms tab"))</f>
        <v/>
      </c>
      <c r="N772">
        <f>IF(AND(A772&lt;&gt;"",A772='Firm Search'!$C$7),COUNTIF($A$5:A772,'Firm Search'!$C$7),"")</f>
        <v/>
      </c>
    </row>
    <row r="773">
      <c r="A773" s="5" t="n"/>
      <c r="B773" s="5" t="n"/>
      <c r="C773" s="52" t="n"/>
      <c r="D773" s="52" t="n"/>
      <c r="E773" s="52" t="n"/>
      <c r="F773" s="52" t="n"/>
      <c r="G773" s="52" t="n"/>
      <c r="H773" s="52" t="n"/>
      <c r="I773" s="52" t="n"/>
      <c r="J773" s="52" t="n"/>
      <c r="K773" s="54" t="n"/>
      <c r="L773" s="5" t="n"/>
      <c r="M773" s="53">
        <f>IF(A773="","",IFERROR(INDEX(Firms!$B$5:$B$1004,MATCH(A773,Firms!$A$5:$A$1004,0)),"Not on Firms tab"))</f>
        <v/>
      </c>
      <c r="N773">
        <f>IF(AND(A773&lt;&gt;"",A773='Firm Search'!$C$7),COUNTIF($A$5:A773,'Firm Search'!$C$7),"")</f>
        <v/>
      </c>
    </row>
    <row r="774">
      <c r="A774" s="5" t="n"/>
      <c r="B774" s="5" t="n"/>
      <c r="C774" s="52" t="n"/>
      <c r="D774" s="52" t="n"/>
      <c r="E774" s="52" t="n"/>
      <c r="F774" s="52" t="n"/>
      <c r="G774" s="52" t="n"/>
      <c r="H774" s="52" t="n"/>
      <c r="I774" s="52" t="n"/>
      <c r="J774" s="52" t="n"/>
      <c r="K774" s="54" t="n"/>
      <c r="L774" s="5" t="n"/>
      <c r="M774" s="53">
        <f>IF(A774="","",IFERROR(INDEX(Firms!$B$5:$B$1004,MATCH(A774,Firms!$A$5:$A$1004,0)),"Not on Firms tab"))</f>
        <v/>
      </c>
      <c r="N774">
        <f>IF(AND(A774&lt;&gt;"",A774='Firm Search'!$C$7),COUNTIF($A$5:A774,'Firm Search'!$C$7),"")</f>
        <v/>
      </c>
    </row>
    <row r="775">
      <c r="A775" s="5" t="n"/>
      <c r="B775" s="5" t="n"/>
      <c r="C775" s="52" t="n"/>
      <c r="D775" s="52" t="n"/>
      <c r="E775" s="52" t="n"/>
      <c r="F775" s="52" t="n"/>
      <c r="G775" s="52" t="n"/>
      <c r="H775" s="52" t="n"/>
      <c r="I775" s="52" t="n"/>
      <c r="J775" s="52" t="n"/>
      <c r="K775" s="54" t="n"/>
      <c r="L775" s="5" t="n"/>
      <c r="M775" s="53">
        <f>IF(A775="","",IFERROR(INDEX(Firms!$B$5:$B$1004,MATCH(A775,Firms!$A$5:$A$1004,0)),"Not on Firms tab"))</f>
        <v/>
      </c>
      <c r="N775">
        <f>IF(AND(A775&lt;&gt;"",A775='Firm Search'!$C$7),COUNTIF($A$5:A775,'Firm Search'!$C$7),"")</f>
        <v/>
      </c>
    </row>
    <row r="776">
      <c r="A776" s="5" t="n"/>
      <c r="B776" s="5" t="n"/>
      <c r="C776" s="52" t="n"/>
      <c r="D776" s="52" t="n"/>
      <c r="E776" s="52" t="n"/>
      <c r="F776" s="52" t="n"/>
      <c r="G776" s="52" t="n"/>
      <c r="H776" s="52" t="n"/>
      <c r="I776" s="52" t="n"/>
      <c r="J776" s="52" t="n"/>
      <c r="K776" s="54" t="n"/>
      <c r="L776" s="5" t="n"/>
      <c r="M776" s="53">
        <f>IF(A776="","",IFERROR(INDEX(Firms!$B$5:$B$1004,MATCH(A776,Firms!$A$5:$A$1004,0)),"Not on Firms tab"))</f>
        <v/>
      </c>
      <c r="N776">
        <f>IF(AND(A776&lt;&gt;"",A776='Firm Search'!$C$7),COUNTIF($A$5:A776,'Firm Search'!$C$7),"")</f>
        <v/>
      </c>
    </row>
    <row r="777">
      <c r="A777" s="5" t="n"/>
      <c r="B777" s="5" t="n"/>
      <c r="C777" s="52" t="n"/>
      <c r="D777" s="52" t="n"/>
      <c r="E777" s="52" t="n"/>
      <c r="F777" s="52" t="n"/>
      <c r="G777" s="52" t="n"/>
      <c r="H777" s="52" t="n"/>
      <c r="I777" s="52" t="n"/>
      <c r="J777" s="52" t="n"/>
      <c r="K777" s="54" t="n"/>
      <c r="L777" s="5" t="n"/>
      <c r="M777" s="53">
        <f>IF(A777="","",IFERROR(INDEX(Firms!$B$5:$B$1004,MATCH(A777,Firms!$A$5:$A$1004,0)),"Not on Firms tab"))</f>
        <v/>
      </c>
      <c r="N777">
        <f>IF(AND(A777&lt;&gt;"",A777='Firm Search'!$C$7),COUNTIF($A$5:A777,'Firm Search'!$C$7),"")</f>
        <v/>
      </c>
    </row>
    <row r="778">
      <c r="A778" s="5" t="n"/>
      <c r="B778" s="5" t="n"/>
      <c r="C778" s="52" t="n"/>
      <c r="D778" s="52" t="n"/>
      <c r="E778" s="52" t="n"/>
      <c r="F778" s="52" t="n"/>
      <c r="G778" s="52" t="n"/>
      <c r="H778" s="52" t="n"/>
      <c r="I778" s="52" t="n"/>
      <c r="J778" s="52" t="n"/>
      <c r="K778" s="54" t="n"/>
      <c r="L778" s="5" t="n"/>
      <c r="M778" s="53">
        <f>IF(A778="","",IFERROR(INDEX(Firms!$B$5:$B$1004,MATCH(A778,Firms!$A$5:$A$1004,0)),"Not on Firms tab"))</f>
        <v/>
      </c>
      <c r="N778">
        <f>IF(AND(A778&lt;&gt;"",A778='Firm Search'!$C$7),COUNTIF($A$5:A778,'Firm Search'!$C$7),"")</f>
        <v/>
      </c>
    </row>
    <row r="779">
      <c r="A779" s="5" t="n"/>
      <c r="B779" s="5" t="n"/>
      <c r="C779" s="52" t="n"/>
      <c r="D779" s="52" t="n"/>
      <c r="E779" s="52" t="n"/>
      <c r="F779" s="52" t="n"/>
      <c r="G779" s="52" t="n"/>
      <c r="H779" s="52" t="n"/>
      <c r="I779" s="52" t="n"/>
      <c r="J779" s="52" t="n"/>
      <c r="K779" s="54" t="n"/>
      <c r="L779" s="5" t="n"/>
      <c r="M779" s="53">
        <f>IF(A779="","",IFERROR(INDEX(Firms!$B$5:$B$1004,MATCH(A779,Firms!$A$5:$A$1004,0)),"Not on Firms tab"))</f>
        <v/>
      </c>
      <c r="N779">
        <f>IF(AND(A779&lt;&gt;"",A779='Firm Search'!$C$7),COUNTIF($A$5:A779,'Firm Search'!$C$7),"")</f>
        <v/>
      </c>
    </row>
    <row r="780">
      <c r="A780" s="5" t="n"/>
      <c r="B780" s="5" t="n"/>
      <c r="C780" s="52" t="n"/>
      <c r="D780" s="52" t="n"/>
      <c r="E780" s="52" t="n"/>
      <c r="F780" s="52" t="n"/>
      <c r="G780" s="52" t="n"/>
      <c r="H780" s="52" t="n"/>
      <c r="I780" s="52" t="n"/>
      <c r="J780" s="52" t="n"/>
      <c r="K780" s="54" t="n"/>
      <c r="L780" s="5" t="n"/>
      <c r="M780" s="53">
        <f>IF(A780="","",IFERROR(INDEX(Firms!$B$5:$B$1004,MATCH(A780,Firms!$A$5:$A$1004,0)),"Not on Firms tab"))</f>
        <v/>
      </c>
      <c r="N780">
        <f>IF(AND(A780&lt;&gt;"",A780='Firm Search'!$C$7),COUNTIF($A$5:A780,'Firm Search'!$C$7),"")</f>
        <v/>
      </c>
    </row>
    <row r="781">
      <c r="A781" s="5" t="n"/>
      <c r="B781" s="5" t="n"/>
      <c r="C781" s="52" t="n"/>
      <c r="D781" s="52" t="n"/>
      <c r="E781" s="52" t="n"/>
      <c r="F781" s="52" t="n"/>
      <c r="G781" s="52" t="n"/>
      <c r="H781" s="52" t="n"/>
      <c r="I781" s="52" t="n"/>
      <c r="J781" s="52" t="n"/>
      <c r="K781" s="54" t="n"/>
      <c r="L781" s="5" t="n"/>
      <c r="M781" s="53">
        <f>IF(A781="","",IFERROR(INDEX(Firms!$B$5:$B$1004,MATCH(A781,Firms!$A$5:$A$1004,0)),"Not on Firms tab"))</f>
        <v/>
      </c>
      <c r="N781">
        <f>IF(AND(A781&lt;&gt;"",A781='Firm Search'!$C$7),COUNTIF($A$5:A781,'Firm Search'!$C$7),"")</f>
        <v/>
      </c>
    </row>
    <row r="782">
      <c r="A782" s="5" t="n"/>
      <c r="B782" s="5" t="n"/>
      <c r="C782" s="52" t="n"/>
      <c r="D782" s="52" t="n"/>
      <c r="E782" s="52" t="n"/>
      <c r="F782" s="52" t="n"/>
      <c r="G782" s="52" t="n"/>
      <c r="H782" s="52" t="n"/>
      <c r="I782" s="52" t="n"/>
      <c r="J782" s="52" t="n"/>
      <c r="K782" s="54" t="n"/>
      <c r="L782" s="5" t="n"/>
      <c r="M782" s="53">
        <f>IF(A782="","",IFERROR(INDEX(Firms!$B$5:$B$1004,MATCH(A782,Firms!$A$5:$A$1004,0)),"Not on Firms tab"))</f>
        <v/>
      </c>
      <c r="N782">
        <f>IF(AND(A782&lt;&gt;"",A782='Firm Search'!$C$7),COUNTIF($A$5:A782,'Firm Search'!$C$7),"")</f>
        <v/>
      </c>
    </row>
    <row r="783">
      <c r="A783" s="5" t="n"/>
      <c r="B783" s="5" t="n"/>
      <c r="C783" s="52" t="n"/>
      <c r="D783" s="52" t="n"/>
      <c r="E783" s="52" t="n"/>
      <c r="F783" s="52" t="n"/>
      <c r="G783" s="52" t="n"/>
      <c r="H783" s="52" t="n"/>
      <c r="I783" s="52" t="n"/>
      <c r="J783" s="52" t="n"/>
      <c r="K783" s="54" t="n"/>
      <c r="L783" s="5" t="n"/>
      <c r="M783" s="53">
        <f>IF(A783="","",IFERROR(INDEX(Firms!$B$5:$B$1004,MATCH(A783,Firms!$A$5:$A$1004,0)),"Not on Firms tab"))</f>
        <v/>
      </c>
      <c r="N783">
        <f>IF(AND(A783&lt;&gt;"",A783='Firm Search'!$C$7),COUNTIF($A$5:A783,'Firm Search'!$C$7),"")</f>
        <v/>
      </c>
    </row>
    <row r="784">
      <c r="A784" s="5" t="n"/>
      <c r="B784" s="5" t="n"/>
      <c r="C784" s="52" t="n"/>
      <c r="D784" s="52" t="n"/>
      <c r="E784" s="52" t="n"/>
      <c r="F784" s="52" t="n"/>
      <c r="G784" s="52" t="n"/>
      <c r="H784" s="52" t="n"/>
      <c r="I784" s="52" t="n"/>
      <c r="J784" s="52" t="n"/>
      <c r="K784" s="54" t="n"/>
      <c r="L784" s="5" t="n"/>
      <c r="M784" s="53">
        <f>IF(A784="","",IFERROR(INDEX(Firms!$B$5:$B$1004,MATCH(A784,Firms!$A$5:$A$1004,0)),"Not on Firms tab"))</f>
        <v/>
      </c>
      <c r="N784">
        <f>IF(AND(A784&lt;&gt;"",A784='Firm Search'!$C$7),COUNTIF($A$5:A784,'Firm Search'!$C$7),"")</f>
        <v/>
      </c>
    </row>
    <row r="785">
      <c r="A785" s="5" t="n"/>
      <c r="B785" s="5" t="n"/>
      <c r="C785" s="52" t="n"/>
      <c r="D785" s="52" t="n"/>
      <c r="E785" s="52" t="n"/>
      <c r="F785" s="52" t="n"/>
      <c r="G785" s="52" t="n"/>
      <c r="H785" s="52" t="n"/>
      <c r="I785" s="52" t="n"/>
      <c r="J785" s="52" t="n"/>
      <c r="K785" s="54" t="n"/>
      <c r="L785" s="5" t="n"/>
      <c r="M785" s="53">
        <f>IF(A785="","",IFERROR(INDEX(Firms!$B$5:$B$1004,MATCH(A785,Firms!$A$5:$A$1004,0)),"Not on Firms tab"))</f>
        <v/>
      </c>
      <c r="N785">
        <f>IF(AND(A785&lt;&gt;"",A785='Firm Search'!$C$7),COUNTIF($A$5:A785,'Firm Search'!$C$7),"")</f>
        <v/>
      </c>
    </row>
    <row r="786">
      <c r="A786" s="5" t="n"/>
      <c r="B786" s="5" t="n"/>
      <c r="C786" s="52" t="n"/>
      <c r="D786" s="52" t="n"/>
      <c r="E786" s="52" t="n"/>
      <c r="F786" s="52" t="n"/>
      <c r="G786" s="52" t="n"/>
      <c r="H786" s="52" t="n"/>
      <c r="I786" s="52" t="n"/>
      <c r="J786" s="52" t="n"/>
      <c r="K786" s="54" t="n"/>
      <c r="L786" s="5" t="n"/>
      <c r="M786" s="53">
        <f>IF(A786="","",IFERROR(INDEX(Firms!$B$5:$B$1004,MATCH(A786,Firms!$A$5:$A$1004,0)),"Not on Firms tab"))</f>
        <v/>
      </c>
      <c r="N786">
        <f>IF(AND(A786&lt;&gt;"",A786='Firm Search'!$C$7),COUNTIF($A$5:A786,'Firm Search'!$C$7),"")</f>
        <v/>
      </c>
    </row>
    <row r="787">
      <c r="A787" s="5" t="n"/>
      <c r="B787" s="5" t="n"/>
      <c r="C787" s="52" t="n"/>
      <c r="D787" s="52" t="n"/>
      <c r="E787" s="52" t="n"/>
      <c r="F787" s="52" t="n"/>
      <c r="G787" s="52" t="n"/>
      <c r="H787" s="52" t="n"/>
      <c r="I787" s="52" t="n"/>
      <c r="J787" s="52" t="n"/>
      <c r="K787" s="54" t="n"/>
      <c r="L787" s="5" t="n"/>
      <c r="M787" s="53">
        <f>IF(A787="","",IFERROR(INDEX(Firms!$B$5:$B$1004,MATCH(A787,Firms!$A$5:$A$1004,0)),"Not on Firms tab"))</f>
        <v/>
      </c>
      <c r="N787">
        <f>IF(AND(A787&lt;&gt;"",A787='Firm Search'!$C$7),COUNTIF($A$5:A787,'Firm Search'!$C$7),"")</f>
        <v/>
      </c>
    </row>
    <row r="788">
      <c r="A788" s="5" t="n"/>
      <c r="B788" s="5" t="n"/>
      <c r="C788" s="52" t="n"/>
      <c r="D788" s="52" t="n"/>
      <c r="E788" s="52" t="n"/>
      <c r="F788" s="52" t="n"/>
      <c r="G788" s="52" t="n"/>
      <c r="H788" s="52" t="n"/>
      <c r="I788" s="52" t="n"/>
      <c r="J788" s="52" t="n"/>
      <c r="K788" s="54" t="n"/>
      <c r="L788" s="5" t="n"/>
      <c r="M788" s="53">
        <f>IF(A788="","",IFERROR(INDEX(Firms!$B$5:$B$1004,MATCH(A788,Firms!$A$5:$A$1004,0)),"Not on Firms tab"))</f>
        <v/>
      </c>
      <c r="N788">
        <f>IF(AND(A788&lt;&gt;"",A788='Firm Search'!$C$7),COUNTIF($A$5:A788,'Firm Search'!$C$7),"")</f>
        <v/>
      </c>
    </row>
    <row r="789">
      <c r="A789" s="5" t="n"/>
      <c r="B789" s="5" t="n"/>
      <c r="C789" s="52" t="n"/>
      <c r="D789" s="52" t="n"/>
      <c r="E789" s="52" t="n"/>
      <c r="F789" s="52" t="n"/>
      <c r="G789" s="52" t="n"/>
      <c r="H789" s="52" t="n"/>
      <c r="I789" s="52" t="n"/>
      <c r="J789" s="52" t="n"/>
      <c r="K789" s="54" t="n"/>
      <c r="L789" s="5" t="n"/>
      <c r="M789" s="53">
        <f>IF(A789="","",IFERROR(INDEX(Firms!$B$5:$B$1004,MATCH(A789,Firms!$A$5:$A$1004,0)),"Not on Firms tab"))</f>
        <v/>
      </c>
      <c r="N789">
        <f>IF(AND(A789&lt;&gt;"",A789='Firm Search'!$C$7),COUNTIF($A$5:A789,'Firm Search'!$C$7),"")</f>
        <v/>
      </c>
    </row>
    <row r="790">
      <c r="A790" s="5" t="n"/>
      <c r="B790" s="5" t="n"/>
      <c r="C790" s="52" t="n"/>
      <c r="D790" s="52" t="n"/>
      <c r="E790" s="52" t="n"/>
      <c r="F790" s="52" t="n"/>
      <c r="G790" s="52" t="n"/>
      <c r="H790" s="52" t="n"/>
      <c r="I790" s="52" t="n"/>
      <c r="J790" s="52" t="n"/>
      <c r="K790" s="54" t="n"/>
      <c r="L790" s="5" t="n"/>
      <c r="M790" s="53">
        <f>IF(A790="","",IFERROR(INDEX(Firms!$B$5:$B$1004,MATCH(A790,Firms!$A$5:$A$1004,0)),"Not on Firms tab"))</f>
        <v/>
      </c>
      <c r="N790">
        <f>IF(AND(A790&lt;&gt;"",A790='Firm Search'!$C$7),COUNTIF($A$5:A790,'Firm Search'!$C$7),"")</f>
        <v/>
      </c>
    </row>
    <row r="791">
      <c r="A791" s="5" t="n"/>
      <c r="B791" s="5" t="n"/>
      <c r="C791" s="52" t="n"/>
      <c r="D791" s="52" t="n"/>
      <c r="E791" s="52" t="n"/>
      <c r="F791" s="52" t="n"/>
      <c r="G791" s="52" t="n"/>
      <c r="H791" s="52" t="n"/>
      <c r="I791" s="52" t="n"/>
      <c r="J791" s="52" t="n"/>
      <c r="K791" s="54" t="n"/>
      <c r="L791" s="5" t="n"/>
      <c r="M791" s="53">
        <f>IF(A791="","",IFERROR(INDEX(Firms!$B$5:$B$1004,MATCH(A791,Firms!$A$5:$A$1004,0)),"Not on Firms tab"))</f>
        <v/>
      </c>
      <c r="N791">
        <f>IF(AND(A791&lt;&gt;"",A791='Firm Search'!$C$7),COUNTIF($A$5:A791,'Firm Search'!$C$7),"")</f>
        <v/>
      </c>
    </row>
    <row r="792">
      <c r="A792" s="5" t="n"/>
      <c r="B792" s="5" t="n"/>
      <c r="C792" s="52" t="n"/>
      <c r="D792" s="52" t="n"/>
      <c r="E792" s="52" t="n"/>
      <c r="F792" s="52" t="n"/>
      <c r="G792" s="52" t="n"/>
      <c r="H792" s="52" t="n"/>
      <c r="I792" s="52" t="n"/>
      <c r="J792" s="52" t="n"/>
      <c r="K792" s="54" t="n"/>
      <c r="L792" s="5" t="n"/>
      <c r="M792" s="53">
        <f>IF(A792="","",IFERROR(INDEX(Firms!$B$5:$B$1004,MATCH(A792,Firms!$A$5:$A$1004,0)),"Not on Firms tab"))</f>
        <v/>
      </c>
      <c r="N792">
        <f>IF(AND(A792&lt;&gt;"",A792='Firm Search'!$C$7),COUNTIF($A$5:A792,'Firm Search'!$C$7),"")</f>
        <v/>
      </c>
    </row>
    <row r="793">
      <c r="A793" s="5" t="n"/>
      <c r="B793" s="5" t="n"/>
      <c r="C793" s="52" t="n"/>
      <c r="D793" s="52" t="n"/>
      <c r="E793" s="52" t="n"/>
      <c r="F793" s="52" t="n"/>
      <c r="G793" s="52" t="n"/>
      <c r="H793" s="52" t="n"/>
      <c r="I793" s="52" t="n"/>
      <c r="J793" s="52" t="n"/>
      <c r="K793" s="54" t="n"/>
      <c r="L793" s="5" t="n"/>
      <c r="M793" s="53">
        <f>IF(A793="","",IFERROR(INDEX(Firms!$B$5:$B$1004,MATCH(A793,Firms!$A$5:$A$1004,0)),"Not on Firms tab"))</f>
        <v/>
      </c>
      <c r="N793">
        <f>IF(AND(A793&lt;&gt;"",A793='Firm Search'!$C$7),COUNTIF($A$5:A793,'Firm Search'!$C$7),"")</f>
        <v/>
      </c>
    </row>
    <row r="794">
      <c r="A794" s="5" t="n"/>
      <c r="B794" s="5" t="n"/>
      <c r="C794" s="52" t="n"/>
      <c r="D794" s="52" t="n"/>
      <c r="E794" s="52" t="n"/>
      <c r="F794" s="52" t="n"/>
      <c r="G794" s="52" t="n"/>
      <c r="H794" s="52" t="n"/>
      <c r="I794" s="52" t="n"/>
      <c r="J794" s="52" t="n"/>
      <c r="K794" s="54" t="n"/>
      <c r="L794" s="5" t="n"/>
      <c r="M794" s="53">
        <f>IF(A794="","",IFERROR(INDEX(Firms!$B$5:$B$1004,MATCH(A794,Firms!$A$5:$A$1004,0)),"Not on Firms tab"))</f>
        <v/>
      </c>
      <c r="N794">
        <f>IF(AND(A794&lt;&gt;"",A794='Firm Search'!$C$7),COUNTIF($A$5:A794,'Firm Search'!$C$7),"")</f>
        <v/>
      </c>
    </row>
    <row r="795">
      <c r="A795" s="5" t="n"/>
      <c r="B795" s="5" t="n"/>
      <c r="C795" s="52" t="n"/>
      <c r="D795" s="52" t="n"/>
      <c r="E795" s="52" t="n"/>
      <c r="F795" s="52" t="n"/>
      <c r="G795" s="52" t="n"/>
      <c r="H795" s="52" t="n"/>
      <c r="I795" s="52" t="n"/>
      <c r="J795" s="52" t="n"/>
      <c r="K795" s="54" t="n"/>
      <c r="L795" s="5" t="n"/>
      <c r="M795" s="53">
        <f>IF(A795="","",IFERROR(INDEX(Firms!$B$5:$B$1004,MATCH(A795,Firms!$A$5:$A$1004,0)),"Not on Firms tab"))</f>
        <v/>
      </c>
      <c r="N795">
        <f>IF(AND(A795&lt;&gt;"",A795='Firm Search'!$C$7),COUNTIF($A$5:A795,'Firm Search'!$C$7),"")</f>
        <v/>
      </c>
    </row>
    <row r="796">
      <c r="A796" s="5" t="n"/>
      <c r="B796" s="5" t="n"/>
      <c r="C796" s="52" t="n"/>
      <c r="D796" s="52" t="n"/>
      <c r="E796" s="52" t="n"/>
      <c r="F796" s="52" t="n"/>
      <c r="G796" s="52" t="n"/>
      <c r="H796" s="52" t="n"/>
      <c r="I796" s="52" t="n"/>
      <c r="J796" s="52" t="n"/>
      <c r="K796" s="54" t="n"/>
      <c r="L796" s="5" t="n"/>
      <c r="M796" s="53">
        <f>IF(A796="","",IFERROR(INDEX(Firms!$B$5:$B$1004,MATCH(A796,Firms!$A$5:$A$1004,0)),"Not on Firms tab"))</f>
        <v/>
      </c>
      <c r="N796">
        <f>IF(AND(A796&lt;&gt;"",A796='Firm Search'!$C$7),COUNTIF($A$5:A796,'Firm Search'!$C$7),"")</f>
        <v/>
      </c>
    </row>
    <row r="797">
      <c r="A797" s="5" t="n"/>
      <c r="B797" s="5" t="n"/>
      <c r="C797" s="52" t="n"/>
      <c r="D797" s="52" t="n"/>
      <c r="E797" s="52" t="n"/>
      <c r="F797" s="52" t="n"/>
      <c r="G797" s="52" t="n"/>
      <c r="H797" s="52" t="n"/>
      <c r="I797" s="52" t="n"/>
      <c r="J797" s="52" t="n"/>
      <c r="K797" s="54" t="n"/>
      <c r="L797" s="5" t="n"/>
      <c r="M797" s="53">
        <f>IF(A797="","",IFERROR(INDEX(Firms!$B$5:$B$1004,MATCH(A797,Firms!$A$5:$A$1004,0)),"Not on Firms tab"))</f>
        <v/>
      </c>
      <c r="N797">
        <f>IF(AND(A797&lt;&gt;"",A797='Firm Search'!$C$7),COUNTIF($A$5:A797,'Firm Search'!$C$7),"")</f>
        <v/>
      </c>
    </row>
    <row r="798">
      <c r="A798" s="5" t="n"/>
      <c r="B798" s="5" t="n"/>
      <c r="C798" s="52" t="n"/>
      <c r="D798" s="52" t="n"/>
      <c r="E798" s="52" t="n"/>
      <c r="F798" s="52" t="n"/>
      <c r="G798" s="52" t="n"/>
      <c r="H798" s="52" t="n"/>
      <c r="I798" s="52" t="n"/>
      <c r="J798" s="52" t="n"/>
      <c r="K798" s="54" t="n"/>
      <c r="L798" s="5" t="n"/>
      <c r="M798" s="53">
        <f>IF(A798="","",IFERROR(INDEX(Firms!$B$5:$B$1004,MATCH(A798,Firms!$A$5:$A$1004,0)),"Not on Firms tab"))</f>
        <v/>
      </c>
      <c r="N798">
        <f>IF(AND(A798&lt;&gt;"",A798='Firm Search'!$C$7),COUNTIF($A$5:A798,'Firm Search'!$C$7),"")</f>
        <v/>
      </c>
    </row>
    <row r="799">
      <c r="A799" s="5" t="n"/>
      <c r="B799" s="5" t="n"/>
      <c r="C799" s="52" t="n"/>
      <c r="D799" s="52" t="n"/>
      <c r="E799" s="52" t="n"/>
      <c r="F799" s="52" t="n"/>
      <c r="G799" s="52" t="n"/>
      <c r="H799" s="52" t="n"/>
      <c r="I799" s="52" t="n"/>
      <c r="J799" s="52" t="n"/>
      <c r="K799" s="54" t="n"/>
      <c r="L799" s="5" t="n"/>
      <c r="M799" s="53">
        <f>IF(A799="","",IFERROR(INDEX(Firms!$B$5:$B$1004,MATCH(A799,Firms!$A$5:$A$1004,0)),"Not on Firms tab"))</f>
        <v/>
      </c>
      <c r="N799">
        <f>IF(AND(A799&lt;&gt;"",A799='Firm Search'!$C$7),COUNTIF($A$5:A799,'Firm Search'!$C$7),"")</f>
        <v/>
      </c>
    </row>
    <row r="800">
      <c r="A800" s="5" t="n"/>
      <c r="B800" s="5" t="n"/>
      <c r="C800" s="52" t="n"/>
      <c r="D800" s="52" t="n"/>
      <c r="E800" s="52" t="n"/>
      <c r="F800" s="52" t="n"/>
      <c r="G800" s="52" t="n"/>
      <c r="H800" s="52" t="n"/>
      <c r="I800" s="52" t="n"/>
      <c r="J800" s="52" t="n"/>
      <c r="K800" s="54" t="n"/>
      <c r="L800" s="5" t="n"/>
      <c r="M800" s="53">
        <f>IF(A800="","",IFERROR(INDEX(Firms!$B$5:$B$1004,MATCH(A800,Firms!$A$5:$A$1004,0)),"Not on Firms tab"))</f>
        <v/>
      </c>
      <c r="N800">
        <f>IF(AND(A800&lt;&gt;"",A800='Firm Search'!$C$7),COUNTIF($A$5:A800,'Firm Search'!$C$7),"")</f>
        <v/>
      </c>
    </row>
    <row r="801">
      <c r="A801" s="5" t="n"/>
      <c r="B801" s="5" t="n"/>
      <c r="C801" s="52" t="n"/>
      <c r="D801" s="52" t="n"/>
      <c r="E801" s="52" t="n"/>
      <c r="F801" s="52" t="n"/>
      <c r="G801" s="52" t="n"/>
      <c r="H801" s="52" t="n"/>
      <c r="I801" s="52" t="n"/>
      <c r="J801" s="52" t="n"/>
      <c r="K801" s="54" t="n"/>
      <c r="L801" s="5" t="n"/>
      <c r="M801" s="53">
        <f>IF(A801="","",IFERROR(INDEX(Firms!$B$5:$B$1004,MATCH(A801,Firms!$A$5:$A$1004,0)),"Not on Firms tab"))</f>
        <v/>
      </c>
      <c r="N801">
        <f>IF(AND(A801&lt;&gt;"",A801='Firm Search'!$C$7),COUNTIF($A$5:A801,'Firm Search'!$C$7),"")</f>
        <v/>
      </c>
    </row>
    <row r="802">
      <c r="A802" s="5" t="n"/>
      <c r="B802" s="5" t="n"/>
      <c r="C802" s="52" t="n"/>
      <c r="D802" s="52" t="n"/>
      <c r="E802" s="52" t="n"/>
      <c r="F802" s="52" t="n"/>
      <c r="G802" s="52" t="n"/>
      <c r="H802" s="52" t="n"/>
      <c r="I802" s="52" t="n"/>
      <c r="J802" s="52" t="n"/>
      <c r="K802" s="54" t="n"/>
      <c r="L802" s="5" t="n"/>
      <c r="M802" s="53">
        <f>IF(A802="","",IFERROR(INDEX(Firms!$B$5:$B$1004,MATCH(A802,Firms!$A$5:$A$1004,0)),"Not on Firms tab"))</f>
        <v/>
      </c>
      <c r="N802">
        <f>IF(AND(A802&lt;&gt;"",A802='Firm Search'!$C$7),COUNTIF($A$5:A802,'Firm Search'!$C$7),"")</f>
        <v/>
      </c>
    </row>
    <row r="803">
      <c r="A803" s="5" t="n"/>
      <c r="B803" s="5" t="n"/>
      <c r="C803" s="52" t="n"/>
      <c r="D803" s="52" t="n"/>
      <c r="E803" s="52" t="n"/>
      <c r="F803" s="52" t="n"/>
      <c r="G803" s="52" t="n"/>
      <c r="H803" s="52" t="n"/>
      <c r="I803" s="52" t="n"/>
      <c r="J803" s="52" t="n"/>
      <c r="K803" s="54" t="n"/>
      <c r="L803" s="5" t="n"/>
      <c r="M803" s="53">
        <f>IF(A803="","",IFERROR(INDEX(Firms!$B$5:$B$1004,MATCH(A803,Firms!$A$5:$A$1004,0)),"Not on Firms tab"))</f>
        <v/>
      </c>
      <c r="N803">
        <f>IF(AND(A803&lt;&gt;"",A803='Firm Search'!$C$7),COUNTIF($A$5:A803,'Firm Search'!$C$7),"")</f>
        <v/>
      </c>
    </row>
    <row r="804">
      <c r="A804" s="5" t="n"/>
      <c r="B804" s="5" t="n"/>
      <c r="C804" s="52" t="n"/>
      <c r="D804" s="52" t="n"/>
      <c r="E804" s="52" t="n"/>
      <c r="F804" s="52" t="n"/>
      <c r="G804" s="52" t="n"/>
      <c r="H804" s="52" t="n"/>
      <c r="I804" s="52" t="n"/>
      <c r="J804" s="52" t="n"/>
      <c r="K804" s="54" t="n"/>
      <c r="L804" s="5" t="n"/>
      <c r="M804" s="53">
        <f>IF(A804="","",IFERROR(INDEX(Firms!$B$5:$B$1004,MATCH(A804,Firms!$A$5:$A$1004,0)),"Not on Firms tab"))</f>
        <v/>
      </c>
      <c r="N804">
        <f>IF(AND(A804&lt;&gt;"",A804='Firm Search'!$C$7),COUNTIF($A$5:A804,'Firm Search'!$C$7),"")</f>
        <v/>
      </c>
    </row>
    <row r="805">
      <c r="A805" s="5" t="n"/>
      <c r="B805" s="5" t="n"/>
      <c r="C805" s="52" t="n"/>
      <c r="D805" s="52" t="n"/>
      <c r="E805" s="52" t="n"/>
      <c r="F805" s="52" t="n"/>
      <c r="G805" s="52" t="n"/>
      <c r="H805" s="52" t="n"/>
      <c r="I805" s="52" t="n"/>
      <c r="J805" s="52" t="n"/>
      <c r="K805" s="54" t="n"/>
      <c r="L805" s="5" t="n"/>
      <c r="M805" s="53">
        <f>IF(A805="","",IFERROR(INDEX(Firms!$B$5:$B$1004,MATCH(A805,Firms!$A$5:$A$1004,0)),"Not on Firms tab"))</f>
        <v/>
      </c>
      <c r="N805">
        <f>IF(AND(A805&lt;&gt;"",A805='Firm Search'!$C$7),COUNTIF($A$5:A805,'Firm Search'!$C$7),"")</f>
        <v/>
      </c>
    </row>
    <row r="806">
      <c r="A806" s="5" t="n"/>
      <c r="B806" s="5" t="n"/>
      <c r="C806" s="52" t="n"/>
      <c r="D806" s="52" t="n"/>
      <c r="E806" s="52" t="n"/>
      <c r="F806" s="52" t="n"/>
      <c r="G806" s="52" t="n"/>
      <c r="H806" s="52" t="n"/>
      <c r="I806" s="52" t="n"/>
      <c r="J806" s="52" t="n"/>
      <c r="K806" s="54" t="n"/>
      <c r="L806" s="5" t="n"/>
      <c r="M806" s="53">
        <f>IF(A806="","",IFERROR(INDEX(Firms!$B$5:$B$1004,MATCH(A806,Firms!$A$5:$A$1004,0)),"Not on Firms tab"))</f>
        <v/>
      </c>
      <c r="N806">
        <f>IF(AND(A806&lt;&gt;"",A806='Firm Search'!$C$7),COUNTIF($A$5:A806,'Firm Search'!$C$7),"")</f>
        <v/>
      </c>
    </row>
    <row r="807">
      <c r="A807" s="5" t="n"/>
      <c r="B807" s="5" t="n"/>
      <c r="C807" s="52" t="n"/>
      <c r="D807" s="52" t="n"/>
      <c r="E807" s="52" t="n"/>
      <c r="F807" s="52" t="n"/>
      <c r="G807" s="52" t="n"/>
      <c r="H807" s="52" t="n"/>
      <c r="I807" s="52" t="n"/>
      <c r="J807" s="52" t="n"/>
      <c r="K807" s="54" t="n"/>
      <c r="L807" s="5" t="n"/>
      <c r="M807" s="53">
        <f>IF(A807="","",IFERROR(INDEX(Firms!$B$5:$B$1004,MATCH(A807,Firms!$A$5:$A$1004,0)),"Not on Firms tab"))</f>
        <v/>
      </c>
      <c r="N807">
        <f>IF(AND(A807&lt;&gt;"",A807='Firm Search'!$C$7),COUNTIF($A$5:A807,'Firm Search'!$C$7),"")</f>
        <v/>
      </c>
    </row>
    <row r="808">
      <c r="A808" s="5" t="n"/>
      <c r="B808" s="5" t="n"/>
      <c r="C808" s="52" t="n"/>
      <c r="D808" s="52" t="n"/>
      <c r="E808" s="52" t="n"/>
      <c r="F808" s="52" t="n"/>
      <c r="G808" s="52" t="n"/>
      <c r="H808" s="52" t="n"/>
      <c r="I808" s="52" t="n"/>
      <c r="J808" s="52" t="n"/>
      <c r="K808" s="54" t="n"/>
      <c r="L808" s="5" t="n"/>
      <c r="M808" s="53">
        <f>IF(A808="","",IFERROR(INDEX(Firms!$B$5:$B$1004,MATCH(A808,Firms!$A$5:$A$1004,0)),"Not on Firms tab"))</f>
        <v/>
      </c>
      <c r="N808">
        <f>IF(AND(A808&lt;&gt;"",A808='Firm Search'!$C$7),COUNTIF($A$5:A808,'Firm Search'!$C$7),"")</f>
        <v/>
      </c>
    </row>
    <row r="809">
      <c r="A809" s="5" t="n"/>
      <c r="B809" s="5" t="n"/>
      <c r="C809" s="52" t="n"/>
      <c r="D809" s="52" t="n"/>
      <c r="E809" s="52" t="n"/>
      <c r="F809" s="52" t="n"/>
      <c r="G809" s="52" t="n"/>
      <c r="H809" s="52" t="n"/>
      <c r="I809" s="52" t="n"/>
      <c r="J809" s="52" t="n"/>
      <c r="K809" s="54" t="n"/>
      <c r="L809" s="5" t="n"/>
      <c r="M809" s="53">
        <f>IF(A809="","",IFERROR(INDEX(Firms!$B$5:$B$1004,MATCH(A809,Firms!$A$5:$A$1004,0)),"Not on Firms tab"))</f>
        <v/>
      </c>
      <c r="N809">
        <f>IF(AND(A809&lt;&gt;"",A809='Firm Search'!$C$7),COUNTIF($A$5:A809,'Firm Search'!$C$7),"")</f>
        <v/>
      </c>
    </row>
    <row r="810">
      <c r="A810" s="5" t="n"/>
      <c r="B810" s="5" t="n"/>
      <c r="C810" s="52" t="n"/>
      <c r="D810" s="52" t="n"/>
      <c r="E810" s="52" t="n"/>
      <c r="F810" s="52" t="n"/>
      <c r="G810" s="52" t="n"/>
      <c r="H810" s="52" t="n"/>
      <c r="I810" s="52" t="n"/>
      <c r="J810" s="52" t="n"/>
      <c r="K810" s="54" t="n"/>
      <c r="L810" s="5" t="n"/>
      <c r="M810" s="53">
        <f>IF(A810="","",IFERROR(INDEX(Firms!$B$5:$B$1004,MATCH(A810,Firms!$A$5:$A$1004,0)),"Not on Firms tab"))</f>
        <v/>
      </c>
      <c r="N810">
        <f>IF(AND(A810&lt;&gt;"",A810='Firm Search'!$C$7),COUNTIF($A$5:A810,'Firm Search'!$C$7),"")</f>
        <v/>
      </c>
    </row>
    <row r="811">
      <c r="A811" s="5" t="n"/>
      <c r="B811" s="5" t="n"/>
      <c r="C811" s="52" t="n"/>
      <c r="D811" s="52" t="n"/>
      <c r="E811" s="52" t="n"/>
      <c r="F811" s="52" t="n"/>
      <c r="G811" s="52" t="n"/>
      <c r="H811" s="52" t="n"/>
      <c r="I811" s="52" t="n"/>
      <c r="J811" s="52" t="n"/>
      <c r="K811" s="54" t="n"/>
      <c r="L811" s="5" t="n"/>
      <c r="M811" s="53">
        <f>IF(A811="","",IFERROR(INDEX(Firms!$B$5:$B$1004,MATCH(A811,Firms!$A$5:$A$1004,0)),"Not on Firms tab"))</f>
        <v/>
      </c>
      <c r="N811">
        <f>IF(AND(A811&lt;&gt;"",A811='Firm Search'!$C$7),COUNTIF($A$5:A811,'Firm Search'!$C$7),"")</f>
        <v/>
      </c>
    </row>
    <row r="812">
      <c r="A812" s="5" t="n"/>
      <c r="B812" s="5" t="n"/>
      <c r="C812" s="52" t="n"/>
      <c r="D812" s="52" t="n"/>
      <c r="E812" s="52" t="n"/>
      <c r="F812" s="52" t="n"/>
      <c r="G812" s="52" t="n"/>
      <c r="H812" s="52" t="n"/>
      <c r="I812" s="52" t="n"/>
      <c r="J812" s="52" t="n"/>
      <c r="K812" s="54" t="n"/>
      <c r="L812" s="5" t="n"/>
      <c r="M812" s="53">
        <f>IF(A812="","",IFERROR(INDEX(Firms!$B$5:$B$1004,MATCH(A812,Firms!$A$5:$A$1004,0)),"Not on Firms tab"))</f>
        <v/>
      </c>
      <c r="N812">
        <f>IF(AND(A812&lt;&gt;"",A812='Firm Search'!$C$7),COUNTIF($A$5:A812,'Firm Search'!$C$7),"")</f>
        <v/>
      </c>
    </row>
    <row r="813">
      <c r="A813" s="5" t="n"/>
      <c r="B813" s="5" t="n"/>
      <c r="C813" s="52" t="n"/>
      <c r="D813" s="52" t="n"/>
      <c r="E813" s="52" t="n"/>
      <c r="F813" s="52" t="n"/>
      <c r="G813" s="52" t="n"/>
      <c r="H813" s="52" t="n"/>
      <c r="I813" s="52" t="n"/>
      <c r="J813" s="52" t="n"/>
      <c r="K813" s="54" t="n"/>
      <c r="L813" s="5" t="n"/>
      <c r="M813" s="53">
        <f>IF(A813="","",IFERROR(INDEX(Firms!$B$5:$B$1004,MATCH(A813,Firms!$A$5:$A$1004,0)),"Not on Firms tab"))</f>
        <v/>
      </c>
      <c r="N813">
        <f>IF(AND(A813&lt;&gt;"",A813='Firm Search'!$C$7),COUNTIF($A$5:A813,'Firm Search'!$C$7),"")</f>
        <v/>
      </c>
    </row>
    <row r="814">
      <c r="A814" s="5" t="n"/>
      <c r="B814" s="5" t="n"/>
      <c r="C814" s="52" t="n"/>
      <c r="D814" s="52" t="n"/>
      <c r="E814" s="52" t="n"/>
      <c r="F814" s="52" t="n"/>
      <c r="G814" s="52" t="n"/>
      <c r="H814" s="52" t="n"/>
      <c r="I814" s="52" t="n"/>
      <c r="J814" s="52" t="n"/>
      <c r="K814" s="54" t="n"/>
      <c r="L814" s="5" t="n"/>
      <c r="M814" s="53">
        <f>IF(A814="","",IFERROR(INDEX(Firms!$B$5:$B$1004,MATCH(A814,Firms!$A$5:$A$1004,0)),"Not on Firms tab"))</f>
        <v/>
      </c>
      <c r="N814">
        <f>IF(AND(A814&lt;&gt;"",A814='Firm Search'!$C$7),COUNTIF($A$5:A814,'Firm Search'!$C$7),"")</f>
        <v/>
      </c>
    </row>
    <row r="815">
      <c r="A815" s="5" t="n"/>
      <c r="B815" s="5" t="n"/>
      <c r="C815" s="52" t="n"/>
      <c r="D815" s="52" t="n"/>
      <c r="E815" s="52" t="n"/>
      <c r="F815" s="52" t="n"/>
      <c r="G815" s="52" t="n"/>
      <c r="H815" s="52" t="n"/>
      <c r="I815" s="52" t="n"/>
      <c r="J815" s="52" t="n"/>
      <c r="K815" s="54" t="n"/>
      <c r="L815" s="5" t="n"/>
      <c r="M815" s="53">
        <f>IF(A815="","",IFERROR(INDEX(Firms!$B$5:$B$1004,MATCH(A815,Firms!$A$5:$A$1004,0)),"Not on Firms tab"))</f>
        <v/>
      </c>
      <c r="N815">
        <f>IF(AND(A815&lt;&gt;"",A815='Firm Search'!$C$7),COUNTIF($A$5:A815,'Firm Search'!$C$7),"")</f>
        <v/>
      </c>
    </row>
    <row r="816">
      <c r="A816" s="5" t="n"/>
      <c r="B816" s="5" t="n"/>
      <c r="C816" s="52" t="n"/>
      <c r="D816" s="52" t="n"/>
      <c r="E816" s="52" t="n"/>
      <c r="F816" s="52" t="n"/>
      <c r="G816" s="52" t="n"/>
      <c r="H816" s="52" t="n"/>
      <c r="I816" s="52" t="n"/>
      <c r="J816" s="52" t="n"/>
      <c r="K816" s="54" t="n"/>
      <c r="L816" s="5" t="n"/>
      <c r="M816" s="53">
        <f>IF(A816="","",IFERROR(INDEX(Firms!$B$5:$B$1004,MATCH(A816,Firms!$A$5:$A$1004,0)),"Not on Firms tab"))</f>
        <v/>
      </c>
      <c r="N816">
        <f>IF(AND(A816&lt;&gt;"",A816='Firm Search'!$C$7),COUNTIF($A$5:A816,'Firm Search'!$C$7),"")</f>
        <v/>
      </c>
    </row>
    <row r="817">
      <c r="A817" s="5" t="n"/>
      <c r="B817" s="5" t="n"/>
      <c r="C817" s="52" t="n"/>
      <c r="D817" s="52" t="n"/>
      <c r="E817" s="52" t="n"/>
      <c r="F817" s="52" t="n"/>
      <c r="G817" s="52" t="n"/>
      <c r="H817" s="52" t="n"/>
      <c r="I817" s="52" t="n"/>
      <c r="J817" s="52" t="n"/>
      <c r="K817" s="54" t="n"/>
      <c r="L817" s="5" t="n"/>
      <c r="M817" s="53">
        <f>IF(A817="","",IFERROR(INDEX(Firms!$B$5:$B$1004,MATCH(A817,Firms!$A$5:$A$1004,0)),"Not on Firms tab"))</f>
        <v/>
      </c>
      <c r="N817">
        <f>IF(AND(A817&lt;&gt;"",A817='Firm Search'!$C$7),COUNTIF($A$5:A817,'Firm Search'!$C$7),"")</f>
        <v/>
      </c>
    </row>
    <row r="818">
      <c r="A818" s="5" t="n"/>
      <c r="B818" s="5" t="n"/>
      <c r="C818" s="52" t="n"/>
      <c r="D818" s="52" t="n"/>
      <c r="E818" s="52" t="n"/>
      <c r="F818" s="52" t="n"/>
      <c r="G818" s="52" t="n"/>
      <c r="H818" s="52" t="n"/>
      <c r="I818" s="52" t="n"/>
      <c r="J818" s="52" t="n"/>
      <c r="K818" s="54" t="n"/>
      <c r="L818" s="5" t="n"/>
      <c r="M818" s="53">
        <f>IF(A818="","",IFERROR(INDEX(Firms!$B$5:$B$1004,MATCH(A818,Firms!$A$5:$A$1004,0)),"Not on Firms tab"))</f>
        <v/>
      </c>
      <c r="N818">
        <f>IF(AND(A818&lt;&gt;"",A818='Firm Search'!$C$7),COUNTIF($A$5:A818,'Firm Search'!$C$7),"")</f>
        <v/>
      </c>
    </row>
    <row r="819">
      <c r="A819" s="5" t="n"/>
      <c r="B819" s="5" t="n"/>
      <c r="C819" s="52" t="n"/>
      <c r="D819" s="52" t="n"/>
      <c r="E819" s="52" t="n"/>
      <c r="F819" s="52" t="n"/>
      <c r="G819" s="52" t="n"/>
      <c r="H819" s="52" t="n"/>
      <c r="I819" s="52" t="n"/>
      <c r="J819" s="52" t="n"/>
      <c r="K819" s="54" t="n"/>
      <c r="L819" s="5" t="n"/>
      <c r="M819" s="53">
        <f>IF(A819="","",IFERROR(INDEX(Firms!$B$5:$B$1004,MATCH(A819,Firms!$A$5:$A$1004,0)),"Not on Firms tab"))</f>
        <v/>
      </c>
      <c r="N819">
        <f>IF(AND(A819&lt;&gt;"",A819='Firm Search'!$C$7),COUNTIF($A$5:A819,'Firm Search'!$C$7),"")</f>
        <v/>
      </c>
    </row>
    <row r="820">
      <c r="A820" s="5" t="n"/>
      <c r="B820" s="5" t="n"/>
      <c r="C820" s="52" t="n"/>
      <c r="D820" s="52" t="n"/>
      <c r="E820" s="52" t="n"/>
      <c r="F820" s="52" t="n"/>
      <c r="G820" s="52" t="n"/>
      <c r="H820" s="52" t="n"/>
      <c r="I820" s="52" t="n"/>
      <c r="J820" s="52" t="n"/>
      <c r="K820" s="54" t="n"/>
      <c r="L820" s="5" t="n"/>
      <c r="M820" s="53">
        <f>IF(A820="","",IFERROR(INDEX(Firms!$B$5:$B$1004,MATCH(A820,Firms!$A$5:$A$1004,0)),"Not on Firms tab"))</f>
        <v/>
      </c>
      <c r="N820">
        <f>IF(AND(A820&lt;&gt;"",A820='Firm Search'!$C$7),COUNTIF($A$5:A820,'Firm Search'!$C$7),"")</f>
        <v/>
      </c>
    </row>
    <row r="821">
      <c r="A821" s="5" t="n"/>
      <c r="B821" s="5" t="n"/>
      <c r="C821" s="52" t="n"/>
      <c r="D821" s="52" t="n"/>
      <c r="E821" s="52" t="n"/>
      <c r="F821" s="52" t="n"/>
      <c r="G821" s="52" t="n"/>
      <c r="H821" s="52" t="n"/>
      <c r="I821" s="52" t="n"/>
      <c r="J821" s="52" t="n"/>
      <c r="K821" s="54" t="n"/>
      <c r="L821" s="5" t="n"/>
      <c r="M821" s="53">
        <f>IF(A821="","",IFERROR(INDEX(Firms!$B$5:$B$1004,MATCH(A821,Firms!$A$5:$A$1004,0)),"Not on Firms tab"))</f>
        <v/>
      </c>
      <c r="N821">
        <f>IF(AND(A821&lt;&gt;"",A821='Firm Search'!$C$7),COUNTIF($A$5:A821,'Firm Search'!$C$7),"")</f>
        <v/>
      </c>
    </row>
    <row r="822">
      <c r="A822" s="5" t="n"/>
      <c r="B822" s="5" t="n"/>
      <c r="C822" s="52" t="n"/>
      <c r="D822" s="52" t="n"/>
      <c r="E822" s="52" t="n"/>
      <c r="F822" s="52" t="n"/>
      <c r="G822" s="52" t="n"/>
      <c r="H822" s="52" t="n"/>
      <c r="I822" s="52" t="n"/>
      <c r="J822" s="52" t="n"/>
      <c r="K822" s="54" t="n"/>
      <c r="L822" s="5" t="n"/>
      <c r="M822" s="53">
        <f>IF(A822="","",IFERROR(INDEX(Firms!$B$5:$B$1004,MATCH(A822,Firms!$A$5:$A$1004,0)),"Not on Firms tab"))</f>
        <v/>
      </c>
      <c r="N822">
        <f>IF(AND(A822&lt;&gt;"",A822='Firm Search'!$C$7),COUNTIF($A$5:A822,'Firm Search'!$C$7),"")</f>
        <v/>
      </c>
    </row>
    <row r="823">
      <c r="A823" s="5" t="n"/>
      <c r="B823" s="5" t="n"/>
      <c r="C823" s="52" t="n"/>
      <c r="D823" s="52" t="n"/>
      <c r="E823" s="52" t="n"/>
      <c r="F823" s="52" t="n"/>
      <c r="G823" s="52" t="n"/>
      <c r="H823" s="52" t="n"/>
      <c r="I823" s="52" t="n"/>
      <c r="J823" s="52" t="n"/>
      <c r="K823" s="54" t="n"/>
      <c r="L823" s="5" t="n"/>
      <c r="M823" s="53">
        <f>IF(A823="","",IFERROR(INDEX(Firms!$B$5:$B$1004,MATCH(A823,Firms!$A$5:$A$1004,0)),"Not on Firms tab"))</f>
        <v/>
      </c>
      <c r="N823">
        <f>IF(AND(A823&lt;&gt;"",A823='Firm Search'!$C$7),COUNTIF($A$5:A823,'Firm Search'!$C$7),"")</f>
        <v/>
      </c>
    </row>
    <row r="824">
      <c r="A824" s="5" t="n"/>
      <c r="B824" s="5" t="n"/>
      <c r="C824" s="52" t="n"/>
      <c r="D824" s="52" t="n"/>
      <c r="E824" s="52" t="n"/>
      <c r="F824" s="52" t="n"/>
      <c r="G824" s="52" t="n"/>
      <c r="H824" s="52" t="n"/>
      <c r="I824" s="52" t="n"/>
      <c r="J824" s="52" t="n"/>
      <c r="K824" s="54" t="n"/>
      <c r="L824" s="5" t="n"/>
      <c r="M824" s="53">
        <f>IF(A824="","",IFERROR(INDEX(Firms!$B$5:$B$1004,MATCH(A824,Firms!$A$5:$A$1004,0)),"Not on Firms tab"))</f>
        <v/>
      </c>
      <c r="N824">
        <f>IF(AND(A824&lt;&gt;"",A824='Firm Search'!$C$7),COUNTIF($A$5:A824,'Firm Search'!$C$7),"")</f>
        <v/>
      </c>
    </row>
    <row r="825">
      <c r="A825" s="5" t="n"/>
      <c r="B825" s="5" t="n"/>
      <c r="C825" s="52" t="n"/>
      <c r="D825" s="52" t="n"/>
      <c r="E825" s="52" t="n"/>
      <c r="F825" s="52" t="n"/>
      <c r="G825" s="52" t="n"/>
      <c r="H825" s="52" t="n"/>
      <c r="I825" s="52" t="n"/>
      <c r="J825" s="52" t="n"/>
      <c r="K825" s="54" t="n"/>
      <c r="L825" s="5" t="n"/>
      <c r="M825" s="53">
        <f>IF(A825="","",IFERROR(INDEX(Firms!$B$5:$B$1004,MATCH(A825,Firms!$A$5:$A$1004,0)),"Not on Firms tab"))</f>
        <v/>
      </c>
      <c r="N825">
        <f>IF(AND(A825&lt;&gt;"",A825='Firm Search'!$C$7),COUNTIF($A$5:A825,'Firm Search'!$C$7),"")</f>
        <v/>
      </c>
    </row>
    <row r="826">
      <c r="A826" s="5" t="n"/>
      <c r="B826" s="5" t="n"/>
      <c r="C826" s="52" t="n"/>
      <c r="D826" s="52" t="n"/>
      <c r="E826" s="52" t="n"/>
      <c r="F826" s="52" t="n"/>
      <c r="G826" s="52" t="n"/>
      <c r="H826" s="52" t="n"/>
      <c r="I826" s="52" t="n"/>
      <c r="J826" s="52" t="n"/>
      <c r="K826" s="54" t="n"/>
      <c r="L826" s="5" t="n"/>
      <c r="M826" s="53">
        <f>IF(A826="","",IFERROR(INDEX(Firms!$B$5:$B$1004,MATCH(A826,Firms!$A$5:$A$1004,0)),"Not on Firms tab"))</f>
        <v/>
      </c>
      <c r="N826">
        <f>IF(AND(A826&lt;&gt;"",A826='Firm Search'!$C$7),COUNTIF($A$5:A826,'Firm Search'!$C$7),"")</f>
        <v/>
      </c>
    </row>
    <row r="827">
      <c r="A827" s="5" t="n"/>
      <c r="B827" s="5" t="n"/>
      <c r="C827" s="52" t="n"/>
      <c r="D827" s="52" t="n"/>
      <c r="E827" s="52" t="n"/>
      <c r="F827" s="52" t="n"/>
      <c r="G827" s="52" t="n"/>
      <c r="H827" s="52" t="n"/>
      <c r="I827" s="52" t="n"/>
      <c r="J827" s="52" t="n"/>
      <c r="K827" s="54" t="n"/>
      <c r="L827" s="5" t="n"/>
      <c r="M827" s="53">
        <f>IF(A827="","",IFERROR(INDEX(Firms!$B$5:$B$1004,MATCH(A827,Firms!$A$5:$A$1004,0)),"Not on Firms tab"))</f>
        <v/>
      </c>
      <c r="N827">
        <f>IF(AND(A827&lt;&gt;"",A827='Firm Search'!$C$7),COUNTIF($A$5:A827,'Firm Search'!$C$7),"")</f>
        <v/>
      </c>
    </row>
    <row r="828">
      <c r="A828" s="5" t="n"/>
      <c r="B828" s="5" t="n"/>
      <c r="C828" s="52" t="n"/>
      <c r="D828" s="52" t="n"/>
      <c r="E828" s="52" t="n"/>
      <c r="F828" s="52" t="n"/>
      <c r="G828" s="52" t="n"/>
      <c r="H828" s="52" t="n"/>
      <c r="I828" s="52" t="n"/>
      <c r="J828" s="52" t="n"/>
      <c r="K828" s="54" t="n"/>
      <c r="L828" s="5" t="n"/>
      <c r="M828" s="53">
        <f>IF(A828="","",IFERROR(INDEX(Firms!$B$5:$B$1004,MATCH(A828,Firms!$A$5:$A$1004,0)),"Not on Firms tab"))</f>
        <v/>
      </c>
      <c r="N828">
        <f>IF(AND(A828&lt;&gt;"",A828='Firm Search'!$C$7),COUNTIF($A$5:A828,'Firm Search'!$C$7),"")</f>
        <v/>
      </c>
    </row>
    <row r="829">
      <c r="A829" s="5" t="n"/>
      <c r="B829" s="5" t="n"/>
      <c r="C829" s="52" t="n"/>
      <c r="D829" s="52" t="n"/>
      <c r="E829" s="52" t="n"/>
      <c r="F829" s="52" t="n"/>
      <c r="G829" s="52" t="n"/>
      <c r="H829" s="52" t="n"/>
      <c r="I829" s="52" t="n"/>
      <c r="J829" s="52" t="n"/>
      <c r="K829" s="54" t="n"/>
      <c r="L829" s="5" t="n"/>
      <c r="M829" s="53">
        <f>IF(A829="","",IFERROR(INDEX(Firms!$B$5:$B$1004,MATCH(A829,Firms!$A$5:$A$1004,0)),"Not on Firms tab"))</f>
        <v/>
      </c>
      <c r="N829">
        <f>IF(AND(A829&lt;&gt;"",A829='Firm Search'!$C$7),COUNTIF($A$5:A829,'Firm Search'!$C$7),"")</f>
        <v/>
      </c>
    </row>
    <row r="830">
      <c r="A830" s="5" t="n"/>
      <c r="B830" s="5" t="n"/>
      <c r="C830" s="52" t="n"/>
      <c r="D830" s="52" t="n"/>
      <c r="E830" s="52" t="n"/>
      <c r="F830" s="52" t="n"/>
      <c r="G830" s="52" t="n"/>
      <c r="H830" s="52" t="n"/>
      <c r="I830" s="52" t="n"/>
      <c r="J830" s="52" t="n"/>
      <c r="K830" s="54" t="n"/>
      <c r="L830" s="5" t="n"/>
      <c r="M830" s="53">
        <f>IF(A830="","",IFERROR(INDEX(Firms!$B$5:$B$1004,MATCH(A830,Firms!$A$5:$A$1004,0)),"Not on Firms tab"))</f>
        <v/>
      </c>
      <c r="N830">
        <f>IF(AND(A830&lt;&gt;"",A830='Firm Search'!$C$7),COUNTIF($A$5:A830,'Firm Search'!$C$7),"")</f>
        <v/>
      </c>
    </row>
    <row r="831">
      <c r="A831" s="5" t="n"/>
      <c r="B831" s="5" t="n"/>
      <c r="C831" s="52" t="n"/>
      <c r="D831" s="52" t="n"/>
      <c r="E831" s="52" t="n"/>
      <c r="F831" s="52" t="n"/>
      <c r="G831" s="52" t="n"/>
      <c r="H831" s="52" t="n"/>
      <c r="I831" s="52" t="n"/>
      <c r="J831" s="52" t="n"/>
      <c r="K831" s="54" t="n"/>
      <c r="L831" s="5" t="n"/>
      <c r="M831" s="53">
        <f>IF(A831="","",IFERROR(INDEX(Firms!$B$5:$B$1004,MATCH(A831,Firms!$A$5:$A$1004,0)),"Not on Firms tab"))</f>
        <v/>
      </c>
      <c r="N831">
        <f>IF(AND(A831&lt;&gt;"",A831='Firm Search'!$C$7),COUNTIF($A$5:A831,'Firm Search'!$C$7),"")</f>
        <v/>
      </c>
    </row>
    <row r="832">
      <c r="A832" s="5" t="n"/>
      <c r="B832" s="5" t="n"/>
      <c r="C832" s="52" t="n"/>
      <c r="D832" s="52" t="n"/>
      <c r="E832" s="52" t="n"/>
      <c r="F832" s="52" t="n"/>
      <c r="G832" s="52" t="n"/>
      <c r="H832" s="52" t="n"/>
      <c r="I832" s="52" t="n"/>
      <c r="J832" s="52" t="n"/>
      <c r="K832" s="54" t="n"/>
      <c r="L832" s="5" t="n"/>
      <c r="M832" s="53">
        <f>IF(A832="","",IFERROR(INDEX(Firms!$B$5:$B$1004,MATCH(A832,Firms!$A$5:$A$1004,0)),"Not on Firms tab"))</f>
        <v/>
      </c>
      <c r="N832">
        <f>IF(AND(A832&lt;&gt;"",A832='Firm Search'!$C$7),COUNTIF($A$5:A832,'Firm Search'!$C$7),"")</f>
        <v/>
      </c>
    </row>
    <row r="833">
      <c r="A833" s="5" t="n"/>
      <c r="B833" s="5" t="n"/>
      <c r="C833" s="52" t="n"/>
      <c r="D833" s="52" t="n"/>
      <c r="E833" s="52" t="n"/>
      <c r="F833" s="52" t="n"/>
      <c r="G833" s="52" t="n"/>
      <c r="H833" s="52" t="n"/>
      <c r="I833" s="52" t="n"/>
      <c r="J833" s="52" t="n"/>
      <c r="K833" s="54" t="n"/>
      <c r="L833" s="5" t="n"/>
      <c r="M833" s="53">
        <f>IF(A833="","",IFERROR(INDEX(Firms!$B$5:$B$1004,MATCH(A833,Firms!$A$5:$A$1004,0)),"Not on Firms tab"))</f>
        <v/>
      </c>
      <c r="N833">
        <f>IF(AND(A833&lt;&gt;"",A833='Firm Search'!$C$7),COUNTIF($A$5:A833,'Firm Search'!$C$7),"")</f>
        <v/>
      </c>
    </row>
    <row r="834">
      <c r="A834" s="5" t="n"/>
      <c r="B834" s="5" t="n"/>
      <c r="C834" s="52" t="n"/>
      <c r="D834" s="52" t="n"/>
      <c r="E834" s="52" t="n"/>
      <c r="F834" s="52" t="n"/>
      <c r="G834" s="52" t="n"/>
      <c r="H834" s="52" t="n"/>
      <c r="I834" s="52" t="n"/>
      <c r="J834" s="52" t="n"/>
      <c r="K834" s="54" t="n"/>
      <c r="L834" s="5" t="n"/>
      <c r="M834" s="53">
        <f>IF(A834="","",IFERROR(INDEX(Firms!$B$5:$B$1004,MATCH(A834,Firms!$A$5:$A$1004,0)),"Not on Firms tab"))</f>
        <v/>
      </c>
      <c r="N834">
        <f>IF(AND(A834&lt;&gt;"",A834='Firm Search'!$C$7),COUNTIF($A$5:A834,'Firm Search'!$C$7),"")</f>
        <v/>
      </c>
    </row>
    <row r="835">
      <c r="A835" s="5" t="n"/>
      <c r="B835" s="5" t="n"/>
      <c r="C835" s="52" t="n"/>
      <c r="D835" s="52" t="n"/>
      <c r="E835" s="52" t="n"/>
      <c r="F835" s="52" t="n"/>
      <c r="G835" s="52" t="n"/>
      <c r="H835" s="52" t="n"/>
      <c r="I835" s="52" t="n"/>
      <c r="J835" s="52" t="n"/>
      <c r="K835" s="54" t="n"/>
      <c r="L835" s="5" t="n"/>
      <c r="M835" s="53">
        <f>IF(A835="","",IFERROR(INDEX(Firms!$B$5:$B$1004,MATCH(A835,Firms!$A$5:$A$1004,0)),"Not on Firms tab"))</f>
        <v/>
      </c>
      <c r="N835">
        <f>IF(AND(A835&lt;&gt;"",A835='Firm Search'!$C$7),COUNTIF($A$5:A835,'Firm Search'!$C$7),"")</f>
        <v/>
      </c>
    </row>
    <row r="836">
      <c r="A836" s="5" t="n"/>
      <c r="B836" s="5" t="n"/>
      <c r="C836" s="52" t="n"/>
      <c r="D836" s="52" t="n"/>
      <c r="E836" s="52" t="n"/>
      <c r="F836" s="52" t="n"/>
      <c r="G836" s="52" t="n"/>
      <c r="H836" s="52" t="n"/>
      <c r="I836" s="52" t="n"/>
      <c r="J836" s="52" t="n"/>
      <c r="K836" s="54" t="n"/>
      <c r="L836" s="5" t="n"/>
      <c r="M836" s="53">
        <f>IF(A836="","",IFERROR(INDEX(Firms!$B$5:$B$1004,MATCH(A836,Firms!$A$5:$A$1004,0)),"Not on Firms tab"))</f>
        <v/>
      </c>
      <c r="N836">
        <f>IF(AND(A836&lt;&gt;"",A836='Firm Search'!$C$7),COUNTIF($A$5:A836,'Firm Search'!$C$7),"")</f>
        <v/>
      </c>
    </row>
    <row r="837">
      <c r="A837" s="5" t="n"/>
      <c r="B837" s="5" t="n"/>
      <c r="C837" s="52" t="n"/>
      <c r="D837" s="52" t="n"/>
      <c r="E837" s="52" t="n"/>
      <c r="F837" s="52" t="n"/>
      <c r="G837" s="52" t="n"/>
      <c r="H837" s="52" t="n"/>
      <c r="I837" s="52" t="n"/>
      <c r="J837" s="52" t="n"/>
      <c r="K837" s="54" t="n"/>
      <c r="L837" s="5" t="n"/>
      <c r="M837" s="53">
        <f>IF(A837="","",IFERROR(INDEX(Firms!$B$5:$B$1004,MATCH(A837,Firms!$A$5:$A$1004,0)),"Not on Firms tab"))</f>
        <v/>
      </c>
      <c r="N837">
        <f>IF(AND(A837&lt;&gt;"",A837='Firm Search'!$C$7),COUNTIF($A$5:A837,'Firm Search'!$C$7),"")</f>
        <v/>
      </c>
    </row>
    <row r="838">
      <c r="A838" s="5" t="n"/>
      <c r="B838" s="5" t="n"/>
      <c r="C838" s="52" t="n"/>
      <c r="D838" s="52" t="n"/>
      <c r="E838" s="52" t="n"/>
      <c r="F838" s="52" t="n"/>
      <c r="G838" s="52" t="n"/>
      <c r="H838" s="52" t="n"/>
      <c r="I838" s="52" t="n"/>
      <c r="J838" s="52" t="n"/>
      <c r="K838" s="54" t="n"/>
      <c r="L838" s="5" t="n"/>
      <c r="M838" s="53">
        <f>IF(A838="","",IFERROR(INDEX(Firms!$B$5:$B$1004,MATCH(A838,Firms!$A$5:$A$1004,0)),"Not on Firms tab"))</f>
        <v/>
      </c>
      <c r="N838">
        <f>IF(AND(A838&lt;&gt;"",A838='Firm Search'!$C$7),COUNTIF($A$5:A838,'Firm Search'!$C$7),"")</f>
        <v/>
      </c>
    </row>
    <row r="839">
      <c r="A839" s="5" t="n"/>
      <c r="B839" s="5" t="n"/>
      <c r="C839" s="52" t="n"/>
      <c r="D839" s="52" t="n"/>
      <c r="E839" s="52" t="n"/>
      <c r="F839" s="52" t="n"/>
      <c r="G839" s="52" t="n"/>
      <c r="H839" s="52" t="n"/>
      <c r="I839" s="52" t="n"/>
      <c r="J839" s="52" t="n"/>
      <c r="K839" s="54" t="n"/>
      <c r="L839" s="5" t="n"/>
      <c r="M839" s="53">
        <f>IF(A839="","",IFERROR(INDEX(Firms!$B$5:$B$1004,MATCH(A839,Firms!$A$5:$A$1004,0)),"Not on Firms tab"))</f>
        <v/>
      </c>
      <c r="N839">
        <f>IF(AND(A839&lt;&gt;"",A839='Firm Search'!$C$7),COUNTIF($A$5:A839,'Firm Search'!$C$7),"")</f>
        <v/>
      </c>
    </row>
    <row r="840">
      <c r="A840" s="5" t="n"/>
      <c r="B840" s="5" t="n"/>
      <c r="C840" s="52" t="n"/>
      <c r="D840" s="52" t="n"/>
      <c r="E840" s="52" t="n"/>
      <c r="F840" s="52" t="n"/>
      <c r="G840" s="52" t="n"/>
      <c r="H840" s="52" t="n"/>
      <c r="I840" s="52" t="n"/>
      <c r="J840" s="52" t="n"/>
      <c r="K840" s="54" t="n"/>
      <c r="L840" s="5" t="n"/>
      <c r="M840" s="53">
        <f>IF(A840="","",IFERROR(INDEX(Firms!$B$5:$B$1004,MATCH(A840,Firms!$A$5:$A$1004,0)),"Not on Firms tab"))</f>
        <v/>
      </c>
      <c r="N840">
        <f>IF(AND(A840&lt;&gt;"",A840='Firm Search'!$C$7),COUNTIF($A$5:A840,'Firm Search'!$C$7),"")</f>
        <v/>
      </c>
    </row>
    <row r="841">
      <c r="A841" s="5" t="n"/>
      <c r="B841" s="5" t="n"/>
      <c r="C841" s="52" t="n"/>
      <c r="D841" s="52" t="n"/>
      <c r="E841" s="52" t="n"/>
      <c r="F841" s="52" t="n"/>
      <c r="G841" s="52" t="n"/>
      <c r="H841" s="52" t="n"/>
      <c r="I841" s="52" t="n"/>
      <c r="J841" s="52" t="n"/>
      <c r="K841" s="54" t="n"/>
      <c r="L841" s="5" t="n"/>
      <c r="M841" s="53">
        <f>IF(A841="","",IFERROR(INDEX(Firms!$B$5:$B$1004,MATCH(A841,Firms!$A$5:$A$1004,0)),"Not on Firms tab"))</f>
        <v/>
      </c>
      <c r="N841">
        <f>IF(AND(A841&lt;&gt;"",A841='Firm Search'!$C$7),COUNTIF($A$5:A841,'Firm Search'!$C$7),"")</f>
        <v/>
      </c>
    </row>
    <row r="842">
      <c r="A842" s="5" t="n"/>
      <c r="B842" s="5" t="n"/>
      <c r="C842" s="52" t="n"/>
      <c r="D842" s="52" t="n"/>
      <c r="E842" s="52" t="n"/>
      <c r="F842" s="52" t="n"/>
      <c r="G842" s="52" t="n"/>
      <c r="H842" s="52" t="n"/>
      <c r="I842" s="52" t="n"/>
      <c r="J842" s="52" t="n"/>
      <c r="K842" s="54" t="n"/>
      <c r="L842" s="5" t="n"/>
      <c r="M842" s="53">
        <f>IF(A842="","",IFERROR(INDEX(Firms!$B$5:$B$1004,MATCH(A842,Firms!$A$5:$A$1004,0)),"Not on Firms tab"))</f>
        <v/>
      </c>
      <c r="N842">
        <f>IF(AND(A842&lt;&gt;"",A842='Firm Search'!$C$7),COUNTIF($A$5:A842,'Firm Search'!$C$7),"")</f>
        <v/>
      </c>
    </row>
    <row r="843">
      <c r="A843" s="5" t="n"/>
      <c r="B843" s="5" t="n"/>
      <c r="C843" s="52" t="n"/>
      <c r="D843" s="52" t="n"/>
      <c r="E843" s="52" t="n"/>
      <c r="F843" s="52" t="n"/>
      <c r="G843" s="52" t="n"/>
      <c r="H843" s="52" t="n"/>
      <c r="I843" s="52" t="n"/>
      <c r="J843" s="52" t="n"/>
      <c r="K843" s="54" t="n"/>
      <c r="L843" s="5" t="n"/>
      <c r="M843" s="53">
        <f>IF(A843="","",IFERROR(INDEX(Firms!$B$5:$B$1004,MATCH(A843,Firms!$A$5:$A$1004,0)),"Not on Firms tab"))</f>
        <v/>
      </c>
      <c r="N843">
        <f>IF(AND(A843&lt;&gt;"",A843='Firm Search'!$C$7),COUNTIF($A$5:A843,'Firm Search'!$C$7),"")</f>
        <v/>
      </c>
    </row>
    <row r="844">
      <c r="A844" s="5" t="n"/>
      <c r="B844" s="5" t="n"/>
      <c r="C844" s="52" t="n"/>
      <c r="D844" s="52" t="n"/>
      <c r="E844" s="52" t="n"/>
      <c r="F844" s="52" t="n"/>
      <c r="G844" s="52" t="n"/>
      <c r="H844" s="52" t="n"/>
      <c r="I844" s="52" t="n"/>
      <c r="J844" s="52" t="n"/>
      <c r="K844" s="54" t="n"/>
      <c r="L844" s="5" t="n"/>
      <c r="M844" s="53">
        <f>IF(A844="","",IFERROR(INDEX(Firms!$B$5:$B$1004,MATCH(A844,Firms!$A$5:$A$1004,0)),"Not on Firms tab"))</f>
        <v/>
      </c>
      <c r="N844">
        <f>IF(AND(A844&lt;&gt;"",A844='Firm Search'!$C$7),COUNTIF($A$5:A844,'Firm Search'!$C$7),"")</f>
        <v/>
      </c>
    </row>
    <row r="845">
      <c r="A845" s="5" t="n"/>
      <c r="B845" s="5" t="n"/>
      <c r="C845" s="52" t="n"/>
      <c r="D845" s="52" t="n"/>
      <c r="E845" s="52" t="n"/>
      <c r="F845" s="52" t="n"/>
      <c r="G845" s="52" t="n"/>
      <c r="H845" s="52" t="n"/>
      <c r="I845" s="52" t="n"/>
      <c r="J845" s="52" t="n"/>
      <c r="K845" s="54" t="n"/>
      <c r="L845" s="5" t="n"/>
      <c r="M845" s="53">
        <f>IF(A845="","",IFERROR(INDEX(Firms!$B$5:$B$1004,MATCH(A845,Firms!$A$5:$A$1004,0)),"Not on Firms tab"))</f>
        <v/>
      </c>
      <c r="N845">
        <f>IF(AND(A845&lt;&gt;"",A845='Firm Search'!$C$7),COUNTIF($A$5:A845,'Firm Search'!$C$7),"")</f>
        <v/>
      </c>
    </row>
    <row r="846">
      <c r="A846" s="5" t="n"/>
      <c r="B846" s="5" t="n"/>
      <c r="C846" s="52" t="n"/>
      <c r="D846" s="52" t="n"/>
      <c r="E846" s="52" t="n"/>
      <c r="F846" s="52" t="n"/>
      <c r="G846" s="52" t="n"/>
      <c r="H846" s="52" t="n"/>
      <c r="I846" s="52" t="n"/>
      <c r="J846" s="52" t="n"/>
      <c r="K846" s="54" t="n"/>
      <c r="L846" s="5" t="n"/>
      <c r="M846" s="53">
        <f>IF(A846="","",IFERROR(INDEX(Firms!$B$5:$B$1004,MATCH(A846,Firms!$A$5:$A$1004,0)),"Not on Firms tab"))</f>
        <v/>
      </c>
      <c r="N846">
        <f>IF(AND(A846&lt;&gt;"",A846='Firm Search'!$C$7),COUNTIF($A$5:A846,'Firm Search'!$C$7),"")</f>
        <v/>
      </c>
    </row>
    <row r="847">
      <c r="A847" s="5" t="n"/>
      <c r="B847" s="5" t="n"/>
      <c r="C847" s="52" t="n"/>
      <c r="D847" s="52" t="n"/>
      <c r="E847" s="52" t="n"/>
      <c r="F847" s="52" t="n"/>
      <c r="G847" s="52" t="n"/>
      <c r="H847" s="52" t="n"/>
      <c r="I847" s="52" t="n"/>
      <c r="J847" s="52" t="n"/>
      <c r="K847" s="54" t="n"/>
      <c r="L847" s="5" t="n"/>
      <c r="M847" s="53">
        <f>IF(A847="","",IFERROR(INDEX(Firms!$B$5:$B$1004,MATCH(A847,Firms!$A$5:$A$1004,0)),"Not on Firms tab"))</f>
        <v/>
      </c>
      <c r="N847">
        <f>IF(AND(A847&lt;&gt;"",A847='Firm Search'!$C$7),COUNTIF($A$5:A847,'Firm Search'!$C$7),"")</f>
        <v/>
      </c>
    </row>
    <row r="848">
      <c r="A848" s="5" t="n"/>
      <c r="B848" s="5" t="n"/>
      <c r="C848" s="52" t="n"/>
      <c r="D848" s="52" t="n"/>
      <c r="E848" s="52" t="n"/>
      <c r="F848" s="52" t="n"/>
      <c r="G848" s="52" t="n"/>
      <c r="H848" s="52" t="n"/>
      <c r="I848" s="52" t="n"/>
      <c r="J848" s="52" t="n"/>
      <c r="K848" s="54" t="n"/>
      <c r="L848" s="5" t="n"/>
      <c r="M848" s="53">
        <f>IF(A848="","",IFERROR(INDEX(Firms!$B$5:$B$1004,MATCH(A848,Firms!$A$5:$A$1004,0)),"Not on Firms tab"))</f>
        <v/>
      </c>
      <c r="N848">
        <f>IF(AND(A848&lt;&gt;"",A848='Firm Search'!$C$7),COUNTIF($A$5:A848,'Firm Search'!$C$7),"")</f>
        <v/>
      </c>
    </row>
    <row r="849">
      <c r="A849" s="5" t="n"/>
      <c r="B849" s="5" t="n"/>
      <c r="C849" s="52" t="n"/>
      <c r="D849" s="52" t="n"/>
      <c r="E849" s="52" t="n"/>
      <c r="F849" s="52" t="n"/>
      <c r="G849" s="52" t="n"/>
      <c r="H849" s="52" t="n"/>
      <c r="I849" s="52" t="n"/>
      <c r="J849" s="52" t="n"/>
      <c r="K849" s="54" t="n"/>
      <c r="L849" s="5" t="n"/>
      <c r="M849" s="53">
        <f>IF(A849="","",IFERROR(INDEX(Firms!$B$5:$B$1004,MATCH(A849,Firms!$A$5:$A$1004,0)),"Not on Firms tab"))</f>
        <v/>
      </c>
      <c r="N849">
        <f>IF(AND(A849&lt;&gt;"",A849='Firm Search'!$C$7),COUNTIF($A$5:A849,'Firm Search'!$C$7),"")</f>
        <v/>
      </c>
    </row>
    <row r="850">
      <c r="A850" s="5" t="n"/>
      <c r="B850" s="5" t="n"/>
      <c r="C850" s="52" t="n"/>
      <c r="D850" s="52" t="n"/>
      <c r="E850" s="52" t="n"/>
      <c r="F850" s="52" t="n"/>
      <c r="G850" s="52" t="n"/>
      <c r="H850" s="52" t="n"/>
      <c r="I850" s="52" t="n"/>
      <c r="J850" s="52" t="n"/>
      <c r="K850" s="54" t="n"/>
      <c r="L850" s="5" t="n"/>
      <c r="M850" s="53">
        <f>IF(A850="","",IFERROR(INDEX(Firms!$B$5:$B$1004,MATCH(A850,Firms!$A$5:$A$1004,0)),"Not on Firms tab"))</f>
        <v/>
      </c>
      <c r="N850">
        <f>IF(AND(A850&lt;&gt;"",A850='Firm Search'!$C$7),COUNTIF($A$5:A850,'Firm Search'!$C$7),"")</f>
        <v/>
      </c>
    </row>
    <row r="851">
      <c r="A851" s="5" t="n"/>
      <c r="B851" s="5" t="n"/>
      <c r="C851" s="52" t="n"/>
      <c r="D851" s="52" t="n"/>
      <c r="E851" s="52" t="n"/>
      <c r="F851" s="52" t="n"/>
      <c r="G851" s="52" t="n"/>
      <c r="H851" s="52" t="n"/>
      <c r="I851" s="52" t="n"/>
      <c r="J851" s="52" t="n"/>
      <c r="K851" s="54" t="n"/>
      <c r="L851" s="5" t="n"/>
      <c r="M851" s="53">
        <f>IF(A851="","",IFERROR(INDEX(Firms!$B$5:$B$1004,MATCH(A851,Firms!$A$5:$A$1004,0)),"Not on Firms tab"))</f>
        <v/>
      </c>
      <c r="N851">
        <f>IF(AND(A851&lt;&gt;"",A851='Firm Search'!$C$7),COUNTIF($A$5:A851,'Firm Search'!$C$7),"")</f>
        <v/>
      </c>
    </row>
    <row r="852">
      <c r="A852" s="5" t="n"/>
      <c r="B852" s="5" t="n"/>
      <c r="C852" s="52" t="n"/>
      <c r="D852" s="52" t="n"/>
      <c r="E852" s="52" t="n"/>
      <c r="F852" s="52" t="n"/>
      <c r="G852" s="52" t="n"/>
      <c r="H852" s="52" t="n"/>
      <c r="I852" s="52" t="n"/>
      <c r="J852" s="52" t="n"/>
      <c r="K852" s="54" t="n"/>
      <c r="L852" s="5" t="n"/>
      <c r="M852" s="53">
        <f>IF(A852="","",IFERROR(INDEX(Firms!$B$5:$B$1004,MATCH(A852,Firms!$A$5:$A$1004,0)),"Not on Firms tab"))</f>
        <v/>
      </c>
      <c r="N852">
        <f>IF(AND(A852&lt;&gt;"",A852='Firm Search'!$C$7),COUNTIF($A$5:A852,'Firm Search'!$C$7),"")</f>
        <v/>
      </c>
    </row>
    <row r="853">
      <c r="A853" s="5" t="n"/>
      <c r="B853" s="5" t="n"/>
      <c r="C853" s="52" t="n"/>
      <c r="D853" s="52" t="n"/>
      <c r="E853" s="52" t="n"/>
      <c r="F853" s="52" t="n"/>
      <c r="G853" s="52" t="n"/>
      <c r="H853" s="52" t="n"/>
      <c r="I853" s="52" t="n"/>
      <c r="J853" s="52" t="n"/>
      <c r="K853" s="54" t="n"/>
      <c r="L853" s="5" t="n"/>
      <c r="M853" s="53">
        <f>IF(A853="","",IFERROR(INDEX(Firms!$B$5:$B$1004,MATCH(A853,Firms!$A$5:$A$1004,0)),"Not on Firms tab"))</f>
        <v/>
      </c>
      <c r="N853">
        <f>IF(AND(A853&lt;&gt;"",A853='Firm Search'!$C$7),COUNTIF($A$5:A853,'Firm Search'!$C$7),"")</f>
        <v/>
      </c>
    </row>
    <row r="854">
      <c r="A854" s="5" t="n"/>
      <c r="B854" s="5" t="n"/>
      <c r="C854" s="52" t="n"/>
      <c r="D854" s="52" t="n"/>
      <c r="E854" s="52" t="n"/>
      <c r="F854" s="52" t="n"/>
      <c r="G854" s="52" t="n"/>
      <c r="H854" s="52" t="n"/>
      <c r="I854" s="52" t="n"/>
      <c r="J854" s="52" t="n"/>
      <c r="K854" s="54" t="n"/>
      <c r="L854" s="5" t="n"/>
      <c r="M854" s="53">
        <f>IF(A854="","",IFERROR(INDEX(Firms!$B$5:$B$1004,MATCH(A854,Firms!$A$5:$A$1004,0)),"Not on Firms tab"))</f>
        <v/>
      </c>
      <c r="N854">
        <f>IF(AND(A854&lt;&gt;"",A854='Firm Search'!$C$7),COUNTIF($A$5:A854,'Firm Search'!$C$7),"")</f>
        <v/>
      </c>
    </row>
    <row r="855">
      <c r="A855" s="5" t="n"/>
      <c r="B855" s="5" t="n"/>
      <c r="C855" s="52" t="n"/>
      <c r="D855" s="52" t="n"/>
      <c r="E855" s="52" t="n"/>
      <c r="F855" s="52" t="n"/>
      <c r="G855" s="52" t="n"/>
      <c r="H855" s="52" t="n"/>
      <c r="I855" s="52" t="n"/>
      <c r="J855" s="52" t="n"/>
      <c r="K855" s="54" t="n"/>
      <c r="L855" s="5" t="n"/>
      <c r="M855" s="53">
        <f>IF(A855="","",IFERROR(INDEX(Firms!$B$5:$B$1004,MATCH(A855,Firms!$A$5:$A$1004,0)),"Not on Firms tab"))</f>
        <v/>
      </c>
      <c r="N855">
        <f>IF(AND(A855&lt;&gt;"",A855='Firm Search'!$C$7),COUNTIF($A$5:A855,'Firm Search'!$C$7),"")</f>
        <v/>
      </c>
    </row>
    <row r="856">
      <c r="A856" s="5" t="n"/>
      <c r="B856" s="5" t="n"/>
      <c r="C856" s="52" t="n"/>
      <c r="D856" s="52" t="n"/>
      <c r="E856" s="52" t="n"/>
      <c r="F856" s="52" t="n"/>
      <c r="G856" s="52" t="n"/>
      <c r="H856" s="52" t="n"/>
      <c r="I856" s="52" t="n"/>
      <c r="J856" s="52" t="n"/>
      <c r="K856" s="54" t="n"/>
      <c r="L856" s="5" t="n"/>
      <c r="M856" s="53">
        <f>IF(A856="","",IFERROR(INDEX(Firms!$B$5:$B$1004,MATCH(A856,Firms!$A$5:$A$1004,0)),"Not on Firms tab"))</f>
        <v/>
      </c>
      <c r="N856">
        <f>IF(AND(A856&lt;&gt;"",A856='Firm Search'!$C$7),COUNTIF($A$5:A856,'Firm Search'!$C$7),"")</f>
        <v/>
      </c>
    </row>
    <row r="857">
      <c r="A857" s="5" t="n"/>
      <c r="B857" s="5" t="n"/>
      <c r="C857" s="52" t="n"/>
      <c r="D857" s="52" t="n"/>
      <c r="E857" s="52" t="n"/>
      <c r="F857" s="52" t="n"/>
      <c r="G857" s="52" t="n"/>
      <c r="H857" s="52" t="n"/>
      <c r="I857" s="52" t="n"/>
      <c r="J857" s="52" t="n"/>
      <c r="K857" s="54" t="n"/>
      <c r="L857" s="5" t="n"/>
      <c r="M857" s="53">
        <f>IF(A857="","",IFERROR(INDEX(Firms!$B$5:$B$1004,MATCH(A857,Firms!$A$5:$A$1004,0)),"Not on Firms tab"))</f>
        <v/>
      </c>
      <c r="N857">
        <f>IF(AND(A857&lt;&gt;"",A857='Firm Search'!$C$7),COUNTIF($A$5:A857,'Firm Search'!$C$7),"")</f>
        <v/>
      </c>
    </row>
    <row r="858">
      <c r="A858" s="5" t="n"/>
      <c r="B858" s="5" t="n"/>
      <c r="C858" s="52" t="n"/>
      <c r="D858" s="52" t="n"/>
      <c r="E858" s="52" t="n"/>
      <c r="F858" s="52" t="n"/>
      <c r="G858" s="52" t="n"/>
      <c r="H858" s="52" t="n"/>
      <c r="I858" s="52" t="n"/>
      <c r="J858" s="52" t="n"/>
      <c r="K858" s="54" t="n"/>
      <c r="L858" s="5" t="n"/>
      <c r="M858" s="53">
        <f>IF(A858="","",IFERROR(INDEX(Firms!$B$5:$B$1004,MATCH(A858,Firms!$A$5:$A$1004,0)),"Not on Firms tab"))</f>
        <v/>
      </c>
      <c r="N858">
        <f>IF(AND(A858&lt;&gt;"",A858='Firm Search'!$C$7),COUNTIF($A$5:A858,'Firm Search'!$C$7),"")</f>
        <v/>
      </c>
    </row>
    <row r="859">
      <c r="A859" s="5" t="n"/>
      <c r="B859" s="5" t="n"/>
      <c r="C859" s="52" t="n"/>
      <c r="D859" s="52" t="n"/>
      <c r="E859" s="52" t="n"/>
      <c r="F859" s="52" t="n"/>
      <c r="G859" s="52" t="n"/>
      <c r="H859" s="52" t="n"/>
      <c r="I859" s="52" t="n"/>
      <c r="J859" s="52" t="n"/>
      <c r="K859" s="54" t="n"/>
      <c r="L859" s="5" t="n"/>
      <c r="M859" s="53">
        <f>IF(A859="","",IFERROR(INDEX(Firms!$B$5:$B$1004,MATCH(A859,Firms!$A$5:$A$1004,0)),"Not on Firms tab"))</f>
        <v/>
      </c>
      <c r="N859">
        <f>IF(AND(A859&lt;&gt;"",A859='Firm Search'!$C$7),COUNTIF($A$5:A859,'Firm Search'!$C$7),"")</f>
        <v/>
      </c>
    </row>
    <row r="860">
      <c r="A860" s="5" t="n"/>
      <c r="B860" s="5" t="n"/>
      <c r="C860" s="52" t="n"/>
      <c r="D860" s="52" t="n"/>
      <c r="E860" s="52" t="n"/>
      <c r="F860" s="52" t="n"/>
      <c r="G860" s="52" t="n"/>
      <c r="H860" s="52" t="n"/>
      <c r="I860" s="52" t="n"/>
      <c r="J860" s="52" t="n"/>
      <c r="K860" s="54" t="n"/>
      <c r="L860" s="5" t="n"/>
      <c r="M860" s="53">
        <f>IF(A860="","",IFERROR(INDEX(Firms!$B$5:$B$1004,MATCH(A860,Firms!$A$5:$A$1004,0)),"Not on Firms tab"))</f>
        <v/>
      </c>
      <c r="N860">
        <f>IF(AND(A860&lt;&gt;"",A860='Firm Search'!$C$7),COUNTIF($A$5:A860,'Firm Search'!$C$7),"")</f>
        <v/>
      </c>
    </row>
    <row r="861">
      <c r="A861" s="5" t="n"/>
      <c r="B861" s="5" t="n"/>
      <c r="C861" s="52" t="n"/>
      <c r="D861" s="52" t="n"/>
      <c r="E861" s="52" t="n"/>
      <c r="F861" s="52" t="n"/>
      <c r="G861" s="52" t="n"/>
      <c r="H861" s="52" t="n"/>
      <c r="I861" s="52" t="n"/>
      <c r="J861" s="52" t="n"/>
      <c r="K861" s="54" t="n"/>
      <c r="L861" s="5" t="n"/>
      <c r="M861" s="53">
        <f>IF(A861="","",IFERROR(INDEX(Firms!$B$5:$B$1004,MATCH(A861,Firms!$A$5:$A$1004,0)),"Not on Firms tab"))</f>
        <v/>
      </c>
      <c r="N861">
        <f>IF(AND(A861&lt;&gt;"",A861='Firm Search'!$C$7),COUNTIF($A$5:A861,'Firm Search'!$C$7),"")</f>
        <v/>
      </c>
    </row>
    <row r="862">
      <c r="A862" s="5" t="n"/>
      <c r="B862" s="5" t="n"/>
      <c r="C862" s="52" t="n"/>
      <c r="D862" s="52" t="n"/>
      <c r="E862" s="52" t="n"/>
      <c r="F862" s="52" t="n"/>
      <c r="G862" s="52" t="n"/>
      <c r="H862" s="52" t="n"/>
      <c r="I862" s="52" t="n"/>
      <c r="J862" s="52" t="n"/>
      <c r="K862" s="54" t="n"/>
      <c r="L862" s="5" t="n"/>
      <c r="M862" s="53">
        <f>IF(A862="","",IFERROR(INDEX(Firms!$B$5:$B$1004,MATCH(A862,Firms!$A$5:$A$1004,0)),"Not on Firms tab"))</f>
        <v/>
      </c>
      <c r="N862">
        <f>IF(AND(A862&lt;&gt;"",A862='Firm Search'!$C$7),COUNTIF($A$5:A862,'Firm Search'!$C$7),"")</f>
        <v/>
      </c>
    </row>
    <row r="863">
      <c r="A863" s="5" t="n"/>
      <c r="B863" s="5" t="n"/>
      <c r="C863" s="52" t="n"/>
      <c r="D863" s="52" t="n"/>
      <c r="E863" s="52" t="n"/>
      <c r="F863" s="52" t="n"/>
      <c r="G863" s="52" t="n"/>
      <c r="H863" s="52" t="n"/>
      <c r="I863" s="52" t="n"/>
      <c r="J863" s="52" t="n"/>
      <c r="K863" s="54" t="n"/>
      <c r="L863" s="5" t="n"/>
      <c r="M863" s="53">
        <f>IF(A863="","",IFERROR(INDEX(Firms!$B$5:$B$1004,MATCH(A863,Firms!$A$5:$A$1004,0)),"Not on Firms tab"))</f>
        <v/>
      </c>
      <c r="N863">
        <f>IF(AND(A863&lt;&gt;"",A863='Firm Search'!$C$7),COUNTIF($A$5:A863,'Firm Search'!$C$7),"")</f>
        <v/>
      </c>
    </row>
    <row r="864">
      <c r="A864" s="5" t="n"/>
      <c r="B864" s="5" t="n"/>
      <c r="C864" s="52" t="n"/>
      <c r="D864" s="52" t="n"/>
      <c r="E864" s="52" t="n"/>
      <c r="F864" s="52" t="n"/>
      <c r="G864" s="52" t="n"/>
      <c r="H864" s="52" t="n"/>
      <c r="I864" s="52" t="n"/>
      <c r="J864" s="52" t="n"/>
      <c r="K864" s="54" t="n"/>
      <c r="L864" s="5" t="n"/>
      <c r="M864" s="53">
        <f>IF(A864="","",IFERROR(INDEX(Firms!$B$5:$B$1004,MATCH(A864,Firms!$A$5:$A$1004,0)),"Not on Firms tab"))</f>
        <v/>
      </c>
      <c r="N864">
        <f>IF(AND(A864&lt;&gt;"",A864='Firm Search'!$C$7),COUNTIF($A$5:A864,'Firm Search'!$C$7),"")</f>
        <v/>
      </c>
    </row>
    <row r="865">
      <c r="A865" s="5" t="n"/>
      <c r="B865" s="5" t="n"/>
      <c r="C865" s="52" t="n"/>
      <c r="D865" s="52" t="n"/>
      <c r="E865" s="52" t="n"/>
      <c r="F865" s="52" t="n"/>
      <c r="G865" s="52" t="n"/>
      <c r="H865" s="52" t="n"/>
      <c r="I865" s="52" t="n"/>
      <c r="J865" s="52" t="n"/>
      <c r="K865" s="54" t="n"/>
      <c r="L865" s="5" t="n"/>
      <c r="M865" s="53">
        <f>IF(A865="","",IFERROR(INDEX(Firms!$B$5:$B$1004,MATCH(A865,Firms!$A$5:$A$1004,0)),"Not on Firms tab"))</f>
        <v/>
      </c>
      <c r="N865">
        <f>IF(AND(A865&lt;&gt;"",A865='Firm Search'!$C$7),COUNTIF($A$5:A865,'Firm Search'!$C$7),"")</f>
        <v/>
      </c>
    </row>
    <row r="866">
      <c r="A866" s="5" t="n"/>
      <c r="B866" s="5" t="n"/>
      <c r="C866" s="52" t="n"/>
      <c r="D866" s="52" t="n"/>
      <c r="E866" s="52" t="n"/>
      <c r="F866" s="52" t="n"/>
      <c r="G866" s="52" t="n"/>
      <c r="H866" s="52" t="n"/>
      <c r="I866" s="52" t="n"/>
      <c r="J866" s="52" t="n"/>
      <c r="K866" s="54" t="n"/>
      <c r="L866" s="5" t="n"/>
      <c r="M866" s="53">
        <f>IF(A866="","",IFERROR(INDEX(Firms!$B$5:$B$1004,MATCH(A866,Firms!$A$5:$A$1004,0)),"Not on Firms tab"))</f>
        <v/>
      </c>
      <c r="N866">
        <f>IF(AND(A866&lt;&gt;"",A866='Firm Search'!$C$7),COUNTIF($A$5:A866,'Firm Search'!$C$7),"")</f>
        <v/>
      </c>
    </row>
    <row r="867">
      <c r="A867" s="5" t="n"/>
      <c r="B867" s="5" t="n"/>
      <c r="C867" s="52" t="n"/>
      <c r="D867" s="52" t="n"/>
      <c r="E867" s="52" t="n"/>
      <c r="F867" s="52" t="n"/>
      <c r="G867" s="52" t="n"/>
      <c r="H867" s="52" t="n"/>
      <c r="I867" s="52" t="n"/>
      <c r="J867" s="52" t="n"/>
      <c r="K867" s="54" t="n"/>
      <c r="L867" s="5" t="n"/>
      <c r="M867" s="53">
        <f>IF(A867="","",IFERROR(INDEX(Firms!$B$5:$B$1004,MATCH(A867,Firms!$A$5:$A$1004,0)),"Not on Firms tab"))</f>
        <v/>
      </c>
      <c r="N867">
        <f>IF(AND(A867&lt;&gt;"",A867='Firm Search'!$C$7),COUNTIF($A$5:A867,'Firm Search'!$C$7),"")</f>
        <v/>
      </c>
    </row>
    <row r="868">
      <c r="A868" s="5" t="n"/>
      <c r="B868" s="5" t="n"/>
      <c r="C868" s="52" t="n"/>
      <c r="D868" s="52" t="n"/>
      <c r="E868" s="52" t="n"/>
      <c r="F868" s="52" t="n"/>
      <c r="G868" s="52" t="n"/>
      <c r="H868" s="52" t="n"/>
      <c r="I868" s="52" t="n"/>
      <c r="J868" s="52" t="n"/>
      <c r="K868" s="54" t="n"/>
      <c r="L868" s="5" t="n"/>
      <c r="M868" s="53">
        <f>IF(A868="","",IFERROR(INDEX(Firms!$B$5:$B$1004,MATCH(A868,Firms!$A$5:$A$1004,0)),"Not on Firms tab"))</f>
        <v/>
      </c>
      <c r="N868">
        <f>IF(AND(A868&lt;&gt;"",A868='Firm Search'!$C$7),COUNTIF($A$5:A868,'Firm Search'!$C$7),"")</f>
        <v/>
      </c>
    </row>
    <row r="869">
      <c r="A869" s="5" t="n"/>
      <c r="B869" s="5" t="n"/>
      <c r="C869" s="52" t="n"/>
      <c r="D869" s="52" t="n"/>
      <c r="E869" s="52" t="n"/>
      <c r="F869" s="52" t="n"/>
      <c r="G869" s="52" t="n"/>
      <c r="H869" s="52" t="n"/>
      <c r="I869" s="52" t="n"/>
      <c r="J869" s="52" t="n"/>
      <c r="K869" s="54" t="n"/>
      <c r="L869" s="5" t="n"/>
      <c r="M869" s="53">
        <f>IF(A869="","",IFERROR(INDEX(Firms!$B$5:$B$1004,MATCH(A869,Firms!$A$5:$A$1004,0)),"Not on Firms tab"))</f>
        <v/>
      </c>
      <c r="N869">
        <f>IF(AND(A869&lt;&gt;"",A869='Firm Search'!$C$7),COUNTIF($A$5:A869,'Firm Search'!$C$7),"")</f>
        <v/>
      </c>
    </row>
    <row r="870">
      <c r="A870" s="5" t="n"/>
      <c r="B870" s="5" t="n"/>
      <c r="C870" s="52" t="n"/>
      <c r="D870" s="52" t="n"/>
      <c r="E870" s="52" t="n"/>
      <c r="F870" s="52" t="n"/>
      <c r="G870" s="52" t="n"/>
      <c r="H870" s="52" t="n"/>
      <c r="I870" s="52" t="n"/>
      <c r="J870" s="52" t="n"/>
      <c r="K870" s="54" t="n"/>
      <c r="L870" s="5" t="n"/>
      <c r="M870" s="53">
        <f>IF(A870="","",IFERROR(INDEX(Firms!$B$5:$B$1004,MATCH(A870,Firms!$A$5:$A$1004,0)),"Not on Firms tab"))</f>
        <v/>
      </c>
      <c r="N870">
        <f>IF(AND(A870&lt;&gt;"",A870='Firm Search'!$C$7),COUNTIF($A$5:A870,'Firm Search'!$C$7),"")</f>
        <v/>
      </c>
    </row>
    <row r="871">
      <c r="A871" s="5" t="n"/>
      <c r="B871" s="5" t="n"/>
      <c r="C871" s="52" t="n"/>
      <c r="D871" s="52" t="n"/>
      <c r="E871" s="52" t="n"/>
      <c r="F871" s="52" t="n"/>
      <c r="G871" s="52" t="n"/>
      <c r="H871" s="52" t="n"/>
      <c r="I871" s="52" t="n"/>
      <c r="J871" s="52" t="n"/>
      <c r="K871" s="54" t="n"/>
      <c r="L871" s="5" t="n"/>
      <c r="M871" s="53">
        <f>IF(A871="","",IFERROR(INDEX(Firms!$B$5:$B$1004,MATCH(A871,Firms!$A$5:$A$1004,0)),"Not on Firms tab"))</f>
        <v/>
      </c>
      <c r="N871">
        <f>IF(AND(A871&lt;&gt;"",A871='Firm Search'!$C$7),COUNTIF($A$5:A871,'Firm Search'!$C$7),"")</f>
        <v/>
      </c>
    </row>
    <row r="872">
      <c r="A872" s="5" t="n"/>
      <c r="B872" s="5" t="n"/>
      <c r="C872" s="52" t="n"/>
      <c r="D872" s="52" t="n"/>
      <c r="E872" s="52" t="n"/>
      <c r="F872" s="52" t="n"/>
      <c r="G872" s="52" t="n"/>
      <c r="H872" s="52" t="n"/>
      <c r="I872" s="52" t="n"/>
      <c r="J872" s="52" t="n"/>
      <c r="K872" s="54" t="n"/>
      <c r="L872" s="5" t="n"/>
      <c r="M872" s="53">
        <f>IF(A872="","",IFERROR(INDEX(Firms!$B$5:$B$1004,MATCH(A872,Firms!$A$5:$A$1004,0)),"Not on Firms tab"))</f>
        <v/>
      </c>
      <c r="N872">
        <f>IF(AND(A872&lt;&gt;"",A872='Firm Search'!$C$7),COUNTIF($A$5:A872,'Firm Search'!$C$7),"")</f>
        <v/>
      </c>
    </row>
    <row r="873">
      <c r="A873" s="5" t="n"/>
      <c r="B873" s="5" t="n"/>
      <c r="C873" s="52" t="n"/>
      <c r="D873" s="52" t="n"/>
      <c r="E873" s="52" t="n"/>
      <c r="F873" s="52" t="n"/>
      <c r="G873" s="52" t="n"/>
      <c r="H873" s="52" t="n"/>
      <c r="I873" s="52" t="n"/>
      <c r="J873" s="52" t="n"/>
      <c r="K873" s="54" t="n"/>
      <c r="L873" s="5" t="n"/>
      <c r="M873" s="53">
        <f>IF(A873="","",IFERROR(INDEX(Firms!$B$5:$B$1004,MATCH(A873,Firms!$A$5:$A$1004,0)),"Not on Firms tab"))</f>
        <v/>
      </c>
      <c r="N873">
        <f>IF(AND(A873&lt;&gt;"",A873='Firm Search'!$C$7),COUNTIF($A$5:A873,'Firm Search'!$C$7),"")</f>
        <v/>
      </c>
    </row>
    <row r="874">
      <c r="A874" s="5" t="n"/>
      <c r="B874" s="5" t="n"/>
      <c r="C874" s="52" t="n"/>
      <c r="D874" s="52" t="n"/>
      <c r="E874" s="52" t="n"/>
      <c r="F874" s="52" t="n"/>
      <c r="G874" s="52" t="n"/>
      <c r="H874" s="52" t="n"/>
      <c r="I874" s="52" t="n"/>
      <c r="J874" s="52" t="n"/>
      <c r="K874" s="54" t="n"/>
      <c r="L874" s="5" t="n"/>
      <c r="M874" s="53">
        <f>IF(A874="","",IFERROR(INDEX(Firms!$B$5:$B$1004,MATCH(A874,Firms!$A$5:$A$1004,0)),"Not on Firms tab"))</f>
        <v/>
      </c>
      <c r="N874">
        <f>IF(AND(A874&lt;&gt;"",A874='Firm Search'!$C$7),COUNTIF($A$5:A874,'Firm Search'!$C$7),"")</f>
        <v/>
      </c>
    </row>
    <row r="875">
      <c r="A875" s="5" t="n"/>
      <c r="B875" s="5" t="n"/>
      <c r="C875" s="52" t="n"/>
      <c r="D875" s="52" t="n"/>
      <c r="E875" s="52" t="n"/>
      <c r="F875" s="52" t="n"/>
      <c r="G875" s="52" t="n"/>
      <c r="H875" s="52" t="n"/>
      <c r="I875" s="52" t="n"/>
      <c r="J875" s="52" t="n"/>
      <c r="K875" s="54" t="n"/>
      <c r="L875" s="5" t="n"/>
      <c r="M875" s="53">
        <f>IF(A875="","",IFERROR(INDEX(Firms!$B$5:$B$1004,MATCH(A875,Firms!$A$5:$A$1004,0)),"Not on Firms tab"))</f>
        <v/>
      </c>
      <c r="N875">
        <f>IF(AND(A875&lt;&gt;"",A875='Firm Search'!$C$7),COUNTIF($A$5:A875,'Firm Search'!$C$7),"")</f>
        <v/>
      </c>
    </row>
    <row r="876">
      <c r="A876" s="5" t="n"/>
      <c r="B876" s="5" t="n"/>
      <c r="C876" s="52" t="n"/>
      <c r="D876" s="52" t="n"/>
      <c r="E876" s="52" t="n"/>
      <c r="F876" s="52" t="n"/>
      <c r="G876" s="52" t="n"/>
      <c r="H876" s="52" t="n"/>
      <c r="I876" s="52" t="n"/>
      <c r="J876" s="52" t="n"/>
      <c r="K876" s="54" t="n"/>
      <c r="L876" s="5" t="n"/>
      <c r="M876" s="53">
        <f>IF(A876="","",IFERROR(INDEX(Firms!$B$5:$B$1004,MATCH(A876,Firms!$A$5:$A$1004,0)),"Not on Firms tab"))</f>
        <v/>
      </c>
      <c r="N876">
        <f>IF(AND(A876&lt;&gt;"",A876='Firm Search'!$C$7),COUNTIF($A$5:A876,'Firm Search'!$C$7),"")</f>
        <v/>
      </c>
    </row>
    <row r="877">
      <c r="A877" s="5" t="n"/>
      <c r="B877" s="5" t="n"/>
      <c r="C877" s="52" t="n"/>
      <c r="D877" s="52" t="n"/>
      <c r="E877" s="52" t="n"/>
      <c r="F877" s="52" t="n"/>
      <c r="G877" s="52" t="n"/>
      <c r="H877" s="52" t="n"/>
      <c r="I877" s="52" t="n"/>
      <c r="J877" s="52" t="n"/>
      <c r="K877" s="54" t="n"/>
      <c r="L877" s="5" t="n"/>
      <c r="M877" s="53">
        <f>IF(A877="","",IFERROR(INDEX(Firms!$B$5:$B$1004,MATCH(A877,Firms!$A$5:$A$1004,0)),"Not on Firms tab"))</f>
        <v/>
      </c>
      <c r="N877">
        <f>IF(AND(A877&lt;&gt;"",A877='Firm Search'!$C$7),COUNTIF($A$5:A877,'Firm Search'!$C$7),"")</f>
        <v/>
      </c>
    </row>
    <row r="878">
      <c r="A878" s="5" t="n"/>
      <c r="B878" s="5" t="n"/>
      <c r="C878" s="52" t="n"/>
      <c r="D878" s="52" t="n"/>
      <c r="E878" s="52" t="n"/>
      <c r="F878" s="52" t="n"/>
      <c r="G878" s="52" t="n"/>
      <c r="H878" s="52" t="n"/>
      <c r="I878" s="52" t="n"/>
      <c r="J878" s="52" t="n"/>
      <c r="K878" s="54" t="n"/>
      <c r="L878" s="5" t="n"/>
      <c r="M878" s="53">
        <f>IF(A878="","",IFERROR(INDEX(Firms!$B$5:$B$1004,MATCH(A878,Firms!$A$5:$A$1004,0)),"Not on Firms tab"))</f>
        <v/>
      </c>
      <c r="N878">
        <f>IF(AND(A878&lt;&gt;"",A878='Firm Search'!$C$7),COUNTIF($A$5:A878,'Firm Search'!$C$7),"")</f>
        <v/>
      </c>
    </row>
    <row r="879">
      <c r="A879" s="5" t="n"/>
      <c r="B879" s="5" t="n"/>
      <c r="C879" s="52" t="n"/>
      <c r="D879" s="52" t="n"/>
      <c r="E879" s="52" t="n"/>
      <c r="F879" s="52" t="n"/>
      <c r="G879" s="52" t="n"/>
      <c r="H879" s="52" t="n"/>
      <c r="I879" s="52" t="n"/>
      <c r="J879" s="52" t="n"/>
      <c r="K879" s="54" t="n"/>
      <c r="L879" s="5" t="n"/>
      <c r="M879" s="53">
        <f>IF(A879="","",IFERROR(INDEX(Firms!$B$5:$B$1004,MATCH(A879,Firms!$A$5:$A$1004,0)),"Not on Firms tab"))</f>
        <v/>
      </c>
      <c r="N879">
        <f>IF(AND(A879&lt;&gt;"",A879='Firm Search'!$C$7),COUNTIF($A$5:A879,'Firm Search'!$C$7),"")</f>
        <v/>
      </c>
    </row>
    <row r="880">
      <c r="A880" s="5" t="n"/>
      <c r="B880" s="5" t="n"/>
      <c r="C880" s="52" t="n"/>
      <c r="D880" s="52" t="n"/>
      <c r="E880" s="52" t="n"/>
      <c r="F880" s="52" t="n"/>
      <c r="G880" s="52" t="n"/>
      <c r="H880" s="52" t="n"/>
      <c r="I880" s="52" t="n"/>
      <c r="J880" s="52" t="n"/>
      <c r="K880" s="54" t="n"/>
      <c r="L880" s="5" t="n"/>
      <c r="M880" s="53">
        <f>IF(A880="","",IFERROR(INDEX(Firms!$B$5:$B$1004,MATCH(A880,Firms!$A$5:$A$1004,0)),"Not on Firms tab"))</f>
        <v/>
      </c>
      <c r="N880">
        <f>IF(AND(A880&lt;&gt;"",A880='Firm Search'!$C$7),COUNTIF($A$5:A880,'Firm Search'!$C$7),"")</f>
        <v/>
      </c>
    </row>
    <row r="881">
      <c r="A881" s="5" t="n"/>
      <c r="B881" s="5" t="n"/>
      <c r="C881" s="52" t="n"/>
      <c r="D881" s="52" t="n"/>
      <c r="E881" s="52" t="n"/>
      <c r="F881" s="52" t="n"/>
      <c r="G881" s="52" t="n"/>
      <c r="H881" s="52" t="n"/>
      <c r="I881" s="52" t="n"/>
      <c r="J881" s="52" t="n"/>
      <c r="K881" s="54" t="n"/>
      <c r="L881" s="5" t="n"/>
      <c r="M881" s="53">
        <f>IF(A881="","",IFERROR(INDEX(Firms!$B$5:$B$1004,MATCH(A881,Firms!$A$5:$A$1004,0)),"Not on Firms tab"))</f>
        <v/>
      </c>
      <c r="N881">
        <f>IF(AND(A881&lt;&gt;"",A881='Firm Search'!$C$7),COUNTIF($A$5:A881,'Firm Search'!$C$7),"")</f>
        <v/>
      </c>
    </row>
    <row r="882">
      <c r="A882" s="5" t="n"/>
      <c r="B882" s="5" t="n"/>
      <c r="C882" s="52" t="n"/>
      <c r="D882" s="52" t="n"/>
      <c r="E882" s="52" t="n"/>
      <c r="F882" s="52" t="n"/>
      <c r="G882" s="52" t="n"/>
      <c r="H882" s="52" t="n"/>
      <c r="I882" s="52" t="n"/>
      <c r="J882" s="52" t="n"/>
      <c r="K882" s="54" t="n"/>
      <c r="L882" s="5" t="n"/>
      <c r="M882" s="53">
        <f>IF(A882="","",IFERROR(INDEX(Firms!$B$5:$B$1004,MATCH(A882,Firms!$A$5:$A$1004,0)),"Not on Firms tab"))</f>
        <v/>
      </c>
      <c r="N882">
        <f>IF(AND(A882&lt;&gt;"",A882='Firm Search'!$C$7),COUNTIF($A$5:A882,'Firm Search'!$C$7),"")</f>
        <v/>
      </c>
    </row>
    <row r="883">
      <c r="A883" s="5" t="n"/>
      <c r="B883" s="5" t="n"/>
      <c r="C883" s="52" t="n"/>
      <c r="D883" s="52" t="n"/>
      <c r="E883" s="52" t="n"/>
      <c r="F883" s="52" t="n"/>
      <c r="G883" s="52" t="n"/>
      <c r="H883" s="52" t="n"/>
      <c r="I883" s="52" t="n"/>
      <c r="J883" s="52" t="n"/>
      <c r="K883" s="54" t="n"/>
      <c r="L883" s="5" t="n"/>
      <c r="M883" s="53">
        <f>IF(A883="","",IFERROR(INDEX(Firms!$B$5:$B$1004,MATCH(A883,Firms!$A$5:$A$1004,0)),"Not on Firms tab"))</f>
        <v/>
      </c>
      <c r="N883">
        <f>IF(AND(A883&lt;&gt;"",A883='Firm Search'!$C$7),COUNTIF($A$5:A883,'Firm Search'!$C$7),"")</f>
        <v/>
      </c>
    </row>
    <row r="884">
      <c r="A884" s="5" t="n"/>
      <c r="B884" s="5" t="n"/>
      <c r="C884" s="52" t="n"/>
      <c r="D884" s="52" t="n"/>
      <c r="E884" s="52" t="n"/>
      <c r="F884" s="52" t="n"/>
      <c r="G884" s="52" t="n"/>
      <c r="H884" s="52" t="n"/>
      <c r="I884" s="52" t="n"/>
      <c r="J884" s="52" t="n"/>
      <c r="K884" s="54" t="n"/>
      <c r="L884" s="5" t="n"/>
      <c r="M884" s="53">
        <f>IF(A884="","",IFERROR(INDEX(Firms!$B$5:$B$1004,MATCH(A884,Firms!$A$5:$A$1004,0)),"Not on Firms tab"))</f>
        <v/>
      </c>
      <c r="N884">
        <f>IF(AND(A884&lt;&gt;"",A884='Firm Search'!$C$7),COUNTIF($A$5:A884,'Firm Search'!$C$7),"")</f>
        <v/>
      </c>
    </row>
    <row r="885">
      <c r="A885" s="5" t="n"/>
      <c r="B885" s="5" t="n"/>
      <c r="C885" s="52" t="n"/>
      <c r="D885" s="52" t="n"/>
      <c r="E885" s="52" t="n"/>
      <c r="F885" s="52" t="n"/>
      <c r="G885" s="52" t="n"/>
      <c r="H885" s="52" t="n"/>
      <c r="I885" s="52" t="n"/>
      <c r="J885" s="52" t="n"/>
      <c r="K885" s="54" t="n"/>
      <c r="L885" s="5" t="n"/>
      <c r="M885" s="53">
        <f>IF(A885="","",IFERROR(INDEX(Firms!$B$5:$B$1004,MATCH(A885,Firms!$A$5:$A$1004,0)),"Not on Firms tab"))</f>
        <v/>
      </c>
      <c r="N885">
        <f>IF(AND(A885&lt;&gt;"",A885='Firm Search'!$C$7),COUNTIF($A$5:A885,'Firm Search'!$C$7),"")</f>
        <v/>
      </c>
    </row>
    <row r="886">
      <c r="A886" s="5" t="n"/>
      <c r="B886" s="5" t="n"/>
      <c r="C886" s="52" t="n"/>
      <c r="D886" s="52" t="n"/>
      <c r="E886" s="52" t="n"/>
      <c r="F886" s="52" t="n"/>
      <c r="G886" s="52" t="n"/>
      <c r="H886" s="52" t="n"/>
      <c r="I886" s="52" t="n"/>
      <c r="J886" s="52" t="n"/>
      <c r="K886" s="54" t="n"/>
      <c r="L886" s="5" t="n"/>
      <c r="M886" s="53">
        <f>IF(A886="","",IFERROR(INDEX(Firms!$B$5:$B$1004,MATCH(A886,Firms!$A$5:$A$1004,0)),"Not on Firms tab"))</f>
        <v/>
      </c>
      <c r="N886">
        <f>IF(AND(A886&lt;&gt;"",A886='Firm Search'!$C$7),COUNTIF($A$5:A886,'Firm Search'!$C$7),"")</f>
        <v/>
      </c>
    </row>
    <row r="887">
      <c r="A887" s="5" t="n"/>
      <c r="B887" s="5" t="n"/>
      <c r="C887" s="52" t="n"/>
      <c r="D887" s="52" t="n"/>
      <c r="E887" s="52" t="n"/>
      <c r="F887" s="52" t="n"/>
      <c r="G887" s="52" t="n"/>
      <c r="H887" s="52" t="n"/>
      <c r="I887" s="52" t="n"/>
      <c r="J887" s="52" t="n"/>
      <c r="K887" s="54" t="n"/>
      <c r="L887" s="5" t="n"/>
      <c r="M887" s="53">
        <f>IF(A887="","",IFERROR(INDEX(Firms!$B$5:$B$1004,MATCH(A887,Firms!$A$5:$A$1004,0)),"Not on Firms tab"))</f>
        <v/>
      </c>
      <c r="N887">
        <f>IF(AND(A887&lt;&gt;"",A887='Firm Search'!$C$7),COUNTIF($A$5:A887,'Firm Search'!$C$7),"")</f>
        <v/>
      </c>
    </row>
    <row r="888">
      <c r="A888" s="5" t="n"/>
      <c r="B888" s="5" t="n"/>
      <c r="C888" s="52" t="n"/>
      <c r="D888" s="52" t="n"/>
      <c r="E888" s="52" t="n"/>
      <c r="F888" s="52" t="n"/>
      <c r="G888" s="52" t="n"/>
      <c r="H888" s="52" t="n"/>
      <c r="I888" s="52" t="n"/>
      <c r="J888" s="52" t="n"/>
      <c r="K888" s="54" t="n"/>
      <c r="L888" s="5" t="n"/>
      <c r="M888" s="53">
        <f>IF(A888="","",IFERROR(INDEX(Firms!$B$5:$B$1004,MATCH(A888,Firms!$A$5:$A$1004,0)),"Not on Firms tab"))</f>
        <v/>
      </c>
      <c r="N888">
        <f>IF(AND(A888&lt;&gt;"",A888='Firm Search'!$C$7),COUNTIF($A$5:A888,'Firm Search'!$C$7),"")</f>
        <v/>
      </c>
    </row>
    <row r="889">
      <c r="A889" s="5" t="n"/>
      <c r="B889" s="5" t="n"/>
      <c r="C889" s="52" t="n"/>
      <c r="D889" s="52" t="n"/>
      <c r="E889" s="52" t="n"/>
      <c r="F889" s="52" t="n"/>
      <c r="G889" s="52" t="n"/>
      <c r="H889" s="52" t="n"/>
      <c r="I889" s="52" t="n"/>
      <c r="J889" s="52" t="n"/>
      <c r="K889" s="54" t="n"/>
      <c r="L889" s="5" t="n"/>
      <c r="M889" s="53">
        <f>IF(A889="","",IFERROR(INDEX(Firms!$B$5:$B$1004,MATCH(A889,Firms!$A$5:$A$1004,0)),"Not on Firms tab"))</f>
        <v/>
      </c>
      <c r="N889">
        <f>IF(AND(A889&lt;&gt;"",A889='Firm Search'!$C$7),COUNTIF($A$5:A889,'Firm Search'!$C$7),"")</f>
        <v/>
      </c>
    </row>
    <row r="890">
      <c r="A890" s="5" t="n"/>
      <c r="B890" s="5" t="n"/>
      <c r="C890" s="52" t="n"/>
      <c r="D890" s="52" t="n"/>
      <c r="E890" s="52" t="n"/>
      <c r="F890" s="52" t="n"/>
      <c r="G890" s="52" t="n"/>
      <c r="H890" s="52" t="n"/>
      <c r="I890" s="52" t="n"/>
      <c r="J890" s="52" t="n"/>
      <c r="K890" s="54" t="n"/>
      <c r="L890" s="5" t="n"/>
      <c r="M890" s="53">
        <f>IF(A890="","",IFERROR(INDEX(Firms!$B$5:$B$1004,MATCH(A890,Firms!$A$5:$A$1004,0)),"Not on Firms tab"))</f>
        <v/>
      </c>
      <c r="N890">
        <f>IF(AND(A890&lt;&gt;"",A890='Firm Search'!$C$7),COUNTIF($A$5:A890,'Firm Search'!$C$7),"")</f>
        <v/>
      </c>
    </row>
    <row r="891">
      <c r="A891" s="5" t="n"/>
      <c r="B891" s="5" t="n"/>
      <c r="C891" s="52" t="n"/>
      <c r="D891" s="52" t="n"/>
      <c r="E891" s="52" t="n"/>
      <c r="F891" s="52" t="n"/>
      <c r="G891" s="52" t="n"/>
      <c r="H891" s="52" t="n"/>
      <c r="I891" s="52" t="n"/>
      <c r="J891" s="52" t="n"/>
      <c r="K891" s="54" t="n"/>
      <c r="L891" s="5" t="n"/>
      <c r="M891" s="53">
        <f>IF(A891="","",IFERROR(INDEX(Firms!$B$5:$B$1004,MATCH(A891,Firms!$A$5:$A$1004,0)),"Not on Firms tab"))</f>
        <v/>
      </c>
      <c r="N891">
        <f>IF(AND(A891&lt;&gt;"",A891='Firm Search'!$C$7),COUNTIF($A$5:A891,'Firm Search'!$C$7),"")</f>
        <v/>
      </c>
    </row>
    <row r="892">
      <c r="A892" s="5" t="n"/>
      <c r="B892" s="5" t="n"/>
      <c r="C892" s="52" t="n"/>
      <c r="D892" s="52" t="n"/>
      <c r="E892" s="52" t="n"/>
      <c r="F892" s="52" t="n"/>
      <c r="G892" s="52" t="n"/>
      <c r="H892" s="52" t="n"/>
      <c r="I892" s="52" t="n"/>
      <c r="J892" s="52" t="n"/>
      <c r="K892" s="54" t="n"/>
      <c r="L892" s="5" t="n"/>
      <c r="M892" s="53">
        <f>IF(A892="","",IFERROR(INDEX(Firms!$B$5:$B$1004,MATCH(A892,Firms!$A$5:$A$1004,0)),"Not on Firms tab"))</f>
        <v/>
      </c>
      <c r="N892">
        <f>IF(AND(A892&lt;&gt;"",A892='Firm Search'!$C$7),COUNTIF($A$5:A892,'Firm Search'!$C$7),"")</f>
        <v/>
      </c>
    </row>
    <row r="893">
      <c r="A893" s="5" t="n"/>
      <c r="B893" s="5" t="n"/>
      <c r="C893" s="52" t="n"/>
      <c r="D893" s="52" t="n"/>
      <c r="E893" s="52" t="n"/>
      <c r="F893" s="52" t="n"/>
      <c r="G893" s="52" t="n"/>
      <c r="H893" s="52" t="n"/>
      <c r="I893" s="52" t="n"/>
      <c r="J893" s="52" t="n"/>
      <c r="K893" s="54" t="n"/>
      <c r="L893" s="5" t="n"/>
      <c r="M893" s="53">
        <f>IF(A893="","",IFERROR(INDEX(Firms!$B$5:$B$1004,MATCH(A893,Firms!$A$5:$A$1004,0)),"Not on Firms tab"))</f>
        <v/>
      </c>
      <c r="N893">
        <f>IF(AND(A893&lt;&gt;"",A893='Firm Search'!$C$7),COUNTIF($A$5:A893,'Firm Search'!$C$7),"")</f>
        <v/>
      </c>
    </row>
    <row r="894">
      <c r="A894" s="5" t="n"/>
      <c r="B894" s="5" t="n"/>
      <c r="C894" s="52" t="n"/>
      <c r="D894" s="52" t="n"/>
      <c r="E894" s="52" t="n"/>
      <c r="F894" s="52" t="n"/>
      <c r="G894" s="52" t="n"/>
      <c r="H894" s="52" t="n"/>
      <c r="I894" s="52" t="n"/>
      <c r="J894" s="52" t="n"/>
      <c r="K894" s="54" t="n"/>
      <c r="L894" s="5" t="n"/>
      <c r="M894" s="53">
        <f>IF(A894="","",IFERROR(INDEX(Firms!$B$5:$B$1004,MATCH(A894,Firms!$A$5:$A$1004,0)),"Not on Firms tab"))</f>
        <v/>
      </c>
      <c r="N894">
        <f>IF(AND(A894&lt;&gt;"",A894='Firm Search'!$C$7),COUNTIF($A$5:A894,'Firm Search'!$C$7),"")</f>
        <v/>
      </c>
    </row>
    <row r="895">
      <c r="A895" s="5" t="n"/>
      <c r="B895" s="5" t="n"/>
      <c r="C895" s="52" t="n"/>
      <c r="D895" s="52" t="n"/>
      <c r="E895" s="52" t="n"/>
      <c r="F895" s="52" t="n"/>
      <c r="G895" s="52" t="n"/>
      <c r="H895" s="52" t="n"/>
      <c r="I895" s="52" t="n"/>
      <c r="J895" s="52" t="n"/>
      <c r="K895" s="54" t="n"/>
      <c r="L895" s="5" t="n"/>
      <c r="M895" s="53">
        <f>IF(A895="","",IFERROR(INDEX(Firms!$B$5:$B$1004,MATCH(A895,Firms!$A$5:$A$1004,0)),"Not on Firms tab"))</f>
        <v/>
      </c>
      <c r="N895">
        <f>IF(AND(A895&lt;&gt;"",A895='Firm Search'!$C$7),COUNTIF($A$5:A895,'Firm Search'!$C$7),"")</f>
        <v/>
      </c>
    </row>
    <row r="896">
      <c r="A896" s="5" t="n"/>
      <c r="B896" s="5" t="n"/>
      <c r="C896" s="52" t="n"/>
      <c r="D896" s="52" t="n"/>
      <c r="E896" s="52" t="n"/>
      <c r="F896" s="52" t="n"/>
      <c r="G896" s="52" t="n"/>
      <c r="H896" s="52" t="n"/>
      <c r="I896" s="52" t="n"/>
      <c r="J896" s="52" t="n"/>
      <c r="K896" s="54" t="n"/>
      <c r="L896" s="5" t="n"/>
      <c r="M896" s="53">
        <f>IF(A896="","",IFERROR(INDEX(Firms!$B$5:$B$1004,MATCH(A896,Firms!$A$5:$A$1004,0)),"Not on Firms tab"))</f>
        <v/>
      </c>
      <c r="N896">
        <f>IF(AND(A896&lt;&gt;"",A896='Firm Search'!$C$7),COUNTIF($A$5:A896,'Firm Search'!$C$7),"")</f>
        <v/>
      </c>
    </row>
    <row r="897">
      <c r="A897" s="5" t="n"/>
      <c r="B897" s="5" t="n"/>
      <c r="C897" s="52" t="n"/>
      <c r="D897" s="52" t="n"/>
      <c r="E897" s="52" t="n"/>
      <c r="F897" s="52" t="n"/>
      <c r="G897" s="52" t="n"/>
      <c r="H897" s="52" t="n"/>
      <c r="I897" s="52" t="n"/>
      <c r="J897" s="52" t="n"/>
      <c r="K897" s="54" t="n"/>
      <c r="L897" s="5" t="n"/>
      <c r="M897" s="53">
        <f>IF(A897="","",IFERROR(INDEX(Firms!$B$5:$B$1004,MATCH(A897,Firms!$A$5:$A$1004,0)),"Not on Firms tab"))</f>
        <v/>
      </c>
      <c r="N897">
        <f>IF(AND(A897&lt;&gt;"",A897='Firm Search'!$C$7),COUNTIF($A$5:A897,'Firm Search'!$C$7),"")</f>
        <v/>
      </c>
    </row>
    <row r="898">
      <c r="A898" s="5" t="n"/>
      <c r="B898" s="5" t="n"/>
      <c r="C898" s="52" t="n"/>
      <c r="D898" s="52" t="n"/>
      <c r="E898" s="52" t="n"/>
      <c r="F898" s="52" t="n"/>
      <c r="G898" s="52" t="n"/>
      <c r="H898" s="52" t="n"/>
      <c r="I898" s="52" t="n"/>
      <c r="J898" s="52" t="n"/>
      <c r="K898" s="54" t="n"/>
      <c r="L898" s="5" t="n"/>
      <c r="M898" s="53">
        <f>IF(A898="","",IFERROR(INDEX(Firms!$B$5:$B$1004,MATCH(A898,Firms!$A$5:$A$1004,0)),"Not on Firms tab"))</f>
        <v/>
      </c>
      <c r="N898">
        <f>IF(AND(A898&lt;&gt;"",A898='Firm Search'!$C$7),COUNTIF($A$5:A898,'Firm Search'!$C$7),"")</f>
        <v/>
      </c>
    </row>
    <row r="899">
      <c r="A899" s="5" t="n"/>
      <c r="B899" s="5" t="n"/>
      <c r="C899" s="52" t="n"/>
      <c r="D899" s="52" t="n"/>
      <c r="E899" s="52" t="n"/>
      <c r="F899" s="52" t="n"/>
      <c r="G899" s="52" t="n"/>
      <c r="H899" s="52" t="n"/>
      <c r="I899" s="52" t="n"/>
      <c r="J899" s="52" t="n"/>
      <c r="K899" s="54" t="n"/>
      <c r="L899" s="5" t="n"/>
      <c r="M899" s="53">
        <f>IF(A899="","",IFERROR(INDEX(Firms!$B$5:$B$1004,MATCH(A899,Firms!$A$5:$A$1004,0)),"Not on Firms tab"))</f>
        <v/>
      </c>
      <c r="N899">
        <f>IF(AND(A899&lt;&gt;"",A899='Firm Search'!$C$7),COUNTIF($A$5:A899,'Firm Search'!$C$7),"")</f>
        <v/>
      </c>
    </row>
    <row r="900">
      <c r="A900" s="5" t="n"/>
      <c r="B900" s="5" t="n"/>
      <c r="C900" s="52" t="n"/>
      <c r="D900" s="52" t="n"/>
      <c r="E900" s="52" t="n"/>
      <c r="F900" s="52" t="n"/>
      <c r="G900" s="52" t="n"/>
      <c r="H900" s="52" t="n"/>
      <c r="I900" s="52" t="n"/>
      <c r="J900" s="52" t="n"/>
      <c r="K900" s="54" t="n"/>
      <c r="L900" s="5" t="n"/>
      <c r="M900" s="53">
        <f>IF(A900="","",IFERROR(INDEX(Firms!$B$5:$B$1004,MATCH(A900,Firms!$A$5:$A$1004,0)),"Not on Firms tab"))</f>
        <v/>
      </c>
      <c r="N900">
        <f>IF(AND(A900&lt;&gt;"",A900='Firm Search'!$C$7),COUNTIF($A$5:A900,'Firm Search'!$C$7),"")</f>
        <v/>
      </c>
    </row>
    <row r="901">
      <c r="A901" s="5" t="n"/>
      <c r="B901" s="5" t="n"/>
      <c r="C901" s="52" t="n"/>
      <c r="D901" s="52" t="n"/>
      <c r="E901" s="52" t="n"/>
      <c r="F901" s="52" t="n"/>
      <c r="G901" s="52" t="n"/>
      <c r="H901" s="52" t="n"/>
      <c r="I901" s="52" t="n"/>
      <c r="J901" s="52" t="n"/>
      <c r="K901" s="54" t="n"/>
      <c r="L901" s="5" t="n"/>
      <c r="M901" s="53">
        <f>IF(A901="","",IFERROR(INDEX(Firms!$B$5:$B$1004,MATCH(A901,Firms!$A$5:$A$1004,0)),"Not on Firms tab"))</f>
        <v/>
      </c>
      <c r="N901">
        <f>IF(AND(A901&lt;&gt;"",A901='Firm Search'!$C$7),COUNTIF($A$5:A901,'Firm Search'!$C$7),"")</f>
        <v/>
      </c>
    </row>
    <row r="902">
      <c r="A902" s="5" t="n"/>
      <c r="B902" s="5" t="n"/>
      <c r="C902" s="52" t="n"/>
      <c r="D902" s="52" t="n"/>
      <c r="E902" s="52" t="n"/>
      <c r="F902" s="52" t="n"/>
      <c r="G902" s="52" t="n"/>
      <c r="H902" s="52" t="n"/>
      <c r="I902" s="52" t="n"/>
      <c r="J902" s="52" t="n"/>
      <c r="K902" s="54" t="n"/>
      <c r="L902" s="5" t="n"/>
      <c r="M902" s="53">
        <f>IF(A902="","",IFERROR(INDEX(Firms!$B$5:$B$1004,MATCH(A902,Firms!$A$5:$A$1004,0)),"Not on Firms tab"))</f>
        <v/>
      </c>
      <c r="N902">
        <f>IF(AND(A902&lt;&gt;"",A902='Firm Search'!$C$7),COUNTIF($A$5:A902,'Firm Search'!$C$7),"")</f>
        <v/>
      </c>
    </row>
    <row r="903">
      <c r="A903" s="5" t="n"/>
      <c r="B903" s="5" t="n"/>
      <c r="C903" s="52" t="n"/>
      <c r="D903" s="52" t="n"/>
      <c r="E903" s="52" t="n"/>
      <c r="F903" s="52" t="n"/>
      <c r="G903" s="52" t="n"/>
      <c r="H903" s="52" t="n"/>
      <c r="I903" s="52" t="n"/>
      <c r="J903" s="52" t="n"/>
      <c r="K903" s="54" t="n"/>
      <c r="L903" s="5" t="n"/>
      <c r="M903" s="53">
        <f>IF(A903="","",IFERROR(INDEX(Firms!$B$5:$B$1004,MATCH(A903,Firms!$A$5:$A$1004,0)),"Not on Firms tab"))</f>
        <v/>
      </c>
      <c r="N903">
        <f>IF(AND(A903&lt;&gt;"",A903='Firm Search'!$C$7),COUNTIF($A$5:A903,'Firm Search'!$C$7),"")</f>
        <v/>
      </c>
    </row>
    <row r="904">
      <c r="A904" s="5" t="n"/>
      <c r="B904" s="5" t="n"/>
      <c r="C904" s="52" t="n"/>
      <c r="D904" s="52" t="n"/>
      <c r="E904" s="52" t="n"/>
      <c r="F904" s="52" t="n"/>
      <c r="G904" s="52" t="n"/>
      <c r="H904" s="52" t="n"/>
      <c r="I904" s="52" t="n"/>
      <c r="J904" s="52" t="n"/>
      <c r="K904" s="54" t="n"/>
      <c r="L904" s="5" t="n"/>
      <c r="M904" s="53">
        <f>IF(A904="","",IFERROR(INDEX(Firms!$B$5:$B$1004,MATCH(A904,Firms!$A$5:$A$1004,0)),"Not on Firms tab"))</f>
        <v/>
      </c>
      <c r="N904">
        <f>IF(AND(A904&lt;&gt;"",A904='Firm Search'!$C$7),COUNTIF($A$5:A904,'Firm Search'!$C$7),"")</f>
        <v/>
      </c>
    </row>
    <row r="905">
      <c r="A905" s="5" t="n"/>
      <c r="B905" s="5" t="n"/>
      <c r="C905" s="52" t="n"/>
      <c r="D905" s="52" t="n"/>
      <c r="E905" s="52" t="n"/>
      <c r="F905" s="52" t="n"/>
      <c r="G905" s="52" t="n"/>
      <c r="H905" s="52" t="n"/>
      <c r="I905" s="52" t="n"/>
      <c r="J905" s="52" t="n"/>
      <c r="K905" s="54" t="n"/>
      <c r="L905" s="5" t="n"/>
      <c r="M905" s="53">
        <f>IF(A905="","",IFERROR(INDEX(Firms!$B$5:$B$1004,MATCH(A905,Firms!$A$5:$A$1004,0)),"Not on Firms tab"))</f>
        <v/>
      </c>
      <c r="N905">
        <f>IF(AND(A905&lt;&gt;"",A905='Firm Search'!$C$7),COUNTIF($A$5:A905,'Firm Search'!$C$7),"")</f>
        <v/>
      </c>
    </row>
    <row r="906">
      <c r="A906" s="5" t="n"/>
      <c r="B906" s="5" t="n"/>
      <c r="C906" s="52" t="n"/>
      <c r="D906" s="52" t="n"/>
      <c r="E906" s="52" t="n"/>
      <c r="F906" s="52" t="n"/>
      <c r="G906" s="52" t="n"/>
      <c r="H906" s="52" t="n"/>
      <c r="I906" s="52" t="n"/>
      <c r="J906" s="52" t="n"/>
      <c r="K906" s="54" t="n"/>
      <c r="L906" s="5" t="n"/>
      <c r="M906" s="53">
        <f>IF(A906="","",IFERROR(INDEX(Firms!$B$5:$B$1004,MATCH(A906,Firms!$A$5:$A$1004,0)),"Not on Firms tab"))</f>
        <v/>
      </c>
      <c r="N906">
        <f>IF(AND(A906&lt;&gt;"",A906='Firm Search'!$C$7),COUNTIF($A$5:A906,'Firm Search'!$C$7),"")</f>
        <v/>
      </c>
    </row>
    <row r="907">
      <c r="A907" s="5" t="n"/>
      <c r="B907" s="5" t="n"/>
      <c r="C907" s="52" t="n"/>
      <c r="D907" s="52" t="n"/>
      <c r="E907" s="52" t="n"/>
      <c r="F907" s="52" t="n"/>
      <c r="G907" s="52" t="n"/>
      <c r="H907" s="52" t="n"/>
      <c r="I907" s="52" t="n"/>
      <c r="J907" s="52" t="n"/>
      <c r="K907" s="54" t="n"/>
      <c r="L907" s="5" t="n"/>
      <c r="M907" s="53">
        <f>IF(A907="","",IFERROR(INDEX(Firms!$B$5:$B$1004,MATCH(A907,Firms!$A$5:$A$1004,0)),"Not on Firms tab"))</f>
        <v/>
      </c>
      <c r="N907">
        <f>IF(AND(A907&lt;&gt;"",A907='Firm Search'!$C$7),COUNTIF($A$5:A907,'Firm Search'!$C$7),"")</f>
        <v/>
      </c>
    </row>
    <row r="908">
      <c r="A908" s="5" t="n"/>
      <c r="B908" s="5" t="n"/>
      <c r="C908" s="52" t="n"/>
      <c r="D908" s="52" t="n"/>
      <c r="E908" s="52" t="n"/>
      <c r="F908" s="52" t="n"/>
      <c r="G908" s="52" t="n"/>
      <c r="H908" s="52" t="n"/>
      <c r="I908" s="52" t="n"/>
      <c r="J908" s="52" t="n"/>
      <c r="K908" s="54" t="n"/>
      <c r="L908" s="5" t="n"/>
      <c r="M908" s="53">
        <f>IF(A908="","",IFERROR(INDEX(Firms!$B$5:$B$1004,MATCH(A908,Firms!$A$5:$A$1004,0)),"Not on Firms tab"))</f>
        <v/>
      </c>
      <c r="N908">
        <f>IF(AND(A908&lt;&gt;"",A908='Firm Search'!$C$7),COUNTIF($A$5:A908,'Firm Search'!$C$7),"")</f>
        <v/>
      </c>
    </row>
    <row r="909">
      <c r="A909" s="5" t="n"/>
      <c r="B909" s="5" t="n"/>
      <c r="C909" s="52" t="n"/>
      <c r="D909" s="52" t="n"/>
      <c r="E909" s="52" t="n"/>
      <c r="F909" s="52" t="n"/>
      <c r="G909" s="52" t="n"/>
      <c r="H909" s="52" t="n"/>
      <c r="I909" s="52" t="n"/>
      <c r="J909" s="52" t="n"/>
      <c r="K909" s="54" t="n"/>
      <c r="L909" s="5" t="n"/>
      <c r="M909" s="53">
        <f>IF(A909="","",IFERROR(INDEX(Firms!$B$5:$B$1004,MATCH(A909,Firms!$A$5:$A$1004,0)),"Not on Firms tab"))</f>
        <v/>
      </c>
      <c r="N909">
        <f>IF(AND(A909&lt;&gt;"",A909='Firm Search'!$C$7),COUNTIF($A$5:A909,'Firm Search'!$C$7),"")</f>
        <v/>
      </c>
    </row>
    <row r="910">
      <c r="A910" s="5" t="n"/>
      <c r="B910" s="5" t="n"/>
      <c r="C910" s="52" t="n"/>
      <c r="D910" s="52" t="n"/>
      <c r="E910" s="52" t="n"/>
      <c r="F910" s="52" t="n"/>
      <c r="G910" s="52" t="n"/>
      <c r="H910" s="52" t="n"/>
      <c r="I910" s="52" t="n"/>
      <c r="J910" s="52" t="n"/>
      <c r="K910" s="54" t="n"/>
      <c r="L910" s="5" t="n"/>
      <c r="M910" s="53">
        <f>IF(A910="","",IFERROR(INDEX(Firms!$B$5:$B$1004,MATCH(A910,Firms!$A$5:$A$1004,0)),"Not on Firms tab"))</f>
        <v/>
      </c>
      <c r="N910">
        <f>IF(AND(A910&lt;&gt;"",A910='Firm Search'!$C$7),COUNTIF($A$5:A910,'Firm Search'!$C$7),"")</f>
        <v/>
      </c>
    </row>
    <row r="911">
      <c r="A911" s="5" t="n"/>
      <c r="B911" s="5" t="n"/>
      <c r="C911" s="52" t="n"/>
      <c r="D911" s="52" t="n"/>
      <c r="E911" s="52" t="n"/>
      <c r="F911" s="52" t="n"/>
      <c r="G911" s="52" t="n"/>
      <c r="H911" s="52" t="n"/>
      <c r="I911" s="52" t="n"/>
      <c r="J911" s="52" t="n"/>
      <c r="K911" s="54" t="n"/>
      <c r="L911" s="5" t="n"/>
      <c r="M911" s="53">
        <f>IF(A911="","",IFERROR(INDEX(Firms!$B$5:$B$1004,MATCH(A911,Firms!$A$5:$A$1004,0)),"Not on Firms tab"))</f>
        <v/>
      </c>
      <c r="N911">
        <f>IF(AND(A911&lt;&gt;"",A911='Firm Search'!$C$7),COUNTIF($A$5:A911,'Firm Search'!$C$7),"")</f>
        <v/>
      </c>
    </row>
    <row r="912">
      <c r="A912" s="5" t="n"/>
      <c r="B912" s="5" t="n"/>
      <c r="C912" s="52" t="n"/>
      <c r="D912" s="52" t="n"/>
      <c r="E912" s="52" t="n"/>
      <c r="F912" s="52" t="n"/>
      <c r="G912" s="52" t="n"/>
      <c r="H912" s="52" t="n"/>
      <c r="I912" s="52" t="n"/>
      <c r="J912" s="52" t="n"/>
      <c r="K912" s="54" t="n"/>
      <c r="L912" s="5" t="n"/>
      <c r="M912" s="53">
        <f>IF(A912="","",IFERROR(INDEX(Firms!$B$5:$B$1004,MATCH(A912,Firms!$A$5:$A$1004,0)),"Not on Firms tab"))</f>
        <v/>
      </c>
      <c r="N912">
        <f>IF(AND(A912&lt;&gt;"",A912='Firm Search'!$C$7),COUNTIF($A$5:A912,'Firm Search'!$C$7),"")</f>
        <v/>
      </c>
    </row>
    <row r="913">
      <c r="A913" s="5" t="n"/>
      <c r="B913" s="5" t="n"/>
      <c r="C913" s="52" t="n"/>
      <c r="D913" s="52" t="n"/>
      <c r="E913" s="52" t="n"/>
      <c r="F913" s="52" t="n"/>
      <c r="G913" s="52" t="n"/>
      <c r="H913" s="52" t="n"/>
      <c r="I913" s="52" t="n"/>
      <c r="J913" s="52" t="n"/>
      <c r="K913" s="54" t="n"/>
      <c r="L913" s="5" t="n"/>
      <c r="M913" s="53">
        <f>IF(A913="","",IFERROR(INDEX(Firms!$B$5:$B$1004,MATCH(A913,Firms!$A$5:$A$1004,0)),"Not on Firms tab"))</f>
        <v/>
      </c>
      <c r="N913">
        <f>IF(AND(A913&lt;&gt;"",A913='Firm Search'!$C$7),COUNTIF($A$5:A913,'Firm Search'!$C$7),"")</f>
        <v/>
      </c>
    </row>
    <row r="914">
      <c r="A914" s="5" t="n"/>
      <c r="B914" s="5" t="n"/>
      <c r="C914" s="52" t="n"/>
      <c r="D914" s="52" t="n"/>
      <c r="E914" s="52" t="n"/>
      <c r="F914" s="52" t="n"/>
      <c r="G914" s="52" t="n"/>
      <c r="H914" s="52" t="n"/>
      <c r="I914" s="52" t="n"/>
      <c r="J914" s="52" t="n"/>
      <c r="K914" s="54" t="n"/>
      <c r="L914" s="5" t="n"/>
      <c r="M914" s="53">
        <f>IF(A914="","",IFERROR(INDEX(Firms!$B$5:$B$1004,MATCH(A914,Firms!$A$5:$A$1004,0)),"Not on Firms tab"))</f>
        <v/>
      </c>
      <c r="N914">
        <f>IF(AND(A914&lt;&gt;"",A914='Firm Search'!$C$7),COUNTIF($A$5:A914,'Firm Search'!$C$7),"")</f>
        <v/>
      </c>
    </row>
    <row r="915">
      <c r="A915" s="5" t="n"/>
      <c r="B915" s="5" t="n"/>
      <c r="C915" s="52" t="n"/>
      <c r="D915" s="52" t="n"/>
      <c r="E915" s="52" t="n"/>
      <c r="F915" s="52" t="n"/>
      <c r="G915" s="52" t="n"/>
      <c r="H915" s="52" t="n"/>
      <c r="I915" s="52" t="n"/>
      <c r="J915" s="52" t="n"/>
      <c r="K915" s="54" t="n"/>
      <c r="L915" s="5" t="n"/>
      <c r="M915" s="53">
        <f>IF(A915="","",IFERROR(INDEX(Firms!$B$5:$B$1004,MATCH(A915,Firms!$A$5:$A$1004,0)),"Not on Firms tab"))</f>
        <v/>
      </c>
      <c r="N915">
        <f>IF(AND(A915&lt;&gt;"",A915='Firm Search'!$C$7),COUNTIF($A$5:A915,'Firm Search'!$C$7),"")</f>
        <v/>
      </c>
    </row>
    <row r="916">
      <c r="A916" s="5" t="n"/>
      <c r="B916" s="5" t="n"/>
      <c r="C916" s="52" t="n"/>
      <c r="D916" s="52" t="n"/>
      <c r="E916" s="52" t="n"/>
      <c r="F916" s="52" t="n"/>
      <c r="G916" s="52" t="n"/>
      <c r="H916" s="52" t="n"/>
      <c r="I916" s="52" t="n"/>
      <c r="J916" s="52" t="n"/>
      <c r="K916" s="54" t="n"/>
      <c r="L916" s="5" t="n"/>
      <c r="M916" s="53">
        <f>IF(A916="","",IFERROR(INDEX(Firms!$B$5:$B$1004,MATCH(A916,Firms!$A$5:$A$1004,0)),"Not on Firms tab"))</f>
        <v/>
      </c>
      <c r="N916">
        <f>IF(AND(A916&lt;&gt;"",A916='Firm Search'!$C$7),COUNTIF($A$5:A916,'Firm Search'!$C$7),"")</f>
        <v/>
      </c>
    </row>
    <row r="917">
      <c r="A917" s="5" t="n"/>
      <c r="B917" s="5" t="n"/>
      <c r="C917" s="52" t="n"/>
      <c r="D917" s="52" t="n"/>
      <c r="E917" s="52" t="n"/>
      <c r="F917" s="52" t="n"/>
      <c r="G917" s="52" t="n"/>
      <c r="H917" s="52" t="n"/>
      <c r="I917" s="52" t="n"/>
      <c r="J917" s="52" t="n"/>
      <c r="K917" s="54" t="n"/>
      <c r="L917" s="5" t="n"/>
      <c r="M917" s="53">
        <f>IF(A917="","",IFERROR(INDEX(Firms!$B$5:$B$1004,MATCH(A917,Firms!$A$5:$A$1004,0)),"Not on Firms tab"))</f>
        <v/>
      </c>
      <c r="N917">
        <f>IF(AND(A917&lt;&gt;"",A917='Firm Search'!$C$7),COUNTIF($A$5:A917,'Firm Search'!$C$7),"")</f>
        <v/>
      </c>
    </row>
    <row r="918">
      <c r="A918" s="5" t="n"/>
      <c r="B918" s="5" t="n"/>
      <c r="C918" s="52" t="n"/>
      <c r="D918" s="52" t="n"/>
      <c r="E918" s="52" t="n"/>
      <c r="F918" s="52" t="n"/>
      <c r="G918" s="52" t="n"/>
      <c r="H918" s="52" t="n"/>
      <c r="I918" s="52" t="n"/>
      <c r="J918" s="52" t="n"/>
      <c r="K918" s="54" t="n"/>
      <c r="L918" s="5" t="n"/>
      <c r="M918" s="53">
        <f>IF(A918="","",IFERROR(INDEX(Firms!$B$5:$B$1004,MATCH(A918,Firms!$A$5:$A$1004,0)),"Not on Firms tab"))</f>
        <v/>
      </c>
      <c r="N918">
        <f>IF(AND(A918&lt;&gt;"",A918='Firm Search'!$C$7),COUNTIF($A$5:A918,'Firm Search'!$C$7),"")</f>
        <v/>
      </c>
    </row>
    <row r="919">
      <c r="A919" s="5" t="n"/>
      <c r="B919" s="5" t="n"/>
      <c r="C919" s="52" t="n"/>
      <c r="D919" s="52" t="n"/>
      <c r="E919" s="52" t="n"/>
      <c r="F919" s="52" t="n"/>
      <c r="G919" s="52" t="n"/>
      <c r="H919" s="52" t="n"/>
      <c r="I919" s="52" t="n"/>
      <c r="J919" s="52" t="n"/>
      <c r="K919" s="54" t="n"/>
      <c r="L919" s="5" t="n"/>
      <c r="M919" s="53">
        <f>IF(A919="","",IFERROR(INDEX(Firms!$B$5:$B$1004,MATCH(A919,Firms!$A$5:$A$1004,0)),"Not on Firms tab"))</f>
        <v/>
      </c>
      <c r="N919">
        <f>IF(AND(A919&lt;&gt;"",A919='Firm Search'!$C$7),COUNTIF($A$5:A919,'Firm Search'!$C$7),"")</f>
        <v/>
      </c>
    </row>
    <row r="920">
      <c r="A920" s="5" t="n"/>
      <c r="B920" s="5" t="n"/>
      <c r="C920" s="52" t="n"/>
      <c r="D920" s="52" t="n"/>
      <c r="E920" s="52" t="n"/>
      <c r="F920" s="52" t="n"/>
      <c r="G920" s="52" t="n"/>
      <c r="H920" s="52" t="n"/>
      <c r="I920" s="52" t="n"/>
      <c r="J920" s="52" t="n"/>
      <c r="K920" s="54" t="n"/>
      <c r="L920" s="5" t="n"/>
      <c r="M920" s="53">
        <f>IF(A920="","",IFERROR(INDEX(Firms!$B$5:$B$1004,MATCH(A920,Firms!$A$5:$A$1004,0)),"Not on Firms tab"))</f>
        <v/>
      </c>
      <c r="N920">
        <f>IF(AND(A920&lt;&gt;"",A920='Firm Search'!$C$7),COUNTIF($A$5:A920,'Firm Search'!$C$7),"")</f>
        <v/>
      </c>
    </row>
    <row r="921">
      <c r="A921" s="5" t="n"/>
      <c r="B921" s="5" t="n"/>
      <c r="C921" s="52" t="n"/>
      <c r="D921" s="52" t="n"/>
      <c r="E921" s="52" t="n"/>
      <c r="F921" s="52" t="n"/>
      <c r="G921" s="52" t="n"/>
      <c r="H921" s="52" t="n"/>
      <c r="I921" s="52" t="n"/>
      <c r="J921" s="52" t="n"/>
      <c r="K921" s="54" t="n"/>
      <c r="L921" s="5" t="n"/>
      <c r="M921" s="53">
        <f>IF(A921="","",IFERROR(INDEX(Firms!$B$5:$B$1004,MATCH(A921,Firms!$A$5:$A$1004,0)),"Not on Firms tab"))</f>
        <v/>
      </c>
      <c r="N921">
        <f>IF(AND(A921&lt;&gt;"",A921='Firm Search'!$C$7),COUNTIF($A$5:A921,'Firm Search'!$C$7),"")</f>
        <v/>
      </c>
    </row>
    <row r="922">
      <c r="A922" s="5" t="n"/>
      <c r="B922" s="5" t="n"/>
      <c r="C922" s="52" t="n"/>
      <c r="D922" s="52" t="n"/>
      <c r="E922" s="52" t="n"/>
      <c r="F922" s="52" t="n"/>
      <c r="G922" s="52" t="n"/>
      <c r="H922" s="52" t="n"/>
      <c r="I922" s="52" t="n"/>
      <c r="J922" s="52" t="n"/>
      <c r="K922" s="54" t="n"/>
      <c r="L922" s="5" t="n"/>
      <c r="M922" s="53">
        <f>IF(A922="","",IFERROR(INDEX(Firms!$B$5:$B$1004,MATCH(A922,Firms!$A$5:$A$1004,0)),"Not on Firms tab"))</f>
        <v/>
      </c>
      <c r="N922">
        <f>IF(AND(A922&lt;&gt;"",A922='Firm Search'!$C$7),COUNTIF($A$5:A922,'Firm Search'!$C$7),"")</f>
        <v/>
      </c>
    </row>
    <row r="923">
      <c r="A923" s="5" t="n"/>
      <c r="B923" s="5" t="n"/>
      <c r="C923" s="52" t="n"/>
      <c r="D923" s="52" t="n"/>
      <c r="E923" s="52" t="n"/>
      <c r="F923" s="52" t="n"/>
      <c r="G923" s="52" t="n"/>
      <c r="H923" s="52" t="n"/>
      <c r="I923" s="52" t="n"/>
      <c r="J923" s="52" t="n"/>
      <c r="K923" s="54" t="n"/>
      <c r="L923" s="5" t="n"/>
      <c r="M923" s="53">
        <f>IF(A923="","",IFERROR(INDEX(Firms!$B$5:$B$1004,MATCH(A923,Firms!$A$5:$A$1004,0)),"Not on Firms tab"))</f>
        <v/>
      </c>
      <c r="N923">
        <f>IF(AND(A923&lt;&gt;"",A923='Firm Search'!$C$7),COUNTIF($A$5:A923,'Firm Search'!$C$7),"")</f>
        <v/>
      </c>
    </row>
    <row r="924">
      <c r="A924" s="5" t="n"/>
      <c r="B924" s="5" t="n"/>
      <c r="C924" s="52" t="n"/>
      <c r="D924" s="52" t="n"/>
      <c r="E924" s="52" t="n"/>
      <c r="F924" s="52" t="n"/>
      <c r="G924" s="52" t="n"/>
      <c r="H924" s="52" t="n"/>
      <c r="I924" s="52" t="n"/>
      <c r="J924" s="52" t="n"/>
      <c r="K924" s="54" t="n"/>
      <c r="L924" s="5" t="n"/>
      <c r="M924" s="53">
        <f>IF(A924="","",IFERROR(INDEX(Firms!$B$5:$B$1004,MATCH(A924,Firms!$A$5:$A$1004,0)),"Not on Firms tab"))</f>
        <v/>
      </c>
      <c r="N924">
        <f>IF(AND(A924&lt;&gt;"",A924='Firm Search'!$C$7),COUNTIF($A$5:A924,'Firm Search'!$C$7),"")</f>
        <v/>
      </c>
    </row>
    <row r="925">
      <c r="A925" s="5" t="n"/>
      <c r="B925" s="5" t="n"/>
      <c r="C925" s="52" t="n"/>
      <c r="D925" s="52" t="n"/>
      <c r="E925" s="52" t="n"/>
      <c r="F925" s="52" t="n"/>
      <c r="G925" s="52" t="n"/>
      <c r="H925" s="52" t="n"/>
      <c r="I925" s="52" t="n"/>
      <c r="J925" s="52" t="n"/>
      <c r="K925" s="54" t="n"/>
      <c r="L925" s="5" t="n"/>
      <c r="M925" s="53">
        <f>IF(A925="","",IFERROR(INDEX(Firms!$B$5:$B$1004,MATCH(A925,Firms!$A$5:$A$1004,0)),"Not on Firms tab"))</f>
        <v/>
      </c>
      <c r="N925">
        <f>IF(AND(A925&lt;&gt;"",A925='Firm Search'!$C$7),COUNTIF($A$5:A925,'Firm Search'!$C$7),"")</f>
        <v/>
      </c>
    </row>
    <row r="926">
      <c r="A926" s="5" t="n"/>
      <c r="B926" s="5" t="n"/>
      <c r="C926" s="52" t="n"/>
      <c r="D926" s="52" t="n"/>
      <c r="E926" s="52" t="n"/>
      <c r="F926" s="52" t="n"/>
      <c r="G926" s="52" t="n"/>
      <c r="H926" s="52" t="n"/>
      <c r="I926" s="52" t="n"/>
      <c r="J926" s="52" t="n"/>
      <c r="K926" s="54" t="n"/>
      <c r="L926" s="5" t="n"/>
      <c r="M926" s="53">
        <f>IF(A926="","",IFERROR(INDEX(Firms!$B$5:$B$1004,MATCH(A926,Firms!$A$5:$A$1004,0)),"Not on Firms tab"))</f>
        <v/>
      </c>
      <c r="N926">
        <f>IF(AND(A926&lt;&gt;"",A926='Firm Search'!$C$7),COUNTIF($A$5:A926,'Firm Search'!$C$7),"")</f>
        <v/>
      </c>
    </row>
    <row r="927">
      <c r="A927" s="5" t="n"/>
      <c r="B927" s="5" t="n"/>
      <c r="C927" s="52" t="n"/>
      <c r="D927" s="52" t="n"/>
      <c r="E927" s="52" t="n"/>
      <c r="F927" s="52" t="n"/>
      <c r="G927" s="52" t="n"/>
      <c r="H927" s="52" t="n"/>
      <c r="I927" s="52" t="n"/>
      <c r="J927" s="52" t="n"/>
      <c r="K927" s="54" t="n"/>
      <c r="L927" s="5" t="n"/>
      <c r="M927" s="53">
        <f>IF(A927="","",IFERROR(INDEX(Firms!$B$5:$B$1004,MATCH(A927,Firms!$A$5:$A$1004,0)),"Not on Firms tab"))</f>
        <v/>
      </c>
      <c r="N927">
        <f>IF(AND(A927&lt;&gt;"",A927='Firm Search'!$C$7),COUNTIF($A$5:A927,'Firm Search'!$C$7),"")</f>
        <v/>
      </c>
    </row>
    <row r="928">
      <c r="A928" s="5" t="n"/>
      <c r="B928" s="5" t="n"/>
      <c r="C928" s="52" t="n"/>
      <c r="D928" s="52" t="n"/>
      <c r="E928" s="52" t="n"/>
      <c r="F928" s="52" t="n"/>
      <c r="G928" s="52" t="n"/>
      <c r="H928" s="52" t="n"/>
      <c r="I928" s="52" t="n"/>
      <c r="J928" s="52" t="n"/>
      <c r="K928" s="54" t="n"/>
      <c r="L928" s="5" t="n"/>
      <c r="M928" s="53">
        <f>IF(A928="","",IFERROR(INDEX(Firms!$B$5:$B$1004,MATCH(A928,Firms!$A$5:$A$1004,0)),"Not on Firms tab"))</f>
        <v/>
      </c>
      <c r="N928">
        <f>IF(AND(A928&lt;&gt;"",A928='Firm Search'!$C$7),COUNTIF($A$5:A928,'Firm Search'!$C$7),"")</f>
        <v/>
      </c>
    </row>
    <row r="929">
      <c r="A929" s="5" t="n"/>
      <c r="B929" s="5" t="n"/>
      <c r="C929" s="52" t="n"/>
      <c r="D929" s="52" t="n"/>
      <c r="E929" s="52" t="n"/>
      <c r="F929" s="52" t="n"/>
      <c r="G929" s="52" t="n"/>
      <c r="H929" s="52" t="n"/>
      <c r="I929" s="52" t="n"/>
      <c r="J929" s="52" t="n"/>
      <c r="K929" s="54" t="n"/>
      <c r="L929" s="5" t="n"/>
      <c r="M929" s="53">
        <f>IF(A929="","",IFERROR(INDEX(Firms!$B$5:$B$1004,MATCH(A929,Firms!$A$5:$A$1004,0)),"Not on Firms tab"))</f>
        <v/>
      </c>
      <c r="N929">
        <f>IF(AND(A929&lt;&gt;"",A929='Firm Search'!$C$7),COUNTIF($A$5:A929,'Firm Search'!$C$7),"")</f>
        <v/>
      </c>
    </row>
    <row r="930">
      <c r="A930" s="5" t="n"/>
      <c r="B930" s="5" t="n"/>
      <c r="C930" s="52" t="n"/>
      <c r="D930" s="52" t="n"/>
      <c r="E930" s="52" t="n"/>
      <c r="F930" s="52" t="n"/>
      <c r="G930" s="52" t="n"/>
      <c r="H930" s="52" t="n"/>
      <c r="I930" s="52" t="n"/>
      <c r="J930" s="52" t="n"/>
      <c r="K930" s="54" t="n"/>
      <c r="L930" s="5" t="n"/>
      <c r="M930" s="53">
        <f>IF(A930="","",IFERROR(INDEX(Firms!$B$5:$B$1004,MATCH(A930,Firms!$A$5:$A$1004,0)),"Not on Firms tab"))</f>
        <v/>
      </c>
      <c r="N930">
        <f>IF(AND(A930&lt;&gt;"",A930='Firm Search'!$C$7),COUNTIF($A$5:A930,'Firm Search'!$C$7),"")</f>
        <v/>
      </c>
    </row>
    <row r="931">
      <c r="A931" s="5" t="n"/>
      <c r="B931" s="5" t="n"/>
      <c r="C931" s="52" t="n"/>
      <c r="D931" s="52" t="n"/>
      <c r="E931" s="52" t="n"/>
      <c r="F931" s="52" t="n"/>
      <c r="G931" s="52" t="n"/>
      <c r="H931" s="52" t="n"/>
      <c r="I931" s="52" t="n"/>
      <c r="J931" s="52" t="n"/>
      <c r="K931" s="54" t="n"/>
      <c r="L931" s="5" t="n"/>
      <c r="M931" s="53">
        <f>IF(A931="","",IFERROR(INDEX(Firms!$B$5:$B$1004,MATCH(A931,Firms!$A$5:$A$1004,0)),"Not on Firms tab"))</f>
        <v/>
      </c>
      <c r="N931">
        <f>IF(AND(A931&lt;&gt;"",A931='Firm Search'!$C$7),COUNTIF($A$5:A931,'Firm Search'!$C$7),"")</f>
        <v/>
      </c>
    </row>
    <row r="932">
      <c r="A932" s="5" t="n"/>
      <c r="B932" s="5" t="n"/>
      <c r="C932" s="52" t="n"/>
      <c r="D932" s="52" t="n"/>
      <c r="E932" s="52" t="n"/>
      <c r="F932" s="52" t="n"/>
      <c r="G932" s="52" t="n"/>
      <c r="H932" s="52" t="n"/>
      <c r="I932" s="52" t="n"/>
      <c r="J932" s="52" t="n"/>
      <c r="K932" s="54" t="n"/>
      <c r="L932" s="5" t="n"/>
      <c r="M932" s="53">
        <f>IF(A932="","",IFERROR(INDEX(Firms!$B$5:$B$1004,MATCH(A932,Firms!$A$5:$A$1004,0)),"Not on Firms tab"))</f>
        <v/>
      </c>
      <c r="N932">
        <f>IF(AND(A932&lt;&gt;"",A932='Firm Search'!$C$7),COUNTIF($A$5:A932,'Firm Search'!$C$7),"")</f>
        <v/>
      </c>
    </row>
    <row r="933">
      <c r="A933" s="5" t="n"/>
      <c r="B933" s="5" t="n"/>
      <c r="C933" s="52" t="n"/>
      <c r="D933" s="52" t="n"/>
      <c r="E933" s="52" t="n"/>
      <c r="F933" s="52" t="n"/>
      <c r="G933" s="52" t="n"/>
      <c r="H933" s="52" t="n"/>
      <c r="I933" s="52" t="n"/>
      <c r="J933" s="52" t="n"/>
      <c r="K933" s="54" t="n"/>
      <c r="L933" s="5" t="n"/>
      <c r="M933" s="53">
        <f>IF(A933="","",IFERROR(INDEX(Firms!$B$5:$B$1004,MATCH(A933,Firms!$A$5:$A$1004,0)),"Not on Firms tab"))</f>
        <v/>
      </c>
      <c r="N933">
        <f>IF(AND(A933&lt;&gt;"",A933='Firm Search'!$C$7),COUNTIF($A$5:A933,'Firm Search'!$C$7),"")</f>
        <v/>
      </c>
    </row>
    <row r="934">
      <c r="A934" s="5" t="n"/>
      <c r="B934" s="5" t="n"/>
      <c r="C934" s="52" t="n"/>
      <c r="D934" s="52" t="n"/>
      <c r="E934" s="52" t="n"/>
      <c r="F934" s="52" t="n"/>
      <c r="G934" s="52" t="n"/>
      <c r="H934" s="52" t="n"/>
      <c r="I934" s="52" t="n"/>
      <c r="J934" s="52" t="n"/>
      <c r="K934" s="54" t="n"/>
      <c r="L934" s="5" t="n"/>
      <c r="M934" s="53">
        <f>IF(A934="","",IFERROR(INDEX(Firms!$B$5:$B$1004,MATCH(A934,Firms!$A$5:$A$1004,0)),"Not on Firms tab"))</f>
        <v/>
      </c>
      <c r="N934">
        <f>IF(AND(A934&lt;&gt;"",A934='Firm Search'!$C$7),COUNTIF($A$5:A934,'Firm Search'!$C$7),"")</f>
        <v/>
      </c>
    </row>
    <row r="935">
      <c r="A935" s="5" t="n"/>
      <c r="B935" s="5" t="n"/>
      <c r="C935" s="52" t="n"/>
      <c r="D935" s="52" t="n"/>
      <c r="E935" s="52" t="n"/>
      <c r="F935" s="52" t="n"/>
      <c r="G935" s="52" t="n"/>
      <c r="H935" s="52" t="n"/>
      <c r="I935" s="52" t="n"/>
      <c r="J935" s="52" t="n"/>
      <c r="K935" s="54" t="n"/>
      <c r="L935" s="5" t="n"/>
      <c r="M935" s="53">
        <f>IF(A935="","",IFERROR(INDEX(Firms!$B$5:$B$1004,MATCH(A935,Firms!$A$5:$A$1004,0)),"Not on Firms tab"))</f>
        <v/>
      </c>
      <c r="N935">
        <f>IF(AND(A935&lt;&gt;"",A935='Firm Search'!$C$7),COUNTIF($A$5:A935,'Firm Search'!$C$7),"")</f>
        <v/>
      </c>
    </row>
    <row r="936">
      <c r="A936" s="5" t="n"/>
      <c r="B936" s="5" t="n"/>
      <c r="C936" s="52" t="n"/>
      <c r="D936" s="52" t="n"/>
      <c r="E936" s="52" t="n"/>
      <c r="F936" s="52" t="n"/>
      <c r="G936" s="52" t="n"/>
      <c r="H936" s="52" t="n"/>
      <c r="I936" s="52" t="n"/>
      <c r="J936" s="52" t="n"/>
      <c r="K936" s="54" t="n"/>
      <c r="L936" s="5" t="n"/>
      <c r="M936" s="53">
        <f>IF(A936="","",IFERROR(INDEX(Firms!$B$5:$B$1004,MATCH(A936,Firms!$A$5:$A$1004,0)),"Not on Firms tab"))</f>
        <v/>
      </c>
      <c r="N936">
        <f>IF(AND(A936&lt;&gt;"",A936='Firm Search'!$C$7),COUNTIF($A$5:A936,'Firm Search'!$C$7),"")</f>
        <v/>
      </c>
    </row>
    <row r="937">
      <c r="A937" s="5" t="n"/>
      <c r="B937" s="5" t="n"/>
      <c r="C937" s="52" t="n"/>
      <c r="D937" s="52" t="n"/>
      <c r="E937" s="52" t="n"/>
      <c r="F937" s="52" t="n"/>
      <c r="G937" s="52" t="n"/>
      <c r="H937" s="52" t="n"/>
      <c r="I937" s="52" t="n"/>
      <c r="J937" s="52" t="n"/>
      <c r="K937" s="54" t="n"/>
      <c r="L937" s="5" t="n"/>
      <c r="M937" s="53">
        <f>IF(A937="","",IFERROR(INDEX(Firms!$B$5:$B$1004,MATCH(A937,Firms!$A$5:$A$1004,0)),"Not on Firms tab"))</f>
        <v/>
      </c>
      <c r="N937">
        <f>IF(AND(A937&lt;&gt;"",A937='Firm Search'!$C$7),COUNTIF($A$5:A937,'Firm Search'!$C$7),"")</f>
        <v/>
      </c>
    </row>
    <row r="938">
      <c r="A938" s="5" t="n"/>
      <c r="B938" s="5" t="n"/>
      <c r="C938" s="52" t="n"/>
      <c r="D938" s="52" t="n"/>
      <c r="E938" s="52" t="n"/>
      <c r="F938" s="52" t="n"/>
      <c r="G938" s="52" t="n"/>
      <c r="H938" s="52" t="n"/>
      <c r="I938" s="52" t="n"/>
      <c r="J938" s="52" t="n"/>
      <c r="K938" s="54" t="n"/>
      <c r="L938" s="5" t="n"/>
      <c r="M938" s="53">
        <f>IF(A938="","",IFERROR(INDEX(Firms!$B$5:$B$1004,MATCH(A938,Firms!$A$5:$A$1004,0)),"Not on Firms tab"))</f>
        <v/>
      </c>
      <c r="N938">
        <f>IF(AND(A938&lt;&gt;"",A938='Firm Search'!$C$7),COUNTIF($A$5:A938,'Firm Search'!$C$7),"")</f>
        <v/>
      </c>
    </row>
    <row r="939">
      <c r="A939" s="5" t="n"/>
      <c r="B939" s="5" t="n"/>
      <c r="C939" s="52" t="n"/>
      <c r="D939" s="52" t="n"/>
      <c r="E939" s="52" t="n"/>
      <c r="F939" s="52" t="n"/>
      <c r="G939" s="52" t="n"/>
      <c r="H939" s="52" t="n"/>
      <c r="I939" s="52" t="n"/>
      <c r="J939" s="52" t="n"/>
      <c r="K939" s="54" t="n"/>
      <c r="L939" s="5" t="n"/>
      <c r="M939" s="53">
        <f>IF(A939="","",IFERROR(INDEX(Firms!$B$5:$B$1004,MATCH(A939,Firms!$A$5:$A$1004,0)),"Not on Firms tab"))</f>
        <v/>
      </c>
      <c r="N939">
        <f>IF(AND(A939&lt;&gt;"",A939='Firm Search'!$C$7),COUNTIF($A$5:A939,'Firm Search'!$C$7),"")</f>
        <v/>
      </c>
    </row>
    <row r="940">
      <c r="A940" s="5" t="n"/>
      <c r="B940" s="5" t="n"/>
      <c r="C940" s="52" t="n"/>
      <c r="D940" s="52" t="n"/>
      <c r="E940" s="52" t="n"/>
      <c r="F940" s="52" t="n"/>
      <c r="G940" s="52" t="n"/>
      <c r="H940" s="52" t="n"/>
      <c r="I940" s="52" t="n"/>
      <c r="J940" s="52" t="n"/>
      <c r="K940" s="54" t="n"/>
      <c r="L940" s="5" t="n"/>
      <c r="M940" s="53">
        <f>IF(A940="","",IFERROR(INDEX(Firms!$B$5:$B$1004,MATCH(A940,Firms!$A$5:$A$1004,0)),"Not on Firms tab"))</f>
        <v/>
      </c>
      <c r="N940">
        <f>IF(AND(A940&lt;&gt;"",A940='Firm Search'!$C$7),COUNTIF($A$5:A940,'Firm Search'!$C$7),"")</f>
        <v/>
      </c>
    </row>
    <row r="941">
      <c r="A941" s="5" t="n"/>
      <c r="B941" s="5" t="n"/>
      <c r="C941" s="52" t="n"/>
      <c r="D941" s="52" t="n"/>
      <c r="E941" s="52" t="n"/>
      <c r="F941" s="52" t="n"/>
      <c r="G941" s="52" t="n"/>
      <c r="H941" s="52" t="n"/>
      <c r="I941" s="52" t="n"/>
      <c r="J941" s="52" t="n"/>
      <c r="K941" s="54" t="n"/>
      <c r="L941" s="5" t="n"/>
      <c r="M941" s="53">
        <f>IF(A941="","",IFERROR(INDEX(Firms!$B$5:$B$1004,MATCH(A941,Firms!$A$5:$A$1004,0)),"Not on Firms tab"))</f>
        <v/>
      </c>
      <c r="N941">
        <f>IF(AND(A941&lt;&gt;"",A941='Firm Search'!$C$7),COUNTIF($A$5:A941,'Firm Search'!$C$7),"")</f>
        <v/>
      </c>
    </row>
    <row r="942">
      <c r="A942" s="5" t="n"/>
      <c r="B942" s="5" t="n"/>
      <c r="C942" s="52" t="n"/>
      <c r="D942" s="52" t="n"/>
      <c r="E942" s="52" t="n"/>
      <c r="F942" s="52" t="n"/>
      <c r="G942" s="52" t="n"/>
      <c r="H942" s="52" t="n"/>
      <c r="I942" s="52" t="n"/>
      <c r="J942" s="52" t="n"/>
      <c r="K942" s="54" t="n"/>
      <c r="L942" s="5" t="n"/>
      <c r="M942" s="53">
        <f>IF(A942="","",IFERROR(INDEX(Firms!$B$5:$B$1004,MATCH(A942,Firms!$A$5:$A$1004,0)),"Not on Firms tab"))</f>
        <v/>
      </c>
      <c r="N942">
        <f>IF(AND(A942&lt;&gt;"",A942='Firm Search'!$C$7),COUNTIF($A$5:A942,'Firm Search'!$C$7),"")</f>
        <v/>
      </c>
    </row>
    <row r="943">
      <c r="A943" s="5" t="n"/>
      <c r="B943" s="5" t="n"/>
      <c r="C943" s="52" t="n"/>
      <c r="D943" s="52" t="n"/>
      <c r="E943" s="52" t="n"/>
      <c r="F943" s="52" t="n"/>
      <c r="G943" s="52" t="n"/>
      <c r="H943" s="52" t="n"/>
      <c r="I943" s="52" t="n"/>
      <c r="J943" s="52" t="n"/>
      <c r="K943" s="54" t="n"/>
      <c r="L943" s="5" t="n"/>
      <c r="M943" s="53">
        <f>IF(A943="","",IFERROR(INDEX(Firms!$B$5:$B$1004,MATCH(A943,Firms!$A$5:$A$1004,0)),"Not on Firms tab"))</f>
        <v/>
      </c>
      <c r="N943">
        <f>IF(AND(A943&lt;&gt;"",A943='Firm Search'!$C$7),COUNTIF($A$5:A943,'Firm Search'!$C$7),"")</f>
        <v/>
      </c>
    </row>
    <row r="944">
      <c r="A944" s="5" t="n"/>
      <c r="B944" s="5" t="n"/>
      <c r="C944" s="52" t="n"/>
      <c r="D944" s="52" t="n"/>
      <c r="E944" s="52" t="n"/>
      <c r="F944" s="52" t="n"/>
      <c r="G944" s="52" t="n"/>
      <c r="H944" s="52" t="n"/>
      <c r="I944" s="52" t="n"/>
      <c r="J944" s="52" t="n"/>
      <c r="K944" s="54" t="n"/>
      <c r="L944" s="5" t="n"/>
      <c r="M944" s="53">
        <f>IF(A944="","",IFERROR(INDEX(Firms!$B$5:$B$1004,MATCH(A944,Firms!$A$5:$A$1004,0)),"Not on Firms tab"))</f>
        <v/>
      </c>
      <c r="N944">
        <f>IF(AND(A944&lt;&gt;"",A944='Firm Search'!$C$7),COUNTIF($A$5:A944,'Firm Search'!$C$7),"")</f>
        <v/>
      </c>
    </row>
    <row r="945">
      <c r="A945" s="5" t="n"/>
      <c r="B945" s="5" t="n"/>
      <c r="C945" s="52" t="n"/>
      <c r="D945" s="52" t="n"/>
      <c r="E945" s="52" t="n"/>
      <c r="F945" s="52" t="n"/>
      <c r="G945" s="52" t="n"/>
      <c r="H945" s="52" t="n"/>
      <c r="I945" s="52" t="n"/>
      <c r="J945" s="52" t="n"/>
      <c r="K945" s="54" t="n"/>
      <c r="L945" s="5" t="n"/>
      <c r="M945" s="53">
        <f>IF(A945="","",IFERROR(INDEX(Firms!$B$5:$B$1004,MATCH(A945,Firms!$A$5:$A$1004,0)),"Not on Firms tab"))</f>
        <v/>
      </c>
      <c r="N945">
        <f>IF(AND(A945&lt;&gt;"",A945='Firm Search'!$C$7),COUNTIF($A$5:A945,'Firm Search'!$C$7),"")</f>
        <v/>
      </c>
    </row>
    <row r="946">
      <c r="A946" s="5" t="n"/>
      <c r="B946" s="5" t="n"/>
      <c r="C946" s="52" t="n"/>
      <c r="D946" s="52" t="n"/>
      <c r="E946" s="52" t="n"/>
      <c r="F946" s="52" t="n"/>
      <c r="G946" s="52" t="n"/>
      <c r="H946" s="52" t="n"/>
      <c r="I946" s="52" t="n"/>
      <c r="J946" s="52" t="n"/>
      <c r="K946" s="54" t="n"/>
      <c r="L946" s="5" t="n"/>
      <c r="M946" s="53">
        <f>IF(A946="","",IFERROR(INDEX(Firms!$B$5:$B$1004,MATCH(A946,Firms!$A$5:$A$1004,0)),"Not on Firms tab"))</f>
        <v/>
      </c>
      <c r="N946">
        <f>IF(AND(A946&lt;&gt;"",A946='Firm Search'!$C$7),COUNTIF($A$5:A946,'Firm Search'!$C$7),"")</f>
        <v/>
      </c>
    </row>
    <row r="947">
      <c r="A947" s="5" t="n"/>
      <c r="B947" s="5" t="n"/>
      <c r="C947" s="52" t="n"/>
      <c r="D947" s="52" t="n"/>
      <c r="E947" s="52" t="n"/>
      <c r="F947" s="52" t="n"/>
      <c r="G947" s="52" t="n"/>
      <c r="H947" s="52" t="n"/>
      <c r="I947" s="52" t="n"/>
      <c r="J947" s="52" t="n"/>
      <c r="K947" s="54" t="n"/>
      <c r="L947" s="5" t="n"/>
      <c r="M947" s="53">
        <f>IF(A947="","",IFERROR(INDEX(Firms!$B$5:$B$1004,MATCH(A947,Firms!$A$5:$A$1004,0)),"Not on Firms tab"))</f>
        <v/>
      </c>
      <c r="N947">
        <f>IF(AND(A947&lt;&gt;"",A947='Firm Search'!$C$7),COUNTIF($A$5:A947,'Firm Search'!$C$7),"")</f>
        <v/>
      </c>
    </row>
    <row r="948">
      <c r="A948" s="5" t="n"/>
      <c r="B948" s="5" t="n"/>
      <c r="C948" s="52" t="n"/>
      <c r="D948" s="52" t="n"/>
      <c r="E948" s="52" t="n"/>
      <c r="F948" s="52" t="n"/>
      <c r="G948" s="52" t="n"/>
      <c r="H948" s="52" t="n"/>
      <c r="I948" s="52" t="n"/>
      <c r="J948" s="52" t="n"/>
      <c r="K948" s="54" t="n"/>
      <c r="L948" s="5" t="n"/>
      <c r="M948" s="53">
        <f>IF(A948="","",IFERROR(INDEX(Firms!$B$5:$B$1004,MATCH(A948,Firms!$A$5:$A$1004,0)),"Not on Firms tab"))</f>
        <v/>
      </c>
      <c r="N948">
        <f>IF(AND(A948&lt;&gt;"",A948='Firm Search'!$C$7),COUNTIF($A$5:A948,'Firm Search'!$C$7),"")</f>
        <v/>
      </c>
    </row>
    <row r="949">
      <c r="A949" s="5" t="n"/>
      <c r="B949" s="5" t="n"/>
      <c r="C949" s="52" t="n"/>
      <c r="D949" s="52" t="n"/>
      <c r="E949" s="52" t="n"/>
      <c r="F949" s="52" t="n"/>
      <c r="G949" s="52" t="n"/>
      <c r="H949" s="52" t="n"/>
      <c r="I949" s="52" t="n"/>
      <c r="J949" s="52" t="n"/>
      <c r="K949" s="54" t="n"/>
      <c r="L949" s="5" t="n"/>
      <c r="M949" s="53">
        <f>IF(A949="","",IFERROR(INDEX(Firms!$B$5:$B$1004,MATCH(A949,Firms!$A$5:$A$1004,0)),"Not on Firms tab"))</f>
        <v/>
      </c>
      <c r="N949">
        <f>IF(AND(A949&lt;&gt;"",A949='Firm Search'!$C$7),COUNTIF($A$5:A949,'Firm Search'!$C$7),"")</f>
        <v/>
      </c>
    </row>
    <row r="950">
      <c r="A950" s="5" t="n"/>
      <c r="B950" s="5" t="n"/>
      <c r="C950" s="52" t="n"/>
      <c r="D950" s="52" t="n"/>
      <c r="E950" s="52" t="n"/>
      <c r="F950" s="52" t="n"/>
      <c r="G950" s="52" t="n"/>
      <c r="H950" s="52" t="n"/>
      <c r="I950" s="52" t="n"/>
      <c r="J950" s="52" t="n"/>
      <c r="K950" s="54" t="n"/>
      <c r="L950" s="5" t="n"/>
      <c r="M950" s="53">
        <f>IF(A950="","",IFERROR(INDEX(Firms!$B$5:$B$1004,MATCH(A950,Firms!$A$5:$A$1004,0)),"Not on Firms tab"))</f>
        <v/>
      </c>
      <c r="N950">
        <f>IF(AND(A950&lt;&gt;"",A950='Firm Search'!$C$7),COUNTIF($A$5:A950,'Firm Search'!$C$7),"")</f>
        <v/>
      </c>
    </row>
    <row r="951">
      <c r="A951" s="5" t="n"/>
      <c r="B951" s="5" t="n"/>
      <c r="C951" s="52" t="n"/>
      <c r="D951" s="52" t="n"/>
      <c r="E951" s="52" t="n"/>
      <c r="F951" s="52" t="n"/>
      <c r="G951" s="52" t="n"/>
      <c r="H951" s="52" t="n"/>
      <c r="I951" s="52" t="n"/>
      <c r="J951" s="52" t="n"/>
      <c r="K951" s="54" t="n"/>
      <c r="L951" s="5" t="n"/>
      <c r="M951" s="53">
        <f>IF(A951="","",IFERROR(INDEX(Firms!$B$5:$B$1004,MATCH(A951,Firms!$A$5:$A$1004,0)),"Not on Firms tab"))</f>
        <v/>
      </c>
      <c r="N951">
        <f>IF(AND(A951&lt;&gt;"",A951='Firm Search'!$C$7),COUNTIF($A$5:A951,'Firm Search'!$C$7),"")</f>
        <v/>
      </c>
    </row>
    <row r="952">
      <c r="A952" s="5" t="n"/>
      <c r="B952" s="5" t="n"/>
      <c r="C952" s="52" t="n"/>
      <c r="D952" s="52" t="n"/>
      <c r="E952" s="52" t="n"/>
      <c r="F952" s="52" t="n"/>
      <c r="G952" s="52" t="n"/>
      <c r="H952" s="52" t="n"/>
      <c r="I952" s="52" t="n"/>
      <c r="J952" s="52" t="n"/>
      <c r="K952" s="54" t="n"/>
      <c r="L952" s="5" t="n"/>
      <c r="M952" s="53">
        <f>IF(A952="","",IFERROR(INDEX(Firms!$B$5:$B$1004,MATCH(A952,Firms!$A$5:$A$1004,0)),"Not on Firms tab"))</f>
        <v/>
      </c>
      <c r="N952">
        <f>IF(AND(A952&lt;&gt;"",A952='Firm Search'!$C$7),COUNTIF($A$5:A952,'Firm Search'!$C$7),"")</f>
        <v/>
      </c>
    </row>
    <row r="953">
      <c r="A953" s="5" t="n"/>
      <c r="B953" s="5" t="n"/>
      <c r="C953" s="52" t="n"/>
      <c r="D953" s="52" t="n"/>
      <c r="E953" s="52" t="n"/>
      <c r="F953" s="52" t="n"/>
      <c r="G953" s="52" t="n"/>
      <c r="H953" s="52" t="n"/>
      <c r="I953" s="52" t="n"/>
      <c r="J953" s="52" t="n"/>
      <c r="K953" s="54" t="n"/>
      <c r="L953" s="5" t="n"/>
      <c r="M953" s="53">
        <f>IF(A953="","",IFERROR(INDEX(Firms!$B$5:$B$1004,MATCH(A953,Firms!$A$5:$A$1004,0)),"Not on Firms tab"))</f>
        <v/>
      </c>
      <c r="N953">
        <f>IF(AND(A953&lt;&gt;"",A953='Firm Search'!$C$7),COUNTIF($A$5:A953,'Firm Search'!$C$7),"")</f>
        <v/>
      </c>
    </row>
    <row r="954">
      <c r="A954" s="5" t="n"/>
      <c r="B954" s="5" t="n"/>
      <c r="C954" s="52" t="n"/>
      <c r="D954" s="52" t="n"/>
      <c r="E954" s="52" t="n"/>
      <c r="F954" s="52" t="n"/>
      <c r="G954" s="52" t="n"/>
      <c r="H954" s="52" t="n"/>
      <c r="I954" s="52" t="n"/>
      <c r="J954" s="52" t="n"/>
      <c r="K954" s="54" t="n"/>
      <c r="L954" s="5" t="n"/>
      <c r="M954" s="53">
        <f>IF(A954="","",IFERROR(INDEX(Firms!$B$5:$B$1004,MATCH(A954,Firms!$A$5:$A$1004,0)),"Not on Firms tab"))</f>
        <v/>
      </c>
      <c r="N954">
        <f>IF(AND(A954&lt;&gt;"",A954='Firm Search'!$C$7),COUNTIF($A$5:A954,'Firm Search'!$C$7),"")</f>
        <v/>
      </c>
    </row>
    <row r="955">
      <c r="A955" s="5" t="n"/>
      <c r="B955" s="5" t="n"/>
      <c r="C955" s="52" t="n"/>
      <c r="D955" s="52" t="n"/>
      <c r="E955" s="52" t="n"/>
      <c r="F955" s="52" t="n"/>
      <c r="G955" s="52" t="n"/>
      <c r="H955" s="52" t="n"/>
      <c r="I955" s="52" t="n"/>
      <c r="J955" s="52" t="n"/>
      <c r="K955" s="54" t="n"/>
      <c r="L955" s="5" t="n"/>
      <c r="M955" s="53">
        <f>IF(A955="","",IFERROR(INDEX(Firms!$B$5:$B$1004,MATCH(A955,Firms!$A$5:$A$1004,0)),"Not on Firms tab"))</f>
        <v/>
      </c>
      <c r="N955">
        <f>IF(AND(A955&lt;&gt;"",A955='Firm Search'!$C$7),COUNTIF($A$5:A955,'Firm Search'!$C$7),"")</f>
        <v/>
      </c>
    </row>
    <row r="956">
      <c r="A956" s="5" t="n"/>
      <c r="B956" s="5" t="n"/>
      <c r="C956" s="52" t="n"/>
      <c r="D956" s="52" t="n"/>
      <c r="E956" s="52" t="n"/>
      <c r="F956" s="52" t="n"/>
      <c r="G956" s="52" t="n"/>
      <c r="H956" s="52" t="n"/>
      <c r="I956" s="52" t="n"/>
      <c r="J956" s="52" t="n"/>
      <c r="K956" s="54" t="n"/>
      <c r="L956" s="5" t="n"/>
      <c r="M956" s="53">
        <f>IF(A956="","",IFERROR(INDEX(Firms!$B$5:$B$1004,MATCH(A956,Firms!$A$5:$A$1004,0)),"Not on Firms tab"))</f>
        <v/>
      </c>
      <c r="N956">
        <f>IF(AND(A956&lt;&gt;"",A956='Firm Search'!$C$7),COUNTIF($A$5:A956,'Firm Search'!$C$7),"")</f>
        <v/>
      </c>
    </row>
    <row r="957">
      <c r="A957" s="5" t="n"/>
      <c r="B957" s="5" t="n"/>
      <c r="C957" s="52" t="n"/>
      <c r="D957" s="52" t="n"/>
      <c r="E957" s="52" t="n"/>
      <c r="F957" s="52" t="n"/>
      <c r="G957" s="52" t="n"/>
      <c r="H957" s="52" t="n"/>
      <c r="I957" s="52" t="n"/>
      <c r="J957" s="52" t="n"/>
      <c r="K957" s="54" t="n"/>
      <c r="L957" s="5" t="n"/>
      <c r="M957" s="53">
        <f>IF(A957="","",IFERROR(INDEX(Firms!$B$5:$B$1004,MATCH(A957,Firms!$A$5:$A$1004,0)),"Not on Firms tab"))</f>
        <v/>
      </c>
      <c r="N957">
        <f>IF(AND(A957&lt;&gt;"",A957='Firm Search'!$C$7),COUNTIF($A$5:A957,'Firm Search'!$C$7),"")</f>
        <v/>
      </c>
    </row>
    <row r="958">
      <c r="A958" s="5" t="n"/>
      <c r="B958" s="5" t="n"/>
      <c r="C958" s="52" t="n"/>
      <c r="D958" s="52" t="n"/>
      <c r="E958" s="52" t="n"/>
      <c r="F958" s="52" t="n"/>
      <c r="G958" s="52" t="n"/>
      <c r="H958" s="52" t="n"/>
      <c r="I958" s="52" t="n"/>
      <c r="J958" s="52" t="n"/>
      <c r="K958" s="54" t="n"/>
      <c r="L958" s="5" t="n"/>
      <c r="M958" s="53">
        <f>IF(A958="","",IFERROR(INDEX(Firms!$B$5:$B$1004,MATCH(A958,Firms!$A$5:$A$1004,0)),"Not on Firms tab"))</f>
        <v/>
      </c>
      <c r="N958">
        <f>IF(AND(A958&lt;&gt;"",A958='Firm Search'!$C$7),COUNTIF($A$5:A958,'Firm Search'!$C$7),"")</f>
        <v/>
      </c>
    </row>
    <row r="959">
      <c r="A959" s="5" t="n"/>
      <c r="B959" s="5" t="n"/>
      <c r="C959" s="52" t="n"/>
      <c r="D959" s="52" t="n"/>
      <c r="E959" s="52" t="n"/>
      <c r="F959" s="52" t="n"/>
      <c r="G959" s="52" t="n"/>
      <c r="H959" s="52" t="n"/>
      <c r="I959" s="52" t="n"/>
      <c r="J959" s="52" t="n"/>
      <c r="K959" s="54" t="n"/>
      <c r="L959" s="5" t="n"/>
      <c r="M959" s="53">
        <f>IF(A959="","",IFERROR(INDEX(Firms!$B$5:$B$1004,MATCH(A959,Firms!$A$5:$A$1004,0)),"Not on Firms tab"))</f>
        <v/>
      </c>
      <c r="N959">
        <f>IF(AND(A959&lt;&gt;"",A959='Firm Search'!$C$7),COUNTIF($A$5:A959,'Firm Search'!$C$7),"")</f>
        <v/>
      </c>
    </row>
    <row r="960">
      <c r="A960" s="5" t="n"/>
      <c r="B960" s="5" t="n"/>
      <c r="C960" s="52" t="n"/>
      <c r="D960" s="52" t="n"/>
      <c r="E960" s="52" t="n"/>
      <c r="F960" s="52" t="n"/>
      <c r="G960" s="52" t="n"/>
      <c r="H960" s="52" t="n"/>
      <c r="I960" s="52" t="n"/>
      <c r="J960" s="52" t="n"/>
      <c r="K960" s="54" t="n"/>
      <c r="L960" s="5" t="n"/>
      <c r="M960" s="53">
        <f>IF(A960="","",IFERROR(INDEX(Firms!$B$5:$B$1004,MATCH(A960,Firms!$A$5:$A$1004,0)),"Not on Firms tab"))</f>
        <v/>
      </c>
      <c r="N960">
        <f>IF(AND(A960&lt;&gt;"",A960='Firm Search'!$C$7),COUNTIF($A$5:A960,'Firm Search'!$C$7),"")</f>
        <v/>
      </c>
    </row>
    <row r="961">
      <c r="A961" s="5" t="n"/>
      <c r="B961" s="5" t="n"/>
      <c r="C961" s="52" t="n"/>
      <c r="D961" s="52" t="n"/>
      <c r="E961" s="52" t="n"/>
      <c r="F961" s="52" t="n"/>
      <c r="G961" s="52" t="n"/>
      <c r="H961" s="52" t="n"/>
      <c r="I961" s="52" t="n"/>
      <c r="J961" s="52" t="n"/>
      <c r="K961" s="54" t="n"/>
      <c r="L961" s="5" t="n"/>
      <c r="M961" s="53">
        <f>IF(A961="","",IFERROR(INDEX(Firms!$B$5:$B$1004,MATCH(A961,Firms!$A$5:$A$1004,0)),"Not on Firms tab"))</f>
        <v/>
      </c>
      <c r="N961">
        <f>IF(AND(A961&lt;&gt;"",A961='Firm Search'!$C$7),COUNTIF($A$5:A961,'Firm Search'!$C$7),"")</f>
        <v/>
      </c>
    </row>
    <row r="962">
      <c r="A962" s="5" t="n"/>
      <c r="B962" s="5" t="n"/>
      <c r="C962" s="52" t="n"/>
      <c r="D962" s="52" t="n"/>
      <c r="E962" s="52" t="n"/>
      <c r="F962" s="52" t="n"/>
      <c r="G962" s="52" t="n"/>
      <c r="H962" s="52" t="n"/>
      <c r="I962" s="52" t="n"/>
      <c r="J962" s="52" t="n"/>
      <c r="K962" s="54" t="n"/>
      <c r="L962" s="5" t="n"/>
      <c r="M962" s="53">
        <f>IF(A962="","",IFERROR(INDEX(Firms!$B$5:$B$1004,MATCH(A962,Firms!$A$5:$A$1004,0)),"Not on Firms tab"))</f>
        <v/>
      </c>
      <c r="N962">
        <f>IF(AND(A962&lt;&gt;"",A962='Firm Search'!$C$7),COUNTIF($A$5:A962,'Firm Search'!$C$7),"")</f>
        <v/>
      </c>
    </row>
    <row r="963">
      <c r="A963" s="5" t="n"/>
      <c r="B963" s="5" t="n"/>
      <c r="C963" s="52" t="n"/>
      <c r="D963" s="52" t="n"/>
      <c r="E963" s="52" t="n"/>
      <c r="F963" s="52" t="n"/>
      <c r="G963" s="52" t="n"/>
      <c r="H963" s="52" t="n"/>
      <c r="I963" s="52" t="n"/>
      <c r="J963" s="52" t="n"/>
      <c r="K963" s="54" t="n"/>
      <c r="L963" s="5" t="n"/>
      <c r="M963" s="53">
        <f>IF(A963="","",IFERROR(INDEX(Firms!$B$5:$B$1004,MATCH(A963,Firms!$A$5:$A$1004,0)),"Not on Firms tab"))</f>
        <v/>
      </c>
      <c r="N963">
        <f>IF(AND(A963&lt;&gt;"",A963='Firm Search'!$C$7),COUNTIF($A$5:A963,'Firm Search'!$C$7),"")</f>
        <v/>
      </c>
    </row>
    <row r="964">
      <c r="A964" s="5" t="n"/>
      <c r="B964" s="5" t="n"/>
      <c r="C964" s="52" t="n"/>
      <c r="D964" s="52" t="n"/>
      <c r="E964" s="52" t="n"/>
      <c r="F964" s="52" t="n"/>
      <c r="G964" s="52" t="n"/>
      <c r="H964" s="52" t="n"/>
      <c r="I964" s="52" t="n"/>
      <c r="J964" s="52" t="n"/>
      <c r="K964" s="54" t="n"/>
      <c r="L964" s="5" t="n"/>
      <c r="M964" s="53">
        <f>IF(A964="","",IFERROR(INDEX(Firms!$B$5:$B$1004,MATCH(A964,Firms!$A$5:$A$1004,0)),"Not on Firms tab"))</f>
        <v/>
      </c>
      <c r="N964">
        <f>IF(AND(A964&lt;&gt;"",A964='Firm Search'!$C$7),COUNTIF($A$5:A964,'Firm Search'!$C$7),"")</f>
        <v/>
      </c>
    </row>
    <row r="965">
      <c r="A965" s="5" t="n"/>
      <c r="B965" s="5" t="n"/>
      <c r="C965" s="52" t="n"/>
      <c r="D965" s="52" t="n"/>
      <c r="E965" s="52" t="n"/>
      <c r="F965" s="52" t="n"/>
      <c r="G965" s="52" t="n"/>
      <c r="H965" s="52" t="n"/>
      <c r="I965" s="52" t="n"/>
      <c r="J965" s="52" t="n"/>
      <c r="K965" s="54" t="n"/>
      <c r="L965" s="5" t="n"/>
      <c r="M965" s="53">
        <f>IF(A965="","",IFERROR(INDEX(Firms!$B$5:$B$1004,MATCH(A965,Firms!$A$5:$A$1004,0)),"Not on Firms tab"))</f>
        <v/>
      </c>
      <c r="N965">
        <f>IF(AND(A965&lt;&gt;"",A965='Firm Search'!$C$7),COUNTIF($A$5:A965,'Firm Search'!$C$7),"")</f>
        <v/>
      </c>
    </row>
    <row r="966">
      <c r="A966" s="5" t="n"/>
      <c r="B966" s="5" t="n"/>
      <c r="C966" s="52" t="n"/>
      <c r="D966" s="52" t="n"/>
      <c r="E966" s="52" t="n"/>
      <c r="F966" s="52" t="n"/>
      <c r="G966" s="52" t="n"/>
      <c r="H966" s="52" t="n"/>
      <c r="I966" s="52" t="n"/>
      <c r="J966" s="52" t="n"/>
      <c r="K966" s="54" t="n"/>
      <c r="L966" s="5" t="n"/>
      <c r="M966" s="53">
        <f>IF(A966="","",IFERROR(INDEX(Firms!$B$5:$B$1004,MATCH(A966,Firms!$A$5:$A$1004,0)),"Not on Firms tab"))</f>
        <v/>
      </c>
      <c r="N966">
        <f>IF(AND(A966&lt;&gt;"",A966='Firm Search'!$C$7),COUNTIF($A$5:A966,'Firm Search'!$C$7),"")</f>
        <v/>
      </c>
    </row>
    <row r="967">
      <c r="A967" s="5" t="n"/>
      <c r="B967" s="5" t="n"/>
      <c r="C967" s="52" t="n"/>
      <c r="D967" s="52" t="n"/>
      <c r="E967" s="52" t="n"/>
      <c r="F967" s="52" t="n"/>
      <c r="G967" s="52" t="n"/>
      <c r="H967" s="52" t="n"/>
      <c r="I967" s="52" t="n"/>
      <c r="J967" s="52" t="n"/>
      <c r="K967" s="54" t="n"/>
      <c r="L967" s="5" t="n"/>
      <c r="M967" s="53">
        <f>IF(A967="","",IFERROR(INDEX(Firms!$B$5:$B$1004,MATCH(A967,Firms!$A$5:$A$1004,0)),"Not on Firms tab"))</f>
        <v/>
      </c>
      <c r="N967">
        <f>IF(AND(A967&lt;&gt;"",A967='Firm Search'!$C$7),COUNTIF($A$5:A967,'Firm Search'!$C$7),"")</f>
        <v/>
      </c>
    </row>
    <row r="968">
      <c r="A968" s="5" t="n"/>
      <c r="B968" s="5" t="n"/>
      <c r="C968" s="52" t="n"/>
      <c r="D968" s="52" t="n"/>
      <c r="E968" s="52" t="n"/>
      <c r="F968" s="52" t="n"/>
      <c r="G968" s="52" t="n"/>
      <c r="H968" s="52" t="n"/>
      <c r="I968" s="52" t="n"/>
      <c r="J968" s="52" t="n"/>
      <c r="K968" s="54" t="n"/>
      <c r="L968" s="5" t="n"/>
      <c r="M968" s="53">
        <f>IF(A968="","",IFERROR(INDEX(Firms!$B$5:$B$1004,MATCH(A968,Firms!$A$5:$A$1004,0)),"Not on Firms tab"))</f>
        <v/>
      </c>
      <c r="N968">
        <f>IF(AND(A968&lt;&gt;"",A968='Firm Search'!$C$7),COUNTIF($A$5:A968,'Firm Search'!$C$7),"")</f>
        <v/>
      </c>
    </row>
    <row r="969">
      <c r="A969" s="5" t="n"/>
      <c r="B969" s="5" t="n"/>
      <c r="C969" s="52" t="n"/>
      <c r="D969" s="52" t="n"/>
      <c r="E969" s="52" t="n"/>
      <c r="F969" s="52" t="n"/>
      <c r="G969" s="52" t="n"/>
      <c r="H969" s="52" t="n"/>
      <c r="I969" s="52" t="n"/>
      <c r="J969" s="52" t="n"/>
      <c r="K969" s="54" t="n"/>
      <c r="L969" s="5" t="n"/>
      <c r="M969" s="53">
        <f>IF(A969="","",IFERROR(INDEX(Firms!$B$5:$B$1004,MATCH(A969,Firms!$A$5:$A$1004,0)),"Not on Firms tab"))</f>
        <v/>
      </c>
      <c r="N969">
        <f>IF(AND(A969&lt;&gt;"",A969='Firm Search'!$C$7),COUNTIF($A$5:A969,'Firm Search'!$C$7),"")</f>
        <v/>
      </c>
    </row>
    <row r="970">
      <c r="A970" s="5" t="n"/>
      <c r="B970" s="5" t="n"/>
      <c r="C970" s="52" t="n"/>
      <c r="D970" s="52" t="n"/>
      <c r="E970" s="52" t="n"/>
      <c r="F970" s="52" t="n"/>
      <c r="G970" s="52" t="n"/>
      <c r="H970" s="52" t="n"/>
      <c r="I970" s="52" t="n"/>
      <c r="J970" s="52" t="n"/>
      <c r="K970" s="54" t="n"/>
      <c r="L970" s="5" t="n"/>
      <c r="M970" s="53">
        <f>IF(A970="","",IFERROR(INDEX(Firms!$B$5:$B$1004,MATCH(A970,Firms!$A$5:$A$1004,0)),"Not on Firms tab"))</f>
        <v/>
      </c>
      <c r="N970">
        <f>IF(AND(A970&lt;&gt;"",A970='Firm Search'!$C$7),COUNTIF($A$5:A970,'Firm Search'!$C$7),"")</f>
        <v/>
      </c>
    </row>
    <row r="971">
      <c r="A971" s="5" t="n"/>
      <c r="B971" s="5" t="n"/>
      <c r="C971" s="52" t="n"/>
      <c r="D971" s="52" t="n"/>
      <c r="E971" s="52" t="n"/>
      <c r="F971" s="52" t="n"/>
      <c r="G971" s="52" t="n"/>
      <c r="H971" s="52" t="n"/>
      <c r="I971" s="52" t="n"/>
      <c r="J971" s="52" t="n"/>
      <c r="K971" s="54" t="n"/>
      <c r="L971" s="5" t="n"/>
      <c r="M971" s="53">
        <f>IF(A971="","",IFERROR(INDEX(Firms!$B$5:$B$1004,MATCH(A971,Firms!$A$5:$A$1004,0)),"Not on Firms tab"))</f>
        <v/>
      </c>
      <c r="N971">
        <f>IF(AND(A971&lt;&gt;"",A971='Firm Search'!$C$7),COUNTIF($A$5:A971,'Firm Search'!$C$7),"")</f>
        <v/>
      </c>
    </row>
    <row r="972">
      <c r="A972" s="5" t="n"/>
      <c r="B972" s="5" t="n"/>
      <c r="C972" s="52" t="n"/>
      <c r="D972" s="52" t="n"/>
      <c r="E972" s="52" t="n"/>
      <c r="F972" s="52" t="n"/>
      <c r="G972" s="52" t="n"/>
      <c r="H972" s="52" t="n"/>
      <c r="I972" s="52" t="n"/>
      <c r="J972" s="52" t="n"/>
      <c r="K972" s="54" t="n"/>
      <c r="L972" s="5" t="n"/>
      <c r="M972" s="53">
        <f>IF(A972="","",IFERROR(INDEX(Firms!$B$5:$B$1004,MATCH(A972,Firms!$A$5:$A$1004,0)),"Not on Firms tab"))</f>
        <v/>
      </c>
      <c r="N972">
        <f>IF(AND(A972&lt;&gt;"",A972='Firm Search'!$C$7),COUNTIF($A$5:A972,'Firm Search'!$C$7),"")</f>
        <v/>
      </c>
    </row>
    <row r="973">
      <c r="A973" s="5" t="n"/>
      <c r="B973" s="5" t="n"/>
      <c r="C973" s="52" t="n"/>
      <c r="D973" s="52" t="n"/>
      <c r="E973" s="52" t="n"/>
      <c r="F973" s="52" t="n"/>
      <c r="G973" s="52" t="n"/>
      <c r="H973" s="52" t="n"/>
      <c r="I973" s="52" t="n"/>
      <c r="J973" s="52" t="n"/>
      <c r="K973" s="54" t="n"/>
      <c r="L973" s="5" t="n"/>
      <c r="M973" s="53">
        <f>IF(A973="","",IFERROR(INDEX(Firms!$B$5:$B$1004,MATCH(A973,Firms!$A$5:$A$1004,0)),"Not on Firms tab"))</f>
        <v/>
      </c>
      <c r="N973">
        <f>IF(AND(A973&lt;&gt;"",A973='Firm Search'!$C$7),COUNTIF($A$5:A973,'Firm Search'!$C$7),"")</f>
        <v/>
      </c>
    </row>
    <row r="974">
      <c r="A974" s="5" t="n"/>
      <c r="B974" s="5" t="n"/>
      <c r="C974" s="52" t="n"/>
      <c r="D974" s="52" t="n"/>
      <c r="E974" s="52" t="n"/>
      <c r="F974" s="52" t="n"/>
      <c r="G974" s="52" t="n"/>
      <c r="H974" s="52" t="n"/>
      <c r="I974" s="52" t="n"/>
      <c r="J974" s="52" t="n"/>
      <c r="K974" s="54" t="n"/>
      <c r="L974" s="5" t="n"/>
      <c r="M974" s="53">
        <f>IF(A974="","",IFERROR(INDEX(Firms!$B$5:$B$1004,MATCH(A974,Firms!$A$5:$A$1004,0)),"Not on Firms tab"))</f>
        <v/>
      </c>
      <c r="N974">
        <f>IF(AND(A974&lt;&gt;"",A974='Firm Search'!$C$7),COUNTIF($A$5:A974,'Firm Search'!$C$7),"")</f>
        <v/>
      </c>
    </row>
    <row r="975">
      <c r="A975" s="5" t="n"/>
      <c r="B975" s="5" t="n"/>
      <c r="C975" s="52" t="n"/>
      <c r="D975" s="52" t="n"/>
      <c r="E975" s="52" t="n"/>
      <c r="F975" s="52" t="n"/>
      <c r="G975" s="52" t="n"/>
      <c r="H975" s="52" t="n"/>
      <c r="I975" s="52" t="n"/>
      <c r="J975" s="52" t="n"/>
      <c r="K975" s="54" t="n"/>
      <c r="L975" s="5" t="n"/>
      <c r="M975" s="53">
        <f>IF(A975="","",IFERROR(INDEX(Firms!$B$5:$B$1004,MATCH(A975,Firms!$A$5:$A$1004,0)),"Not on Firms tab"))</f>
        <v/>
      </c>
      <c r="N975">
        <f>IF(AND(A975&lt;&gt;"",A975='Firm Search'!$C$7),COUNTIF($A$5:A975,'Firm Search'!$C$7),"")</f>
        <v/>
      </c>
    </row>
    <row r="976">
      <c r="A976" s="5" t="n"/>
      <c r="B976" s="5" t="n"/>
      <c r="C976" s="52" t="n"/>
      <c r="D976" s="52" t="n"/>
      <c r="E976" s="52" t="n"/>
      <c r="F976" s="52" t="n"/>
      <c r="G976" s="52" t="n"/>
      <c r="H976" s="52" t="n"/>
      <c r="I976" s="52" t="n"/>
      <c r="J976" s="52" t="n"/>
      <c r="K976" s="54" t="n"/>
      <c r="L976" s="5" t="n"/>
      <c r="M976" s="53">
        <f>IF(A976="","",IFERROR(INDEX(Firms!$B$5:$B$1004,MATCH(A976,Firms!$A$5:$A$1004,0)),"Not on Firms tab"))</f>
        <v/>
      </c>
      <c r="N976">
        <f>IF(AND(A976&lt;&gt;"",A976='Firm Search'!$C$7),COUNTIF($A$5:A976,'Firm Search'!$C$7),"")</f>
        <v/>
      </c>
    </row>
    <row r="977">
      <c r="A977" s="5" t="n"/>
      <c r="B977" s="5" t="n"/>
      <c r="C977" s="52" t="n"/>
      <c r="D977" s="52" t="n"/>
      <c r="E977" s="52" t="n"/>
      <c r="F977" s="52" t="n"/>
      <c r="G977" s="52" t="n"/>
      <c r="H977" s="52" t="n"/>
      <c r="I977" s="52" t="n"/>
      <c r="J977" s="52" t="n"/>
      <c r="K977" s="54" t="n"/>
      <c r="L977" s="5" t="n"/>
      <c r="M977" s="53">
        <f>IF(A977="","",IFERROR(INDEX(Firms!$B$5:$B$1004,MATCH(A977,Firms!$A$5:$A$1004,0)),"Not on Firms tab"))</f>
        <v/>
      </c>
      <c r="N977">
        <f>IF(AND(A977&lt;&gt;"",A977='Firm Search'!$C$7),COUNTIF($A$5:A977,'Firm Search'!$C$7),"")</f>
        <v/>
      </c>
    </row>
    <row r="978">
      <c r="A978" s="5" t="n"/>
      <c r="B978" s="5" t="n"/>
      <c r="C978" s="52" t="n"/>
      <c r="D978" s="52" t="n"/>
      <c r="E978" s="52" t="n"/>
      <c r="F978" s="52" t="n"/>
      <c r="G978" s="52" t="n"/>
      <c r="H978" s="52" t="n"/>
      <c r="I978" s="52" t="n"/>
      <c r="J978" s="52" t="n"/>
      <c r="K978" s="54" t="n"/>
      <c r="L978" s="5" t="n"/>
      <c r="M978" s="53">
        <f>IF(A978="","",IFERROR(INDEX(Firms!$B$5:$B$1004,MATCH(A978,Firms!$A$5:$A$1004,0)),"Not on Firms tab"))</f>
        <v/>
      </c>
      <c r="N978">
        <f>IF(AND(A978&lt;&gt;"",A978='Firm Search'!$C$7),COUNTIF($A$5:A978,'Firm Search'!$C$7),"")</f>
        <v/>
      </c>
    </row>
    <row r="979">
      <c r="A979" s="5" t="n"/>
      <c r="B979" s="5" t="n"/>
      <c r="C979" s="52" t="n"/>
      <c r="D979" s="52" t="n"/>
      <c r="E979" s="52" t="n"/>
      <c r="F979" s="52" t="n"/>
      <c r="G979" s="52" t="n"/>
      <c r="H979" s="52" t="n"/>
      <c r="I979" s="52" t="n"/>
      <c r="J979" s="52" t="n"/>
      <c r="K979" s="54" t="n"/>
      <c r="L979" s="5" t="n"/>
      <c r="M979" s="53">
        <f>IF(A979="","",IFERROR(INDEX(Firms!$B$5:$B$1004,MATCH(A979,Firms!$A$5:$A$1004,0)),"Not on Firms tab"))</f>
        <v/>
      </c>
      <c r="N979">
        <f>IF(AND(A979&lt;&gt;"",A979='Firm Search'!$C$7),COUNTIF($A$5:A979,'Firm Search'!$C$7),"")</f>
        <v/>
      </c>
    </row>
    <row r="980">
      <c r="A980" s="5" t="n"/>
      <c r="B980" s="5" t="n"/>
      <c r="C980" s="52" t="n"/>
      <c r="D980" s="52" t="n"/>
      <c r="E980" s="52" t="n"/>
      <c r="F980" s="52" t="n"/>
      <c r="G980" s="52" t="n"/>
      <c r="H980" s="52" t="n"/>
      <c r="I980" s="52" t="n"/>
      <c r="J980" s="52" t="n"/>
      <c r="K980" s="54" t="n"/>
      <c r="L980" s="5" t="n"/>
      <c r="M980" s="53">
        <f>IF(A980="","",IFERROR(INDEX(Firms!$B$5:$B$1004,MATCH(A980,Firms!$A$5:$A$1004,0)),"Not on Firms tab"))</f>
        <v/>
      </c>
      <c r="N980">
        <f>IF(AND(A980&lt;&gt;"",A980='Firm Search'!$C$7),COUNTIF($A$5:A980,'Firm Search'!$C$7),"")</f>
        <v/>
      </c>
    </row>
    <row r="981">
      <c r="A981" s="5" t="n"/>
      <c r="B981" s="5" t="n"/>
      <c r="C981" s="52" t="n"/>
      <c r="D981" s="52" t="n"/>
      <c r="E981" s="52" t="n"/>
      <c r="F981" s="52" t="n"/>
      <c r="G981" s="52" t="n"/>
      <c r="H981" s="52" t="n"/>
      <c r="I981" s="52" t="n"/>
      <c r="J981" s="52" t="n"/>
      <c r="K981" s="54" t="n"/>
      <c r="L981" s="5" t="n"/>
      <c r="M981" s="53">
        <f>IF(A981="","",IFERROR(INDEX(Firms!$B$5:$B$1004,MATCH(A981,Firms!$A$5:$A$1004,0)),"Not on Firms tab"))</f>
        <v/>
      </c>
      <c r="N981">
        <f>IF(AND(A981&lt;&gt;"",A981='Firm Search'!$C$7),COUNTIF($A$5:A981,'Firm Search'!$C$7),"")</f>
        <v/>
      </c>
    </row>
    <row r="982">
      <c r="A982" s="5" t="n"/>
      <c r="B982" s="5" t="n"/>
      <c r="C982" s="52" t="n"/>
      <c r="D982" s="52" t="n"/>
      <c r="E982" s="52" t="n"/>
      <c r="F982" s="52" t="n"/>
      <c r="G982" s="52" t="n"/>
      <c r="H982" s="52" t="n"/>
      <c r="I982" s="52" t="n"/>
      <c r="J982" s="52" t="n"/>
      <c r="K982" s="54" t="n"/>
      <c r="L982" s="5" t="n"/>
      <c r="M982" s="53">
        <f>IF(A982="","",IFERROR(INDEX(Firms!$B$5:$B$1004,MATCH(A982,Firms!$A$5:$A$1004,0)),"Not on Firms tab"))</f>
        <v/>
      </c>
      <c r="N982">
        <f>IF(AND(A982&lt;&gt;"",A982='Firm Search'!$C$7),COUNTIF($A$5:A982,'Firm Search'!$C$7),"")</f>
        <v/>
      </c>
    </row>
    <row r="983">
      <c r="A983" s="5" t="n"/>
      <c r="B983" s="5" t="n"/>
      <c r="C983" s="52" t="n"/>
      <c r="D983" s="52" t="n"/>
      <c r="E983" s="52" t="n"/>
      <c r="F983" s="52" t="n"/>
      <c r="G983" s="52" t="n"/>
      <c r="H983" s="52" t="n"/>
      <c r="I983" s="52" t="n"/>
      <c r="J983" s="52" t="n"/>
      <c r="K983" s="54" t="n"/>
      <c r="L983" s="5" t="n"/>
      <c r="M983" s="53">
        <f>IF(A983="","",IFERROR(INDEX(Firms!$B$5:$B$1004,MATCH(A983,Firms!$A$5:$A$1004,0)),"Not on Firms tab"))</f>
        <v/>
      </c>
      <c r="N983">
        <f>IF(AND(A983&lt;&gt;"",A983='Firm Search'!$C$7),COUNTIF($A$5:A983,'Firm Search'!$C$7),"")</f>
        <v/>
      </c>
    </row>
    <row r="984">
      <c r="A984" s="5" t="n"/>
      <c r="B984" s="5" t="n"/>
      <c r="C984" s="52" t="n"/>
      <c r="D984" s="52" t="n"/>
      <c r="E984" s="52" t="n"/>
      <c r="F984" s="52" t="n"/>
      <c r="G984" s="52" t="n"/>
      <c r="H984" s="52" t="n"/>
      <c r="I984" s="52" t="n"/>
      <c r="J984" s="52" t="n"/>
      <c r="K984" s="54" t="n"/>
      <c r="L984" s="5" t="n"/>
      <c r="M984" s="53">
        <f>IF(A984="","",IFERROR(INDEX(Firms!$B$5:$B$1004,MATCH(A984,Firms!$A$5:$A$1004,0)),"Not on Firms tab"))</f>
        <v/>
      </c>
      <c r="N984">
        <f>IF(AND(A984&lt;&gt;"",A984='Firm Search'!$C$7),COUNTIF($A$5:A984,'Firm Search'!$C$7),"")</f>
        <v/>
      </c>
    </row>
    <row r="985">
      <c r="A985" s="5" t="n"/>
      <c r="B985" s="5" t="n"/>
      <c r="C985" s="52" t="n"/>
      <c r="D985" s="52" t="n"/>
      <c r="E985" s="52" t="n"/>
      <c r="F985" s="52" t="n"/>
      <c r="G985" s="52" t="n"/>
      <c r="H985" s="52" t="n"/>
      <c r="I985" s="52" t="n"/>
      <c r="J985" s="52" t="n"/>
      <c r="K985" s="54" t="n"/>
      <c r="L985" s="5" t="n"/>
      <c r="M985" s="53">
        <f>IF(A985="","",IFERROR(INDEX(Firms!$B$5:$B$1004,MATCH(A985,Firms!$A$5:$A$1004,0)),"Not on Firms tab"))</f>
        <v/>
      </c>
      <c r="N985">
        <f>IF(AND(A985&lt;&gt;"",A985='Firm Search'!$C$7),COUNTIF($A$5:A985,'Firm Search'!$C$7),"")</f>
        <v/>
      </c>
    </row>
    <row r="986">
      <c r="A986" s="5" t="n"/>
      <c r="B986" s="5" t="n"/>
      <c r="C986" s="52" t="n"/>
      <c r="D986" s="52" t="n"/>
      <c r="E986" s="52" t="n"/>
      <c r="F986" s="52" t="n"/>
      <c r="G986" s="52" t="n"/>
      <c r="H986" s="52" t="n"/>
      <c r="I986" s="52" t="n"/>
      <c r="J986" s="52" t="n"/>
      <c r="K986" s="54" t="n"/>
      <c r="L986" s="5" t="n"/>
      <c r="M986" s="53">
        <f>IF(A986="","",IFERROR(INDEX(Firms!$B$5:$B$1004,MATCH(A986,Firms!$A$5:$A$1004,0)),"Not on Firms tab"))</f>
        <v/>
      </c>
      <c r="N986">
        <f>IF(AND(A986&lt;&gt;"",A986='Firm Search'!$C$7),COUNTIF($A$5:A986,'Firm Search'!$C$7),"")</f>
        <v/>
      </c>
    </row>
    <row r="987">
      <c r="A987" s="5" t="n"/>
      <c r="B987" s="5" t="n"/>
      <c r="C987" s="52" t="n"/>
      <c r="D987" s="52" t="n"/>
      <c r="E987" s="52" t="n"/>
      <c r="F987" s="52" t="n"/>
      <c r="G987" s="52" t="n"/>
      <c r="H987" s="52" t="n"/>
      <c r="I987" s="52" t="n"/>
      <c r="J987" s="52" t="n"/>
      <c r="K987" s="54" t="n"/>
      <c r="L987" s="5" t="n"/>
      <c r="M987" s="53">
        <f>IF(A987="","",IFERROR(INDEX(Firms!$B$5:$B$1004,MATCH(A987,Firms!$A$5:$A$1004,0)),"Not on Firms tab"))</f>
        <v/>
      </c>
      <c r="N987">
        <f>IF(AND(A987&lt;&gt;"",A987='Firm Search'!$C$7),COUNTIF($A$5:A987,'Firm Search'!$C$7),"")</f>
        <v/>
      </c>
    </row>
    <row r="988">
      <c r="A988" s="5" t="n"/>
      <c r="B988" s="5" t="n"/>
      <c r="C988" s="52" t="n"/>
      <c r="D988" s="52" t="n"/>
      <c r="E988" s="52" t="n"/>
      <c r="F988" s="52" t="n"/>
      <c r="G988" s="52" t="n"/>
      <c r="H988" s="52" t="n"/>
      <c r="I988" s="52" t="n"/>
      <c r="J988" s="52" t="n"/>
      <c r="K988" s="54" t="n"/>
      <c r="L988" s="5" t="n"/>
      <c r="M988" s="53">
        <f>IF(A988="","",IFERROR(INDEX(Firms!$B$5:$B$1004,MATCH(A988,Firms!$A$5:$A$1004,0)),"Not on Firms tab"))</f>
        <v/>
      </c>
      <c r="N988">
        <f>IF(AND(A988&lt;&gt;"",A988='Firm Search'!$C$7),COUNTIF($A$5:A988,'Firm Search'!$C$7),"")</f>
        <v/>
      </c>
    </row>
    <row r="989">
      <c r="A989" s="5" t="n"/>
      <c r="B989" s="5" t="n"/>
      <c r="C989" s="52" t="n"/>
      <c r="D989" s="52" t="n"/>
      <c r="E989" s="52" t="n"/>
      <c r="F989" s="52" t="n"/>
      <c r="G989" s="52" t="n"/>
      <c r="H989" s="52" t="n"/>
      <c r="I989" s="52" t="n"/>
      <c r="J989" s="52" t="n"/>
      <c r="K989" s="54" t="n"/>
      <c r="L989" s="5" t="n"/>
      <c r="M989" s="53">
        <f>IF(A989="","",IFERROR(INDEX(Firms!$B$5:$B$1004,MATCH(A989,Firms!$A$5:$A$1004,0)),"Not on Firms tab"))</f>
        <v/>
      </c>
      <c r="N989">
        <f>IF(AND(A989&lt;&gt;"",A989='Firm Search'!$C$7),COUNTIF($A$5:A989,'Firm Search'!$C$7),"")</f>
        <v/>
      </c>
    </row>
    <row r="990">
      <c r="A990" s="5" t="n"/>
      <c r="B990" s="5" t="n"/>
      <c r="C990" s="52" t="n"/>
      <c r="D990" s="52" t="n"/>
      <c r="E990" s="52" t="n"/>
      <c r="F990" s="52" t="n"/>
      <c r="G990" s="52" t="n"/>
      <c r="H990" s="52" t="n"/>
      <c r="I990" s="52" t="n"/>
      <c r="J990" s="52" t="n"/>
      <c r="K990" s="54" t="n"/>
      <c r="L990" s="5" t="n"/>
      <c r="M990" s="53">
        <f>IF(A990="","",IFERROR(INDEX(Firms!$B$5:$B$1004,MATCH(A990,Firms!$A$5:$A$1004,0)),"Not on Firms tab"))</f>
        <v/>
      </c>
      <c r="N990">
        <f>IF(AND(A990&lt;&gt;"",A990='Firm Search'!$C$7),COUNTIF($A$5:A990,'Firm Search'!$C$7),"")</f>
        <v/>
      </c>
    </row>
    <row r="991">
      <c r="A991" s="5" t="n"/>
      <c r="B991" s="5" t="n"/>
      <c r="C991" s="52" t="n"/>
      <c r="D991" s="52" t="n"/>
      <c r="E991" s="52" t="n"/>
      <c r="F991" s="52" t="n"/>
      <c r="G991" s="52" t="n"/>
      <c r="H991" s="52" t="n"/>
      <c r="I991" s="52" t="n"/>
      <c r="J991" s="52" t="n"/>
      <c r="K991" s="54" t="n"/>
      <c r="L991" s="5" t="n"/>
      <c r="M991" s="53">
        <f>IF(A991="","",IFERROR(INDEX(Firms!$B$5:$B$1004,MATCH(A991,Firms!$A$5:$A$1004,0)),"Not on Firms tab"))</f>
        <v/>
      </c>
      <c r="N991">
        <f>IF(AND(A991&lt;&gt;"",A991='Firm Search'!$C$7),COUNTIF($A$5:A991,'Firm Search'!$C$7),"")</f>
        <v/>
      </c>
    </row>
    <row r="992">
      <c r="A992" s="5" t="n"/>
      <c r="B992" s="5" t="n"/>
      <c r="C992" s="52" t="n"/>
      <c r="D992" s="52" t="n"/>
      <c r="E992" s="52" t="n"/>
      <c r="F992" s="52" t="n"/>
      <c r="G992" s="52" t="n"/>
      <c r="H992" s="52" t="n"/>
      <c r="I992" s="52" t="n"/>
      <c r="J992" s="52" t="n"/>
      <c r="K992" s="54" t="n"/>
      <c r="L992" s="5" t="n"/>
      <c r="M992" s="53">
        <f>IF(A992="","",IFERROR(INDEX(Firms!$B$5:$B$1004,MATCH(A992,Firms!$A$5:$A$1004,0)),"Not on Firms tab"))</f>
        <v/>
      </c>
      <c r="N992">
        <f>IF(AND(A992&lt;&gt;"",A992='Firm Search'!$C$7),COUNTIF($A$5:A992,'Firm Search'!$C$7),"")</f>
        <v/>
      </c>
    </row>
    <row r="993">
      <c r="A993" s="5" t="n"/>
      <c r="B993" s="5" t="n"/>
      <c r="C993" s="52" t="n"/>
      <c r="D993" s="52" t="n"/>
      <c r="E993" s="52" t="n"/>
      <c r="F993" s="52" t="n"/>
      <c r="G993" s="52" t="n"/>
      <c r="H993" s="52" t="n"/>
      <c r="I993" s="52" t="n"/>
      <c r="J993" s="52" t="n"/>
      <c r="K993" s="54" t="n"/>
      <c r="L993" s="5" t="n"/>
      <c r="M993" s="53">
        <f>IF(A993="","",IFERROR(INDEX(Firms!$B$5:$B$1004,MATCH(A993,Firms!$A$5:$A$1004,0)),"Not on Firms tab"))</f>
        <v/>
      </c>
      <c r="N993">
        <f>IF(AND(A993&lt;&gt;"",A993='Firm Search'!$C$7),COUNTIF($A$5:A993,'Firm Search'!$C$7),"")</f>
        <v/>
      </c>
    </row>
    <row r="994">
      <c r="A994" s="5" t="n"/>
      <c r="B994" s="5" t="n"/>
      <c r="C994" s="52" t="n"/>
      <c r="D994" s="52" t="n"/>
      <c r="E994" s="52" t="n"/>
      <c r="F994" s="52" t="n"/>
      <c r="G994" s="52" t="n"/>
      <c r="H994" s="52" t="n"/>
      <c r="I994" s="52" t="n"/>
      <c r="J994" s="52" t="n"/>
      <c r="K994" s="54" t="n"/>
      <c r="L994" s="5" t="n"/>
      <c r="M994" s="53">
        <f>IF(A994="","",IFERROR(INDEX(Firms!$B$5:$B$1004,MATCH(A994,Firms!$A$5:$A$1004,0)),"Not on Firms tab"))</f>
        <v/>
      </c>
      <c r="N994">
        <f>IF(AND(A994&lt;&gt;"",A994='Firm Search'!$C$7),COUNTIF($A$5:A994,'Firm Search'!$C$7),"")</f>
        <v/>
      </c>
    </row>
    <row r="995">
      <c r="A995" s="5" t="n"/>
      <c r="B995" s="5" t="n"/>
      <c r="C995" s="52" t="n"/>
      <c r="D995" s="52" t="n"/>
      <c r="E995" s="52" t="n"/>
      <c r="F995" s="52" t="n"/>
      <c r="G995" s="52" t="n"/>
      <c r="H995" s="52" t="n"/>
      <c r="I995" s="52" t="n"/>
      <c r="J995" s="52" t="n"/>
      <c r="K995" s="54" t="n"/>
      <c r="L995" s="5" t="n"/>
      <c r="M995" s="53">
        <f>IF(A995="","",IFERROR(INDEX(Firms!$B$5:$B$1004,MATCH(A995,Firms!$A$5:$A$1004,0)),"Not on Firms tab"))</f>
        <v/>
      </c>
      <c r="N995">
        <f>IF(AND(A995&lt;&gt;"",A995='Firm Search'!$C$7),COUNTIF($A$5:A995,'Firm Search'!$C$7),"")</f>
        <v/>
      </c>
    </row>
    <row r="996">
      <c r="A996" s="5" t="n"/>
      <c r="B996" s="5" t="n"/>
      <c r="C996" s="52" t="n"/>
      <c r="D996" s="52" t="n"/>
      <c r="E996" s="52" t="n"/>
      <c r="F996" s="52" t="n"/>
      <c r="G996" s="52" t="n"/>
      <c r="H996" s="52" t="n"/>
      <c r="I996" s="52" t="n"/>
      <c r="J996" s="52" t="n"/>
      <c r="K996" s="54" t="n"/>
      <c r="L996" s="5" t="n"/>
      <c r="M996" s="53">
        <f>IF(A996="","",IFERROR(INDEX(Firms!$B$5:$B$1004,MATCH(A996,Firms!$A$5:$A$1004,0)),"Not on Firms tab"))</f>
        <v/>
      </c>
      <c r="N996">
        <f>IF(AND(A996&lt;&gt;"",A996='Firm Search'!$C$7),COUNTIF($A$5:A996,'Firm Search'!$C$7),"")</f>
        <v/>
      </c>
    </row>
    <row r="997">
      <c r="A997" s="5" t="n"/>
      <c r="B997" s="5" t="n"/>
      <c r="C997" s="52" t="n"/>
      <c r="D997" s="52" t="n"/>
      <c r="E997" s="52" t="n"/>
      <c r="F997" s="52" t="n"/>
      <c r="G997" s="52" t="n"/>
      <c r="H997" s="52" t="n"/>
      <c r="I997" s="52" t="n"/>
      <c r="J997" s="52" t="n"/>
      <c r="K997" s="54" t="n"/>
      <c r="L997" s="5" t="n"/>
      <c r="M997" s="53">
        <f>IF(A997="","",IFERROR(INDEX(Firms!$B$5:$B$1004,MATCH(A997,Firms!$A$5:$A$1004,0)),"Not on Firms tab"))</f>
        <v/>
      </c>
      <c r="N997">
        <f>IF(AND(A997&lt;&gt;"",A997='Firm Search'!$C$7),COUNTIF($A$5:A997,'Firm Search'!$C$7),"")</f>
        <v/>
      </c>
    </row>
    <row r="998">
      <c r="A998" s="5" t="n"/>
      <c r="B998" s="5" t="n"/>
      <c r="C998" s="52" t="n"/>
      <c r="D998" s="52" t="n"/>
      <c r="E998" s="52" t="n"/>
      <c r="F998" s="52" t="n"/>
      <c r="G998" s="52" t="n"/>
      <c r="H998" s="52" t="n"/>
      <c r="I998" s="52" t="n"/>
      <c r="J998" s="52" t="n"/>
      <c r="K998" s="54" t="n"/>
      <c r="L998" s="5" t="n"/>
      <c r="M998" s="53">
        <f>IF(A998="","",IFERROR(INDEX(Firms!$B$5:$B$1004,MATCH(A998,Firms!$A$5:$A$1004,0)),"Not on Firms tab"))</f>
        <v/>
      </c>
      <c r="N998">
        <f>IF(AND(A998&lt;&gt;"",A998='Firm Search'!$C$7),COUNTIF($A$5:A998,'Firm Search'!$C$7),"")</f>
        <v/>
      </c>
    </row>
    <row r="999">
      <c r="A999" s="5" t="n"/>
      <c r="B999" s="5" t="n"/>
      <c r="C999" s="52" t="n"/>
      <c r="D999" s="52" t="n"/>
      <c r="E999" s="52" t="n"/>
      <c r="F999" s="52" t="n"/>
      <c r="G999" s="52" t="n"/>
      <c r="H999" s="52" t="n"/>
      <c r="I999" s="52" t="n"/>
      <c r="J999" s="52" t="n"/>
      <c r="K999" s="54" t="n"/>
      <c r="L999" s="5" t="n"/>
      <c r="M999" s="53">
        <f>IF(A999="","",IFERROR(INDEX(Firms!$B$5:$B$1004,MATCH(A999,Firms!$A$5:$A$1004,0)),"Not on Firms tab"))</f>
        <v/>
      </c>
      <c r="N999">
        <f>IF(AND(A999&lt;&gt;"",A999='Firm Search'!$C$7),COUNTIF($A$5:A999,'Firm Search'!$C$7),"")</f>
        <v/>
      </c>
    </row>
    <row r="1000">
      <c r="A1000" s="5" t="n"/>
      <c r="B1000" s="5" t="n"/>
      <c r="C1000" s="52" t="n"/>
      <c r="D1000" s="52" t="n"/>
      <c r="E1000" s="52" t="n"/>
      <c r="F1000" s="52" t="n"/>
      <c r="G1000" s="52" t="n"/>
      <c r="H1000" s="52" t="n"/>
      <c r="I1000" s="52" t="n"/>
      <c r="J1000" s="52" t="n"/>
      <c r="K1000" s="54" t="n"/>
      <c r="L1000" s="5" t="n"/>
      <c r="M1000" s="53">
        <f>IF(A1000="","",IFERROR(INDEX(Firms!$B$5:$B$1004,MATCH(A1000,Firms!$A$5:$A$1004,0)),"Not on Firms tab"))</f>
        <v/>
      </c>
      <c r="N1000">
        <f>IF(AND(A1000&lt;&gt;"",A1000='Firm Search'!$C$7),COUNTIF($A$5:A1000,'Firm Search'!$C$7),"")</f>
        <v/>
      </c>
    </row>
    <row r="1001">
      <c r="A1001" s="5" t="n"/>
      <c r="B1001" s="5" t="n"/>
      <c r="C1001" s="52" t="n"/>
      <c r="D1001" s="52" t="n"/>
      <c r="E1001" s="52" t="n"/>
      <c r="F1001" s="52" t="n"/>
      <c r="G1001" s="52" t="n"/>
      <c r="H1001" s="52" t="n"/>
      <c r="I1001" s="52" t="n"/>
      <c r="J1001" s="52" t="n"/>
      <c r="K1001" s="54" t="n"/>
      <c r="L1001" s="5" t="n"/>
      <c r="M1001" s="53">
        <f>IF(A1001="","",IFERROR(INDEX(Firms!$B$5:$B$1004,MATCH(A1001,Firms!$A$5:$A$1004,0)),"Not on Firms tab"))</f>
        <v/>
      </c>
      <c r="N1001">
        <f>IF(AND(A1001&lt;&gt;"",A1001='Firm Search'!$C$7),COUNTIF($A$5:A1001,'Firm Search'!$C$7),"")</f>
        <v/>
      </c>
    </row>
    <row r="1002">
      <c r="A1002" s="5" t="n"/>
      <c r="B1002" s="5" t="n"/>
      <c r="C1002" s="52" t="n"/>
      <c r="D1002" s="52" t="n"/>
      <c r="E1002" s="52" t="n"/>
      <c r="F1002" s="52" t="n"/>
      <c r="G1002" s="52" t="n"/>
      <c r="H1002" s="52" t="n"/>
      <c r="I1002" s="52" t="n"/>
      <c r="J1002" s="52" t="n"/>
      <c r="K1002" s="54" t="n"/>
      <c r="L1002" s="5" t="n"/>
      <c r="M1002" s="53">
        <f>IF(A1002="","",IFERROR(INDEX(Firms!$B$5:$B$1004,MATCH(A1002,Firms!$A$5:$A$1004,0)),"Not on Firms tab"))</f>
        <v/>
      </c>
      <c r="N1002">
        <f>IF(AND(A1002&lt;&gt;"",A1002='Firm Search'!$C$7),COUNTIF($A$5:A1002,'Firm Search'!$C$7),"")</f>
        <v/>
      </c>
    </row>
    <row r="1003">
      <c r="A1003" s="5" t="n"/>
      <c r="B1003" s="5" t="n"/>
      <c r="C1003" s="52" t="n"/>
      <c r="D1003" s="52" t="n"/>
      <c r="E1003" s="52" t="n"/>
      <c r="F1003" s="52" t="n"/>
      <c r="G1003" s="52" t="n"/>
      <c r="H1003" s="52" t="n"/>
      <c r="I1003" s="52" t="n"/>
      <c r="J1003" s="52" t="n"/>
      <c r="K1003" s="54" t="n"/>
      <c r="L1003" s="5" t="n"/>
      <c r="M1003" s="53">
        <f>IF(A1003="","",IFERROR(INDEX(Firms!$B$5:$B$1004,MATCH(A1003,Firms!$A$5:$A$1004,0)),"Not on Firms tab"))</f>
        <v/>
      </c>
      <c r="N1003">
        <f>IF(AND(A1003&lt;&gt;"",A1003='Firm Search'!$C$7),COUNTIF($A$5:A1003,'Firm Search'!$C$7),"")</f>
        <v/>
      </c>
    </row>
    <row r="1004">
      <c r="A1004" s="5" t="n"/>
      <c r="B1004" s="5" t="n"/>
      <c r="C1004" s="52" t="n"/>
      <c r="D1004" s="52" t="n"/>
      <c r="E1004" s="52" t="n"/>
      <c r="F1004" s="52" t="n"/>
      <c r="G1004" s="52" t="n"/>
      <c r="H1004" s="52" t="n"/>
      <c r="I1004" s="52" t="n"/>
      <c r="J1004" s="52" t="n"/>
      <c r="K1004" s="54" t="n"/>
      <c r="L1004" s="5" t="n"/>
      <c r="M1004" s="53">
        <f>IF(A1004="","",IFERROR(INDEX(Firms!$B$5:$B$1004,MATCH(A1004,Firms!$A$5:$A$1004,0)),"Not on Firms tab"))</f>
        <v/>
      </c>
      <c r="N1004">
        <f>IF(AND(A1004&lt;&gt;"",A1004='Firm Search'!$C$7),COUNTIF($A$5:A1004,'Firm Search'!$C$7),"")</f>
        <v/>
      </c>
    </row>
  </sheetData>
  <autoFilter ref="A4:M1004"/>
  <conditionalFormatting sqref="M5:M1004">
    <cfRule type="cellIs" priority="1" operator="equal" dxfId="0">
      <formula>"Paused"</formula>
    </cfRule>
    <cfRule type="cellIs" priority="2" operator="equal" dxfId="4">
      <formula>"Not on Firms tab"</formula>
    </cfRule>
    <cfRule type="cellIs" priority="3" operator="equal" dxfId="1">
      <formula>"Active"</formula>
    </cfRule>
  </conditionalFormatting>
  <conditionalFormatting sqref="A5:B1004">
    <cfRule type="expression" priority="4" dxfId="4">
      <formula>AND($A5&lt;&gt;"",$B5&lt;&gt;"",COUNTIFS($A$5:$A$1004,$A5,$B$5:$B$1004,$B5)&gt;1)</formula>
    </cfRule>
  </conditionalFormatting>
  <conditionalFormatting sqref="A5:L1004">
    <cfRule type="expression" priority="5" dxfId="7">
      <formula>AND($A5&lt;&gt;"",MOD(ROW(),2)=0)</formula>
    </cfRule>
  </conditionalFormatting>
  <dataValidations count="3">
    <dataValidation sqref="A5:A1004" showDropDown="0" showInputMessage="0" showErrorMessage="0" allowBlank="1" errorTitle="Firm" error="Pick a firm that exists on the Firms tab (add it there first)." type="list">
      <formula1>=Firm_List</formula1>
    </dataValidation>
    <dataValidation sqref="B5:B1004" showDropDown="0" showInputMessage="0" showErrorMessage="0" allowBlank="1" errorTitle="AFA Type" error="Pick an AFA type. To add a new one, type it on the Lists tab." type="list">
      <formula1>=AFA_Types</formula1>
    </dataValidation>
    <dataValidation sqref="C5:J1004" showDropDown="0" showInputMessage="0" showErrorMessage="0" allowBlank="1" errorTitle="Rate" error="Enter an hourly rate as a number, e.g. 300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F4A6B4"/>
    <outlinePr summaryBelow="1" summaryRight="1"/>
    <pageSetUpPr fitToPage="1"/>
  </sheetPr>
  <dimension ref="A1:H1004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13" customWidth="1" min="3" max="3"/>
    <col width="34" customWidth="1" min="4" max="4"/>
    <col width="22" customWidth="1" min="5" max="5"/>
    <col width="16" customWidth="1" min="6" max="6"/>
    <col width="12" customWidth="1" min="7" max="7"/>
    <col width="44" customWidth="1" min="8" max="8"/>
  </cols>
  <sheetData>
    <row r="1" ht="34" customHeight="1">
      <c r="A1" s="47" t="inlineStr">
        <is>
          <t>⛔  Do Not Use — Paused Firms</t>
        </is>
      </c>
    </row>
    <row r="2" ht="22" customHeight="1">
      <c r="A2" s="48" t="inlineStr">
        <is>
          <t>Automatic. Any firm marked “Paused” on the Firms tab is listed here. To reinstate, change its Status back to “Active” on the Firms tab.</t>
        </is>
      </c>
    </row>
    <row r="3">
      <c r="A3" s="55">
        <f>"Paused firms: "&amp;COUNTIF(Firms!$B$5:$B$1004,"Paused")</f>
        <v/>
      </c>
    </row>
    <row r="4" ht="36" customHeight="1">
      <c r="A4" s="56" t="inlineStr">
        <is>
          <t>#</t>
        </is>
      </c>
      <c r="B4" s="56" t="inlineStr">
        <is>
          <t>Firm Name</t>
        </is>
      </c>
      <c r="C4" s="56" t="inlineStr">
        <is>
          <t>Date Paused</t>
        </is>
      </c>
      <c r="D4" s="56" t="inlineStr">
        <is>
          <t>Pause Reason</t>
        </is>
      </c>
      <c r="E4" s="56" t="inlineStr">
        <is>
          <t>Approved States</t>
        </is>
      </c>
      <c r="F4" s="56" t="inlineStr">
        <is>
          <t>Cyber Status</t>
        </is>
      </c>
      <c r="G4" s="56" t="inlineStr">
        <is>
          <t>AFA on File?</t>
        </is>
      </c>
      <c r="H4" s="56" t="inlineStr">
        <is>
          <t>Notes</t>
        </is>
      </c>
    </row>
    <row r="5">
      <c r="A5" s="57">
        <f>IF(B5="","",1)</f>
        <v/>
      </c>
      <c r="B5" s="58">
        <f>IFERROR(INDEX(Firms!$A$5:$A$1004,MATCH(1,Firms!$R$5:$R$1004,0))&amp;"","")</f>
        <v/>
      </c>
      <c r="C5" s="59">
        <f>IFERROR(IF(INDEX(Firms!$O$5:$O$1004,MATCH(1,Firms!$R$5:$R$1004,0))="","",INDEX(Firms!$O$5:$O$1004,MATCH(1,Firms!$R$5:$R$1004,0))),"")</f>
        <v/>
      </c>
      <c r="D5" s="58">
        <f>IFERROR(INDEX(Firms!$P$5:$P$1004,MATCH(1,Firms!$R$5:$R$1004,0))&amp;"","")</f>
        <v/>
      </c>
      <c r="E5" s="58">
        <f>IFERROR(INDEX(Firms!$C$5:$C$1004,MATCH(1,Firms!$R$5:$R$1004,0))&amp;"","")</f>
        <v/>
      </c>
      <c r="F5" s="57">
        <f>IFERROR(INDEX(Firms!$L$5:$L$1004,MATCH(1,Firms!$R$5:$R$1004,0))&amp;"","")</f>
        <v/>
      </c>
      <c r="G5" s="57">
        <f>IFERROR(INDEX(Firms!$M$5:$M$1004,MATCH(1,Firms!$R$5:$R$1004,0))&amp;"","")</f>
        <v/>
      </c>
      <c r="H5" s="58">
        <f>IFERROR(INDEX(Firms!$Q$5:$Q$1004,MATCH(1,Firms!$R$5:$R$1004,0))&amp;"","")</f>
        <v/>
      </c>
    </row>
    <row r="6">
      <c r="A6" s="57">
        <f>IF(B6="","",2)</f>
        <v/>
      </c>
      <c r="B6" s="58">
        <f>IFERROR(INDEX(Firms!$A$5:$A$1004,MATCH(2,Firms!$R$5:$R$1004,0))&amp;"","")</f>
        <v/>
      </c>
      <c r="C6" s="59">
        <f>IFERROR(IF(INDEX(Firms!$O$5:$O$1004,MATCH(2,Firms!$R$5:$R$1004,0))="","",INDEX(Firms!$O$5:$O$1004,MATCH(2,Firms!$R$5:$R$1004,0))),"")</f>
        <v/>
      </c>
      <c r="D6" s="58">
        <f>IFERROR(INDEX(Firms!$P$5:$P$1004,MATCH(2,Firms!$R$5:$R$1004,0))&amp;"","")</f>
        <v/>
      </c>
      <c r="E6" s="58">
        <f>IFERROR(INDEX(Firms!$C$5:$C$1004,MATCH(2,Firms!$R$5:$R$1004,0))&amp;"","")</f>
        <v/>
      </c>
      <c r="F6" s="57">
        <f>IFERROR(INDEX(Firms!$L$5:$L$1004,MATCH(2,Firms!$R$5:$R$1004,0))&amp;"","")</f>
        <v/>
      </c>
      <c r="G6" s="57">
        <f>IFERROR(INDEX(Firms!$M$5:$M$1004,MATCH(2,Firms!$R$5:$R$1004,0))&amp;"","")</f>
        <v/>
      </c>
      <c r="H6" s="58">
        <f>IFERROR(INDEX(Firms!$Q$5:$Q$1004,MATCH(2,Firms!$R$5:$R$1004,0))&amp;"","")</f>
        <v/>
      </c>
    </row>
    <row r="7">
      <c r="A7" s="57">
        <f>IF(B7="","",3)</f>
        <v/>
      </c>
      <c r="B7" s="58">
        <f>IFERROR(INDEX(Firms!$A$5:$A$1004,MATCH(3,Firms!$R$5:$R$1004,0))&amp;"","")</f>
        <v/>
      </c>
      <c r="C7" s="59">
        <f>IFERROR(IF(INDEX(Firms!$O$5:$O$1004,MATCH(3,Firms!$R$5:$R$1004,0))="","",INDEX(Firms!$O$5:$O$1004,MATCH(3,Firms!$R$5:$R$1004,0))),"")</f>
        <v/>
      </c>
      <c r="D7" s="58">
        <f>IFERROR(INDEX(Firms!$P$5:$P$1004,MATCH(3,Firms!$R$5:$R$1004,0))&amp;"","")</f>
        <v/>
      </c>
      <c r="E7" s="58">
        <f>IFERROR(INDEX(Firms!$C$5:$C$1004,MATCH(3,Firms!$R$5:$R$1004,0))&amp;"","")</f>
        <v/>
      </c>
      <c r="F7" s="57">
        <f>IFERROR(INDEX(Firms!$L$5:$L$1004,MATCH(3,Firms!$R$5:$R$1004,0))&amp;"","")</f>
        <v/>
      </c>
      <c r="G7" s="57">
        <f>IFERROR(INDEX(Firms!$M$5:$M$1004,MATCH(3,Firms!$R$5:$R$1004,0))&amp;"","")</f>
        <v/>
      </c>
      <c r="H7" s="58">
        <f>IFERROR(INDEX(Firms!$Q$5:$Q$1004,MATCH(3,Firms!$R$5:$R$1004,0))&amp;"","")</f>
        <v/>
      </c>
    </row>
    <row r="8">
      <c r="A8" s="57">
        <f>IF(B8="","",4)</f>
        <v/>
      </c>
      <c r="B8" s="58">
        <f>IFERROR(INDEX(Firms!$A$5:$A$1004,MATCH(4,Firms!$R$5:$R$1004,0))&amp;"","")</f>
        <v/>
      </c>
      <c r="C8" s="59">
        <f>IFERROR(IF(INDEX(Firms!$O$5:$O$1004,MATCH(4,Firms!$R$5:$R$1004,0))="","",INDEX(Firms!$O$5:$O$1004,MATCH(4,Firms!$R$5:$R$1004,0))),"")</f>
        <v/>
      </c>
      <c r="D8" s="58">
        <f>IFERROR(INDEX(Firms!$P$5:$P$1004,MATCH(4,Firms!$R$5:$R$1004,0))&amp;"","")</f>
        <v/>
      </c>
      <c r="E8" s="58">
        <f>IFERROR(INDEX(Firms!$C$5:$C$1004,MATCH(4,Firms!$R$5:$R$1004,0))&amp;"","")</f>
        <v/>
      </c>
      <c r="F8" s="57">
        <f>IFERROR(INDEX(Firms!$L$5:$L$1004,MATCH(4,Firms!$R$5:$R$1004,0))&amp;"","")</f>
        <v/>
      </c>
      <c r="G8" s="57">
        <f>IFERROR(INDEX(Firms!$M$5:$M$1004,MATCH(4,Firms!$R$5:$R$1004,0))&amp;"","")</f>
        <v/>
      </c>
      <c r="H8" s="58">
        <f>IFERROR(INDEX(Firms!$Q$5:$Q$1004,MATCH(4,Firms!$R$5:$R$1004,0))&amp;"","")</f>
        <v/>
      </c>
    </row>
    <row r="9">
      <c r="A9" s="57">
        <f>IF(B9="","",5)</f>
        <v/>
      </c>
      <c r="B9" s="58">
        <f>IFERROR(INDEX(Firms!$A$5:$A$1004,MATCH(5,Firms!$R$5:$R$1004,0))&amp;"","")</f>
        <v/>
      </c>
      <c r="C9" s="59">
        <f>IFERROR(IF(INDEX(Firms!$O$5:$O$1004,MATCH(5,Firms!$R$5:$R$1004,0))="","",INDEX(Firms!$O$5:$O$1004,MATCH(5,Firms!$R$5:$R$1004,0))),"")</f>
        <v/>
      </c>
      <c r="D9" s="58">
        <f>IFERROR(INDEX(Firms!$P$5:$P$1004,MATCH(5,Firms!$R$5:$R$1004,0))&amp;"","")</f>
        <v/>
      </c>
      <c r="E9" s="58">
        <f>IFERROR(INDEX(Firms!$C$5:$C$1004,MATCH(5,Firms!$R$5:$R$1004,0))&amp;"","")</f>
        <v/>
      </c>
      <c r="F9" s="57">
        <f>IFERROR(INDEX(Firms!$L$5:$L$1004,MATCH(5,Firms!$R$5:$R$1004,0))&amp;"","")</f>
        <v/>
      </c>
      <c r="G9" s="57">
        <f>IFERROR(INDEX(Firms!$M$5:$M$1004,MATCH(5,Firms!$R$5:$R$1004,0))&amp;"","")</f>
        <v/>
      </c>
      <c r="H9" s="58">
        <f>IFERROR(INDEX(Firms!$Q$5:$Q$1004,MATCH(5,Firms!$R$5:$R$1004,0))&amp;"","")</f>
        <v/>
      </c>
    </row>
    <row r="10">
      <c r="A10" s="57">
        <f>IF(B10="","",6)</f>
        <v/>
      </c>
      <c r="B10" s="58">
        <f>IFERROR(INDEX(Firms!$A$5:$A$1004,MATCH(6,Firms!$R$5:$R$1004,0))&amp;"","")</f>
        <v/>
      </c>
      <c r="C10" s="59">
        <f>IFERROR(IF(INDEX(Firms!$O$5:$O$1004,MATCH(6,Firms!$R$5:$R$1004,0))="","",INDEX(Firms!$O$5:$O$1004,MATCH(6,Firms!$R$5:$R$1004,0))),"")</f>
        <v/>
      </c>
      <c r="D10" s="58">
        <f>IFERROR(INDEX(Firms!$P$5:$P$1004,MATCH(6,Firms!$R$5:$R$1004,0))&amp;"","")</f>
        <v/>
      </c>
      <c r="E10" s="58">
        <f>IFERROR(INDEX(Firms!$C$5:$C$1004,MATCH(6,Firms!$R$5:$R$1004,0))&amp;"","")</f>
        <v/>
      </c>
      <c r="F10" s="57">
        <f>IFERROR(INDEX(Firms!$L$5:$L$1004,MATCH(6,Firms!$R$5:$R$1004,0))&amp;"","")</f>
        <v/>
      </c>
      <c r="G10" s="57">
        <f>IFERROR(INDEX(Firms!$M$5:$M$1004,MATCH(6,Firms!$R$5:$R$1004,0))&amp;"","")</f>
        <v/>
      </c>
      <c r="H10" s="58">
        <f>IFERROR(INDEX(Firms!$Q$5:$Q$1004,MATCH(6,Firms!$R$5:$R$1004,0))&amp;"","")</f>
        <v/>
      </c>
    </row>
    <row r="11">
      <c r="A11" s="57">
        <f>IF(B11="","",7)</f>
        <v/>
      </c>
      <c r="B11" s="58">
        <f>IFERROR(INDEX(Firms!$A$5:$A$1004,MATCH(7,Firms!$R$5:$R$1004,0))&amp;"","")</f>
        <v/>
      </c>
      <c r="C11" s="59">
        <f>IFERROR(IF(INDEX(Firms!$O$5:$O$1004,MATCH(7,Firms!$R$5:$R$1004,0))="","",INDEX(Firms!$O$5:$O$1004,MATCH(7,Firms!$R$5:$R$1004,0))),"")</f>
        <v/>
      </c>
      <c r="D11" s="58">
        <f>IFERROR(INDEX(Firms!$P$5:$P$1004,MATCH(7,Firms!$R$5:$R$1004,0))&amp;"","")</f>
        <v/>
      </c>
      <c r="E11" s="58">
        <f>IFERROR(INDEX(Firms!$C$5:$C$1004,MATCH(7,Firms!$R$5:$R$1004,0))&amp;"","")</f>
        <v/>
      </c>
      <c r="F11" s="57">
        <f>IFERROR(INDEX(Firms!$L$5:$L$1004,MATCH(7,Firms!$R$5:$R$1004,0))&amp;"","")</f>
        <v/>
      </c>
      <c r="G11" s="57">
        <f>IFERROR(INDEX(Firms!$M$5:$M$1004,MATCH(7,Firms!$R$5:$R$1004,0))&amp;"","")</f>
        <v/>
      </c>
      <c r="H11" s="58">
        <f>IFERROR(INDEX(Firms!$Q$5:$Q$1004,MATCH(7,Firms!$R$5:$R$1004,0))&amp;"","")</f>
        <v/>
      </c>
    </row>
    <row r="12">
      <c r="A12" s="57">
        <f>IF(B12="","",8)</f>
        <v/>
      </c>
      <c r="B12" s="58">
        <f>IFERROR(INDEX(Firms!$A$5:$A$1004,MATCH(8,Firms!$R$5:$R$1004,0))&amp;"","")</f>
        <v/>
      </c>
      <c r="C12" s="59">
        <f>IFERROR(IF(INDEX(Firms!$O$5:$O$1004,MATCH(8,Firms!$R$5:$R$1004,0))="","",INDEX(Firms!$O$5:$O$1004,MATCH(8,Firms!$R$5:$R$1004,0))),"")</f>
        <v/>
      </c>
      <c r="D12" s="58">
        <f>IFERROR(INDEX(Firms!$P$5:$P$1004,MATCH(8,Firms!$R$5:$R$1004,0))&amp;"","")</f>
        <v/>
      </c>
      <c r="E12" s="58">
        <f>IFERROR(INDEX(Firms!$C$5:$C$1004,MATCH(8,Firms!$R$5:$R$1004,0))&amp;"","")</f>
        <v/>
      </c>
      <c r="F12" s="57">
        <f>IFERROR(INDEX(Firms!$L$5:$L$1004,MATCH(8,Firms!$R$5:$R$1004,0))&amp;"","")</f>
        <v/>
      </c>
      <c r="G12" s="57">
        <f>IFERROR(INDEX(Firms!$M$5:$M$1004,MATCH(8,Firms!$R$5:$R$1004,0))&amp;"","")</f>
        <v/>
      </c>
      <c r="H12" s="58">
        <f>IFERROR(INDEX(Firms!$Q$5:$Q$1004,MATCH(8,Firms!$R$5:$R$1004,0))&amp;"","")</f>
        <v/>
      </c>
    </row>
    <row r="13">
      <c r="A13" s="57">
        <f>IF(B13="","",9)</f>
        <v/>
      </c>
      <c r="B13" s="58">
        <f>IFERROR(INDEX(Firms!$A$5:$A$1004,MATCH(9,Firms!$R$5:$R$1004,0))&amp;"","")</f>
        <v/>
      </c>
      <c r="C13" s="59">
        <f>IFERROR(IF(INDEX(Firms!$O$5:$O$1004,MATCH(9,Firms!$R$5:$R$1004,0))="","",INDEX(Firms!$O$5:$O$1004,MATCH(9,Firms!$R$5:$R$1004,0))),"")</f>
        <v/>
      </c>
      <c r="D13" s="58">
        <f>IFERROR(INDEX(Firms!$P$5:$P$1004,MATCH(9,Firms!$R$5:$R$1004,0))&amp;"","")</f>
        <v/>
      </c>
      <c r="E13" s="58">
        <f>IFERROR(INDEX(Firms!$C$5:$C$1004,MATCH(9,Firms!$R$5:$R$1004,0))&amp;"","")</f>
        <v/>
      </c>
      <c r="F13" s="57">
        <f>IFERROR(INDEX(Firms!$L$5:$L$1004,MATCH(9,Firms!$R$5:$R$1004,0))&amp;"","")</f>
        <v/>
      </c>
      <c r="G13" s="57">
        <f>IFERROR(INDEX(Firms!$M$5:$M$1004,MATCH(9,Firms!$R$5:$R$1004,0))&amp;"","")</f>
        <v/>
      </c>
      <c r="H13" s="58">
        <f>IFERROR(INDEX(Firms!$Q$5:$Q$1004,MATCH(9,Firms!$R$5:$R$1004,0))&amp;"","")</f>
        <v/>
      </c>
    </row>
    <row r="14">
      <c r="A14" s="57">
        <f>IF(B14="","",10)</f>
        <v/>
      </c>
      <c r="B14" s="58">
        <f>IFERROR(INDEX(Firms!$A$5:$A$1004,MATCH(10,Firms!$R$5:$R$1004,0))&amp;"","")</f>
        <v/>
      </c>
      <c r="C14" s="59">
        <f>IFERROR(IF(INDEX(Firms!$O$5:$O$1004,MATCH(10,Firms!$R$5:$R$1004,0))="","",INDEX(Firms!$O$5:$O$1004,MATCH(10,Firms!$R$5:$R$1004,0))),"")</f>
        <v/>
      </c>
      <c r="D14" s="58">
        <f>IFERROR(INDEX(Firms!$P$5:$P$1004,MATCH(10,Firms!$R$5:$R$1004,0))&amp;"","")</f>
        <v/>
      </c>
      <c r="E14" s="58">
        <f>IFERROR(INDEX(Firms!$C$5:$C$1004,MATCH(10,Firms!$R$5:$R$1004,0))&amp;"","")</f>
        <v/>
      </c>
      <c r="F14" s="57">
        <f>IFERROR(INDEX(Firms!$L$5:$L$1004,MATCH(10,Firms!$R$5:$R$1004,0))&amp;"","")</f>
        <v/>
      </c>
      <c r="G14" s="57">
        <f>IFERROR(INDEX(Firms!$M$5:$M$1004,MATCH(10,Firms!$R$5:$R$1004,0))&amp;"","")</f>
        <v/>
      </c>
      <c r="H14" s="58">
        <f>IFERROR(INDEX(Firms!$Q$5:$Q$1004,MATCH(10,Firms!$R$5:$R$1004,0))&amp;"","")</f>
        <v/>
      </c>
    </row>
    <row r="15">
      <c r="A15" s="57">
        <f>IF(B15="","",11)</f>
        <v/>
      </c>
      <c r="B15" s="58">
        <f>IFERROR(INDEX(Firms!$A$5:$A$1004,MATCH(11,Firms!$R$5:$R$1004,0))&amp;"","")</f>
        <v/>
      </c>
      <c r="C15" s="59">
        <f>IFERROR(IF(INDEX(Firms!$O$5:$O$1004,MATCH(11,Firms!$R$5:$R$1004,0))="","",INDEX(Firms!$O$5:$O$1004,MATCH(11,Firms!$R$5:$R$1004,0))),"")</f>
        <v/>
      </c>
      <c r="D15" s="58">
        <f>IFERROR(INDEX(Firms!$P$5:$P$1004,MATCH(11,Firms!$R$5:$R$1004,0))&amp;"","")</f>
        <v/>
      </c>
      <c r="E15" s="58">
        <f>IFERROR(INDEX(Firms!$C$5:$C$1004,MATCH(11,Firms!$R$5:$R$1004,0))&amp;"","")</f>
        <v/>
      </c>
      <c r="F15" s="57">
        <f>IFERROR(INDEX(Firms!$L$5:$L$1004,MATCH(11,Firms!$R$5:$R$1004,0))&amp;"","")</f>
        <v/>
      </c>
      <c r="G15" s="57">
        <f>IFERROR(INDEX(Firms!$M$5:$M$1004,MATCH(11,Firms!$R$5:$R$1004,0))&amp;"","")</f>
        <v/>
      </c>
      <c r="H15" s="58">
        <f>IFERROR(INDEX(Firms!$Q$5:$Q$1004,MATCH(11,Firms!$R$5:$R$1004,0))&amp;"","")</f>
        <v/>
      </c>
    </row>
    <row r="16">
      <c r="A16" s="57">
        <f>IF(B16="","",12)</f>
        <v/>
      </c>
      <c r="B16" s="58">
        <f>IFERROR(INDEX(Firms!$A$5:$A$1004,MATCH(12,Firms!$R$5:$R$1004,0))&amp;"","")</f>
        <v/>
      </c>
      <c r="C16" s="59">
        <f>IFERROR(IF(INDEX(Firms!$O$5:$O$1004,MATCH(12,Firms!$R$5:$R$1004,0))="","",INDEX(Firms!$O$5:$O$1004,MATCH(12,Firms!$R$5:$R$1004,0))),"")</f>
        <v/>
      </c>
      <c r="D16" s="58">
        <f>IFERROR(INDEX(Firms!$P$5:$P$1004,MATCH(12,Firms!$R$5:$R$1004,0))&amp;"","")</f>
        <v/>
      </c>
      <c r="E16" s="58">
        <f>IFERROR(INDEX(Firms!$C$5:$C$1004,MATCH(12,Firms!$R$5:$R$1004,0))&amp;"","")</f>
        <v/>
      </c>
      <c r="F16" s="57">
        <f>IFERROR(INDEX(Firms!$L$5:$L$1004,MATCH(12,Firms!$R$5:$R$1004,0))&amp;"","")</f>
        <v/>
      </c>
      <c r="G16" s="57">
        <f>IFERROR(INDEX(Firms!$M$5:$M$1004,MATCH(12,Firms!$R$5:$R$1004,0))&amp;"","")</f>
        <v/>
      </c>
      <c r="H16" s="58">
        <f>IFERROR(INDEX(Firms!$Q$5:$Q$1004,MATCH(12,Firms!$R$5:$R$1004,0))&amp;"","")</f>
        <v/>
      </c>
    </row>
    <row r="17">
      <c r="A17" s="57">
        <f>IF(B17="","",13)</f>
        <v/>
      </c>
      <c r="B17" s="58">
        <f>IFERROR(INDEX(Firms!$A$5:$A$1004,MATCH(13,Firms!$R$5:$R$1004,0))&amp;"","")</f>
        <v/>
      </c>
      <c r="C17" s="59">
        <f>IFERROR(IF(INDEX(Firms!$O$5:$O$1004,MATCH(13,Firms!$R$5:$R$1004,0))="","",INDEX(Firms!$O$5:$O$1004,MATCH(13,Firms!$R$5:$R$1004,0))),"")</f>
        <v/>
      </c>
      <c r="D17" s="58">
        <f>IFERROR(INDEX(Firms!$P$5:$P$1004,MATCH(13,Firms!$R$5:$R$1004,0))&amp;"","")</f>
        <v/>
      </c>
      <c r="E17" s="58">
        <f>IFERROR(INDEX(Firms!$C$5:$C$1004,MATCH(13,Firms!$R$5:$R$1004,0))&amp;"","")</f>
        <v/>
      </c>
      <c r="F17" s="57">
        <f>IFERROR(INDEX(Firms!$L$5:$L$1004,MATCH(13,Firms!$R$5:$R$1004,0))&amp;"","")</f>
        <v/>
      </c>
      <c r="G17" s="57">
        <f>IFERROR(INDEX(Firms!$M$5:$M$1004,MATCH(13,Firms!$R$5:$R$1004,0))&amp;"","")</f>
        <v/>
      </c>
      <c r="H17" s="58">
        <f>IFERROR(INDEX(Firms!$Q$5:$Q$1004,MATCH(13,Firms!$R$5:$R$1004,0))&amp;"","")</f>
        <v/>
      </c>
    </row>
    <row r="18">
      <c r="A18" s="57">
        <f>IF(B18="","",14)</f>
        <v/>
      </c>
      <c r="B18" s="58">
        <f>IFERROR(INDEX(Firms!$A$5:$A$1004,MATCH(14,Firms!$R$5:$R$1004,0))&amp;"","")</f>
        <v/>
      </c>
      <c r="C18" s="59">
        <f>IFERROR(IF(INDEX(Firms!$O$5:$O$1004,MATCH(14,Firms!$R$5:$R$1004,0))="","",INDEX(Firms!$O$5:$O$1004,MATCH(14,Firms!$R$5:$R$1004,0))),"")</f>
        <v/>
      </c>
      <c r="D18" s="58">
        <f>IFERROR(INDEX(Firms!$P$5:$P$1004,MATCH(14,Firms!$R$5:$R$1004,0))&amp;"","")</f>
        <v/>
      </c>
      <c r="E18" s="58">
        <f>IFERROR(INDEX(Firms!$C$5:$C$1004,MATCH(14,Firms!$R$5:$R$1004,0))&amp;"","")</f>
        <v/>
      </c>
      <c r="F18" s="57">
        <f>IFERROR(INDEX(Firms!$L$5:$L$1004,MATCH(14,Firms!$R$5:$R$1004,0))&amp;"","")</f>
        <v/>
      </c>
      <c r="G18" s="57">
        <f>IFERROR(INDEX(Firms!$M$5:$M$1004,MATCH(14,Firms!$R$5:$R$1004,0))&amp;"","")</f>
        <v/>
      </c>
      <c r="H18" s="58">
        <f>IFERROR(INDEX(Firms!$Q$5:$Q$1004,MATCH(14,Firms!$R$5:$R$1004,0))&amp;"","")</f>
        <v/>
      </c>
    </row>
    <row r="19">
      <c r="A19" s="57">
        <f>IF(B19="","",15)</f>
        <v/>
      </c>
      <c r="B19" s="58">
        <f>IFERROR(INDEX(Firms!$A$5:$A$1004,MATCH(15,Firms!$R$5:$R$1004,0))&amp;"","")</f>
        <v/>
      </c>
      <c r="C19" s="59">
        <f>IFERROR(IF(INDEX(Firms!$O$5:$O$1004,MATCH(15,Firms!$R$5:$R$1004,0))="","",INDEX(Firms!$O$5:$O$1004,MATCH(15,Firms!$R$5:$R$1004,0))),"")</f>
        <v/>
      </c>
      <c r="D19" s="58">
        <f>IFERROR(INDEX(Firms!$P$5:$P$1004,MATCH(15,Firms!$R$5:$R$1004,0))&amp;"","")</f>
        <v/>
      </c>
      <c r="E19" s="58">
        <f>IFERROR(INDEX(Firms!$C$5:$C$1004,MATCH(15,Firms!$R$5:$R$1004,0))&amp;"","")</f>
        <v/>
      </c>
      <c r="F19" s="57">
        <f>IFERROR(INDEX(Firms!$L$5:$L$1004,MATCH(15,Firms!$R$5:$R$1004,0))&amp;"","")</f>
        <v/>
      </c>
      <c r="G19" s="57">
        <f>IFERROR(INDEX(Firms!$M$5:$M$1004,MATCH(15,Firms!$R$5:$R$1004,0))&amp;"","")</f>
        <v/>
      </c>
      <c r="H19" s="58">
        <f>IFERROR(INDEX(Firms!$Q$5:$Q$1004,MATCH(15,Firms!$R$5:$R$1004,0))&amp;"","")</f>
        <v/>
      </c>
    </row>
    <row r="20">
      <c r="A20" s="57">
        <f>IF(B20="","",16)</f>
        <v/>
      </c>
      <c r="B20" s="58">
        <f>IFERROR(INDEX(Firms!$A$5:$A$1004,MATCH(16,Firms!$R$5:$R$1004,0))&amp;"","")</f>
        <v/>
      </c>
      <c r="C20" s="59">
        <f>IFERROR(IF(INDEX(Firms!$O$5:$O$1004,MATCH(16,Firms!$R$5:$R$1004,0))="","",INDEX(Firms!$O$5:$O$1004,MATCH(16,Firms!$R$5:$R$1004,0))),"")</f>
        <v/>
      </c>
      <c r="D20" s="58">
        <f>IFERROR(INDEX(Firms!$P$5:$P$1004,MATCH(16,Firms!$R$5:$R$1004,0))&amp;"","")</f>
        <v/>
      </c>
      <c r="E20" s="58">
        <f>IFERROR(INDEX(Firms!$C$5:$C$1004,MATCH(16,Firms!$R$5:$R$1004,0))&amp;"","")</f>
        <v/>
      </c>
      <c r="F20" s="57">
        <f>IFERROR(INDEX(Firms!$L$5:$L$1004,MATCH(16,Firms!$R$5:$R$1004,0))&amp;"","")</f>
        <v/>
      </c>
      <c r="G20" s="57">
        <f>IFERROR(INDEX(Firms!$M$5:$M$1004,MATCH(16,Firms!$R$5:$R$1004,0))&amp;"","")</f>
        <v/>
      </c>
      <c r="H20" s="58">
        <f>IFERROR(INDEX(Firms!$Q$5:$Q$1004,MATCH(16,Firms!$R$5:$R$1004,0))&amp;"","")</f>
        <v/>
      </c>
    </row>
    <row r="21">
      <c r="A21" s="57">
        <f>IF(B21="","",17)</f>
        <v/>
      </c>
      <c r="B21" s="58">
        <f>IFERROR(INDEX(Firms!$A$5:$A$1004,MATCH(17,Firms!$R$5:$R$1004,0))&amp;"","")</f>
        <v/>
      </c>
      <c r="C21" s="59">
        <f>IFERROR(IF(INDEX(Firms!$O$5:$O$1004,MATCH(17,Firms!$R$5:$R$1004,0))="","",INDEX(Firms!$O$5:$O$1004,MATCH(17,Firms!$R$5:$R$1004,0))),"")</f>
        <v/>
      </c>
      <c r="D21" s="58">
        <f>IFERROR(INDEX(Firms!$P$5:$P$1004,MATCH(17,Firms!$R$5:$R$1004,0))&amp;"","")</f>
        <v/>
      </c>
      <c r="E21" s="58">
        <f>IFERROR(INDEX(Firms!$C$5:$C$1004,MATCH(17,Firms!$R$5:$R$1004,0))&amp;"","")</f>
        <v/>
      </c>
      <c r="F21" s="57">
        <f>IFERROR(INDEX(Firms!$L$5:$L$1004,MATCH(17,Firms!$R$5:$R$1004,0))&amp;"","")</f>
        <v/>
      </c>
      <c r="G21" s="57">
        <f>IFERROR(INDEX(Firms!$M$5:$M$1004,MATCH(17,Firms!$R$5:$R$1004,0))&amp;"","")</f>
        <v/>
      </c>
      <c r="H21" s="58">
        <f>IFERROR(INDEX(Firms!$Q$5:$Q$1004,MATCH(17,Firms!$R$5:$R$1004,0))&amp;"","")</f>
        <v/>
      </c>
    </row>
    <row r="22">
      <c r="A22" s="57">
        <f>IF(B22="","",18)</f>
        <v/>
      </c>
      <c r="B22" s="58">
        <f>IFERROR(INDEX(Firms!$A$5:$A$1004,MATCH(18,Firms!$R$5:$R$1004,0))&amp;"","")</f>
        <v/>
      </c>
      <c r="C22" s="59">
        <f>IFERROR(IF(INDEX(Firms!$O$5:$O$1004,MATCH(18,Firms!$R$5:$R$1004,0))="","",INDEX(Firms!$O$5:$O$1004,MATCH(18,Firms!$R$5:$R$1004,0))),"")</f>
        <v/>
      </c>
      <c r="D22" s="58">
        <f>IFERROR(INDEX(Firms!$P$5:$P$1004,MATCH(18,Firms!$R$5:$R$1004,0))&amp;"","")</f>
        <v/>
      </c>
      <c r="E22" s="58">
        <f>IFERROR(INDEX(Firms!$C$5:$C$1004,MATCH(18,Firms!$R$5:$R$1004,0))&amp;"","")</f>
        <v/>
      </c>
      <c r="F22" s="57">
        <f>IFERROR(INDEX(Firms!$L$5:$L$1004,MATCH(18,Firms!$R$5:$R$1004,0))&amp;"","")</f>
        <v/>
      </c>
      <c r="G22" s="57">
        <f>IFERROR(INDEX(Firms!$M$5:$M$1004,MATCH(18,Firms!$R$5:$R$1004,0))&amp;"","")</f>
        <v/>
      </c>
      <c r="H22" s="58">
        <f>IFERROR(INDEX(Firms!$Q$5:$Q$1004,MATCH(18,Firms!$R$5:$R$1004,0))&amp;"","")</f>
        <v/>
      </c>
    </row>
    <row r="23">
      <c r="A23" s="57">
        <f>IF(B23="","",19)</f>
        <v/>
      </c>
      <c r="B23" s="58">
        <f>IFERROR(INDEX(Firms!$A$5:$A$1004,MATCH(19,Firms!$R$5:$R$1004,0))&amp;"","")</f>
        <v/>
      </c>
      <c r="C23" s="59">
        <f>IFERROR(IF(INDEX(Firms!$O$5:$O$1004,MATCH(19,Firms!$R$5:$R$1004,0))="","",INDEX(Firms!$O$5:$O$1004,MATCH(19,Firms!$R$5:$R$1004,0))),"")</f>
        <v/>
      </c>
      <c r="D23" s="58">
        <f>IFERROR(INDEX(Firms!$P$5:$P$1004,MATCH(19,Firms!$R$5:$R$1004,0))&amp;"","")</f>
        <v/>
      </c>
      <c r="E23" s="58">
        <f>IFERROR(INDEX(Firms!$C$5:$C$1004,MATCH(19,Firms!$R$5:$R$1004,0))&amp;"","")</f>
        <v/>
      </c>
      <c r="F23" s="57">
        <f>IFERROR(INDEX(Firms!$L$5:$L$1004,MATCH(19,Firms!$R$5:$R$1004,0))&amp;"","")</f>
        <v/>
      </c>
      <c r="G23" s="57">
        <f>IFERROR(INDEX(Firms!$M$5:$M$1004,MATCH(19,Firms!$R$5:$R$1004,0))&amp;"","")</f>
        <v/>
      </c>
      <c r="H23" s="58">
        <f>IFERROR(INDEX(Firms!$Q$5:$Q$1004,MATCH(19,Firms!$R$5:$R$1004,0))&amp;"","")</f>
        <v/>
      </c>
    </row>
    <row r="24">
      <c r="A24" s="57">
        <f>IF(B24="","",20)</f>
        <v/>
      </c>
      <c r="B24" s="58">
        <f>IFERROR(INDEX(Firms!$A$5:$A$1004,MATCH(20,Firms!$R$5:$R$1004,0))&amp;"","")</f>
        <v/>
      </c>
      <c r="C24" s="59">
        <f>IFERROR(IF(INDEX(Firms!$O$5:$O$1004,MATCH(20,Firms!$R$5:$R$1004,0))="","",INDEX(Firms!$O$5:$O$1004,MATCH(20,Firms!$R$5:$R$1004,0))),"")</f>
        <v/>
      </c>
      <c r="D24" s="58">
        <f>IFERROR(INDEX(Firms!$P$5:$P$1004,MATCH(20,Firms!$R$5:$R$1004,0))&amp;"","")</f>
        <v/>
      </c>
      <c r="E24" s="58">
        <f>IFERROR(INDEX(Firms!$C$5:$C$1004,MATCH(20,Firms!$R$5:$R$1004,0))&amp;"","")</f>
        <v/>
      </c>
      <c r="F24" s="57">
        <f>IFERROR(INDEX(Firms!$L$5:$L$1004,MATCH(20,Firms!$R$5:$R$1004,0))&amp;"","")</f>
        <v/>
      </c>
      <c r="G24" s="57">
        <f>IFERROR(INDEX(Firms!$M$5:$M$1004,MATCH(20,Firms!$R$5:$R$1004,0))&amp;"","")</f>
        <v/>
      </c>
      <c r="H24" s="58">
        <f>IFERROR(INDEX(Firms!$Q$5:$Q$1004,MATCH(20,Firms!$R$5:$R$1004,0))&amp;"","")</f>
        <v/>
      </c>
    </row>
    <row r="25">
      <c r="A25" s="57">
        <f>IF(B25="","",21)</f>
        <v/>
      </c>
      <c r="B25" s="58">
        <f>IFERROR(INDEX(Firms!$A$5:$A$1004,MATCH(21,Firms!$R$5:$R$1004,0))&amp;"","")</f>
        <v/>
      </c>
      <c r="C25" s="59">
        <f>IFERROR(IF(INDEX(Firms!$O$5:$O$1004,MATCH(21,Firms!$R$5:$R$1004,0))="","",INDEX(Firms!$O$5:$O$1004,MATCH(21,Firms!$R$5:$R$1004,0))),"")</f>
        <v/>
      </c>
      <c r="D25" s="58">
        <f>IFERROR(INDEX(Firms!$P$5:$P$1004,MATCH(21,Firms!$R$5:$R$1004,0))&amp;"","")</f>
        <v/>
      </c>
      <c r="E25" s="58">
        <f>IFERROR(INDEX(Firms!$C$5:$C$1004,MATCH(21,Firms!$R$5:$R$1004,0))&amp;"","")</f>
        <v/>
      </c>
      <c r="F25" s="57">
        <f>IFERROR(INDEX(Firms!$L$5:$L$1004,MATCH(21,Firms!$R$5:$R$1004,0))&amp;"","")</f>
        <v/>
      </c>
      <c r="G25" s="57">
        <f>IFERROR(INDEX(Firms!$M$5:$M$1004,MATCH(21,Firms!$R$5:$R$1004,0))&amp;"","")</f>
        <v/>
      </c>
      <c r="H25" s="58">
        <f>IFERROR(INDEX(Firms!$Q$5:$Q$1004,MATCH(21,Firms!$R$5:$R$1004,0))&amp;"","")</f>
        <v/>
      </c>
    </row>
    <row r="26">
      <c r="A26" s="57">
        <f>IF(B26="","",22)</f>
        <v/>
      </c>
      <c r="B26" s="58">
        <f>IFERROR(INDEX(Firms!$A$5:$A$1004,MATCH(22,Firms!$R$5:$R$1004,0))&amp;"","")</f>
        <v/>
      </c>
      <c r="C26" s="59">
        <f>IFERROR(IF(INDEX(Firms!$O$5:$O$1004,MATCH(22,Firms!$R$5:$R$1004,0))="","",INDEX(Firms!$O$5:$O$1004,MATCH(22,Firms!$R$5:$R$1004,0))),"")</f>
        <v/>
      </c>
      <c r="D26" s="58">
        <f>IFERROR(INDEX(Firms!$P$5:$P$1004,MATCH(22,Firms!$R$5:$R$1004,0))&amp;"","")</f>
        <v/>
      </c>
      <c r="E26" s="58">
        <f>IFERROR(INDEX(Firms!$C$5:$C$1004,MATCH(22,Firms!$R$5:$R$1004,0))&amp;"","")</f>
        <v/>
      </c>
      <c r="F26" s="57">
        <f>IFERROR(INDEX(Firms!$L$5:$L$1004,MATCH(22,Firms!$R$5:$R$1004,0))&amp;"","")</f>
        <v/>
      </c>
      <c r="G26" s="57">
        <f>IFERROR(INDEX(Firms!$M$5:$M$1004,MATCH(22,Firms!$R$5:$R$1004,0))&amp;"","")</f>
        <v/>
      </c>
      <c r="H26" s="58">
        <f>IFERROR(INDEX(Firms!$Q$5:$Q$1004,MATCH(22,Firms!$R$5:$R$1004,0))&amp;"","")</f>
        <v/>
      </c>
    </row>
    <row r="27">
      <c r="A27" s="57">
        <f>IF(B27="","",23)</f>
        <v/>
      </c>
      <c r="B27" s="58">
        <f>IFERROR(INDEX(Firms!$A$5:$A$1004,MATCH(23,Firms!$R$5:$R$1004,0))&amp;"","")</f>
        <v/>
      </c>
      <c r="C27" s="59">
        <f>IFERROR(IF(INDEX(Firms!$O$5:$O$1004,MATCH(23,Firms!$R$5:$R$1004,0))="","",INDEX(Firms!$O$5:$O$1004,MATCH(23,Firms!$R$5:$R$1004,0))),"")</f>
        <v/>
      </c>
      <c r="D27" s="58">
        <f>IFERROR(INDEX(Firms!$P$5:$P$1004,MATCH(23,Firms!$R$5:$R$1004,0))&amp;"","")</f>
        <v/>
      </c>
      <c r="E27" s="58">
        <f>IFERROR(INDEX(Firms!$C$5:$C$1004,MATCH(23,Firms!$R$5:$R$1004,0))&amp;"","")</f>
        <v/>
      </c>
      <c r="F27" s="57">
        <f>IFERROR(INDEX(Firms!$L$5:$L$1004,MATCH(23,Firms!$R$5:$R$1004,0))&amp;"","")</f>
        <v/>
      </c>
      <c r="G27" s="57">
        <f>IFERROR(INDEX(Firms!$M$5:$M$1004,MATCH(23,Firms!$R$5:$R$1004,0))&amp;"","")</f>
        <v/>
      </c>
      <c r="H27" s="58">
        <f>IFERROR(INDEX(Firms!$Q$5:$Q$1004,MATCH(23,Firms!$R$5:$R$1004,0))&amp;"","")</f>
        <v/>
      </c>
    </row>
    <row r="28">
      <c r="A28" s="57">
        <f>IF(B28="","",24)</f>
        <v/>
      </c>
      <c r="B28" s="58">
        <f>IFERROR(INDEX(Firms!$A$5:$A$1004,MATCH(24,Firms!$R$5:$R$1004,0))&amp;"","")</f>
        <v/>
      </c>
      <c r="C28" s="59">
        <f>IFERROR(IF(INDEX(Firms!$O$5:$O$1004,MATCH(24,Firms!$R$5:$R$1004,0))="","",INDEX(Firms!$O$5:$O$1004,MATCH(24,Firms!$R$5:$R$1004,0))),"")</f>
        <v/>
      </c>
      <c r="D28" s="58">
        <f>IFERROR(INDEX(Firms!$P$5:$P$1004,MATCH(24,Firms!$R$5:$R$1004,0))&amp;"","")</f>
        <v/>
      </c>
      <c r="E28" s="58">
        <f>IFERROR(INDEX(Firms!$C$5:$C$1004,MATCH(24,Firms!$R$5:$R$1004,0))&amp;"","")</f>
        <v/>
      </c>
      <c r="F28" s="57">
        <f>IFERROR(INDEX(Firms!$L$5:$L$1004,MATCH(24,Firms!$R$5:$R$1004,0))&amp;"","")</f>
        <v/>
      </c>
      <c r="G28" s="57">
        <f>IFERROR(INDEX(Firms!$M$5:$M$1004,MATCH(24,Firms!$R$5:$R$1004,0))&amp;"","")</f>
        <v/>
      </c>
      <c r="H28" s="58">
        <f>IFERROR(INDEX(Firms!$Q$5:$Q$1004,MATCH(24,Firms!$R$5:$R$1004,0))&amp;"","")</f>
        <v/>
      </c>
    </row>
    <row r="29">
      <c r="A29" s="57">
        <f>IF(B29="","",25)</f>
        <v/>
      </c>
      <c r="B29" s="58">
        <f>IFERROR(INDEX(Firms!$A$5:$A$1004,MATCH(25,Firms!$R$5:$R$1004,0))&amp;"","")</f>
        <v/>
      </c>
      <c r="C29" s="59">
        <f>IFERROR(IF(INDEX(Firms!$O$5:$O$1004,MATCH(25,Firms!$R$5:$R$1004,0))="","",INDEX(Firms!$O$5:$O$1004,MATCH(25,Firms!$R$5:$R$1004,0))),"")</f>
        <v/>
      </c>
      <c r="D29" s="58">
        <f>IFERROR(INDEX(Firms!$P$5:$P$1004,MATCH(25,Firms!$R$5:$R$1004,0))&amp;"","")</f>
        <v/>
      </c>
      <c r="E29" s="58">
        <f>IFERROR(INDEX(Firms!$C$5:$C$1004,MATCH(25,Firms!$R$5:$R$1004,0))&amp;"","")</f>
        <v/>
      </c>
      <c r="F29" s="57">
        <f>IFERROR(INDEX(Firms!$L$5:$L$1004,MATCH(25,Firms!$R$5:$R$1004,0))&amp;"","")</f>
        <v/>
      </c>
      <c r="G29" s="57">
        <f>IFERROR(INDEX(Firms!$M$5:$M$1004,MATCH(25,Firms!$R$5:$R$1004,0))&amp;"","")</f>
        <v/>
      </c>
      <c r="H29" s="58">
        <f>IFERROR(INDEX(Firms!$Q$5:$Q$1004,MATCH(25,Firms!$R$5:$R$1004,0))&amp;"","")</f>
        <v/>
      </c>
    </row>
    <row r="30">
      <c r="A30" s="57">
        <f>IF(B30="","",26)</f>
        <v/>
      </c>
      <c r="B30" s="58">
        <f>IFERROR(INDEX(Firms!$A$5:$A$1004,MATCH(26,Firms!$R$5:$R$1004,0))&amp;"","")</f>
        <v/>
      </c>
      <c r="C30" s="59">
        <f>IFERROR(IF(INDEX(Firms!$O$5:$O$1004,MATCH(26,Firms!$R$5:$R$1004,0))="","",INDEX(Firms!$O$5:$O$1004,MATCH(26,Firms!$R$5:$R$1004,0))),"")</f>
        <v/>
      </c>
      <c r="D30" s="58">
        <f>IFERROR(INDEX(Firms!$P$5:$P$1004,MATCH(26,Firms!$R$5:$R$1004,0))&amp;"","")</f>
        <v/>
      </c>
      <c r="E30" s="58">
        <f>IFERROR(INDEX(Firms!$C$5:$C$1004,MATCH(26,Firms!$R$5:$R$1004,0))&amp;"","")</f>
        <v/>
      </c>
      <c r="F30" s="57">
        <f>IFERROR(INDEX(Firms!$L$5:$L$1004,MATCH(26,Firms!$R$5:$R$1004,0))&amp;"","")</f>
        <v/>
      </c>
      <c r="G30" s="57">
        <f>IFERROR(INDEX(Firms!$M$5:$M$1004,MATCH(26,Firms!$R$5:$R$1004,0))&amp;"","")</f>
        <v/>
      </c>
      <c r="H30" s="58">
        <f>IFERROR(INDEX(Firms!$Q$5:$Q$1004,MATCH(26,Firms!$R$5:$R$1004,0))&amp;"","")</f>
        <v/>
      </c>
    </row>
    <row r="31">
      <c r="A31" s="57">
        <f>IF(B31="","",27)</f>
        <v/>
      </c>
      <c r="B31" s="58">
        <f>IFERROR(INDEX(Firms!$A$5:$A$1004,MATCH(27,Firms!$R$5:$R$1004,0))&amp;"","")</f>
        <v/>
      </c>
      <c r="C31" s="59">
        <f>IFERROR(IF(INDEX(Firms!$O$5:$O$1004,MATCH(27,Firms!$R$5:$R$1004,0))="","",INDEX(Firms!$O$5:$O$1004,MATCH(27,Firms!$R$5:$R$1004,0))),"")</f>
        <v/>
      </c>
      <c r="D31" s="58">
        <f>IFERROR(INDEX(Firms!$P$5:$P$1004,MATCH(27,Firms!$R$5:$R$1004,0))&amp;"","")</f>
        <v/>
      </c>
      <c r="E31" s="58">
        <f>IFERROR(INDEX(Firms!$C$5:$C$1004,MATCH(27,Firms!$R$5:$R$1004,0))&amp;"","")</f>
        <v/>
      </c>
      <c r="F31" s="57">
        <f>IFERROR(INDEX(Firms!$L$5:$L$1004,MATCH(27,Firms!$R$5:$R$1004,0))&amp;"","")</f>
        <v/>
      </c>
      <c r="G31" s="57">
        <f>IFERROR(INDEX(Firms!$M$5:$M$1004,MATCH(27,Firms!$R$5:$R$1004,0))&amp;"","")</f>
        <v/>
      </c>
      <c r="H31" s="58">
        <f>IFERROR(INDEX(Firms!$Q$5:$Q$1004,MATCH(27,Firms!$R$5:$R$1004,0))&amp;"","")</f>
        <v/>
      </c>
    </row>
    <row r="32">
      <c r="A32" s="57">
        <f>IF(B32="","",28)</f>
        <v/>
      </c>
      <c r="B32" s="58">
        <f>IFERROR(INDEX(Firms!$A$5:$A$1004,MATCH(28,Firms!$R$5:$R$1004,0))&amp;"","")</f>
        <v/>
      </c>
      <c r="C32" s="59">
        <f>IFERROR(IF(INDEX(Firms!$O$5:$O$1004,MATCH(28,Firms!$R$5:$R$1004,0))="","",INDEX(Firms!$O$5:$O$1004,MATCH(28,Firms!$R$5:$R$1004,0))),"")</f>
        <v/>
      </c>
      <c r="D32" s="58">
        <f>IFERROR(INDEX(Firms!$P$5:$P$1004,MATCH(28,Firms!$R$5:$R$1004,0))&amp;"","")</f>
        <v/>
      </c>
      <c r="E32" s="58">
        <f>IFERROR(INDEX(Firms!$C$5:$C$1004,MATCH(28,Firms!$R$5:$R$1004,0))&amp;"","")</f>
        <v/>
      </c>
      <c r="F32" s="57">
        <f>IFERROR(INDEX(Firms!$L$5:$L$1004,MATCH(28,Firms!$R$5:$R$1004,0))&amp;"","")</f>
        <v/>
      </c>
      <c r="G32" s="57">
        <f>IFERROR(INDEX(Firms!$M$5:$M$1004,MATCH(28,Firms!$R$5:$R$1004,0))&amp;"","")</f>
        <v/>
      </c>
      <c r="H32" s="58">
        <f>IFERROR(INDEX(Firms!$Q$5:$Q$1004,MATCH(28,Firms!$R$5:$R$1004,0))&amp;"","")</f>
        <v/>
      </c>
    </row>
    <row r="33">
      <c r="A33" s="57">
        <f>IF(B33="","",29)</f>
        <v/>
      </c>
      <c r="B33" s="58">
        <f>IFERROR(INDEX(Firms!$A$5:$A$1004,MATCH(29,Firms!$R$5:$R$1004,0))&amp;"","")</f>
        <v/>
      </c>
      <c r="C33" s="59">
        <f>IFERROR(IF(INDEX(Firms!$O$5:$O$1004,MATCH(29,Firms!$R$5:$R$1004,0))="","",INDEX(Firms!$O$5:$O$1004,MATCH(29,Firms!$R$5:$R$1004,0))),"")</f>
        <v/>
      </c>
      <c r="D33" s="58">
        <f>IFERROR(INDEX(Firms!$P$5:$P$1004,MATCH(29,Firms!$R$5:$R$1004,0))&amp;"","")</f>
        <v/>
      </c>
      <c r="E33" s="58">
        <f>IFERROR(INDEX(Firms!$C$5:$C$1004,MATCH(29,Firms!$R$5:$R$1004,0))&amp;"","")</f>
        <v/>
      </c>
      <c r="F33" s="57">
        <f>IFERROR(INDEX(Firms!$L$5:$L$1004,MATCH(29,Firms!$R$5:$R$1004,0))&amp;"","")</f>
        <v/>
      </c>
      <c r="G33" s="57">
        <f>IFERROR(INDEX(Firms!$M$5:$M$1004,MATCH(29,Firms!$R$5:$R$1004,0))&amp;"","")</f>
        <v/>
      </c>
      <c r="H33" s="58">
        <f>IFERROR(INDEX(Firms!$Q$5:$Q$1004,MATCH(29,Firms!$R$5:$R$1004,0))&amp;"","")</f>
        <v/>
      </c>
    </row>
    <row r="34">
      <c r="A34" s="57">
        <f>IF(B34="","",30)</f>
        <v/>
      </c>
      <c r="B34" s="58">
        <f>IFERROR(INDEX(Firms!$A$5:$A$1004,MATCH(30,Firms!$R$5:$R$1004,0))&amp;"","")</f>
        <v/>
      </c>
      <c r="C34" s="59">
        <f>IFERROR(IF(INDEX(Firms!$O$5:$O$1004,MATCH(30,Firms!$R$5:$R$1004,0))="","",INDEX(Firms!$O$5:$O$1004,MATCH(30,Firms!$R$5:$R$1004,0))),"")</f>
        <v/>
      </c>
      <c r="D34" s="58">
        <f>IFERROR(INDEX(Firms!$P$5:$P$1004,MATCH(30,Firms!$R$5:$R$1004,0))&amp;"","")</f>
        <v/>
      </c>
      <c r="E34" s="58">
        <f>IFERROR(INDEX(Firms!$C$5:$C$1004,MATCH(30,Firms!$R$5:$R$1004,0))&amp;"","")</f>
        <v/>
      </c>
      <c r="F34" s="57">
        <f>IFERROR(INDEX(Firms!$L$5:$L$1004,MATCH(30,Firms!$R$5:$R$1004,0))&amp;"","")</f>
        <v/>
      </c>
      <c r="G34" s="57">
        <f>IFERROR(INDEX(Firms!$M$5:$M$1004,MATCH(30,Firms!$R$5:$R$1004,0))&amp;"","")</f>
        <v/>
      </c>
      <c r="H34" s="58">
        <f>IFERROR(INDEX(Firms!$Q$5:$Q$1004,MATCH(30,Firms!$R$5:$R$1004,0))&amp;"","")</f>
        <v/>
      </c>
    </row>
    <row r="35">
      <c r="A35" s="57">
        <f>IF(B35="","",31)</f>
        <v/>
      </c>
      <c r="B35" s="58">
        <f>IFERROR(INDEX(Firms!$A$5:$A$1004,MATCH(31,Firms!$R$5:$R$1004,0))&amp;"","")</f>
        <v/>
      </c>
      <c r="C35" s="59">
        <f>IFERROR(IF(INDEX(Firms!$O$5:$O$1004,MATCH(31,Firms!$R$5:$R$1004,0))="","",INDEX(Firms!$O$5:$O$1004,MATCH(31,Firms!$R$5:$R$1004,0))),"")</f>
        <v/>
      </c>
      <c r="D35" s="58">
        <f>IFERROR(INDEX(Firms!$P$5:$P$1004,MATCH(31,Firms!$R$5:$R$1004,0))&amp;"","")</f>
        <v/>
      </c>
      <c r="E35" s="58">
        <f>IFERROR(INDEX(Firms!$C$5:$C$1004,MATCH(31,Firms!$R$5:$R$1004,0))&amp;"","")</f>
        <v/>
      </c>
      <c r="F35" s="57">
        <f>IFERROR(INDEX(Firms!$L$5:$L$1004,MATCH(31,Firms!$R$5:$R$1004,0))&amp;"","")</f>
        <v/>
      </c>
      <c r="G35" s="57">
        <f>IFERROR(INDEX(Firms!$M$5:$M$1004,MATCH(31,Firms!$R$5:$R$1004,0))&amp;"","")</f>
        <v/>
      </c>
      <c r="H35" s="58">
        <f>IFERROR(INDEX(Firms!$Q$5:$Q$1004,MATCH(31,Firms!$R$5:$R$1004,0))&amp;"","")</f>
        <v/>
      </c>
    </row>
    <row r="36">
      <c r="A36" s="57">
        <f>IF(B36="","",32)</f>
        <v/>
      </c>
      <c r="B36" s="58">
        <f>IFERROR(INDEX(Firms!$A$5:$A$1004,MATCH(32,Firms!$R$5:$R$1004,0))&amp;"","")</f>
        <v/>
      </c>
      <c r="C36" s="59">
        <f>IFERROR(IF(INDEX(Firms!$O$5:$O$1004,MATCH(32,Firms!$R$5:$R$1004,0))="","",INDEX(Firms!$O$5:$O$1004,MATCH(32,Firms!$R$5:$R$1004,0))),"")</f>
        <v/>
      </c>
      <c r="D36" s="58">
        <f>IFERROR(INDEX(Firms!$P$5:$P$1004,MATCH(32,Firms!$R$5:$R$1004,0))&amp;"","")</f>
        <v/>
      </c>
      <c r="E36" s="58">
        <f>IFERROR(INDEX(Firms!$C$5:$C$1004,MATCH(32,Firms!$R$5:$R$1004,0))&amp;"","")</f>
        <v/>
      </c>
      <c r="F36" s="57">
        <f>IFERROR(INDEX(Firms!$L$5:$L$1004,MATCH(32,Firms!$R$5:$R$1004,0))&amp;"","")</f>
        <v/>
      </c>
      <c r="G36" s="57">
        <f>IFERROR(INDEX(Firms!$M$5:$M$1004,MATCH(32,Firms!$R$5:$R$1004,0))&amp;"","")</f>
        <v/>
      </c>
      <c r="H36" s="58">
        <f>IFERROR(INDEX(Firms!$Q$5:$Q$1004,MATCH(32,Firms!$R$5:$R$1004,0))&amp;"","")</f>
        <v/>
      </c>
    </row>
    <row r="37">
      <c r="A37" s="57">
        <f>IF(B37="","",33)</f>
        <v/>
      </c>
      <c r="B37" s="58">
        <f>IFERROR(INDEX(Firms!$A$5:$A$1004,MATCH(33,Firms!$R$5:$R$1004,0))&amp;"","")</f>
        <v/>
      </c>
      <c r="C37" s="59">
        <f>IFERROR(IF(INDEX(Firms!$O$5:$O$1004,MATCH(33,Firms!$R$5:$R$1004,0))="","",INDEX(Firms!$O$5:$O$1004,MATCH(33,Firms!$R$5:$R$1004,0))),"")</f>
        <v/>
      </c>
      <c r="D37" s="58">
        <f>IFERROR(INDEX(Firms!$P$5:$P$1004,MATCH(33,Firms!$R$5:$R$1004,0))&amp;"","")</f>
        <v/>
      </c>
      <c r="E37" s="58">
        <f>IFERROR(INDEX(Firms!$C$5:$C$1004,MATCH(33,Firms!$R$5:$R$1004,0))&amp;"","")</f>
        <v/>
      </c>
      <c r="F37" s="57">
        <f>IFERROR(INDEX(Firms!$L$5:$L$1004,MATCH(33,Firms!$R$5:$R$1004,0))&amp;"","")</f>
        <v/>
      </c>
      <c r="G37" s="57">
        <f>IFERROR(INDEX(Firms!$M$5:$M$1004,MATCH(33,Firms!$R$5:$R$1004,0))&amp;"","")</f>
        <v/>
      </c>
      <c r="H37" s="58">
        <f>IFERROR(INDEX(Firms!$Q$5:$Q$1004,MATCH(33,Firms!$R$5:$R$1004,0))&amp;"","")</f>
        <v/>
      </c>
    </row>
    <row r="38">
      <c r="A38" s="57">
        <f>IF(B38="","",34)</f>
        <v/>
      </c>
      <c r="B38" s="58">
        <f>IFERROR(INDEX(Firms!$A$5:$A$1004,MATCH(34,Firms!$R$5:$R$1004,0))&amp;"","")</f>
        <v/>
      </c>
      <c r="C38" s="59">
        <f>IFERROR(IF(INDEX(Firms!$O$5:$O$1004,MATCH(34,Firms!$R$5:$R$1004,0))="","",INDEX(Firms!$O$5:$O$1004,MATCH(34,Firms!$R$5:$R$1004,0))),"")</f>
        <v/>
      </c>
      <c r="D38" s="58">
        <f>IFERROR(INDEX(Firms!$P$5:$P$1004,MATCH(34,Firms!$R$5:$R$1004,0))&amp;"","")</f>
        <v/>
      </c>
      <c r="E38" s="58">
        <f>IFERROR(INDEX(Firms!$C$5:$C$1004,MATCH(34,Firms!$R$5:$R$1004,0))&amp;"","")</f>
        <v/>
      </c>
      <c r="F38" s="57">
        <f>IFERROR(INDEX(Firms!$L$5:$L$1004,MATCH(34,Firms!$R$5:$R$1004,0))&amp;"","")</f>
        <v/>
      </c>
      <c r="G38" s="57">
        <f>IFERROR(INDEX(Firms!$M$5:$M$1004,MATCH(34,Firms!$R$5:$R$1004,0))&amp;"","")</f>
        <v/>
      </c>
      <c r="H38" s="58">
        <f>IFERROR(INDEX(Firms!$Q$5:$Q$1004,MATCH(34,Firms!$R$5:$R$1004,0))&amp;"","")</f>
        <v/>
      </c>
    </row>
    <row r="39">
      <c r="A39" s="57">
        <f>IF(B39="","",35)</f>
        <v/>
      </c>
      <c r="B39" s="58">
        <f>IFERROR(INDEX(Firms!$A$5:$A$1004,MATCH(35,Firms!$R$5:$R$1004,0))&amp;"","")</f>
        <v/>
      </c>
      <c r="C39" s="59">
        <f>IFERROR(IF(INDEX(Firms!$O$5:$O$1004,MATCH(35,Firms!$R$5:$R$1004,0))="","",INDEX(Firms!$O$5:$O$1004,MATCH(35,Firms!$R$5:$R$1004,0))),"")</f>
        <v/>
      </c>
      <c r="D39" s="58">
        <f>IFERROR(INDEX(Firms!$P$5:$P$1004,MATCH(35,Firms!$R$5:$R$1004,0))&amp;"","")</f>
        <v/>
      </c>
      <c r="E39" s="58">
        <f>IFERROR(INDEX(Firms!$C$5:$C$1004,MATCH(35,Firms!$R$5:$R$1004,0))&amp;"","")</f>
        <v/>
      </c>
      <c r="F39" s="57">
        <f>IFERROR(INDEX(Firms!$L$5:$L$1004,MATCH(35,Firms!$R$5:$R$1004,0))&amp;"","")</f>
        <v/>
      </c>
      <c r="G39" s="57">
        <f>IFERROR(INDEX(Firms!$M$5:$M$1004,MATCH(35,Firms!$R$5:$R$1004,0))&amp;"","")</f>
        <v/>
      </c>
      <c r="H39" s="58">
        <f>IFERROR(INDEX(Firms!$Q$5:$Q$1004,MATCH(35,Firms!$R$5:$R$1004,0))&amp;"","")</f>
        <v/>
      </c>
    </row>
    <row r="40">
      <c r="A40" s="57">
        <f>IF(B40="","",36)</f>
        <v/>
      </c>
      <c r="B40" s="58">
        <f>IFERROR(INDEX(Firms!$A$5:$A$1004,MATCH(36,Firms!$R$5:$R$1004,0))&amp;"","")</f>
        <v/>
      </c>
      <c r="C40" s="59">
        <f>IFERROR(IF(INDEX(Firms!$O$5:$O$1004,MATCH(36,Firms!$R$5:$R$1004,0))="","",INDEX(Firms!$O$5:$O$1004,MATCH(36,Firms!$R$5:$R$1004,0))),"")</f>
        <v/>
      </c>
      <c r="D40" s="58">
        <f>IFERROR(INDEX(Firms!$P$5:$P$1004,MATCH(36,Firms!$R$5:$R$1004,0))&amp;"","")</f>
        <v/>
      </c>
      <c r="E40" s="58">
        <f>IFERROR(INDEX(Firms!$C$5:$C$1004,MATCH(36,Firms!$R$5:$R$1004,0))&amp;"","")</f>
        <v/>
      </c>
      <c r="F40" s="57">
        <f>IFERROR(INDEX(Firms!$L$5:$L$1004,MATCH(36,Firms!$R$5:$R$1004,0))&amp;"","")</f>
        <v/>
      </c>
      <c r="G40" s="57">
        <f>IFERROR(INDEX(Firms!$M$5:$M$1004,MATCH(36,Firms!$R$5:$R$1004,0))&amp;"","")</f>
        <v/>
      </c>
      <c r="H40" s="58">
        <f>IFERROR(INDEX(Firms!$Q$5:$Q$1004,MATCH(36,Firms!$R$5:$R$1004,0))&amp;"","")</f>
        <v/>
      </c>
    </row>
    <row r="41">
      <c r="A41" s="57">
        <f>IF(B41="","",37)</f>
        <v/>
      </c>
      <c r="B41" s="58">
        <f>IFERROR(INDEX(Firms!$A$5:$A$1004,MATCH(37,Firms!$R$5:$R$1004,0))&amp;"","")</f>
        <v/>
      </c>
      <c r="C41" s="59">
        <f>IFERROR(IF(INDEX(Firms!$O$5:$O$1004,MATCH(37,Firms!$R$5:$R$1004,0))="","",INDEX(Firms!$O$5:$O$1004,MATCH(37,Firms!$R$5:$R$1004,0))),"")</f>
        <v/>
      </c>
      <c r="D41" s="58">
        <f>IFERROR(INDEX(Firms!$P$5:$P$1004,MATCH(37,Firms!$R$5:$R$1004,0))&amp;"","")</f>
        <v/>
      </c>
      <c r="E41" s="58">
        <f>IFERROR(INDEX(Firms!$C$5:$C$1004,MATCH(37,Firms!$R$5:$R$1004,0))&amp;"","")</f>
        <v/>
      </c>
      <c r="F41" s="57">
        <f>IFERROR(INDEX(Firms!$L$5:$L$1004,MATCH(37,Firms!$R$5:$R$1004,0))&amp;"","")</f>
        <v/>
      </c>
      <c r="G41" s="57">
        <f>IFERROR(INDEX(Firms!$M$5:$M$1004,MATCH(37,Firms!$R$5:$R$1004,0))&amp;"","")</f>
        <v/>
      </c>
      <c r="H41" s="58">
        <f>IFERROR(INDEX(Firms!$Q$5:$Q$1004,MATCH(37,Firms!$R$5:$R$1004,0))&amp;"","")</f>
        <v/>
      </c>
    </row>
    <row r="42">
      <c r="A42" s="57">
        <f>IF(B42="","",38)</f>
        <v/>
      </c>
      <c r="B42" s="58">
        <f>IFERROR(INDEX(Firms!$A$5:$A$1004,MATCH(38,Firms!$R$5:$R$1004,0))&amp;"","")</f>
        <v/>
      </c>
      <c r="C42" s="59">
        <f>IFERROR(IF(INDEX(Firms!$O$5:$O$1004,MATCH(38,Firms!$R$5:$R$1004,0))="","",INDEX(Firms!$O$5:$O$1004,MATCH(38,Firms!$R$5:$R$1004,0))),"")</f>
        <v/>
      </c>
      <c r="D42" s="58">
        <f>IFERROR(INDEX(Firms!$P$5:$P$1004,MATCH(38,Firms!$R$5:$R$1004,0))&amp;"","")</f>
        <v/>
      </c>
      <c r="E42" s="58">
        <f>IFERROR(INDEX(Firms!$C$5:$C$1004,MATCH(38,Firms!$R$5:$R$1004,0))&amp;"","")</f>
        <v/>
      </c>
      <c r="F42" s="57">
        <f>IFERROR(INDEX(Firms!$L$5:$L$1004,MATCH(38,Firms!$R$5:$R$1004,0))&amp;"","")</f>
        <v/>
      </c>
      <c r="G42" s="57">
        <f>IFERROR(INDEX(Firms!$M$5:$M$1004,MATCH(38,Firms!$R$5:$R$1004,0))&amp;"","")</f>
        <v/>
      </c>
      <c r="H42" s="58">
        <f>IFERROR(INDEX(Firms!$Q$5:$Q$1004,MATCH(38,Firms!$R$5:$R$1004,0))&amp;"","")</f>
        <v/>
      </c>
    </row>
    <row r="43">
      <c r="A43" s="57">
        <f>IF(B43="","",39)</f>
        <v/>
      </c>
      <c r="B43" s="58">
        <f>IFERROR(INDEX(Firms!$A$5:$A$1004,MATCH(39,Firms!$R$5:$R$1004,0))&amp;"","")</f>
        <v/>
      </c>
      <c r="C43" s="59">
        <f>IFERROR(IF(INDEX(Firms!$O$5:$O$1004,MATCH(39,Firms!$R$5:$R$1004,0))="","",INDEX(Firms!$O$5:$O$1004,MATCH(39,Firms!$R$5:$R$1004,0))),"")</f>
        <v/>
      </c>
      <c r="D43" s="58">
        <f>IFERROR(INDEX(Firms!$P$5:$P$1004,MATCH(39,Firms!$R$5:$R$1004,0))&amp;"","")</f>
        <v/>
      </c>
      <c r="E43" s="58">
        <f>IFERROR(INDEX(Firms!$C$5:$C$1004,MATCH(39,Firms!$R$5:$R$1004,0))&amp;"","")</f>
        <v/>
      </c>
      <c r="F43" s="57">
        <f>IFERROR(INDEX(Firms!$L$5:$L$1004,MATCH(39,Firms!$R$5:$R$1004,0))&amp;"","")</f>
        <v/>
      </c>
      <c r="G43" s="57">
        <f>IFERROR(INDEX(Firms!$M$5:$M$1004,MATCH(39,Firms!$R$5:$R$1004,0))&amp;"","")</f>
        <v/>
      </c>
      <c r="H43" s="58">
        <f>IFERROR(INDEX(Firms!$Q$5:$Q$1004,MATCH(39,Firms!$R$5:$R$1004,0))&amp;"","")</f>
        <v/>
      </c>
    </row>
    <row r="44">
      <c r="A44" s="57">
        <f>IF(B44="","",40)</f>
        <v/>
      </c>
      <c r="B44" s="58">
        <f>IFERROR(INDEX(Firms!$A$5:$A$1004,MATCH(40,Firms!$R$5:$R$1004,0))&amp;"","")</f>
        <v/>
      </c>
      <c r="C44" s="59">
        <f>IFERROR(IF(INDEX(Firms!$O$5:$O$1004,MATCH(40,Firms!$R$5:$R$1004,0))="","",INDEX(Firms!$O$5:$O$1004,MATCH(40,Firms!$R$5:$R$1004,0))),"")</f>
        <v/>
      </c>
      <c r="D44" s="58">
        <f>IFERROR(INDEX(Firms!$P$5:$P$1004,MATCH(40,Firms!$R$5:$R$1004,0))&amp;"","")</f>
        <v/>
      </c>
      <c r="E44" s="58">
        <f>IFERROR(INDEX(Firms!$C$5:$C$1004,MATCH(40,Firms!$R$5:$R$1004,0))&amp;"","")</f>
        <v/>
      </c>
      <c r="F44" s="57">
        <f>IFERROR(INDEX(Firms!$L$5:$L$1004,MATCH(40,Firms!$R$5:$R$1004,0))&amp;"","")</f>
        <v/>
      </c>
      <c r="G44" s="57">
        <f>IFERROR(INDEX(Firms!$M$5:$M$1004,MATCH(40,Firms!$R$5:$R$1004,0))&amp;"","")</f>
        <v/>
      </c>
      <c r="H44" s="58">
        <f>IFERROR(INDEX(Firms!$Q$5:$Q$1004,MATCH(40,Firms!$R$5:$R$1004,0))&amp;"","")</f>
        <v/>
      </c>
    </row>
    <row r="45">
      <c r="A45" s="57">
        <f>IF(B45="","",41)</f>
        <v/>
      </c>
      <c r="B45" s="58">
        <f>IFERROR(INDEX(Firms!$A$5:$A$1004,MATCH(41,Firms!$R$5:$R$1004,0))&amp;"","")</f>
        <v/>
      </c>
      <c r="C45" s="59">
        <f>IFERROR(IF(INDEX(Firms!$O$5:$O$1004,MATCH(41,Firms!$R$5:$R$1004,0))="","",INDEX(Firms!$O$5:$O$1004,MATCH(41,Firms!$R$5:$R$1004,0))),"")</f>
        <v/>
      </c>
      <c r="D45" s="58">
        <f>IFERROR(INDEX(Firms!$P$5:$P$1004,MATCH(41,Firms!$R$5:$R$1004,0))&amp;"","")</f>
        <v/>
      </c>
      <c r="E45" s="58">
        <f>IFERROR(INDEX(Firms!$C$5:$C$1004,MATCH(41,Firms!$R$5:$R$1004,0))&amp;"","")</f>
        <v/>
      </c>
      <c r="F45" s="57">
        <f>IFERROR(INDEX(Firms!$L$5:$L$1004,MATCH(41,Firms!$R$5:$R$1004,0))&amp;"","")</f>
        <v/>
      </c>
      <c r="G45" s="57">
        <f>IFERROR(INDEX(Firms!$M$5:$M$1004,MATCH(41,Firms!$R$5:$R$1004,0))&amp;"","")</f>
        <v/>
      </c>
      <c r="H45" s="58">
        <f>IFERROR(INDEX(Firms!$Q$5:$Q$1004,MATCH(41,Firms!$R$5:$R$1004,0))&amp;"","")</f>
        <v/>
      </c>
    </row>
    <row r="46">
      <c r="A46" s="57">
        <f>IF(B46="","",42)</f>
        <v/>
      </c>
      <c r="B46" s="58">
        <f>IFERROR(INDEX(Firms!$A$5:$A$1004,MATCH(42,Firms!$R$5:$R$1004,0))&amp;"","")</f>
        <v/>
      </c>
      <c r="C46" s="59">
        <f>IFERROR(IF(INDEX(Firms!$O$5:$O$1004,MATCH(42,Firms!$R$5:$R$1004,0))="","",INDEX(Firms!$O$5:$O$1004,MATCH(42,Firms!$R$5:$R$1004,0))),"")</f>
        <v/>
      </c>
      <c r="D46" s="58">
        <f>IFERROR(INDEX(Firms!$P$5:$P$1004,MATCH(42,Firms!$R$5:$R$1004,0))&amp;"","")</f>
        <v/>
      </c>
      <c r="E46" s="58">
        <f>IFERROR(INDEX(Firms!$C$5:$C$1004,MATCH(42,Firms!$R$5:$R$1004,0))&amp;"","")</f>
        <v/>
      </c>
      <c r="F46" s="57">
        <f>IFERROR(INDEX(Firms!$L$5:$L$1004,MATCH(42,Firms!$R$5:$R$1004,0))&amp;"","")</f>
        <v/>
      </c>
      <c r="G46" s="57">
        <f>IFERROR(INDEX(Firms!$M$5:$M$1004,MATCH(42,Firms!$R$5:$R$1004,0))&amp;"","")</f>
        <v/>
      </c>
      <c r="H46" s="58">
        <f>IFERROR(INDEX(Firms!$Q$5:$Q$1004,MATCH(42,Firms!$R$5:$R$1004,0))&amp;"","")</f>
        <v/>
      </c>
    </row>
    <row r="47">
      <c r="A47" s="57">
        <f>IF(B47="","",43)</f>
        <v/>
      </c>
      <c r="B47" s="58">
        <f>IFERROR(INDEX(Firms!$A$5:$A$1004,MATCH(43,Firms!$R$5:$R$1004,0))&amp;"","")</f>
        <v/>
      </c>
      <c r="C47" s="59">
        <f>IFERROR(IF(INDEX(Firms!$O$5:$O$1004,MATCH(43,Firms!$R$5:$R$1004,0))="","",INDEX(Firms!$O$5:$O$1004,MATCH(43,Firms!$R$5:$R$1004,0))),"")</f>
        <v/>
      </c>
      <c r="D47" s="58">
        <f>IFERROR(INDEX(Firms!$P$5:$P$1004,MATCH(43,Firms!$R$5:$R$1004,0))&amp;"","")</f>
        <v/>
      </c>
      <c r="E47" s="58">
        <f>IFERROR(INDEX(Firms!$C$5:$C$1004,MATCH(43,Firms!$R$5:$R$1004,0))&amp;"","")</f>
        <v/>
      </c>
      <c r="F47" s="57">
        <f>IFERROR(INDEX(Firms!$L$5:$L$1004,MATCH(43,Firms!$R$5:$R$1004,0))&amp;"","")</f>
        <v/>
      </c>
      <c r="G47" s="57">
        <f>IFERROR(INDEX(Firms!$M$5:$M$1004,MATCH(43,Firms!$R$5:$R$1004,0))&amp;"","")</f>
        <v/>
      </c>
      <c r="H47" s="58">
        <f>IFERROR(INDEX(Firms!$Q$5:$Q$1004,MATCH(43,Firms!$R$5:$R$1004,0))&amp;"","")</f>
        <v/>
      </c>
    </row>
    <row r="48">
      <c r="A48" s="57">
        <f>IF(B48="","",44)</f>
        <v/>
      </c>
      <c r="B48" s="58">
        <f>IFERROR(INDEX(Firms!$A$5:$A$1004,MATCH(44,Firms!$R$5:$R$1004,0))&amp;"","")</f>
        <v/>
      </c>
      <c r="C48" s="59">
        <f>IFERROR(IF(INDEX(Firms!$O$5:$O$1004,MATCH(44,Firms!$R$5:$R$1004,0))="","",INDEX(Firms!$O$5:$O$1004,MATCH(44,Firms!$R$5:$R$1004,0))),"")</f>
        <v/>
      </c>
      <c r="D48" s="58">
        <f>IFERROR(INDEX(Firms!$P$5:$P$1004,MATCH(44,Firms!$R$5:$R$1004,0))&amp;"","")</f>
        <v/>
      </c>
      <c r="E48" s="58">
        <f>IFERROR(INDEX(Firms!$C$5:$C$1004,MATCH(44,Firms!$R$5:$R$1004,0))&amp;"","")</f>
        <v/>
      </c>
      <c r="F48" s="57">
        <f>IFERROR(INDEX(Firms!$L$5:$L$1004,MATCH(44,Firms!$R$5:$R$1004,0))&amp;"","")</f>
        <v/>
      </c>
      <c r="G48" s="57">
        <f>IFERROR(INDEX(Firms!$M$5:$M$1004,MATCH(44,Firms!$R$5:$R$1004,0))&amp;"","")</f>
        <v/>
      </c>
      <c r="H48" s="58">
        <f>IFERROR(INDEX(Firms!$Q$5:$Q$1004,MATCH(44,Firms!$R$5:$R$1004,0))&amp;"","")</f>
        <v/>
      </c>
    </row>
    <row r="49">
      <c r="A49" s="57">
        <f>IF(B49="","",45)</f>
        <v/>
      </c>
      <c r="B49" s="58">
        <f>IFERROR(INDEX(Firms!$A$5:$A$1004,MATCH(45,Firms!$R$5:$R$1004,0))&amp;"","")</f>
        <v/>
      </c>
      <c r="C49" s="59">
        <f>IFERROR(IF(INDEX(Firms!$O$5:$O$1004,MATCH(45,Firms!$R$5:$R$1004,0))="","",INDEX(Firms!$O$5:$O$1004,MATCH(45,Firms!$R$5:$R$1004,0))),"")</f>
        <v/>
      </c>
      <c r="D49" s="58">
        <f>IFERROR(INDEX(Firms!$P$5:$P$1004,MATCH(45,Firms!$R$5:$R$1004,0))&amp;"","")</f>
        <v/>
      </c>
      <c r="E49" s="58">
        <f>IFERROR(INDEX(Firms!$C$5:$C$1004,MATCH(45,Firms!$R$5:$R$1004,0))&amp;"","")</f>
        <v/>
      </c>
      <c r="F49" s="57">
        <f>IFERROR(INDEX(Firms!$L$5:$L$1004,MATCH(45,Firms!$R$5:$R$1004,0))&amp;"","")</f>
        <v/>
      </c>
      <c r="G49" s="57">
        <f>IFERROR(INDEX(Firms!$M$5:$M$1004,MATCH(45,Firms!$R$5:$R$1004,0))&amp;"","")</f>
        <v/>
      </c>
      <c r="H49" s="58">
        <f>IFERROR(INDEX(Firms!$Q$5:$Q$1004,MATCH(45,Firms!$R$5:$R$1004,0))&amp;"","")</f>
        <v/>
      </c>
    </row>
    <row r="50">
      <c r="A50" s="57">
        <f>IF(B50="","",46)</f>
        <v/>
      </c>
      <c r="B50" s="58">
        <f>IFERROR(INDEX(Firms!$A$5:$A$1004,MATCH(46,Firms!$R$5:$R$1004,0))&amp;"","")</f>
        <v/>
      </c>
      <c r="C50" s="59">
        <f>IFERROR(IF(INDEX(Firms!$O$5:$O$1004,MATCH(46,Firms!$R$5:$R$1004,0))="","",INDEX(Firms!$O$5:$O$1004,MATCH(46,Firms!$R$5:$R$1004,0))),"")</f>
        <v/>
      </c>
      <c r="D50" s="58">
        <f>IFERROR(INDEX(Firms!$P$5:$P$1004,MATCH(46,Firms!$R$5:$R$1004,0))&amp;"","")</f>
        <v/>
      </c>
      <c r="E50" s="58">
        <f>IFERROR(INDEX(Firms!$C$5:$C$1004,MATCH(46,Firms!$R$5:$R$1004,0))&amp;"","")</f>
        <v/>
      </c>
      <c r="F50" s="57">
        <f>IFERROR(INDEX(Firms!$L$5:$L$1004,MATCH(46,Firms!$R$5:$R$1004,0))&amp;"","")</f>
        <v/>
      </c>
      <c r="G50" s="57">
        <f>IFERROR(INDEX(Firms!$M$5:$M$1004,MATCH(46,Firms!$R$5:$R$1004,0))&amp;"","")</f>
        <v/>
      </c>
      <c r="H50" s="58">
        <f>IFERROR(INDEX(Firms!$Q$5:$Q$1004,MATCH(46,Firms!$R$5:$R$1004,0))&amp;"","")</f>
        <v/>
      </c>
    </row>
    <row r="51">
      <c r="A51" s="57">
        <f>IF(B51="","",47)</f>
        <v/>
      </c>
      <c r="B51" s="58">
        <f>IFERROR(INDEX(Firms!$A$5:$A$1004,MATCH(47,Firms!$R$5:$R$1004,0))&amp;"","")</f>
        <v/>
      </c>
      <c r="C51" s="59">
        <f>IFERROR(IF(INDEX(Firms!$O$5:$O$1004,MATCH(47,Firms!$R$5:$R$1004,0))="","",INDEX(Firms!$O$5:$O$1004,MATCH(47,Firms!$R$5:$R$1004,0))),"")</f>
        <v/>
      </c>
      <c r="D51" s="58">
        <f>IFERROR(INDEX(Firms!$P$5:$P$1004,MATCH(47,Firms!$R$5:$R$1004,0))&amp;"","")</f>
        <v/>
      </c>
      <c r="E51" s="58">
        <f>IFERROR(INDEX(Firms!$C$5:$C$1004,MATCH(47,Firms!$R$5:$R$1004,0))&amp;"","")</f>
        <v/>
      </c>
      <c r="F51" s="57">
        <f>IFERROR(INDEX(Firms!$L$5:$L$1004,MATCH(47,Firms!$R$5:$R$1004,0))&amp;"","")</f>
        <v/>
      </c>
      <c r="G51" s="57">
        <f>IFERROR(INDEX(Firms!$M$5:$M$1004,MATCH(47,Firms!$R$5:$R$1004,0))&amp;"","")</f>
        <v/>
      </c>
      <c r="H51" s="58">
        <f>IFERROR(INDEX(Firms!$Q$5:$Q$1004,MATCH(47,Firms!$R$5:$R$1004,0))&amp;"","")</f>
        <v/>
      </c>
    </row>
    <row r="52">
      <c r="A52" s="57">
        <f>IF(B52="","",48)</f>
        <v/>
      </c>
      <c r="B52" s="58">
        <f>IFERROR(INDEX(Firms!$A$5:$A$1004,MATCH(48,Firms!$R$5:$R$1004,0))&amp;"","")</f>
        <v/>
      </c>
      <c r="C52" s="59">
        <f>IFERROR(IF(INDEX(Firms!$O$5:$O$1004,MATCH(48,Firms!$R$5:$R$1004,0))="","",INDEX(Firms!$O$5:$O$1004,MATCH(48,Firms!$R$5:$R$1004,0))),"")</f>
        <v/>
      </c>
      <c r="D52" s="58">
        <f>IFERROR(INDEX(Firms!$P$5:$P$1004,MATCH(48,Firms!$R$5:$R$1004,0))&amp;"","")</f>
        <v/>
      </c>
      <c r="E52" s="58">
        <f>IFERROR(INDEX(Firms!$C$5:$C$1004,MATCH(48,Firms!$R$5:$R$1004,0))&amp;"","")</f>
        <v/>
      </c>
      <c r="F52" s="57">
        <f>IFERROR(INDEX(Firms!$L$5:$L$1004,MATCH(48,Firms!$R$5:$R$1004,0))&amp;"","")</f>
        <v/>
      </c>
      <c r="G52" s="57">
        <f>IFERROR(INDEX(Firms!$M$5:$M$1004,MATCH(48,Firms!$R$5:$R$1004,0))&amp;"","")</f>
        <v/>
      </c>
      <c r="H52" s="58">
        <f>IFERROR(INDEX(Firms!$Q$5:$Q$1004,MATCH(48,Firms!$R$5:$R$1004,0))&amp;"","")</f>
        <v/>
      </c>
    </row>
    <row r="53">
      <c r="A53" s="57">
        <f>IF(B53="","",49)</f>
        <v/>
      </c>
      <c r="B53" s="58">
        <f>IFERROR(INDEX(Firms!$A$5:$A$1004,MATCH(49,Firms!$R$5:$R$1004,0))&amp;"","")</f>
        <v/>
      </c>
      <c r="C53" s="59">
        <f>IFERROR(IF(INDEX(Firms!$O$5:$O$1004,MATCH(49,Firms!$R$5:$R$1004,0))="","",INDEX(Firms!$O$5:$O$1004,MATCH(49,Firms!$R$5:$R$1004,0))),"")</f>
        <v/>
      </c>
      <c r="D53" s="58">
        <f>IFERROR(INDEX(Firms!$P$5:$P$1004,MATCH(49,Firms!$R$5:$R$1004,0))&amp;"","")</f>
        <v/>
      </c>
      <c r="E53" s="58">
        <f>IFERROR(INDEX(Firms!$C$5:$C$1004,MATCH(49,Firms!$R$5:$R$1004,0))&amp;"","")</f>
        <v/>
      </c>
      <c r="F53" s="57">
        <f>IFERROR(INDEX(Firms!$L$5:$L$1004,MATCH(49,Firms!$R$5:$R$1004,0))&amp;"","")</f>
        <v/>
      </c>
      <c r="G53" s="57">
        <f>IFERROR(INDEX(Firms!$M$5:$M$1004,MATCH(49,Firms!$R$5:$R$1004,0))&amp;"","")</f>
        <v/>
      </c>
      <c r="H53" s="58">
        <f>IFERROR(INDEX(Firms!$Q$5:$Q$1004,MATCH(49,Firms!$R$5:$R$1004,0))&amp;"","")</f>
        <v/>
      </c>
    </row>
    <row r="54">
      <c r="A54" s="57">
        <f>IF(B54="","",50)</f>
        <v/>
      </c>
      <c r="B54" s="58">
        <f>IFERROR(INDEX(Firms!$A$5:$A$1004,MATCH(50,Firms!$R$5:$R$1004,0))&amp;"","")</f>
        <v/>
      </c>
      <c r="C54" s="59">
        <f>IFERROR(IF(INDEX(Firms!$O$5:$O$1004,MATCH(50,Firms!$R$5:$R$1004,0))="","",INDEX(Firms!$O$5:$O$1004,MATCH(50,Firms!$R$5:$R$1004,0))),"")</f>
        <v/>
      </c>
      <c r="D54" s="58">
        <f>IFERROR(INDEX(Firms!$P$5:$P$1004,MATCH(50,Firms!$R$5:$R$1004,0))&amp;"","")</f>
        <v/>
      </c>
      <c r="E54" s="58">
        <f>IFERROR(INDEX(Firms!$C$5:$C$1004,MATCH(50,Firms!$R$5:$R$1004,0))&amp;"","")</f>
        <v/>
      </c>
      <c r="F54" s="57">
        <f>IFERROR(INDEX(Firms!$L$5:$L$1004,MATCH(50,Firms!$R$5:$R$1004,0))&amp;"","")</f>
        <v/>
      </c>
      <c r="G54" s="57">
        <f>IFERROR(INDEX(Firms!$M$5:$M$1004,MATCH(50,Firms!$R$5:$R$1004,0))&amp;"","")</f>
        <v/>
      </c>
      <c r="H54" s="58">
        <f>IFERROR(INDEX(Firms!$Q$5:$Q$1004,MATCH(50,Firms!$R$5:$R$1004,0))&amp;"","")</f>
        <v/>
      </c>
    </row>
    <row r="55">
      <c r="A55" s="57">
        <f>IF(B55="","",51)</f>
        <v/>
      </c>
      <c r="B55" s="58">
        <f>IFERROR(INDEX(Firms!$A$5:$A$1004,MATCH(51,Firms!$R$5:$R$1004,0))&amp;"","")</f>
        <v/>
      </c>
      <c r="C55" s="59">
        <f>IFERROR(IF(INDEX(Firms!$O$5:$O$1004,MATCH(51,Firms!$R$5:$R$1004,0))="","",INDEX(Firms!$O$5:$O$1004,MATCH(51,Firms!$R$5:$R$1004,0))),"")</f>
        <v/>
      </c>
      <c r="D55" s="58">
        <f>IFERROR(INDEX(Firms!$P$5:$P$1004,MATCH(51,Firms!$R$5:$R$1004,0))&amp;"","")</f>
        <v/>
      </c>
      <c r="E55" s="58">
        <f>IFERROR(INDEX(Firms!$C$5:$C$1004,MATCH(51,Firms!$R$5:$R$1004,0))&amp;"","")</f>
        <v/>
      </c>
      <c r="F55" s="57">
        <f>IFERROR(INDEX(Firms!$L$5:$L$1004,MATCH(51,Firms!$R$5:$R$1004,0))&amp;"","")</f>
        <v/>
      </c>
      <c r="G55" s="57">
        <f>IFERROR(INDEX(Firms!$M$5:$M$1004,MATCH(51,Firms!$R$5:$R$1004,0))&amp;"","")</f>
        <v/>
      </c>
      <c r="H55" s="58">
        <f>IFERROR(INDEX(Firms!$Q$5:$Q$1004,MATCH(51,Firms!$R$5:$R$1004,0))&amp;"","")</f>
        <v/>
      </c>
    </row>
    <row r="56">
      <c r="A56" s="57">
        <f>IF(B56="","",52)</f>
        <v/>
      </c>
      <c r="B56" s="58">
        <f>IFERROR(INDEX(Firms!$A$5:$A$1004,MATCH(52,Firms!$R$5:$R$1004,0))&amp;"","")</f>
        <v/>
      </c>
      <c r="C56" s="59">
        <f>IFERROR(IF(INDEX(Firms!$O$5:$O$1004,MATCH(52,Firms!$R$5:$R$1004,0))="","",INDEX(Firms!$O$5:$O$1004,MATCH(52,Firms!$R$5:$R$1004,0))),"")</f>
        <v/>
      </c>
      <c r="D56" s="58">
        <f>IFERROR(INDEX(Firms!$P$5:$P$1004,MATCH(52,Firms!$R$5:$R$1004,0))&amp;"","")</f>
        <v/>
      </c>
      <c r="E56" s="58">
        <f>IFERROR(INDEX(Firms!$C$5:$C$1004,MATCH(52,Firms!$R$5:$R$1004,0))&amp;"","")</f>
        <v/>
      </c>
      <c r="F56" s="57">
        <f>IFERROR(INDEX(Firms!$L$5:$L$1004,MATCH(52,Firms!$R$5:$R$1004,0))&amp;"","")</f>
        <v/>
      </c>
      <c r="G56" s="57">
        <f>IFERROR(INDEX(Firms!$M$5:$M$1004,MATCH(52,Firms!$R$5:$R$1004,0))&amp;"","")</f>
        <v/>
      </c>
      <c r="H56" s="58">
        <f>IFERROR(INDEX(Firms!$Q$5:$Q$1004,MATCH(52,Firms!$R$5:$R$1004,0))&amp;"","")</f>
        <v/>
      </c>
    </row>
    <row r="57">
      <c r="A57" s="57">
        <f>IF(B57="","",53)</f>
        <v/>
      </c>
      <c r="B57" s="58">
        <f>IFERROR(INDEX(Firms!$A$5:$A$1004,MATCH(53,Firms!$R$5:$R$1004,0))&amp;"","")</f>
        <v/>
      </c>
      <c r="C57" s="59">
        <f>IFERROR(IF(INDEX(Firms!$O$5:$O$1004,MATCH(53,Firms!$R$5:$R$1004,0))="","",INDEX(Firms!$O$5:$O$1004,MATCH(53,Firms!$R$5:$R$1004,0))),"")</f>
        <v/>
      </c>
      <c r="D57" s="58">
        <f>IFERROR(INDEX(Firms!$P$5:$P$1004,MATCH(53,Firms!$R$5:$R$1004,0))&amp;"","")</f>
        <v/>
      </c>
      <c r="E57" s="58">
        <f>IFERROR(INDEX(Firms!$C$5:$C$1004,MATCH(53,Firms!$R$5:$R$1004,0))&amp;"","")</f>
        <v/>
      </c>
      <c r="F57" s="57">
        <f>IFERROR(INDEX(Firms!$L$5:$L$1004,MATCH(53,Firms!$R$5:$R$1004,0))&amp;"","")</f>
        <v/>
      </c>
      <c r="G57" s="57">
        <f>IFERROR(INDEX(Firms!$M$5:$M$1004,MATCH(53,Firms!$R$5:$R$1004,0))&amp;"","")</f>
        <v/>
      </c>
      <c r="H57" s="58">
        <f>IFERROR(INDEX(Firms!$Q$5:$Q$1004,MATCH(53,Firms!$R$5:$R$1004,0))&amp;"","")</f>
        <v/>
      </c>
    </row>
    <row r="58">
      <c r="A58" s="57">
        <f>IF(B58="","",54)</f>
        <v/>
      </c>
      <c r="B58" s="58">
        <f>IFERROR(INDEX(Firms!$A$5:$A$1004,MATCH(54,Firms!$R$5:$R$1004,0))&amp;"","")</f>
        <v/>
      </c>
      <c r="C58" s="59">
        <f>IFERROR(IF(INDEX(Firms!$O$5:$O$1004,MATCH(54,Firms!$R$5:$R$1004,0))="","",INDEX(Firms!$O$5:$O$1004,MATCH(54,Firms!$R$5:$R$1004,0))),"")</f>
        <v/>
      </c>
      <c r="D58" s="58">
        <f>IFERROR(INDEX(Firms!$P$5:$P$1004,MATCH(54,Firms!$R$5:$R$1004,0))&amp;"","")</f>
        <v/>
      </c>
      <c r="E58" s="58">
        <f>IFERROR(INDEX(Firms!$C$5:$C$1004,MATCH(54,Firms!$R$5:$R$1004,0))&amp;"","")</f>
        <v/>
      </c>
      <c r="F58" s="57">
        <f>IFERROR(INDEX(Firms!$L$5:$L$1004,MATCH(54,Firms!$R$5:$R$1004,0))&amp;"","")</f>
        <v/>
      </c>
      <c r="G58" s="57">
        <f>IFERROR(INDEX(Firms!$M$5:$M$1004,MATCH(54,Firms!$R$5:$R$1004,0))&amp;"","")</f>
        <v/>
      </c>
      <c r="H58" s="58">
        <f>IFERROR(INDEX(Firms!$Q$5:$Q$1004,MATCH(54,Firms!$R$5:$R$1004,0))&amp;"","")</f>
        <v/>
      </c>
    </row>
    <row r="59">
      <c r="A59" s="57">
        <f>IF(B59="","",55)</f>
        <v/>
      </c>
      <c r="B59" s="58">
        <f>IFERROR(INDEX(Firms!$A$5:$A$1004,MATCH(55,Firms!$R$5:$R$1004,0))&amp;"","")</f>
        <v/>
      </c>
      <c r="C59" s="59">
        <f>IFERROR(IF(INDEX(Firms!$O$5:$O$1004,MATCH(55,Firms!$R$5:$R$1004,0))="","",INDEX(Firms!$O$5:$O$1004,MATCH(55,Firms!$R$5:$R$1004,0))),"")</f>
        <v/>
      </c>
      <c r="D59" s="58">
        <f>IFERROR(INDEX(Firms!$P$5:$P$1004,MATCH(55,Firms!$R$5:$R$1004,0))&amp;"","")</f>
        <v/>
      </c>
      <c r="E59" s="58">
        <f>IFERROR(INDEX(Firms!$C$5:$C$1004,MATCH(55,Firms!$R$5:$R$1004,0))&amp;"","")</f>
        <v/>
      </c>
      <c r="F59" s="57">
        <f>IFERROR(INDEX(Firms!$L$5:$L$1004,MATCH(55,Firms!$R$5:$R$1004,0))&amp;"","")</f>
        <v/>
      </c>
      <c r="G59" s="57">
        <f>IFERROR(INDEX(Firms!$M$5:$M$1004,MATCH(55,Firms!$R$5:$R$1004,0))&amp;"","")</f>
        <v/>
      </c>
      <c r="H59" s="58">
        <f>IFERROR(INDEX(Firms!$Q$5:$Q$1004,MATCH(55,Firms!$R$5:$R$1004,0))&amp;"","")</f>
        <v/>
      </c>
    </row>
    <row r="60">
      <c r="A60" s="57">
        <f>IF(B60="","",56)</f>
        <v/>
      </c>
      <c r="B60" s="58">
        <f>IFERROR(INDEX(Firms!$A$5:$A$1004,MATCH(56,Firms!$R$5:$R$1004,0))&amp;"","")</f>
        <v/>
      </c>
      <c r="C60" s="59">
        <f>IFERROR(IF(INDEX(Firms!$O$5:$O$1004,MATCH(56,Firms!$R$5:$R$1004,0))="","",INDEX(Firms!$O$5:$O$1004,MATCH(56,Firms!$R$5:$R$1004,0))),"")</f>
        <v/>
      </c>
      <c r="D60" s="58">
        <f>IFERROR(INDEX(Firms!$P$5:$P$1004,MATCH(56,Firms!$R$5:$R$1004,0))&amp;"","")</f>
        <v/>
      </c>
      <c r="E60" s="58">
        <f>IFERROR(INDEX(Firms!$C$5:$C$1004,MATCH(56,Firms!$R$5:$R$1004,0))&amp;"","")</f>
        <v/>
      </c>
      <c r="F60" s="57">
        <f>IFERROR(INDEX(Firms!$L$5:$L$1004,MATCH(56,Firms!$R$5:$R$1004,0))&amp;"","")</f>
        <v/>
      </c>
      <c r="G60" s="57">
        <f>IFERROR(INDEX(Firms!$M$5:$M$1004,MATCH(56,Firms!$R$5:$R$1004,0))&amp;"","")</f>
        <v/>
      </c>
      <c r="H60" s="58">
        <f>IFERROR(INDEX(Firms!$Q$5:$Q$1004,MATCH(56,Firms!$R$5:$R$1004,0))&amp;"","")</f>
        <v/>
      </c>
    </row>
    <row r="61">
      <c r="A61" s="57">
        <f>IF(B61="","",57)</f>
        <v/>
      </c>
      <c r="B61" s="58">
        <f>IFERROR(INDEX(Firms!$A$5:$A$1004,MATCH(57,Firms!$R$5:$R$1004,0))&amp;"","")</f>
        <v/>
      </c>
      <c r="C61" s="59">
        <f>IFERROR(IF(INDEX(Firms!$O$5:$O$1004,MATCH(57,Firms!$R$5:$R$1004,0))="","",INDEX(Firms!$O$5:$O$1004,MATCH(57,Firms!$R$5:$R$1004,0))),"")</f>
        <v/>
      </c>
      <c r="D61" s="58">
        <f>IFERROR(INDEX(Firms!$P$5:$P$1004,MATCH(57,Firms!$R$5:$R$1004,0))&amp;"","")</f>
        <v/>
      </c>
      <c r="E61" s="58">
        <f>IFERROR(INDEX(Firms!$C$5:$C$1004,MATCH(57,Firms!$R$5:$R$1004,0))&amp;"","")</f>
        <v/>
      </c>
      <c r="F61" s="57">
        <f>IFERROR(INDEX(Firms!$L$5:$L$1004,MATCH(57,Firms!$R$5:$R$1004,0))&amp;"","")</f>
        <v/>
      </c>
      <c r="G61" s="57">
        <f>IFERROR(INDEX(Firms!$M$5:$M$1004,MATCH(57,Firms!$R$5:$R$1004,0))&amp;"","")</f>
        <v/>
      </c>
      <c r="H61" s="58">
        <f>IFERROR(INDEX(Firms!$Q$5:$Q$1004,MATCH(57,Firms!$R$5:$R$1004,0))&amp;"","")</f>
        <v/>
      </c>
    </row>
    <row r="62">
      <c r="A62" s="57">
        <f>IF(B62="","",58)</f>
        <v/>
      </c>
      <c r="B62" s="58">
        <f>IFERROR(INDEX(Firms!$A$5:$A$1004,MATCH(58,Firms!$R$5:$R$1004,0))&amp;"","")</f>
        <v/>
      </c>
      <c r="C62" s="59">
        <f>IFERROR(IF(INDEX(Firms!$O$5:$O$1004,MATCH(58,Firms!$R$5:$R$1004,0))="","",INDEX(Firms!$O$5:$O$1004,MATCH(58,Firms!$R$5:$R$1004,0))),"")</f>
        <v/>
      </c>
      <c r="D62" s="58">
        <f>IFERROR(INDEX(Firms!$P$5:$P$1004,MATCH(58,Firms!$R$5:$R$1004,0))&amp;"","")</f>
        <v/>
      </c>
      <c r="E62" s="58">
        <f>IFERROR(INDEX(Firms!$C$5:$C$1004,MATCH(58,Firms!$R$5:$R$1004,0))&amp;"","")</f>
        <v/>
      </c>
      <c r="F62" s="57">
        <f>IFERROR(INDEX(Firms!$L$5:$L$1004,MATCH(58,Firms!$R$5:$R$1004,0))&amp;"","")</f>
        <v/>
      </c>
      <c r="G62" s="57">
        <f>IFERROR(INDEX(Firms!$M$5:$M$1004,MATCH(58,Firms!$R$5:$R$1004,0))&amp;"","")</f>
        <v/>
      </c>
      <c r="H62" s="58">
        <f>IFERROR(INDEX(Firms!$Q$5:$Q$1004,MATCH(58,Firms!$R$5:$R$1004,0))&amp;"","")</f>
        <v/>
      </c>
    </row>
    <row r="63">
      <c r="A63" s="57">
        <f>IF(B63="","",59)</f>
        <v/>
      </c>
      <c r="B63" s="58">
        <f>IFERROR(INDEX(Firms!$A$5:$A$1004,MATCH(59,Firms!$R$5:$R$1004,0))&amp;"","")</f>
        <v/>
      </c>
      <c r="C63" s="59">
        <f>IFERROR(IF(INDEX(Firms!$O$5:$O$1004,MATCH(59,Firms!$R$5:$R$1004,0))="","",INDEX(Firms!$O$5:$O$1004,MATCH(59,Firms!$R$5:$R$1004,0))),"")</f>
        <v/>
      </c>
      <c r="D63" s="58">
        <f>IFERROR(INDEX(Firms!$P$5:$P$1004,MATCH(59,Firms!$R$5:$R$1004,0))&amp;"","")</f>
        <v/>
      </c>
      <c r="E63" s="58">
        <f>IFERROR(INDEX(Firms!$C$5:$C$1004,MATCH(59,Firms!$R$5:$R$1004,0))&amp;"","")</f>
        <v/>
      </c>
      <c r="F63" s="57">
        <f>IFERROR(INDEX(Firms!$L$5:$L$1004,MATCH(59,Firms!$R$5:$R$1004,0))&amp;"","")</f>
        <v/>
      </c>
      <c r="G63" s="57">
        <f>IFERROR(INDEX(Firms!$M$5:$M$1004,MATCH(59,Firms!$R$5:$R$1004,0))&amp;"","")</f>
        <v/>
      </c>
      <c r="H63" s="58">
        <f>IFERROR(INDEX(Firms!$Q$5:$Q$1004,MATCH(59,Firms!$R$5:$R$1004,0))&amp;"","")</f>
        <v/>
      </c>
    </row>
    <row r="64">
      <c r="A64" s="57">
        <f>IF(B64="","",60)</f>
        <v/>
      </c>
      <c r="B64" s="58">
        <f>IFERROR(INDEX(Firms!$A$5:$A$1004,MATCH(60,Firms!$R$5:$R$1004,0))&amp;"","")</f>
        <v/>
      </c>
      <c r="C64" s="59">
        <f>IFERROR(IF(INDEX(Firms!$O$5:$O$1004,MATCH(60,Firms!$R$5:$R$1004,0))="","",INDEX(Firms!$O$5:$O$1004,MATCH(60,Firms!$R$5:$R$1004,0))),"")</f>
        <v/>
      </c>
      <c r="D64" s="58">
        <f>IFERROR(INDEX(Firms!$P$5:$P$1004,MATCH(60,Firms!$R$5:$R$1004,0))&amp;"","")</f>
        <v/>
      </c>
      <c r="E64" s="58">
        <f>IFERROR(INDEX(Firms!$C$5:$C$1004,MATCH(60,Firms!$R$5:$R$1004,0))&amp;"","")</f>
        <v/>
      </c>
      <c r="F64" s="57">
        <f>IFERROR(INDEX(Firms!$L$5:$L$1004,MATCH(60,Firms!$R$5:$R$1004,0))&amp;"","")</f>
        <v/>
      </c>
      <c r="G64" s="57">
        <f>IFERROR(INDEX(Firms!$M$5:$M$1004,MATCH(60,Firms!$R$5:$R$1004,0))&amp;"","")</f>
        <v/>
      </c>
      <c r="H64" s="58">
        <f>IFERROR(INDEX(Firms!$Q$5:$Q$1004,MATCH(60,Firms!$R$5:$R$1004,0))&amp;"","")</f>
        <v/>
      </c>
    </row>
    <row r="65">
      <c r="A65" s="57">
        <f>IF(B65="","",61)</f>
        <v/>
      </c>
      <c r="B65" s="58">
        <f>IFERROR(INDEX(Firms!$A$5:$A$1004,MATCH(61,Firms!$R$5:$R$1004,0))&amp;"","")</f>
        <v/>
      </c>
      <c r="C65" s="59">
        <f>IFERROR(IF(INDEX(Firms!$O$5:$O$1004,MATCH(61,Firms!$R$5:$R$1004,0))="","",INDEX(Firms!$O$5:$O$1004,MATCH(61,Firms!$R$5:$R$1004,0))),"")</f>
        <v/>
      </c>
      <c r="D65" s="58">
        <f>IFERROR(INDEX(Firms!$P$5:$P$1004,MATCH(61,Firms!$R$5:$R$1004,0))&amp;"","")</f>
        <v/>
      </c>
      <c r="E65" s="58">
        <f>IFERROR(INDEX(Firms!$C$5:$C$1004,MATCH(61,Firms!$R$5:$R$1004,0))&amp;"","")</f>
        <v/>
      </c>
      <c r="F65" s="57">
        <f>IFERROR(INDEX(Firms!$L$5:$L$1004,MATCH(61,Firms!$R$5:$R$1004,0))&amp;"","")</f>
        <v/>
      </c>
      <c r="G65" s="57">
        <f>IFERROR(INDEX(Firms!$M$5:$M$1004,MATCH(61,Firms!$R$5:$R$1004,0))&amp;"","")</f>
        <v/>
      </c>
      <c r="H65" s="58">
        <f>IFERROR(INDEX(Firms!$Q$5:$Q$1004,MATCH(61,Firms!$R$5:$R$1004,0))&amp;"","")</f>
        <v/>
      </c>
    </row>
    <row r="66">
      <c r="A66" s="57">
        <f>IF(B66="","",62)</f>
        <v/>
      </c>
      <c r="B66" s="58">
        <f>IFERROR(INDEX(Firms!$A$5:$A$1004,MATCH(62,Firms!$R$5:$R$1004,0))&amp;"","")</f>
        <v/>
      </c>
      <c r="C66" s="59">
        <f>IFERROR(IF(INDEX(Firms!$O$5:$O$1004,MATCH(62,Firms!$R$5:$R$1004,0))="","",INDEX(Firms!$O$5:$O$1004,MATCH(62,Firms!$R$5:$R$1004,0))),"")</f>
        <v/>
      </c>
      <c r="D66" s="58">
        <f>IFERROR(INDEX(Firms!$P$5:$P$1004,MATCH(62,Firms!$R$5:$R$1004,0))&amp;"","")</f>
        <v/>
      </c>
      <c r="E66" s="58">
        <f>IFERROR(INDEX(Firms!$C$5:$C$1004,MATCH(62,Firms!$R$5:$R$1004,0))&amp;"","")</f>
        <v/>
      </c>
      <c r="F66" s="57">
        <f>IFERROR(INDEX(Firms!$L$5:$L$1004,MATCH(62,Firms!$R$5:$R$1004,0))&amp;"","")</f>
        <v/>
      </c>
      <c r="G66" s="57">
        <f>IFERROR(INDEX(Firms!$M$5:$M$1004,MATCH(62,Firms!$R$5:$R$1004,0))&amp;"","")</f>
        <v/>
      </c>
      <c r="H66" s="58">
        <f>IFERROR(INDEX(Firms!$Q$5:$Q$1004,MATCH(62,Firms!$R$5:$R$1004,0))&amp;"","")</f>
        <v/>
      </c>
    </row>
    <row r="67">
      <c r="A67" s="57">
        <f>IF(B67="","",63)</f>
        <v/>
      </c>
      <c r="B67" s="58">
        <f>IFERROR(INDEX(Firms!$A$5:$A$1004,MATCH(63,Firms!$R$5:$R$1004,0))&amp;"","")</f>
        <v/>
      </c>
      <c r="C67" s="59">
        <f>IFERROR(IF(INDEX(Firms!$O$5:$O$1004,MATCH(63,Firms!$R$5:$R$1004,0))="","",INDEX(Firms!$O$5:$O$1004,MATCH(63,Firms!$R$5:$R$1004,0))),"")</f>
        <v/>
      </c>
      <c r="D67" s="58">
        <f>IFERROR(INDEX(Firms!$P$5:$P$1004,MATCH(63,Firms!$R$5:$R$1004,0))&amp;"","")</f>
        <v/>
      </c>
      <c r="E67" s="58">
        <f>IFERROR(INDEX(Firms!$C$5:$C$1004,MATCH(63,Firms!$R$5:$R$1004,0))&amp;"","")</f>
        <v/>
      </c>
      <c r="F67" s="57">
        <f>IFERROR(INDEX(Firms!$L$5:$L$1004,MATCH(63,Firms!$R$5:$R$1004,0))&amp;"","")</f>
        <v/>
      </c>
      <c r="G67" s="57">
        <f>IFERROR(INDEX(Firms!$M$5:$M$1004,MATCH(63,Firms!$R$5:$R$1004,0))&amp;"","")</f>
        <v/>
      </c>
      <c r="H67" s="58">
        <f>IFERROR(INDEX(Firms!$Q$5:$Q$1004,MATCH(63,Firms!$R$5:$R$1004,0))&amp;"","")</f>
        <v/>
      </c>
    </row>
    <row r="68">
      <c r="A68" s="57">
        <f>IF(B68="","",64)</f>
        <v/>
      </c>
      <c r="B68" s="58">
        <f>IFERROR(INDEX(Firms!$A$5:$A$1004,MATCH(64,Firms!$R$5:$R$1004,0))&amp;"","")</f>
        <v/>
      </c>
      <c r="C68" s="59">
        <f>IFERROR(IF(INDEX(Firms!$O$5:$O$1004,MATCH(64,Firms!$R$5:$R$1004,0))="","",INDEX(Firms!$O$5:$O$1004,MATCH(64,Firms!$R$5:$R$1004,0))),"")</f>
        <v/>
      </c>
      <c r="D68" s="58">
        <f>IFERROR(INDEX(Firms!$P$5:$P$1004,MATCH(64,Firms!$R$5:$R$1004,0))&amp;"","")</f>
        <v/>
      </c>
      <c r="E68" s="58">
        <f>IFERROR(INDEX(Firms!$C$5:$C$1004,MATCH(64,Firms!$R$5:$R$1004,0))&amp;"","")</f>
        <v/>
      </c>
      <c r="F68" s="57">
        <f>IFERROR(INDEX(Firms!$L$5:$L$1004,MATCH(64,Firms!$R$5:$R$1004,0))&amp;"","")</f>
        <v/>
      </c>
      <c r="G68" s="57">
        <f>IFERROR(INDEX(Firms!$M$5:$M$1004,MATCH(64,Firms!$R$5:$R$1004,0))&amp;"","")</f>
        <v/>
      </c>
      <c r="H68" s="58">
        <f>IFERROR(INDEX(Firms!$Q$5:$Q$1004,MATCH(64,Firms!$R$5:$R$1004,0))&amp;"","")</f>
        <v/>
      </c>
    </row>
    <row r="69">
      <c r="A69" s="57">
        <f>IF(B69="","",65)</f>
        <v/>
      </c>
      <c r="B69" s="58">
        <f>IFERROR(INDEX(Firms!$A$5:$A$1004,MATCH(65,Firms!$R$5:$R$1004,0))&amp;"","")</f>
        <v/>
      </c>
      <c r="C69" s="59">
        <f>IFERROR(IF(INDEX(Firms!$O$5:$O$1004,MATCH(65,Firms!$R$5:$R$1004,0))="","",INDEX(Firms!$O$5:$O$1004,MATCH(65,Firms!$R$5:$R$1004,0))),"")</f>
        <v/>
      </c>
      <c r="D69" s="58">
        <f>IFERROR(INDEX(Firms!$P$5:$P$1004,MATCH(65,Firms!$R$5:$R$1004,0))&amp;"","")</f>
        <v/>
      </c>
      <c r="E69" s="58">
        <f>IFERROR(INDEX(Firms!$C$5:$C$1004,MATCH(65,Firms!$R$5:$R$1004,0))&amp;"","")</f>
        <v/>
      </c>
      <c r="F69" s="57">
        <f>IFERROR(INDEX(Firms!$L$5:$L$1004,MATCH(65,Firms!$R$5:$R$1004,0))&amp;"","")</f>
        <v/>
      </c>
      <c r="G69" s="57">
        <f>IFERROR(INDEX(Firms!$M$5:$M$1004,MATCH(65,Firms!$R$5:$R$1004,0))&amp;"","")</f>
        <v/>
      </c>
      <c r="H69" s="58">
        <f>IFERROR(INDEX(Firms!$Q$5:$Q$1004,MATCH(65,Firms!$R$5:$R$1004,0))&amp;"","")</f>
        <v/>
      </c>
    </row>
    <row r="70">
      <c r="A70" s="57">
        <f>IF(B70="","",66)</f>
        <v/>
      </c>
      <c r="B70" s="58">
        <f>IFERROR(INDEX(Firms!$A$5:$A$1004,MATCH(66,Firms!$R$5:$R$1004,0))&amp;"","")</f>
        <v/>
      </c>
      <c r="C70" s="59">
        <f>IFERROR(IF(INDEX(Firms!$O$5:$O$1004,MATCH(66,Firms!$R$5:$R$1004,0))="","",INDEX(Firms!$O$5:$O$1004,MATCH(66,Firms!$R$5:$R$1004,0))),"")</f>
        <v/>
      </c>
      <c r="D70" s="58">
        <f>IFERROR(INDEX(Firms!$P$5:$P$1004,MATCH(66,Firms!$R$5:$R$1004,0))&amp;"","")</f>
        <v/>
      </c>
      <c r="E70" s="58">
        <f>IFERROR(INDEX(Firms!$C$5:$C$1004,MATCH(66,Firms!$R$5:$R$1004,0))&amp;"","")</f>
        <v/>
      </c>
      <c r="F70" s="57">
        <f>IFERROR(INDEX(Firms!$L$5:$L$1004,MATCH(66,Firms!$R$5:$R$1004,0))&amp;"","")</f>
        <v/>
      </c>
      <c r="G70" s="57">
        <f>IFERROR(INDEX(Firms!$M$5:$M$1004,MATCH(66,Firms!$R$5:$R$1004,0))&amp;"","")</f>
        <v/>
      </c>
      <c r="H70" s="58">
        <f>IFERROR(INDEX(Firms!$Q$5:$Q$1004,MATCH(66,Firms!$R$5:$R$1004,0))&amp;"","")</f>
        <v/>
      </c>
    </row>
    <row r="71">
      <c r="A71" s="57">
        <f>IF(B71="","",67)</f>
        <v/>
      </c>
      <c r="B71" s="58">
        <f>IFERROR(INDEX(Firms!$A$5:$A$1004,MATCH(67,Firms!$R$5:$R$1004,0))&amp;"","")</f>
        <v/>
      </c>
      <c r="C71" s="59">
        <f>IFERROR(IF(INDEX(Firms!$O$5:$O$1004,MATCH(67,Firms!$R$5:$R$1004,0))="","",INDEX(Firms!$O$5:$O$1004,MATCH(67,Firms!$R$5:$R$1004,0))),"")</f>
        <v/>
      </c>
      <c r="D71" s="58">
        <f>IFERROR(INDEX(Firms!$P$5:$P$1004,MATCH(67,Firms!$R$5:$R$1004,0))&amp;"","")</f>
        <v/>
      </c>
      <c r="E71" s="58">
        <f>IFERROR(INDEX(Firms!$C$5:$C$1004,MATCH(67,Firms!$R$5:$R$1004,0))&amp;"","")</f>
        <v/>
      </c>
      <c r="F71" s="57">
        <f>IFERROR(INDEX(Firms!$L$5:$L$1004,MATCH(67,Firms!$R$5:$R$1004,0))&amp;"","")</f>
        <v/>
      </c>
      <c r="G71" s="57">
        <f>IFERROR(INDEX(Firms!$M$5:$M$1004,MATCH(67,Firms!$R$5:$R$1004,0))&amp;"","")</f>
        <v/>
      </c>
      <c r="H71" s="58">
        <f>IFERROR(INDEX(Firms!$Q$5:$Q$1004,MATCH(67,Firms!$R$5:$R$1004,0))&amp;"","")</f>
        <v/>
      </c>
    </row>
    <row r="72">
      <c r="A72" s="57">
        <f>IF(B72="","",68)</f>
        <v/>
      </c>
      <c r="B72" s="58">
        <f>IFERROR(INDEX(Firms!$A$5:$A$1004,MATCH(68,Firms!$R$5:$R$1004,0))&amp;"","")</f>
        <v/>
      </c>
      <c r="C72" s="59">
        <f>IFERROR(IF(INDEX(Firms!$O$5:$O$1004,MATCH(68,Firms!$R$5:$R$1004,0))="","",INDEX(Firms!$O$5:$O$1004,MATCH(68,Firms!$R$5:$R$1004,0))),"")</f>
        <v/>
      </c>
      <c r="D72" s="58">
        <f>IFERROR(INDEX(Firms!$P$5:$P$1004,MATCH(68,Firms!$R$5:$R$1004,0))&amp;"","")</f>
        <v/>
      </c>
      <c r="E72" s="58">
        <f>IFERROR(INDEX(Firms!$C$5:$C$1004,MATCH(68,Firms!$R$5:$R$1004,0))&amp;"","")</f>
        <v/>
      </c>
      <c r="F72" s="57">
        <f>IFERROR(INDEX(Firms!$L$5:$L$1004,MATCH(68,Firms!$R$5:$R$1004,0))&amp;"","")</f>
        <v/>
      </c>
      <c r="G72" s="57">
        <f>IFERROR(INDEX(Firms!$M$5:$M$1004,MATCH(68,Firms!$R$5:$R$1004,0))&amp;"","")</f>
        <v/>
      </c>
      <c r="H72" s="58">
        <f>IFERROR(INDEX(Firms!$Q$5:$Q$1004,MATCH(68,Firms!$R$5:$R$1004,0))&amp;"","")</f>
        <v/>
      </c>
    </row>
    <row r="73">
      <c r="A73" s="57">
        <f>IF(B73="","",69)</f>
        <v/>
      </c>
      <c r="B73" s="58">
        <f>IFERROR(INDEX(Firms!$A$5:$A$1004,MATCH(69,Firms!$R$5:$R$1004,0))&amp;"","")</f>
        <v/>
      </c>
      <c r="C73" s="59">
        <f>IFERROR(IF(INDEX(Firms!$O$5:$O$1004,MATCH(69,Firms!$R$5:$R$1004,0))="","",INDEX(Firms!$O$5:$O$1004,MATCH(69,Firms!$R$5:$R$1004,0))),"")</f>
        <v/>
      </c>
      <c r="D73" s="58">
        <f>IFERROR(INDEX(Firms!$P$5:$P$1004,MATCH(69,Firms!$R$5:$R$1004,0))&amp;"","")</f>
        <v/>
      </c>
      <c r="E73" s="58">
        <f>IFERROR(INDEX(Firms!$C$5:$C$1004,MATCH(69,Firms!$R$5:$R$1004,0))&amp;"","")</f>
        <v/>
      </c>
      <c r="F73" s="57">
        <f>IFERROR(INDEX(Firms!$L$5:$L$1004,MATCH(69,Firms!$R$5:$R$1004,0))&amp;"","")</f>
        <v/>
      </c>
      <c r="G73" s="57">
        <f>IFERROR(INDEX(Firms!$M$5:$M$1004,MATCH(69,Firms!$R$5:$R$1004,0))&amp;"","")</f>
        <v/>
      </c>
      <c r="H73" s="58">
        <f>IFERROR(INDEX(Firms!$Q$5:$Q$1004,MATCH(69,Firms!$R$5:$R$1004,0))&amp;"","")</f>
        <v/>
      </c>
    </row>
    <row r="74">
      <c r="A74" s="57">
        <f>IF(B74="","",70)</f>
        <v/>
      </c>
      <c r="B74" s="58">
        <f>IFERROR(INDEX(Firms!$A$5:$A$1004,MATCH(70,Firms!$R$5:$R$1004,0))&amp;"","")</f>
        <v/>
      </c>
      <c r="C74" s="59">
        <f>IFERROR(IF(INDEX(Firms!$O$5:$O$1004,MATCH(70,Firms!$R$5:$R$1004,0))="","",INDEX(Firms!$O$5:$O$1004,MATCH(70,Firms!$R$5:$R$1004,0))),"")</f>
        <v/>
      </c>
      <c r="D74" s="58">
        <f>IFERROR(INDEX(Firms!$P$5:$P$1004,MATCH(70,Firms!$R$5:$R$1004,0))&amp;"","")</f>
        <v/>
      </c>
      <c r="E74" s="58">
        <f>IFERROR(INDEX(Firms!$C$5:$C$1004,MATCH(70,Firms!$R$5:$R$1004,0))&amp;"","")</f>
        <v/>
      </c>
      <c r="F74" s="57">
        <f>IFERROR(INDEX(Firms!$L$5:$L$1004,MATCH(70,Firms!$R$5:$R$1004,0))&amp;"","")</f>
        <v/>
      </c>
      <c r="G74" s="57">
        <f>IFERROR(INDEX(Firms!$M$5:$M$1004,MATCH(70,Firms!$R$5:$R$1004,0))&amp;"","")</f>
        <v/>
      </c>
      <c r="H74" s="58">
        <f>IFERROR(INDEX(Firms!$Q$5:$Q$1004,MATCH(70,Firms!$R$5:$R$1004,0))&amp;"","")</f>
        <v/>
      </c>
    </row>
    <row r="75">
      <c r="A75" s="57">
        <f>IF(B75="","",71)</f>
        <v/>
      </c>
      <c r="B75" s="58">
        <f>IFERROR(INDEX(Firms!$A$5:$A$1004,MATCH(71,Firms!$R$5:$R$1004,0))&amp;"","")</f>
        <v/>
      </c>
      <c r="C75" s="59">
        <f>IFERROR(IF(INDEX(Firms!$O$5:$O$1004,MATCH(71,Firms!$R$5:$R$1004,0))="","",INDEX(Firms!$O$5:$O$1004,MATCH(71,Firms!$R$5:$R$1004,0))),"")</f>
        <v/>
      </c>
      <c r="D75" s="58">
        <f>IFERROR(INDEX(Firms!$P$5:$P$1004,MATCH(71,Firms!$R$5:$R$1004,0))&amp;"","")</f>
        <v/>
      </c>
      <c r="E75" s="58">
        <f>IFERROR(INDEX(Firms!$C$5:$C$1004,MATCH(71,Firms!$R$5:$R$1004,0))&amp;"","")</f>
        <v/>
      </c>
      <c r="F75" s="57">
        <f>IFERROR(INDEX(Firms!$L$5:$L$1004,MATCH(71,Firms!$R$5:$R$1004,0))&amp;"","")</f>
        <v/>
      </c>
      <c r="G75" s="57">
        <f>IFERROR(INDEX(Firms!$M$5:$M$1004,MATCH(71,Firms!$R$5:$R$1004,0))&amp;"","")</f>
        <v/>
      </c>
      <c r="H75" s="58">
        <f>IFERROR(INDEX(Firms!$Q$5:$Q$1004,MATCH(71,Firms!$R$5:$R$1004,0))&amp;"","")</f>
        <v/>
      </c>
    </row>
    <row r="76">
      <c r="A76" s="57">
        <f>IF(B76="","",72)</f>
        <v/>
      </c>
      <c r="B76" s="58">
        <f>IFERROR(INDEX(Firms!$A$5:$A$1004,MATCH(72,Firms!$R$5:$R$1004,0))&amp;"","")</f>
        <v/>
      </c>
      <c r="C76" s="59">
        <f>IFERROR(IF(INDEX(Firms!$O$5:$O$1004,MATCH(72,Firms!$R$5:$R$1004,0))="","",INDEX(Firms!$O$5:$O$1004,MATCH(72,Firms!$R$5:$R$1004,0))),"")</f>
        <v/>
      </c>
      <c r="D76" s="58">
        <f>IFERROR(INDEX(Firms!$P$5:$P$1004,MATCH(72,Firms!$R$5:$R$1004,0))&amp;"","")</f>
        <v/>
      </c>
      <c r="E76" s="58">
        <f>IFERROR(INDEX(Firms!$C$5:$C$1004,MATCH(72,Firms!$R$5:$R$1004,0))&amp;"","")</f>
        <v/>
      </c>
      <c r="F76" s="57">
        <f>IFERROR(INDEX(Firms!$L$5:$L$1004,MATCH(72,Firms!$R$5:$R$1004,0))&amp;"","")</f>
        <v/>
      </c>
      <c r="G76" s="57">
        <f>IFERROR(INDEX(Firms!$M$5:$M$1004,MATCH(72,Firms!$R$5:$R$1004,0))&amp;"","")</f>
        <v/>
      </c>
      <c r="H76" s="58">
        <f>IFERROR(INDEX(Firms!$Q$5:$Q$1004,MATCH(72,Firms!$R$5:$R$1004,0))&amp;"","")</f>
        <v/>
      </c>
    </row>
    <row r="77">
      <c r="A77" s="57">
        <f>IF(B77="","",73)</f>
        <v/>
      </c>
      <c r="B77" s="58">
        <f>IFERROR(INDEX(Firms!$A$5:$A$1004,MATCH(73,Firms!$R$5:$R$1004,0))&amp;"","")</f>
        <v/>
      </c>
      <c r="C77" s="59">
        <f>IFERROR(IF(INDEX(Firms!$O$5:$O$1004,MATCH(73,Firms!$R$5:$R$1004,0))="","",INDEX(Firms!$O$5:$O$1004,MATCH(73,Firms!$R$5:$R$1004,0))),"")</f>
        <v/>
      </c>
      <c r="D77" s="58">
        <f>IFERROR(INDEX(Firms!$P$5:$P$1004,MATCH(73,Firms!$R$5:$R$1004,0))&amp;"","")</f>
        <v/>
      </c>
      <c r="E77" s="58">
        <f>IFERROR(INDEX(Firms!$C$5:$C$1004,MATCH(73,Firms!$R$5:$R$1004,0))&amp;"","")</f>
        <v/>
      </c>
      <c r="F77" s="57">
        <f>IFERROR(INDEX(Firms!$L$5:$L$1004,MATCH(73,Firms!$R$5:$R$1004,0))&amp;"","")</f>
        <v/>
      </c>
      <c r="G77" s="57">
        <f>IFERROR(INDEX(Firms!$M$5:$M$1004,MATCH(73,Firms!$R$5:$R$1004,0))&amp;"","")</f>
        <v/>
      </c>
      <c r="H77" s="58">
        <f>IFERROR(INDEX(Firms!$Q$5:$Q$1004,MATCH(73,Firms!$R$5:$R$1004,0))&amp;"","")</f>
        <v/>
      </c>
    </row>
    <row r="78">
      <c r="A78" s="57">
        <f>IF(B78="","",74)</f>
        <v/>
      </c>
      <c r="B78" s="58">
        <f>IFERROR(INDEX(Firms!$A$5:$A$1004,MATCH(74,Firms!$R$5:$R$1004,0))&amp;"","")</f>
        <v/>
      </c>
      <c r="C78" s="59">
        <f>IFERROR(IF(INDEX(Firms!$O$5:$O$1004,MATCH(74,Firms!$R$5:$R$1004,0))="","",INDEX(Firms!$O$5:$O$1004,MATCH(74,Firms!$R$5:$R$1004,0))),"")</f>
        <v/>
      </c>
      <c r="D78" s="58">
        <f>IFERROR(INDEX(Firms!$P$5:$P$1004,MATCH(74,Firms!$R$5:$R$1004,0))&amp;"","")</f>
        <v/>
      </c>
      <c r="E78" s="58">
        <f>IFERROR(INDEX(Firms!$C$5:$C$1004,MATCH(74,Firms!$R$5:$R$1004,0))&amp;"","")</f>
        <v/>
      </c>
      <c r="F78" s="57">
        <f>IFERROR(INDEX(Firms!$L$5:$L$1004,MATCH(74,Firms!$R$5:$R$1004,0))&amp;"","")</f>
        <v/>
      </c>
      <c r="G78" s="57">
        <f>IFERROR(INDEX(Firms!$M$5:$M$1004,MATCH(74,Firms!$R$5:$R$1004,0))&amp;"","")</f>
        <v/>
      </c>
      <c r="H78" s="58">
        <f>IFERROR(INDEX(Firms!$Q$5:$Q$1004,MATCH(74,Firms!$R$5:$R$1004,0))&amp;"","")</f>
        <v/>
      </c>
    </row>
    <row r="79">
      <c r="A79" s="57">
        <f>IF(B79="","",75)</f>
        <v/>
      </c>
      <c r="B79" s="58">
        <f>IFERROR(INDEX(Firms!$A$5:$A$1004,MATCH(75,Firms!$R$5:$R$1004,0))&amp;"","")</f>
        <v/>
      </c>
      <c r="C79" s="59">
        <f>IFERROR(IF(INDEX(Firms!$O$5:$O$1004,MATCH(75,Firms!$R$5:$R$1004,0))="","",INDEX(Firms!$O$5:$O$1004,MATCH(75,Firms!$R$5:$R$1004,0))),"")</f>
        <v/>
      </c>
      <c r="D79" s="58">
        <f>IFERROR(INDEX(Firms!$P$5:$P$1004,MATCH(75,Firms!$R$5:$R$1004,0))&amp;"","")</f>
        <v/>
      </c>
      <c r="E79" s="58">
        <f>IFERROR(INDEX(Firms!$C$5:$C$1004,MATCH(75,Firms!$R$5:$R$1004,0))&amp;"","")</f>
        <v/>
      </c>
      <c r="F79" s="57">
        <f>IFERROR(INDEX(Firms!$L$5:$L$1004,MATCH(75,Firms!$R$5:$R$1004,0))&amp;"","")</f>
        <v/>
      </c>
      <c r="G79" s="57">
        <f>IFERROR(INDEX(Firms!$M$5:$M$1004,MATCH(75,Firms!$R$5:$R$1004,0))&amp;"","")</f>
        <v/>
      </c>
      <c r="H79" s="58">
        <f>IFERROR(INDEX(Firms!$Q$5:$Q$1004,MATCH(75,Firms!$R$5:$R$1004,0))&amp;"","")</f>
        <v/>
      </c>
    </row>
    <row r="80">
      <c r="A80" s="57">
        <f>IF(B80="","",76)</f>
        <v/>
      </c>
      <c r="B80" s="58">
        <f>IFERROR(INDEX(Firms!$A$5:$A$1004,MATCH(76,Firms!$R$5:$R$1004,0))&amp;"","")</f>
        <v/>
      </c>
      <c r="C80" s="59">
        <f>IFERROR(IF(INDEX(Firms!$O$5:$O$1004,MATCH(76,Firms!$R$5:$R$1004,0))="","",INDEX(Firms!$O$5:$O$1004,MATCH(76,Firms!$R$5:$R$1004,0))),"")</f>
        <v/>
      </c>
      <c r="D80" s="58">
        <f>IFERROR(INDEX(Firms!$P$5:$P$1004,MATCH(76,Firms!$R$5:$R$1004,0))&amp;"","")</f>
        <v/>
      </c>
      <c r="E80" s="58">
        <f>IFERROR(INDEX(Firms!$C$5:$C$1004,MATCH(76,Firms!$R$5:$R$1004,0))&amp;"","")</f>
        <v/>
      </c>
      <c r="F80" s="57">
        <f>IFERROR(INDEX(Firms!$L$5:$L$1004,MATCH(76,Firms!$R$5:$R$1004,0))&amp;"","")</f>
        <v/>
      </c>
      <c r="G80" s="57">
        <f>IFERROR(INDEX(Firms!$M$5:$M$1004,MATCH(76,Firms!$R$5:$R$1004,0))&amp;"","")</f>
        <v/>
      </c>
      <c r="H80" s="58">
        <f>IFERROR(INDEX(Firms!$Q$5:$Q$1004,MATCH(76,Firms!$R$5:$R$1004,0))&amp;"","")</f>
        <v/>
      </c>
    </row>
    <row r="81">
      <c r="A81" s="57">
        <f>IF(B81="","",77)</f>
        <v/>
      </c>
      <c r="B81" s="58">
        <f>IFERROR(INDEX(Firms!$A$5:$A$1004,MATCH(77,Firms!$R$5:$R$1004,0))&amp;"","")</f>
        <v/>
      </c>
      <c r="C81" s="59">
        <f>IFERROR(IF(INDEX(Firms!$O$5:$O$1004,MATCH(77,Firms!$R$5:$R$1004,0))="","",INDEX(Firms!$O$5:$O$1004,MATCH(77,Firms!$R$5:$R$1004,0))),"")</f>
        <v/>
      </c>
      <c r="D81" s="58">
        <f>IFERROR(INDEX(Firms!$P$5:$P$1004,MATCH(77,Firms!$R$5:$R$1004,0))&amp;"","")</f>
        <v/>
      </c>
      <c r="E81" s="58">
        <f>IFERROR(INDEX(Firms!$C$5:$C$1004,MATCH(77,Firms!$R$5:$R$1004,0))&amp;"","")</f>
        <v/>
      </c>
      <c r="F81" s="57">
        <f>IFERROR(INDEX(Firms!$L$5:$L$1004,MATCH(77,Firms!$R$5:$R$1004,0))&amp;"","")</f>
        <v/>
      </c>
      <c r="G81" s="57">
        <f>IFERROR(INDEX(Firms!$M$5:$M$1004,MATCH(77,Firms!$R$5:$R$1004,0))&amp;"","")</f>
        <v/>
      </c>
      <c r="H81" s="58">
        <f>IFERROR(INDEX(Firms!$Q$5:$Q$1004,MATCH(77,Firms!$R$5:$R$1004,0))&amp;"","")</f>
        <v/>
      </c>
    </row>
    <row r="82">
      <c r="A82" s="57">
        <f>IF(B82="","",78)</f>
        <v/>
      </c>
      <c r="B82" s="58">
        <f>IFERROR(INDEX(Firms!$A$5:$A$1004,MATCH(78,Firms!$R$5:$R$1004,0))&amp;"","")</f>
        <v/>
      </c>
      <c r="C82" s="59">
        <f>IFERROR(IF(INDEX(Firms!$O$5:$O$1004,MATCH(78,Firms!$R$5:$R$1004,0))="","",INDEX(Firms!$O$5:$O$1004,MATCH(78,Firms!$R$5:$R$1004,0))),"")</f>
        <v/>
      </c>
      <c r="D82" s="58">
        <f>IFERROR(INDEX(Firms!$P$5:$P$1004,MATCH(78,Firms!$R$5:$R$1004,0))&amp;"","")</f>
        <v/>
      </c>
      <c r="E82" s="58">
        <f>IFERROR(INDEX(Firms!$C$5:$C$1004,MATCH(78,Firms!$R$5:$R$1004,0))&amp;"","")</f>
        <v/>
      </c>
      <c r="F82" s="57">
        <f>IFERROR(INDEX(Firms!$L$5:$L$1004,MATCH(78,Firms!$R$5:$R$1004,0))&amp;"","")</f>
        <v/>
      </c>
      <c r="G82" s="57">
        <f>IFERROR(INDEX(Firms!$M$5:$M$1004,MATCH(78,Firms!$R$5:$R$1004,0))&amp;"","")</f>
        <v/>
      </c>
      <c r="H82" s="58">
        <f>IFERROR(INDEX(Firms!$Q$5:$Q$1004,MATCH(78,Firms!$R$5:$R$1004,0))&amp;"","")</f>
        <v/>
      </c>
    </row>
    <row r="83">
      <c r="A83" s="57">
        <f>IF(B83="","",79)</f>
        <v/>
      </c>
      <c r="B83" s="58">
        <f>IFERROR(INDEX(Firms!$A$5:$A$1004,MATCH(79,Firms!$R$5:$R$1004,0))&amp;"","")</f>
        <v/>
      </c>
      <c r="C83" s="59">
        <f>IFERROR(IF(INDEX(Firms!$O$5:$O$1004,MATCH(79,Firms!$R$5:$R$1004,0))="","",INDEX(Firms!$O$5:$O$1004,MATCH(79,Firms!$R$5:$R$1004,0))),"")</f>
        <v/>
      </c>
      <c r="D83" s="58">
        <f>IFERROR(INDEX(Firms!$P$5:$P$1004,MATCH(79,Firms!$R$5:$R$1004,0))&amp;"","")</f>
        <v/>
      </c>
      <c r="E83" s="58">
        <f>IFERROR(INDEX(Firms!$C$5:$C$1004,MATCH(79,Firms!$R$5:$R$1004,0))&amp;"","")</f>
        <v/>
      </c>
      <c r="F83" s="57">
        <f>IFERROR(INDEX(Firms!$L$5:$L$1004,MATCH(79,Firms!$R$5:$R$1004,0))&amp;"","")</f>
        <v/>
      </c>
      <c r="G83" s="57">
        <f>IFERROR(INDEX(Firms!$M$5:$M$1004,MATCH(79,Firms!$R$5:$R$1004,0))&amp;"","")</f>
        <v/>
      </c>
      <c r="H83" s="58">
        <f>IFERROR(INDEX(Firms!$Q$5:$Q$1004,MATCH(79,Firms!$R$5:$R$1004,0))&amp;"","")</f>
        <v/>
      </c>
    </row>
    <row r="84">
      <c r="A84" s="57">
        <f>IF(B84="","",80)</f>
        <v/>
      </c>
      <c r="B84" s="58">
        <f>IFERROR(INDEX(Firms!$A$5:$A$1004,MATCH(80,Firms!$R$5:$R$1004,0))&amp;"","")</f>
        <v/>
      </c>
      <c r="C84" s="59">
        <f>IFERROR(IF(INDEX(Firms!$O$5:$O$1004,MATCH(80,Firms!$R$5:$R$1004,0))="","",INDEX(Firms!$O$5:$O$1004,MATCH(80,Firms!$R$5:$R$1004,0))),"")</f>
        <v/>
      </c>
      <c r="D84" s="58">
        <f>IFERROR(INDEX(Firms!$P$5:$P$1004,MATCH(80,Firms!$R$5:$R$1004,0))&amp;"","")</f>
        <v/>
      </c>
      <c r="E84" s="58">
        <f>IFERROR(INDEX(Firms!$C$5:$C$1004,MATCH(80,Firms!$R$5:$R$1004,0))&amp;"","")</f>
        <v/>
      </c>
      <c r="F84" s="57">
        <f>IFERROR(INDEX(Firms!$L$5:$L$1004,MATCH(80,Firms!$R$5:$R$1004,0))&amp;"","")</f>
        <v/>
      </c>
      <c r="G84" s="57">
        <f>IFERROR(INDEX(Firms!$M$5:$M$1004,MATCH(80,Firms!$R$5:$R$1004,0))&amp;"","")</f>
        <v/>
      </c>
      <c r="H84" s="58">
        <f>IFERROR(INDEX(Firms!$Q$5:$Q$1004,MATCH(80,Firms!$R$5:$R$1004,0))&amp;"","")</f>
        <v/>
      </c>
    </row>
    <row r="85">
      <c r="A85" s="57">
        <f>IF(B85="","",81)</f>
        <v/>
      </c>
      <c r="B85" s="58">
        <f>IFERROR(INDEX(Firms!$A$5:$A$1004,MATCH(81,Firms!$R$5:$R$1004,0))&amp;"","")</f>
        <v/>
      </c>
      <c r="C85" s="59">
        <f>IFERROR(IF(INDEX(Firms!$O$5:$O$1004,MATCH(81,Firms!$R$5:$R$1004,0))="","",INDEX(Firms!$O$5:$O$1004,MATCH(81,Firms!$R$5:$R$1004,0))),"")</f>
        <v/>
      </c>
      <c r="D85" s="58">
        <f>IFERROR(INDEX(Firms!$P$5:$P$1004,MATCH(81,Firms!$R$5:$R$1004,0))&amp;"","")</f>
        <v/>
      </c>
      <c r="E85" s="58">
        <f>IFERROR(INDEX(Firms!$C$5:$C$1004,MATCH(81,Firms!$R$5:$R$1004,0))&amp;"","")</f>
        <v/>
      </c>
      <c r="F85" s="57">
        <f>IFERROR(INDEX(Firms!$L$5:$L$1004,MATCH(81,Firms!$R$5:$R$1004,0))&amp;"","")</f>
        <v/>
      </c>
      <c r="G85" s="57">
        <f>IFERROR(INDEX(Firms!$M$5:$M$1004,MATCH(81,Firms!$R$5:$R$1004,0))&amp;"","")</f>
        <v/>
      </c>
      <c r="H85" s="58">
        <f>IFERROR(INDEX(Firms!$Q$5:$Q$1004,MATCH(81,Firms!$R$5:$R$1004,0))&amp;"","")</f>
        <v/>
      </c>
    </row>
    <row r="86">
      <c r="A86" s="57">
        <f>IF(B86="","",82)</f>
        <v/>
      </c>
      <c r="B86" s="58">
        <f>IFERROR(INDEX(Firms!$A$5:$A$1004,MATCH(82,Firms!$R$5:$R$1004,0))&amp;"","")</f>
        <v/>
      </c>
      <c r="C86" s="59">
        <f>IFERROR(IF(INDEX(Firms!$O$5:$O$1004,MATCH(82,Firms!$R$5:$R$1004,0))="","",INDEX(Firms!$O$5:$O$1004,MATCH(82,Firms!$R$5:$R$1004,0))),"")</f>
        <v/>
      </c>
      <c r="D86" s="58">
        <f>IFERROR(INDEX(Firms!$P$5:$P$1004,MATCH(82,Firms!$R$5:$R$1004,0))&amp;"","")</f>
        <v/>
      </c>
      <c r="E86" s="58">
        <f>IFERROR(INDEX(Firms!$C$5:$C$1004,MATCH(82,Firms!$R$5:$R$1004,0))&amp;"","")</f>
        <v/>
      </c>
      <c r="F86" s="57">
        <f>IFERROR(INDEX(Firms!$L$5:$L$1004,MATCH(82,Firms!$R$5:$R$1004,0))&amp;"","")</f>
        <v/>
      </c>
      <c r="G86" s="57">
        <f>IFERROR(INDEX(Firms!$M$5:$M$1004,MATCH(82,Firms!$R$5:$R$1004,0))&amp;"","")</f>
        <v/>
      </c>
      <c r="H86" s="58">
        <f>IFERROR(INDEX(Firms!$Q$5:$Q$1004,MATCH(82,Firms!$R$5:$R$1004,0))&amp;"","")</f>
        <v/>
      </c>
    </row>
    <row r="87">
      <c r="A87" s="57">
        <f>IF(B87="","",83)</f>
        <v/>
      </c>
      <c r="B87" s="58">
        <f>IFERROR(INDEX(Firms!$A$5:$A$1004,MATCH(83,Firms!$R$5:$R$1004,0))&amp;"","")</f>
        <v/>
      </c>
      <c r="C87" s="59">
        <f>IFERROR(IF(INDEX(Firms!$O$5:$O$1004,MATCH(83,Firms!$R$5:$R$1004,0))="","",INDEX(Firms!$O$5:$O$1004,MATCH(83,Firms!$R$5:$R$1004,0))),"")</f>
        <v/>
      </c>
      <c r="D87" s="58">
        <f>IFERROR(INDEX(Firms!$P$5:$P$1004,MATCH(83,Firms!$R$5:$R$1004,0))&amp;"","")</f>
        <v/>
      </c>
      <c r="E87" s="58">
        <f>IFERROR(INDEX(Firms!$C$5:$C$1004,MATCH(83,Firms!$R$5:$R$1004,0))&amp;"","")</f>
        <v/>
      </c>
      <c r="F87" s="57">
        <f>IFERROR(INDEX(Firms!$L$5:$L$1004,MATCH(83,Firms!$R$5:$R$1004,0))&amp;"","")</f>
        <v/>
      </c>
      <c r="G87" s="57">
        <f>IFERROR(INDEX(Firms!$M$5:$M$1004,MATCH(83,Firms!$R$5:$R$1004,0))&amp;"","")</f>
        <v/>
      </c>
      <c r="H87" s="58">
        <f>IFERROR(INDEX(Firms!$Q$5:$Q$1004,MATCH(83,Firms!$R$5:$R$1004,0))&amp;"","")</f>
        <v/>
      </c>
    </row>
    <row r="88">
      <c r="A88" s="57">
        <f>IF(B88="","",84)</f>
        <v/>
      </c>
      <c r="B88" s="58">
        <f>IFERROR(INDEX(Firms!$A$5:$A$1004,MATCH(84,Firms!$R$5:$R$1004,0))&amp;"","")</f>
        <v/>
      </c>
      <c r="C88" s="59">
        <f>IFERROR(IF(INDEX(Firms!$O$5:$O$1004,MATCH(84,Firms!$R$5:$R$1004,0))="","",INDEX(Firms!$O$5:$O$1004,MATCH(84,Firms!$R$5:$R$1004,0))),"")</f>
        <v/>
      </c>
      <c r="D88" s="58">
        <f>IFERROR(INDEX(Firms!$P$5:$P$1004,MATCH(84,Firms!$R$5:$R$1004,0))&amp;"","")</f>
        <v/>
      </c>
      <c r="E88" s="58">
        <f>IFERROR(INDEX(Firms!$C$5:$C$1004,MATCH(84,Firms!$R$5:$R$1004,0))&amp;"","")</f>
        <v/>
      </c>
      <c r="F88" s="57">
        <f>IFERROR(INDEX(Firms!$L$5:$L$1004,MATCH(84,Firms!$R$5:$R$1004,0))&amp;"","")</f>
        <v/>
      </c>
      <c r="G88" s="57">
        <f>IFERROR(INDEX(Firms!$M$5:$M$1004,MATCH(84,Firms!$R$5:$R$1004,0))&amp;"","")</f>
        <v/>
      </c>
      <c r="H88" s="58">
        <f>IFERROR(INDEX(Firms!$Q$5:$Q$1004,MATCH(84,Firms!$R$5:$R$1004,0))&amp;"","")</f>
        <v/>
      </c>
    </row>
    <row r="89">
      <c r="A89" s="57">
        <f>IF(B89="","",85)</f>
        <v/>
      </c>
      <c r="B89" s="58">
        <f>IFERROR(INDEX(Firms!$A$5:$A$1004,MATCH(85,Firms!$R$5:$R$1004,0))&amp;"","")</f>
        <v/>
      </c>
      <c r="C89" s="59">
        <f>IFERROR(IF(INDEX(Firms!$O$5:$O$1004,MATCH(85,Firms!$R$5:$R$1004,0))="","",INDEX(Firms!$O$5:$O$1004,MATCH(85,Firms!$R$5:$R$1004,0))),"")</f>
        <v/>
      </c>
      <c r="D89" s="58">
        <f>IFERROR(INDEX(Firms!$P$5:$P$1004,MATCH(85,Firms!$R$5:$R$1004,0))&amp;"","")</f>
        <v/>
      </c>
      <c r="E89" s="58">
        <f>IFERROR(INDEX(Firms!$C$5:$C$1004,MATCH(85,Firms!$R$5:$R$1004,0))&amp;"","")</f>
        <v/>
      </c>
      <c r="F89" s="57">
        <f>IFERROR(INDEX(Firms!$L$5:$L$1004,MATCH(85,Firms!$R$5:$R$1004,0))&amp;"","")</f>
        <v/>
      </c>
      <c r="G89" s="57">
        <f>IFERROR(INDEX(Firms!$M$5:$M$1004,MATCH(85,Firms!$R$5:$R$1004,0))&amp;"","")</f>
        <v/>
      </c>
      <c r="H89" s="58">
        <f>IFERROR(INDEX(Firms!$Q$5:$Q$1004,MATCH(85,Firms!$R$5:$R$1004,0))&amp;"","")</f>
        <v/>
      </c>
    </row>
    <row r="90">
      <c r="A90" s="57">
        <f>IF(B90="","",86)</f>
        <v/>
      </c>
      <c r="B90" s="58">
        <f>IFERROR(INDEX(Firms!$A$5:$A$1004,MATCH(86,Firms!$R$5:$R$1004,0))&amp;"","")</f>
        <v/>
      </c>
      <c r="C90" s="59">
        <f>IFERROR(IF(INDEX(Firms!$O$5:$O$1004,MATCH(86,Firms!$R$5:$R$1004,0))="","",INDEX(Firms!$O$5:$O$1004,MATCH(86,Firms!$R$5:$R$1004,0))),"")</f>
        <v/>
      </c>
      <c r="D90" s="58">
        <f>IFERROR(INDEX(Firms!$P$5:$P$1004,MATCH(86,Firms!$R$5:$R$1004,0))&amp;"","")</f>
        <v/>
      </c>
      <c r="E90" s="58">
        <f>IFERROR(INDEX(Firms!$C$5:$C$1004,MATCH(86,Firms!$R$5:$R$1004,0))&amp;"","")</f>
        <v/>
      </c>
      <c r="F90" s="57">
        <f>IFERROR(INDEX(Firms!$L$5:$L$1004,MATCH(86,Firms!$R$5:$R$1004,0))&amp;"","")</f>
        <v/>
      </c>
      <c r="G90" s="57">
        <f>IFERROR(INDEX(Firms!$M$5:$M$1004,MATCH(86,Firms!$R$5:$R$1004,0))&amp;"","")</f>
        <v/>
      </c>
      <c r="H90" s="58">
        <f>IFERROR(INDEX(Firms!$Q$5:$Q$1004,MATCH(86,Firms!$R$5:$R$1004,0))&amp;"","")</f>
        <v/>
      </c>
    </row>
    <row r="91">
      <c r="A91" s="57">
        <f>IF(B91="","",87)</f>
        <v/>
      </c>
      <c r="B91" s="58">
        <f>IFERROR(INDEX(Firms!$A$5:$A$1004,MATCH(87,Firms!$R$5:$R$1004,0))&amp;"","")</f>
        <v/>
      </c>
      <c r="C91" s="59">
        <f>IFERROR(IF(INDEX(Firms!$O$5:$O$1004,MATCH(87,Firms!$R$5:$R$1004,0))="","",INDEX(Firms!$O$5:$O$1004,MATCH(87,Firms!$R$5:$R$1004,0))),"")</f>
        <v/>
      </c>
      <c r="D91" s="58">
        <f>IFERROR(INDEX(Firms!$P$5:$P$1004,MATCH(87,Firms!$R$5:$R$1004,0))&amp;"","")</f>
        <v/>
      </c>
      <c r="E91" s="58">
        <f>IFERROR(INDEX(Firms!$C$5:$C$1004,MATCH(87,Firms!$R$5:$R$1004,0))&amp;"","")</f>
        <v/>
      </c>
      <c r="F91" s="57">
        <f>IFERROR(INDEX(Firms!$L$5:$L$1004,MATCH(87,Firms!$R$5:$R$1004,0))&amp;"","")</f>
        <v/>
      </c>
      <c r="G91" s="57">
        <f>IFERROR(INDEX(Firms!$M$5:$M$1004,MATCH(87,Firms!$R$5:$R$1004,0))&amp;"","")</f>
        <v/>
      </c>
      <c r="H91" s="58">
        <f>IFERROR(INDEX(Firms!$Q$5:$Q$1004,MATCH(87,Firms!$R$5:$R$1004,0))&amp;"","")</f>
        <v/>
      </c>
    </row>
    <row r="92">
      <c r="A92" s="57">
        <f>IF(B92="","",88)</f>
        <v/>
      </c>
      <c r="B92" s="58">
        <f>IFERROR(INDEX(Firms!$A$5:$A$1004,MATCH(88,Firms!$R$5:$R$1004,0))&amp;"","")</f>
        <v/>
      </c>
      <c r="C92" s="59">
        <f>IFERROR(IF(INDEX(Firms!$O$5:$O$1004,MATCH(88,Firms!$R$5:$R$1004,0))="","",INDEX(Firms!$O$5:$O$1004,MATCH(88,Firms!$R$5:$R$1004,0))),"")</f>
        <v/>
      </c>
      <c r="D92" s="58">
        <f>IFERROR(INDEX(Firms!$P$5:$P$1004,MATCH(88,Firms!$R$5:$R$1004,0))&amp;"","")</f>
        <v/>
      </c>
      <c r="E92" s="58">
        <f>IFERROR(INDEX(Firms!$C$5:$C$1004,MATCH(88,Firms!$R$5:$R$1004,0))&amp;"","")</f>
        <v/>
      </c>
      <c r="F92" s="57">
        <f>IFERROR(INDEX(Firms!$L$5:$L$1004,MATCH(88,Firms!$R$5:$R$1004,0))&amp;"","")</f>
        <v/>
      </c>
      <c r="G92" s="57">
        <f>IFERROR(INDEX(Firms!$M$5:$M$1004,MATCH(88,Firms!$R$5:$R$1004,0))&amp;"","")</f>
        <v/>
      </c>
      <c r="H92" s="58">
        <f>IFERROR(INDEX(Firms!$Q$5:$Q$1004,MATCH(88,Firms!$R$5:$R$1004,0))&amp;"","")</f>
        <v/>
      </c>
    </row>
    <row r="93">
      <c r="A93" s="57">
        <f>IF(B93="","",89)</f>
        <v/>
      </c>
      <c r="B93" s="58">
        <f>IFERROR(INDEX(Firms!$A$5:$A$1004,MATCH(89,Firms!$R$5:$R$1004,0))&amp;"","")</f>
        <v/>
      </c>
      <c r="C93" s="59">
        <f>IFERROR(IF(INDEX(Firms!$O$5:$O$1004,MATCH(89,Firms!$R$5:$R$1004,0))="","",INDEX(Firms!$O$5:$O$1004,MATCH(89,Firms!$R$5:$R$1004,0))),"")</f>
        <v/>
      </c>
      <c r="D93" s="58">
        <f>IFERROR(INDEX(Firms!$P$5:$P$1004,MATCH(89,Firms!$R$5:$R$1004,0))&amp;"","")</f>
        <v/>
      </c>
      <c r="E93" s="58">
        <f>IFERROR(INDEX(Firms!$C$5:$C$1004,MATCH(89,Firms!$R$5:$R$1004,0))&amp;"","")</f>
        <v/>
      </c>
      <c r="F93" s="57">
        <f>IFERROR(INDEX(Firms!$L$5:$L$1004,MATCH(89,Firms!$R$5:$R$1004,0))&amp;"","")</f>
        <v/>
      </c>
      <c r="G93" s="57">
        <f>IFERROR(INDEX(Firms!$M$5:$M$1004,MATCH(89,Firms!$R$5:$R$1004,0))&amp;"","")</f>
        <v/>
      </c>
      <c r="H93" s="58">
        <f>IFERROR(INDEX(Firms!$Q$5:$Q$1004,MATCH(89,Firms!$R$5:$R$1004,0))&amp;"","")</f>
        <v/>
      </c>
    </row>
    <row r="94">
      <c r="A94" s="57">
        <f>IF(B94="","",90)</f>
        <v/>
      </c>
      <c r="B94" s="58">
        <f>IFERROR(INDEX(Firms!$A$5:$A$1004,MATCH(90,Firms!$R$5:$R$1004,0))&amp;"","")</f>
        <v/>
      </c>
      <c r="C94" s="59">
        <f>IFERROR(IF(INDEX(Firms!$O$5:$O$1004,MATCH(90,Firms!$R$5:$R$1004,0))="","",INDEX(Firms!$O$5:$O$1004,MATCH(90,Firms!$R$5:$R$1004,0))),"")</f>
        <v/>
      </c>
      <c r="D94" s="58">
        <f>IFERROR(INDEX(Firms!$P$5:$P$1004,MATCH(90,Firms!$R$5:$R$1004,0))&amp;"","")</f>
        <v/>
      </c>
      <c r="E94" s="58">
        <f>IFERROR(INDEX(Firms!$C$5:$C$1004,MATCH(90,Firms!$R$5:$R$1004,0))&amp;"","")</f>
        <v/>
      </c>
      <c r="F94" s="57">
        <f>IFERROR(INDEX(Firms!$L$5:$L$1004,MATCH(90,Firms!$R$5:$R$1004,0))&amp;"","")</f>
        <v/>
      </c>
      <c r="G94" s="57">
        <f>IFERROR(INDEX(Firms!$M$5:$M$1004,MATCH(90,Firms!$R$5:$R$1004,0))&amp;"","")</f>
        <v/>
      </c>
      <c r="H94" s="58">
        <f>IFERROR(INDEX(Firms!$Q$5:$Q$1004,MATCH(90,Firms!$R$5:$R$1004,0))&amp;"","")</f>
        <v/>
      </c>
    </row>
    <row r="95">
      <c r="A95" s="57">
        <f>IF(B95="","",91)</f>
        <v/>
      </c>
      <c r="B95" s="58">
        <f>IFERROR(INDEX(Firms!$A$5:$A$1004,MATCH(91,Firms!$R$5:$R$1004,0))&amp;"","")</f>
        <v/>
      </c>
      <c r="C95" s="59">
        <f>IFERROR(IF(INDEX(Firms!$O$5:$O$1004,MATCH(91,Firms!$R$5:$R$1004,0))="","",INDEX(Firms!$O$5:$O$1004,MATCH(91,Firms!$R$5:$R$1004,0))),"")</f>
        <v/>
      </c>
      <c r="D95" s="58">
        <f>IFERROR(INDEX(Firms!$P$5:$P$1004,MATCH(91,Firms!$R$5:$R$1004,0))&amp;"","")</f>
        <v/>
      </c>
      <c r="E95" s="58">
        <f>IFERROR(INDEX(Firms!$C$5:$C$1004,MATCH(91,Firms!$R$5:$R$1004,0))&amp;"","")</f>
        <v/>
      </c>
      <c r="F95" s="57">
        <f>IFERROR(INDEX(Firms!$L$5:$L$1004,MATCH(91,Firms!$R$5:$R$1004,0))&amp;"","")</f>
        <v/>
      </c>
      <c r="G95" s="57">
        <f>IFERROR(INDEX(Firms!$M$5:$M$1004,MATCH(91,Firms!$R$5:$R$1004,0))&amp;"","")</f>
        <v/>
      </c>
      <c r="H95" s="58">
        <f>IFERROR(INDEX(Firms!$Q$5:$Q$1004,MATCH(91,Firms!$R$5:$R$1004,0))&amp;"","")</f>
        <v/>
      </c>
    </row>
    <row r="96">
      <c r="A96" s="57">
        <f>IF(B96="","",92)</f>
        <v/>
      </c>
      <c r="B96" s="58">
        <f>IFERROR(INDEX(Firms!$A$5:$A$1004,MATCH(92,Firms!$R$5:$R$1004,0))&amp;"","")</f>
        <v/>
      </c>
      <c r="C96" s="59">
        <f>IFERROR(IF(INDEX(Firms!$O$5:$O$1004,MATCH(92,Firms!$R$5:$R$1004,0))="","",INDEX(Firms!$O$5:$O$1004,MATCH(92,Firms!$R$5:$R$1004,0))),"")</f>
        <v/>
      </c>
      <c r="D96" s="58">
        <f>IFERROR(INDEX(Firms!$P$5:$P$1004,MATCH(92,Firms!$R$5:$R$1004,0))&amp;"","")</f>
        <v/>
      </c>
      <c r="E96" s="58">
        <f>IFERROR(INDEX(Firms!$C$5:$C$1004,MATCH(92,Firms!$R$5:$R$1004,0))&amp;"","")</f>
        <v/>
      </c>
      <c r="F96" s="57">
        <f>IFERROR(INDEX(Firms!$L$5:$L$1004,MATCH(92,Firms!$R$5:$R$1004,0))&amp;"","")</f>
        <v/>
      </c>
      <c r="G96" s="57">
        <f>IFERROR(INDEX(Firms!$M$5:$M$1004,MATCH(92,Firms!$R$5:$R$1004,0))&amp;"","")</f>
        <v/>
      </c>
      <c r="H96" s="58">
        <f>IFERROR(INDEX(Firms!$Q$5:$Q$1004,MATCH(92,Firms!$R$5:$R$1004,0))&amp;"","")</f>
        <v/>
      </c>
    </row>
    <row r="97">
      <c r="A97" s="57">
        <f>IF(B97="","",93)</f>
        <v/>
      </c>
      <c r="B97" s="58">
        <f>IFERROR(INDEX(Firms!$A$5:$A$1004,MATCH(93,Firms!$R$5:$R$1004,0))&amp;"","")</f>
        <v/>
      </c>
      <c r="C97" s="59">
        <f>IFERROR(IF(INDEX(Firms!$O$5:$O$1004,MATCH(93,Firms!$R$5:$R$1004,0))="","",INDEX(Firms!$O$5:$O$1004,MATCH(93,Firms!$R$5:$R$1004,0))),"")</f>
        <v/>
      </c>
      <c r="D97" s="58">
        <f>IFERROR(INDEX(Firms!$P$5:$P$1004,MATCH(93,Firms!$R$5:$R$1004,0))&amp;"","")</f>
        <v/>
      </c>
      <c r="E97" s="58">
        <f>IFERROR(INDEX(Firms!$C$5:$C$1004,MATCH(93,Firms!$R$5:$R$1004,0))&amp;"","")</f>
        <v/>
      </c>
      <c r="F97" s="57">
        <f>IFERROR(INDEX(Firms!$L$5:$L$1004,MATCH(93,Firms!$R$5:$R$1004,0))&amp;"","")</f>
        <v/>
      </c>
      <c r="G97" s="57">
        <f>IFERROR(INDEX(Firms!$M$5:$M$1004,MATCH(93,Firms!$R$5:$R$1004,0))&amp;"","")</f>
        <v/>
      </c>
      <c r="H97" s="58">
        <f>IFERROR(INDEX(Firms!$Q$5:$Q$1004,MATCH(93,Firms!$R$5:$R$1004,0))&amp;"","")</f>
        <v/>
      </c>
    </row>
    <row r="98">
      <c r="A98" s="57">
        <f>IF(B98="","",94)</f>
        <v/>
      </c>
      <c r="B98" s="58">
        <f>IFERROR(INDEX(Firms!$A$5:$A$1004,MATCH(94,Firms!$R$5:$R$1004,0))&amp;"","")</f>
        <v/>
      </c>
      <c r="C98" s="59">
        <f>IFERROR(IF(INDEX(Firms!$O$5:$O$1004,MATCH(94,Firms!$R$5:$R$1004,0))="","",INDEX(Firms!$O$5:$O$1004,MATCH(94,Firms!$R$5:$R$1004,0))),"")</f>
        <v/>
      </c>
      <c r="D98" s="58">
        <f>IFERROR(INDEX(Firms!$P$5:$P$1004,MATCH(94,Firms!$R$5:$R$1004,0))&amp;"","")</f>
        <v/>
      </c>
      <c r="E98" s="58">
        <f>IFERROR(INDEX(Firms!$C$5:$C$1004,MATCH(94,Firms!$R$5:$R$1004,0))&amp;"","")</f>
        <v/>
      </c>
      <c r="F98" s="57">
        <f>IFERROR(INDEX(Firms!$L$5:$L$1004,MATCH(94,Firms!$R$5:$R$1004,0))&amp;"","")</f>
        <v/>
      </c>
      <c r="G98" s="57">
        <f>IFERROR(INDEX(Firms!$M$5:$M$1004,MATCH(94,Firms!$R$5:$R$1004,0))&amp;"","")</f>
        <v/>
      </c>
      <c r="H98" s="58">
        <f>IFERROR(INDEX(Firms!$Q$5:$Q$1004,MATCH(94,Firms!$R$5:$R$1004,0))&amp;"","")</f>
        <v/>
      </c>
    </row>
    <row r="99">
      <c r="A99" s="57">
        <f>IF(B99="","",95)</f>
        <v/>
      </c>
      <c r="B99" s="58">
        <f>IFERROR(INDEX(Firms!$A$5:$A$1004,MATCH(95,Firms!$R$5:$R$1004,0))&amp;"","")</f>
        <v/>
      </c>
      <c r="C99" s="59">
        <f>IFERROR(IF(INDEX(Firms!$O$5:$O$1004,MATCH(95,Firms!$R$5:$R$1004,0))="","",INDEX(Firms!$O$5:$O$1004,MATCH(95,Firms!$R$5:$R$1004,0))),"")</f>
        <v/>
      </c>
      <c r="D99" s="58">
        <f>IFERROR(INDEX(Firms!$P$5:$P$1004,MATCH(95,Firms!$R$5:$R$1004,0))&amp;"","")</f>
        <v/>
      </c>
      <c r="E99" s="58">
        <f>IFERROR(INDEX(Firms!$C$5:$C$1004,MATCH(95,Firms!$R$5:$R$1004,0))&amp;"","")</f>
        <v/>
      </c>
      <c r="F99" s="57">
        <f>IFERROR(INDEX(Firms!$L$5:$L$1004,MATCH(95,Firms!$R$5:$R$1004,0))&amp;"","")</f>
        <v/>
      </c>
      <c r="G99" s="57">
        <f>IFERROR(INDEX(Firms!$M$5:$M$1004,MATCH(95,Firms!$R$5:$R$1004,0))&amp;"","")</f>
        <v/>
      </c>
      <c r="H99" s="58">
        <f>IFERROR(INDEX(Firms!$Q$5:$Q$1004,MATCH(95,Firms!$R$5:$R$1004,0))&amp;"","")</f>
        <v/>
      </c>
    </row>
    <row r="100">
      <c r="A100" s="57">
        <f>IF(B100="","",96)</f>
        <v/>
      </c>
      <c r="B100" s="58">
        <f>IFERROR(INDEX(Firms!$A$5:$A$1004,MATCH(96,Firms!$R$5:$R$1004,0))&amp;"","")</f>
        <v/>
      </c>
      <c r="C100" s="59">
        <f>IFERROR(IF(INDEX(Firms!$O$5:$O$1004,MATCH(96,Firms!$R$5:$R$1004,0))="","",INDEX(Firms!$O$5:$O$1004,MATCH(96,Firms!$R$5:$R$1004,0))),"")</f>
        <v/>
      </c>
      <c r="D100" s="58">
        <f>IFERROR(INDEX(Firms!$P$5:$P$1004,MATCH(96,Firms!$R$5:$R$1004,0))&amp;"","")</f>
        <v/>
      </c>
      <c r="E100" s="58">
        <f>IFERROR(INDEX(Firms!$C$5:$C$1004,MATCH(96,Firms!$R$5:$R$1004,0))&amp;"","")</f>
        <v/>
      </c>
      <c r="F100" s="57">
        <f>IFERROR(INDEX(Firms!$L$5:$L$1004,MATCH(96,Firms!$R$5:$R$1004,0))&amp;"","")</f>
        <v/>
      </c>
      <c r="G100" s="57">
        <f>IFERROR(INDEX(Firms!$M$5:$M$1004,MATCH(96,Firms!$R$5:$R$1004,0))&amp;"","")</f>
        <v/>
      </c>
      <c r="H100" s="58">
        <f>IFERROR(INDEX(Firms!$Q$5:$Q$1004,MATCH(96,Firms!$R$5:$R$1004,0))&amp;"","")</f>
        <v/>
      </c>
    </row>
    <row r="101">
      <c r="A101" s="57">
        <f>IF(B101="","",97)</f>
        <v/>
      </c>
      <c r="B101" s="58">
        <f>IFERROR(INDEX(Firms!$A$5:$A$1004,MATCH(97,Firms!$R$5:$R$1004,0))&amp;"","")</f>
        <v/>
      </c>
      <c r="C101" s="59">
        <f>IFERROR(IF(INDEX(Firms!$O$5:$O$1004,MATCH(97,Firms!$R$5:$R$1004,0))="","",INDEX(Firms!$O$5:$O$1004,MATCH(97,Firms!$R$5:$R$1004,0))),"")</f>
        <v/>
      </c>
      <c r="D101" s="58">
        <f>IFERROR(INDEX(Firms!$P$5:$P$1004,MATCH(97,Firms!$R$5:$R$1004,0))&amp;"","")</f>
        <v/>
      </c>
      <c r="E101" s="58">
        <f>IFERROR(INDEX(Firms!$C$5:$C$1004,MATCH(97,Firms!$R$5:$R$1004,0))&amp;"","")</f>
        <v/>
      </c>
      <c r="F101" s="57">
        <f>IFERROR(INDEX(Firms!$L$5:$L$1004,MATCH(97,Firms!$R$5:$R$1004,0))&amp;"","")</f>
        <v/>
      </c>
      <c r="G101" s="57">
        <f>IFERROR(INDEX(Firms!$M$5:$M$1004,MATCH(97,Firms!$R$5:$R$1004,0))&amp;"","")</f>
        <v/>
      </c>
      <c r="H101" s="58">
        <f>IFERROR(INDEX(Firms!$Q$5:$Q$1004,MATCH(97,Firms!$R$5:$R$1004,0))&amp;"","")</f>
        <v/>
      </c>
    </row>
    <row r="102">
      <c r="A102" s="57">
        <f>IF(B102="","",98)</f>
        <v/>
      </c>
      <c r="B102" s="58">
        <f>IFERROR(INDEX(Firms!$A$5:$A$1004,MATCH(98,Firms!$R$5:$R$1004,0))&amp;"","")</f>
        <v/>
      </c>
      <c r="C102" s="59">
        <f>IFERROR(IF(INDEX(Firms!$O$5:$O$1004,MATCH(98,Firms!$R$5:$R$1004,0))="","",INDEX(Firms!$O$5:$O$1004,MATCH(98,Firms!$R$5:$R$1004,0))),"")</f>
        <v/>
      </c>
      <c r="D102" s="58">
        <f>IFERROR(INDEX(Firms!$P$5:$P$1004,MATCH(98,Firms!$R$5:$R$1004,0))&amp;"","")</f>
        <v/>
      </c>
      <c r="E102" s="58">
        <f>IFERROR(INDEX(Firms!$C$5:$C$1004,MATCH(98,Firms!$R$5:$R$1004,0))&amp;"","")</f>
        <v/>
      </c>
      <c r="F102" s="57">
        <f>IFERROR(INDEX(Firms!$L$5:$L$1004,MATCH(98,Firms!$R$5:$R$1004,0))&amp;"","")</f>
        <v/>
      </c>
      <c r="G102" s="57">
        <f>IFERROR(INDEX(Firms!$M$5:$M$1004,MATCH(98,Firms!$R$5:$R$1004,0))&amp;"","")</f>
        <v/>
      </c>
      <c r="H102" s="58">
        <f>IFERROR(INDEX(Firms!$Q$5:$Q$1004,MATCH(98,Firms!$R$5:$R$1004,0))&amp;"","")</f>
        <v/>
      </c>
    </row>
    <row r="103">
      <c r="A103" s="57">
        <f>IF(B103="","",99)</f>
        <v/>
      </c>
      <c r="B103" s="58">
        <f>IFERROR(INDEX(Firms!$A$5:$A$1004,MATCH(99,Firms!$R$5:$R$1004,0))&amp;"","")</f>
        <v/>
      </c>
      <c r="C103" s="59">
        <f>IFERROR(IF(INDEX(Firms!$O$5:$O$1004,MATCH(99,Firms!$R$5:$R$1004,0))="","",INDEX(Firms!$O$5:$O$1004,MATCH(99,Firms!$R$5:$R$1004,0))),"")</f>
        <v/>
      </c>
      <c r="D103" s="58">
        <f>IFERROR(INDEX(Firms!$P$5:$P$1004,MATCH(99,Firms!$R$5:$R$1004,0))&amp;"","")</f>
        <v/>
      </c>
      <c r="E103" s="58">
        <f>IFERROR(INDEX(Firms!$C$5:$C$1004,MATCH(99,Firms!$R$5:$R$1004,0))&amp;"","")</f>
        <v/>
      </c>
      <c r="F103" s="57">
        <f>IFERROR(INDEX(Firms!$L$5:$L$1004,MATCH(99,Firms!$R$5:$R$1004,0))&amp;"","")</f>
        <v/>
      </c>
      <c r="G103" s="57">
        <f>IFERROR(INDEX(Firms!$M$5:$M$1004,MATCH(99,Firms!$R$5:$R$1004,0))&amp;"","")</f>
        <v/>
      </c>
      <c r="H103" s="58">
        <f>IFERROR(INDEX(Firms!$Q$5:$Q$1004,MATCH(99,Firms!$R$5:$R$1004,0))&amp;"","")</f>
        <v/>
      </c>
    </row>
    <row r="104">
      <c r="A104" s="57">
        <f>IF(B104="","",100)</f>
        <v/>
      </c>
      <c r="B104" s="58">
        <f>IFERROR(INDEX(Firms!$A$5:$A$1004,MATCH(100,Firms!$R$5:$R$1004,0))&amp;"","")</f>
        <v/>
      </c>
      <c r="C104" s="59">
        <f>IFERROR(IF(INDEX(Firms!$O$5:$O$1004,MATCH(100,Firms!$R$5:$R$1004,0))="","",INDEX(Firms!$O$5:$O$1004,MATCH(100,Firms!$R$5:$R$1004,0))),"")</f>
        <v/>
      </c>
      <c r="D104" s="58">
        <f>IFERROR(INDEX(Firms!$P$5:$P$1004,MATCH(100,Firms!$R$5:$R$1004,0))&amp;"","")</f>
        <v/>
      </c>
      <c r="E104" s="58">
        <f>IFERROR(INDEX(Firms!$C$5:$C$1004,MATCH(100,Firms!$R$5:$R$1004,0))&amp;"","")</f>
        <v/>
      </c>
      <c r="F104" s="57">
        <f>IFERROR(INDEX(Firms!$L$5:$L$1004,MATCH(100,Firms!$R$5:$R$1004,0))&amp;"","")</f>
        <v/>
      </c>
      <c r="G104" s="57">
        <f>IFERROR(INDEX(Firms!$M$5:$M$1004,MATCH(100,Firms!$R$5:$R$1004,0))&amp;"","")</f>
        <v/>
      </c>
      <c r="H104" s="58">
        <f>IFERROR(INDEX(Firms!$Q$5:$Q$1004,MATCH(100,Firms!$R$5:$R$1004,0))&amp;"","")</f>
        <v/>
      </c>
    </row>
    <row r="105">
      <c r="A105" s="57">
        <f>IF(B105="","",101)</f>
        <v/>
      </c>
      <c r="B105" s="58">
        <f>IFERROR(INDEX(Firms!$A$5:$A$1004,MATCH(101,Firms!$R$5:$R$1004,0))&amp;"","")</f>
        <v/>
      </c>
      <c r="C105" s="59">
        <f>IFERROR(IF(INDEX(Firms!$O$5:$O$1004,MATCH(101,Firms!$R$5:$R$1004,0))="","",INDEX(Firms!$O$5:$O$1004,MATCH(101,Firms!$R$5:$R$1004,0))),"")</f>
        <v/>
      </c>
      <c r="D105" s="58">
        <f>IFERROR(INDEX(Firms!$P$5:$P$1004,MATCH(101,Firms!$R$5:$R$1004,0))&amp;"","")</f>
        <v/>
      </c>
      <c r="E105" s="58">
        <f>IFERROR(INDEX(Firms!$C$5:$C$1004,MATCH(101,Firms!$R$5:$R$1004,0))&amp;"","")</f>
        <v/>
      </c>
      <c r="F105" s="57">
        <f>IFERROR(INDEX(Firms!$L$5:$L$1004,MATCH(101,Firms!$R$5:$R$1004,0))&amp;"","")</f>
        <v/>
      </c>
      <c r="G105" s="57">
        <f>IFERROR(INDEX(Firms!$M$5:$M$1004,MATCH(101,Firms!$R$5:$R$1004,0))&amp;"","")</f>
        <v/>
      </c>
      <c r="H105" s="58">
        <f>IFERROR(INDEX(Firms!$Q$5:$Q$1004,MATCH(101,Firms!$R$5:$R$1004,0))&amp;"","")</f>
        <v/>
      </c>
    </row>
    <row r="106">
      <c r="A106" s="57">
        <f>IF(B106="","",102)</f>
        <v/>
      </c>
      <c r="B106" s="58">
        <f>IFERROR(INDEX(Firms!$A$5:$A$1004,MATCH(102,Firms!$R$5:$R$1004,0))&amp;"","")</f>
        <v/>
      </c>
      <c r="C106" s="59">
        <f>IFERROR(IF(INDEX(Firms!$O$5:$O$1004,MATCH(102,Firms!$R$5:$R$1004,0))="","",INDEX(Firms!$O$5:$O$1004,MATCH(102,Firms!$R$5:$R$1004,0))),"")</f>
        <v/>
      </c>
      <c r="D106" s="58">
        <f>IFERROR(INDEX(Firms!$P$5:$P$1004,MATCH(102,Firms!$R$5:$R$1004,0))&amp;"","")</f>
        <v/>
      </c>
      <c r="E106" s="58">
        <f>IFERROR(INDEX(Firms!$C$5:$C$1004,MATCH(102,Firms!$R$5:$R$1004,0))&amp;"","")</f>
        <v/>
      </c>
      <c r="F106" s="57">
        <f>IFERROR(INDEX(Firms!$L$5:$L$1004,MATCH(102,Firms!$R$5:$R$1004,0))&amp;"","")</f>
        <v/>
      </c>
      <c r="G106" s="57">
        <f>IFERROR(INDEX(Firms!$M$5:$M$1004,MATCH(102,Firms!$R$5:$R$1004,0))&amp;"","")</f>
        <v/>
      </c>
      <c r="H106" s="58">
        <f>IFERROR(INDEX(Firms!$Q$5:$Q$1004,MATCH(102,Firms!$R$5:$R$1004,0))&amp;"","")</f>
        <v/>
      </c>
    </row>
    <row r="107">
      <c r="A107" s="57">
        <f>IF(B107="","",103)</f>
        <v/>
      </c>
      <c r="B107" s="58">
        <f>IFERROR(INDEX(Firms!$A$5:$A$1004,MATCH(103,Firms!$R$5:$R$1004,0))&amp;"","")</f>
        <v/>
      </c>
      <c r="C107" s="59">
        <f>IFERROR(IF(INDEX(Firms!$O$5:$O$1004,MATCH(103,Firms!$R$5:$R$1004,0))="","",INDEX(Firms!$O$5:$O$1004,MATCH(103,Firms!$R$5:$R$1004,0))),"")</f>
        <v/>
      </c>
      <c r="D107" s="58">
        <f>IFERROR(INDEX(Firms!$P$5:$P$1004,MATCH(103,Firms!$R$5:$R$1004,0))&amp;"","")</f>
        <v/>
      </c>
      <c r="E107" s="58">
        <f>IFERROR(INDEX(Firms!$C$5:$C$1004,MATCH(103,Firms!$R$5:$R$1004,0))&amp;"","")</f>
        <v/>
      </c>
      <c r="F107" s="57">
        <f>IFERROR(INDEX(Firms!$L$5:$L$1004,MATCH(103,Firms!$R$5:$R$1004,0))&amp;"","")</f>
        <v/>
      </c>
      <c r="G107" s="57">
        <f>IFERROR(INDEX(Firms!$M$5:$M$1004,MATCH(103,Firms!$R$5:$R$1004,0))&amp;"","")</f>
        <v/>
      </c>
      <c r="H107" s="58">
        <f>IFERROR(INDEX(Firms!$Q$5:$Q$1004,MATCH(103,Firms!$R$5:$R$1004,0))&amp;"","")</f>
        <v/>
      </c>
    </row>
    <row r="108">
      <c r="A108" s="57">
        <f>IF(B108="","",104)</f>
        <v/>
      </c>
      <c r="B108" s="58">
        <f>IFERROR(INDEX(Firms!$A$5:$A$1004,MATCH(104,Firms!$R$5:$R$1004,0))&amp;"","")</f>
        <v/>
      </c>
      <c r="C108" s="59">
        <f>IFERROR(IF(INDEX(Firms!$O$5:$O$1004,MATCH(104,Firms!$R$5:$R$1004,0))="","",INDEX(Firms!$O$5:$O$1004,MATCH(104,Firms!$R$5:$R$1004,0))),"")</f>
        <v/>
      </c>
      <c r="D108" s="58">
        <f>IFERROR(INDEX(Firms!$P$5:$P$1004,MATCH(104,Firms!$R$5:$R$1004,0))&amp;"","")</f>
        <v/>
      </c>
      <c r="E108" s="58">
        <f>IFERROR(INDEX(Firms!$C$5:$C$1004,MATCH(104,Firms!$R$5:$R$1004,0))&amp;"","")</f>
        <v/>
      </c>
      <c r="F108" s="57">
        <f>IFERROR(INDEX(Firms!$L$5:$L$1004,MATCH(104,Firms!$R$5:$R$1004,0))&amp;"","")</f>
        <v/>
      </c>
      <c r="G108" s="57">
        <f>IFERROR(INDEX(Firms!$M$5:$M$1004,MATCH(104,Firms!$R$5:$R$1004,0))&amp;"","")</f>
        <v/>
      </c>
      <c r="H108" s="58">
        <f>IFERROR(INDEX(Firms!$Q$5:$Q$1004,MATCH(104,Firms!$R$5:$R$1004,0))&amp;"","")</f>
        <v/>
      </c>
    </row>
    <row r="109">
      <c r="A109" s="57">
        <f>IF(B109="","",105)</f>
        <v/>
      </c>
      <c r="B109" s="58">
        <f>IFERROR(INDEX(Firms!$A$5:$A$1004,MATCH(105,Firms!$R$5:$R$1004,0))&amp;"","")</f>
        <v/>
      </c>
      <c r="C109" s="59">
        <f>IFERROR(IF(INDEX(Firms!$O$5:$O$1004,MATCH(105,Firms!$R$5:$R$1004,0))="","",INDEX(Firms!$O$5:$O$1004,MATCH(105,Firms!$R$5:$R$1004,0))),"")</f>
        <v/>
      </c>
      <c r="D109" s="58">
        <f>IFERROR(INDEX(Firms!$P$5:$P$1004,MATCH(105,Firms!$R$5:$R$1004,0))&amp;"","")</f>
        <v/>
      </c>
      <c r="E109" s="58">
        <f>IFERROR(INDEX(Firms!$C$5:$C$1004,MATCH(105,Firms!$R$5:$R$1004,0))&amp;"","")</f>
        <v/>
      </c>
      <c r="F109" s="57">
        <f>IFERROR(INDEX(Firms!$L$5:$L$1004,MATCH(105,Firms!$R$5:$R$1004,0))&amp;"","")</f>
        <v/>
      </c>
      <c r="G109" s="57">
        <f>IFERROR(INDEX(Firms!$M$5:$M$1004,MATCH(105,Firms!$R$5:$R$1004,0))&amp;"","")</f>
        <v/>
      </c>
      <c r="H109" s="58">
        <f>IFERROR(INDEX(Firms!$Q$5:$Q$1004,MATCH(105,Firms!$R$5:$R$1004,0))&amp;"","")</f>
        <v/>
      </c>
    </row>
    <row r="110">
      <c r="A110" s="57">
        <f>IF(B110="","",106)</f>
        <v/>
      </c>
      <c r="B110" s="58">
        <f>IFERROR(INDEX(Firms!$A$5:$A$1004,MATCH(106,Firms!$R$5:$R$1004,0))&amp;"","")</f>
        <v/>
      </c>
      <c r="C110" s="59">
        <f>IFERROR(IF(INDEX(Firms!$O$5:$O$1004,MATCH(106,Firms!$R$5:$R$1004,0))="","",INDEX(Firms!$O$5:$O$1004,MATCH(106,Firms!$R$5:$R$1004,0))),"")</f>
        <v/>
      </c>
      <c r="D110" s="58">
        <f>IFERROR(INDEX(Firms!$P$5:$P$1004,MATCH(106,Firms!$R$5:$R$1004,0))&amp;"","")</f>
        <v/>
      </c>
      <c r="E110" s="58">
        <f>IFERROR(INDEX(Firms!$C$5:$C$1004,MATCH(106,Firms!$R$5:$R$1004,0))&amp;"","")</f>
        <v/>
      </c>
      <c r="F110" s="57">
        <f>IFERROR(INDEX(Firms!$L$5:$L$1004,MATCH(106,Firms!$R$5:$R$1004,0))&amp;"","")</f>
        <v/>
      </c>
      <c r="G110" s="57">
        <f>IFERROR(INDEX(Firms!$M$5:$M$1004,MATCH(106,Firms!$R$5:$R$1004,0))&amp;"","")</f>
        <v/>
      </c>
      <c r="H110" s="58">
        <f>IFERROR(INDEX(Firms!$Q$5:$Q$1004,MATCH(106,Firms!$R$5:$R$1004,0))&amp;"","")</f>
        <v/>
      </c>
    </row>
    <row r="111">
      <c r="A111" s="57">
        <f>IF(B111="","",107)</f>
        <v/>
      </c>
      <c r="B111" s="58">
        <f>IFERROR(INDEX(Firms!$A$5:$A$1004,MATCH(107,Firms!$R$5:$R$1004,0))&amp;"","")</f>
        <v/>
      </c>
      <c r="C111" s="59">
        <f>IFERROR(IF(INDEX(Firms!$O$5:$O$1004,MATCH(107,Firms!$R$5:$R$1004,0))="","",INDEX(Firms!$O$5:$O$1004,MATCH(107,Firms!$R$5:$R$1004,0))),"")</f>
        <v/>
      </c>
      <c r="D111" s="58">
        <f>IFERROR(INDEX(Firms!$P$5:$P$1004,MATCH(107,Firms!$R$5:$R$1004,0))&amp;"","")</f>
        <v/>
      </c>
      <c r="E111" s="58">
        <f>IFERROR(INDEX(Firms!$C$5:$C$1004,MATCH(107,Firms!$R$5:$R$1004,0))&amp;"","")</f>
        <v/>
      </c>
      <c r="F111" s="57">
        <f>IFERROR(INDEX(Firms!$L$5:$L$1004,MATCH(107,Firms!$R$5:$R$1004,0))&amp;"","")</f>
        <v/>
      </c>
      <c r="G111" s="57">
        <f>IFERROR(INDEX(Firms!$M$5:$M$1004,MATCH(107,Firms!$R$5:$R$1004,0))&amp;"","")</f>
        <v/>
      </c>
      <c r="H111" s="58">
        <f>IFERROR(INDEX(Firms!$Q$5:$Q$1004,MATCH(107,Firms!$R$5:$R$1004,0))&amp;"","")</f>
        <v/>
      </c>
    </row>
    <row r="112">
      <c r="A112" s="57">
        <f>IF(B112="","",108)</f>
        <v/>
      </c>
      <c r="B112" s="58">
        <f>IFERROR(INDEX(Firms!$A$5:$A$1004,MATCH(108,Firms!$R$5:$R$1004,0))&amp;"","")</f>
        <v/>
      </c>
      <c r="C112" s="59">
        <f>IFERROR(IF(INDEX(Firms!$O$5:$O$1004,MATCH(108,Firms!$R$5:$R$1004,0))="","",INDEX(Firms!$O$5:$O$1004,MATCH(108,Firms!$R$5:$R$1004,0))),"")</f>
        <v/>
      </c>
      <c r="D112" s="58">
        <f>IFERROR(INDEX(Firms!$P$5:$P$1004,MATCH(108,Firms!$R$5:$R$1004,0))&amp;"","")</f>
        <v/>
      </c>
      <c r="E112" s="58">
        <f>IFERROR(INDEX(Firms!$C$5:$C$1004,MATCH(108,Firms!$R$5:$R$1004,0))&amp;"","")</f>
        <v/>
      </c>
      <c r="F112" s="57">
        <f>IFERROR(INDEX(Firms!$L$5:$L$1004,MATCH(108,Firms!$R$5:$R$1004,0))&amp;"","")</f>
        <v/>
      </c>
      <c r="G112" s="57">
        <f>IFERROR(INDEX(Firms!$M$5:$M$1004,MATCH(108,Firms!$R$5:$R$1004,0))&amp;"","")</f>
        <v/>
      </c>
      <c r="H112" s="58">
        <f>IFERROR(INDEX(Firms!$Q$5:$Q$1004,MATCH(108,Firms!$R$5:$R$1004,0))&amp;"","")</f>
        <v/>
      </c>
    </row>
    <row r="113">
      <c r="A113" s="57">
        <f>IF(B113="","",109)</f>
        <v/>
      </c>
      <c r="B113" s="58">
        <f>IFERROR(INDEX(Firms!$A$5:$A$1004,MATCH(109,Firms!$R$5:$R$1004,0))&amp;"","")</f>
        <v/>
      </c>
      <c r="C113" s="59">
        <f>IFERROR(IF(INDEX(Firms!$O$5:$O$1004,MATCH(109,Firms!$R$5:$R$1004,0))="","",INDEX(Firms!$O$5:$O$1004,MATCH(109,Firms!$R$5:$R$1004,0))),"")</f>
        <v/>
      </c>
      <c r="D113" s="58">
        <f>IFERROR(INDEX(Firms!$P$5:$P$1004,MATCH(109,Firms!$R$5:$R$1004,0))&amp;"","")</f>
        <v/>
      </c>
      <c r="E113" s="58">
        <f>IFERROR(INDEX(Firms!$C$5:$C$1004,MATCH(109,Firms!$R$5:$R$1004,0))&amp;"","")</f>
        <v/>
      </c>
      <c r="F113" s="57">
        <f>IFERROR(INDEX(Firms!$L$5:$L$1004,MATCH(109,Firms!$R$5:$R$1004,0))&amp;"","")</f>
        <v/>
      </c>
      <c r="G113" s="57">
        <f>IFERROR(INDEX(Firms!$M$5:$M$1004,MATCH(109,Firms!$R$5:$R$1004,0))&amp;"","")</f>
        <v/>
      </c>
      <c r="H113" s="58">
        <f>IFERROR(INDEX(Firms!$Q$5:$Q$1004,MATCH(109,Firms!$R$5:$R$1004,0))&amp;"","")</f>
        <v/>
      </c>
    </row>
    <row r="114">
      <c r="A114" s="57">
        <f>IF(B114="","",110)</f>
        <v/>
      </c>
      <c r="B114" s="58">
        <f>IFERROR(INDEX(Firms!$A$5:$A$1004,MATCH(110,Firms!$R$5:$R$1004,0))&amp;"","")</f>
        <v/>
      </c>
      <c r="C114" s="59">
        <f>IFERROR(IF(INDEX(Firms!$O$5:$O$1004,MATCH(110,Firms!$R$5:$R$1004,0))="","",INDEX(Firms!$O$5:$O$1004,MATCH(110,Firms!$R$5:$R$1004,0))),"")</f>
        <v/>
      </c>
      <c r="D114" s="58">
        <f>IFERROR(INDEX(Firms!$P$5:$P$1004,MATCH(110,Firms!$R$5:$R$1004,0))&amp;"","")</f>
        <v/>
      </c>
      <c r="E114" s="58">
        <f>IFERROR(INDEX(Firms!$C$5:$C$1004,MATCH(110,Firms!$R$5:$R$1004,0))&amp;"","")</f>
        <v/>
      </c>
      <c r="F114" s="57">
        <f>IFERROR(INDEX(Firms!$L$5:$L$1004,MATCH(110,Firms!$R$5:$R$1004,0))&amp;"","")</f>
        <v/>
      </c>
      <c r="G114" s="57">
        <f>IFERROR(INDEX(Firms!$M$5:$M$1004,MATCH(110,Firms!$R$5:$R$1004,0))&amp;"","")</f>
        <v/>
      </c>
      <c r="H114" s="58">
        <f>IFERROR(INDEX(Firms!$Q$5:$Q$1004,MATCH(110,Firms!$R$5:$R$1004,0))&amp;"","")</f>
        <v/>
      </c>
    </row>
    <row r="115">
      <c r="A115" s="57">
        <f>IF(B115="","",111)</f>
        <v/>
      </c>
      <c r="B115" s="58">
        <f>IFERROR(INDEX(Firms!$A$5:$A$1004,MATCH(111,Firms!$R$5:$R$1004,0))&amp;"","")</f>
        <v/>
      </c>
      <c r="C115" s="59">
        <f>IFERROR(IF(INDEX(Firms!$O$5:$O$1004,MATCH(111,Firms!$R$5:$R$1004,0))="","",INDEX(Firms!$O$5:$O$1004,MATCH(111,Firms!$R$5:$R$1004,0))),"")</f>
        <v/>
      </c>
      <c r="D115" s="58">
        <f>IFERROR(INDEX(Firms!$P$5:$P$1004,MATCH(111,Firms!$R$5:$R$1004,0))&amp;"","")</f>
        <v/>
      </c>
      <c r="E115" s="58">
        <f>IFERROR(INDEX(Firms!$C$5:$C$1004,MATCH(111,Firms!$R$5:$R$1004,0))&amp;"","")</f>
        <v/>
      </c>
      <c r="F115" s="57">
        <f>IFERROR(INDEX(Firms!$L$5:$L$1004,MATCH(111,Firms!$R$5:$R$1004,0))&amp;"","")</f>
        <v/>
      </c>
      <c r="G115" s="57">
        <f>IFERROR(INDEX(Firms!$M$5:$M$1004,MATCH(111,Firms!$R$5:$R$1004,0))&amp;"","")</f>
        <v/>
      </c>
      <c r="H115" s="58">
        <f>IFERROR(INDEX(Firms!$Q$5:$Q$1004,MATCH(111,Firms!$R$5:$R$1004,0))&amp;"","")</f>
        <v/>
      </c>
    </row>
    <row r="116">
      <c r="A116" s="57">
        <f>IF(B116="","",112)</f>
        <v/>
      </c>
      <c r="B116" s="58">
        <f>IFERROR(INDEX(Firms!$A$5:$A$1004,MATCH(112,Firms!$R$5:$R$1004,0))&amp;"","")</f>
        <v/>
      </c>
      <c r="C116" s="59">
        <f>IFERROR(IF(INDEX(Firms!$O$5:$O$1004,MATCH(112,Firms!$R$5:$R$1004,0))="","",INDEX(Firms!$O$5:$O$1004,MATCH(112,Firms!$R$5:$R$1004,0))),"")</f>
        <v/>
      </c>
      <c r="D116" s="58">
        <f>IFERROR(INDEX(Firms!$P$5:$P$1004,MATCH(112,Firms!$R$5:$R$1004,0))&amp;"","")</f>
        <v/>
      </c>
      <c r="E116" s="58">
        <f>IFERROR(INDEX(Firms!$C$5:$C$1004,MATCH(112,Firms!$R$5:$R$1004,0))&amp;"","")</f>
        <v/>
      </c>
      <c r="F116" s="57">
        <f>IFERROR(INDEX(Firms!$L$5:$L$1004,MATCH(112,Firms!$R$5:$R$1004,0))&amp;"","")</f>
        <v/>
      </c>
      <c r="G116" s="57">
        <f>IFERROR(INDEX(Firms!$M$5:$M$1004,MATCH(112,Firms!$R$5:$R$1004,0))&amp;"","")</f>
        <v/>
      </c>
      <c r="H116" s="58">
        <f>IFERROR(INDEX(Firms!$Q$5:$Q$1004,MATCH(112,Firms!$R$5:$R$1004,0))&amp;"","")</f>
        <v/>
      </c>
    </row>
    <row r="117">
      <c r="A117" s="57">
        <f>IF(B117="","",113)</f>
        <v/>
      </c>
      <c r="B117" s="58">
        <f>IFERROR(INDEX(Firms!$A$5:$A$1004,MATCH(113,Firms!$R$5:$R$1004,0))&amp;"","")</f>
        <v/>
      </c>
      <c r="C117" s="59">
        <f>IFERROR(IF(INDEX(Firms!$O$5:$O$1004,MATCH(113,Firms!$R$5:$R$1004,0))="","",INDEX(Firms!$O$5:$O$1004,MATCH(113,Firms!$R$5:$R$1004,0))),"")</f>
        <v/>
      </c>
      <c r="D117" s="58">
        <f>IFERROR(INDEX(Firms!$P$5:$P$1004,MATCH(113,Firms!$R$5:$R$1004,0))&amp;"","")</f>
        <v/>
      </c>
      <c r="E117" s="58">
        <f>IFERROR(INDEX(Firms!$C$5:$C$1004,MATCH(113,Firms!$R$5:$R$1004,0))&amp;"","")</f>
        <v/>
      </c>
      <c r="F117" s="57">
        <f>IFERROR(INDEX(Firms!$L$5:$L$1004,MATCH(113,Firms!$R$5:$R$1004,0))&amp;"","")</f>
        <v/>
      </c>
      <c r="G117" s="57">
        <f>IFERROR(INDEX(Firms!$M$5:$M$1004,MATCH(113,Firms!$R$5:$R$1004,0))&amp;"","")</f>
        <v/>
      </c>
      <c r="H117" s="58">
        <f>IFERROR(INDEX(Firms!$Q$5:$Q$1004,MATCH(113,Firms!$R$5:$R$1004,0))&amp;"","")</f>
        <v/>
      </c>
    </row>
    <row r="118">
      <c r="A118" s="57">
        <f>IF(B118="","",114)</f>
        <v/>
      </c>
      <c r="B118" s="58">
        <f>IFERROR(INDEX(Firms!$A$5:$A$1004,MATCH(114,Firms!$R$5:$R$1004,0))&amp;"","")</f>
        <v/>
      </c>
      <c r="C118" s="59">
        <f>IFERROR(IF(INDEX(Firms!$O$5:$O$1004,MATCH(114,Firms!$R$5:$R$1004,0))="","",INDEX(Firms!$O$5:$O$1004,MATCH(114,Firms!$R$5:$R$1004,0))),"")</f>
        <v/>
      </c>
      <c r="D118" s="58">
        <f>IFERROR(INDEX(Firms!$P$5:$P$1004,MATCH(114,Firms!$R$5:$R$1004,0))&amp;"","")</f>
        <v/>
      </c>
      <c r="E118" s="58">
        <f>IFERROR(INDEX(Firms!$C$5:$C$1004,MATCH(114,Firms!$R$5:$R$1004,0))&amp;"","")</f>
        <v/>
      </c>
      <c r="F118" s="57">
        <f>IFERROR(INDEX(Firms!$L$5:$L$1004,MATCH(114,Firms!$R$5:$R$1004,0))&amp;"","")</f>
        <v/>
      </c>
      <c r="G118" s="57">
        <f>IFERROR(INDEX(Firms!$M$5:$M$1004,MATCH(114,Firms!$R$5:$R$1004,0))&amp;"","")</f>
        <v/>
      </c>
      <c r="H118" s="58">
        <f>IFERROR(INDEX(Firms!$Q$5:$Q$1004,MATCH(114,Firms!$R$5:$R$1004,0))&amp;"","")</f>
        <v/>
      </c>
    </row>
    <row r="119">
      <c r="A119" s="57">
        <f>IF(B119="","",115)</f>
        <v/>
      </c>
      <c r="B119" s="58">
        <f>IFERROR(INDEX(Firms!$A$5:$A$1004,MATCH(115,Firms!$R$5:$R$1004,0))&amp;"","")</f>
        <v/>
      </c>
      <c r="C119" s="59">
        <f>IFERROR(IF(INDEX(Firms!$O$5:$O$1004,MATCH(115,Firms!$R$5:$R$1004,0))="","",INDEX(Firms!$O$5:$O$1004,MATCH(115,Firms!$R$5:$R$1004,0))),"")</f>
        <v/>
      </c>
      <c r="D119" s="58">
        <f>IFERROR(INDEX(Firms!$P$5:$P$1004,MATCH(115,Firms!$R$5:$R$1004,0))&amp;"","")</f>
        <v/>
      </c>
      <c r="E119" s="58">
        <f>IFERROR(INDEX(Firms!$C$5:$C$1004,MATCH(115,Firms!$R$5:$R$1004,0))&amp;"","")</f>
        <v/>
      </c>
      <c r="F119" s="57">
        <f>IFERROR(INDEX(Firms!$L$5:$L$1004,MATCH(115,Firms!$R$5:$R$1004,0))&amp;"","")</f>
        <v/>
      </c>
      <c r="G119" s="57">
        <f>IFERROR(INDEX(Firms!$M$5:$M$1004,MATCH(115,Firms!$R$5:$R$1004,0))&amp;"","")</f>
        <v/>
      </c>
      <c r="H119" s="58">
        <f>IFERROR(INDEX(Firms!$Q$5:$Q$1004,MATCH(115,Firms!$R$5:$R$1004,0))&amp;"","")</f>
        <v/>
      </c>
    </row>
    <row r="120">
      <c r="A120" s="57">
        <f>IF(B120="","",116)</f>
        <v/>
      </c>
      <c r="B120" s="58">
        <f>IFERROR(INDEX(Firms!$A$5:$A$1004,MATCH(116,Firms!$R$5:$R$1004,0))&amp;"","")</f>
        <v/>
      </c>
      <c r="C120" s="59">
        <f>IFERROR(IF(INDEX(Firms!$O$5:$O$1004,MATCH(116,Firms!$R$5:$R$1004,0))="","",INDEX(Firms!$O$5:$O$1004,MATCH(116,Firms!$R$5:$R$1004,0))),"")</f>
        <v/>
      </c>
      <c r="D120" s="58">
        <f>IFERROR(INDEX(Firms!$P$5:$P$1004,MATCH(116,Firms!$R$5:$R$1004,0))&amp;"","")</f>
        <v/>
      </c>
      <c r="E120" s="58">
        <f>IFERROR(INDEX(Firms!$C$5:$C$1004,MATCH(116,Firms!$R$5:$R$1004,0))&amp;"","")</f>
        <v/>
      </c>
      <c r="F120" s="57">
        <f>IFERROR(INDEX(Firms!$L$5:$L$1004,MATCH(116,Firms!$R$5:$R$1004,0))&amp;"","")</f>
        <v/>
      </c>
      <c r="G120" s="57">
        <f>IFERROR(INDEX(Firms!$M$5:$M$1004,MATCH(116,Firms!$R$5:$R$1004,0))&amp;"","")</f>
        <v/>
      </c>
      <c r="H120" s="58">
        <f>IFERROR(INDEX(Firms!$Q$5:$Q$1004,MATCH(116,Firms!$R$5:$R$1004,0))&amp;"","")</f>
        <v/>
      </c>
    </row>
    <row r="121">
      <c r="A121" s="57">
        <f>IF(B121="","",117)</f>
        <v/>
      </c>
      <c r="B121" s="58">
        <f>IFERROR(INDEX(Firms!$A$5:$A$1004,MATCH(117,Firms!$R$5:$R$1004,0))&amp;"","")</f>
        <v/>
      </c>
      <c r="C121" s="59">
        <f>IFERROR(IF(INDEX(Firms!$O$5:$O$1004,MATCH(117,Firms!$R$5:$R$1004,0))="","",INDEX(Firms!$O$5:$O$1004,MATCH(117,Firms!$R$5:$R$1004,0))),"")</f>
        <v/>
      </c>
      <c r="D121" s="58">
        <f>IFERROR(INDEX(Firms!$P$5:$P$1004,MATCH(117,Firms!$R$5:$R$1004,0))&amp;"","")</f>
        <v/>
      </c>
      <c r="E121" s="58">
        <f>IFERROR(INDEX(Firms!$C$5:$C$1004,MATCH(117,Firms!$R$5:$R$1004,0))&amp;"","")</f>
        <v/>
      </c>
      <c r="F121" s="57">
        <f>IFERROR(INDEX(Firms!$L$5:$L$1004,MATCH(117,Firms!$R$5:$R$1004,0))&amp;"","")</f>
        <v/>
      </c>
      <c r="G121" s="57">
        <f>IFERROR(INDEX(Firms!$M$5:$M$1004,MATCH(117,Firms!$R$5:$R$1004,0))&amp;"","")</f>
        <v/>
      </c>
      <c r="H121" s="58">
        <f>IFERROR(INDEX(Firms!$Q$5:$Q$1004,MATCH(117,Firms!$R$5:$R$1004,0))&amp;"","")</f>
        <v/>
      </c>
    </row>
    <row r="122">
      <c r="A122" s="57">
        <f>IF(B122="","",118)</f>
        <v/>
      </c>
      <c r="B122" s="58">
        <f>IFERROR(INDEX(Firms!$A$5:$A$1004,MATCH(118,Firms!$R$5:$R$1004,0))&amp;"","")</f>
        <v/>
      </c>
      <c r="C122" s="59">
        <f>IFERROR(IF(INDEX(Firms!$O$5:$O$1004,MATCH(118,Firms!$R$5:$R$1004,0))="","",INDEX(Firms!$O$5:$O$1004,MATCH(118,Firms!$R$5:$R$1004,0))),"")</f>
        <v/>
      </c>
      <c r="D122" s="58">
        <f>IFERROR(INDEX(Firms!$P$5:$P$1004,MATCH(118,Firms!$R$5:$R$1004,0))&amp;"","")</f>
        <v/>
      </c>
      <c r="E122" s="58">
        <f>IFERROR(INDEX(Firms!$C$5:$C$1004,MATCH(118,Firms!$R$5:$R$1004,0))&amp;"","")</f>
        <v/>
      </c>
      <c r="F122" s="57">
        <f>IFERROR(INDEX(Firms!$L$5:$L$1004,MATCH(118,Firms!$R$5:$R$1004,0))&amp;"","")</f>
        <v/>
      </c>
      <c r="G122" s="57">
        <f>IFERROR(INDEX(Firms!$M$5:$M$1004,MATCH(118,Firms!$R$5:$R$1004,0))&amp;"","")</f>
        <v/>
      </c>
      <c r="H122" s="58">
        <f>IFERROR(INDEX(Firms!$Q$5:$Q$1004,MATCH(118,Firms!$R$5:$R$1004,0))&amp;"","")</f>
        <v/>
      </c>
    </row>
    <row r="123">
      <c r="A123" s="57">
        <f>IF(B123="","",119)</f>
        <v/>
      </c>
      <c r="B123" s="58">
        <f>IFERROR(INDEX(Firms!$A$5:$A$1004,MATCH(119,Firms!$R$5:$R$1004,0))&amp;"","")</f>
        <v/>
      </c>
      <c r="C123" s="59">
        <f>IFERROR(IF(INDEX(Firms!$O$5:$O$1004,MATCH(119,Firms!$R$5:$R$1004,0))="","",INDEX(Firms!$O$5:$O$1004,MATCH(119,Firms!$R$5:$R$1004,0))),"")</f>
        <v/>
      </c>
      <c r="D123" s="58">
        <f>IFERROR(INDEX(Firms!$P$5:$P$1004,MATCH(119,Firms!$R$5:$R$1004,0))&amp;"","")</f>
        <v/>
      </c>
      <c r="E123" s="58">
        <f>IFERROR(INDEX(Firms!$C$5:$C$1004,MATCH(119,Firms!$R$5:$R$1004,0))&amp;"","")</f>
        <v/>
      </c>
      <c r="F123" s="57">
        <f>IFERROR(INDEX(Firms!$L$5:$L$1004,MATCH(119,Firms!$R$5:$R$1004,0))&amp;"","")</f>
        <v/>
      </c>
      <c r="G123" s="57">
        <f>IFERROR(INDEX(Firms!$M$5:$M$1004,MATCH(119,Firms!$R$5:$R$1004,0))&amp;"","")</f>
        <v/>
      </c>
      <c r="H123" s="58">
        <f>IFERROR(INDEX(Firms!$Q$5:$Q$1004,MATCH(119,Firms!$R$5:$R$1004,0))&amp;"","")</f>
        <v/>
      </c>
    </row>
    <row r="124">
      <c r="A124" s="57">
        <f>IF(B124="","",120)</f>
        <v/>
      </c>
      <c r="B124" s="58">
        <f>IFERROR(INDEX(Firms!$A$5:$A$1004,MATCH(120,Firms!$R$5:$R$1004,0))&amp;"","")</f>
        <v/>
      </c>
      <c r="C124" s="59">
        <f>IFERROR(IF(INDEX(Firms!$O$5:$O$1004,MATCH(120,Firms!$R$5:$R$1004,0))="","",INDEX(Firms!$O$5:$O$1004,MATCH(120,Firms!$R$5:$R$1004,0))),"")</f>
        <v/>
      </c>
      <c r="D124" s="58">
        <f>IFERROR(INDEX(Firms!$P$5:$P$1004,MATCH(120,Firms!$R$5:$R$1004,0))&amp;"","")</f>
        <v/>
      </c>
      <c r="E124" s="58">
        <f>IFERROR(INDEX(Firms!$C$5:$C$1004,MATCH(120,Firms!$R$5:$R$1004,0))&amp;"","")</f>
        <v/>
      </c>
      <c r="F124" s="57">
        <f>IFERROR(INDEX(Firms!$L$5:$L$1004,MATCH(120,Firms!$R$5:$R$1004,0))&amp;"","")</f>
        <v/>
      </c>
      <c r="G124" s="57">
        <f>IFERROR(INDEX(Firms!$M$5:$M$1004,MATCH(120,Firms!$R$5:$R$1004,0))&amp;"","")</f>
        <v/>
      </c>
      <c r="H124" s="58">
        <f>IFERROR(INDEX(Firms!$Q$5:$Q$1004,MATCH(120,Firms!$R$5:$R$1004,0))&amp;"","")</f>
        <v/>
      </c>
    </row>
    <row r="125">
      <c r="A125" s="57">
        <f>IF(B125="","",121)</f>
        <v/>
      </c>
      <c r="B125" s="58">
        <f>IFERROR(INDEX(Firms!$A$5:$A$1004,MATCH(121,Firms!$R$5:$R$1004,0))&amp;"","")</f>
        <v/>
      </c>
      <c r="C125" s="59">
        <f>IFERROR(IF(INDEX(Firms!$O$5:$O$1004,MATCH(121,Firms!$R$5:$R$1004,0))="","",INDEX(Firms!$O$5:$O$1004,MATCH(121,Firms!$R$5:$R$1004,0))),"")</f>
        <v/>
      </c>
      <c r="D125" s="58">
        <f>IFERROR(INDEX(Firms!$P$5:$P$1004,MATCH(121,Firms!$R$5:$R$1004,0))&amp;"","")</f>
        <v/>
      </c>
      <c r="E125" s="58">
        <f>IFERROR(INDEX(Firms!$C$5:$C$1004,MATCH(121,Firms!$R$5:$R$1004,0))&amp;"","")</f>
        <v/>
      </c>
      <c r="F125" s="57">
        <f>IFERROR(INDEX(Firms!$L$5:$L$1004,MATCH(121,Firms!$R$5:$R$1004,0))&amp;"","")</f>
        <v/>
      </c>
      <c r="G125" s="57">
        <f>IFERROR(INDEX(Firms!$M$5:$M$1004,MATCH(121,Firms!$R$5:$R$1004,0))&amp;"","")</f>
        <v/>
      </c>
      <c r="H125" s="58">
        <f>IFERROR(INDEX(Firms!$Q$5:$Q$1004,MATCH(121,Firms!$R$5:$R$1004,0))&amp;"","")</f>
        <v/>
      </c>
    </row>
    <row r="126">
      <c r="A126" s="57">
        <f>IF(B126="","",122)</f>
        <v/>
      </c>
      <c r="B126" s="58">
        <f>IFERROR(INDEX(Firms!$A$5:$A$1004,MATCH(122,Firms!$R$5:$R$1004,0))&amp;"","")</f>
        <v/>
      </c>
      <c r="C126" s="59">
        <f>IFERROR(IF(INDEX(Firms!$O$5:$O$1004,MATCH(122,Firms!$R$5:$R$1004,0))="","",INDEX(Firms!$O$5:$O$1004,MATCH(122,Firms!$R$5:$R$1004,0))),"")</f>
        <v/>
      </c>
      <c r="D126" s="58">
        <f>IFERROR(INDEX(Firms!$P$5:$P$1004,MATCH(122,Firms!$R$5:$R$1004,0))&amp;"","")</f>
        <v/>
      </c>
      <c r="E126" s="58">
        <f>IFERROR(INDEX(Firms!$C$5:$C$1004,MATCH(122,Firms!$R$5:$R$1004,0))&amp;"","")</f>
        <v/>
      </c>
      <c r="F126" s="57">
        <f>IFERROR(INDEX(Firms!$L$5:$L$1004,MATCH(122,Firms!$R$5:$R$1004,0))&amp;"","")</f>
        <v/>
      </c>
      <c r="G126" s="57">
        <f>IFERROR(INDEX(Firms!$M$5:$M$1004,MATCH(122,Firms!$R$5:$R$1004,0))&amp;"","")</f>
        <v/>
      </c>
      <c r="H126" s="58">
        <f>IFERROR(INDEX(Firms!$Q$5:$Q$1004,MATCH(122,Firms!$R$5:$R$1004,0))&amp;"","")</f>
        <v/>
      </c>
    </row>
    <row r="127">
      <c r="A127" s="57">
        <f>IF(B127="","",123)</f>
        <v/>
      </c>
      <c r="B127" s="58">
        <f>IFERROR(INDEX(Firms!$A$5:$A$1004,MATCH(123,Firms!$R$5:$R$1004,0))&amp;"","")</f>
        <v/>
      </c>
      <c r="C127" s="59">
        <f>IFERROR(IF(INDEX(Firms!$O$5:$O$1004,MATCH(123,Firms!$R$5:$R$1004,0))="","",INDEX(Firms!$O$5:$O$1004,MATCH(123,Firms!$R$5:$R$1004,0))),"")</f>
        <v/>
      </c>
      <c r="D127" s="58">
        <f>IFERROR(INDEX(Firms!$P$5:$P$1004,MATCH(123,Firms!$R$5:$R$1004,0))&amp;"","")</f>
        <v/>
      </c>
      <c r="E127" s="58">
        <f>IFERROR(INDEX(Firms!$C$5:$C$1004,MATCH(123,Firms!$R$5:$R$1004,0))&amp;"","")</f>
        <v/>
      </c>
      <c r="F127" s="57">
        <f>IFERROR(INDEX(Firms!$L$5:$L$1004,MATCH(123,Firms!$R$5:$R$1004,0))&amp;"","")</f>
        <v/>
      </c>
      <c r="G127" s="57">
        <f>IFERROR(INDEX(Firms!$M$5:$M$1004,MATCH(123,Firms!$R$5:$R$1004,0))&amp;"","")</f>
        <v/>
      </c>
      <c r="H127" s="58">
        <f>IFERROR(INDEX(Firms!$Q$5:$Q$1004,MATCH(123,Firms!$R$5:$R$1004,0))&amp;"","")</f>
        <v/>
      </c>
    </row>
    <row r="128">
      <c r="A128" s="57">
        <f>IF(B128="","",124)</f>
        <v/>
      </c>
      <c r="B128" s="58">
        <f>IFERROR(INDEX(Firms!$A$5:$A$1004,MATCH(124,Firms!$R$5:$R$1004,0))&amp;"","")</f>
        <v/>
      </c>
      <c r="C128" s="59">
        <f>IFERROR(IF(INDEX(Firms!$O$5:$O$1004,MATCH(124,Firms!$R$5:$R$1004,0))="","",INDEX(Firms!$O$5:$O$1004,MATCH(124,Firms!$R$5:$R$1004,0))),"")</f>
        <v/>
      </c>
      <c r="D128" s="58">
        <f>IFERROR(INDEX(Firms!$P$5:$P$1004,MATCH(124,Firms!$R$5:$R$1004,0))&amp;"","")</f>
        <v/>
      </c>
      <c r="E128" s="58">
        <f>IFERROR(INDEX(Firms!$C$5:$C$1004,MATCH(124,Firms!$R$5:$R$1004,0))&amp;"","")</f>
        <v/>
      </c>
      <c r="F128" s="57">
        <f>IFERROR(INDEX(Firms!$L$5:$L$1004,MATCH(124,Firms!$R$5:$R$1004,0))&amp;"","")</f>
        <v/>
      </c>
      <c r="G128" s="57">
        <f>IFERROR(INDEX(Firms!$M$5:$M$1004,MATCH(124,Firms!$R$5:$R$1004,0))&amp;"","")</f>
        <v/>
      </c>
      <c r="H128" s="58">
        <f>IFERROR(INDEX(Firms!$Q$5:$Q$1004,MATCH(124,Firms!$R$5:$R$1004,0))&amp;"","")</f>
        <v/>
      </c>
    </row>
    <row r="129">
      <c r="A129" s="57">
        <f>IF(B129="","",125)</f>
        <v/>
      </c>
      <c r="B129" s="58">
        <f>IFERROR(INDEX(Firms!$A$5:$A$1004,MATCH(125,Firms!$R$5:$R$1004,0))&amp;"","")</f>
        <v/>
      </c>
      <c r="C129" s="59">
        <f>IFERROR(IF(INDEX(Firms!$O$5:$O$1004,MATCH(125,Firms!$R$5:$R$1004,0))="","",INDEX(Firms!$O$5:$O$1004,MATCH(125,Firms!$R$5:$R$1004,0))),"")</f>
        <v/>
      </c>
      <c r="D129" s="58">
        <f>IFERROR(INDEX(Firms!$P$5:$P$1004,MATCH(125,Firms!$R$5:$R$1004,0))&amp;"","")</f>
        <v/>
      </c>
      <c r="E129" s="58">
        <f>IFERROR(INDEX(Firms!$C$5:$C$1004,MATCH(125,Firms!$R$5:$R$1004,0))&amp;"","")</f>
        <v/>
      </c>
      <c r="F129" s="57">
        <f>IFERROR(INDEX(Firms!$L$5:$L$1004,MATCH(125,Firms!$R$5:$R$1004,0))&amp;"","")</f>
        <v/>
      </c>
      <c r="G129" s="57">
        <f>IFERROR(INDEX(Firms!$M$5:$M$1004,MATCH(125,Firms!$R$5:$R$1004,0))&amp;"","")</f>
        <v/>
      </c>
      <c r="H129" s="58">
        <f>IFERROR(INDEX(Firms!$Q$5:$Q$1004,MATCH(125,Firms!$R$5:$R$1004,0))&amp;"","")</f>
        <v/>
      </c>
    </row>
    <row r="130">
      <c r="A130" s="57">
        <f>IF(B130="","",126)</f>
        <v/>
      </c>
      <c r="B130" s="58">
        <f>IFERROR(INDEX(Firms!$A$5:$A$1004,MATCH(126,Firms!$R$5:$R$1004,0))&amp;"","")</f>
        <v/>
      </c>
      <c r="C130" s="59">
        <f>IFERROR(IF(INDEX(Firms!$O$5:$O$1004,MATCH(126,Firms!$R$5:$R$1004,0))="","",INDEX(Firms!$O$5:$O$1004,MATCH(126,Firms!$R$5:$R$1004,0))),"")</f>
        <v/>
      </c>
      <c r="D130" s="58">
        <f>IFERROR(INDEX(Firms!$P$5:$P$1004,MATCH(126,Firms!$R$5:$R$1004,0))&amp;"","")</f>
        <v/>
      </c>
      <c r="E130" s="58">
        <f>IFERROR(INDEX(Firms!$C$5:$C$1004,MATCH(126,Firms!$R$5:$R$1004,0))&amp;"","")</f>
        <v/>
      </c>
      <c r="F130" s="57">
        <f>IFERROR(INDEX(Firms!$L$5:$L$1004,MATCH(126,Firms!$R$5:$R$1004,0))&amp;"","")</f>
        <v/>
      </c>
      <c r="G130" s="57">
        <f>IFERROR(INDEX(Firms!$M$5:$M$1004,MATCH(126,Firms!$R$5:$R$1004,0))&amp;"","")</f>
        <v/>
      </c>
      <c r="H130" s="58">
        <f>IFERROR(INDEX(Firms!$Q$5:$Q$1004,MATCH(126,Firms!$R$5:$R$1004,0))&amp;"","")</f>
        <v/>
      </c>
    </row>
    <row r="131">
      <c r="A131" s="57">
        <f>IF(B131="","",127)</f>
        <v/>
      </c>
      <c r="B131" s="58">
        <f>IFERROR(INDEX(Firms!$A$5:$A$1004,MATCH(127,Firms!$R$5:$R$1004,0))&amp;"","")</f>
        <v/>
      </c>
      <c r="C131" s="59">
        <f>IFERROR(IF(INDEX(Firms!$O$5:$O$1004,MATCH(127,Firms!$R$5:$R$1004,0))="","",INDEX(Firms!$O$5:$O$1004,MATCH(127,Firms!$R$5:$R$1004,0))),"")</f>
        <v/>
      </c>
      <c r="D131" s="58">
        <f>IFERROR(INDEX(Firms!$P$5:$P$1004,MATCH(127,Firms!$R$5:$R$1004,0))&amp;"","")</f>
        <v/>
      </c>
      <c r="E131" s="58">
        <f>IFERROR(INDEX(Firms!$C$5:$C$1004,MATCH(127,Firms!$R$5:$R$1004,0))&amp;"","")</f>
        <v/>
      </c>
      <c r="F131" s="57">
        <f>IFERROR(INDEX(Firms!$L$5:$L$1004,MATCH(127,Firms!$R$5:$R$1004,0))&amp;"","")</f>
        <v/>
      </c>
      <c r="G131" s="57">
        <f>IFERROR(INDEX(Firms!$M$5:$M$1004,MATCH(127,Firms!$R$5:$R$1004,0))&amp;"","")</f>
        <v/>
      </c>
      <c r="H131" s="58">
        <f>IFERROR(INDEX(Firms!$Q$5:$Q$1004,MATCH(127,Firms!$R$5:$R$1004,0))&amp;"","")</f>
        <v/>
      </c>
    </row>
    <row r="132">
      <c r="A132" s="57">
        <f>IF(B132="","",128)</f>
        <v/>
      </c>
      <c r="B132" s="58">
        <f>IFERROR(INDEX(Firms!$A$5:$A$1004,MATCH(128,Firms!$R$5:$R$1004,0))&amp;"","")</f>
        <v/>
      </c>
      <c r="C132" s="59">
        <f>IFERROR(IF(INDEX(Firms!$O$5:$O$1004,MATCH(128,Firms!$R$5:$R$1004,0))="","",INDEX(Firms!$O$5:$O$1004,MATCH(128,Firms!$R$5:$R$1004,0))),"")</f>
        <v/>
      </c>
      <c r="D132" s="58">
        <f>IFERROR(INDEX(Firms!$P$5:$P$1004,MATCH(128,Firms!$R$5:$R$1004,0))&amp;"","")</f>
        <v/>
      </c>
      <c r="E132" s="58">
        <f>IFERROR(INDEX(Firms!$C$5:$C$1004,MATCH(128,Firms!$R$5:$R$1004,0))&amp;"","")</f>
        <v/>
      </c>
      <c r="F132" s="57">
        <f>IFERROR(INDEX(Firms!$L$5:$L$1004,MATCH(128,Firms!$R$5:$R$1004,0))&amp;"","")</f>
        <v/>
      </c>
      <c r="G132" s="57">
        <f>IFERROR(INDEX(Firms!$M$5:$M$1004,MATCH(128,Firms!$R$5:$R$1004,0))&amp;"","")</f>
        <v/>
      </c>
      <c r="H132" s="58">
        <f>IFERROR(INDEX(Firms!$Q$5:$Q$1004,MATCH(128,Firms!$R$5:$R$1004,0))&amp;"","")</f>
        <v/>
      </c>
    </row>
    <row r="133">
      <c r="A133" s="57">
        <f>IF(B133="","",129)</f>
        <v/>
      </c>
      <c r="B133" s="58">
        <f>IFERROR(INDEX(Firms!$A$5:$A$1004,MATCH(129,Firms!$R$5:$R$1004,0))&amp;"","")</f>
        <v/>
      </c>
      <c r="C133" s="59">
        <f>IFERROR(IF(INDEX(Firms!$O$5:$O$1004,MATCH(129,Firms!$R$5:$R$1004,0))="","",INDEX(Firms!$O$5:$O$1004,MATCH(129,Firms!$R$5:$R$1004,0))),"")</f>
        <v/>
      </c>
      <c r="D133" s="58">
        <f>IFERROR(INDEX(Firms!$P$5:$P$1004,MATCH(129,Firms!$R$5:$R$1004,0))&amp;"","")</f>
        <v/>
      </c>
      <c r="E133" s="58">
        <f>IFERROR(INDEX(Firms!$C$5:$C$1004,MATCH(129,Firms!$R$5:$R$1004,0))&amp;"","")</f>
        <v/>
      </c>
      <c r="F133" s="57">
        <f>IFERROR(INDEX(Firms!$L$5:$L$1004,MATCH(129,Firms!$R$5:$R$1004,0))&amp;"","")</f>
        <v/>
      </c>
      <c r="G133" s="57">
        <f>IFERROR(INDEX(Firms!$M$5:$M$1004,MATCH(129,Firms!$R$5:$R$1004,0))&amp;"","")</f>
        <v/>
      </c>
      <c r="H133" s="58">
        <f>IFERROR(INDEX(Firms!$Q$5:$Q$1004,MATCH(129,Firms!$R$5:$R$1004,0))&amp;"","")</f>
        <v/>
      </c>
    </row>
    <row r="134">
      <c r="A134" s="57">
        <f>IF(B134="","",130)</f>
        <v/>
      </c>
      <c r="B134" s="58">
        <f>IFERROR(INDEX(Firms!$A$5:$A$1004,MATCH(130,Firms!$R$5:$R$1004,0))&amp;"","")</f>
        <v/>
      </c>
      <c r="C134" s="59">
        <f>IFERROR(IF(INDEX(Firms!$O$5:$O$1004,MATCH(130,Firms!$R$5:$R$1004,0))="","",INDEX(Firms!$O$5:$O$1004,MATCH(130,Firms!$R$5:$R$1004,0))),"")</f>
        <v/>
      </c>
      <c r="D134" s="58">
        <f>IFERROR(INDEX(Firms!$P$5:$P$1004,MATCH(130,Firms!$R$5:$R$1004,0))&amp;"","")</f>
        <v/>
      </c>
      <c r="E134" s="58">
        <f>IFERROR(INDEX(Firms!$C$5:$C$1004,MATCH(130,Firms!$R$5:$R$1004,0))&amp;"","")</f>
        <v/>
      </c>
      <c r="F134" s="57">
        <f>IFERROR(INDEX(Firms!$L$5:$L$1004,MATCH(130,Firms!$R$5:$R$1004,0))&amp;"","")</f>
        <v/>
      </c>
      <c r="G134" s="57">
        <f>IFERROR(INDEX(Firms!$M$5:$M$1004,MATCH(130,Firms!$R$5:$R$1004,0))&amp;"","")</f>
        <v/>
      </c>
      <c r="H134" s="58">
        <f>IFERROR(INDEX(Firms!$Q$5:$Q$1004,MATCH(130,Firms!$R$5:$R$1004,0))&amp;"","")</f>
        <v/>
      </c>
    </row>
    <row r="135">
      <c r="A135" s="57">
        <f>IF(B135="","",131)</f>
        <v/>
      </c>
      <c r="B135" s="58">
        <f>IFERROR(INDEX(Firms!$A$5:$A$1004,MATCH(131,Firms!$R$5:$R$1004,0))&amp;"","")</f>
        <v/>
      </c>
      <c r="C135" s="59">
        <f>IFERROR(IF(INDEX(Firms!$O$5:$O$1004,MATCH(131,Firms!$R$5:$R$1004,0))="","",INDEX(Firms!$O$5:$O$1004,MATCH(131,Firms!$R$5:$R$1004,0))),"")</f>
        <v/>
      </c>
      <c r="D135" s="58">
        <f>IFERROR(INDEX(Firms!$P$5:$P$1004,MATCH(131,Firms!$R$5:$R$1004,0))&amp;"","")</f>
        <v/>
      </c>
      <c r="E135" s="58">
        <f>IFERROR(INDEX(Firms!$C$5:$C$1004,MATCH(131,Firms!$R$5:$R$1004,0))&amp;"","")</f>
        <v/>
      </c>
      <c r="F135" s="57">
        <f>IFERROR(INDEX(Firms!$L$5:$L$1004,MATCH(131,Firms!$R$5:$R$1004,0))&amp;"","")</f>
        <v/>
      </c>
      <c r="G135" s="57">
        <f>IFERROR(INDEX(Firms!$M$5:$M$1004,MATCH(131,Firms!$R$5:$R$1004,0))&amp;"","")</f>
        <v/>
      </c>
      <c r="H135" s="58">
        <f>IFERROR(INDEX(Firms!$Q$5:$Q$1004,MATCH(131,Firms!$R$5:$R$1004,0))&amp;"","")</f>
        <v/>
      </c>
    </row>
    <row r="136">
      <c r="A136" s="57">
        <f>IF(B136="","",132)</f>
        <v/>
      </c>
      <c r="B136" s="58">
        <f>IFERROR(INDEX(Firms!$A$5:$A$1004,MATCH(132,Firms!$R$5:$R$1004,0))&amp;"","")</f>
        <v/>
      </c>
      <c r="C136" s="59">
        <f>IFERROR(IF(INDEX(Firms!$O$5:$O$1004,MATCH(132,Firms!$R$5:$R$1004,0))="","",INDEX(Firms!$O$5:$O$1004,MATCH(132,Firms!$R$5:$R$1004,0))),"")</f>
        <v/>
      </c>
      <c r="D136" s="58">
        <f>IFERROR(INDEX(Firms!$P$5:$P$1004,MATCH(132,Firms!$R$5:$R$1004,0))&amp;"","")</f>
        <v/>
      </c>
      <c r="E136" s="58">
        <f>IFERROR(INDEX(Firms!$C$5:$C$1004,MATCH(132,Firms!$R$5:$R$1004,0))&amp;"","")</f>
        <v/>
      </c>
      <c r="F136" s="57">
        <f>IFERROR(INDEX(Firms!$L$5:$L$1004,MATCH(132,Firms!$R$5:$R$1004,0))&amp;"","")</f>
        <v/>
      </c>
      <c r="G136" s="57">
        <f>IFERROR(INDEX(Firms!$M$5:$M$1004,MATCH(132,Firms!$R$5:$R$1004,0))&amp;"","")</f>
        <v/>
      </c>
      <c r="H136" s="58">
        <f>IFERROR(INDEX(Firms!$Q$5:$Q$1004,MATCH(132,Firms!$R$5:$R$1004,0))&amp;"","")</f>
        <v/>
      </c>
    </row>
    <row r="137">
      <c r="A137" s="57">
        <f>IF(B137="","",133)</f>
        <v/>
      </c>
      <c r="B137" s="58">
        <f>IFERROR(INDEX(Firms!$A$5:$A$1004,MATCH(133,Firms!$R$5:$R$1004,0))&amp;"","")</f>
        <v/>
      </c>
      <c r="C137" s="59">
        <f>IFERROR(IF(INDEX(Firms!$O$5:$O$1004,MATCH(133,Firms!$R$5:$R$1004,0))="","",INDEX(Firms!$O$5:$O$1004,MATCH(133,Firms!$R$5:$R$1004,0))),"")</f>
        <v/>
      </c>
      <c r="D137" s="58">
        <f>IFERROR(INDEX(Firms!$P$5:$P$1004,MATCH(133,Firms!$R$5:$R$1004,0))&amp;"","")</f>
        <v/>
      </c>
      <c r="E137" s="58">
        <f>IFERROR(INDEX(Firms!$C$5:$C$1004,MATCH(133,Firms!$R$5:$R$1004,0))&amp;"","")</f>
        <v/>
      </c>
      <c r="F137" s="57">
        <f>IFERROR(INDEX(Firms!$L$5:$L$1004,MATCH(133,Firms!$R$5:$R$1004,0))&amp;"","")</f>
        <v/>
      </c>
      <c r="G137" s="57">
        <f>IFERROR(INDEX(Firms!$M$5:$M$1004,MATCH(133,Firms!$R$5:$R$1004,0))&amp;"","")</f>
        <v/>
      </c>
      <c r="H137" s="58">
        <f>IFERROR(INDEX(Firms!$Q$5:$Q$1004,MATCH(133,Firms!$R$5:$R$1004,0))&amp;"","")</f>
        <v/>
      </c>
    </row>
    <row r="138">
      <c r="A138" s="57">
        <f>IF(B138="","",134)</f>
        <v/>
      </c>
      <c r="B138" s="58">
        <f>IFERROR(INDEX(Firms!$A$5:$A$1004,MATCH(134,Firms!$R$5:$R$1004,0))&amp;"","")</f>
        <v/>
      </c>
      <c r="C138" s="59">
        <f>IFERROR(IF(INDEX(Firms!$O$5:$O$1004,MATCH(134,Firms!$R$5:$R$1004,0))="","",INDEX(Firms!$O$5:$O$1004,MATCH(134,Firms!$R$5:$R$1004,0))),"")</f>
        <v/>
      </c>
      <c r="D138" s="58">
        <f>IFERROR(INDEX(Firms!$P$5:$P$1004,MATCH(134,Firms!$R$5:$R$1004,0))&amp;"","")</f>
        <v/>
      </c>
      <c r="E138" s="58">
        <f>IFERROR(INDEX(Firms!$C$5:$C$1004,MATCH(134,Firms!$R$5:$R$1004,0))&amp;"","")</f>
        <v/>
      </c>
      <c r="F138" s="57">
        <f>IFERROR(INDEX(Firms!$L$5:$L$1004,MATCH(134,Firms!$R$5:$R$1004,0))&amp;"","")</f>
        <v/>
      </c>
      <c r="G138" s="57">
        <f>IFERROR(INDEX(Firms!$M$5:$M$1004,MATCH(134,Firms!$R$5:$R$1004,0))&amp;"","")</f>
        <v/>
      </c>
      <c r="H138" s="58">
        <f>IFERROR(INDEX(Firms!$Q$5:$Q$1004,MATCH(134,Firms!$R$5:$R$1004,0))&amp;"","")</f>
        <v/>
      </c>
    </row>
    <row r="139">
      <c r="A139" s="57">
        <f>IF(B139="","",135)</f>
        <v/>
      </c>
      <c r="B139" s="58">
        <f>IFERROR(INDEX(Firms!$A$5:$A$1004,MATCH(135,Firms!$R$5:$R$1004,0))&amp;"","")</f>
        <v/>
      </c>
      <c r="C139" s="59">
        <f>IFERROR(IF(INDEX(Firms!$O$5:$O$1004,MATCH(135,Firms!$R$5:$R$1004,0))="","",INDEX(Firms!$O$5:$O$1004,MATCH(135,Firms!$R$5:$R$1004,0))),"")</f>
        <v/>
      </c>
      <c r="D139" s="58">
        <f>IFERROR(INDEX(Firms!$P$5:$P$1004,MATCH(135,Firms!$R$5:$R$1004,0))&amp;"","")</f>
        <v/>
      </c>
      <c r="E139" s="58">
        <f>IFERROR(INDEX(Firms!$C$5:$C$1004,MATCH(135,Firms!$R$5:$R$1004,0))&amp;"","")</f>
        <v/>
      </c>
      <c r="F139" s="57">
        <f>IFERROR(INDEX(Firms!$L$5:$L$1004,MATCH(135,Firms!$R$5:$R$1004,0))&amp;"","")</f>
        <v/>
      </c>
      <c r="G139" s="57">
        <f>IFERROR(INDEX(Firms!$M$5:$M$1004,MATCH(135,Firms!$R$5:$R$1004,0))&amp;"","")</f>
        <v/>
      </c>
      <c r="H139" s="58">
        <f>IFERROR(INDEX(Firms!$Q$5:$Q$1004,MATCH(135,Firms!$R$5:$R$1004,0))&amp;"","")</f>
        <v/>
      </c>
    </row>
    <row r="140">
      <c r="A140" s="57">
        <f>IF(B140="","",136)</f>
        <v/>
      </c>
      <c r="B140" s="58">
        <f>IFERROR(INDEX(Firms!$A$5:$A$1004,MATCH(136,Firms!$R$5:$R$1004,0))&amp;"","")</f>
        <v/>
      </c>
      <c r="C140" s="59">
        <f>IFERROR(IF(INDEX(Firms!$O$5:$O$1004,MATCH(136,Firms!$R$5:$R$1004,0))="","",INDEX(Firms!$O$5:$O$1004,MATCH(136,Firms!$R$5:$R$1004,0))),"")</f>
        <v/>
      </c>
      <c r="D140" s="58">
        <f>IFERROR(INDEX(Firms!$P$5:$P$1004,MATCH(136,Firms!$R$5:$R$1004,0))&amp;"","")</f>
        <v/>
      </c>
      <c r="E140" s="58">
        <f>IFERROR(INDEX(Firms!$C$5:$C$1004,MATCH(136,Firms!$R$5:$R$1004,0))&amp;"","")</f>
        <v/>
      </c>
      <c r="F140" s="57">
        <f>IFERROR(INDEX(Firms!$L$5:$L$1004,MATCH(136,Firms!$R$5:$R$1004,0))&amp;"","")</f>
        <v/>
      </c>
      <c r="G140" s="57">
        <f>IFERROR(INDEX(Firms!$M$5:$M$1004,MATCH(136,Firms!$R$5:$R$1004,0))&amp;"","")</f>
        <v/>
      </c>
      <c r="H140" s="58">
        <f>IFERROR(INDEX(Firms!$Q$5:$Q$1004,MATCH(136,Firms!$R$5:$R$1004,0))&amp;"","")</f>
        <v/>
      </c>
    </row>
    <row r="141">
      <c r="A141" s="57">
        <f>IF(B141="","",137)</f>
        <v/>
      </c>
      <c r="B141" s="58">
        <f>IFERROR(INDEX(Firms!$A$5:$A$1004,MATCH(137,Firms!$R$5:$R$1004,0))&amp;"","")</f>
        <v/>
      </c>
      <c r="C141" s="59">
        <f>IFERROR(IF(INDEX(Firms!$O$5:$O$1004,MATCH(137,Firms!$R$5:$R$1004,0))="","",INDEX(Firms!$O$5:$O$1004,MATCH(137,Firms!$R$5:$R$1004,0))),"")</f>
        <v/>
      </c>
      <c r="D141" s="58">
        <f>IFERROR(INDEX(Firms!$P$5:$P$1004,MATCH(137,Firms!$R$5:$R$1004,0))&amp;"","")</f>
        <v/>
      </c>
      <c r="E141" s="58">
        <f>IFERROR(INDEX(Firms!$C$5:$C$1004,MATCH(137,Firms!$R$5:$R$1004,0))&amp;"","")</f>
        <v/>
      </c>
      <c r="F141" s="57">
        <f>IFERROR(INDEX(Firms!$L$5:$L$1004,MATCH(137,Firms!$R$5:$R$1004,0))&amp;"","")</f>
        <v/>
      </c>
      <c r="G141" s="57">
        <f>IFERROR(INDEX(Firms!$M$5:$M$1004,MATCH(137,Firms!$R$5:$R$1004,0))&amp;"","")</f>
        <v/>
      </c>
      <c r="H141" s="58">
        <f>IFERROR(INDEX(Firms!$Q$5:$Q$1004,MATCH(137,Firms!$R$5:$R$1004,0))&amp;"","")</f>
        <v/>
      </c>
    </row>
    <row r="142">
      <c r="A142" s="57">
        <f>IF(B142="","",138)</f>
        <v/>
      </c>
      <c r="B142" s="58">
        <f>IFERROR(INDEX(Firms!$A$5:$A$1004,MATCH(138,Firms!$R$5:$R$1004,0))&amp;"","")</f>
        <v/>
      </c>
      <c r="C142" s="59">
        <f>IFERROR(IF(INDEX(Firms!$O$5:$O$1004,MATCH(138,Firms!$R$5:$R$1004,0))="","",INDEX(Firms!$O$5:$O$1004,MATCH(138,Firms!$R$5:$R$1004,0))),"")</f>
        <v/>
      </c>
      <c r="D142" s="58">
        <f>IFERROR(INDEX(Firms!$P$5:$P$1004,MATCH(138,Firms!$R$5:$R$1004,0))&amp;"","")</f>
        <v/>
      </c>
      <c r="E142" s="58">
        <f>IFERROR(INDEX(Firms!$C$5:$C$1004,MATCH(138,Firms!$R$5:$R$1004,0))&amp;"","")</f>
        <v/>
      </c>
      <c r="F142" s="57">
        <f>IFERROR(INDEX(Firms!$L$5:$L$1004,MATCH(138,Firms!$R$5:$R$1004,0))&amp;"","")</f>
        <v/>
      </c>
      <c r="G142" s="57">
        <f>IFERROR(INDEX(Firms!$M$5:$M$1004,MATCH(138,Firms!$R$5:$R$1004,0))&amp;"","")</f>
        <v/>
      </c>
      <c r="H142" s="58">
        <f>IFERROR(INDEX(Firms!$Q$5:$Q$1004,MATCH(138,Firms!$R$5:$R$1004,0))&amp;"","")</f>
        <v/>
      </c>
    </row>
    <row r="143">
      <c r="A143" s="57">
        <f>IF(B143="","",139)</f>
        <v/>
      </c>
      <c r="B143" s="58">
        <f>IFERROR(INDEX(Firms!$A$5:$A$1004,MATCH(139,Firms!$R$5:$R$1004,0))&amp;"","")</f>
        <v/>
      </c>
      <c r="C143" s="59">
        <f>IFERROR(IF(INDEX(Firms!$O$5:$O$1004,MATCH(139,Firms!$R$5:$R$1004,0))="","",INDEX(Firms!$O$5:$O$1004,MATCH(139,Firms!$R$5:$R$1004,0))),"")</f>
        <v/>
      </c>
      <c r="D143" s="58">
        <f>IFERROR(INDEX(Firms!$P$5:$P$1004,MATCH(139,Firms!$R$5:$R$1004,0))&amp;"","")</f>
        <v/>
      </c>
      <c r="E143" s="58">
        <f>IFERROR(INDEX(Firms!$C$5:$C$1004,MATCH(139,Firms!$R$5:$R$1004,0))&amp;"","")</f>
        <v/>
      </c>
      <c r="F143" s="57">
        <f>IFERROR(INDEX(Firms!$L$5:$L$1004,MATCH(139,Firms!$R$5:$R$1004,0))&amp;"","")</f>
        <v/>
      </c>
      <c r="G143" s="57">
        <f>IFERROR(INDEX(Firms!$M$5:$M$1004,MATCH(139,Firms!$R$5:$R$1004,0))&amp;"","")</f>
        <v/>
      </c>
      <c r="H143" s="58">
        <f>IFERROR(INDEX(Firms!$Q$5:$Q$1004,MATCH(139,Firms!$R$5:$R$1004,0))&amp;"","")</f>
        <v/>
      </c>
    </row>
    <row r="144">
      <c r="A144" s="57">
        <f>IF(B144="","",140)</f>
        <v/>
      </c>
      <c r="B144" s="58">
        <f>IFERROR(INDEX(Firms!$A$5:$A$1004,MATCH(140,Firms!$R$5:$R$1004,0))&amp;"","")</f>
        <v/>
      </c>
      <c r="C144" s="59">
        <f>IFERROR(IF(INDEX(Firms!$O$5:$O$1004,MATCH(140,Firms!$R$5:$R$1004,0))="","",INDEX(Firms!$O$5:$O$1004,MATCH(140,Firms!$R$5:$R$1004,0))),"")</f>
        <v/>
      </c>
      <c r="D144" s="58">
        <f>IFERROR(INDEX(Firms!$P$5:$P$1004,MATCH(140,Firms!$R$5:$R$1004,0))&amp;"","")</f>
        <v/>
      </c>
      <c r="E144" s="58">
        <f>IFERROR(INDEX(Firms!$C$5:$C$1004,MATCH(140,Firms!$R$5:$R$1004,0))&amp;"","")</f>
        <v/>
      </c>
      <c r="F144" s="57">
        <f>IFERROR(INDEX(Firms!$L$5:$L$1004,MATCH(140,Firms!$R$5:$R$1004,0))&amp;"","")</f>
        <v/>
      </c>
      <c r="G144" s="57">
        <f>IFERROR(INDEX(Firms!$M$5:$M$1004,MATCH(140,Firms!$R$5:$R$1004,0))&amp;"","")</f>
        <v/>
      </c>
      <c r="H144" s="58">
        <f>IFERROR(INDEX(Firms!$Q$5:$Q$1004,MATCH(140,Firms!$R$5:$R$1004,0))&amp;"","")</f>
        <v/>
      </c>
    </row>
    <row r="145">
      <c r="A145" s="57">
        <f>IF(B145="","",141)</f>
        <v/>
      </c>
      <c r="B145" s="58">
        <f>IFERROR(INDEX(Firms!$A$5:$A$1004,MATCH(141,Firms!$R$5:$R$1004,0))&amp;"","")</f>
        <v/>
      </c>
      <c r="C145" s="59">
        <f>IFERROR(IF(INDEX(Firms!$O$5:$O$1004,MATCH(141,Firms!$R$5:$R$1004,0))="","",INDEX(Firms!$O$5:$O$1004,MATCH(141,Firms!$R$5:$R$1004,0))),"")</f>
        <v/>
      </c>
      <c r="D145" s="58">
        <f>IFERROR(INDEX(Firms!$P$5:$P$1004,MATCH(141,Firms!$R$5:$R$1004,0))&amp;"","")</f>
        <v/>
      </c>
      <c r="E145" s="58">
        <f>IFERROR(INDEX(Firms!$C$5:$C$1004,MATCH(141,Firms!$R$5:$R$1004,0))&amp;"","")</f>
        <v/>
      </c>
      <c r="F145" s="57">
        <f>IFERROR(INDEX(Firms!$L$5:$L$1004,MATCH(141,Firms!$R$5:$R$1004,0))&amp;"","")</f>
        <v/>
      </c>
      <c r="G145" s="57">
        <f>IFERROR(INDEX(Firms!$M$5:$M$1004,MATCH(141,Firms!$R$5:$R$1004,0))&amp;"","")</f>
        <v/>
      </c>
      <c r="H145" s="58">
        <f>IFERROR(INDEX(Firms!$Q$5:$Q$1004,MATCH(141,Firms!$R$5:$R$1004,0))&amp;"","")</f>
        <v/>
      </c>
    </row>
    <row r="146">
      <c r="A146" s="57">
        <f>IF(B146="","",142)</f>
        <v/>
      </c>
      <c r="B146" s="58">
        <f>IFERROR(INDEX(Firms!$A$5:$A$1004,MATCH(142,Firms!$R$5:$R$1004,0))&amp;"","")</f>
        <v/>
      </c>
      <c r="C146" s="59">
        <f>IFERROR(IF(INDEX(Firms!$O$5:$O$1004,MATCH(142,Firms!$R$5:$R$1004,0))="","",INDEX(Firms!$O$5:$O$1004,MATCH(142,Firms!$R$5:$R$1004,0))),"")</f>
        <v/>
      </c>
      <c r="D146" s="58">
        <f>IFERROR(INDEX(Firms!$P$5:$P$1004,MATCH(142,Firms!$R$5:$R$1004,0))&amp;"","")</f>
        <v/>
      </c>
      <c r="E146" s="58">
        <f>IFERROR(INDEX(Firms!$C$5:$C$1004,MATCH(142,Firms!$R$5:$R$1004,0))&amp;"","")</f>
        <v/>
      </c>
      <c r="F146" s="57">
        <f>IFERROR(INDEX(Firms!$L$5:$L$1004,MATCH(142,Firms!$R$5:$R$1004,0))&amp;"","")</f>
        <v/>
      </c>
      <c r="G146" s="57">
        <f>IFERROR(INDEX(Firms!$M$5:$M$1004,MATCH(142,Firms!$R$5:$R$1004,0))&amp;"","")</f>
        <v/>
      </c>
      <c r="H146" s="58">
        <f>IFERROR(INDEX(Firms!$Q$5:$Q$1004,MATCH(142,Firms!$R$5:$R$1004,0))&amp;"","")</f>
        <v/>
      </c>
    </row>
    <row r="147">
      <c r="A147" s="57">
        <f>IF(B147="","",143)</f>
        <v/>
      </c>
      <c r="B147" s="58">
        <f>IFERROR(INDEX(Firms!$A$5:$A$1004,MATCH(143,Firms!$R$5:$R$1004,0))&amp;"","")</f>
        <v/>
      </c>
      <c r="C147" s="59">
        <f>IFERROR(IF(INDEX(Firms!$O$5:$O$1004,MATCH(143,Firms!$R$5:$R$1004,0))="","",INDEX(Firms!$O$5:$O$1004,MATCH(143,Firms!$R$5:$R$1004,0))),"")</f>
        <v/>
      </c>
      <c r="D147" s="58">
        <f>IFERROR(INDEX(Firms!$P$5:$P$1004,MATCH(143,Firms!$R$5:$R$1004,0))&amp;"","")</f>
        <v/>
      </c>
      <c r="E147" s="58">
        <f>IFERROR(INDEX(Firms!$C$5:$C$1004,MATCH(143,Firms!$R$5:$R$1004,0))&amp;"","")</f>
        <v/>
      </c>
      <c r="F147" s="57">
        <f>IFERROR(INDEX(Firms!$L$5:$L$1004,MATCH(143,Firms!$R$5:$R$1004,0))&amp;"","")</f>
        <v/>
      </c>
      <c r="G147" s="57">
        <f>IFERROR(INDEX(Firms!$M$5:$M$1004,MATCH(143,Firms!$R$5:$R$1004,0))&amp;"","")</f>
        <v/>
      </c>
      <c r="H147" s="58">
        <f>IFERROR(INDEX(Firms!$Q$5:$Q$1004,MATCH(143,Firms!$R$5:$R$1004,0))&amp;"","")</f>
        <v/>
      </c>
    </row>
    <row r="148">
      <c r="A148" s="57">
        <f>IF(B148="","",144)</f>
        <v/>
      </c>
      <c r="B148" s="58">
        <f>IFERROR(INDEX(Firms!$A$5:$A$1004,MATCH(144,Firms!$R$5:$R$1004,0))&amp;"","")</f>
        <v/>
      </c>
      <c r="C148" s="59">
        <f>IFERROR(IF(INDEX(Firms!$O$5:$O$1004,MATCH(144,Firms!$R$5:$R$1004,0))="","",INDEX(Firms!$O$5:$O$1004,MATCH(144,Firms!$R$5:$R$1004,0))),"")</f>
        <v/>
      </c>
      <c r="D148" s="58">
        <f>IFERROR(INDEX(Firms!$P$5:$P$1004,MATCH(144,Firms!$R$5:$R$1004,0))&amp;"","")</f>
        <v/>
      </c>
      <c r="E148" s="58">
        <f>IFERROR(INDEX(Firms!$C$5:$C$1004,MATCH(144,Firms!$R$5:$R$1004,0))&amp;"","")</f>
        <v/>
      </c>
      <c r="F148" s="57">
        <f>IFERROR(INDEX(Firms!$L$5:$L$1004,MATCH(144,Firms!$R$5:$R$1004,0))&amp;"","")</f>
        <v/>
      </c>
      <c r="G148" s="57">
        <f>IFERROR(INDEX(Firms!$M$5:$M$1004,MATCH(144,Firms!$R$5:$R$1004,0))&amp;"","")</f>
        <v/>
      </c>
      <c r="H148" s="58">
        <f>IFERROR(INDEX(Firms!$Q$5:$Q$1004,MATCH(144,Firms!$R$5:$R$1004,0))&amp;"","")</f>
        <v/>
      </c>
    </row>
    <row r="149">
      <c r="A149" s="57">
        <f>IF(B149="","",145)</f>
        <v/>
      </c>
      <c r="B149" s="58">
        <f>IFERROR(INDEX(Firms!$A$5:$A$1004,MATCH(145,Firms!$R$5:$R$1004,0))&amp;"","")</f>
        <v/>
      </c>
      <c r="C149" s="59">
        <f>IFERROR(IF(INDEX(Firms!$O$5:$O$1004,MATCH(145,Firms!$R$5:$R$1004,0))="","",INDEX(Firms!$O$5:$O$1004,MATCH(145,Firms!$R$5:$R$1004,0))),"")</f>
        <v/>
      </c>
      <c r="D149" s="58">
        <f>IFERROR(INDEX(Firms!$P$5:$P$1004,MATCH(145,Firms!$R$5:$R$1004,0))&amp;"","")</f>
        <v/>
      </c>
      <c r="E149" s="58">
        <f>IFERROR(INDEX(Firms!$C$5:$C$1004,MATCH(145,Firms!$R$5:$R$1004,0))&amp;"","")</f>
        <v/>
      </c>
      <c r="F149" s="57">
        <f>IFERROR(INDEX(Firms!$L$5:$L$1004,MATCH(145,Firms!$R$5:$R$1004,0))&amp;"","")</f>
        <v/>
      </c>
      <c r="G149" s="57">
        <f>IFERROR(INDEX(Firms!$M$5:$M$1004,MATCH(145,Firms!$R$5:$R$1004,0))&amp;"","")</f>
        <v/>
      </c>
      <c r="H149" s="58">
        <f>IFERROR(INDEX(Firms!$Q$5:$Q$1004,MATCH(145,Firms!$R$5:$R$1004,0))&amp;"","")</f>
        <v/>
      </c>
    </row>
    <row r="150">
      <c r="A150" s="57">
        <f>IF(B150="","",146)</f>
        <v/>
      </c>
      <c r="B150" s="58">
        <f>IFERROR(INDEX(Firms!$A$5:$A$1004,MATCH(146,Firms!$R$5:$R$1004,0))&amp;"","")</f>
        <v/>
      </c>
      <c r="C150" s="59">
        <f>IFERROR(IF(INDEX(Firms!$O$5:$O$1004,MATCH(146,Firms!$R$5:$R$1004,0))="","",INDEX(Firms!$O$5:$O$1004,MATCH(146,Firms!$R$5:$R$1004,0))),"")</f>
        <v/>
      </c>
      <c r="D150" s="58">
        <f>IFERROR(INDEX(Firms!$P$5:$P$1004,MATCH(146,Firms!$R$5:$R$1004,0))&amp;"","")</f>
        <v/>
      </c>
      <c r="E150" s="58">
        <f>IFERROR(INDEX(Firms!$C$5:$C$1004,MATCH(146,Firms!$R$5:$R$1004,0))&amp;"","")</f>
        <v/>
      </c>
      <c r="F150" s="57">
        <f>IFERROR(INDEX(Firms!$L$5:$L$1004,MATCH(146,Firms!$R$5:$R$1004,0))&amp;"","")</f>
        <v/>
      </c>
      <c r="G150" s="57">
        <f>IFERROR(INDEX(Firms!$M$5:$M$1004,MATCH(146,Firms!$R$5:$R$1004,0))&amp;"","")</f>
        <v/>
      </c>
      <c r="H150" s="58">
        <f>IFERROR(INDEX(Firms!$Q$5:$Q$1004,MATCH(146,Firms!$R$5:$R$1004,0))&amp;"","")</f>
        <v/>
      </c>
    </row>
    <row r="151">
      <c r="A151" s="57">
        <f>IF(B151="","",147)</f>
        <v/>
      </c>
      <c r="B151" s="58">
        <f>IFERROR(INDEX(Firms!$A$5:$A$1004,MATCH(147,Firms!$R$5:$R$1004,0))&amp;"","")</f>
        <v/>
      </c>
      <c r="C151" s="59">
        <f>IFERROR(IF(INDEX(Firms!$O$5:$O$1004,MATCH(147,Firms!$R$5:$R$1004,0))="","",INDEX(Firms!$O$5:$O$1004,MATCH(147,Firms!$R$5:$R$1004,0))),"")</f>
        <v/>
      </c>
      <c r="D151" s="58">
        <f>IFERROR(INDEX(Firms!$P$5:$P$1004,MATCH(147,Firms!$R$5:$R$1004,0))&amp;"","")</f>
        <v/>
      </c>
      <c r="E151" s="58">
        <f>IFERROR(INDEX(Firms!$C$5:$C$1004,MATCH(147,Firms!$R$5:$R$1004,0))&amp;"","")</f>
        <v/>
      </c>
      <c r="F151" s="57">
        <f>IFERROR(INDEX(Firms!$L$5:$L$1004,MATCH(147,Firms!$R$5:$R$1004,0))&amp;"","")</f>
        <v/>
      </c>
      <c r="G151" s="57">
        <f>IFERROR(INDEX(Firms!$M$5:$M$1004,MATCH(147,Firms!$R$5:$R$1004,0))&amp;"","")</f>
        <v/>
      </c>
      <c r="H151" s="58">
        <f>IFERROR(INDEX(Firms!$Q$5:$Q$1004,MATCH(147,Firms!$R$5:$R$1004,0))&amp;"","")</f>
        <v/>
      </c>
    </row>
    <row r="152">
      <c r="A152" s="57">
        <f>IF(B152="","",148)</f>
        <v/>
      </c>
      <c r="B152" s="58">
        <f>IFERROR(INDEX(Firms!$A$5:$A$1004,MATCH(148,Firms!$R$5:$R$1004,0))&amp;"","")</f>
        <v/>
      </c>
      <c r="C152" s="59">
        <f>IFERROR(IF(INDEX(Firms!$O$5:$O$1004,MATCH(148,Firms!$R$5:$R$1004,0))="","",INDEX(Firms!$O$5:$O$1004,MATCH(148,Firms!$R$5:$R$1004,0))),"")</f>
        <v/>
      </c>
      <c r="D152" s="58">
        <f>IFERROR(INDEX(Firms!$P$5:$P$1004,MATCH(148,Firms!$R$5:$R$1004,0))&amp;"","")</f>
        <v/>
      </c>
      <c r="E152" s="58">
        <f>IFERROR(INDEX(Firms!$C$5:$C$1004,MATCH(148,Firms!$R$5:$R$1004,0))&amp;"","")</f>
        <v/>
      </c>
      <c r="F152" s="57">
        <f>IFERROR(INDEX(Firms!$L$5:$L$1004,MATCH(148,Firms!$R$5:$R$1004,0))&amp;"","")</f>
        <v/>
      </c>
      <c r="G152" s="57">
        <f>IFERROR(INDEX(Firms!$M$5:$M$1004,MATCH(148,Firms!$R$5:$R$1004,0))&amp;"","")</f>
        <v/>
      </c>
      <c r="H152" s="58">
        <f>IFERROR(INDEX(Firms!$Q$5:$Q$1004,MATCH(148,Firms!$R$5:$R$1004,0))&amp;"","")</f>
        <v/>
      </c>
    </row>
    <row r="153">
      <c r="A153" s="57">
        <f>IF(B153="","",149)</f>
        <v/>
      </c>
      <c r="B153" s="58">
        <f>IFERROR(INDEX(Firms!$A$5:$A$1004,MATCH(149,Firms!$R$5:$R$1004,0))&amp;"","")</f>
        <v/>
      </c>
      <c r="C153" s="59">
        <f>IFERROR(IF(INDEX(Firms!$O$5:$O$1004,MATCH(149,Firms!$R$5:$R$1004,0))="","",INDEX(Firms!$O$5:$O$1004,MATCH(149,Firms!$R$5:$R$1004,0))),"")</f>
        <v/>
      </c>
      <c r="D153" s="58">
        <f>IFERROR(INDEX(Firms!$P$5:$P$1004,MATCH(149,Firms!$R$5:$R$1004,0))&amp;"","")</f>
        <v/>
      </c>
      <c r="E153" s="58">
        <f>IFERROR(INDEX(Firms!$C$5:$C$1004,MATCH(149,Firms!$R$5:$R$1004,0))&amp;"","")</f>
        <v/>
      </c>
      <c r="F153" s="57">
        <f>IFERROR(INDEX(Firms!$L$5:$L$1004,MATCH(149,Firms!$R$5:$R$1004,0))&amp;"","")</f>
        <v/>
      </c>
      <c r="G153" s="57">
        <f>IFERROR(INDEX(Firms!$M$5:$M$1004,MATCH(149,Firms!$R$5:$R$1004,0))&amp;"","")</f>
        <v/>
      </c>
      <c r="H153" s="58">
        <f>IFERROR(INDEX(Firms!$Q$5:$Q$1004,MATCH(149,Firms!$R$5:$R$1004,0))&amp;"","")</f>
        <v/>
      </c>
    </row>
    <row r="154">
      <c r="A154" s="57">
        <f>IF(B154="","",150)</f>
        <v/>
      </c>
      <c r="B154" s="58">
        <f>IFERROR(INDEX(Firms!$A$5:$A$1004,MATCH(150,Firms!$R$5:$R$1004,0))&amp;"","")</f>
        <v/>
      </c>
      <c r="C154" s="59">
        <f>IFERROR(IF(INDEX(Firms!$O$5:$O$1004,MATCH(150,Firms!$R$5:$R$1004,0))="","",INDEX(Firms!$O$5:$O$1004,MATCH(150,Firms!$R$5:$R$1004,0))),"")</f>
        <v/>
      </c>
      <c r="D154" s="58">
        <f>IFERROR(INDEX(Firms!$P$5:$P$1004,MATCH(150,Firms!$R$5:$R$1004,0))&amp;"","")</f>
        <v/>
      </c>
      <c r="E154" s="58">
        <f>IFERROR(INDEX(Firms!$C$5:$C$1004,MATCH(150,Firms!$R$5:$R$1004,0))&amp;"","")</f>
        <v/>
      </c>
      <c r="F154" s="57">
        <f>IFERROR(INDEX(Firms!$L$5:$L$1004,MATCH(150,Firms!$R$5:$R$1004,0))&amp;"","")</f>
        <v/>
      </c>
      <c r="G154" s="57">
        <f>IFERROR(INDEX(Firms!$M$5:$M$1004,MATCH(150,Firms!$R$5:$R$1004,0))&amp;"","")</f>
        <v/>
      </c>
      <c r="H154" s="58">
        <f>IFERROR(INDEX(Firms!$Q$5:$Q$1004,MATCH(150,Firms!$R$5:$R$1004,0))&amp;"","")</f>
        <v/>
      </c>
    </row>
    <row r="155">
      <c r="A155" s="57">
        <f>IF(B155="","",151)</f>
        <v/>
      </c>
      <c r="B155" s="58">
        <f>IFERROR(INDEX(Firms!$A$5:$A$1004,MATCH(151,Firms!$R$5:$R$1004,0))&amp;"","")</f>
        <v/>
      </c>
      <c r="C155" s="59">
        <f>IFERROR(IF(INDEX(Firms!$O$5:$O$1004,MATCH(151,Firms!$R$5:$R$1004,0))="","",INDEX(Firms!$O$5:$O$1004,MATCH(151,Firms!$R$5:$R$1004,0))),"")</f>
        <v/>
      </c>
      <c r="D155" s="58">
        <f>IFERROR(INDEX(Firms!$P$5:$P$1004,MATCH(151,Firms!$R$5:$R$1004,0))&amp;"","")</f>
        <v/>
      </c>
      <c r="E155" s="58">
        <f>IFERROR(INDEX(Firms!$C$5:$C$1004,MATCH(151,Firms!$R$5:$R$1004,0))&amp;"","")</f>
        <v/>
      </c>
      <c r="F155" s="57">
        <f>IFERROR(INDEX(Firms!$L$5:$L$1004,MATCH(151,Firms!$R$5:$R$1004,0))&amp;"","")</f>
        <v/>
      </c>
      <c r="G155" s="57">
        <f>IFERROR(INDEX(Firms!$M$5:$M$1004,MATCH(151,Firms!$R$5:$R$1004,0))&amp;"","")</f>
        <v/>
      </c>
      <c r="H155" s="58">
        <f>IFERROR(INDEX(Firms!$Q$5:$Q$1004,MATCH(151,Firms!$R$5:$R$1004,0))&amp;"","")</f>
        <v/>
      </c>
    </row>
    <row r="156">
      <c r="A156" s="57">
        <f>IF(B156="","",152)</f>
        <v/>
      </c>
      <c r="B156" s="58">
        <f>IFERROR(INDEX(Firms!$A$5:$A$1004,MATCH(152,Firms!$R$5:$R$1004,0))&amp;"","")</f>
        <v/>
      </c>
      <c r="C156" s="59">
        <f>IFERROR(IF(INDEX(Firms!$O$5:$O$1004,MATCH(152,Firms!$R$5:$R$1004,0))="","",INDEX(Firms!$O$5:$O$1004,MATCH(152,Firms!$R$5:$R$1004,0))),"")</f>
        <v/>
      </c>
      <c r="D156" s="58">
        <f>IFERROR(INDEX(Firms!$P$5:$P$1004,MATCH(152,Firms!$R$5:$R$1004,0))&amp;"","")</f>
        <v/>
      </c>
      <c r="E156" s="58">
        <f>IFERROR(INDEX(Firms!$C$5:$C$1004,MATCH(152,Firms!$R$5:$R$1004,0))&amp;"","")</f>
        <v/>
      </c>
      <c r="F156" s="57">
        <f>IFERROR(INDEX(Firms!$L$5:$L$1004,MATCH(152,Firms!$R$5:$R$1004,0))&amp;"","")</f>
        <v/>
      </c>
      <c r="G156" s="57">
        <f>IFERROR(INDEX(Firms!$M$5:$M$1004,MATCH(152,Firms!$R$5:$R$1004,0))&amp;"","")</f>
        <v/>
      </c>
      <c r="H156" s="58">
        <f>IFERROR(INDEX(Firms!$Q$5:$Q$1004,MATCH(152,Firms!$R$5:$R$1004,0))&amp;"","")</f>
        <v/>
      </c>
    </row>
    <row r="157">
      <c r="A157" s="57">
        <f>IF(B157="","",153)</f>
        <v/>
      </c>
      <c r="B157" s="58">
        <f>IFERROR(INDEX(Firms!$A$5:$A$1004,MATCH(153,Firms!$R$5:$R$1004,0))&amp;"","")</f>
        <v/>
      </c>
      <c r="C157" s="59">
        <f>IFERROR(IF(INDEX(Firms!$O$5:$O$1004,MATCH(153,Firms!$R$5:$R$1004,0))="","",INDEX(Firms!$O$5:$O$1004,MATCH(153,Firms!$R$5:$R$1004,0))),"")</f>
        <v/>
      </c>
      <c r="D157" s="58">
        <f>IFERROR(INDEX(Firms!$P$5:$P$1004,MATCH(153,Firms!$R$5:$R$1004,0))&amp;"","")</f>
        <v/>
      </c>
      <c r="E157" s="58">
        <f>IFERROR(INDEX(Firms!$C$5:$C$1004,MATCH(153,Firms!$R$5:$R$1004,0))&amp;"","")</f>
        <v/>
      </c>
      <c r="F157" s="57">
        <f>IFERROR(INDEX(Firms!$L$5:$L$1004,MATCH(153,Firms!$R$5:$R$1004,0))&amp;"","")</f>
        <v/>
      </c>
      <c r="G157" s="57">
        <f>IFERROR(INDEX(Firms!$M$5:$M$1004,MATCH(153,Firms!$R$5:$R$1004,0))&amp;"","")</f>
        <v/>
      </c>
      <c r="H157" s="58">
        <f>IFERROR(INDEX(Firms!$Q$5:$Q$1004,MATCH(153,Firms!$R$5:$R$1004,0))&amp;"","")</f>
        <v/>
      </c>
    </row>
    <row r="158">
      <c r="A158" s="57">
        <f>IF(B158="","",154)</f>
        <v/>
      </c>
      <c r="B158" s="58">
        <f>IFERROR(INDEX(Firms!$A$5:$A$1004,MATCH(154,Firms!$R$5:$R$1004,0))&amp;"","")</f>
        <v/>
      </c>
      <c r="C158" s="59">
        <f>IFERROR(IF(INDEX(Firms!$O$5:$O$1004,MATCH(154,Firms!$R$5:$R$1004,0))="","",INDEX(Firms!$O$5:$O$1004,MATCH(154,Firms!$R$5:$R$1004,0))),"")</f>
        <v/>
      </c>
      <c r="D158" s="58">
        <f>IFERROR(INDEX(Firms!$P$5:$P$1004,MATCH(154,Firms!$R$5:$R$1004,0))&amp;"","")</f>
        <v/>
      </c>
      <c r="E158" s="58">
        <f>IFERROR(INDEX(Firms!$C$5:$C$1004,MATCH(154,Firms!$R$5:$R$1004,0))&amp;"","")</f>
        <v/>
      </c>
      <c r="F158" s="57">
        <f>IFERROR(INDEX(Firms!$L$5:$L$1004,MATCH(154,Firms!$R$5:$R$1004,0))&amp;"","")</f>
        <v/>
      </c>
      <c r="G158" s="57">
        <f>IFERROR(INDEX(Firms!$M$5:$M$1004,MATCH(154,Firms!$R$5:$R$1004,0))&amp;"","")</f>
        <v/>
      </c>
      <c r="H158" s="58">
        <f>IFERROR(INDEX(Firms!$Q$5:$Q$1004,MATCH(154,Firms!$R$5:$R$1004,0))&amp;"","")</f>
        <v/>
      </c>
    </row>
    <row r="159">
      <c r="A159" s="57">
        <f>IF(B159="","",155)</f>
        <v/>
      </c>
      <c r="B159" s="58">
        <f>IFERROR(INDEX(Firms!$A$5:$A$1004,MATCH(155,Firms!$R$5:$R$1004,0))&amp;"","")</f>
        <v/>
      </c>
      <c r="C159" s="59">
        <f>IFERROR(IF(INDEX(Firms!$O$5:$O$1004,MATCH(155,Firms!$R$5:$R$1004,0))="","",INDEX(Firms!$O$5:$O$1004,MATCH(155,Firms!$R$5:$R$1004,0))),"")</f>
        <v/>
      </c>
      <c r="D159" s="58">
        <f>IFERROR(INDEX(Firms!$P$5:$P$1004,MATCH(155,Firms!$R$5:$R$1004,0))&amp;"","")</f>
        <v/>
      </c>
      <c r="E159" s="58">
        <f>IFERROR(INDEX(Firms!$C$5:$C$1004,MATCH(155,Firms!$R$5:$R$1004,0))&amp;"","")</f>
        <v/>
      </c>
      <c r="F159" s="57">
        <f>IFERROR(INDEX(Firms!$L$5:$L$1004,MATCH(155,Firms!$R$5:$R$1004,0))&amp;"","")</f>
        <v/>
      </c>
      <c r="G159" s="57">
        <f>IFERROR(INDEX(Firms!$M$5:$M$1004,MATCH(155,Firms!$R$5:$R$1004,0))&amp;"","")</f>
        <v/>
      </c>
      <c r="H159" s="58">
        <f>IFERROR(INDEX(Firms!$Q$5:$Q$1004,MATCH(155,Firms!$R$5:$R$1004,0))&amp;"","")</f>
        <v/>
      </c>
    </row>
    <row r="160">
      <c r="A160" s="57">
        <f>IF(B160="","",156)</f>
        <v/>
      </c>
      <c r="B160" s="58">
        <f>IFERROR(INDEX(Firms!$A$5:$A$1004,MATCH(156,Firms!$R$5:$R$1004,0))&amp;"","")</f>
        <v/>
      </c>
      <c r="C160" s="59">
        <f>IFERROR(IF(INDEX(Firms!$O$5:$O$1004,MATCH(156,Firms!$R$5:$R$1004,0))="","",INDEX(Firms!$O$5:$O$1004,MATCH(156,Firms!$R$5:$R$1004,0))),"")</f>
        <v/>
      </c>
      <c r="D160" s="58">
        <f>IFERROR(INDEX(Firms!$P$5:$P$1004,MATCH(156,Firms!$R$5:$R$1004,0))&amp;"","")</f>
        <v/>
      </c>
      <c r="E160" s="58">
        <f>IFERROR(INDEX(Firms!$C$5:$C$1004,MATCH(156,Firms!$R$5:$R$1004,0))&amp;"","")</f>
        <v/>
      </c>
      <c r="F160" s="57">
        <f>IFERROR(INDEX(Firms!$L$5:$L$1004,MATCH(156,Firms!$R$5:$R$1004,0))&amp;"","")</f>
        <v/>
      </c>
      <c r="G160" s="57">
        <f>IFERROR(INDEX(Firms!$M$5:$M$1004,MATCH(156,Firms!$R$5:$R$1004,0))&amp;"","")</f>
        <v/>
      </c>
      <c r="H160" s="58">
        <f>IFERROR(INDEX(Firms!$Q$5:$Q$1004,MATCH(156,Firms!$R$5:$R$1004,0))&amp;"","")</f>
        <v/>
      </c>
    </row>
    <row r="161">
      <c r="A161" s="57">
        <f>IF(B161="","",157)</f>
        <v/>
      </c>
      <c r="B161" s="58">
        <f>IFERROR(INDEX(Firms!$A$5:$A$1004,MATCH(157,Firms!$R$5:$R$1004,0))&amp;"","")</f>
        <v/>
      </c>
      <c r="C161" s="59">
        <f>IFERROR(IF(INDEX(Firms!$O$5:$O$1004,MATCH(157,Firms!$R$5:$R$1004,0))="","",INDEX(Firms!$O$5:$O$1004,MATCH(157,Firms!$R$5:$R$1004,0))),"")</f>
        <v/>
      </c>
      <c r="D161" s="58">
        <f>IFERROR(INDEX(Firms!$P$5:$P$1004,MATCH(157,Firms!$R$5:$R$1004,0))&amp;"","")</f>
        <v/>
      </c>
      <c r="E161" s="58">
        <f>IFERROR(INDEX(Firms!$C$5:$C$1004,MATCH(157,Firms!$R$5:$R$1004,0))&amp;"","")</f>
        <v/>
      </c>
      <c r="F161" s="57">
        <f>IFERROR(INDEX(Firms!$L$5:$L$1004,MATCH(157,Firms!$R$5:$R$1004,0))&amp;"","")</f>
        <v/>
      </c>
      <c r="G161" s="57">
        <f>IFERROR(INDEX(Firms!$M$5:$M$1004,MATCH(157,Firms!$R$5:$R$1004,0))&amp;"","")</f>
        <v/>
      </c>
      <c r="H161" s="58">
        <f>IFERROR(INDEX(Firms!$Q$5:$Q$1004,MATCH(157,Firms!$R$5:$R$1004,0))&amp;"","")</f>
        <v/>
      </c>
    </row>
    <row r="162">
      <c r="A162" s="57">
        <f>IF(B162="","",158)</f>
        <v/>
      </c>
      <c r="B162" s="58">
        <f>IFERROR(INDEX(Firms!$A$5:$A$1004,MATCH(158,Firms!$R$5:$R$1004,0))&amp;"","")</f>
        <v/>
      </c>
      <c r="C162" s="59">
        <f>IFERROR(IF(INDEX(Firms!$O$5:$O$1004,MATCH(158,Firms!$R$5:$R$1004,0))="","",INDEX(Firms!$O$5:$O$1004,MATCH(158,Firms!$R$5:$R$1004,0))),"")</f>
        <v/>
      </c>
      <c r="D162" s="58">
        <f>IFERROR(INDEX(Firms!$P$5:$P$1004,MATCH(158,Firms!$R$5:$R$1004,0))&amp;"","")</f>
        <v/>
      </c>
      <c r="E162" s="58">
        <f>IFERROR(INDEX(Firms!$C$5:$C$1004,MATCH(158,Firms!$R$5:$R$1004,0))&amp;"","")</f>
        <v/>
      </c>
      <c r="F162" s="57">
        <f>IFERROR(INDEX(Firms!$L$5:$L$1004,MATCH(158,Firms!$R$5:$R$1004,0))&amp;"","")</f>
        <v/>
      </c>
      <c r="G162" s="57">
        <f>IFERROR(INDEX(Firms!$M$5:$M$1004,MATCH(158,Firms!$R$5:$R$1004,0))&amp;"","")</f>
        <v/>
      </c>
      <c r="H162" s="58">
        <f>IFERROR(INDEX(Firms!$Q$5:$Q$1004,MATCH(158,Firms!$R$5:$R$1004,0))&amp;"","")</f>
        <v/>
      </c>
    </row>
    <row r="163">
      <c r="A163" s="57">
        <f>IF(B163="","",159)</f>
        <v/>
      </c>
      <c r="B163" s="58">
        <f>IFERROR(INDEX(Firms!$A$5:$A$1004,MATCH(159,Firms!$R$5:$R$1004,0))&amp;"","")</f>
        <v/>
      </c>
      <c r="C163" s="59">
        <f>IFERROR(IF(INDEX(Firms!$O$5:$O$1004,MATCH(159,Firms!$R$5:$R$1004,0))="","",INDEX(Firms!$O$5:$O$1004,MATCH(159,Firms!$R$5:$R$1004,0))),"")</f>
        <v/>
      </c>
      <c r="D163" s="58">
        <f>IFERROR(INDEX(Firms!$P$5:$P$1004,MATCH(159,Firms!$R$5:$R$1004,0))&amp;"","")</f>
        <v/>
      </c>
      <c r="E163" s="58">
        <f>IFERROR(INDEX(Firms!$C$5:$C$1004,MATCH(159,Firms!$R$5:$R$1004,0))&amp;"","")</f>
        <v/>
      </c>
      <c r="F163" s="57">
        <f>IFERROR(INDEX(Firms!$L$5:$L$1004,MATCH(159,Firms!$R$5:$R$1004,0))&amp;"","")</f>
        <v/>
      </c>
      <c r="G163" s="57">
        <f>IFERROR(INDEX(Firms!$M$5:$M$1004,MATCH(159,Firms!$R$5:$R$1004,0))&amp;"","")</f>
        <v/>
      </c>
      <c r="H163" s="58">
        <f>IFERROR(INDEX(Firms!$Q$5:$Q$1004,MATCH(159,Firms!$R$5:$R$1004,0))&amp;"","")</f>
        <v/>
      </c>
    </row>
    <row r="164">
      <c r="A164" s="57">
        <f>IF(B164="","",160)</f>
        <v/>
      </c>
      <c r="B164" s="58">
        <f>IFERROR(INDEX(Firms!$A$5:$A$1004,MATCH(160,Firms!$R$5:$R$1004,0))&amp;"","")</f>
        <v/>
      </c>
      <c r="C164" s="59">
        <f>IFERROR(IF(INDEX(Firms!$O$5:$O$1004,MATCH(160,Firms!$R$5:$R$1004,0))="","",INDEX(Firms!$O$5:$O$1004,MATCH(160,Firms!$R$5:$R$1004,0))),"")</f>
        <v/>
      </c>
      <c r="D164" s="58">
        <f>IFERROR(INDEX(Firms!$P$5:$P$1004,MATCH(160,Firms!$R$5:$R$1004,0))&amp;"","")</f>
        <v/>
      </c>
      <c r="E164" s="58">
        <f>IFERROR(INDEX(Firms!$C$5:$C$1004,MATCH(160,Firms!$R$5:$R$1004,0))&amp;"","")</f>
        <v/>
      </c>
      <c r="F164" s="57">
        <f>IFERROR(INDEX(Firms!$L$5:$L$1004,MATCH(160,Firms!$R$5:$R$1004,0))&amp;"","")</f>
        <v/>
      </c>
      <c r="G164" s="57">
        <f>IFERROR(INDEX(Firms!$M$5:$M$1004,MATCH(160,Firms!$R$5:$R$1004,0))&amp;"","")</f>
        <v/>
      </c>
      <c r="H164" s="58">
        <f>IFERROR(INDEX(Firms!$Q$5:$Q$1004,MATCH(160,Firms!$R$5:$R$1004,0))&amp;"","")</f>
        <v/>
      </c>
    </row>
    <row r="165">
      <c r="A165" s="57">
        <f>IF(B165="","",161)</f>
        <v/>
      </c>
      <c r="B165" s="58">
        <f>IFERROR(INDEX(Firms!$A$5:$A$1004,MATCH(161,Firms!$R$5:$R$1004,0))&amp;"","")</f>
        <v/>
      </c>
      <c r="C165" s="59">
        <f>IFERROR(IF(INDEX(Firms!$O$5:$O$1004,MATCH(161,Firms!$R$5:$R$1004,0))="","",INDEX(Firms!$O$5:$O$1004,MATCH(161,Firms!$R$5:$R$1004,0))),"")</f>
        <v/>
      </c>
      <c r="D165" s="58">
        <f>IFERROR(INDEX(Firms!$P$5:$P$1004,MATCH(161,Firms!$R$5:$R$1004,0))&amp;"","")</f>
        <v/>
      </c>
      <c r="E165" s="58">
        <f>IFERROR(INDEX(Firms!$C$5:$C$1004,MATCH(161,Firms!$R$5:$R$1004,0))&amp;"","")</f>
        <v/>
      </c>
      <c r="F165" s="57">
        <f>IFERROR(INDEX(Firms!$L$5:$L$1004,MATCH(161,Firms!$R$5:$R$1004,0))&amp;"","")</f>
        <v/>
      </c>
      <c r="G165" s="57">
        <f>IFERROR(INDEX(Firms!$M$5:$M$1004,MATCH(161,Firms!$R$5:$R$1004,0))&amp;"","")</f>
        <v/>
      </c>
      <c r="H165" s="58">
        <f>IFERROR(INDEX(Firms!$Q$5:$Q$1004,MATCH(161,Firms!$R$5:$R$1004,0))&amp;"","")</f>
        <v/>
      </c>
    </row>
    <row r="166">
      <c r="A166" s="57">
        <f>IF(B166="","",162)</f>
        <v/>
      </c>
      <c r="B166" s="58">
        <f>IFERROR(INDEX(Firms!$A$5:$A$1004,MATCH(162,Firms!$R$5:$R$1004,0))&amp;"","")</f>
        <v/>
      </c>
      <c r="C166" s="59">
        <f>IFERROR(IF(INDEX(Firms!$O$5:$O$1004,MATCH(162,Firms!$R$5:$R$1004,0))="","",INDEX(Firms!$O$5:$O$1004,MATCH(162,Firms!$R$5:$R$1004,0))),"")</f>
        <v/>
      </c>
      <c r="D166" s="58">
        <f>IFERROR(INDEX(Firms!$P$5:$P$1004,MATCH(162,Firms!$R$5:$R$1004,0))&amp;"","")</f>
        <v/>
      </c>
      <c r="E166" s="58">
        <f>IFERROR(INDEX(Firms!$C$5:$C$1004,MATCH(162,Firms!$R$5:$R$1004,0))&amp;"","")</f>
        <v/>
      </c>
      <c r="F166" s="57">
        <f>IFERROR(INDEX(Firms!$L$5:$L$1004,MATCH(162,Firms!$R$5:$R$1004,0))&amp;"","")</f>
        <v/>
      </c>
      <c r="G166" s="57">
        <f>IFERROR(INDEX(Firms!$M$5:$M$1004,MATCH(162,Firms!$R$5:$R$1004,0))&amp;"","")</f>
        <v/>
      </c>
      <c r="H166" s="58">
        <f>IFERROR(INDEX(Firms!$Q$5:$Q$1004,MATCH(162,Firms!$R$5:$R$1004,0))&amp;"","")</f>
        <v/>
      </c>
    </row>
    <row r="167">
      <c r="A167" s="57">
        <f>IF(B167="","",163)</f>
        <v/>
      </c>
      <c r="B167" s="58">
        <f>IFERROR(INDEX(Firms!$A$5:$A$1004,MATCH(163,Firms!$R$5:$R$1004,0))&amp;"","")</f>
        <v/>
      </c>
      <c r="C167" s="59">
        <f>IFERROR(IF(INDEX(Firms!$O$5:$O$1004,MATCH(163,Firms!$R$5:$R$1004,0))="","",INDEX(Firms!$O$5:$O$1004,MATCH(163,Firms!$R$5:$R$1004,0))),"")</f>
        <v/>
      </c>
      <c r="D167" s="58">
        <f>IFERROR(INDEX(Firms!$P$5:$P$1004,MATCH(163,Firms!$R$5:$R$1004,0))&amp;"","")</f>
        <v/>
      </c>
      <c r="E167" s="58">
        <f>IFERROR(INDEX(Firms!$C$5:$C$1004,MATCH(163,Firms!$R$5:$R$1004,0))&amp;"","")</f>
        <v/>
      </c>
      <c r="F167" s="57">
        <f>IFERROR(INDEX(Firms!$L$5:$L$1004,MATCH(163,Firms!$R$5:$R$1004,0))&amp;"","")</f>
        <v/>
      </c>
      <c r="G167" s="57">
        <f>IFERROR(INDEX(Firms!$M$5:$M$1004,MATCH(163,Firms!$R$5:$R$1004,0))&amp;"","")</f>
        <v/>
      </c>
      <c r="H167" s="58">
        <f>IFERROR(INDEX(Firms!$Q$5:$Q$1004,MATCH(163,Firms!$R$5:$R$1004,0))&amp;"","")</f>
        <v/>
      </c>
    </row>
    <row r="168">
      <c r="A168" s="57">
        <f>IF(B168="","",164)</f>
        <v/>
      </c>
      <c r="B168" s="58">
        <f>IFERROR(INDEX(Firms!$A$5:$A$1004,MATCH(164,Firms!$R$5:$R$1004,0))&amp;"","")</f>
        <v/>
      </c>
      <c r="C168" s="59">
        <f>IFERROR(IF(INDEX(Firms!$O$5:$O$1004,MATCH(164,Firms!$R$5:$R$1004,0))="","",INDEX(Firms!$O$5:$O$1004,MATCH(164,Firms!$R$5:$R$1004,0))),"")</f>
        <v/>
      </c>
      <c r="D168" s="58">
        <f>IFERROR(INDEX(Firms!$P$5:$P$1004,MATCH(164,Firms!$R$5:$R$1004,0))&amp;"","")</f>
        <v/>
      </c>
      <c r="E168" s="58">
        <f>IFERROR(INDEX(Firms!$C$5:$C$1004,MATCH(164,Firms!$R$5:$R$1004,0))&amp;"","")</f>
        <v/>
      </c>
      <c r="F168" s="57">
        <f>IFERROR(INDEX(Firms!$L$5:$L$1004,MATCH(164,Firms!$R$5:$R$1004,0))&amp;"","")</f>
        <v/>
      </c>
      <c r="G168" s="57">
        <f>IFERROR(INDEX(Firms!$M$5:$M$1004,MATCH(164,Firms!$R$5:$R$1004,0))&amp;"","")</f>
        <v/>
      </c>
      <c r="H168" s="58">
        <f>IFERROR(INDEX(Firms!$Q$5:$Q$1004,MATCH(164,Firms!$R$5:$R$1004,0))&amp;"","")</f>
        <v/>
      </c>
    </row>
    <row r="169">
      <c r="A169" s="57">
        <f>IF(B169="","",165)</f>
        <v/>
      </c>
      <c r="B169" s="58">
        <f>IFERROR(INDEX(Firms!$A$5:$A$1004,MATCH(165,Firms!$R$5:$R$1004,0))&amp;"","")</f>
        <v/>
      </c>
      <c r="C169" s="59">
        <f>IFERROR(IF(INDEX(Firms!$O$5:$O$1004,MATCH(165,Firms!$R$5:$R$1004,0))="","",INDEX(Firms!$O$5:$O$1004,MATCH(165,Firms!$R$5:$R$1004,0))),"")</f>
        <v/>
      </c>
      <c r="D169" s="58">
        <f>IFERROR(INDEX(Firms!$P$5:$P$1004,MATCH(165,Firms!$R$5:$R$1004,0))&amp;"","")</f>
        <v/>
      </c>
      <c r="E169" s="58">
        <f>IFERROR(INDEX(Firms!$C$5:$C$1004,MATCH(165,Firms!$R$5:$R$1004,0))&amp;"","")</f>
        <v/>
      </c>
      <c r="F169" s="57">
        <f>IFERROR(INDEX(Firms!$L$5:$L$1004,MATCH(165,Firms!$R$5:$R$1004,0))&amp;"","")</f>
        <v/>
      </c>
      <c r="G169" s="57">
        <f>IFERROR(INDEX(Firms!$M$5:$M$1004,MATCH(165,Firms!$R$5:$R$1004,0))&amp;"","")</f>
        <v/>
      </c>
      <c r="H169" s="58">
        <f>IFERROR(INDEX(Firms!$Q$5:$Q$1004,MATCH(165,Firms!$R$5:$R$1004,0))&amp;"","")</f>
        <v/>
      </c>
    </row>
    <row r="170">
      <c r="A170" s="57">
        <f>IF(B170="","",166)</f>
        <v/>
      </c>
      <c r="B170" s="58">
        <f>IFERROR(INDEX(Firms!$A$5:$A$1004,MATCH(166,Firms!$R$5:$R$1004,0))&amp;"","")</f>
        <v/>
      </c>
      <c r="C170" s="59">
        <f>IFERROR(IF(INDEX(Firms!$O$5:$O$1004,MATCH(166,Firms!$R$5:$R$1004,0))="","",INDEX(Firms!$O$5:$O$1004,MATCH(166,Firms!$R$5:$R$1004,0))),"")</f>
        <v/>
      </c>
      <c r="D170" s="58">
        <f>IFERROR(INDEX(Firms!$P$5:$P$1004,MATCH(166,Firms!$R$5:$R$1004,0))&amp;"","")</f>
        <v/>
      </c>
      <c r="E170" s="58">
        <f>IFERROR(INDEX(Firms!$C$5:$C$1004,MATCH(166,Firms!$R$5:$R$1004,0))&amp;"","")</f>
        <v/>
      </c>
      <c r="F170" s="57">
        <f>IFERROR(INDEX(Firms!$L$5:$L$1004,MATCH(166,Firms!$R$5:$R$1004,0))&amp;"","")</f>
        <v/>
      </c>
      <c r="G170" s="57">
        <f>IFERROR(INDEX(Firms!$M$5:$M$1004,MATCH(166,Firms!$R$5:$R$1004,0))&amp;"","")</f>
        <v/>
      </c>
      <c r="H170" s="58">
        <f>IFERROR(INDEX(Firms!$Q$5:$Q$1004,MATCH(166,Firms!$R$5:$R$1004,0))&amp;"","")</f>
        <v/>
      </c>
    </row>
    <row r="171">
      <c r="A171" s="57">
        <f>IF(B171="","",167)</f>
        <v/>
      </c>
      <c r="B171" s="58">
        <f>IFERROR(INDEX(Firms!$A$5:$A$1004,MATCH(167,Firms!$R$5:$R$1004,0))&amp;"","")</f>
        <v/>
      </c>
      <c r="C171" s="59">
        <f>IFERROR(IF(INDEX(Firms!$O$5:$O$1004,MATCH(167,Firms!$R$5:$R$1004,0))="","",INDEX(Firms!$O$5:$O$1004,MATCH(167,Firms!$R$5:$R$1004,0))),"")</f>
        <v/>
      </c>
      <c r="D171" s="58">
        <f>IFERROR(INDEX(Firms!$P$5:$P$1004,MATCH(167,Firms!$R$5:$R$1004,0))&amp;"","")</f>
        <v/>
      </c>
      <c r="E171" s="58">
        <f>IFERROR(INDEX(Firms!$C$5:$C$1004,MATCH(167,Firms!$R$5:$R$1004,0))&amp;"","")</f>
        <v/>
      </c>
      <c r="F171" s="57">
        <f>IFERROR(INDEX(Firms!$L$5:$L$1004,MATCH(167,Firms!$R$5:$R$1004,0))&amp;"","")</f>
        <v/>
      </c>
      <c r="G171" s="57">
        <f>IFERROR(INDEX(Firms!$M$5:$M$1004,MATCH(167,Firms!$R$5:$R$1004,0))&amp;"","")</f>
        <v/>
      </c>
      <c r="H171" s="58">
        <f>IFERROR(INDEX(Firms!$Q$5:$Q$1004,MATCH(167,Firms!$R$5:$R$1004,0))&amp;"","")</f>
        <v/>
      </c>
    </row>
    <row r="172">
      <c r="A172" s="57">
        <f>IF(B172="","",168)</f>
        <v/>
      </c>
      <c r="B172" s="58">
        <f>IFERROR(INDEX(Firms!$A$5:$A$1004,MATCH(168,Firms!$R$5:$R$1004,0))&amp;"","")</f>
        <v/>
      </c>
      <c r="C172" s="59">
        <f>IFERROR(IF(INDEX(Firms!$O$5:$O$1004,MATCH(168,Firms!$R$5:$R$1004,0))="","",INDEX(Firms!$O$5:$O$1004,MATCH(168,Firms!$R$5:$R$1004,0))),"")</f>
        <v/>
      </c>
      <c r="D172" s="58">
        <f>IFERROR(INDEX(Firms!$P$5:$P$1004,MATCH(168,Firms!$R$5:$R$1004,0))&amp;"","")</f>
        <v/>
      </c>
      <c r="E172" s="58">
        <f>IFERROR(INDEX(Firms!$C$5:$C$1004,MATCH(168,Firms!$R$5:$R$1004,0))&amp;"","")</f>
        <v/>
      </c>
      <c r="F172" s="57">
        <f>IFERROR(INDEX(Firms!$L$5:$L$1004,MATCH(168,Firms!$R$5:$R$1004,0))&amp;"","")</f>
        <v/>
      </c>
      <c r="G172" s="57">
        <f>IFERROR(INDEX(Firms!$M$5:$M$1004,MATCH(168,Firms!$R$5:$R$1004,0))&amp;"","")</f>
        <v/>
      </c>
      <c r="H172" s="58">
        <f>IFERROR(INDEX(Firms!$Q$5:$Q$1004,MATCH(168,Firms!$R$5:$R$1004,0))&amp;"","")</f>
        <v/>
      </c>
    </row>
    <row r="173">
      <c r="A173" s="57">
        <f>IF(B173="","",169)</f>
        <v/>
      </c>
      <c r="B173" s="58">
        <f>IFERROR(INDEX(Firms!$A$5:$A$1004,MATCH(169,Firms!$R$5:$R$1004,0))&amp;"","")</f>
        <v/>
      </c>
      <c r="C173" s="59">
        <f>IFERROR(IF(INDEX(Firms!$O$5:$O$1004,MATCH(169,Firms!$R$5:$R$1004,0))="","",INDEX(Firms!$O$5:$O$1004,MATCH(169,Firms!$R$5:$R$1004,0))),"")</f>
        <v/>
      </c>
      <c r="D173" s="58">
        <f>IFERROR(INDEX(Firms!$P$5:$P$1004,MATCH(169,Firms!$R$5:$R$1004,0))&amp;"","")</f>
        <v/>
      </c>
      <c r="E173" s="58">
        <f>IFERROR(INDEX(Firms!$C$5:$C$1004,MATCH(169,Firms!$R$5:$R$1004,0))&amp;"","")</f>
        <v/>
      </c>
      <c r="F173" s="57">
        <f>IFERROR(INDEX(Firms!$L$5:$L$1004,MATCH(169,Firms!$R$5:$R$1004,0))&amp;"","")</f>
        <v/>
      </c>
      <c r="G173" s="57">
        <f>IFERROR(INDEX(Firms!$M$5:$M$1004,MATCH(169,Firms!$R$5:$R$1004,0))&amp;"","")</f>
        <v/>
      </c>
      <c r="H173" s="58">
        <f>IFERROR(INDEX(Firms!$Q$5:$Q$1004,MATCH(169,Firms!$R$5:$R$1004,0))&amp;"","")</f>
        <v/>
      </c>
    </row>
    <row r="174">
      <c r="A174" s="57">
        <f>IF(B174="","",170)</f>
        <v/>
      </c>
      <c r="B174" s="58">
        <f>IFERROR(INDEX(Firms!$A$5:$A$1004,MATCH(170,Firms!$R$5:$R$1004,0))&amp;"","")</f>
        <v/>
      </c>
      <c r="C174" s="59">
        <f>IFERROR(IF(INDEX(Firms!$O$5:$O$1004,MATCH(170,Firms!$R$5:$R$1004,0))="","",INDEX(Firms!$O$5:$O$1004,MATCH(170,Firms!$R$5:$R$1004,0))),"")</f>
        <v/>
      </c>
      <c r="D174" s="58">
        <f>IFERROR(INDEX(Firms!$P$5:$P$1004,MATCH(170,Firms!$R$5:$R$1004,0))&amp;"","")</f>
        <v/>
      </c>
      <c r="E174" s="58">
        <f>IFERROR(INDEX(Firms!$C$5:$C$1004,MATCH(170,Firms!$R$5:$R$1004,0))&amp;"","")</f>
        <v/>
      </c>
      <c r="F174" s="57">
        <f>IFERROR(INDEX(Firms!$L$5:$L$1004,MATCH(170,Firms!$R$5:$R$1004,0))&amp;"","")</f>
        <v/>
      </c>
      <c r="G174" s="57">
        <f>IFERROR(INDEX(Firms!$M$5:$M$1004,MATCH(170,Firms!$R$5:$R$1004,0))&amp;"","")</f>
        <v/>
      </c>
      <c r="H174" s="58">
        <f>IFERROR(INDEX(Firms!$Q$5:$Q$1004,MATCH(170,Firms!$R$5:$R$1004,0))&amp;"","")</f>
        <v/>
      </c>
    </row>
    <row r="175">
      <c r="A175" s="57">
        <f>IF(B175="","",171)</f>
        <v/>
      </c>
      <c r="B175" s="58">
        <f>IFERROR(INDEX(Firms!$A$5:$A$1004,MATCH(171,Firms!$R$5:$R$1004,0))&amp;"","")</f>
        <v/>
      </c>
      <c r="C175" s="59">
        <f>IFERROR(IF(INDEX(Firms!$O$5:$O$1004,MATCH(171,Firms!$R$5:$R$1004,0))="","",INDEX(Firms!$O$5:$O$1004,MATCH(171,Firms!$R$5:$R$1004,0))),"")</f>
        <v/>
      </c>
      <c r="D175" s="58">
        <f>IFERROR(INDEX(Firms!$P$5:$P$1004,MATCH(171,Firms!$R$5:$R$1004,0))&amp;"","")</f>
        <v/>
      </c>
      <c r="E175" s="58">
        <f>IFERROR(INDEX(Firms!$C$5:$C$1004,MATCH(171,Firms!$R$5:$R$1004,0))&amp;"","")</f>
        <v/>
      </c>
      <c r="F175" s="57">
        <f>IFERROR(INDEX(Firms!$L$5:$L$1004,MATCH(171,Firms!$R$5:$R$1004,0))&amp;"","")</f>
        <v/>
      </c>
      <c r="G175" s="57">
        <f>IFERROR(INDEX(Firms!$M$5:$M$1004,MATCH(171,Firms!$R$5:$R$1004,0))&amp;"","")</f>
        <v/>
      </c>
      <c r="H175" s="58">
        <f>IFERROR(INDEX(Firms!$Q$5:$Q$1004,MATCH(171,Firms!$R$5:$R$1004,0))&amp;"","")</f>
        <v/>
      </c>
    </row>
    <row r="176">
      <c r="A176" s="57">
        <f>IF(B176="","",172)</f>
        <v/>
      </c>
      <c r="B176" s="58">
        <f>IFERROR(INDEX(Firms!$A$5:$A$1004,MATCH(172,Firms!$R$5:$R$1004,0))&amp;"","")</f>
        <v/>
      </c>
      <c r="C176" s="59">
        <f>IFERROR(IF(INDEX(Firms!$O$5:$O$1004,MATCH(172,Firms!$R$5:$R$1004,0))="","",INDEX(Firms!$O$5:$O$1004,MATCH(172,Firms!$R$5:$R$1004,0))),"")</f>
        <v/>
      </c>
      <c r="D176" s="58">
        <f>IFERROR(INDEX(Firms!$P$5:$P$1004,MATCH(172,Firms!$R$5:$R$1004,0))&amp;"","")</f>
        <v/>
      </c>
      <c r="E176" s="58">
        <f>IFERROR(INDEX(Firms!$C$5:$C$1004,MATCH(172,Firms!$R$5:$R$1004,0))&amp;"","")</f>
        <v/>
      </c>
      <c r="F176" s="57">
        <f>IFERROR(INDEX(Firms!$L$5:$L$1004,MATCH(172,Firms!$R$5:$R$1004,0))&amp;"","")</f>
        <v/>
      </c>
      <c r="G176" s="57">
        <f>IFERROR(INDEX(Firms!$M$5:$M$1004,MATCH(172,Firms!$R$5:$R$1004,0))&amp;"","")</f>
        <v/>
      </c>
      <c r="H176" s="58">
        <f>IFERROR(INDEX(Firms!$Q$5:$Q$1004,MATCH(172,Firms!$R$5:$R$1004,0))&amp;"","")</f>
        <v/>
      </c>
    </row>
    <row r="177">
      <c r="A177" s="57">
        <f>IF(B177="","",173)</f>
        <v/>
      </c>
      <c r="B177" s="58">
        <f>IFERROR(INDEX(Firms!$A$5:$A$1004,MATCH(173,Firms!$R$5:$R$1004,0))&amp;"","")</f>
        <v/>
      </c>
      <c r="C177" s="59">
        <f>IFERROR(IF(INDEX(Firms!$O$5:$O$1004,MATCH(173,Firms!$R$5:$R$1004,0))="","",INDEX(Firms!$O$5:$O$1004,MATCH(173,Firms!$R$5:$R$1004,0))),"")</f>
        <v/>
      </c>
      <c r="D177" s="58">
        <f>IFERROR(INDEX(Firms!$P$5:$P$1004,MATCH(173,Firms!$R$5:$R$1004,0))&amp;"","")</f>
        <v/>
      </c>
      <c r="E177" s="58">
        <f>IFERROR(INDEX(Firms!$C$5:$C$1004,MATCH(173,Firms!$R$5:$R$1004,0))&amp;"","")</f>
        <v/>
      </c>
      <c r="F177" s="57">
        <f>IFERROR(INDEX(Firms!$L$5:$L$1004,MATCH(173,Firms!$R$5:$R$1004,0))&amp;"","")</f>
        <v/>
      </c>
      <c r="G177" s="57">
        <f>IFERROR(INDEX(Firms!$M$5:$M$1004,MATCH(173,Firms!$R$5:$R$1004,0))&amp;"","")</f>
        <v/>
      </c>
      <c r="H177" s="58">
        <f>IFERROR(INDEX(Firms!$Q$5:$Q$1004,MATCH(173,Firms!$R$5:$R$1004,0))&amp;"","")</f>
        <v/>
      </c>
    </row>
    <row r="178">
      <c r="A178" s="57">
        <f>IF(B178="","",174)</f>
        <v/>
      </c>
      <c r="B178" s="58">
        <f>IFERROR(INDEX(Firms!$A$5:$A$1004,MATCH(174,Firms!$R$5:$R$1004,0))&amp;"","")</f>
        <v/>
      </c>
      <c r="C178" s="59">
        <f>IFERROR(IF(INDEX(Firms!$O$5:$O$1004,MATCH(174,Firms!$R$5:$R$1004,0))="","",INDEX(Firms!$O$5:$O$1004,MATCH(174,Firms!$R$5:$R$1004,0))),"")</f>
        <v/>
      </c>
      <c r="D178" s="58">
        <f>IFERROR(INDEX(Firms!$P$5:$P$1004,MATCH(174,Firms!$R$5:$R$1004,0))&amp;"","")</f>
        <v/>
      </c>
      <c r="E178" s="58">
        <f>IFERROR(INDEX(Firms!$C$5:$C$1004,MATCH(174,Firms!$R$5:$R$1004,0))&amp;"","")</f>
        <v/>
      </c>
      <c r="F178" s="57">
        <f>IFERROR(INDEX(Firms!$L$5:$L$1004,MATCH(174,Firms!$R$5:$R$1004,0))&amp;"","")</f>
        <v/>
      </c>
      <c r="G178" s="57">
        <f>IFERROR(INDEX(Firms!$M$5:$M$1004,MATCH(174,Firms!$R$5:$R$1004,0))&amp;"","")</f>
        <v/>
      </c>
      <c r="H178" s="58">
        <f>IFERROR(INDEX(Firms!$Q$5:$Q$1004,MATCH(174,Firms!$R$5:$R$1004,0))&amp;"","")</f>
        <v/>
      </c>
    </row>
    <row r="179">
      <c r="A179" s="57">
        <f>IF(B179="","",175)</f>
        <v/>
      </c>
      <c r="B179" s="58">
        <f>IFERROR(INDEX(Firms!$A$5:$A$1004,MATCH(175,Firms!$R$5:$R$1004,0))&amp;"","")</f>
        <v/>
      </c>
      <c r="C179" s="59">
        <f>IFERROR(IF(INDEX(Firms!$O$5:$O$1004,MATCH(175,Firms!$R$5:$R$1004,0))="","",INDEX(Firms!$O$5:$O$1004,MATCH(175,Firms!$R$5:$R$1004,0))),"")</f>
        <v/>
      </c>
      <c r="D179" s="58">
        <f>IFERROR(INDEX(Firms!$P$5:$P$1004,MATCH(175,Firms!$R$5:$R$1004,0))&amp;"","")</f>
        <v/>
      </c>
      <c r="E179" s="58">
        <f>IFERROR(INDEX(Firms!$C$5:$C$1004,MATCH(175,Firms!$R$5:$R$1004,0))&amp;"","")</f>
        <v/>
      </c>
      <c r="F179" s="57">
        <f>IFERROR(INDEX(Firms!$L$5:$L$1004,MATCH(175,Firms!$R$5:$R$1004,0))&amp;"","")</f>
        <v/>
      </c>
      <c r="G179" s="57">
        <f>IFERROR(INDEX(Firms!$M$5:$M$1004,MATCH(175,Firms!$R$5:$R$1004,0))&amp;"","")</f>
        <v/>
      </c>
      <c r="H179" s="58">
        <f>IFERROR(INDEX(Firms!$Q$5:$Q$1004,MATCH(175,Firms!$R$5:$R$1004,0))&amp;"","")</f>
        <v/>
      </c>
    </row>
    <row r="180">
      <c r="A180" s="57">
        <f>IF(B180="","",176)</f>
        <v/>
      </c>
      <c r="B180" s="58">
        <f>IFERROR(INDEX(Firms!$A$5:$A$1004,MATCH(176,Firms!$R$5:$R$1004,0))&amp;"","")</f>
        <v/>
      </c>
      <c r="C180" s="59">
        <f>IFERROR(IF(INDEX(Firms!$O$5:$O$1004,MATCH(176,Firms!$R$5:$R$1004,0))="","",INDEX(Firms!$O$5:$O$1004,MATCH(176,Firms!$R$5:$R$1004,0))),"")</f>
        <v/>
      </c>
      <c r="D180" s="58">
        <f>IFERROR(INDEX(Firms!$P$5:$P$1004,MATCH(176,Firms!$R$5:$R$1004,0))&amp;"","")</f>
        <v/>
      </c>
      <c r="E180" s="58">
        <f>IFERROR(INDEX(Firms!$C$5:$C$1004,MATCH(176,Firms!$R$5:$R$1004,0))&amp;"","")</f>
        <v/>
      </c>
      <c r="F180" s="57">
        <f>IFERROR(INDEX(Firms!$L$5:$L$1004,MATCH(176,Firms!$R$5:$R$1004,0))&amp;"","")</f>
        <v/>
      </c>
      <c r="G180" s="57">
        <f>IFERROR(INDEX(Firms!$M$5:$M$1004,MATCH(176,Firms!$R$5:$R$1004,0))&amp;"","")</f>
        <v/>
      </c>
      <c r="H180" s="58">
        <f>IFERROR(INDEX(Firms!$Q$5:$Q$1004,MATCH(176,Firms!$R$5:$R$1004,0))&amp;"","")</f>
        <v/>
      </c>
    </row>
    <row r="181">
      <c r="A181" s="57">
        <f>IF(B181="","",177)</f>
        <v/>
      </c>
      <c r="B181" s="58">
        <f>IFERROR(INDEX(Firms!$A$5:$A$1004,MATCH(177,Firms!$R$5:$R$1004,0))&amp;"","")</f>
        <v/>
      </c>
      <c r="C181" s="59">
        <f>IFERROR(IF(INDEX(Firms!$O$5:$O$1004,MATCH(177,Firms!$R$5:$R$1004,0))="","",INDEX(Firms!$O$5:$O$1004,MATCH(177,Firms!$R$5:$R$1004,0))),"")</f>
        <v/>
      </c>
      <c r="D181" s="58">
        <f>IFERROR(INDEX(Firms!$P$5:$P$1004,MATCH(177,Firms!$R$5:$R$1004,0))&amp;"","")</f>
        <v/>
      </c>
      <c r="E181" s="58">
        <f>IFERROR(INDEX(Firms!$C$5:$C$1004,MATCH(177,Firms!$R$5:$R$1004,0))&amp;"","")</f>
        <v/>
      </c>
      <c r="F181" s="57">
        <f>IFERROR(INDEX(Firms!$L$5:$L$1004,MATCH(177,Firms!$R$5:$R$1004,0))&amp;"","")</f>
        <v/>
      </c>
      <c r="G181" s="57">
        <f>IFERROR(INDEX(Firms!$M$5:$M$1004,MATCH(177,Firms!$R$5:$R$1004,0))&amp;"","")</f>
        <v/>
      </c>
      <c r="H181" s="58">
        <f>IFERROR(INDEX(Firms!$Q$5:$Q$1004,MATCH(177,Firms!$R$5:$R$1004,0))&amp;"","")</f>
        <v/>
      </c>
    </row>
    <row r="182">
      <c r="A182" s="57">
        <f>IF(B182="","",178)</f>
        <v/>
      </c>
      <c r="B182" s="58">
        <f>IFERROR(INDEX(Firms!$A$5:$A$1004,MATCH(178,Firms!$R$5:$R$1004,0))&amp;"","")</f>
        <v/>
      </c>
      <c r="C182" s="59">
        <f>IFERROR(IF(INDEX(Firms!$O$5:$O$1004,MATCH(178,Firms!$R$5:$R$1004,0))="","",INDEX(Firms!$O$5:$O$1004,MATCH(178,Firms!$R$5:$R$1004,0))),"")</f>
        <v/>
      </c>
      <c r="D182" s="58">
        <f>IFERROR(INDEX(Firms!$P$5:$P$1004,MATCH(178,Firms!$R$5:$R$1004,0))&amp;"","")</f>
        <v/>
      </c>
      <c r="E182" s="58">
        <f>IFERROR(INDEX(Firms!$C$5:$C$1004,MATCH(178,Firms!$R$5:$R$1004,0))&amp;"","")</f>
        <v/>
      </c>
      <c r="F182" s="57">
        <f>IFERROR(INDEX(Firms!$L$5:$L$1004,MATCH(178,Firms!$R$5:$R$1004,0))&amp;"","")</f>
        <v/>
      </c>
      <c r="G182" s="57">
        <f>IFERROR(INDEX(Firms!$M$5:$M$1004,MATCH(178,Firms!$R$5:$R$1004,0))&amp;"","")</f>
        <v/>
      </c>
      <c r="H182" s="58">
        <f>IFERROR(INDEX(Firms!$Q$5:$Q$1004,MATCH(178,Firms!$R$5:$R$1004,0))&amp;"","")</f>
        <v/>
      </c>
    </row>
    <row r="183">
      <c r="A183" s="57">
        <f>IF(B183="","",179)</f>
        <v/>
      </c>
      <c r="B183" s="58">
        <f>IFERROR(INDEX(Firms!$A$5:$A$1004,MATCH(179,Firms!$R$5:$R$1004,0))&amp;"","")</f>
        <v/>
      </c>
      <c r="C183" s="59">
        <f>IFERROR(IF(INDEX(Firms!$O$5:$O$1004,MATCH(179,Firms!$R$5:$R$1004,0))="","",INDEX(Firms!$O$5:$O$1004,MATCH(179,Firms!$R$5:$R$1004,0))),"")</f>
        <v/>
      </c>
      <c r="D183" s="58">
        <f>IFERROR(INDEX(Firms!$P$5:$P$1004,MATCH(179,Firms!$R$5:$R$1004,0))&amp;"","")</f>
        <v/>
      </c>
      <c r="E183" s="58">
        <f>IFERROR(INDEX(Firms!$C$5:$C$1004,MATCH(179,Firms!$R$5:$R$1004,0))&amp;"","")</f>
        <v/>
      </c>
      <c r="F183" s="57">
        <f>IFERROR(INDEX(Firms!$L$5:$L$1004,MATCH(179,Firms!$R$5:$R$1004,0))&amp;"","")</f>
        <v/>
      </c>
      <c r="G183" s="57">
        <f>IFERROR(INDEX(Firms!$M$5:$M$1004,MATCH(179,Firms!$R$5:$R$1004,0))&amp;"","")</f>
        <v/>
      </c>
      <c r="H183" s="58">
        <f>IFERROR(INDEX(Firms!$Q$5:$Q$1004,MATCH(179,Firms!$R$5:$R$1004,0))&amp;"","")</f>
        <v/>
      </c>
    </row>
    <row r="184">
      <c r="A184" s="57">
        <f>IF(B184="","",180)</f>
        <v/>
      </c>
      <c r="B184" s="58">
        <f>IFERROR(INDEX(Firms!$A$5:$A$1004,MATCH(180,Firms!$R$5:$R$1004,0))&amp;"","")</f>
        <v/>
      </c>
      <c r="C184" s="59">
        <f>IFERROR(IF(INDEX(Firms!$O$5:$O$1004,MATCH(180,Firms!$R$5:$R$1004,0))="","",INDEX(Firms!$O$5:$O$1004,MATCH(180,Firms!$R$5:$R$1004,0))),"")</f>
        <v/>
      </c>
      <c r="D184" s="58">
        <f>IFERROR(INDEX(Firms!$P$5:$P$1004,MATCH(180,Firms!$R$5:$R$1004,0))&amp;"","")</f>
        <v/>
      </c>
      <c r="E184" s="58">
        <f>IFERROR(INDEX(Firms!$C$5:$C$1004,MATCH(180,Firms!$R$5:$R$1004,0))&amp;"","")</f>
        <v/>
      </c>
      <c r="F184" s="57">
        <f>IFERROR(INDEX(Firms!$L$5:$L$1004,MATCH(180,Firms!$R$5:$R$1004,0))&amp;"","")</f>
        <v/>
      </c>
      <c r="G184" s="57">
        <f>IFERROR(INDEX(Firms!$M$5:$M$1004,MATCH(180,Firms!$R$5:$R$1004,0))&amp;"","")</f>
        <v/>
      </c>
      <c r="H184" s="58">
        <f>IFERROR(INDEX(Firms!$Q$5:$Q$1004,MATCH(180,Firms!$R$5:$R$1004,0))&amp;"","")</f>
        <v/>
      </c>
    </row>
    <row r="185">
      <c r="A185" s="57">
        <f>IF(B185="","",181)</f>
        <v/>
      </c>
      <c r="B185" s="58">
        <f>IFERROR(INDEX(Firms!$A$5:$A$1004,MATCH(181,Firms!$R$5:$R$1004,0))&amp;"","")</f>
        <v/>
      </c>
      <c r="C185" s="59">
        <f>IFERROR(IF(INDEX(Firms!$O$5:$O$1004,MATCH(181,Firms!$R$5:$R$1004,0))="","",INDEX(Firms!$O$5:$O$1004,MATCH(181,Firms!$R$5:$R$1004,0))),"")</f>
        <v/>
      </c>
      <c r="D185" s="58">
        <f>IFERROR(INDEX(Firms!$P$5:$P$1004,MATCH(181,Firms!$R$5:$R$1004,0))&amp;"","")</f>
        <v/>
      </c>
      <c r="E185" s="58">
        <f>IFERROR(INDEX(Firms!$C$5:$C$1004,MATCH(181,Firms!$R$5:$R$1004,0))&amp;"","")</f>
        <v/>
      </c>
      <c r="F185" s="57">
        <f>IFERROR(INDEX(Firms!$L$5:$L$1004,MATCH(181,Firms!$R$5:$R$1004,0))&amp;"","")</f>
        <v/>
      </c>
      <c r="G185" s="57">
        <f>IFERROR(INDEX(Firms!$M$5:$M$1004,MATCH(181,Firms!$R$5:$R$1004,0))&amp;"","")</f>
        <v/>
      </c>
      <c r="H185" s="58">
        <f>IFERROR(INDEX(Firms!$Q$5:$Q$1004,MATCH(181,Firms!$R$5:$R$1004,0))&amp;"","")</f>
        <v/>
      </c>
    </row>
    <row r="186">
      <c r="A186" s="57">
        <f>IF(B186="","",182)</f>
        <v/>
      </c>
      <c r="B186" s="58">
        <f>IFERROR(INDEX(Firms!$A$5:$A$1004,MATCH(182,Firms!$R$5:$R$1004,0))&amp;"","")</f>
        <v/>
      </c>
      <c r="C186" s="59">
        <f>IFERROR(IF(INDEX(Firms!$O$5:$O$1004,MATCH(182,Firms!$R$5:$R$1004,0))="","",INDEX(Firms!$O$5:$O$1004,MATCH(182,Firms!$R$5:$R$1004,0))),"")</f>
        <v/>
      </c>
      <c r="D186" s="58">
        <f>IFERROR(INDEX(Firms!$P$5:$P$1004,MATCH(182,Firms!$R$5:$R$1004,0))&amp;"","")</f>
        <v/>
      </c>
      <c r="E186" s="58">
        <f>IFERROR(INDEX(Firms!$C$5:$C$1004,MATCH(182,Firms!$R$5:$R$1004,0))&amp;"","")</f>
        <v/>
      </c>
      <c r="F186" s="57">
        <f>IFERROR(INDEX(Firms!$L$5:$L$1004,MATCH(182,Firms!$R$5:$R$1004,0))&amp;"","")</f>
        <v/>
      </c>
      <c r="G186" s="57">
        <f>IFERROR(INDEX(Firms!$M$5:$M$1004,MATCH(182,Firms!$R$5:$R$1004,0))&amp;"","")</f>
        <v/>
      </c>
      <c r="H186" s="58">
        <f>IFERROR(INDEX(Firms!$Q$5:$Q$1004,MATCH(182,Firms!$R$5:$R$1004,0))&amp;"","")</f>
        <v/>
      </c>
    </row>
    <row r="187">
      <c r="A187" s="57">
        <f>IF(B187="","",183)</f>
        <v/>
      </c>
      <c r="B187" s="58">
        <f>IFERROR(INDEX(Firms!$A$5:$A$1004,MATCH(183,Firms!$R$5:$R$1004,0))&amp;"","")</f>
        <v/>
      </c>
      <c r="C187" s="59">
        <f>IFERROR(IF(INDEX(Firms!$O$5:$O$1004,MATCH(183,Firms!$R$5:$R$1004,0))="","",INDEX(Firms!$O$5:$O$1004,MATCH(183,Firms!$R$5:$R$1004,0))),"")</f>
        <v/>
      </c>
      <c r="D187" s="58">
        <f>IFERROR(INDEX(Firms!$P$5:$P$1004,MATCH(183,Firms!$R$5:$R$1004,0))&amp;"","")</f>
        <v/>
      </c>
      <c r="E187" s="58">
        <f>IFERROR(INDEX(Firms!$C$5:$C$1004,MATCH(183,Firms!$R$5:$R$1004,0))&amp;"","")</f>
        <v/>
      </c>
      <c r="F187" s="57">
        <f>IFERROR(INDEX(Firms!$L$5:$L$1004,MATCH(183,Firms!$R$5:$R$1004,0))&amp;"","")</f>
        <v/>
      </c>
      <c r="G187" s="57">
        <f>IFERROR(INDEX(Firms!$M$5:$M$1004,MATCH(183,Firms!$R$5:$R$1004,0))&amp;"","")</f>
        <v/>
      </c>
      <c r="H187" s="58">
        <f>IFERROR(INDEX(Firms!$Q$5:$Q$1004,MATCH(183,Firms!$R$5:$R$1004,0))&amp;"","")</f>
        <v/>
      </c>
    </row>
    <row r="188">
      <c r="A188" s="57">
        <f>IF(B188="","",184)</f>
        <v/>
      </c>
      <c r="B188" s="58">
        <f>IFERROR(INDEX(Firms!$A$5:$A$1004,MATCH(184,Firms!$R$5:$R$1004,0))&amp;"","")</f>
        <v/>
      </c>
      <c r="C188" s="59">
        <f>IFERROR(IF(INDEX(Firms!$O$5:$O$1004,MATCH(184,Firms!$R$5:$R$1004,0))="","",INDEX(Firms!$O$5:$O$1004,MATCH(184,Firms!$R$5:$R$1004,0))),"")</f>
        <v/>
      </c>
      <c r="D188" s="58">
        <f>IFERROR(INDEX(Firms!$P$5:$P$1004,MATCH(184,Firms!$R$5:$R$1004,0))&amp;"","")</f>
        <v/>
      </c>
      <c r="E188" s="58">
        <f>IFERROR(INDEX(Firms!$C$5:$C$1004,MATCH(184,Firms!$R$5:$R$1004,0))&amp;"","")</f>
        <v/>
      </c>
      <c r="F188" s="57">
        <f>IFERROR(INDEX(Firms!$L$5:$L$1004,MATCH(184,Firms!$R$5:$R$1004,0))&amp;"","")</f>
        <v/>
      </c>
      <c r="G188" s="57">
        <f>IFERROR(INDEX(Firms!$M$5:$M$1004,MATCH(184,Firms!$R$5:$R$1004,0))&amp;"","")</f>
        <v/>
      </c>
      <c r="H188" s="58">
        <f>IFERROR(INDEX(Firms!$Q$5:$Q$1004,MATCH(184,Firms!$R$5:$R$1004,0))&amp;"","")</f>
        <v/>
      </c>
    </row>
    <row r="189">
      <c r="A189" s="57">
        <f>IF(B189="","",185)</f>
        <v/>
      </c>
      <c r="B189" s="58">
        <f>IFERROR(INDEX(Firms!$A$5:$A$1004,MATCH(185,Firms!$R$5:$R$1004,0))&amp;"","")</f>
        <v/>
      </c>
      <c r="C189" s="59">
        <f>IFERROR(IF(INDEX(Firms!$O$5:$O$1004,MATCH(185,Firms!$R$5:$R$1004,0))="","",INDEX(Firms!$O$5:$O$1004,MATCH(185,Firms!$R$5:$R$1004,0))),"")</f>
        <v/>
      </c>
      <c r="D189" s="58">
        <f>IFERROR(INDEX(Firms!$P$5:$P$1004,MATCH(185,Firms!$R$5:$R$1004,0))&amp;"","")</f>
        <v/>
      </c>
      <c r="E189" s="58">
        <f>IFERROR(INDEX(Firms!$C$5:$C$1004,MATCH(185,Firms!$R$5:$R$1004,0))&amp;"","")</f>
        <v/>
      </c>
      <c r="F189" s="57">
        <f>IFERROR(INDEX(Firms!$L$5:$L$1004,MATCH(185,Firms!$R$5:$R$1004,0))&amp;"","")</f>
        <v/>
      </c>
      <c r="G189" s="57">
        <f>IFERROR(INDEX(Firms!$M$5:$M$1004,MATCH(185,Firms!$R$5:$R$1004,0))&amp;"","")</f>
        <v/>
      </c>
      <c r="H189" s="58">
        <f>IFERROR(INDEX(Firms!$Q$5:$Q$1004,MATCH(185,Firms!$R$5:$R$1004,0))&amp;"","")</f>
        <v/>
      </c>
    </row>
    <row r="190">
      <c r="A190" s="57">
        <f>IF(B190="","",186)</f>
        <v/>
      </c>
      <c r="B190" s="58">
        <f>IFERROR(INDEX(Firms!$A$5:$A$1004,MATCH(186,Firms!$R$5:$R$1004,0))&amp;"","")</f>
        <v/>
      </c>
      <c r="C190" s="59">
        <f>IFERROR(IF(INDEX(Firms!$O$5:$O$1004,MATCH(186,Firms!$R$5:$R$1004,0))="","",INDEX(Firms!$O$5:$O$1004,MATCH(186,Firms!$R$5:$R$1004,0))),"")</f>
        <v/>
      </c>
      <c r="D190" s="58">
        <f>IFERROR(INDEX(Firms!$P$5:$P$1004,MATCH(186,Firms!$R$5:$R$1004,0))&amp;"","")</f>
        <v/>
      </c>
      <c r="E190" s="58">
        <f>IFERROR(INDEX(Firms!$C$5:$C$1004,MATCH(186,Firms!$R$5:$R$1004,0))&amp;"","")</f>
        <v/>
      </c>
      <c r="F190" s="57">
        <f>IFERROR(INDEX(Firms!$L$5:$L$1004,MATCH(186,Firms!$R$5:$R$1004,0))&amp;"","")</f>
        <v/>
      </c>
      <c r="G190" s="57">
        <f>IFERROR(INDEX(Firms!$M$5:$M$1004,MATCH(186,Firms!$R$5:$R$1004,0))&amp;"","")</f>
        <v/>
      </c>
      <c r="H190" s="58">
        <f>IFERROR(INDEX(Firms!$Q$5:$Q$1004,MATCH(186,Firms!$R$5:$R$1004,0))&amp;"","")</f>
        <v/>
      </c>
    </row>
    <row r="191">
      <c r="A191" s="57">
        <f>IF(B191="","",187)</f>
        <v/>
      </c>
      <c r="B191" s="58">
        <f>IFERROR(INDEX(Firms!$A$5:$A$1004,MATCH(187,Firms!$R$5:$R$1004,0))&amp;"","")</f>
        <v/>
      </c>
      <c r="C191" s="59">
        <f>IFERROR(IF(INDEX(Firms!$O$5:$O$1004,MATCH(187,Firms!$R$5:$R$1004,0))="","",INDEX(Firms!$O$5:$O$1004,MATCH(187,Firms!$R$5:$R$1004,0))),"")</f>
        <v/>
      </c>
      <c r="D191" s="58">
        <f>IFERROR(INDEX(Firms!$P$5:$P$1004,MATCH(187,Firms!$R$5:$R$1004,0))&amp;"","")</f>
        <v/>
      </c>
      <c r="E191" s="58">
        <f>IFERROR(INDEX(Firms!$C$5:$C$1004,MATCH(187,Firms!$R$5:$R$1004,0))&amp;"","")</f>
        <v/>
      </c>
      <c r="F191" s="57">
        <f>IFERROR(INDEX(Firms!$L$5:$L$1004,MATCH(187,Firms!$R$5:$R$1004,0))&amp;"","")</f>
        <v/>
      </c>
      <c r="G191" s="57">
        <f>IFERROR(INDEX(Firms!$M$5:$M$1004,MATCH(187,Firms!$R$5:$R$1004,0))&amp;"","")</f>
        <v/>
      </c>
      <c r="H191" s="58">
        <f>IFERROR(INDEX(Firms!$Q$5:$Q$1004,MATCH(187,Firms!$R$5:$R$1004,0))&amp;"","")</f>
        <v/>
      </c>
    </row>
    <row r="192">
      <c r="A192" s="57">
        <f>IF(B192="","",188)</f>
        <v/>
      </c>
      <c r="B192" s="58">
        <f>IFERROR(INDEX(Firms!$A$5:$A$1004,MATCH(188,Firms!$R$5:$R$1004,0))&amp;"","")</f>
        <v/>
      </c>
      <c r="C192" s="59">
        <f>IFERROR(IF(INDEX(Firms!$O$5:$O$1004,MATCH(188,Firms!$R$5:$R$1004,0))="","",INDEX(Firms!$O$5:$O$1004,MATCH(188,Firms!$R$5:$R$1004,0))),"")</f>
        <v/>
      </c>
      <c r="D192" s="58">
        <f>IFERROR(INDEX(Firms!$P$5:$P$1004,MATCH(188,Firms!$R$5:$R$1004,0))&amp;"","")</f>
        <v/>
      </c>
      <c r="E192" s="58">
        <f>IFERROR(INDEX(Firms!$C$5:$C$1004,MATCH(188,Firms!$R$5:$R$1004,0))&amp;"","")</f>
        <v/>
      </c>
      <c r="F192" s="57">
        <f>IFERROR(INDEX(Firms!$L$5:$L$1004,MATCH(188,Firms!$R$5:$R$1004,0))&amp;"","")</f>
        <v/>
      </c>
      <c r="G192" s="57">
        <f>IFERROR(INDEX(Firms!$M$5:$M$1004,MATCH(188,Firms!$R$5:$R$1004,0))&amp;"","")</f>
        <v/>
      </c>
      <c r="H192" s="58">
        <f>IFERROR(INDEX(Firms!$Q$5:$Q$1004,MATCH(188,Firms!$R$5:$R$1004,0))&amp;"","")</f>
        <v/>
      </c>
    </row>
    <row r="193">
      <c r="A193" s="57">
        <f>IF(B193="","",189)</f>
        <v/>
      </c>
      <c r="B193" s="58">
        <f>IFERROR(INDEX(Firms!$A$5:$A$1004,MATCH(189,Firms!$R$5:$R$1004,0))&amp;"","")</f>
        <v/>
      </c>
      <c r="C193" s="59">
        <f>IFERROR(IF(INDEX(Firms!$O$5:$O$1004,MATCH(189,Firms!$R$5:$R$1004,0))="","",INDEX(Firms!$O$5:$O$1004,MATCH(189,Firms!$R$5:$R$1004,0))),"")</f>
        <v/>
      </c>
      <c r="D193" s="58">
        <f>IFERROR(INDEX(Firms!$P$5:$P$1004,MATCH(189,Firms!$R$5:$R$1004,0))&amp;"","")</f>
        <v/>
      </c>
      <c r="E193" s="58">
        <f>IFERROR(INDEX(Firms!$C$5:$C$1004,MATCH(189,Firms!$R$5:$R$1004,0))&amp;"","")</f>
        <v/>
      </c>
      <c r="F193" s="57">
        <f>IFERROR(INDEX(Firms!$L$5:$L$1004,MATCH(189,Firms!$R$5:$R$1004,0))&amp;"","")</f>
        <v/>
      </c>
      <c r="G193" s="57">
        <f>IFERROR(INDEX(Firms!$M$5:$M$1004,MATCH(189,Firms!$R$5:$R$1004,0))&amp;"","")</f>
        <v/>
      </c>
      <c r="H193" s="58">
        <f>IFERROR(INDEX(Firms!$Q$5:$Q$1004,MATCH(189,Firms!$R$5:$R$1004,0))&amp;"","")</f>
        <v/>
      </c>
    </row>
    <row r="194">
      <c r="A194" s="57">
        <f>IF(B194="","",190)</f>
        <v/>
      </c>
      <c r="B194" s="58">
        <f>IFERROR(INDEX(Firms!$A$5:$A$1004,MATCH(190,Firms!$R$5:$R$1004,0))&amp;"","")</f>
        <v/>
      </c>
      <c r="C194" s="59">
        <f>IFERROR(IF(INDEX(Firms!$O$5:$O$1004,MATCH(190,Firms!$R$5:$R$1004,0))="","",INDEX(Firms!$O$5:$O$1004,MATCH(190,Firms!$R$5:$R$1004,0))),"")</f>
        <v/>
      </c>
      <c r="D194" s="58">
        <f>IFERROR(INDEX(Firms!$P$5:$P$1004,MATCH(190,Firms!$R$5:$R$1004,0))&amp;"","")</f>
        <v/>
      </c>
      <c r="E194" s="58">
        <f>IFERROR(INDEX(Firms!$C$5:$C$1004,MATCH(190,Firms!$R$5:$R$1004,0))&amp;"","")</f>
        <v/>
      </c>
      <c r="F194" s="57">
        <f>IFERROR(INDEX(Firms!$L$5:$L$1004,MATCH(190,Firms!$R$5:$R$1004,0))&amp;"","")</f>
        <v/>
      </c>
      <c r="G194" s="57">
        <f>IFERROR(INDEX(Firms!$M$5:$M$1004,MATCH(190,Firms!$R$5:$R$1004,0))&amp;"","")</f>
        <v/>
      </c>
      <c r="H194" s="58">
        <f>IFERROR(INDEX(Firms!$Q$5:$Q$1004,MATCH(190,Firms!$R$5:$R$1004,0))&amp;"","")</f>
        <v/>
      </c>
    </row>
    <row r="195">
      <c r="A195" s="57">
        <f>IF(B195="","",191)</f>
        <v/>
      </c>
      <c r="B195" s="58">
        <f>IFERROR(INDEX(Firms!$A$5:$A$1004,MATCH(191,Firms!$R$5:$R$1004,0))&amp;"","")</f>
        <v/>
      </c>
      <c r="C195" s="59">
        <f>IFERROR(IF(INDEX(Firms!$O$5:$O$1004,MATCH(191,Firms!$R$5:$R$1004,0))="","",INDEX(Firms!$O$5:$O$1004,MATCH(191,Firms!$R$5:$R$1004,0))),"")</f>
        <v/>
      </c>
      <c r="D195" s="58">
        <f>IFERROR(INDEX(Firms!$P$5:$P$1004,MATCH(191,Firms!$R$5:$R$1004,0))&amp;"","")</f>
        <v/>
      </c>
      <c r="E195" s="58">
        <f>IFERROR(INDEX(Firms!$C$5:$C$1004,MATCH(191,Firms!$R$5:$R$1004,0))&amp;"","")</f>
        <v/>
      </c>
      <c r="F195" s="57">
        <f>IFERROR(INDEX(Firms!$L$5:$L$1004,MATCH(191,Firms!$R$5:$R$1004,0))&amp;"","")</f>
        <v/>
      </c>
      <c r="G195" s="57">
        <f>IFERROR(INDEX(Firms!$M$5:$M$1004,MATCH(191,Firms!$R$5:$R$1004,0))&amp;"","")</f>
        <v/>
      </c>
      <c r="H195" s="58">
        <f>IFERROR(INDEX(Firms!$Q$5:$Q$1004,MATCH(191,Firms!$R$5:$R$1004,0))&amp;"","")</f>
        <v/>
      </c>
    </row>
    <row r="196">
      <c r="A196" s="57">
        <f>IF(B196="","",192)</f>
        <v/>
      </c>
      <c r="B196" s="58">
        <f>IFERROR(INDEX(Firms!$A$5:$A$1004,MATCH(192,Firms!$R$5:$R$1004,0))&amp;"","")</f>
        <v/>
      </c>
      <c r="C196" s="59">
        <f>IFERROR(IF(INDEX(Firms!$O$5:$O$1004,MATCH(192,Firms!$R$5:$R$1004,0))="","",INDEX(Firms!$O$5:$O$1004,MATCH(192,Firms!$R$5:$R$1004,0))),"")</f>
        <v/>
      </c>
      <c r="D196" s="58">
        <f>IFERROR(INDEX(Firms!$P$5:$P$1004,MATCH(192,Firms!$R$5:$R$1004,0))&amp;"","")</f>
        <v/>
      </c>
      <c r="E196" s="58">
        <f>IFERROR(INDEX(Firms!$C$5:$C$1004,MATCH(192,Firms!$R$5:$R$1004,0))&amp;"","")</f>
        <v/>
      </c>
      <c r="F196" s="57">
        <f>IFERROR(INDEX(Firms!$L$5:$L$1004,MATCH(192,Firms!$R$5:$R$1004,0))&amp;"","")</f>
        <v/>
      </c>
      <c r="G196" s="57">
        <f>IFERROR(INDEX(Firms!$M$5:$M$1004,MATCH(192,Firms!$R$5:$R$1004,0))&amp;"","")</f>
        <v/>
      </c>
      <c r="H196" s="58">
        <f>IFERROR(INDEX(Firms!$Q$5:$Q$1004,MATCH(192,Firms!$R$5:$R$1004,0))&amp;"","")</f>
        <v/>
      </c>
    </row>
    <row r="197">
      <c r="A197" s="57">
        <f>IF(B197="","",193)</f>
        <v/>
      </c>
      <c r="B197" s="58">
        <f>IFERROR(INDEX(Firms!$A$5:$A$1004,MATCH(193,Firms!$R$5:$R$1004,0))&amp;"","")</f>
        <v/>
      </c>
      <c r="C197" s="59">
        <f>IFERROR(IF(INDEX(Firms!$O$5:$O$1004,MATCH(193,Firms!$R$5:$R$1004,0))="","",INDEX(Firms!$O$5:$O$1004,MATCH(193,Firms!$R$5:$R$1004,0))),"")</f>
        <v/>
      </c>
      <c r="D197" s="58">
        <f>IFERROR(INDEX(Firms!$P$5:$P$1004,MATCH(193,Firms!$R$5:$R$1004,0))&amp;"","")</f>
        <v/>
      </c>
      <c r="E197" s="58">
        <f>IFERROR(INDEX(Firms!$C$5:$C$1004,MATCH(193,Firms!$R$5:$R$1004,0))&amp;"","")</f>
        <v/>
      </c>
      <c r="F197" s="57">
        <f>IFERROR(INDEX(Firms!$L$5:$L$1004,MATCH(193,Firms!$R$5:$R$1004,0))&amp;"","")</f>
        <v/>
      </c>
      <c r="G197" s="57">
        <f>IFERROR(INDEX(Firms!$M$5:$M$1004,MATCH(193,Firms!$R$5:$R$1004,0))&amp;"","")</f>
        <v/>
      </c>
      <c r="H197" s="58">
        <f>IFERROR(INDEX(Firms!$Q$5:$Q$1004,MATCH(193,Firms!$R$5:$R$1004,0))&amp;"","")</f>
        <v/>
      </c>
    </row>
    <row r="198">
      <c r="A198" s="57">
        <f>IF(B198="","",194)</f>
        <v/>
      </c>
      <c r="B198" s="58">
        <f>IFERROR(INDEX(Firms!$A$5:$A$1004,MATCH(194,Firms!$R$5:$R$1004,0))&amp;"","")</f>
        <v/>
      </c>
      <c r="C198" s="59">
        <f>IFERROR(IF(INDEX(Firms!$O$5:$O$1004,MATCH(194,Firms!$R$5:$R$1004,0))="","",INDEX(Firms!$O$5:$O$1004,MATCH(194,Firms!$R$5:$R$1004,0))),"")</f>
        <v/>
      </c>
      <c r="D198" s="58">
        <f>IFERROR(INDEX(Firms!$P$5:$P$1004,MATCH(194,Firms!$R$5:$R$1004,0))&amp;"","")</f>
        <v/>
      </c>
      <c r="E198" s="58">
        <f>IFERROR(INDEX(Firms!$C$5:$C$1004,MATCH(194,Firms!$R$5:$R$1004,0))&amp;"","")</f>
        <v/>
      </c>
      <c r="F198" s="57">
        <f>IFERROR(INDEX(Firms!$L$5:$L$1004,MATCH(194,Firms!$R$5:$R$1004,0))&amp;"","")</f>
        <v/>
      </c>
      <c r="G198" s="57">
        <f>IFERROR(INDEX(Firms!$M$5:$M$1004,MATCH(194,Firms!$R$5:$R$1004,0))&amp;"","")</f>
        <v/>
      </c>
      <c r="H198" s="58">
        <f>IFERROR(INDEX(Firms!$Q$5:$Q$1004,MATCH(194,Firms!$R$5:$R$1004,0))&amp;"","")</f>
        <v/>
      </c>
    </row>
    <row r="199">
      <c r="A199" s="57">
        <f>IF(B199="","",195)</f>
        <v/>
      </c>
      <c r="B199" s="58">
        <f>IFERROR(INDEX(Firms!$A$5:$A$1004,MATCH(195,Firms!$R$5:$R$1004,0))&amp;"","")</f>
        <v/>
      </c>
      <c r="C199" s="59">
        <f>IFERROR(IF(INDEX(Firms!$O$5:$O$1004,MATCH(195,Firms!$R$5:$R$1004,0))="","",INDEX(Firms!$O$5:$O$1004,MATCH(195,Firms!$R$5:$R$1004,0))),"")</f>
        <v/>
      </c>
      <c r="D199" s="58">
        <f>IFERROR(INDEX(Firms!$P$5:$P$1004,MATCH(195,Firms!$R$5:$R$1004,0))&amp;"","")</f>
        <v/>
      </c>
      <c r="E199" s="58">
        <f>IFERROR(INDEX(Firms!$C$5:$C$1004,MATCH(195,Firms!$R$5:$R$1004,0))&amp;"","")</f>
        <v/>
      </c>
      <c r="F199" s="57">
        <f>IFERROR(INDEX(Firms!$L$5:$L$1004,MATCH(195,Firms!$R$5:$R$1004,0))&amp;"","")</f>
        <v/>
      </c>
      <c r="G199" s="57">
        <f>IFERROR(INDEX(Firms!$M$5:$M$1004,MATCH(195,Firms!$R$5:$R$1004,0))&amp;"","")</f>
        <v/>
      </c>
      <c r="H199" s="58">
        <f>IFERROR(INDEX(Firms!$Q$5:$Q$1004,MATCH(195,Firms!$R$5:$R$1004,0))&amp;"","")</f>
        <v/>
      </c>
    </row>
    <row r="200">
      <c r="A200" s="57">
        <f>IF(B200="","",196)</f>
        <v/>
      </c>
      <c r="B200" s="58">
        <f>IFERROR(INDEX(Firms!$A$5:$A$1004,MATCH(196,Firms!$R$5:$R$1004,0))&amp;"","")</f>
        <v/>
      </c>
      <c r="C200" s="59">
        <f>IFERROR(IF(INDEX(Firms!$O$5:$O$1004,MATCH(196,Firms!$R$5:$R$1004,0))="","",INDEX(Firms!$O$5:$O$1004,MATCH(196,Firms!$R$5:$R$1004,0))),"")</f>
        <v/>
      </c>
      <c r="D200" s="58">
        <f>IFERROR(INDEX(Firms!$P$5:$P$1004,MATCH(196,Firms!$R$5:$R$1004,0))&amp;"","")</f>
        <v/>
      </c>
      <c r="E200" s="58">
        <f>IFERROR(INDEX(Firms!$C$5:$C$1004,MATCH(196,Firms!$R$5:$R$1004,0))&amp;"","")</f>
        <v/>
      </c>
      <c r="F200" s="57">
        <f>IFERROR(INDEX(Firms!$L$5:$L$1004,MATCH(196,Firms!$R$5:$R$1004,0))&amp;"","")</f>
        <v/>
      </c>
      <c r="G200" s="57">
        <f>IFERROR(INDEX(Firms!$M$5:$M$1004,MATCH(196,Firms!$R$5:$R$1004,0))&amp;"","")</f>
        <v/>
      </c>
      <c r="H200" s="58">
        <f>IFERROR(INDEX(Firms!$Q$5:$Q$1004,MATCH(196,Firms!$R$5:$R$1004,0))&amp;"","")</f>
        <v/>
      </c>
    </row>
    <row r="201">
      <c r="A201" s="57">
        <f>IF(B201="","",197)</f>
        <v/>
      </c>
      <c r="B201" s="58">
        <f>IFERROR(INDEX(Firms!$A$5:$A$1004,MATCH(197,Firms!$R$5:$R$1004,0))&amp;"","")</f>
        <v/>
      </c>
      <c r="C201" s="59">
        <f>IFERROR(IF(INDEX(Firms!$O$5:$O$1004,MATCH(197,Firms!$R$5:$R$1004,0))="","",INDEX(Firms!$O$5:$O$1004,MATCH(197,Firms!$R$5:$R$1004,0))),"")</f>
        <v/>
      </c>
      <c r="D201" s="58">
        <f>IFERROR(INDEX(Firms!$P$5:$P$1004,MATCH(197,Firms!$R$5:$R$1004,0))&amp;"","")</f>
        <v/>
      </c>
      <c r="E201" s="58">
        <f>IFERROR(INDEX(Firms!$C$5:$C$1004,MATCH(197,Firms!$R$5:$R$1004,0))&amp;"","")</f>
        <v/>
      </c>
      <c r="F201" s="57">
        <f>IFERROR(INDEX(Firms!$L$5:$L$1004,MATCH(197,Firms!$R$5:$R$1004,0))&amp;"","")</f>
        <v/>
      </c>
      <c r="G201" s="57">
        <f>IFERROR(INDEX(Firms!$M$5:$M$1004,MATCH(197,Firms!$R$5:$R$1004,0))&amp;"","")</f>
        <v/>
      </c>
      <c r="H201" s="58">
        <f>IFERROR(INDEX(Firms!$Q$5:$Q$1004,MATCH(197,Firms!$R$5:$R$1004,0))&amp;"","")</f>
        <v/>
      </c>
    </row>
    <row r="202">
      <c r="A202" s="57">
        <f>IF(B202="","",198)</f>
        <v/>
      </c>
      <c r="B202" s="58">
        <f>IFERROR(INDEX(Firms!$A$5:$A$1004,MATCH(198,Firms!$R$5:$R$1004,0))&amp;"","")</f>
        <v/>
      </c>
      <c r="C202" s="59">
        <f>IFERROR(IF(INDEX(Firms!$O$5:$O$1004,MATCH(198,Firms!$R$5:$R$1004,0))="","",INDEX(Firms!$O$5:$O$1004,MATCH(198,Firms!$R$5:$R$1004,0))),"")</f>
        <v/>
      </c>
      <c r="D202" s="58">
        <f>IFERROR(INDEX(Firms!$P$5:$P$1004,MATCH(198,Firms!$R$5:$R$1004,0))&amp;"","")</f>
        <v/>
      </c>
      <c r="E202" s="58">
        <f>IFERROR(INDEX(Firms!$C$5:$C$1004,MATCH(198,Firms!$R$5:$R$1004,0))&amp;"","")</f>
        <v/>
      </c>
      <c r="F202" s="57">
        <f>IFERROR(INDEX(Firms!$L$5:$L$1004,MATCH(198,Firms!$R$5:$R$1004,0))&amp;"","")</f>
        <v/>
      </c>
      <c r="G202" s="57">
        <f>IFERROR(INDEX(Firms!$M$5:$M$1004,MATCH(198,Firms!$R$5:$R$1004,0))&amp;"","")</f>
        <v/>
      </c>
      <c r="H202" s="58">
        <f>IFERROR(INDEX(Firms!$Q$5:$Q$1004,MATCH(198,Firms!$R$5:$R$1004,0))&amp;"","")</f>
        <v/>
      </c>
    </row>
    <row r="203">
      <c r="A203" s="57">
        <f>IF(B203="","",199)</f>
        <v/>
      </c>
      <c r="B203" s="58">
        <f>IFERROR(INDEX(Firms!$A$5:$A$1004,MATCH(199,Firms!$R$5:$R$1004,0))&amp;"","")</f>
        <v/>
      </c>
      <c r="C203" s="59">
        <f>IFERROR(IF(INDEX(Firms!$O$5:$O$1004,MATCH(199,Firms!$R$5:$R$1004,0))="","",INDEX(Firms!$O$5:$O$1004,MATCH(199,Firms!$R$5:$R$1004,0))),"")</f>
        <v/>
      </c>
      <c r="D203" s="58">
        <f>IFERROR(INDEX(Firms!$P$5:$P$1004,MATCH(199,Firms!$R$5:$R$1004,0))&amp;"","")</f>
        <v/>
      </c>
      <c r="E203" s="58">
        <f>IFERROR(INDEX(Firms!$C$5:$C$1004,MATCH(199,Firms!$R$5:$R$1004,0))&amp;"","")</f>
        <v/>
      </c>
      <c r="F203" s="57">
        <f>IFERROR(INDEX(Firms!$L$5:$L$1004,MATCH(199,Firms!$R$5:$R$1004,0))&amp;"","")</f>
        <v/>
      </c>
      <c r="G203" s="57">
        <f>IFERROR(INDEX(Firms!$M$5:$M$1004,MATCH(199,Firms!$R$5:$R$1004,0))&amp;"","")</f>
        <v/>
      </c>
      <c r="H203" s="58">
        <f>IFERROR(INDEX(Firms!$Q$5:$Q$1004,MATCH(199,Firms!$R$5:$R$1004,0))&amp;"","")</f>
        <v/>
      </c>
    </row>
    <row r="204">
      <c r="A204" s="57">
        <f>IF(B204="","",200)</f>
        <v/>
      </c>
      <c r="B204" s="58">
        <f>IFERROR(INDEX(Firms!$A$5:$A$1004,MATCH(200,Firms!$R$5:$R$1004,0))&amp;"","")</f>
        <v/>
      </c>
      <c r="C204" s="59">
        <f>IFERROR(IF(INDEX(Firms!$O$5:$O$1004,MATCH(200,Firms!$R$5:$R$1004,0))="","",INDEX(Firms!$O$5:$O$1004,MATCH(200,Firms!$R$5:$R$1004,0))),"")</f>
        <v/>
      </c>
      <c r="D204" s="58">
        <f>IFERROR(INDEX(Firms!$P$5:$P$1004,MATCH(200,Firms!$R$5:$R$1004,0))&amp;"","")</f>
        <v/>
      </c>
      <c r="E204" s="58">
        <f>IFERROR(INDEX(Firms!$C$5:$C$1004,MATCH(200,Firms!$R$5:$R$1004,0))&amp;"","")</f>
        <v/>
      </c>
      <c r="F204" s="57">
        <f>IFERROR(INDEX(Firms!$L$5:$L$1004,MATCH(200,Firms!$R$5:$R$1004,0))&amp;"","")</f>
        <v/>
      </c>
      <c r="G204" s="57">
        <f>IFERROR(INDEX(Firms!$M$5:$M$1004,MATCH(200,Firms!$R$5:$R$1004,0))&amp;"","")</f>
        <v/>
      </c>
      <c r="H204" s="58">
        <f>IFERROR(INDEX(Firms!$Q$5:$Q$1004,MATCH(200,Firms!$R$5:$R$1004,0))&amp;"","")</f>
        <v/>
      </c>
    </row>
    <row r="205">
      <c r="A205" s="57">
        <f>IF(B205="","",201)</f>
        <v/>
      </c>
      <c r="B205" s="58">
        <f>IFERROR(INDEX(Firms!$A$5:$A$1004,MATCH(201,Firms!$R$5:$R$1004,0))&amp;"","")</f>
        <v/>
      </c>
      <c r="C205" s="59">
        <f>IFERROR(IF(INDEX(Firms!$O$5:$O$1004,MATCH(201,Firms!$R$5:$R$1004,0))="","",INDEX(Firms!$O$5:$O$1004,MATCH(201,Firms!$R$5:$R$1004,0))),"")</f>
        <v/>
      </c>
      <c r="D205" s="58">
        <f>IFERROR(INDEX(Firms!$P$5:$P$1004,MATCH(201,Firms!$R$5:$R$1004,0))&amp;"","")</f>
        <v/>
      </c>
      <c r="E205" s="58">
        <f>IFERROR(INDEX(Firms!$C$5:$C$1004,MATCH(201,Firms!$R$5:$R$1004,0))&amp;"","")</f>
        <v/>
      </c>
      <c r="F205" s="57">
        <f>IFERROR(INDEX(Firms!$L$5:$L$1004,MATCH(201,Firms!$R$5:$R$1004,0))&amp;"","")</f>
        <v/>
      </c>
      <c r="G205" s="57">
        <f>IFERROR(INDEX(Firms!$M$5:$M$1004,MATCH(201,Firms!$R$5:$R$1004,0))&amp;"","")</f>
        <v/>
      </c>
      <c r="H205" s="58">
        <f>IFERROR(INDEX(Firms!$Q$5:$Q$1004,MATCH(201,Firms!$R$5:$R$1004,0))&amp;"","")</f>
        <v/>
      </c>
    </row>
    <row r="206">
      <c r="A206" s="57">
        <f>IF(B206="","",202)</f>
        <v/>
      </c>
      <c r="B206" s="58">
        <f>IFERROR(INDEX(Firms!$A$5:$A$1004,MATCH(202,Firms!$R$5:$R$1004,0))&amp;"","")</f>
        <v/>
      </c>
      <c r="C206" s="59">
        <f>IFERROR(IF(INDEX(Firms!$O$5:$O$1004,MATCH(202,Firms!$R$5:$R$1004,0))="","",INDEX(Firms!$O$5:$O$1004,MATCH(202,Firms!$R$5:$R$1004,0))),"")</f>
        <v/>
      </c>
      <c r="D206" s="58">
        <f>IFERROR(INDEX(Firms!$P$5:$P$1004,MATCH(202,Firms!$R$5:$R$1004,0))&amp;"","")</f>
        <v/>
      </c>
      <c r="E206" s="58">
        <f>IFERROR(INDEX(Firms!$C$5:$C$1004,MATCH(202,Firms!$R$5:$R$1004,0))&amp;"","")</f>
        <v/>
      </c>
      <c r="F206" s="57">
        <f>IFERROR(INDEX(Firms!$L$5:$L$1004,MATCH(202,Firms!$R$5:$R$1004,0))&amp;"","")</f>
        <v/>
      </c>
      <c r="G206" s="57">
        <f>IFERROR(INDEX(Firms!$M$5:$M$1004,MATCH(202,Firms!$R$5:$R$1004,0))&amp;"","")</f>
        <v/>
      </c>
      <c r="H206" s="58">
        <f>IFERROR(INDEX(Firms!$Q$5:$Q$1004,MATCH(202,Firms!$R$5:$R$1004,0))&amp;"","")</f>
        <v/>
      </c>
    </row>
    <row r="207">
      <c r="A207" s="57">
        <f>IF(B207="","",203)</f>
        <v/>
      </c>
      <c r="B207" s="58">
        <f>IFERROR(INDEX(Firms!$A$5:$A$1004,MATCH(203,Firms!$R$5:$R$1004,0))&amp;"","")</f>
        <v/>
      </c>
      <c r="C207" s="59">
        <f>IFERROR(IF(INDEX(Firms!$O$5:$O$1004,MATCH(203,Firms!$R$5:$R$1004,0))="","",INDEX(Firms!$O$5:$O$1004,MATCH(203,Firms!$R$5:$R$1004,0))),"")</f>
        <v/>
      </c>
      <c r="D207" s="58">
        <f>IFERROR(INDEX(Firms!$P$5:$P$1004,MATCH(203,Firms!$R$5:$R$1004,0))&amp;"","")</f>
        <v/>
      </c>
      <c r="E207" s="58">
        <f>IFERROR(INDEX(Firms!$C$5:$C$1004,MATCH(203,Firms!$R$5:$R$1004,0))&amp;"","")</f>
        <v/>
      </c>
      <c r="F207" s="57">
        <f>IFERROR(INDEX(Firms!$L$5:$L$1004,MATCH(203,Firms!$R$5:$R$1004,0))&amp;"","")</f>
        <v/>
      </c>
      <c r="G207" s="57">
        <f>IFERROR(INDEX(Firms!$M$5:$M$1004,MATCH(203,Firms!$R$5:$R$1004,0))&amp;"","")</f>
        <v/>
      </c>
      <c r="H207" s="58">
        <f>IFERROR(INDEX(Firms!$Q$5:$Q$1004,MATCH(203,Firms!$R$5:$R$1004,0))&amp;"","")</f>
        <v/>
      </c>
    </row>
    <row r="208">
      <c r="A208" s="57">
        <f>IF(B208="","",204)</f>
        <v/>
      </c>
      <c r="B208" s="58">
        <f>IFERROR(INDEX(Firms!$A$5:$A$1004,MATCH(204,Firms!$R$5:$R$1004,0))&amp;"","")</f>
        <v/>
      </c>
      <c r="C208" s="59">
        <f>IFERROR(IF(INDEX(Firms!$O$5:$O$1004,MATCH(204,Firms!$R$5:$R$1004,0))="","",INDEX(Firms!$O$5:$O$1004,MATCH(204,Firms!$R$5:$R$1004,0))),"")</f>
        <v/>
      </c>
      <c r="D208" s="58">
        <f>IFERROR(INDEX(Firms!$P$5:$P$1004,MATCH(204,Firms!$R$5:$R$1004,0))&amp;"","")</f>
        <v/>
      </c>
      <c r="E208" s="58">
        <f>IFERROR(INDEX(Firms!$C$5:$C$1004,MATCH(204,Firms!$R$5:$R$1004,0))&amp;"","")</f>
        <v/>
      </c>
      <c r="F208" s="57">
        <f>IFERROR(INDEX(Firms!$L$5:$L$1004,MATCH(204,Firms!$R$5:$R$1004,0))&amp;"","")</f>
        <v/>
      </c>
      <c r="G208" s="57">
        <f>IFERROR(INDEX(Firms!$M$5:$M$1004,MATCH(204,Firms!$R$5:$R$1004,0))&amp;"","")</f>
        <v/>
      </c>
      <c r="H208" s="58">
        <f>IFERROR(INDEX(Firms!$Q$5:$Q$1004,MATCH(204,Firms!$R$5:$R$1004,0))&amp;"","")</f>
        <v/>
      </c>
    </row>
    <row r="209">
      <c r="A209" s="57">
        <f>IF(B209="","",205)</f>
        <v/>
      </c>
      <c r="B209" s="58">
        <f>IFERROR(INDEX(Firms!$A$5:$A$1004,MATCH(205,Firms!$R$5:$R$1004,0))&amp;"","")</f>
        <v/>
      </c>
      <c r="C209" s="59">
        <f>IFERROR(IF(INDEX(Firms!$O$5:$O$1004,MATCH(205,Firms!$R$5:$R$1004,0))="","",INDEX(Firms!$O$5:$O$1004,MATCH(205,Firms!$R$5:$R$1004,0))),"")</f>
        <v/>
      </c>
      <c r="D209" s="58">
        <f>IFERROR(INDEX(Firms!$P$5:$P$1004,MATCH(205,Firms!$R$5:$R$1004,0))&amp;"","")</f>
        <v/>
      </c>
      <c r="E209" s="58">
        <f>IFERROR(INDEX(Firms!$C$5:$C$1004,MATCH(205,Firms!$R$5:$R$1004,0))&amp;"","")</f>
        <v/>
      </c>
      <c r="F209" s="57">
        <f>IFERROR(INDEX(Firms!$L$5:$L$1004,MATCH(205,Firms!$R$5:$R$1004,0))&amp;"","")</f>
        <v/>
      </c>
      <c r="G209" s="57">
        <f>IFERROR(INDEX(Firms!$M$5:$M$1004,MATCH(205,Firms!$R$5:$R$1004,0))&amp;"","")</f>
        <v/>
      </c>
      <c r="H209" s="58">
        <f>IFERROR(INDEX(Firms!$Q$5:$Q$1004,MATCH(205,Firms!$R$5:$R$1004,0))&amp;"","")</f>
        <v/>
      </c>
    </row>
    <row r="210">
      <c r="A210" s="57">
        <f>IF(B210="","",206)</f>
        <v/>
      </c>
      <c r="B210" s="58">
        <f>IFERROR(INDEX(Firms!$A$5:$A$1004,MATCH(206,Firms!$R$5:$R$1004,0))&amp;"","")</f>
        <v/>
      </c>
      <c r="C210" s="59">
        <f>IFERROR(IF(INDEX(Firms!$O$5:$O$1004,MATCH(206,Firms!$R$5:$R$1004,0))="","",INDEX(Firms!$O$5:$O$1004,MATCH(206,Firms!$R$5:$R$1004,0))),"")</f>
        <v/>
      </c>
      <c r="D210" s="58">
        <f>IFERROR(INDEX(Firms!$P$5:$P$1004,MATCH(206,Firms!$R$5:$R$1004,0))&amp;"","")</f>
        <v/>
      </c>
      <c r="E210" s="58">
        <f>IFERROR(INDEX(Firms!$C$5:$C$1004,MATCH(206,Firms!$R$5:$R$1004,0))&amp;"","")</f>
        <v/>
      </c>
      <c r="F210" s="57">
        <f>IFERROR(INDEX(Firms!$L$5:$L$1004,MATCH(206,Firms!$R$5:$R$1004,0))&amp;"","")</f>
        <v/>
      </c>
      <c r="G210" s="57">
        <f>IFERROR(INDEX(Firms!$M$5:$M$1004,MATCH(206,Firms!$R$5:$R$1004,0))&amp;"","")</f>
        <v/>
      </c>
      <c r="H210" s="58">
        <f>IFERROR(INDEX(Firms!$Q$5:$Q$1004,MATCH(206,Firms!$R$5:$R$1004,0))&amp;"","")</f>
        <v/>
      </c>
    </row>
    <row r="211">
      <c r="A211" s="57">
        <f>IF(B211="","",207)</f>
        <v/>
      </c>
      <c r="B211" s="58">
        <f>IFERROR(INDEX(Firms!$A$5:$A$1004,MATCH(207,Firms!$R$5:$R$1004,0))&amp;"","")</f>
        <v/>
      </c>
      <c r="C211" s="59">
        <f>IFERROR(IF(INDEX(Firms!$O$5:$O$1004,MATCH(207,Firms!$R$5:$R$1004,0))="","",INDEX(Firms!$O$5:$O$1004,MATCH(207,Firms!$R$5:$R$1004,0))),"")</f>
        <v/>
      </c>
      <c r="D211" s="58">
        <f>IFERROR(INDEX(Firms!$P$5:$P$1004,MATCH(207,Firms!$R$5:$R$1004,0))&amp;"","")</f>
        <v/>
      </c>
      <c r="E211" s="58">
        <f>IFERROR(INDEX(Firms!$C$5:$C$1004,MATCH(207,Firms!$R$5:$R$1004,0))&amp;"","")</f>
        <v/>
      </c>
      <c r="F211" s="57">
        <f>IFERROR(INDEX(Firms!$L$5:$L$1004,MATCH(207,Firms!$R$5:$R$1004,0))&amp;"","")</f>
        <v/>
      </c>
      <c r="G211" s="57">
        <f>IFERROR(INDEX(Firms!$M$5:$M$1004,MATCH(207,Firms!$R$5:$R$1004,0))&amp;"","")</f>
        <v/>
      </c>
      <c r="H211" s="58">
        <f>IFERROR(INDEX(Firms!$Q$5:$Q$1004,MATCH(207,Firms!$R$5:$R$1004,0))&amp;"","")</f>
        <v/>
      </c>
    </row>
    <row r="212">
      <c r="A212" s="57">
        <f>IF(B212="","",208)</f>
        <v/>
      </c>
      <c r="B212" s="58">
        <f>IFERROR(INDEX(Firms!$A$5:$A$1004,MATCH(208,Firms!$R$5:$R$1004,0))&amp;"","")</f>
        <v/>
      </c>
      <c r="C212" s="59">
        <f>IFERROR(IF(INDEX(Firms!$O$5:$O$1004,MATCH(208,Firms!$R$5:$R$1004,0))="","",INDEX(Firms!$O$5:$O$1004,MATCH(208,Firms!$R$5:$R$1004,0))),"")</f>
        <v/>
      </c>
      <c r="D212" s="58">
        <f>IFERROR(INDEX(Firms!$P$5:$P$1004,MATCH(208,Firms!$R$5:$R$1004,0))&amp;"","")</f>
        <v/>
      </c>
      <c r="E212" s="58">
        <f>IFERROR(INDEX(Firms!$C$5:$C$1004,MATCH(208,Firms!$R$5:$R$1004,0))&amp;"","")</f>
        <v/>
      </c>
      <c r="F212" s="57">
        <f>IFERROR(INDEX(Firms!$L$5:$L$1004,MATCH(208,Firms!$R$5:$R$1004,0))&amp;"","")</f>
        <v/>
      </c>
      <c r="G212" s="57">
        <f>IFERROR(INDEX(Firms!$M$5:$M$1004,MATCH(208,Firms!$R$5:$R$1004,0))&amp;"","")</f>
        <v/>
      </c>
      <c r="H212" s="58">
        <f>IFERROR(INDEX(Firms!$Q$5:$Q$1004,MATCH(208,Firms!$R$5:$R$1004,0))&amp;"","")</f>
        <v/>
      </c>
    </row>
    <row r="213">
      <c r="A213" s="57">
        <f>IF(B213="","",209)</f>
        <v/>
      </c>
      <c r="B213" s="58">
        <f>IFERROR(INDEX(Firms!$A$5:$A$1004,MATCH(209,Firms!$R$5:$R$1004,0))&amp;"","")</f>
        <v/>
      </c>
      <c r="C213" s="59">
        <f>IFERROR(IF(INDEX(Firms!$O$5:$O$1004,MATCH(209,Firms!$R$5:$R$1004,0))="","",INDEX(Firms!$O$5:$O$1004,MATCH(209,Firms!$R$5:$R$1004,0))),"")</f>
        <v/>
      </c>
      <c r="D213" s="58">
        <f>IFERROR(INDEX(Firms!$P$5:$P$1004,MATCH(209,Firms!$R$5:$R$1004,0))&amp;"","")</f>
        <v/>
      </c>
      <c r="E213" s="58">
        <f>IFERROR(INDEX(Firms!$C$5:$C$1004,MATCH(209,Firms!$R$5:$R$1004,0))&amp;"","")</f>
        <v/>
      </c>
      <c r="F213" s="57">
        <f>IFERROR(INDEX(Firms!$L$5:$L$1004,MATCH(209,Firms!$R$5:$R$1004,0))&amp;"","")</f>
        <v/>
      </c>
      <c r="G213" s="57">
        <f>IFERROR(INDEX(Firms!$M$5:$M$1004,MATCH(209,Firms!$R$5:$R$1004,0))&amp;"","")</f>
        <v/>
      </c>
      <c r="H213" s="58">
        <f>IFERROR(INDEX(Firms!$Q$5:$Q$1004,MATCH(209,Firms!$R$5:$R$1004,0))&amp;"","")</f>
        <v/>
      </c>
    </row>
    <row r="214">
      <c r="A214" s="57">
        <f>IF(B214="","",210)</f>
        <v/>
      </c>
      <c r="B214" s="58">
        <f>IFERROR(INDEX(Firms!$A$5:$A$1004,MATCH(210,Firms!$R$5:$R$1004,0))&amp;"","")</f>
        <v/>
      </c>
      <c r="C214" s="59">
        <f>IFERROR(IF(INDEX(Firms!$O$5:$O$1004,MATCH(210,Firms!$R$5:$R$1004,0))="","",INDEX(Firms!$O$5:$O$1004,MATCH(210,Firms!$R$5:$R$1004,0))),"")</f>
        <v/>
      </c>
      <c r="D214" s="58">
        <f>IFERROR(INDEX(Firms!$P$5:$P$1004,MATCH(210,Firms!$R$5:$R$1004,0))&amp;"","")</f>
        <v/>
      </c>
      <c r="E214" s="58">
        <f>IFERROR(INDEX(Firms!$C$5:$C$1004,MATCH(210,Firms!$R$5:$R$1004,0))&amp;"","")</f>
        <v/>
      </c>
      <c r="F214" s="57">
        <f>IFERROR(INDEX(Firms!$L$5:$L$1004,MATCH(210,Firms!$R$5:$R$1004,0))&amp;"","")</f>
        <v/>
      </c>
      <c r="G214" s="57">
        <f>IFERROR(INDEX(Firms!$M$5:$M$1004,MATCH(210,Firms!$R$5:$R$1004,0))&amp;"","")</f>
        <v/>
      </c>
      <c r="H214" s="58">
        <f>IFERROR(INDEX(Firms!$Q$5:$Q$1004,MATCH(210,Firms!$R$5:$R$1004,0))&amp;"","")</f>
        <v/>
      </c>
    </row>
    <row r="215">
      <c r="A215" s="57">
        <f>IF(B215="","",211)</f>
        <v/>
      </c>
      <c r="B215" s="58">
        <f>IFERROR(INDEX(Firms!$A$5:$A$1004,MATCH(211,Firms!$R$5:$R$1004,0))&amp;"","")</f>
        <v/>
      </c>
      <c r="C215" s="59">
        <f>IFERROR(IF(INDEX(Firms!$O$5:$O$1004,MATCH(211,Firms!$R$5:$R$1004,0))="","",INDEX(Firms!$O$5:$O$1004,MATCH(211,Firms!$R$5:$R$1004,0))),"")</f>
        <v/>
      </c>
      <c r="D215" s="58">
        <f>IFERROR(INDEX(Firms!$P$5:$P$1004,MATCH(211,Firms!$R$5:$R$1004,0))&amp;"","")</f>
        <v/>
      </c>
      <c r="E215" s="58">
        <f>IFERROR(INDEX(Firms!$C$5:$C$1004,MATCH(211,Firms!$R$5:$R$1004,0))&amp;"","")</f>
        <v/>
      </c>
      <c r="F215" s="57">
        <f>IFERROR(INDEX(Firms!$L$5:$L$1004,MATCH(211,Firms!$R$5:$R$1004,0))&amp;"","")</f>
        <v/>
      </c>
      <c r="G215" s="57">
        <f>IFERROR(INDEX(Firms!$M$5:$M$1004,MATCH(211,Firms!$R$5:$R$1004,0))&amp;"","")</f>
        <v/>
      </c>
      <c r="H215" s="58">
        <f>IFERROR(INDEX(Firms!$Q$5:$Q$1004,MATCH(211,Firms!$R$5:$R$1004,0))&amp;"","")</f>
        <v/>
      </c>
    </row>
    <row r="216">
      <c r="A216" s="57">
        <f>IF(B216="","",212)</f>
        <v/>
      </c>
      <c r="B216" s="58">
        <f>IFERROR(INDEX(Firms!$A$5:$A$1004,MATCH(212,Firms!$R$5:$R$1004,0))&amp;"","")</f>
        <v/>
      </c>
      <c r="C216" s="59">
        <f>IFERROR(IF(INDEX(Firms!$O$5:$O$1004,MATCH(212,Firms!$R$5:$R$1004,0))="","",INDEX(Firms!$O$5:$O$1004,MATCH(212,Firms!$R$5:$R$1004,0))),"")</f>
        <v/>
      </c>
      <c r="D216" s="58">
        <f>IFERROR(INDEX(Firms!$P$5:$P$1004,MATCH(212,Firms!$R$5:$R$1004,0))&amp;"","")</f>
        <v/>
      </c>
      <c r="E216" s="58">
        <f>IFERROR(INDEX(Firms!$C$5:$C$1004,MATCH(212,Firms!$R$5:$R$1004,0))&amp;"","")</f>
        <v/>
      </c>
      <c r="F216" s="57">
        <f>IFERROR(INDEX(Firms!$L$5:$L$1004,MATCH(212,Firms!$R$5:$R$1004,0))&amp;"","")</f>
        <v/>
      </c>
      <c r="G216" s="57">
        <f>IFERROR(INDEX(Firms!$M$5:$M$1004,MATCH(212,Firms!$R$5:$R$1004,0))&amp;"","")</f>
        <v/>
      </c>
      <c r="H216" s="58">
        <f>IFERROR(INDEX(Firms!$Q$5:$Q$1004,MATCH(212,Firms!$R$5:$R$1004,0))&amp;"","")</f>
        <v/>
      </c>
    </row>
    <row r="217">
      <c r="A217" s="57">
        <f>IF(B217="","",213)</f>
        <v/>
      </c>
      <c r="B217" s="58">
        <f>IFERROR(INDEX(Firms!$A$5:$A$1004,MATCH(213,Firms!$R$5:$R$1004,0))&amp;"","")</f>
        <v/>
      </c>
      <c r="C217" s="59">
        <f>IFERROR(IF(INDEX(Firms!$O$5:$O$1004,MATCH(213,Firms!$R$5:$R$1004,0))="","",INDEX(Firms!$O$5:$O$1004,MATCH(213,Firms!$R$5:$R$1004,0))),"")</f>
        <v/>
      </c>
      <c r="D217" s="58">
        <f>IFERROR(INDEX(Firms!$P$5:$P$1004,MATCH(213,Firms!$R$5:$R$1004,0))&amp;"","")</f>
        <v/>
      </c>
      <c r="E217" s="58">
        <f>IFERROR(INDEX(Firms!$C$5:$C$1004,MATCH(213,Firms!$R$5:$R$1004,0))&amp;"","")</f>
        <v/>
      </c>
      <c r="F217" s="57">
        <f>IFERROR(INDEX(Firms!$L$5:$L$1004,MATCH(213,Firms!$R$5:$R$1004,0))&amp;"","")</f>
        <v/>
      </c>
      <c r="G217" s="57">
        <f>IFERROR(INDEX(Firms!$M$5:$M$1004,MATCH(213,Firms!$R$5:$R$1004,0))&amp;"","")</f>
        <v/>
      </c>
      <c r="H217" s="58">
        <f>IFERROR(INDEX(Firms!$Q$5:$Q$1004,MATCH(213,Firms!$R$5:$R$1004,0))&amp;"","")</f>
        <v/>
      </c>
    </row>
    <row r="218">
      <c r="A218" s="57">
        <f>IF(B218="","",214)</f>
        <v/>
      </c>
      <c r="B218" s="58">
        <f>IFERROR(INDEX(Firms!$A$5:$A$1004,MATCH(214,Firms!$R$5:$R$1004,0))&amp;"","")</f>
        <v/>
      </c>
      <c r="C218" s="59">
        <f>IFERROR(IF(INDEX(Firms!$O$5:$O$1004,MATCH(214,Firms!$R$5:$R$1004,0))="","",INDEX(Firms!$O$5:$O$1004,MATCH(214,Firms!$R$5:$R$1004,0))),"")</f>
        <v/>
      </c>
      <c r="D218" s="58">
        <f>IFERROR(INDEX(Firms!$P$5:$P$1004,MATCH(214,Firms!$R$5:$R$1004,0))&amp;"","")</f>
        <v/>
      </c>
      <c r="E218" s="58">
        <f>IFERROR(INDEX(Firms!$C$5:$C$1004,MATCH(214,Firms!$R$5:$R$1004,0))&amp;"","")</f>
        <v/>
      </c>
      <c r="F218" s="57">
        <f>IFERROR(INDEX(Firms!$L$5:$L$1004,MATCH(214,Firms!$R$5:$R$1004,0))&amp;"","")</f>
        <v/>
      </c>
      <c r="G218" s="57">
        <f>IFERROR(INDEX(Firms!$M$5:$M$1004,MATCH(214,Firms!$R$5:$R$1004,0))&amp;"","")</f>
        <v/>
      </c>
      <c r="H218" s="58">
        <f>IFERROR(INDEX(Firms!$Q$5:$Q$1004,MATCH(214,Firms!$R$5:$R$1004,0))&amp;"","")</f>
        <v/>
      </c>
    </row>
    <row r="219">
      <c r="A219" s="57">
        <f>IF(B219="","",215)</f>
        <v/>
      </c>
      <c r="B219" s="58">
        <f>IFERROR(INDEX(Firms!$A$5:$A$1004,MATCH(215,Firms!$R$5:$R$1004,0))&amp;"","")</f>
        <v/>
      </c>
      <c r="C219" s="59">
        <f>IFERROR(IF(INDEX(Firms!$O$5:$O$1004,MATCH(215,Firms!$R$5:$R$1004,0))="","",INDEX(Firms!$O$5:$O$1004,MATCH(215,Firms!$R$5:$R$1004,0))),"")</f>
        <v/>
      </c>
      <c r="D219" s="58">
        <f>IFERROR(INDEX(Firms!$P$5:$P$1004,MATCH(215,Firms!$R$5:$R$1004,0))&amp;"","")</f>
        <v/>
      </c>
      <c r="E219" s="58">
        <f>IFERROR(INDEX(Firms!$C$5:$C$1004,MATCH(215,Firms!$R$5:$R$1004,0))&amp;"","")</f>
        <v/>
      </c>
      <c r="F219" s="57">
        <f>IFERROR(INDEX(Firms!$L$5:$L$1004,MATCH(215,Firms!$R$5:$R$1004,0))&amp;"","")</f>
        <v/>
      </c>
      <c r="G219" s="57">
        <f>IFERROR(INDEX(Firms!$M$5:$M$1004,MATCH(215,Firms!$R$5:$R$1004,0))&amp;"","")</f>
        <v/>
      </c>
      <c r="H219" s="58">
        <f>IFERROR(INDEX(Firms!$Q$5:$Q$1004,MATCH(215,Firms!$R$5:$R$1004,0))&amp;"","")</f>
        <v/>
      </c>
    </row>
    <row r="220">
      <c r="A220" s="57">
        <f>IF(B220="","",216)</f>
        <v/>
      </c>
      <c r="B220" s="58">
        <f>IFERROR(INDEX(Firms!$A$5:$A$1004,MATCH(216,Firms!$R$5:$R$1004,0))&amp;"","")</f>
        <v/>
      </c>
      <c r="C220" s="59">
        <f>IFERROR(IF(INDEX(Firms!$O$5:$O$1004,MATCH(216,Firms!$R$5:$R$1004,0))="","",INDEX(Firms!$O$5:$O$1004,MATCH(216,Firms!$R$5:$R$1004,0))),"")</f>
        <v/>
      </c>
      <c r="D220" s="58">
        <f>IFERROR(INDEX(Firms!$P$5:$P$1004,MATCH(216,Firms!$R$5:$R$1004,0))&amp;"","")</f>
        <v/>
      </c>
      <c r="E220" s="58">
        <f>IFERROR(INDEX(Firms!$C$5:$C$1004,MATCH(216,Firms!$R$5:$R$1004,0))&amp;"","")</f>
        <v/>
      </c>
      <c r="F220" s="57">
        <f>IFERROR(INDEX(Firms!$L$5:$L$1004,MATCH(216,Firms!$R$5:$R$1004,0))&amp;"","")</f>
        <v/>
      </c>
      <c r="G220" s="57">
        <f>IFERROR(INDEX(Firms!$M$5:$M$1004,MATCH(216,Firms!$R$5:$R$1004,0))&amp;"","")</f>
        <v/>
      </c>
      <c r="H220" s="58">
        <f>IFERROR(INDEX(Firms!$Q$5:$Q$1004,MATCH(216,Firms!$R$5:$R$1004,0))&amp;"","")</f>
        <v/>
      </c>
    </row>
    <row r="221">
      <c r="A221" s="57">
        <f>IF(B221="","",217)</f>
        <v/>
      </c>
      <c r="B221" s="58">
        <f>IFERROR(INDEX(Firms!$A$5:$A$1004,MATCH(217,Firms!$R$5:$R$1004,0))&amp;"","")</f>
        <v/>
      </c>
      <c r="C221" s="59">
        <f>IFERROR(IF(INDEX(Firms!$O$5:$O$1004,MATCH(217,Firms!$R$5:$R$1004,0))="","",INDEX(Firms!$O$5:$O$1004,MATCH(217,Firms!$R$5:$R$1004,0))),"")</f>
        <v/>
      </c>
      <c r="D221" s="58">
        <f>IFERROR(INDEX(Firms!$P$5:$P$1004,MATCH(217,Firms!$R$5:$R$1004,0))&amp;"","")</f>
        <v/>
      </c>
      <c r="E221" s="58">
        <f>IFERROR(INDEX(Firms!$C$5:$C$1004,MATCH(217,Firms!$R$5:$R$1004,0))&amp;"","")</f>
        <v/>
      </c>
      <c r="F221" s="57">
        <f>IFERROR(INDEX(Firms!$L$5:$L$1004,MATCH(217,Firms!$R$5:$R$1004,0))&amp;"","")</f>
        <v/>
      </c>
      <c r="G221" s="57">
        <f>IFERROR(INDEX(Firms!$M$5:$M$1004,MATCH(217,Firms!$R$5:$R$1004,0))&amp;"","")</f>
        <v/>
      </c>
      <c r="H221" s="58">
        <f>IFERROR(INDEX(Firms!$Q$5:$Q$1004,MATCH(217,Firms!$R$5:$R$1004,0))&amp;"","")</f>
        <v/>
      </c>
    </row>
    <row r="222">
      <c r="A222" s="57">
        <f>IF(B222="","",218)</f>
        <v/>
      </c>
      <c r="B222" s="58">
        <f>IFERROR(INDEX(Firms!$A$5:$A$1004,MATCH(218,Firms!$R$5:$R$1004,0))&amp;"","")</f>
        <v/>
      </c>
      <c r="C222" s="59">
        <f>IFERROR(IF(INDEX(Firms!$O$5:$O$1004,MATCH(218,Firms!$R$5:$R$1004,0))="","",INDEX(Firms!$O$5:$O$1004,MATCH(218,Firms!$R$5:$R$1004,0))),"")</f>
        <v/>
      </c>
      <c r="D222" s="58">
        <f>IFERROR(INDEX(Firms!$P$5:$P$1004,MATCH(218,Firms!$R$5:$R$1004,0))&amp;"","")</f>
        <v/>
      </c>
      <c r="E222" s="58">
        <f>IFERROR(INDEX(Firms!$C$5:$C$1004,MATCH(218,Firms!$R$5:$R$1004,0))&amp;"","")</f>
        <v/>
      </c>
      <c r="F222" s="57">
        <f>IFERROR(INDEX(Firms!$L$5:$L$1004,MATCH(218,Firms!$R$5:$R$1004,0))&amp;"","")</f>
        <v/>
      </c>
      <c r="G222" s="57">
        <f>IFERROR(INDEX(Firms!$M$5:$M$1004,MATCH(218,Firms!$R$5:$R$1004,0))&amp;"","")</f>
        <v/>
      </c>
      <c r="H222" s="58">
        <f>IFERROR(INDEX(Firms!$Q$5:$Q$1004,MATCH(218,Firms!$R$5:$R$1004,0))&amp;"","")</f>
        <v/>
      </c>
    </row>
    <row r="223">
      <c r="A223" s="57">
        <f>IF(B223="","",219)</f>
        <v/>
      </c>
      <c r="B223" s="58">
        <f>IFERROR(INDEX(Firms!$A$5:$A$1004,MATCH(219,Firms!$R$5:$R$1004,0))&amp;"","")</f>
        <v/>
      </c>
      <c r="C223" s="59">
        <f>IFERROR(IF(INDEX(Firms!$O$5:$O$1004,MATCH(219,Firms!$R$5:$R$1004,0))="","",INDEX(Firms!$O$5:$O$1004,MATCH(219,Firms!$R$5:$R$1004,0))),"")</f>
        <v/>
      </c>
      <c r="D223" s="58">
        <f>IFERROR(INDEX(Firms!$P$5:$P$1004,MATCH(219,Firms!$R$5:$R$1004,0))&amp;"","")</f>
        <v/>
      </c>
      <c r="E223" s="58">
        <f>IFERROR(INDEX(Firms!$C$5:$C$1004,MATCH(219,Firms!$R$5:$R$1004,0))&amp;"","")</f>
        <v/>
      </c>
      <c r="F223" s="57">
        <f>IFERROR(INDEX(Firms!$L$5:$L$1004,MATCH(219,Firms!$R$5:$R$1004,0))&amp;"","")</f>
        <v/>
      </c>
      <c r="G223" s="57">
        <f>IFERROR(INDEX(Firms!$M$5:$M$1004,MATCH(219,Firms!$R$5:$R$1004,0))&amp;"","")</f>
        <v/>
      </c>
      <c r="H223" s="58">
        <f>IFERROR(INDEX(Firms!$Q$5:$Q$1004,MATCH(219,Firms!$R$5:$R$1004,0))&amp;"","")</f>
        <v/>
      </c>
    </row>
    <row r="224">
      <c r="A224" s="57">
        <f>IF(B224="","",220)</f>
        <v/>
      </c>
      <c r="B224" s="58">
        <f>IFERROR(INDEX(Firms!$A$5:$A$1004,MATCH(220,Firms!$R$5:$R$1004,0))&amp;"","")</f>
        <v/>
      </c>
      <c r="C224" s="59">
        <f>IFERROR(IF(INDEX(Firms!$O$5:$O$1004,MATCH(220,Firms!$R$5:$R$1004,0))="","",INDEX(Firms!$O$5:$O$1004,MATCH(220,Firms!$R$5:$R$1004,0))),"")</f>
        <v/>
      </c>
      <c r="D224" s="58">
        <f>IFERROR(INDEX(Firms!$P$5:$P$1004,MATCH(220,Firms!$R$5:$R$1004,0))&amp;"","")</f>
        <v/>
      </c>
      <c r="E224" s="58">
        <f>IFERROR(INDEX(Firms!$C$5:$C$1004,MATCH(220,Firms!$R$5:$R$1004,0))&amp;"","")</f>
        <v/>
      </c>
      <c r="F224" s="57">
        <f>IFERROR(INDEX(Firms!$L$5:$L$1004,MATCH(220,Firms!$R$5:$R$1004,0))&amp;"","")</f>
        <v/>
      </c>
      <c r="G224" s="57">
        <f>IFERROR(INDEX(Firms!$M$5:$M$1004,MATCH(220,Firms!$R$5:$R$1004,0))&amp;"","")</f>
        <v/>
      </c>
      <c r="H224" s="58">
        <f>IFERROR(INDEX(Firms!$Q$5:$Q$1004,MATCH(220,Firms!$R$5:$R$1004,0))&amp;"","")</f>
        <v/>
      </c>
    </row>
    <row r="225">
      <c r="A225" s="57">
        <f>IF(B225="","",221)</f>
        <v/>
      </c>
      <c r="B225" s="58">
        <f>IFERROR(INDEX(Firms!$A$5:$A$1004,MATCH(221,Firms!$R$5:$R$1004,0))&amp;"","")</f>
        <v/>
      </c>
      <c r="C225" s="59">
        <f>IFERROR(IF(INDEX(Firms!$O$5:$O$1004,MATCH(221,Firms!$R$5:$R$1004,0))="","",INDEX(Firms!$O$5:$O$1004,MATCH(221,Firms!$R$5:$R$1004,0))),"")</f>
        <v/>
      </c>
      <c r="D225" s="58">
        <f>IFERROR(INDEX(Firms!$P$5:$P$1004,MATCH(221,Firms!$R$5:$R$1004,0))&amp;"","")</f>
        <v/>
      </c>
      <c r="E225" s="58">
        <f>IFERROR(INDEX(Firms!$C$5:$C$1004,MATCH(221,Firms!$R$5:$R$1004,0))&amp;"","")</f>
        <v/>
      </c>
      <c r="F225" s="57">
        <f>IFERROR(INDEX(Firms!$L$5:$L$1004,MATCH(221,Firms!$R$5:$R$1004,0))&amp;"","")</f>
        <v/>
      </c>
      <c r="G225" s="57">
        <f>IFERROR(INDEX(Firms!$M$5:$M$1004,MATCH(221,Firms!$R$5:$R$1004,0))&amp;"","")</f>
        <v/>
      </c>
      <c r="H225" s="58">
        <f>IFERROR(INDEX(Firms!$Q$5:$Q$1004,MATCH(221,Firms!$R$5:$R$1004,0))&amp;"","")</f>
        <v/>
      </c>
    </row>
    <row r="226">
      <c r="A226" s="57">
        <f>IF(B226="","",222)</f>
        <v/>
      </c>
      <c r="B226" s="58">
        <f>IFERROR(INDEX(Firms!$A$5:$A$1004,MATCH(222,Firms!$R$5:$R$1004,0))&amp;"","")</f>
        <v/>
      </c>
      <c r="C226" s="59">
        <f>IFERROR(IF(INDEX(Firms!$O$5:$O$1004,MATCH(222,Firms!$R$5:$R$1004,0))="","",INDEX(Firms!$O$5:$O$1004,MATCH(222,Firms!$R$5:$R$1004,0))),"")</f>
        <v/>
      </c>
      <c r="D226" s="58">
        <f>IFERROR(INDEX(Firms!$P$5:$P$1004,MATCH(222,Firms!$R$5:$R$1004,0))&amp;"","")</f>
        <v/>
      </c>
      <c r="E226" s="58">
        <f>IFERROR(INDEX(Firms!$C$5:$C$1004,MATCH(222,Firms!$R$5:$R$1004,0))&amp;"","")</f>
        <v/>
      </c>
      <c r="F226" s="57">
        <f>IFERROR(INDEX(Firms!$L$5:$L$1004,MATCH(222,Firms!$R$5:$R$1004,0))&amp;"","")</f>
        <v/>
      </c>
      <c r="G226" s="57">
        <f>IFERROR(INDEX(Firms!$M$5:$M$1004,MATCH(222,Firms!$R$5:$R$1004,0))&amp;"","")</f>
        <v/>
      </c>
      <c r="H226" s="58">
        <f>IFERROR(INDEX(Firms!$Q$5:$Q$1004,MATCH(222,Firms!$R$5:$R$1004,0))&amp;"","")</f>
        <v/>
      </c>
    </row>
    <row r="227">
      <c r="A227" s="57">
        <f>IF(B227="","",223)</f>
        <v/>
      </c>
      <c r="B227" s="58">
        <f>IFERROR(INDEX(Firms!$A$5:$A$1004,MATCH(223,Firms!$R$5:$R$1004,0))&amp;"","")</f>
        <v/>
      </c>
      <c r="C227" s="59">
        <f>IFERROR(IF(INDEX(Firms!$O$5:$O$1004,MATCH(223,Firms!$R$5:$R$1004,0))="","",INDEX(Firms!$O$5:$O$1004,MATCH(223,Firms!$R$5:$R$1004,0))),"")</f>
        <v/>
      </c>
      <c r="D227" s="58">
        <f>IFERROR(INDEX(Firms!$P$5:$P$1004,MATCH(223,Firms!$R$5:$R$1004,0))&amp;"","")</f>
        <v/>
      </c>
      <c r="E227" s="58">
        <f>IFERROR(INDEX(Firms!$C$5:$C$1004,MATCH(223,Firms!$R$5:$R$1004,0))&amp;"","")</f>
        <v/>
      </c>
      <c r="F227" s="57">
        <f>IFERROR(INDEX(Firms!$L$5:$L$1004,MATCH(223,Firms!$R$5:$R$1004,0))&amp;"","")</f>
        <v/>
      </c>
      <c r="G227" s="57">
        <f>IFERROR(INDEX(Firms!$M$5:$M$1004,MATCH(223,Firms!$R$5:$R$1004,0))&amp;"","")</f>
        <v/>
      </c>
      <c r="H227" s="58">
        <f>IFERROR(INDEX(Firms!$Q$5:$Q$1004,MATCH(223,Firms!$R$5:$R$1004,0))&amp;"","")</f>
        <v/>
      </c>
    </row>
    <row r="228">
      <c r="A228" s="57">
        <f>IF(B228="","",224)</f>
        <v/>
      </c>
      <c r="B228" s="58">
        <f>IFERROR(INDEX(Firms!$A$5:$A$1004,MATCH(224,Firms!$R$5:$R$1004,0))&amp;"","")</f>
        <v/>
      </c>
      <c r="C228" s="59">
        <f>IFERROR(IF(INDEX(Firms!$O$5:$O$1004,MATCH(224,Firms!$R$5:$R$1004,0))="","",INDEX(Firms!$O$5:$O$1004,MATCH(224,Firms!$R$5:$R$1004,0))),"")</f>
        <v/>
      </c>
      <c r="D228" s="58">
        <f>IFERROR(INDEX(Firms!$P$5:$P$1004,MATCH(224,Firms!$R$5:$R$1004,0))&amp;"","")</f>
        <v/>
      </c>
      <c r="E228" s="58">
        <f>IFERROR(INDEX(Firms!$C$5:$C$1004,MATCH(224,Firms!$R$5:$R$1004,0))&amp;"","")</f>
        <v/>
      </c>
      <c r="F228" s="57">
        <f>IFERROR(INDEX(Firms!$L$5:$L$1004,MATCH(224,Firms!$R$5:$R$1004,0))&amp;"","")</f>
        <v/>
      </c>
      <c r="G228" s="57">
        <f>IFERROR(INDEX(Firms!$M$5:$M$1004,MATCH(224,Firms!$R$5:$R$1004,0))&amp;"","")</f>
        <v/>
      </c>
      <c r="H228" s="58">
        <f>IFERROR(INDEX(Firms!$Q$5:$Q$1004,MATCH(224,Firms!$R$5:$R$1004,0))&amp;"","")</f>
        <v/>
      </c>
    </row>
    <row r="229">
      <c r="A229" s="57">
        <f>IF(B229="","",225)</f>
        <v/>
      </c>
      <c r="B229" s="58">
        <f>IFERROR(INDEX(Firms!$A$5:$A$1004,MATCH(225,Firms!$R$5:$R$1004,0))&amp;"","")</f>
        <v/>
      </c>
      <c r="C229" s="59">
        <f>IFERROR(IF(INDEX(Firms!$O$5:$O$1004,MATCH(225,Firms!$R$5:$R$1004,0))="","",INDEX(Firms!$O$5:$O$1004,MATCH(225,Firms!$R$5:$R$1004,0))),"")</f>
        <v/>
      </c>
      <c r="D229" s="58">
        <f>IFERROR(INDEX(Firms!$P$5:$P$1004,MATCH(225,Firms!$R$5:$R$1004,0))&amp;"","")</f>
        <v/>
      </c>
      <c r="E229" s="58">
        <f>IFERROR(INDEX(Firms!$C$5:$C$1004,MATCH(225,Firms!$R$5:$R$1004,0))&amp;"","")</f>
        <v/>
      </c>
      <c r="F229" s="57">
        <f>IFERROR(INDEX(Firms!$L$5:$L$1004,MATCH(225,Firms!$R$5:$R$1004,0))&amp;"","")</f>
        <v/>
      </c>
      <c r="G229" s="57">
        <f>IFERROR(INDEX(Firms!$M$5:$M$1004,MATCH(225,Firms!$R$5:$R$1004,0))&amp;"","")</f>
        <v/>
      </c>
      <c r="H229" s="58">
        <f>IFERROR(INDEX(Firms!$Q$5:$Q$1004,MATCH(225,Firms!$R$5:$R$1004,0))&amp;"","")</f>
        <v/>
      </c>
    </row>
    <row r="230">
      <c r="A230" s="57">
        <f>IF(B230="","",226)</f>
        <v/>
      </c>
      <c r="B230" s="58">
        <f>IFERROR(INDEX(Firms!$A$5:$A$1004,MATCH(226,Firms!$R$5:$R$1004,0))&amp;"","")</f>
        <v/>
      </c>
      <c r="C230" s="59">
        <f>IFERROR(IF(INDEX(Firms!$O$5:$O$1004,MATCH(226,Firms!$R$5:$R$1004,0))="","",INDEX(Firms!$O$5:$O$1004,MATCH(226,Firms!$R$5:$R$1004,0))),"")</f>
        <v/>
      </c>
      <c r="D230" s="58">
        <f>IFERROR(INDEX(Firms!$P$5:$P$1004,MATCH(226,Firms!$R$5:$R$1004,0))&amp;"","")</f>
        <v/>
      </c>
      <c r="E230" s="58">
        <f>IFERROR(INDEX(Firms!$C$5:$C$1004,MATCH(226,Firms!$R$5:$R$1004,0))&amp;"","")</f>
        <v/>
      </c>
      <c r="F230" s="57">
        <f>IFERROR(INDEX(Firms!$L$5:$L$1004,MATCH(226,Firms!$R$5:$R$1004,0))&amp;"","")</f>
        <v/>
      </c>
      <c r="G230" s="57">
        <f>IFERROR(INDEX(Firms!$M$5:$M$1004,MATCH(226,Firms!$R$5:$R$1004,0))&amp;"","")</f>
        <v/>
      </c>
      <c r="H230" s="58">
        <f>IFERROR(INDEX(Firms!$Q$5:$Q$1004,MATCH(226,Firms!$R$5:$R$1004,0))&amp;"","")</f>
        <v/>
      </c>
    </row>
    <row r="231">
      <c r="A231" s="57">
        <f>IF(B231="","",227)</f>
        <v/>
      </c>
      <c r="B231" s="58">
        <f>IFERROR(INDEX(Firms!$A$5:$A$1004,MATCH(227,Firms!$R$5:$R$1004,0))&amp;"","")</f>
        <v/>
      </c>
      <c r="C231" s="59">
        <f>IFERROR(IF(INDEX(Firms!$O$5:$O$1004,MATCH(227,Firms!$R$5:$R$1004,0))="","",INDEX(Firms!$O$5:$O$1004,MATCH(227,Firms!$R$5:$R$1004,0))),"")</f>
        <v/>
      </c>
      <c r="D231" s="58">
        <f>IFERROR(INDEX(Firms!$P$5:$P$1004,MATCH(227,Firms!$R$5:$R$1004,0))&amp;"","")</f>
        <v/>
      </c>
      <c r="E231" s="58">
        <f>IFERROR(INDEX(Firms!$C$5:$C$1004,MATCH(227,Firms!$R$5:$R$1004,0))&amp;"","")</f>
        <v/>
      </c>
      <c r="F231" s="57">
        <f>IFERROR(INDEX(Firms!$L$5:$L$1004,MATCH(227,Firms!$R$5:$R$1004,0))&amp;"","")</f>
        <v/>
      </c>
      <c r="G231" s="57">
        <f>IFERROR(INDEX(Firms!$M$5:$M$1004,MATCH(227,Firms!$R$5:$R$1004,0))&amp;"","")</f>
        <v/>
      </c>
      <c r="H231" s="58">
        <f>IFERROR(INDEX(Firms!$Q$5:$Q$1004,MATCH(227,Firms!$R$5:$R$1004,0))&amp;"","")</f>
        <v/>
      </c>
    </row>
    <row r="232">
      <c r="A232" s="57">
        <f>IF(B232="","",228)</f>
        <v/>
      </c>
      <c r="B232" s="58">
        <f>IFERROR(INDEX(Firms!$A$5:$A$1004,MATCH(228,Firms!$R$5:$R$1004,0))&amp;"","")</f>
        <v/>
      </c>
      <c r="C232" s="59">
        <f>IFERROR(IF(INDEX(Firms!$O$5:$O$1004,MATCH(228,Firms!$R$5:$R$1004,0))="","",INDEX(Firms!$O$5:$O$1004,MATCH(228,Firms!$R$5:$R$1004,0))),"")</f>
        <v/>
      </c>
      <c r="D232" s="58">
        <f>IFERROR(INDEX(Firms!$P$5:$P$1004,MATCH(228,Firms!$R$5:$R$1004,0))&amp;"","")</f>
        <v/>
      </c>
      <c r="E232" s="58">
        <f>IFERROR(INDEX(Firms!$C$5:$C$1004,MATCH(228,Firms!$R$5:$R$1004,0))&amp;"","")</f>
        <v/>
      </c>
      <c r="F232" s="57">
        <f>IFERROR(INDEX(Firms!$L$5:$L$1004,MATCH(228,Firms!$R$5:$R$1004,0))&amp;"","")</f>
        <v/>
      </c>
      <c r="G232" s="57">
        <f>IFERROR(INDEX(Firms!$M$5:$M$1004,MATCH(228,Firms!$R$5:$R$1004,0))&amp;"","")</f>
        <v/>
      </c>
      <c r="H232" s="58">
        <f>IFERROR(INDEX(Firms!$Q$5:$Q$1004,MATCH(228,Firms!$R$5:$R$1004,0))&amp;"","")</f>
        <v/>
      </c>
    </row>
    <row r="233">
      <c r="A233" s="57">
        <f>IF(B233="","",229)</f>
        <v/>
      </c>
      <c r="B233" s="58">
        <f>IFERROR(INDEX(Firms!$A$5:$A$1004,MATCH(229,Firms!$R$5:$R$1004,0))&amp;"","")</f>
        <v/>
      </c>
      <c r="C233" s="59">
        <f>IFERROR(IF(INDEX(Firms!$O$5:$O$1004,MATCH(229,Firms!$R$5:$R$1004,0))="","",INDEX(Firms!$O$5:$O$1004,MATCH(229,Firms!$R$5:$R$1004,0))),"")</f>
        <v/>
      </c>
      <c r="D233" s="58">
        <f>IFERROR(INDEX(Firms!$P$5:$P$1004,MATCH(229,Firms!$R$5:$R$1004,0))&amp;"","")</f>
        <v/>
      </c>
      <c r="E233" s="58">
        <f>IFERROR(INDEX(Firms!$C$5:$C$1004,MATCH(229,Firms!$R$5:$R$1004,0))&amp;"","")</f>
        <v/>
      </c>
      <c r="F233" s="57">
        <f>IFERROR(INDEX(Firms!$L$5:$L$1004,MATCH(229,Firms!$R$5:$R$1004,0))&amp;"","")</f>
        <v/>
      </c>
      <c r="G233" s="57">
        <f>IFERROR(INDEX(Firms!$M$5:$M$1004,MATCH(229,Firms!$R$5:$R$1004,0))&amp;"","")</f>
        <v/>
      </c>
      <c r="H233" s="58">
        <f>IFERROR(INDEX(Firms!$Q$5:$Q$1004,MATCH(229,Firms!$R$5:$R$1004,0))&amp;"","")</f>
        <v/>
      </c>
    </row>
    <row r="234">
      <c r="A234" s="57">
        <f>IF(B234="","",230)</f>
        <v/>
      </c>
      <c r="B234" s="58">
        <f>IFERROR(INDEX(Firms!$A$5:$A$1004,MATCH(230,Firms!$R$5:$R$1004,0))&amp;"","")</f>
        <v/>
      </c>
      <c r="C234" s="59">
        <f>IFERROR(IF(INDEX(Firms!$O$5:$O$1004,MATCH(230,Firms!$R$5:$R$1004,0))="","",INDEX(Firms!$O$5:$O$1004,MATCH(230,Firms!$R$5:$R$1004,0))),"")</f>
        <v/>
      </c>
      <c r="D234" s="58">
        <f>IFERROR(INDEX(Firms!$P$5:$P$1004,MATCH(230,Firms!$R$5:$R$1004,0))&amp;"","")</f>
        <v/>
      </c>
      <c r="E234" s="58">
        <f>IFERROR(INDEX(Firms!$C$5:$C$1004,MATCH(230,Firms!$R$5:$R$1004,0))&amp;"","")</f>
        <v/>
      </c>
      <c r="F234" s="57">
        <f>IFERROR(INDEX(Firms!$L$5:$L$1004,MATCH(230,Firms!$R$5:$R$1004,0))&amp;"","")</f>
        <v/>
      </c>
      <c r="G234" s="57">
        <f>IFERROR(INDEX(Firms!$M$5:$M$1004,MATCH(230,Firms!$R$5:$R$1004,0))&amp;"","")</f>
        <v/>
      </c>
      <c r="H234" s="58">
        <f>IFERROR(INDEX(Firms!$Q$5:$Q$1004,MATCH(230,Firms!$R$5:$R$1004,0))&amp;"","")</f>
        <v/>
      </c>
    </row>
    <row r="235">
      <c r="A235" s="57">
        <f>IF(B235="","",231)</f>
        <v/>
      </c>
      <c r="B235" s="58">
        <f>IFERROR(INDEX(Firms!$A$5:$A$1004,MATCH(231,Firms!$R$5:$R$1004,0))&amp;"","")</f>
        <v/>
      </c>
      <c r="C235" s="59">
        <f>IFERROR(IF(INDEX(Firms!$O$5:$O$1004,MATCH(231,Firms!$R$5:$R$1004,0))="","",INDEX(Firms!$O$5:$O$1004,MATCH(231,Firms!$R$5:$R$1004,0))),"")</f>
        <v/>
      </c>
      <c r="D235" s="58">
        <f>IFERROR(INDEX(Firms!$P$5:$P$1004,MATCH(231,Firms!$R$5:$R$1004,0))&amp;"","")</f>
        <v/>
      </c>
      <c r="E235" s="58">
        <f>IFERROR(INDEX(Firms!$C$5:$C$1004,MATCH(231,Firms!$R$5:$R$1004,0))&amp;"","")</f>
        <v/>
      </c>
      <c r="F235" s="57">
        <f>IFERROR(INDEX(Firms!$L$5:$L$1004,MATCH(231,Firms!$R$5:$R$1004,0))&amp;"","")</f>
        <v/>
      </c>
      <c r="G235" s="57">
        <f>IFERROR(INDEX(Firms!$M$5:$M$1004,MATCH(231,Firms!$R$5:$R$1004,0))&amp;"","")</f>
        <v/>
      </c>
      <c r="H235" s="58">
        <f>IFERROR(INDEX(Firms!$Q$5:$Q$1004,MATCH(231,Firms!$R$5:$R$1004,0))&amp;"","")</f>
        <v/>
      </c>
    </row>
    <row r="236">
      <c r="A236" s="57">
        <f>IF(B236="","",232)</f>
        <v/>
      </c>
      <c r="B236" s="58">
        <f>IFERROR(INDEX(Firms!$A$5:$A$1004,MATCH(232,Firms!$R$5:$R$1004,0))&amp;"","")</f>
        <v/>
      </c>
      <c r="C236" s="59">
        <f>IFERROR(IF(INDEX(Firms!$O$5:$O$1004,MATCH(232,Firms!$R$5:$R$1004,0))="","",INDEX(Firms!$O$5:$O$1004,MATCH(232,Firms!$R$5:$R$1004,0))),"")</f>
        <v/>
      </c>
      <c r="D236" s="58">
        <f>IFERROR(INDEX(Firms!$P$5:$P$1004,MATCH(232,Firms!$R$5:$R$1004,0))&amp;"","")</f>
        <v/>
      </c>
      <c r="E236" s="58">
        <f>IFERROR(INDEX(Firms!$C$5:$C$1004,MATCH(232,Firms!$R$5:$R$1004,0))&amp;"","")</f>
        <v/>
      </c>
      <c r="F236" s="57">
        <f>IFERROR(INDEX(Firms!$L$5:$L$1004,MATCH(232,Firms!$R$5:$R$1004,0))&amp;"","")</f>
        <v/>
      </c>
      <c r="G236" s="57">
        <f>IFERROR(INDEX(Firms!$M$5:$M$1004,MATCH(232,Firms!$R$5:$R$1004,0))&amp;"","")</f>
        <v/>
      </c>
      <c r="H236" s="58">
        <f>IFERROR(INDEX(Firms!$Q$5:$Q$1004,MATCH(232,Firms!$R$5:$R$1004,0))&amp;"","")</f>
        <v/>
      </c>
    </row>
    <row r="237">
      <c r="A237" s="57">
        <f>IF(B237="","",233)</f>
        <v/>
      </c>
      <c r="B237" s="58">
        <f>IFERROR(INDEX(Firms!$A$5:$A$1004,MATCH(233,Firms!$R$5:$R$1004,0))&amp;"","")</f>
        <v/>
      </c>
      <c r="C237" s="59">
        <f>IFERROR(IF(INDEX(Firms!$O$5:$O$1004,MATCH(233,Firms!$R$5:$R$1004,0))="","",INDEX(Firms!$O$5:$O$1004,MATCH(233,Firms!$R$5:$R$1004,0))),"")</f>
        <v/>
      </c>
      <c r="D237" s="58">
        <f>IFERROR(INDEX(Firms!$P$5:$P$1004,MATCH(233,Firms!$R$5:$R$1004,0))&amp;"","")</f>
        <v/>
      </c>
      <c r="E237" s="58">
        <f>IFERROR(INDEX(Firms!$C$5:$C$1004,MATCH(233,Firms!$R$5:$R$1004,0))&amp;"","")</f>
        <v/>
      </c>
      <c r="F237" s="57">
        <f>IFERROR(INDEX(Firms!$L$5:$L$1004,MATCH(233,Firms!$R$5:$R$1004,0))&amp;"","")</f>
        <v/>
      </c>
      <c r="G237" s="57">
        <f>IFERROR(INDEX(Firms!$M$5:$M$1004,MATCH(233,Firms!$R$5:$R$1004,0))&amp;"","")</f>
        <v/>
      </c>
      <c r="H237" s="58">
        <f>IFERROR(INDEX(Firms!$Q$5:$Q$1004,MATCH(233,Firms!$R$5:$R$1004,0))&amp;"","")</f>
        <v/>
      </c>
    </row>
    <row r="238">
      <c r="A238" s="57">
        <f>IF(B238="","",234)</f>
        <v/>
      </c>
      <c r="B238" s="58">
        <f>IFERROR(INDEX(Firms!$A$5:$A$1004,MATCH(234,Firms!$R$5:$R$1004,0))&amp;"","")</f>
        <v/>
      </c>
      <c r="C238" s="59">
        <f>IFERROR(IF(INDEX(Firms!$O$5:$O$1004,MATCH(234,Firms!$R$5:$R$1004,0))="","",INDEX(Firms!$O$5:$O$1004,MATCH(234,Firms!$R$5:$R$1004,0))),"")</f>
        <v/>
      </c>
      <c r="D238" s="58">
        <f>IFERROR(INDEX(Firms!$P$5:$P$1004,MATCH(234,Firms!$R$5:$R$1004,0))&amp;"","")</f>
        <v/>
      </c>
      <c r="E238" s="58">
        <f>IFERROR(INDEX(Firms!$C$5:$C$1004,MATCH(234,Firms!$R$5:$R$1004,0))&amp;"","")</f>
        <v/>
      </c>
      <c r="F238" s="57">
        <f>IFERROR(INDEX(Firms!$L$5:$L$1004,MATCH(234,Firms!$R$5:$R$1004,0))&amp;"","")</f>
        <v/>
      </c>
      <c r="G238" s="57">
        <f>IFERROR(INDEX(Firms!$M$5:$M$1004,MATCH(234,Firms!$R$5:$R$1004,0))&amp;"","")</f>
        <v/>
      </c>
      <c r="H238" s="58">
        <f>IFERROR(INDEX(Firms!$Q$5:$Q$1004,MATCH(234,Firms!$R$5:$R$1004,0))&amp;"","")</f>
        <v/>
      </c>
    </row>
    <row r="239">
      <c r="A239" s="57">
        <f>IF(B239="","",235)</f>
        <v/>
      </c>
      <c r="B239" s="58">
        <f>IFERROR(INDEX(Firms!$A$5:$A$1004,MATCH(235,Firms!$R$5:$R$1004,0))&amp;"","")</f>
        <v/>
      </c>
      <c r="C239" s="59">
        <f>IFERROR(IF(INDEX(Firms!$O$5:$O$1004,MATCH(235,Firms!$R$5:$R$1004,0))="","",INDEX(Firms!$O$5:$O$1004,MATCH(235,Firms!$R$5:$R$1004,0))),"")</f>
        <v/>
      </c>
      <c r="D239" s="58">
        <f>IFERROR(INDEX(Firms!$P$5:$P$1004,MATCH(235,Firms!$R$5:$R$1004,0))&amp;"","")</f>
        <v/>
      </c>
      <c r="E239" s="58">
        <f>IFERROR(INDEX(Firms!$C$5:$C$1004,MATCH(235,Firms!$R$5:$R$1004,0))&amp;"","")</f>
        <v/>
      </c>
      <c r="F239" s="57">
        <f>IFERROR(INDEX(Firms!$L$5:$L$1004,MATCH(235,Firms!$R$5:$R$1004,0))&amp;"","")</f>
        <v/>
      </c>
      <c r="G239" s="57">
        <f>IFERROR(INDEX(Firms!$M$5:$M$1004,MATCH(235,Firms!$R$5:$R$1004,0))&amp;"","")</f>
        <v/>
      </c>
      <c r="H239" s="58">
        <f>IFERROR(INDEX(Firms!$Q$5:$Q$1004,MATCH(235,Firms!$R$5:$R$1004,0))&amp;"","")</f>
        <v/>
      </c>
    </row>
    <row r="240">
      <c r="A240" s="57">
        <f>IF(B240="","",236)</f>
        <v/>
      </c>
      <c r="B240" s="58">
        <f>IFERROR(INDEX(Firms!$A$5:$A$1004,MATCH(236,Firms!$R$5:$R$1004,0))&amp;"","")</f>
        <v/>
      </c>
      <c r="C240" s="59">
        <f>IFERROR(IF(INDEX(Firms!$O$5:$O$1004,MATCH(236,Firms!$R$5:$R$1004,0))="","",INDEX(Firms!$O$5:$O$1004,MATCH(236,Firms!$R$5:$R$1004,0))),"")</f>
        <v/>
      </c>
      <c r="D240" s="58">
        <f>IFERROR(INDEX(Firms!$P$5:$P$1004,MATCH(236,Firms!$R$5:$R$1004,0))&amp;"","")</f>
        <v/>
      </c>
      <c r="E240" s="58">
        <f>IFERROR(INDEX(Firms!$C$5:$C$1004,MATCH(236,Firms!$R$5:$R$1004,0))&amp;"","")</f>
        <v/>
      </c>
      <c r="F240" s="57">
        <f>IFERROR(INDEX(Firms!$L$5:$L$1004,MATCH(236,Firms!$R$5:$R$1004,0))&amp;"","")</f>
        <v/>
      </c>
      <c r="G240" s="57">
        <f>IFERROR(INDEX(Firms!$M$5:$M$1004,MATCH(236,Firms!$R$5:$R$1004,0))&amp;"","")</f>
        <v/>
      </c>
      <c r="H240" s="58">
        <f>IFERROR(INDEX(Firms!$Q$5:$Q$1004,MATCH(236,Firms!$R$5:$R$1004,0))&amp;"","")</f>
        <v/>
      </c>
    </row>
    <row r="241">
      <c r="A241" s="57">
        <f>IF(B241="","",237)</f>
        <v/>
      </c>
      <c r="B241" s="58">
        <f>IFERROR(INDEX(Firms!$A$5:$A$1004,MATCH(237,Firms!$R$5:$R$1004,0))&amp;"","")</f>
        <v/>
      </c>
      <c r="C241" s="59">
        <f>IFERROR(IF(INDEX(Firms!$O$5:$O$1004,MATCH(237,Firms!$R$5:$R$1004,0))="","",INDEX(Firms!$O$5:$O$1004,MATCH(237,Firms!$R$5:$R$1004,0))),"")</f>
        <v/>
      </c>
      <c r="D241" s="58">
        <f>IFERROR(INDEX(Firms!$P$5:$P$1004,MATCH(237,Firms!$R$5:$R$1004,0))&amp;"","")</f>
        <v/>
      </c>
      <c r="E241" s="58">
        <f>IFERROR(INDEX(Firms!$C$5:$C$1004,MATCH(237,Firms!$R$5:$R$1004,0))&amp;"","")</f>
        <v/>
      </c>
      <c r="F241" s="57">
        <f>IFERROR(INDEX(Firms!$L$5:$L$1004,MATCH(237,Firms!$R$5:$R$1004,0))&amp;"","")</f>
        <v/>
      </c>
      <c r="G241" s="57">
        <f>IFERROR(INDEX(Firms!$M$5:$M$1004,MATCH(237,Firms!$R$5:$R$1004,0))&amp;"","")</f>
        <v/>
      </c>
      <c r="H241" s="58">
        <f>IFERROR(INDEX(Firms!$Q$5:$Q$1004,MATCH(237,Firms!$R$5:$R$1004,0))&amp;"","")</f>
        <v/>
      </c>
    </row>
    <row r="242">
      <c r="A242" s="57">
        <f>IF(B242="","",238)</f>
        <v/>
      </c>
      <c r="B242" s="58">
        <f>IFERROR(INDEX(Firms!$A$5:$A$1004,MATCH(238,Firms!$R$5:$R$1004,0))&amp;"","")</f>
        <v/>
      </c>
      <c r="C242" s="59">
        <f>IFERROR(IF(INDEX(Firms!$O$5:$O$1004,MATCH(238,Firms!$R$5:$R$1004,0))="","",INDEX(Firms!$O$5:$O$1004,MATCH(238,Firms!$R$5:$R$1004,0))),"")</f>
        <v/>
      </c>
      <c r="D242" s="58">
        <f>IFERROR(INDEX(Firms!$P$5:$P$1004,MATCH(238,Firms!$R$5:$R$1004,0))&amp;"","")</f>
        <v/>
      </c>
      <c r="E242" s="58">
        <f>IFERROR(INDEX(Firms!$C$5:$C$1004,MATCH(238,Firms!$R$5:$R$1004,0))&amp;"","")</f>
        <v/>
      </c>
      <c r="F242" s="57">
        <f>IFERROR(INDEX(Firms!$L$5:$L$1004,MATCH(238,Firms!$R$5:$R$1004,0))&amp;"","")</f>
        <v/>
      </c>
      <c r="G242" s="57">
        <f>IFERROR(INDEX(Firms!$M$5:$M$1004,MATCH(238,Firms!$R$5:$R$1004,0))&amp;"","")</f>
        <v/>
      </c>
      <c r="H242" s="58">
        <f>IFERROR(INDEX(Firms!$Q$5:$Q$1004,MATCH(238,Firms!$R$5:$R$1004,0))&amp;"","")</f>
        <v/>
      </c>
    </row>
    <row r="243">
      <c r="A243" s="57">
        <f>IF(B243="","",239)</f>
        <v/>
      </c>
      <c r="B243" s="58">
        <f>IFERROR(INDEX(Firms!$A$5:$A$1004,MATCH(239,Firms!$R$5:$R$1004,0))&amp;"","")</f>
        <v/>
      </c>
      <c r="C243" s="59">
        <f>IFERROR(IF(INDEX(Firms!$O$5:$O$1004,MATCH(239,Firms!$R$5:$R$1004,0))="","",INDEX(Firms!$O$5:$O$1004,MATCH(239,Firms!$R$5:$R$1004,0))),"")</f>
        <v/>
      </c>
      <c r="D243" s="58">
        <f>IFERROR(INDEX(Firms!$P$5:$P$1004,MATCH(239,Firms!$R$5:$R$1004,0))&amp;"","")</f>
        <v/>
      </c>
      <c r="E243" s="58">
        <f>IFERROR(INDEX(Firms!$C$5:$C$1004,MATCH(239,Firms!$R$5:$R$1004,0))&amp;"","")</f>
        <v/>
      </c>
      <c r="F243" s="57">
        <f>IFERROR(INDEX(Firms!$L$5:$L$1004,MATCH(239,Firms!$R$5:$R$1004,0))&amp;"","")</f>
        <v/>
      </c>
      <c r="G243" s="57">
        <f>IFERROR(INDEX(Firms!$M$5:$M$1004,MATCH(239,Firms!$R$5:$R$1004,0))&amp;"","")</f>
        <v/>
      </c>
      <c r="H243" s="58">
        <f>IFERROR(INDEX(Firms!$Q$5:$Q$1004,MATCH(239,Firms!$R$5:$R$1004,0))&amp;"","")</f>
        <v/>
      </c>
    </row>
    <row r="244">
      <c r="A244" s="57">
        <f>IF(B244="","",240)</f>
        <v/>
      </c>
      <c r="B244" s="58">
        <f>IFERROR(INDEX(Firms!$A$5:$A$1004,MATCH(240,Firms!$R$5:$R$1004,0))&amp;"","")</f>
        <v/>
      </c>
      <c r="C244" s="59">
        <f>IFERROR(IF(INDEX(Firms!$O$5:$O$1004,MATCH(240,Firms!$R$5:$R$1004,0))="","",INDEX(Firms!$O$5:$O$1004,MATCH(240,Firms!$R$5:$R$1004,0))),"")</f>
        <v/>
      </c>
      <c r="D244" s="58">
        <f>IFERROR(INDEX(Firms!$P$5:$P$1004,MATCH(240,Firms!$R$5:$R$1004,0))&amp;"","")</f>
        <v/>
      </c>
      <c r="E244" s="58">
        <f>IFERROR(INDEX(Firms!$C$5:$C$1004,MATCH(240,Firms!$R$5:$R$1004,0))&amp;"","")</f>
        <v/>
      </c>
      <c r="F244" s="57">
        <f>IFERROR(INDEX(Firms!$L$5:$L$1004,MATCH(240,Firms!$R$5:$R$1004,0))&amp;"","")</f>
        <v/>
      </c>
      <c r="G244" s="57">
        <f>IFERROR(INDEX(Firms!$M$5:$M$1004,MATCH(240,Firms!$R$5:$R$1004,0))&amp;"","")</f>
        <v/>
      </c>
      <c r="H244" s="58">
        <f>IFERROR(INDEX(Firms!$Q$5:$Q$1004,MATCH(240,Firms!$R$5:$R$1004,0))&amp;"","")</f>
        <v/>
      </c>
    </row>
    <row r="245">
      <c r="A245" s="57">
        <f>IF(B245="","",241)</f>
        <v/>
      </c>
      <c r="B245" s="58">
        <f>IFERROR(INDEX(Firms!$A$5:$A$1004,MATCH(241,Firms!$R$5:$R$1004,0))&amp;"","")</f>
        <v/>
      </c>
      <c r="C245" s="59">
        <f>IFERROR(IF(INDEX(Firms!$O$5:$O$1004,MATCH(241,Firms!$R$5:$R$1004,0))="","",INDEX(Firms!$O$5:$O$1004,MATCH(241,Firms!$R$5:$R$1004,0))),"")</f>
        <v/>
      </c>
      <c r="D245" s="58">
        <f>IFERROR(INDEX(Firms!$P$5:$P$1004,MATCH(241,Firms!$R$5:$R$1004,0))&amp;"","")</f>
        <v/>
      </c>
      <c r="E245" s="58">
        <f>IFERROR(INDEX(Firms!$C$5:$C$1004,MATCH(241,Firms!$R$5:$R$1004,0))&amp;"","")</f>
        <v/>
      </c>
      <c r="F245" s="57">
        <f>IFERROR(INDEX(Firms!$L$5:$L$1004,MATCH(241,Firms!$R$5:$R$1004,0))&amp;"","")</f>
        <v/>
      </c>
      <c r="G245" s="57">
        <f>IFERROR(INDEX(Firms!$M$5:$M$1004,MATCH(241,Firms!$R$5:$R$1004,0))&amp;"","")</f>
        <v/>
      </c>
      <c r="H245" s="58">
        <f>IFERROR(INDEX(Firms!$Q$5:$Q$1004,MATCH(241,Firms!$R$5:$R$1004,0))&amp;"","")</f>
        <v/>
      </c>
    </row>
    <row r="246">
      <c r="A246" s="57">
        <f>IF(B246="","",242)</f>
        <v/>
      </c>
      <c r="B246" s="58">
        <f>IFERROR(INDEX(Firms!$A$5:$A$1004,MATCH(242,Firms!$R$5:$R$1004,0))&amp;"","")</f>
        <v/>
      </c>
      <c r="C246" s="59">
        <f>IFERROR(IF(INDEX(Firms!$O$5:$O$1004,MATCH(242,Firms!$R$5:$R$1004,0))="","",INDEX(Firms!$O$5:$O$1004,MATCH(242,Firms!$R$5:$R$1004,0))),"")</f>
        <v/>
      </c>
      <c r="D246" s="58">
        <f>IFERROR(INDEX(Firms!$P$5:$P$1004,MATCH(242,Firms!$R$5:$R$1004,0))&amp;"","")</f>
        <v/>
      </c>
      <c r="E246" s="58">
        <f>IFERROR(INDEX(Firms!$C$5:$C$1004,MATCH(242,Firms!$R$5:$R$1004,0))&amp;"","")</f>
        <v/>
      </c>
      <c r="F246" s="57">
        <f>IFERROR(INDEX(Firms!$L$5:$L$1004,MATCH(242,Firms!$R$5:$R$1004,0))&amp;"","")</f>
        <v/>
      </c>
      <c r="G246" s="57">
        <f>IFERROR(INDEX(Firms!$M$5:$M$1004,MATCH(242,Firms!$R$5:$R$1004,0))&amp;"","")</f>
        <v/>
      </c>
      <c r="H246" s="58">
        <f>IFERROR(INDEX(Firms!$Q$5:$Q$1004,MATCH(242,Firms!$R$5:$R$1004,0))&amp;"","")</f>
        <v/>
      </c>
    </row>
    <row r="247">
      <c r="A247" s="57">
        <f>IF(B247="","",243)</f>
        <v/>
      </c>
      <c r="B247" s="58">
        <f>IFERROR(INDEX(Firms!$A$5:$A$1004,MATCH(243,Firms!$R$5:$R$1004,0))&amp;"","")</f>
        <v/>
      </c>
      <c r="C247" s="59">
        <f>IFERROR(IF(INDEX(Firms!$O$5:$O$1004,MATCH(243,Firms!$R$5:$R$1004,0))="","",INDEX(Firms!$O$5:$O$1004,MATCH(243,Firms!$R$5:$R$1004,0))),"")</f>
        <v/>
      </c>
      <c r="D247" s="58">
        <f>IFERROR(INDEX(Firms!$P$5:$P$1004,MATCH(243,Firms!$R$5:$R$1004,0))&amp;"","")</f>
        <v/>
      </c>
      <c r="E247" s="58">
        <f>IFERROR(INDEX(Firms!$C$5:$C$1004,MATCH(243,Firms!$R$5:$R$1004,0))&amp;"","")</f>
        <v/>
      </c>
      <c r="F247" s="57">
        <f>IFERROR(INDEX(Firms!$L$5:$L$1004,MATCH(243,Firms!$R$5:$R$1004,0))&amp;"","")</f>
        <v/>
      </c>
      <c r="G247" s="57">
        <f>IFERROR(INDEX(Firms!$M$5:$M$1004,MATCH(243,Firms!$R$5:$R$1004,0))&amp;"","")</f>
        <v/>
      </c>
      <c r="H247" s="58">
        <f>IFERROR(INDEX(Firms!$Q$5:$Q$1004,MATCH(243,Firms!$R$5:$R$1004,0))&amp;"","")</f>
        <v/>
      </c>
    </row>
    <row r="248">
      <c r="A248" s="57">
        <f>IF(B248="","",244)</f>
        <v/>
      </c>
      <c r="B248" s="58">
        <f>IFERROR(INDEX(Firms!$A$5:$A$1004,MATCH(244,Firms!$R$5:$R$1004,0))&amp;"","")</f>
        <v/>
      </c>
      <c r="C248" s="59">
        <f>IFERROR(IF(INDEX(Firms!$O$5:$O$1004,MATCH(244,Firms!$R$5:$R$1004,0))="","",INDEX(Firms!$O$5:$O$1004,MATCH(244,Firms!$R$5:$R$1004,0))),"")</f>
        <v/>
      </c>
      <c r="D248" s="58">
        <f>IFERROR(INDEX(Firms!$P$5:$P$1004,MATCH(244,Firms!$R$5:$R$1004,0))&amp;"","")</f>
        <v/>
      </c>
      <c r="E248" s="58">
        <f>IFERROR(INDEX(Firms!$C$5:$C$1004,MATCH(244,Firms!$R$5:$R$1004,0))&amp;"","")</f>
        <v/>
      </c>
      <c r="F248" s="57">
        <f>IFERROR(INDEX(Firms!$L$5:$L$1004,MATCH(244,Firms!$R$5:$R$1004,0))&amp;"","")</f>
        <v/>
      </c>
      <c r="G248" s="57">
        <f>IFERROR(INDEX(Firms!$M$5:$M$1004,MATCH(244,Firms!$R$5:$R$1004,0))&amp;"","")</f>
        <v/>
      </c>
      <c r="H248" s="58">
        <f>IFERROR(INDEX(Firms!$Q$5:$Q$1004,MATCH(244,Firms!$R$5:$R$1004,0))&amp;"","")</f>
        <v/>
      </c>
    </row>
    <row r="249">
      <c r="A249" s="57">
        <f>IF(B249="","",245)</f>
        <v/>
      </c>
      <c r="B249" s="58">
        <f>IFERROR(INDEX(Firms!$A$5:$A$1004,MATCH(245,Firms!$R$5:$R$1004,0))&amp;"","")</f>
        <v/>
      </c>
      <c r="C249" s="59">
        <f>IFERROR(IF(INDEX(Firms!$O$5:$O$1004,MATCH(245,Firms!$R$5:$R$1004,0))="","",INDEX(Firms!$O$5:$O$1004,MATCH(245,Firms!$R$5:$R$1004,0))),"")</f>
        <v/>
      </c>
      <c r="D249" s="58">
        <f>IFERROR(INDEX(Firms!$P$5:$P$1004,MATCH(245,Firms!$R$5:$R$1004,0))&amp;"","")</f>
        <v/>
      </c>
      <c r="E249" s="58">
        <f>IFERROR(INDEX(Firms!$C$5:$C$1004,MATCH(245,Firms!$R$5:$R$1004,0))&amp;"","")</f>
        <v/>
      </c>
      <c r="F249" s="57">
        <f>IFERROR(INDEX(Firms!$L$5:$L$1004,MATCH(245,Firms!$R$5:$R$1004,0))&amp;"","")</f>
        <v/>
      </c>
      <c r="G249" s="57">
        <f>IFERROR(INDEX(Firms!$M$5:$M$1004,MATCH(245,Firms!$R$5:$R$1004,0))&amp;"","")</f>
        <v/>
      </c>
      <c r="H249" s="58">
        <f>IFERROR(INDEX(Firms!$Q$5:$Q$1004,MATCH(245,Firms!$R$5:$R$1004,0))&amp;"","")</f>
        <v/>
      </c>
    </row>
    <row r="250">
      <c r="A250" s="57">
        <f>IF(B250="","",246)</f>
        <v/>
      </c>
      <c r="B250" s="58">
        <f>IFERROR(INDEX(Firms!$A$5:$A$1004,MATCH(246,Firms!$R$5:$R$1004,0))&amp;"","")</f>
        <v/>
      </c>
      <c r="C250" s="59">
        <f>IFERROR(IF(INDEX(Firms!$O$5:$O$1004,MATCH(246,Firms!$R$5:$R$1004,0))="","",INDEX(Firms!$O$5:$O$1004,MATCH(246,Firms!$R$5:$R$1004,0))),"")</f>
        <v/>
      </c>
      <c r="D250" s="58">
        <f>IFERROR(INDEX(Firms!$P$5:$P$1004,MATCH(246,Firms!$R$5:$R$1004,0))&amp;"","")</f>
        <v/>
      </c>
      <c r="E250" s="58">
        <f>IFERROR(INDEX(Firms!$C$5:$C$1004,MATCH(246,Firms!$R$5:$R$1004,0))&amp;"","")</f>
        <v/>
      </c>
      <c r="F250" s="57">
        <f>IFERROR(INDEX(Firms!$L$5:$L$1004,MATCH(246,Firms!$R$5:$R$1004,0))&amp;"","")</f>
        <v/>
      </c>
      <c r="G250" s="57">
        <f>IFERROR(INDEX(Firms!$M$5:$M$1004,MATCH(246,Firms!$R$5:$R$1004,0))&amp;"","")</f>
        <v/>
      </c>
      <c r="H250" s="58">
        <f>IFERROR(INDEX(Firms!$Q$5:$Q$1004,MATCH(246,Firms!$R$5:$R$1004,0))&amp;"","")</f>
        <v/>
      </c>
    </row>
    <row r="251">
      <c r="A251" s="57">
        <f>IF(B251="","",247)</f>
        <v/>
      </c>
      <c r="B251" s="58">
        <f>IFERROR(INDEX(Firms!$A$5:$A$1004,MATCH(247,Firms!$R$5:$R$1004,0))&amp;"","")</f>
        <v/>
      </c>
      <c r="C251" s="59">
        <f>IFERROR(IF(INDEX(Firms!$O$5:$O$1004,MATCH(247,Firms!$R$5:$R$1004,0))="","",INDEX(Firms!$O$5:$O$1004,MATCH(247,Firms!$R$5:$R$1004,0))),"")</f>
        <v/>
      </c>
      <c r="D251" s="58">
        <f>IFERROR(INDEX(Firms!$P$5:$P$1004,MATCH(247,Firms!$R$5:$R$1004,0))&amp;"","")</f>
        <v/>
      </c>
      <c r="E251" s="58">
        <f>IFERROR(INDEX(Firms!$C$5:$C$1004,MATCH(247,Firms!$R$5:$R$1004,0))&amp;"","")</f>
        <v/>
      </c>
      <c r="F251" s="57">
        <f>IFERROR(INDEX(Firms!$L$5:$L$1004,MATCH(247,Firms!$R$5:$R$1004,0))&amp;"","")</f>
        <v/>
      </c>
      <c r="G251" s="57">
        <f>IFERROR(INDEX(Firms!$M$5:$M$1004,MATCH(247,Firms!$R$5:$R$1004,0))&amp;"","")</f>
        <v/>
      </c>
      <c r="H251" s="58">
        <f>IFERROR(INDEX(Firms!$Q$5:$Q$1004,MATCH(247,Firms!$R$5:$R$1004,0))&amp;"","")</f>
        <v/>
      </c>
    </row>
    <row r="252">
      <c r="A252" s="57">
        <f>IF(B252="","",248)</f>
        <v/>
      </c>
      <c r="B252" s="58">
        <f>IFERROR(INDEX(Firms!$A$5:$A$1004,MATCH(248,Firms!$R$5:$R$1004,0))&amp;"","")</f>
        <v/>
      </c>
      <c r="C252" s="59">
        <f>IFERROR(IF(INDEX(Firms!$O$5:$O$1004,MATCH(248,Firms!$R$5:$R$1004,0))="","",INDEX(Firms!$O$5:$O$1004,MATCH(248,Firms!$R$5:$R$1004,0))),"")</f>
        <v/>
      </c>
      <c r="D252" s="58">
        <f>IFERROR(INDEX(Firms!$P$5:$P$1004,MATCH(248,Firms!$R$5:$R$1004,0))&amp;"","")</f>
        <v/>
      </c>
      <c r="E252" s="58">
        <f>IFERROR(INDEX(Firms!$C$5:$C$1004,MATCH(248,Firms!$R$5:$R$1004,0))&amp;"","")</f>
        <v/>
      </c>
      <c r="F252" s="57">
        <f>IFERROR(INDEX(Firms!$L$5:$L$1004,MATCH(248,Firms!$R$5:$R$1004,0))&amp;"","")</f>
        <v/>
      </c>
      <c r="G252" s="57">
        <f>IFERROR(INDEX(Firms!$M$5:$M$1004,MATCH(248,Firms!$R$5:$R$1004,0))&amp;"","")</f>
        <v/>
      </c>
      <c r="H252" s="58">
        <f>IFERROR(INDEX(Firms!$Q$5:$Q$1004,MATCH(248,Firms!$R$5:$R$1004,0))&amp;"","")</f>
        <v/>
      </c>
    </row>
    <row r="253">
      <c r="A253" s="57">
        <f>IF(B253="","",249)</f>
        <v/>
      </c>
      <c r="B253" s="58">
        <f>IFERROR(INDEX(Firms!$A$5:$A$1004,MATCH(249,Firms!$R$5:$R$1004,0))&amp;"","")</f>
        <v/>
      </c>
      <c r="C253" s="59">
        <f>IFERROR(IF(INDEX(Firms!$O$5:$O$1004,MATCH(249,Firms!$R$5:$R$1004,0))="","",INDEX(Firms!$O$5:$O$1004,MATCH(249,Firms!$R$5:$R$1004,0))),"")</f>
        <v/>
      </c>
      <c r="D253" s="58">
        <f>IFERROR(INDEX(Firms!$P$5:$P$1004,MATCH(249,Firms!$R$5:$R$1004,0))&amp;"","")</f>
        <v/>
      </c>
      <c r="E253" s="58">
        <f>IFERROR(INDEX(Firms!$C$5:$C$1004,MATCH(249,Firms!$R$5:$R$1004,0))&amp;"","")</f>
        <v/>
      </c>
      <c r="F253" s="57">
        <f>IFERROR(INDEX(Firms!$L$5:$L$1004,MATCH(249,Firms!$R$5:$R$1004,0))&amp;"","")</f>
        <v/>
      </c>
      <c r="G253" s="57">
        <f>IFERROR(INDEX(Firms!$M$5:$M$1004,MATCH(249,Firms!$R$5:$R$1004,0))&amp;"","")</f>
        <v/>
      </c>
      <c r="H253" s="58">
        <f>IFERROR(INDEX(Firms!$Q$5:$Q$1004,MATCH(249,Firms!$R$5:$R$1004,0))&amp;"","")</f>
        <v/>
      </c>
    </row>
    <row r="254">
      <c r="A254" s="57">
        <f>IF(B254="","",250)</f>
        <v/>
      </c>
      <c r="B254" s="58">
        <f>IFERROR(INDEX(Firms!$A$5:$A$1004,MATCH(250,Firms!$R$5:$R$1004,0))&amp;"","")</f>
        <v/>
      </c>
      <c r="C254" s="59">
        <f>IFERROR(IF(INDEX(Firms!$O$5:$O$1004,MATCH(250,Firms!$R$5:$R$1004,0))="","",INDEX(Firms!$O$5:$O$1004,MATCH(250,Firms!$R$5:$R$1004,0))),"")</f>
        <v/>
      </c>
      <c r="D254" s="58">
        <f>IFERROR(INDEX(Firms!$P$5:$P$1004,MATCH(250,Firms!$R$5:$R$1004,0))&amp;"","")</f>
        <v/>
      </c>
      <c r="E254" s="58">
        <f>IFERROR(INDEX(Firms!$C$5:$C$1004,MATCH(250,Firms!$R$5:$R$1004,0))&amp;"","")</f>
        <v/>
      </c>
      <c r="F254" s="57">
        <f>IFERROR(INDEX(Firms!$L$5:$L$1004,MATCH(250,Firms!$R$5:$R$1004,0))&amp;"","")</f>
        <v/>
      </c>
      <c r="G254" s="57">
        <f>IFERROR(INDEX(Firms!$M$5:$M$1004,MATCH(250,Firms!$R$5:$R$1004,0))&amp;"","")</f>
        <v/>
      </c>
      <c r="H254" s="58">
        <f>IFERROR(INDEX(Firms!$Q$5:$Q$1004,MATCH(250,Firms!$R$5:$R$1004,0))&amp;"","")</f>
        <v/>
      </c>
    </row>
    <row r="255">
      <c r="A255" s="57">
        <f>IF(B255="","",251)</f>
        <v/>
      </c>
      <c r="B255" s="58">
        <f>IFERROR(INDEX(Firms!$A$5:$A$1004,MATCH(251,Firms!$R$5:$R$1004,0))&amp;"","")</f>
        <v/>
      </c>
      <c r="C255" s="59">
        <f>IFERROR(IF(INDEX(Firms!$O$5:$O$1004,MATCH(251,Firms!$R$5:$R$1004,0))="","",INDEX(Firms!$O$5:$O$1004,MATCH(251,Firms!$R$5:$R$1004,0))),"")</f>
        <v/>
      </c>
      <c r="D255" s="58">
        <f>IFERROR(INDEX(Firms!$P$5:$P$1004,MATCH(251,Firms!$R$5:$R$1004,0))&amp;"","")</f>
        <v/>
      </c>
      <c r="E255" s="58">
        <f>IFERROR(INDEX(Firms!$C$5:$C$1004,MATCH(251,Firms!$R$5:$R$1004,0))&amp;"","")</f>
        <v/>
      </c>
      <c r="F255" s="57">
        <f>IFERROR(INDEX(Firms!$L$5:$L$1004,MATCH(251,Firms!$R$5:$R$1004,0))&amp;"","")</f>
        <v/>
      </c>
      <c r="G255" s="57">
        <f>IFERROR(INDEX(Firms!$M$5:$M$1004,MATCH(251,Firms!$R$5:$R$1004,0))&amp;"","")</f>
        <v/>
      </c>
      <c r="H255" s="58">
        <f>IFERROR(INDEX(Firms!$Q$5:$Q$1004,MATCH(251,Firms!$R$5:$R$1004,0))&amp;"","")</f>
        <v/>
      </c>
    </row>
    <row r="256">
      <c r="A256" s="57">
        <f>IF(B256="","",252)</f>
        <v/>
      </c>
      <c r="B256" s="58">
        <f>IFERROR(INDEX(Firms!$A$5:$A$1004,MATCH(252,Firms!$R$5:$R$1004,0))&amp;"","")</f>
        <v/>
      </c>
      <c r="C256" s="59">
        <f>IFERROR(IF(INDEX(Firms!$O$5:$O$1004,MATCH(252,Firms!$R$5:$R$1004,0))="","",INDEX(Firms!$O$5:$O$1004,MATCH(252,Firms!$R$5:$R$1004,0))),"")</f>
        <v/>
      </c>
      <c r="D256" s="58">
        <f>IFERROR(INDEX(Firms!$P$5:$P$1004,MATCH(252,Firms!$R$5:$R$1004,0))&amp;"","")</f>
        <v/>
      </c>
      <c r="E256" s="58">
        <f>IFERROR(INDEX(Firms!$C$5:$C$1004,MATCH(252,Firms!$R$5:$R$1004,0))&amp;"","")</f>
        <v/>
      </c>
      <c r="F256" s="57">
        <f>IFERROR(INDEX(Firms!$L$5:$L$1004,MATCH(252,Firms!$R$5:$R$1004,0))&amp;"","")</f>
        <v/>
      </c>
      <c r="G256" s="57">
        <f>IFERROR(INDEX(Firms!$M$5:$M$1004,MATCH(252,Firms!$R$5:$R$1004,0))&amp;"","")</f>
        <v/>
      </c>
      <c r="H256" s="58">
        <f>IFERROR(INDEX(Firms!$Q$5:$Q$1004,MATCH(252,Firms!$R$5:$R$1004,0))&amp;"","")</f>
        <v/>
      </c>
    </row>
    <row r="257">
      <c r="A257" s="57">
        <f>IF(B257="","",253)</f>
        <v/>
      </c>
      <c r="B257" s="58">
        <f>IFERROR(INDEX(Firms!$A$5:$A$1004,MATCH(253,Firms!$R$5:$R$1004,0))&amp;"","")</f>
        <v/>
      </c>
      <c r="C257" s="59">
        <f>IFERROR(IF(INDEX(Firms!$O$5:$O$1004,MATCH(253,Firms!$R$5:$R$1004,0))="","",INDEX(Firms!$O$5:$O$1004,MATCH(253,Firms!$R$5:$R$1004,0))),"")</f>
        <v/>
      </c>
      <c r="D257" s="58">
        <f>IFERROR(INDEX(Firms!$P$5:$P$1004,MATCH(253,Firms!$R$5:$R$1004,0))&amp;"","")</f>
        <v/>
      </c>
      <c r="E257" s="58">
        <f>IFERROR(INDEX(Firms!$C$5:$C$1004,MATCH(253,Firms!$R$5:$R$1004,0))&amp;"","")</f>
        <v/>
      </c>
      <c r="F257" s="57">
        <f>IFERROR(INDEX(Firms!$L$5:$L$1004,MATCH(253,Firms!$R$5:$R$1004,0))&amp;"","")</f>
        <v/>
      </c>
      <c r="G257" s="57">
        <f>IFERROR(INDEX(Firms!$M$5:$M$1004,MATCH(253,Firms!$R$5:$R$1004,0))&amp;"","")</f>
        <v/>
      </c>
      <c r="H257" s="58">
        <f>IFERROR(INDEX(Firms!$Q$5:$Q$1004,MATCH(253,Firms!$R$5:$R$1004,0))&amp;"","")</f>
        <v/>
      </c>
    </row>
    <row r="258">
      <c r="A258" s="57">
        <f>IF(B258="","",254)</f>
        <v/>
      </c>
      <c r="B258" s="58">
        <f>IFERROR(INDEX(Firms!$A$5:$A$1004,MATCH(254,Firms!$R$5:$R$1004,0))&amp;"","")</f>
        <v/>
      </c>
      <c r="C258" s="59">
        <f>IFERROR(IF(INDEX(Firms!$O$5:$O$1004,MATCH(254,Firms!$R$5:$R$1004,0))="","",INDEX(Firms!$O$5:$O$1004,MATCH(254,Firms!$R$5:$R$1004,0))),"")</f>
        <v/>
      </c>
      <c r="D258" s="58">
        <f>IFERROR(INDEX(Firms!$P$5:$P$1004,MATCH(254,Firms!$R$5:$R$1004,0))&amp;"","")</f>
        <v/>
      </c>
      <c r="E258" s="58">
        <f>IFERROR(INDEX(Firms!$C$5:$C$1004,MATCH(254,Firms!$R$5:$R$1004,0))&amp;"","")</f>
        <v/>
      </c>
      <c r="F258" s="57">
        <f>IFERROR(INDEX(Firms!$L$5:$L$1004,MATCH(254,Firms!$R$5:$R$1004,0))&amp;"","")</f>
        <v/>
      </c>
      <c r="G258" s="57">
        <f>IFERROR(INDEX(Firms!$M$5:$M$1004,MATCH(254,Firms!$R$5:$R$1004,0))&amp;"","")</f>
        <v/>
      </c>
      <c r="H258" s="58">
        <f>IFERROR(INDEX(Firms!$Q$5:$Q$1004,MATCH(254,Firms!$R$5:$R$1004,0))&amp;"","")</f>
        <v/>
      </c>
    </row>
    <row r="259">
      <c r="A259" s="57">
        <f>IF(B259="","",255)</f>
        <v/>
      </c>
      <c r="B259" s="58">
        <f>IFERROR(INDEX(Firms!$A$5:$A$1004,MATCH(255,Firms!$R$5:$R$1004,0))&amp;"","")</f>
        <v/>
      </c>
      <c r="C259" s="59">
        <f>IFERROR(IF(INDEX(Firms!$O$5:$O$1004,MATCH(255,Firms!$R$5:$R$1004,0))="","",INDEX(Firms!$O$5:$O$1004,MATCH(255,Firms!$R$5:$R$1004,0))),"")</f>
        <v/>
      </c>
      <c r="D259" s="58">
        <f>IFERROR(INDEX(Firms!$P$5:$P$1004,MATCH(255,Firms!$R$5:$R$1004,0))&amp;"","")</f>
        <v/>
      </c>
      <c r="E259" s="58">
        <f>IFERROR(INDEX(Firms!$C$5:$C$1004,MATCH(255,Firms!$R$5:$R$1004,0))&amp;"","")</f>
        <v/>
      </c>
      <c r="F259" s="57">
        <f>IFERROR(INDEX(Firms!$L$5:$L$1004,MATCH(255,Firms!$R$5:$R$1004,0))&amp;"","")</f>
        <v/>
      </c>
      <c r="G259" s="57">
        <f>IFERROR(INDEX(Firms!$M$5:$M$1004,MATCH(255,Firms!$R$5:$R$1004,0))&amp;"","")</f>
        <v/>
      </c>
      <c r="H259" s="58">
        <f>IFERROR(INDEX(Firms!$Q$5:$Q$1004,MATCH(255,Firms!$R$5:$R$1004,0))&amp;"","")</f>
        <v/>
      </c>
    </row>
    <row r="260">
      <c r="A260" s="57">
        <f>IF(B260="","",256)</f>
        <v/>
      </c>
      <c r="B260" s="58">
        <f>IFERROR(INDEX(Firms!$A$5:$A$1004,MATCH(256,Firms!$R$5:$R$1004,0))&amp;"","")</f>
        <v/>
      </c>
      <c r="C260" s="59">
        <f>IFERROR(IF(INDEX(Firms!$O$5:$O$1004,MATCH(256,Firms!$R$5:$R$1004,0))="","",INDEX(Firms!$O$5:$O$1004,MATCH(256,Firms!$R$5:$R$1004,0))),"")</f>
        <v/>
      </c>
      <c r="D260" s="58">
        <f>IFERROR(INDEX(Firms!$P$5:$P$1004,MATCH(256,Firms!$R$5:$R$1004,0))&amp;"","")</f>
        <v/>
      </c>
      <c r="E260" s="58">
        <f>IFERROR(INDEX(Firms!$C$5:$C$1004,MATCH(256,Firms!$R$5:$R$1004,0))&amp;"","")</f>
        <v/>
      </c>
      <c r="F260" s="57">
        <f>IFERROR(INDEX(Firms!$L$5:$L$1004,MATCH(256,Firms!$R$5:$R$1004,0))&amp;"","")</f>
        <v/>
      </c>
      <c r="G260" s="57">
        <f>IFERROR(INDEX(Firms!$M$5:$M$1004,MATCH(256,Firms!$R$5:$R$1004,0))&amp;"","")</f>
        <v/>
      </c>
      <c r="H260" s="58">
        <f>IFERROR(INDEX(Firms!$Q$5:$Q$1004,MATCH(256,Firms!$R$5:$R$1004,0))&amp;"","")</f>
        <v/>
      </c>
    </row>
    <row r="261">
      <c r="A261" s="57">
        <f>IF(B261="","",257)</f>
        <v/>
      </c>
      <c r="B261" s="58">
        <f>IFERROR(INDEX(Firms!$A$5:$A$1004,MATCH(257,Firms!$R$5:$R$1004,0))&amp;"","")</f>
        <v/>
      </c>
      <c r="C261" s="59">
        <f>IFERROR(IF(INDEX(Firms!$O$5:$O$1004,MATCH(257,Firms!$R$5:$R$1004,0))="","",INDEX(Firms!$O$5:$O$1004,MATCH(257,Firms!$R$5:$R$1004,0))),"")</f>
        <v/>
      </c>
      <c r="D261" s="58">
        <f>IFERROR(INDEX(Firms!$P$5:$P$1004,MATCH(257,Firms!$R$5:$R$1004,0))&amp;"","")</f>
        <v/>
      </c>
      <c r="E261" s="58">
        <f>IFERROR(INDEX(Firms!$C$5:$C$1004,MATCH(257,Firms!$R$5:$R$1004,0))&amp;"","")</f>
        <v/>
      </c>
      <c r="F261" s="57">
        <f>IFERROR(INDEX(Firms!$L$5:$L$1004,MATCH(257,Firms!$R$5:$R$1004,0))&amp;"","")</f>
        <v/>
      </c>
      <c r="G261" s="57">
        <f>IFERROR(INDEX(Firms!$M$5:$M$1004,MATCH(257,Firms!$R$5:$R$1004,0))&amp;"","")</f>
        <v/>
      </c>
      <c r="H261" s="58">
        <f>IFERROR(INDEX(Firms!$Q$5:$Q$1004,MATCH(257,Firms!$R$5:$R$1004,0))&amp;"","")</f>
        <v/>
      </c>
    </row>
    <row r="262">
      <c r="A262" s="57">
        <f>IF(B262="","",258)</f>
        <v/>
      </c>
      <c r="B262" s="58">
        <f>IFERROR(INDEX(Firms!$A$5:$A$1004,MATCH(258,Firms!$R$5:$R$1004,0))&amp;"","")</f>
        <v/>
      </c>
      <c r="C262" s="59">
        <f>IFERROR(IF(INDEX(Firms!$O$5:$O$1004,MATCH(258,Firms!$R$5:$R$1004,0))="","",INDEX(Firms!$O$5:$O$1004,MATCH(258,Firms!$R$5:$R$1004,0))),"")</f>
        <v/>
      </c>
      <c r="D262" s="58">
        <f>IFERROR(INDEX(Firms!$P$5:$P$1004,MATCH(258,Firms!$R$5:$R$1004,0))&amp;"","")</f>
        <v/>
      </c>
      <c r="E262" s="58">
        <f>IFERROR(INDEX(Firms!$C$5:$C$1004,MATCH(258,Firms!$R$5:$R$1004,0))&amp;"","")</f>
        <v/>
      </c>
      <c r="F262" s="57">
        <f>IFERROR(INDEX(Firms!$L$5:$L$1004,MATCH(258,Firms!$R$5:$R$1004,0))&amp;"","")</f>
        <v/>
      </c>
      <c r="G262" s="57">
        <f>IFERROR(INDEX(Firms!$M$5:$M$1004,MATCH(258,Firms!$R$5:$R$1004,0))&amp;"","")</f>
        <v/>
      </c>
      <c r="H262" s="58">
        <f>IFERROR(INDEX(Firms!$Q$5:$Q$1004,MATCH(258,Firms!$R$5:$R$1004,0))&amp;"","")</f>
        <v/>
      </c>
    </row>
    <row r="263">
      <c r="A263" s="57">
        <f>IF(B263="","",259)</f>
        <v/>
      </c>
      <c r="B263" s="58">
        <f>IFERROR(INDEX(Firms!$A$5:$A$1004,MATCH(259,Firms!$R$5:$R$1004,0))&amp;"","")</f>
        <v/>
      </c>
      <c r="C263" s="59">
        <f>IFERROR(IF(INDEX(Firms!$O$5:$O$1004,MATCH(259,Firms!$R$5:$R$1004,0))="","",INDEX(Firms!$O$5:$O$1004,MATCH(259,Firms!$R$5:$R$1004,0))),"")</f>
        <v/>
      </c>
      <c r="D263" s="58">
        <f>IFERROR(INDEX(Firms!$P$5:$P$1004,MATCH(259,Firms!$R$5:$R$1004,0))&amp;"","")</f>
        <v/>
      </c>
      <c r="E263" s="58">
        <f>IFERROR(INDEX(Firms!$C$5:$C$1004,MATCH(259,Firms!$R$5:$R$1004,0))&amp;"","")</f>
        <v/>
      </c>
      <c r="F263" s="57">
        <f>IFERROR(INDEX(Firms!$L$5:$L$1004,MATCH(259,Firms!$R$5:$R$1004,0))&amp;"","")</f>
        <v/>
      </c>
      <c r="G263" s="57">
        <f>IFERROR(INDEX(Firms!$M$5:$M$1004,MATCH(259,Firms!$R$5:$R$1004,0))&amp;"","")</f>
        <v/>
      </c>
      <c r="H263" s="58">
        <f>IFERROR(INDEX(Firms!$Q$5:$Q$1004,MATCH(259,Firms!$R$5:$R$1004,0))&amp;"","")</f>
        <v/>
      </c>
    </row>
    <row r="264">
      <c r="A264" s="57">
        <f>IF(B264="","",260)</f>
        <v/>
      </c>
      <c r="B264" s="58">
        <f>IFERROR(INDEX(Firms!$A$5:$A$1004,MATCH(260,Firms!$R$5:$R$1004,0))&amp;"","")</f>
        <v/>
      </c>
      <c r="C264" s="59">
        <f>IFERROR(IF(INDEX(Firms!$O$5:$O$1004,MATCH(260,Firms!$R$5:$R$1004,0))="","",INDEX(Firms!$O$5:$O$1004,MATCH(260,Firms!$R$5:$R$1004,0))),"")</f>
        <v/>
      </c>
      <c r="D264" s="58">
        <f>IFERROR(INDEX(Firms!$P$5:$P$1004,MATCH(260,Firms!$R$5:$R$1004,0))&amp;"","")</f>
        <v/>
      </c>
      <c r="E264" s="58">
        <f>IFERROR(INDEX(Firms!$C$5:$C$1004,MATCH(260,Firms!$R$5:$R$1004,0))&amp;"","")</f>
        <v/>
      </c>
      <c r="F264" s="57">
        <f>IFERROR(INDEX(Firms!$L$5:$L$1004,MATCH(260,Firms!$R$5:$R$1004,0))&amp;"","")</f>
        <v/>
      </c>
      <c r="G264" s="57">
        <f>IFERROR(INDEX(Firms!$M$5:$M$1004,MATCH(260,Firms!$R$5:$R$1004,0))&amp;"","")</f>
        <v/>
      </c>
      <c r="H264" s="58">
        <f>IFERROR(INDEX(Firms!$Q$5:$Q$1004,MATCH(260,Firms!$R$5:$R$1004,0))&amp;"","")</f>
        <v/>
      </c>
    </row>
    <row r="265">
      <c r="A265" s="57">
        <f>IF(B265="","",261)</f>
        <v/>
      </c>
      <c r="B265" s="58">
        <f>IFERROR(INDEX(Firms!$A$5:$A$1004,MATCH(261,Firms!$R$5:$R$1004,0))&amp;"","")</f>
        <v/>
      </c>
      <c r="C265" s="59">
        <f>IFERROR(IF(INDEX(Firms!$O$5:$O$1004,MATCH(261,Firms!$R$5:$R$1004,0))="","",INDEX(Firms!$O$5:$O$1004,MATCH(261,Firms!$R$5:$R$1004,0))),"")</f>
        <v/>
      </c>
      <c r="D265" s="58">
        <f>IFERROR(INDEX(Firms!$P$5:$P$1004,MATCH(261,Firms!$R$5:$R$1004,0))&amp;"","")</f>
        <v/>
      </c>
      <c r="E265" s="58">
        <f>IFERROR(INDEX(Firms!$C$5:$C$1004,MATCH(261,Firms!$R$5:$R$1004,0))&amp;"","")</f>
        <v/>
      </c>
      <c r="F265" s="57">
        <f>IFERROR(INDEX(Firms!$L$5:$L$1004,MATCH(261,Firms!$R$5:$R$1004,0))&amp;"","")</f>
        <v/>
      </c>
      <c r="G265" s="57">
        <f>IFERROR(INDEX(Firms!$M$5:$M$1004,MATCH(261,Firms!$R$5:$R$1004,0))&amp;"","")</f>
        <v/>
      </c>
      <c r="H265" s="58">
        <f>IFERROR(INDEX(Firms!$Q$5:$Q$1004,MATCH(261,Firms!$R$5:$R$1004,0))&amp;"","")</f>
        <v/>
      </c>
    </row>
    <row r="266">
      <c r="A266" s="57">
        <f>IF(B266="","",262)</f>
        <v/>
      </c>
      <c r="B266" s="58">
        <f>IFERROR(INDEX(Firms!$A$5:$A$1004,MATCH(262,Firms!$R$5:$R$1004,0))&amp;"","")</f>
        <v/>
      </c>
      <c r="C266" s="59">
        <f>IFERROR(IF(INDEX(Firms!$O$5:$O$1004,MATCH(262,Firms!$R$5:$R$1004,0))="","",INDEX(Firms!$O$5:$O$1004,MATCH(262,Firms!$R$5:$R$1004,0))),"")</f>
        <v/>
      </c>
      <c r="D266" s="58">
        <f>IFERROR(INDEX(Firms!$P$5:$P$1004,MATCH(262,Firms!$R$5:$R$1004,0))&amp;"","")</f>
        <v/>
      </c>
      <c r="E266" s="58">
        <f>IFERROR(INDEX(Firms!$C$5:$C$1004,MATCH(262,Firms!$R$5:$R$1004,0))&amp;"","")</f>
        <v/>
      </c>
      <c r="F266" s="57">
        <f>IFERROR(INDEX(Firms!$L$5:$L$1004,MATCH(262,Firms!$R$5:$R$1004,0))&amp;"","")</f>
        <v/>
      </c>
      <c r="G266" s="57">
        <f>IFERROR(INDEX(Firms!$M$5:$M$1004,MATCH(262,Firms!$R$5:$R$1004,0))&amp;"","")</f>
        <v/>
      </c>
      <c r="H266" s="58">
        <f>IFERROR(INDEX(Firms!$Q$5:$Q$1004,MATCH(262,Firms!$R$5:$R$1004,0))&amp;"","")</f>
        <v/>
      </c>
    </row>
    <row r="267">
      <c r="A267" s="57">
        <f>IF(B267="","",263)</f>
        <v/>
      </c>
      <c r="B267" s="58">
        <f>IFERROR(INDEX(Firms!$A$5:$A$1004,MATCH(263,Firms!$R$5:$R$1004,0))&amp;"","")</f>
        <v/>
      </c>
      <c r="C267" s="59">
        <f>IFERROR(IF(INDEX(Firms!$O$5:$O$1004,MATCH(263,Firms!$R$5:$R$1004,0))="","",INDEX(Firms!$O$5:$O$1004,MATCH(263,Firms!$R$5:$R$1004,0))),"")</f>
        <v/>
      </c>
      <c r="D267" s="58">
        <f>IFERROR(INDEX(Firms!$P$5:$P$1004,MATCH(263,Firms!$R$5:$R$1004,0))&amp;"","")</f>
        <v/>
      </c>
      <c r="E267" s="58">
        <f>IFERROR(INDEX(Firms!$C$5:$C$1004,MATCH(263,Firms!$R$5:$R$1004,0))&amp;"","")</f>
        <v/>
      </c>
      <c r="F267" s="57">
        <f>IFERROR(INDEX(Firms!$L$5:$L$1004,MATCH(263,Firms!$R$5:$R$1004,0))&amp;"","")</f>
        <v/>
      </c>
      <c r="G267" s="57">
        <f>IFERROR(INDEX(Firms!$M$5:$M$1004,MATCH(263,Firms!$R$5:$R$1004,0))&amp;"","")</f>
        <v/>
      </c>
      <c r="H267" s="58">
        <f>IFERROR(INDEX(Firms!$Q$5:$Q$1004,MATCH(263,Firms!$R$5:$R$1004,0))&amp;"","")</f>
        <v/>
      </c>
    </row>
    <row r="268">
      <c r="A268" s="57">
        <f>IF(B268="","",264)</f>
        <v/>
      </c>
      <c r="B268" s="58">
        <f>IFERROR(INDEX(Firms!$A$5:$A$1004,MATCH(264,Firms!$R$5:$R$1004,0))&amp;"","")</f>
        <v/>
      </c>
      <c r="C268" s="59">
        <f>IFERROR(IF(INDEX(Firms!$O$5:$O$1004,MATCH(264,Firms!$R$5:$R$1004,0))="","",INDEX(Firms!$O$5:$O$1004,MATCH(264,Firms!$R$5:$R$1004,0))),"")</f>
        <v/>
      </c>
      <c r="D268" s="58">
        <f>IFERROR(INDEX(Firms!$P$5:$P$1004,MATCH(264,Firms!$R$5:$R$1004,0))&amp;"","")</f>
        <v/>
      </c>
      <c r="E268" s="58">
        <f>IFERROR(INDEX(Firms!$C$5:$C$1004,MATCH(264,Firms!$R$5:$R$1004,0))&amp;"","")</f>
        <v/>
      </c>
      <c r="F268" s="57">
        <f>IFERROR(INDEX(Firms!$L$5:$L$1004,MATCH(264,Firms!$R$5:$R$1004,0))&amp;"","")</f>
        <v/>
      </c>
      <c r="G268" s="57">
        <f>IFERROR(INDEX(Firms!$M$5:$M$1004,MATCH(264,Firms!$R$5:$R$1004,0))&amp;"","")</f>
        <v/>
      </c>
      <c r="H268" s="58">
        <f>IFERROR(INDEX(Firms!$Q$5:$Q$1004,MATCH(264,Firms!$R$5:$R$1004,0))&amp;"","")</f>
        <v/>
      </c>
    </row>
    <row r="269">
      <c r="A269" s="57">
        <f>IF(B269="","",265)</f>
        <v/>
      </c>
      <c r="B269" s="58">
        <f>IFERROR(INDEX(Firms!$A$5:$A$1004,MATCH(265,Firms!$R$5:$R$1004,0))&amp;"","")</f>
        <v/>
      </c>
      <c r="C269" s="59">
        <f>IFERROR(IF(INDEX(Firms!$O$5:$O$1004,MATCH(265,Firms!$R$5:$R$1004,0))="","",INDEX(Firms!$O$5:$O$1004,MATCH(265,Firms!$R$5:$R$1004,0))),"")</f>
        <v/>
      </c>
      <c r="D269" s="58">
        <f>IFERROR(INDEX(Firms!$P$5:$P$1004,MATCH(265,Firms!$R$5:$R$1004,0))&amp;"","")</f>
        <v/>
      </c>
      <c r="E269" s="58">
        <f>IFERROR(INDEX(Firms!$C$5:$C$1004,MATCH(265,Firms!$R$5:$R$1004,0))&amp;"","")</f>
        <v/>
      </c>
      <c r="F269" s="57">
        <f>IFERROR(INDEX(Firms!$L$5:$L$1004,MATCH(265,Firms!$R$5:$R$1004,0))&amp;"","")</f>
        <v/>
      </c>
      <c r="G269" s="57">
        <f>IFERROR(INDEX(Firms!$M$5:$M$1004,MATCH(265,Firms!$R$5:$R$1004,0))&amp;"","")</f>
        <v/>
      </c>
      <c r="H269" s="58">
        <f>IFERROR(INDEX(Firms!$Q$5:$Q$1004,MATCH(265,Firms!$R$5:$R$1004,0))&amp;"","")</f>
        <v/>
      </c>
    </row>
    <row r="270">
      <c r="A270" s="57">
        <f>IF(B270="","",266)</f>
        <v/>
      </c>
      <c r="B270" s="58">
        <f>IFERROR(INDEX(Firms!$A$5:$A$1004,MATCH(266,Firms!$R$5:$R$1004,0))&amp;"","")</f>
        <v/>
      </c>
      <c r="C270" s="59">
        <f>IFERROR(IF(INDEX(Firms!$O$5:$O$1004,MATCH(266,Firms!$R$5:$R$1004,0))="","",INDEX(Firms!$O$5:$O$1004,MATCH(266,Firms!$R$5:$R$1004,0))),"")</f>
        <v/>
      </c>
      <c r="D270" s="58">
        <f>IFERROR(INDEX(Firms!$P$5:$P$1004,MATCH(266,Firms!$R$5:$R$1004,0))&amp;"","")</f>
        <v/>
      </c>
      <c r="E270" s="58">
        <f>IFERROR(INDEX(Firms!$C$5:$C$1004,MATCH(266,Firms!$R$5:$R$1004,0))&amp;"","")</f>
        <v/>
      </c>
      <c r="F270" s="57">
        <f>IFERROR(INDEX(Firms!$L$5:$L$1004,MATCH(266,Firms!$R$5:$R$1004,0))&amp;"","")</f>
        <v/>
      </c>
      <c r="G270" s="57">
        <f>IFERROR(INDEX(Firms!$M$5:$M$1004,MATCH(266,Firms!$R$5:$R$1004,0))&amp;"","")</f>
        <v/>
      </c>
      <c r="H270" s="58">
        <f>IFERROR(INDEX(Firms!$Q$5:$Q$1004,MATCH(266,Firms!$R$5:$R$1004,0))&amp;"","")</f>
        <v/>
      </c>
    </row>
    <row r="271">
      <c r="A271" s="57">
        <f>IF(B271="","",267)</f>
        <v/>
      </c>
      <c r="B271" s="58">
        <f>IFERROR(INDEX(Firms!$A$5:$A$1004,MATCH(267,Firms!$R$5:$R$1004,0))&amp;"","")</f>
        <v/>
      </c>
      <c r="C271" s="59">
        <f>IFERROR(IF(INDEX(Firms!$O$5:$O$1004,MATCH(267,Firms!$R$5:$R$1004,0))="","",INDEX(Firms!$O$5:$O$1004,MATCH(267,Firms!$R$5:$R$1004,0))),"")</f>
        <v/>
      </c>
      <c r="D271" s="58">
        <f>IFERROR(INDEX(Firms!$P$5:$P$1004,MATCH(267,Firms!$R$5:$R$1004,0))&amp;"","")</f>
        <v/>
      </c>
      <c r="E271" s="58">
        <f>IFERROR(INDEX(Firms!$C$5:$C$1004,MATCH(267,Firms!$R$5:$R$1004,0))&amp;"","")</f>
        <v/>
      </c>
      <c r="F271" s="57">
        <f>IFERROR(INDEX(Firms!$L$5:$L$1004,MATCH(267,Firms!$R$5:$R$1004,0))&amp;"","")</f>
        <v/>
      </c>
      <c r="G271" s="57">
        <f>IFERROR(INDEX(Firms!$M$5:$M$1004,MATCH(267,Firms!$R$5:$R$1004,0))&amp;"","")</f>
        <v/>
      </c>
      <c r="H271" s="58">
        <f>IFERROR(INDEX(Firms!$Q$5:$Q$1004,MATCH(267,Firms!$R$5:$R$1004,0))&amp;"","")</f>
        <v/>
      </c>
    </row>
    <row r="272">
      <c r="A272" s="57">
        <f>IF(B272="","",268)</f>
        <v/>
      </c>
      <c r="B272" s="58">
        <f>IFERROR(INDEX(Firms!$A$5:$A$1004,MATCH(268,Firms!$R$5:$R$1004,0))&amp;"","")</f>
        <v/>
      </c>
      <c r="C272" s="59">
        <f>IFERROR(IF(INDEX(Firms!$O$5:$O$1004,MATCH(268,Firms!$R$5:$R$1004,0))="","",INDEX(Firms!$O$5:$O$1004,MATCH(268,Firms!$R$5:$R$1004,0))),"")</f>
        <v/>
      </c>
      <c r="D272" s="58">
        <f>IFERROR(INDEX(Firms!$P$5:$P$1004,MATCH(268,Firms!$R$5:$R$1004,0))&amp;"","")</f>
        <v/>
      </c>
      <c r="E272" s="58">
        <f>IFERROR(INDEX(Firms!$C$5:$C$1004,MATCH(268,Firms!$R$5:$R$1004,0))&amp;"","")</f>
        <v/>
      </c>
      <c r="F272" s="57">
        <f>IFERROR(INDEX(Firms!$L$5:$L$1004,MATCH(268,Firms!$R$5:$R$1004,0))&amp;"","")</f>
        <v/>
      </c>
      <c r="G272" s="57">
        <f>IFERROR(INDEX(Firms!$M$5:$M$1004,MATCH(268,Firms!$R$5:$R$1004,0))&amp;"","")</f>
        <v/>
      </c>
      <c r="H272" s="58">
        <f>IFERROR(INDEX(Firms!$Q$5:$Q$1004,MATCH(268,Firms!$R$5:$R$1004,0))&amp;"","")</f>
        <v/>
      </c>
    </row>
    <row r="273">
      <c r="A273" s="57">
        <f>IF(B273="","",269)</f>
        <v/>
      </c>
      <c r="B273" s="58">
        <f>IFERROR(INDEX(Firms!$A$5:$A$1004,MATCH(269,Firms!$R$5:$R$1004,0))&amp;"","")</f>
        <v/>
      </c>
      <c r="C273" s="59">
        <f>IFERROR(IF(INDEX(Firms!$O$5:$O$1004,MATCH(269,Firms!$R$5:$R$1004,0))="","",INDEX(Firms!$O$5:$O$1004,MATCH(269,Firms!$R$5:$R$1004,0))),"")</f>
        <v/>
      </c>
      <c r="D273" s="58">
        <f>IFERROR(INDEX(Firms!$P$5:$P$1004,MATCH(269,Firms!$R$5:$R$1004,0))&amp;"","")</f>
        <v/>
      </c>
      <c r="E273" s="58">
        <f>IFERROR(INDEX(Firms!$C$5:$C$1004,MATCH(269,Firms!$R$5:$R$1004,0))&amp;"","")</f>
        <v/>
      </c>
      <c r="F273" s="57">
        <f>IFERROR(INDEX(Firms!$L$5:$L$1004,MATCH(269,Firms!$R$5:$R$1004,0))&amp;"","")</f>
        <v/>
      </c>
      <c r="G273" s="57">
        <f>IFERROR(INDEX(Firms!$M$5:$M$1004,MATCH(269,Firms!$R$5:$R$1004,0))&amp;"","")</f>
        <v/>
      </c>
      <c r="H273" s="58">
        <f>IFERROR(INDEX(Firms!$Q$5:$Q$1004,MATCH(269,Firms!$R$5:$R$1004,0))&amp;"","")</f>
        <v/>
      </c>
    </row>
    <row r="274">
      <c r="A274" s="57">
        <f>IF(B274="","",270)</f>
        <v/>
      </c>
      <c r="B274" s="58">
        <f>IFERROR(INDEX(Firms!$A$5:$A$1004,MATCH(270,Firms!$R$5:$R$1004,0))&amp;"","")</f>
        <v/>
      </c>
      <c r="C274" s="59">
        <f>IFERROR(IF(INDEX(Firms!$O$5:$O$1004,MATCH(270,Firms!$R$5:$R$1004,0))="","",INDEX(Firms!$O$5:$O$1004,MATCH(270,Firms!$R$5:$R$1004,0))),"")</f>
        <v/>
      </c>
      <c r="D274" s="58">
        <f>IFERROR(INDEX(Firms!$P$5:$P$1004,MATCH(270,Firms!$R$5:$R$1004,0))&amp;"","")</f>
        <v/>
      </c>
      <c r="E274" s="58">
        <f>IFERROR(INDEX(Firms!$C$5:$C$1004,MATCH(270,Firms!$R$5:$R$1004,0))&amp;"","")</f>
        <v/>
      </c>
      <c r="F274" s="57">
        <f>IFERROR(INDEX(Firms!$L$5:$L$1004,MATCH(270,Firms!$R$5:$R$1004,0))&amp;"","")</f>
        <v/>
      </c>
      <c r="G274" s="57">
        <f>IFERROR(INDEX(Firms!$M$5:$M$1004,MATCH(270,Firms!$R$5:$R$1004,0))&amp;"","")</f>
        <v/>
      </c>
      <c r="H274" s="58">
        <f>IFERROR(INDEX(Firms!$Q$5:$Q$1004,MATCH(270,Firms!$R$5:$R$1004,0))&amp;"","")</f>
        <v/>
      </c>
    </row>
    <row r="275">
      <c r="A275" s="57">
        <f>IF(B275="","",271)</f>
        <v/>
      </c>
      <c r="B275" s="58">
        <f>IFERROR(INDEX(Firms!$A$5:$A$1004,MATCH(271,Firms!$R$5:$R$1004,0))&amp;"","")</f>
        <v/>
      </c>
      <c r="C275" s="59">
        <f>IFERROR(IF(INDEX(Firms!$O$5:$O$1004,MATCH(271,Firms!$R$5:$R$1004,0))="","",INDEX(Firms!$O$5:$O$1004,MATCH(271,Firms!$R$5:$R$1004,0))),"")</f>
        <v/>
      </c>
      <c r="D275" s="58">
        <f>IFERROR(INDEX(Firms!$P$5:$P$1004,MATCH(271,Firms!$R$5:$R$1004,0))&amp;"","")</f>
        <v/>
      </c>
      <c r="E275" s="58">
        <f>IFERROR(INDEX(Firms!$C$5:$C$1004,MATCH(271,Firms!$R$5:$R$1004,0))&amp;"","")</f>
        <v/>
      </c>
      <c r="F275" s="57">
        <f>IFERROR(INDEX(Firms!$L$5:$L$1004,MATCH(271,Firms!$R$5:$R$1004,0))&amp;"","")</f>
        <v/>
      </c>
      <c r="G275" s="57">
        <f>IFERROR(INDEX(Firms!$M$5:$M$1004,MATCH(271,Firms!$R$5:$R$1004,0))&amp;"","")</f>
        <v/>
      </c>
      <c r="H275" s="58">
        <f>IFERROR(INDEX(Firms!$Q$5:$Q$1004,MATCH(271,Firms!$R$5:$R$1004,0))&amp;"","")</f>
        <v/>
      </c>
    </row>
    <row r="276">
      <c r="A276" s="57">
        <f>IF(B276="","",272)</f>
        <v/>
      </c>
      <c r="B276" s="58">
        <f>IFERROR(INDEX(Firms!$A$5:$A$1004,MATCH(272,Firms!$R$5:$R$1004,0))&amp;"","")</f>
        <v/>
      </c>
      <c r="C276" s="59">
        <f>IFERROR(IF(INDEX(Firms!$O$5:$O$1004,MATCH(272,Firms!$R$5:$R$1004,0))="","",INDEX(Firms!$O$5:$O$1004,MATCH(272,Firms!$R$5:$R$1004,0))),"")</f>
        <v/>
      </c>
      <c r="D276" s="58">
        <f>IFERROR(INDEX(Firms!$P$5:$P$1004,MATCH(272,Firms!$R$5:$R$1004,0))&amp;"","")</f>
        <v/>
      </c>
      <c r="E276" s="58">
        <f>IFERROR(INDEX(Firms!$C$5:$C$1004,MATCH(272,Firms!$R$5:$R$1004,0))&amp;"","")</f>
        <v/>
      </c>
      <c r="F276" s="57">
        <f>IFERROR(INDEX(Firms!$L$5:$L$1004,MATCH(272,Firms!$R$5:$R$1004,0))&amp;"","")</f>
        <v/>
      </c>
      <c r="G276" s="57">
        <f>IFERROR(INDEX(Firms!$M$5:$M$1004,MATCH(272,Firms!$R$5:$R$1004,0))&amp;"","")</f>
        <v/>
      </c>
      <c r="H276" s="58">
        <f>IFERROR(INDEX(Firms!$Q$5:$Q$1004,MATCH(272,Firms!$R$5:$R$1004,0))&amp;"","")</f>
        <v/>
      </c>
    </row>
    <row r="277">
      <c r="A277" s="57">
        <f>IF(B277="","",273)</f>
        <v/>
      </c>
      <c r="B277" s="58">
        <f>IFERROR(INDEX(Firms!$A$5:$A$1004,MATCH(273,Firms!$R$5:$R$1004,0))&amp;"","")</f>
        <v/>
      </c>
      <c r="C277" s="59">
        <f>IFERROR(IF(INDEX(Firms!$O$5:$O$1004,MATCH(273,Firms!$R$5:$R$1004,0))="","",INDEX(Firms!$O$5:$O$1004,MATCH(273,Firms!$R$5:$R$1004,0))),"")</f>
        <v/>
      </c>
      <c r="D277" s="58">
        <f>IFERROR(INDEX(Firms!$P$5:$P$1004,MATCH(273,Firms!$R$5:$R$1004,0))&amp;"","")</f>
        <v/>
      </c>
      <c r="E277" s="58">
        <f>IFERROR(INDEX(Firms!$C$5:$C$1004,MATCH(273,Firms!$R$5:$R$1004,0))&amp;"","")</f>
        <v/>
      </c>
      <c r="F277" s="57">
        <f>IFERROR(INDEX(Firms!$L$5:$L$1004,MATCH(273,Firms!$R$5:$R$1004,0))&amp;"","")</f>
        <v/>
      </c>
      <c r="G277" s="57">
        <f>IFERROR(INDEX(Firms!$M$5:$M$1004,MATCH(273,Firms!$R$5:$R$1004,0))&amp;"","")</f>
        <v/>
      </c>
      <c r="H277" s="58">
        <f>IFERROR(INDEX(Firms!$Q$5:$Q$1004,MATCH(273,Firms!$R$5:$R$1004,0))&amp;"","")</f>
        <v/>
      </c>
    </row>
    <row r="278">
      <c r="A278" s="57">
        <f>IF(B278="","",274)</f>
        <v/>
      </c>
      <c r="B278" s="58">
        <f>IFERROR(INDEX(Firms!$A$5:$A$1004,MATCH(274,Firms!$R$5:$R$1004,0))&amp;"","")</f>
        <v/>
      </c>
      <c r="C278" s="59">
        <f>IFERROR(IF(INDEX(Firms!$O$5:$O$1004,MATCH(274,Firms!$R$5:$R$1004,0))="","",INDEX(Firms!$O$5:$O$1004,MATCH(274,Firms!$R$5:$R$1004,0))),"")</f>
        <v/>
      </c>
      <c r="D278" s="58">
        <f>IFERROR(INDEX(Firms!$P$5:$P$1004,MATCH(274,Firms!$R$5:$R$1004,0))&amp;"","")</f>
        <v/>
      </c>
      <c r="E278" s="58">
        <f>IFERROR(INDEX(Firms!$C$5:$C$1004,MATCH(274,Firms!$R$5:$R$1004,0))&amp;"","")</f>
        <v/>
      </c>
      <c r="F278" s="57">
        <f>IFERROR(INDEX(Firms!$L$5:$L$1004,MATCH(274,Firms!$R$5:$R$1004,0))&amp;"","")</f>
        <v/>
      </c>
      <c r="G278" s="57">
        <f>IFERROR(INDEX(Firms!$M$5:$M$1004,MATCH(274,Firms!$R$5:$R$1004,0))&amp;"","")</f>
        <v/>
      </c>
      <c r="H278" s="58">
        <f>IFERROR(INDEX(Firms!$Q$5:$Q$1004,MATCH(274,Firms!$R$5:$R$1004,0))&amp;"","")</f>
        <v/>
      </c>
    </row>
    <row r="279">
      <c r="A279" s="57">
        <f>IF(B279="","",275)</f>
        <v/>
      </c>
      <c r="B279" s="58">
        <f>IFERROR(INDEX(Firms!$A$5:$A$1004,MATCH(275,Firms!$R$5:$R$1004,0))&amp;"","")</f>
        <v/>
      </c>
      <c r="C279" s="59">
        <f>IFERROR(IF(INDEX(Firms!$O$5:$O$1004,MATCH(275,Firms!$R$5:$R$1004,0))="","",INDEX(Firms!$O$5:$O$1004,MATCH(275,Firms!$R$5:$R$1004,0))),"")</f>
        <v/>
      </c>
      <c r="D279" s="58">
        <f>IFERROR(INDEX(Firms!$P$5:$P$1004,MATCH(275,Firms!$R$5:$R$1004,0))&amp;"","")</f>
        <v/>
      </c>
      <c r="E279" s="58">
        <f>IFERROR(INDEX(Firms!$C$5:$C$1004,MATCH(275,Firms!$R$5:$R$1004,0))&amp;"","")</f>
        <v/>
      </c>
      <c r="F279" s="57">
        <f>IFERROR(INDEX(Firms!$L$5:$L$1004,MATCH(275,Firms!$R$5:$R$1004,0))&amp;"","")</f>
        <v/>
      </c>
      <c r="G279" s="57">
        <f>IFERROR(INDEX(Firms!$M$5:$M$1004,MATCH(275,Firms!$R$5:$R$1004,0))&amp;"","")</f>
        <v/>
      </c>
      <c r="H279" s="58">
        <f>IFERROR(INDEX(Firms!$Q$5:$Q$1004,MATCH(275,Firms!$R$5:$R$1004,0))&amp;"","")</f>
        <v/>
      </c>
    </row>
    <row r="280">
      <c r="A280" s="57">
        <f>IF(B280="","",276)</f>
        <v/>
      </c>
      <c r="B280" s="58">
        <f>IFERROR(INDEX(Firms!$A$5:$A$1004,MATCH(276,Firms!$R$5:$R$1004,0))&amp;"","")</f>
        <v/>
      </c>
      <c r="C280" s="59">
        <f>IFERROR(IF(INDEX(Firms!$O$5:$O$1004,MATCH(276,Firms!$R$5:$R$1004,0))="","",INDEX(Firms!$O$5:$O$1004,MATCH(276,Firms!$R$5:$R$1004,0))),"")</f>
        <v/>
      </c>
      <c r="D280" s="58">
        <f>IFERROR(INDEX(Firms!$P$5:$P$1004,MATCH(276,Firms!$R$5:$R$1004,0))&amp;"","")</f>
        <v/>
      </c>
      <c r="E280" s="58">
        <f>IFERROR(INDEX(Firms!$C$5:$C$1004,MATCH(276,Firms!$R$5:$R$1004,0))&amp;"","")</f>
        <v/>
      </c>
      <c r="F280" s="57">
        <f>IFERROR(INDEX(Firms!$L$5:$L$1004,MATCH(276,Firms!$R$5:$R$1004,0))&amp;"","")</f>
        <v/>
      </c>
      <c r="G280" s="57">
        <f>IFERROR(INDEX(Firms!$M$5:$M$1004,MATCH(276,Firms!$R$5:$R$1004,0))&amp;"","")</f>
        <v/>
      </c>
      <c r="H280" s="58">
        <f>IFERROR(INDEX(Firms!$Q$5:$Q$1004,MATCH(276,Firms!$R$5:$R$1004,0))&amp;"","")</f>
        <v/>
      </c>
    </row>
    <row r="281">
      <c r="A281" s="57">
        <f>IF(B281="","",277)</f>
        <v/>
      </c>
      <c r="B281" s="58">
        <f>IFERROR(INDEX(Firms!$A$5:$A$1004,MATCH(277,Firms!$R$5:$R$1004,0))&amp;"","")</f>
        <v/>
      </c>
      <c r="C281" s="59">
        <f>IFERROR(IF(INDEX(Firms!$O$5:$O$1004,MATCH(277,Firms!$R$5:$R$1004,0))="","",INDEX(Firms!$O$5:$O$1004,MATCH(277,Firms!$R$5:$R$1004,0))),"")</f>
        <v/>
      </c>
      <c r="D281" s="58">
        <f>IFERROR(INDEX(Firms!$P$5:$P$1004,MATCH(277,Firms!$R$5:$R$1004,0))&amp;"","")</f>
        <v/>
      </c>
      <c r="E281" s="58">
        <f>IFERROR(INDEX(Firms!$C$5:$C$1004,MATCH(277,Firms!$R$5:$R$1004,0))&amp;"","")</f>
        <v/>
      </c>
      <c r="F281" s="57">
        <f>IFERROR(INDEX(Firms!$L$5:$L$1004,MATCH(277,Firms!$R$5:$R$1004,0))&amp;"","")</f>
        <v/>
      </c>
      <c r="G281" s="57">
        <f>IFERROR(INDEX(Firms!$M$5:$M$1004,MATCH(277,Firms!$R$5:$R$1004,0))&amp;"","")</f>
        <v/>
      </c>
      <c r="H281" s="58">
        <f>IFERROR(INDEX(Firms!$Q$5:$Q$1004,MATCH(277,Firms!$R$5:$R$1004,0))&amp;"","")</f>
        <v/>
      </c>
    </row>
    <row r="282">
      <c r="A282" s="57">
        <f>IF(B282="","",278)</f>
        <v/>
      </c>
      <c r="B282" s="58">
        <f>IFERROR(INDEX(Firms!$A$5:$A$1004,MATCH(278,Firms!$R$5:$R$1004,0))&amp;"","")</f>
        <v/>
      </c>
      <c r="C282" s="59">
        <f>IFERROR(IF(INDEX(Firms!$O$5:$O$1004,MATCH(278,Firms!$R$5:$R$1004,0))="","",INDEX(Firms!$O$5:$O$1004,MATCH(278,Firms!$R$5:$R$1004,0))),"")</f>
        <v/>
      </c>
      <c r="D282" s="58">
        <f>IFERROR(INDEX(Firms!$P$5:$P$1004,MATCH(278,Firms!$R$5:$R$1004,0))&amp;"","")</f>
        <v/>
      </c>
      <c r="E282" s="58">
        <f>IFERROR(INDEX(Firms!$C$5:$C$1004,MATCH(278,Firms!$R$5:$R$1004,0))&amp;"","")</f>
        <v/>
      </c>
      <c r="F282" s="57">
        <f>IFERROR(INDEX(Firms!$L$5:$L$1004,MATCH(278,Firms!$R$5:$R$1004,0))&amp;"","")</f>
        <v/>
      </c>
      <c r="G282" s="57">
        <f>IFERROR(INDEX(Firms!$M$5:$M$1004,MATCH(278,Firms!$R$5:$R$1004,0))&amp;"","")</f>
        <v/>
      </c>
      <c r="H282" s="58">
        <f>IFERROR(INDEX(Firms!$Q$5:$Q$1004,MATCH(278,Firms!$R$5:$R$1004,0))&amp;"","")</f>
        <v/>
      </c>
    </row>
    <row r="283">
      <c r="A283" s="57">
        <f>IF(B283="","",279)</f>
        <v/>
      </c>
      <c r="B283" s="58">
        <f>IFERROR(INDEX(Firms!$A$5:$A$1004,MATCH(279,Firms!$R$5:$R$1004,0))&amp;"","")</f>
        <v/>
      </c>
      <c r="C283" s="59">
        <f>IFERROR(IF(INDEX(Firms!$O$5:$O$1004,MATCH(279,Firms!$R$5:$R$1004,0))="","",INDEX(Firms!$O$5:$O$1004,MATCH(279,Firms!$R$5:$R$1004,0))),"")</f>
        <v/>
      </c>
      <c r="D283" s="58">
        <f>IFERROR(INDEX(Firms!$P$5:$P$1004,MATCH(279,Firms!$R$5:$R$1004,0))&amp;"","")</f>
        <v/>
      </c>
      <c r="E283" s="58">
        <f>IFERROR(INDEX(Firms!$C$5:$C$1004,MATCH(279,Firms!$R$5:$R$1004,0))&amp;"","")</f>
        <v/>
      </c>
      <c r="F283" s="57">
        <f>IFERROR(INDEX(Firms!$L$5:$L$1004,MATCH(279,Firms!$R$5:$R$1004,0))&amp;"","")</f>
        <v/>
      </c>
      <c r="G283" s="57">
        <f>IFERROR(INDEX(Firms!$M$5:$M$1004,MATCH(279,Firms!$R$5:$R$1004,0))&amp;"","")</f>
        <v/>
      </c>
      <c r="H283" s="58">
        <f>IFERROR(INDEX(Firms!$Q$5:$Q$1004,MATCH(279,Firms!$R$5:$R$1004,0))&amp;"","")</f>
        <v/>
      </c>
    </row>
    <row r="284">
      <c r="A284" s="57">
        <f>IF(B284="","",280)</f>
        <v/>
      </c>
      <c r="B284" s="58">
        <f>IFERROR(INDEX(Firms!$A$5:$A$1004,MATCH(280,Firms!$R$5:$R$1004,0))&amp;"","")</f>
        <v/>
      </c>
      <c r="C284" s="59">
        <f>IFERROR(IF(INDEX(Firms!$O$5:$O$1004,MATCH(280,Firms!$R$5:$R$1004,0))="","",INDEX(Firms!$O$5:$O$1004,MATCH(280,Firms!$R$5:$R$1004,0))),"")</f>
        <v/>
      </c>
      <c r="D284" s="58">
        <f>IFERROR(INDEX(Firms!$P$5:$P$1004,MATCH(280,Firms!$R$5:$R$1004,0))&amp;"","")</f>
        <v/>
      </c>
      <c r="E284" s="58">
        <f>IFERROR(INDEX(Firms!$C$5:$C$1004,MATCH(280,Firms!$R$5:$R$1004,0))&amp;"","")</f>
        <v/>
      </c>
      <c r="F284" s="57">
        <f>IFERROR(INDEX(Firms!$L$5:$L$1004,MATCH(280,Firms!$R$5:$R$1004,0))&amp;"","")</f>
        <v/>
      </c>
      <c r="G284" s="57">
        <f>IFERROR(INDEX(Firms!$M$5:$M$1004,MATCH(280,Firms!$R$5:$R$1004,0))&amp;"","")</f>
        <v/>
      </c>
      <c r="H284" s="58">
        <f>IFERROR(INDEX(Firms!$Q$5:$Q$1004,MATCH(280,Firms!$R$5:$R$1004,0))&amp;"","")</f>
        <v/>
      </c>
    </row>
    <row r="285">
      <c r="A285" s="57">
        <f>IF(B285="","",281)</f>
        <v/>
      </c>
      <c r="B285" s="58">
        <f>IFERROR(INDEX(Firms!$A$5:$A$1004,MATCH(281,Firms!$R$5:$R$1004,0))&amp;"","")</f>
        <v/>
      </c>
      <c r="C285" s="59">
        <f>IFERROR(IF(INDEX(Firms!$O$5:$O$1004,MATCH(281,Firms!$R$5:$R$1004,0))="","",INDEX(Firms!$O$5:$O$1004,MATCH(281,Firms!$R$5:$R$1004,0))),"")</f>
        <v/>
      </c>
      <c r="D285" s="58">
        <f>IFERROR(INDEX(Firms!$P$5:$P$1004,MATCH(281,Firms!$R$5:$R$1004,0))&amp;"","")</f>
        <v/>
      </c>
      <c r="E285" s="58">
        <f>IFERROR(INDEX(Firms!$C$5:$C$1004,MATCH(281,Firms!$R$5:$R$1004,0))&amp;"","")</f>
        <v/>
      </c>
      <c r="F285" s="57">
        <f>IFERROR(INDEX(Firms!$L$5:$L$1004,MATCH(281,Firms!$R$5:$R$1004,0))&amp;"","")</f>
        <v/>
      </c>
      <c r="G285" s="57">
        <f>IFERROR(INDEX(Firms!$M$5:$M$1004,MATCH(281,Firms!$R$5:$R$1004,0))&amp;"","")</f>
        <v/>
      </c>
      <c r="H285" s="58">
        <f>IFERROR(INDEX(Firms!$Q$5:$Q$1004,MATCH(281,Firms!$R$5:$R$1004,0))&amp;"","")</f>
        <v/>
      </c>
    </row>
    <row r="286">
      <c r="A286" s="57">
        <f>IF(B286="","",282)</f>
        <v/>
      </c>
      <c r="B286" s="58">
        <f>IFERROR(INDEX(Firms!$A$5:$A$1004,MATCH(282,Firms!$R$5:$R$1004,0))&amp;"","")</f>
        <v/>
      </c>
      <c r="C286" s="59">
        <f>IFERROR(IF(INDEX(Firms!$O$5:$O$1004,MATCH(282,Firms!$R$5:$R$1004,0))="","",INDEX(Firms!$O$5:$O$1004,MATCH(282,Firms!$R$5:$R$1004,0))),"")</f>
        <v/>
      </c>
      <c r="D286" s="58">
        <f>IFERROR(INDEX(Firms!$P$5:$P$1004,MATCH(282,Firms!$R$5:$R$1004,0))&amp;"","")</f>
        <v/>
      </c>
      <c r="E286" s="58">
        <f>IFERROR(INDEX(Firms!$C$5:$C$1004,MATCH(282,Firms!$R$5:$R$1004,0))&amp;"","")</f>
        <v/>
      </c>
      <c r="F286" s="57">
        <f>IFERROR(INDEX(Firms!$L$5:$L$1004,MATCH(282,Firms!$R$5:$R$1004,0))&amp;"","")</f>
        <v/>
      </c>
      <c r="G286" s="57">
        <f>IFERROR(INDEX(Firms!$M$5:$M$1004,MATCH(282,Firms!$R$5:$R$1004,0))&amp;"","")</f>
        <v/>
      </c>
      <c r="H286" s="58">
        <f>IFERROR(INDEX(Firms!$Q$5:$Q$1004,MATCH(282,Firms!$R$5:$R$1004,0))&amp;"","")</f>
        <v/>
      </c>
    </row>
    <row r="287">
      <c r="A287" s="57">
        <f>IF(B287="","",283)</f>
        <v/>
      </c>
      <c r="B287" s="58">
        <f>IFERROR(INDEX(Firms!$A$5:$A$1004,MATCH(283,Firms!$R$5:$R$1004,0))&amp;"","")</f>
        <v/>
      </c>
      <c r="C287" s="59">
        <f>IFERROR(IF(INDEX(Firms!$O$5:$O$1004,MATCH(283,Firms!$R$5:$R$1004,0))="","",INDEX(Firms!$O$5:$O$1004,MATCH(283,Firms!$R$5:$R$1004,0))),"")</f>
        <v/>
      </c>
      <c r="D287" s="58">
        <f>IFERROR(INDEX(Firms!$P$5:$P$1004,MATCH(283,Firms!$R$5:$R$1004,0))&amp;"","")</f>
        <v/>
      </c>
      <c r="E287" s="58">
        <f>IFERROR(INDEX(Firms!$C$5:$C$1004,MATCH(283,Firms!$R$5:$R$1004,0))&amp;"","")</f>
        <v/>
      </c>
      <c r="F287" s="57">
        <f>IFERROR(INDEX(Firms!$L$5:$L$1004,MATCH(283,Firms!$R$5:$R$1004,0))&amp;"","")</f>
        <v/>
      </c>
      <c r="G287" s="57">
        <f>IFERROR(INDEX(Firms!$M$5:$M$1004,MATCH(283,Firms!$R$5:$R$1004,0))&amp;"","")</f>
        <v/>
      </c>
      <c r="H287" s="58">
        <f>IFERROR(INDEX(Firms!$Q$5:$Q$1004,MATCH(283,Firms!$R$5:$R$1004,0))&amp;"","")</f>
        <v/>
      </c>
    </row>
    <row r="288">
      <c r="A288" s="57">
        <f>IF(B288="","",284)</f>
        <v/>
      </c>
      <c r="B288" s="58">
        <f>IFERROR(INDEX(Firms!$A$5:$A$1004,MATCH(284,Firms!$R$5:$R$1004,0))&amp;"","")</f>
        <v/>
      </c>
      <c r="C288" s="59">
        <f>IFERROR(IF(INDEX(Firms!$O$5:$O$1004,MATCH(284,Firms!$R$5:$R$1004,0))="","",INDEX(Firms!$O$5:$O$1004,MATCH(284,Firms!$R$5:$R$1004,0))),"")</f>
        <v/>
      </c>
      <c r="D288" s="58">
        <f>IFERROR(INDEX(Firms!$P$5:$P$1004,MATCH(284,Firms!$R$5:$R$1004,0))&amp;"","")</f>
        <v/>
      </c>
      <c r="E288" s="58">
        <f>IFERROR(INDEX(Firms!$C$5:$C$1004,MATCH(284,Firms!$R$5:$R$1004,0))&amp;"","")</f>
        <v/>
      </c>
      <c r="F288" s="57">
        <f>IFERROR(INDEX(Firms!$L$5:$L$1004,MATCH(284,Firms!$R$5:$R$1004,0))&amp;"","")</f>
        <v/>
      </c>
      <c r="G288" s="57">
        <f>IFERROR(INDEX(Firms!$M$5:$M$1004,MATCH(284,Firms!$R$5:$R$1004,0))&amp;"","")</f>
        <v/>
      </c>
      <c r="H288" s="58">
        <f>IFERROR(INDEX(Firms!$Q$5:$Q$1004,MATCH(284,Firms!$R$5:$R$1004,0))&amp;"","")</f>
        <v/>
      </c>
    </row>
    <row r="289">
      <c r="A289" s="57">
        <f>IF(B289="","",285)</f>
        <v/>
      </c>
      <c r="B289" s="58">
        <f>IFERROR(INDEX(Firms!$A$5:$A$1004,MATCH(285,Firms!$R$5:$R$1004,0))&amp;"","")</f>
        <v/>
      </c>
      <c r="C289" s="59">
        <f>IFERROR(IF(INDEX(Firms!$O$5:$O$1004,MATCH(285,Firms!$R$5:$R$1004,0))="","",INDEX(Firms!$O$5:$O$1004,MATCH(285,Firms!$R$5:$R$1004,0))),"")</f>
        <v/>
      </c>
      <c r="D289" s="58">
        <f>IFERROR(INDEX(Firms!$P$5:$P$1004,MATCH(285,Firms!$R$5:$R$1004,0))&amp;"","")</f>
        <v/>
      </c>
      <c r="E289" s="58">
        <f>IFERROR(INDEX(Firms!$C$5:$C$1004,MATCH(285,Firms!$R$5:$R$1004,0))&amp;"","")</f>
        <v/>
      </c>
      <c r="F289" s="57">
        <f>IFERROR(INDEX(Firms!$L$5:$L$1004,MATCH(285,Firms!$R$5:$R$1004,0))&amp;"","")</f>
        <v/>
      </c>
      <c r="G289" s="57">
        <f>IFERROR(INDEX(Firms!$M$5:$M$1004,MATCH(285,Firms!$R$5:$R$1004,0))&amp;"","")</f>
        <v/>
      </c>
      <c r="H289" s="58">
        <f>IFERROR(INDEX(Firms!$Q$5:$Q$1004,MATCH(285,Firms!$R$5:$R$1004,0))&amp;"","")</f>
        <v/>
      </c>
    </row>
    <row r="290">
      <c r="A290" s="57">
        <f>IF(B290="","",286)</f>
        <v/>
      </c>
      <c r="B290" s="58">
        <f>IFERROR(INDEX(Firms!$A$5:$A$1004,MATCH(286,Firms!$R$5:$R$1004,0))&amp;"","")</f>
        <v/>
      </c>
      <c r="C290" s="59">
        <f>IFERROR(IF(INDEX(Firms!$O$5:$O$1004,MATCH(286,Firms!$R$5:$R$1004,0))="","",INDEX(Firms!$O$5:$O$1004,MATCH(286,Firms!$R$5:$R$1004,0))),"")</f>
        <v/>
      </c>
      <c r="D290" s="58">
        <f>IFERROR(INDEX(Firms!$P$5:$P$1004,MATCH(286,Firms!$R$5:$R$1004,0))&amp;"","")</f>
        <v/>
      </c>
      <c r="E290" s="58">
        <f>IFERROR(INDEX(Firms!$C$5:$C$1004,MATCH(286,Firms!$R$5:$R$1004,0))&amp;"","")</f>
        <v/>
      </c>
      <c r="F290" s="57">
        <f>IFERROR(INDEX(Firms!$L$5:$L$1004,MATCH(286,Firms!$R$5:$R$1004,0))&amp;"","")</f>
        <v/>
      </c>
      <c r="G290" s="57">
        <f>IFERROR(INDEX(Firms!$M$5:$M$1004,MATCH(286,Firms!$R$5:$R$1004,0))&amp;"","")</f>
        <v/>
      </c>
      <c r="H290" s="58">
        <f>IFERROR(INDEX(Firms!$Q$5:$Q$1004,MATCH(286,Firms!$R$5:$R$1004,0))&amp;"","")</f>
        <v/>
      </c>
    </row>
    <row r="291">
      <c r="A291" s="57">
        <f>IF(B291="","",287)</f>
        <v/>
      </c>
      <c r="B291" s="58">
        <f>IFERROR(INDEX(Firms!$A$5:$A$1004,MATCH(287,Firms!$R$5:$R$1004,0))&amp;"","")</f>
        <v/>
      </c>
      <c r="C291" s="59">
        <f>IFERROR(IF(INDEX(Firms!$O$5:$O$1004,MATCH(287,Firms!$R$5:$R$1004,0))="","",INDEX(Firms!$O$5:$O$1004,MATCH(287,Firms!$R$5:$R$1004,0))),"")</f>
        <v/>
      </c>
      <c r="D291" s="58">
        <f>IFERROR(INDEX(Firms!$P$5:$P$1004,MATCH(287,Firms!$R$5:$R$1004,0))&amp;"","")</f>
        <v/>
      </c>
      <c r="E291" s="58">
        <f>IFERROR(INDEX(Firms!$C$5:$C$1004,MATCH(287,Firms!$R$5:$R$1004,0))&amp;"","")</f>
        <v/>
      </c>
      <c r="F291" s="57">
        <f>IFERROR(INDEX(Firms!$L$5:$L$1004,MATCH(287,Firms!$R$5:$R$1004,0))&amp;"","")</f>
        <v/>
      </c>
      <c r="G291" s="57">
        <f>IFERROR(INDEX(Firms!$M$5:$M$1004,MATCH(287,Firms!$R$5:$R$1004,0))&amp;"","")</f>
        <v/>
      </c>
      <c r="H291" s="58">
        <f>IFERROR(INDEX(Firms!$Q$5:$Q$1004,MATCH(287,Firms!$R$5:$R$1004,0))&amp;"","")</f>
        <v/>
      </c>
    </row>
    <row r="292">
      <c r="A292" s="57">
        <f>IF(B292="","",288)</f>
        <v/>
      </c>
      <c r="B292" s="58">
        <f>IFERROR(INDEX(Firms!$A$5:$A$1004,MATCH(288,Firms!$R$5:$R$1004,0))&amp;"","")</f>
        <v/>
      </c>
      <c r="C292" s="59">
        <f>IFERROR(IF(INDEX(Firms!$O$5:$O$1004,MATCH(288,Firms!$R$5:$R$1004,0))="","",INDEX(Firms!$O$5:$O$1004,MATCH(288,Firms!$R$5:$R$1004,0))),"")</f>
        <v/>
      </c>
      <c r="D292" s="58">
        <f>IFERROR(INDEX(Firms!$P$5:$P$1004,MATCH(288,Firms!$R$5:$R$1004,0))&amp;"","")</f>
        <v/>
      </c>
      <c r="E292" s="58">
        <f>IFERROR(INDEX(Firms!$C$5:$C$1004,MATCH(288,Firms!$R$5:$R$1004,0))&amp;"","")</f>
        <v/>
      </c>
      <c r="F292" s="57">
        <f>IFERROR(INDEX(Firms!$L$5:$L$1004,MATCH(288,Firms!$R$5:$R$1004,0))&amp;"","")</f>
        <v/>
      </c>
      <c r="G292" s="57">
        <f>IFERROR(INDEX(Firms!$M$5:$M$1004,MATCH(288,Firms!$R$5:$R$1004,0))&amp;"","")</f>
        <v/>
      </c>
      <c r="H292" s="58">
        <f>IFERROR(INDEX(Firms!$Q$5:$Q$1004,MATCH(288,Firms!$R$5:$R$1004,0))&amp;"","")</f>
        <v/>
      </c>
    </row>
    <row r="293">
      <c r="A293" s="57">
        <f>IF(B293="","",289)</f>
        <v/>
      </c>
      <c r="B293" s="58">
        <f>IFERROR(INDEX(Firms!$A$5:$A$1004,MATCH(289,Firms!$R$5:$R$1004,0))&amp;"","")</f>
        <v/>
      </c>
      <c r="C293" s="59">
        <f>IFERROR(IF(INDEX(Firms!$O$5:$O$1004,MATCH(289,Firms!$R$5:$R$1004,0))="","",INDEX(Firms!$O$5:$O$1004,MATCH(289,Firms!$R$5:$R$1004,0))),"")</f>
        <v/>
      </c>
      <c r="D293" s="58">
        <f>IFERROR(INDEX(Firms!$P$5:$P$1004,MATCH(289,Firms!$R$5:$R$1004,0))&amp;"","")</f>
        <v/>
      </c>
      <c r="E293" s="58">
        <f>IFERROR(INDEX(Firms!$C$5:$C$1004,MATCH(289,Firms!$R$5:$R$1004,0))&amp;"","")</f>
        <v/>
      </c>
      <c r="F293" s="57">
        <f>IFERROR(INDEX(Firms!$L$5:$L$1004,MATCH(289,Firms!$R$5:$R$1004,0))&amp;"","")</f>
        <v/>
      </c>
      <c r="G293" s="57">
        <f>IFERROR(INDEX(Firms!$M$5:$M$1004,MATCH(289,Firms!$R$5:$R$1004,0))&amp;"","")</f>
        <v/>
      </c>
      <c r="H293" s="58">
        <f>IFERROR(INDEX(Firms!$Q$5:$Q$1004,MATCH(289,Firms!$R$5:$R$1004,0))&amp;"","")</f>
        <v/>
      </c>
    </row>
    <row r="294">
      <c r="A294" s="57">
        <f>IF(B294="","",290)</f>
        <v/>
      </c>
      <c r="B294" s="58">
        <f>IFERROR(INDEX(Firms!$A$5:$A$1004,MATCH(290,Firms!$R$5:$R$1004,0))&amp;"","")</f>
        <v/>
      </c>
      <c r="C294" s="59">
        <f>IFERROR(IF(INDEX(Firms!$O$5:$O$1004,MATCH(290,Firms!$R$5:$R$1004,0))="","",INDEX(Firms!$O$5:$O$1004,MATCH(290,Firms!$R$5:$R$1004,0))),"")</f>
        <v/>
      </c>
      <c r="D294" s="58">
        <f>IFERROR(INDEX(Firms!$P$5:$P$1004,MATCH(290,Firms!$R$5:$R$1004,0))&amp;"","")</f>
        <v/>
      </c>
      <c r="E294" s="58">
        <f>IFERROR(INDEX(Firms!$C$5:$C$1004,MATCH(290,Firms!$R$5:$R$1004,0))&amp;"","")</f>
        <v/>
      </c>
      <c r="F294" s="57">
        <f>IFERROR(INDEX(Firms!$L$5:$L$1004,MATCH(290,Firms!$R$5:$R$1004,0))&amp;"","")</f>
        <v/>
      </c>
      <c r="G294" s="57">
        <f>IFERROR(INDEX(Firms!$M$5:$M$1004,MATCH(290,Firms!$R$5:$R$1004,0))&amp;"","")</f>
        <v/>
      </c>
      <c r="H294" s="58">
        <f>IFERROR(INDEX(Firms!$Q$5:$Q$1004,MATCH(290,Firms!$R$5:$R$1004,0))&amp;"","")</f>
        <v/>
      </c>
    </row>
    <row r="295">
      <c r="A295" s="57">
        <f>IF(B295="","",291)</f>
        <v/>
      </c>
      <c r="B295" s="58">
        <f>IFERROR(INDEX(Firms!$A$5:$A$1004,MATCH(291,Firms!$R$5:$R$1004,0))&amp;"","")</f>
        <v/>
      </c>
      <c r="C295" s="59">
        <f>IFERROR(IF(INDEX(Firms!$O$5:$O$1004,MATCH(291,Firms!$R$5:$R$1004,0))="","",INDEX(Firms!$O$5:$O$1004,MATCH(291,Firms!$R$5:$R$1004,0))),"")</f>
        <v/>
      </c>
      <c r="D295" s="58">
        <f>IFERROR(INDEX(Firms!$P$5:$P$1004,MATCH(291,Firms!$R$5:$R$1004,0))&amp;"","")</f>
        <v/>
      </c>
      <c r="E295" s="58">
        <f>IFERROR(INDEX(Firms!$C$5:$C$1004,MATCH(291,Firms!$R$5:$R$1004,0))&amp;"","")</f>
        <v/>
      </c>
      <c r="F295" s="57">
        <f>IFERROR(INDEX(Firms!$L$5:$L$1004,MATCH(291,Firms!$R$5:$R$1004,0))&amp;"","")</f>
        <v/>
      </c>
      <c r="G295" s="57">
        <f>IFERROR(INDEX(Firms!$M$5:$M$1004,MATCH(291,Firms!$R$5:$R$1004,0))&amp;"","")</f>
        <v/>
      </c>
      <c r="H295" s="58">
        <f>IFERROR(INDEX(Firms!$Q$5:$Q$1004,MATCH(291,Firms!$R$5:$R$1004,0))&amp;"","")</f>
        <v/>
      </c>
    </row>
    <row r="296">
      <c r="A296" s="57">
        <f>IF(B296="","",292)</f>
        <v/>
      </c>
      <c r="B296" s="58">
        <f>IFERROR(INDEX(Firms!$A$5:$A$1004,MATCH(292,Firms!$R$5:$R$1004,0))&amp;"","")</f>
        <v/>
      </c>
      <c r="C296" s="59">
        <f>IFERROR(IF(INDEX(Firms!$O$5:$O$1004,MATCH(292,Firms!$R$5:$R$1004,0))="","",INDEX(Firms!$O$5:$O$1004,MATCH(292,Firms!$R$5:$R$1004,0))),"")</f>
        <v/>
      </c>
      <c r="D296" s="58">
        <f>IFERROR(INDEX(Firms!$P$5:$P$1004,MATCH(292,Firms!$R$5:$R$1004,0))&amp;"","")</f>
        <v/>
      </c>
      <c r="E296" s="58">
        <f>IFERROR(INDEX(Firms!$C$5:$C$1004,MATCH(292,Firms!$R$5:$R$1004,0))&amp;"","")</f>
        <v/>
      </c>
      <c r="F296" s="57">
        <f>IFERROR(INDEX(Firms!$L$5:$L$1004,MATCH(292,Firms!$R$5:$R$1004,0))&amp;"","")</f>
        <v/>
      </c>
      <c r="G296" s="57">
        <f>IFERROR(INDEX(Firms!$M$5:$M$1004,MATCH(292,Firms!$R$5:$R$1004,0))&amp;"","")</f>
        <v/>
      </c>
      <c r="H296" s="58">
        <f>IFERROR(INDEX(Firms!$Q$5:$Q$1004,MATCH(292,Firms!$R$5:$R$1004,0))&amp;"","")</f>
        <v/>
      </c>
    </row>
    <row r="297">
      <c r="A297" s="57">
        <f>IF(B297="","",293)</f>
        <v/>
      </c>
      <c r="B297" s="58">
        <f>IFERROR(INDEX(Firms!$A$5:$A$1004,MATCH(293,Firms!$R$5:$R$1004,0))&amp;"","")</f>
        <v/>
      </c>
      <c r="C297" s="59">
        <f>IFERROR(IF(INDEX(Firms!$O$5:$O$1004,MATCH(293,Firms!$R$5:$R$1004,0))="","",INDEX(Firms!$O$5:$O$1004,MATCH(293,Firms!$R$5:$R$1004,0))),"")</f>
        <v/>
      </c>
      <c r="D297" s="58">
        <f>IFERROR(INDEX(Firms!$P$5:$P$1004,MATCH(293,Firms!$R$5:$R$1004,0))&amp;"","")</f>
        <v/>
      </c>
      <c r="E297" s="58">
        <f>IFERROR(INDEX(Firms!$C$5:$C$1004,MATCH(293,Firms!$R$5:$R$1004,0))&amp;"","")</f>
        <v/>
      </c>
      <c r="F297" s="57">
        <f>IFERROR(INDEX(Firms!$L$5:$L$1004,MATCH(293,Firms!$R$5:$R$1004,0))&amp;"","")</f>
        <v/>
      </c>
      <c r="G297" s="57">
        <f>IFERROR(INDEX(Firms!$M$5:$M$1004,MATCH(293,Firms!$R$5:$R$1004,0))&amp;"","")</f>
        <v/>
      </c>
      <c r="H297" s="58">
        <f>IFERROR(INDEX(Firms!$Q$5:$Q$1004,MATCH(293,Firms!$R$5:$R$1004,0))&amp;"","")</f>
        <v/>
      </c>
    </row>
    <row r="298">
      <c r="A298" s="57">
        <f>IF(B298="","",294)</f>
        <v/>
      </c>
      <c r="B298" s="58">
        <f>IFERROR(INDEX(Firms!$A$5:$A$1004,MATCH(294,Firms!$R$5:$R$1004,0))&amp;"","")</f>
        <v/>
      </c>
      <c r="C298" s="59">
        <f>IFERROR(IF(INDEX(Firms!$O$5:$O$1004,MATCH(294,Firms!$R$5:$R$1004,0))="","",INDEX(Firms!$O$5:$O$1004,MATCH(294,Firms!$R$5:$R$1004,0))),"")</f>
        <v/>
      </c>
      <c r="D298" s="58">
        <f>IFERROR(INDEX(Firms!$P$5:$P$1004,MATCH(294,Firms!$R$5:$R$1004,0))&amp;"","")</f>
        <v/>
      </c>
      <c r="E298" s="58">
        <f>IFERROR(INDEX(Firms!$C$5:$C$1004,MATCH(294,Firms!$R$5:$R$1004,0))&amp;"","")</f>
        <v/>
      </c>
      <c r="F298" s="57">
        <f>IFERROR(INDEX(Firms!$L$5:$L$1004,MATCH(294,Firms!$R$5:$R$1004,0))&amp;"","")</f>
        <v/>
      </c>
      <c r="G298" s="57">
        <f>IFERROR(INDEX(Firms!$M$5:$M$1004,MATCH(294,Firms!$R$5:$R$1004,0))&amp;"","")</f>
        <v/>
      </c>
      <c r="H298" s="58">
        <f>IFERROR(INDEX(Firms!$Q$5:$Q$1004,MATCH(294,Firms!$R$5:$R$1004,0))&amp;"","")</f>
        <v/>
      </c>
    </row>
    <row r="299">
      <c r="A299" s="57">
        <f>IF(B299="","",295)</f>
        <v/>
      </c>
      <c r="B299" s="58">
        <f>IFERROR(INDEX(Firms!$A$5:$A$1004,MATCH(295,Firms!$R$5:$R$1004,0))&amp;"","")</f>
        <v/>
      </c>
      <c r="C299" s="59">
        <f>IFERROR(IF(INDEX(Firms!$O$5:$O$1004,MATCH(295,Firms!$R$5:$R$1004,0))="","",INDEX(Firms!$O$5:$O$1004,MATCH(295,Firms!$R$5:$R$1004,0))),"")</f>
        <v/>
      </c>
      <c r="D299" s="58">
        <f>IFERROR(INDEX(Firms!$P$5:$P$1004,MATCH(295,Firms!$R$5:$R$1004,0))&amp;"","")</f>
        <v/>
      </c>
      <c r="E299" s="58">
        <f>IFERROR(INDEX(Firms!$C$5:$C$1004,MATCH(295,Firms!$R$5:$R$1004,0))&amp;"","")</f>
        <v/>
      </c>
      <c r="F299" s="57">
        <f>IFERROR(INDEX(Firms!$L$5:$L$1004,MATCH(295,Firms!$R$5:$R$1004,0))&amp;"","")</f>
        <v/>
      </c>
      <c r="G299" s="57">
        <f>IFERROR(INDEX(Firms!$M$5:$M$1004,MATCH(295,Firms!$R$5:$R$1004,0))&amp;"","")</f>
        <v/>
      </c>
      <c r="H299" s="58">
        <f>IFERROR(INDEX(Firms!$Q$5:$Q$1004,MATCH(295,Firms!$R$5:$R$1004,0))&amp;"","")</f>
        <v/>
      </c>
    </row>
    <row r="300">
      <c r="A300" s="57">
        <f>IF(B300="","",296)</f>
        <v/>
      </c>
      <c r="B300" s="58">
        <f>IFERROR(INDEX(Firms!$A$5:$A$1004,MATCH(296,Firms!$R$5:$R$1004,0))&amp;"","")</f>
        <v/>
      </c>
      <c r="C300" s="59">
        <f>IFERROR(IF(INDEX(Firms!$O$5:$O$1004,MATCH(296,Firms!$R$5:$R$1004,0))="","",INDEX(Firms!$O$5:$O$1004,MATCH(296,Firms!$R$5:$R$1004,0))),"")</f>
        <v/>
      </c>
      <c r="D300" s="58">
        <f>IFERROR(INDEX(Firms!$P$5:$P$1004,MATCH(296,Firms!$R$5:$R$1004,0))&amp;"","")</f>
        <v/>
      </c>
      <c r="E300" s="58">
        <f>IFERROR(INDEX(Firms!$C$5:$C$1004,MATCH(296,Firms!$R$5:$R$1004,0))&amp;"","")</f>
        <v/>
      </c>
      <c r="F300" s="57">
        <f>IFERROR(INDEX(Firms!$L$5:$L$1004,MATCH(296,Firms!$R$5:$R$1004,0))&amp;"","")</f>
        <v/>
      </c>
      <c r="G300" s="57">
        <f>IFERROR(INDEX(Firms!$M$5:$M$1004,MATCH(296,Firms!$R$5:$R$1004,0))&amp;"","")</f>
        <v/>
      </c>
      <c r="H300" s="58">
        <f>IFERROR(INDEX(Firms!$Q$5:$Q$1004,MATCH(296,Firms!$R$5:$R$1004,0))&amp;"","")</f>
        <v/>
      </c>
    </row>
    <row r="301">
      <c r="A301" s="57">
        <f>IF(B301="","",297)</f>
        <v/>
      </c>
      <c r="B301" s="58">
        <f>IFERROR(INDEX(Firms!$A$5:$A$1004,MATCH(297,Firms!$R$5:$R$1004,0))&amp;"","")</f>
        <v/>
      </c>
      <c r="C301" s="59">
        <f>IFERROR(IF(INDEX(Firms!$O$5:$O$1004,MATCH(297,Firms!$R$5:$R$1004,0))="","",INDEX(Firms!$O$5:$O$1004,MATCH(297,Firms!$R$5:$R$1004,0))),"")</f>
        <v/>
      </c>
      <c r="D301" s="58">
        <f>IFERROR(INDEX(Firms!$P$5:$P$1004,MATCH(297,Firms!$R$5:$R$1004,0))&amp;"","")</f>
        <v/>
      </c>
      <c r="E301" s="58">
        <f>IFERROR(INDEX(Firms!$C$5:$C$1004,MATCH(297,Firms!$R$5:$R$1004,0))&amp;"","")</f>
        <v/>
      </c>
      <c r="F301" s="57">
        <f>IFERROR(INDEX(Firms!$L$5:$L$1004,MATCH(297,Firms!$R$5:$R$1004,0))&amp;"","")</f>
        <v/>
      </c>
      <c r="G301" s="57">
        <f>IFERROR(INDEX(Firms!$M$5:$M$1004,MATCH(297,Firms!$R$5:$R$1004,0))&amp;"","")</f>
        <v/>
      </c>
      <c r="H301" s="58">
        <f>IFERROR(INDEX(Firms!$Q$5:$Q$1004,MATCH(297,Firms!$R$5:$R$1004,0))&amp;"","")</f>
        <v/>
      </c>
    </row>
    <row r="302">
      <c r="A302" s="57">
        <f>IF(B302="","",298)</f>
        <v/>
      </c>
      <c r="B302" s="58">
        <f>IFERROR(INDEX(Firms!$A$5:$A$1004,MATCH(298,Firms!$R$5:$R$1004,0))&amp;"","")</f>
        <v/>
      </c>
      <c r="C302" s="59">
        <f>IFERROR(IF(INDEX(Firms!$O$5:$O$1004,MATCH(298,Firms!$R$5:$R$1004,0))="","",INDEX(Firms!$O$5:$O$1004,MATCH(298,Firms!$R$5:$R$1004,0))),"")</f>
        <v/>
      </c>
      <c r="D302" s="58">
        <f>IFERROR(INDEX(Firms!$P$5:$P$1004,MATCH(298,Firms!$R$5:$R$1004,0))&amp;"","")</f>
        <v/>
      </c>
      <c r="E302" s="58">
        <f>IFERROR(INDEX(Firms!$C$5:$C$1004,MATCH(298,Firms!$R$5:$R$1004,0))&amp;"","")</f>
        <v/>
      </c>
      <c r="F302" s="57">
        <f>IFERROR(INDEX(Firms!$L$5:$L$1004,MATCH(298,Firms!$R$5:$R$1004,0))&amp;"","")</f>
        <v/>
      </c>
      <c r="G302" s="57">
        <f>IFERROR(INDEX(Firms!$M$5:$M$1004,MATCH(298,Firms!$R$5:$R$1004,0))&amp;"","")</f>
        <v/>
      </c>
      <c r="H302" s="58">
        <f>IFERROR(INDEX(Firms!$Q$5:$Q$1004,MATCH(298,Firms!$R$5:$R$1004,0))&amp;"","")</f>
        <v/>
      </c>
    </row>
    <row r="303">
      <c r="A303" s="57">
        <f>IF(B303="","",299)</f>
        <v/>
      </c>
      <c r="B303" s="58">
        <f>IFERROR(INDEX(Firms!$A$5:$A$1004,MATCH(299,Firms!$R$5:$R$1004,0))&amp;"","")</f>
        <v/>
      </c>
      <c r="C303" s="59">
        <f>IFERROR(IF(INDEX(Firms!$O$5:$O$1004,MATCH(299,Firms!$R$5:$R$1004,0))="","",INDEX(Firms!$O$5:$O$1004,MATCH(299,Firms!$R$5:$R$1004,0))),"")</f>
        <v/>
      </c>
      <c r="D303" s="58">
        <f>IFERROR(INDEX(Firms!$P$5:$P$1004,MATCH(299,Firms!$R$5:$R$1004,0))&amp;"","")</f>
        <v/>
      </c>
      <c r="E303" s="58">
        <f>IFERROR(INDEX(Firms!$C$5:$C$1004,MATCH(299,Firms!$R$5:$R$1004,0))&amp;"","")</f>
        <v/>
      </c>
      <c r="F303" s="57">
        <f>IFERROR(INDEX(Firms!$L$5:$L$1004,MATCH(299,Firms!$R$5:$R$1004,0))&amp;"","")</f>
        <v/>
      </c>
      <c r="G303" s="57">
        <f>IFERROR(INDEX(Firms!$M$5:$M$1004,MATCH(299,Firms!$R$5:$R$1004,0))&amp;"","")</f>
        <v/>
      </c>
      <c r="H303" s="58">
        <f>IFERROR(INDEX(Firms!$Q$5:$Q$1004,MATCH(299,Firms!$R$5:$R$1004,0))&amp;"","")</f>
        <v/>
      </c>
    </row>
    <row r="304">
      <c r="A304" s="57">
        <f>IF(B304="","",300)</f>
        <v/>
      </c>
      <c r="B304" s="58">
        <f>IFERROR(INDEX(Firms!$A$5:$A$1004,MATCH(300,Firms!$R$5:$R$1004,0))&amp;"","")</f>
        <v/>
      </c>
      <c r="C304" s="59">
        <f>IFERROR(IF(INDEX(Firms!$O$5:$O$1004,MATCH(300,Firms!$R$5:$R$1004,0))="","",INDEX(Firms!$O$5:$O$1004,MATCH(300,Firms!$R$5:$R$1004,0))),"")</f>
        <v/>
      </c>
      <c r="D304" s="58">
        <f>IFERROR(INDEX(Firms!$P$5:$P$1004,MATCH(300,Firms!$R$5:$R$1004,0))&amp;"","")</f>
        <v/>
      </c>
      <c r="E304" s="58">
        <f>IFERROR(INDEX(Firms!$C$5:$C$1004,MATCH(300,Firms!$R$5:$R$1004,0))&amp;"","")</f>
        <v/>
      </c>
      <c r="F304" s="57">
        <f>IFERROR(INDEX(Firms!$L$5:$L$1004,MATCH(300,Firms!$R$5:$R$1004,0))&amp;"","")</f>
        <v/>
      </c>
      <c r="G304" s="57">
        <f>IFERROR(INDEX(Firms!$M$5:$M$1004,MATCH(300,Firms!$R$5:$R$1004,0))&amp;"","")</f>
        <v/>
      </c>
      <c r="H304" s="58">
        <f>IFERROR(INDEX(Firms!$Q$5:$Q$1004,MATCH(300,Firms!$R$5:$R$1004,0))&amp;"","")</f>
        <v/>
      </c>
    </row>
    <row r="305">
      <c r="A305" s="57">
        <f>IF(B305="","",301)</f>
        <v/>
      </c>
      <c r="B305" s="58">
        <f>IFERROR(INDEX(Firms!$A$5:$A$1004,MATCH(301,Firms!$R$5:$R$1004,0))&amp;"","")</f>
        <v/>
      </c>
      <c r="C305" s="59">
        <f>IFERROR(IF(INDEX(Firms!$O$5:$O$1004,MATCH(301,Firms!$R$5:$R$1004,0))="","",INDEX(Firms!$O$5:$O$1004,MATCH(301,Firms!$R$5:$R$1004,0))),"")</f>
        <v/>
      </c>
      <c r="D305" s="58">
        <f>IFERROR(INDEX(Firms!$P$5:$P$1004,MATCH(301,Firms!$R$5:$R$1004,0))&amp;"","")</f>
        <v/>
      </c>
      <c r="E305" s="58">
        <f>IFERROR(INDEX(Firms!$C$5:$C$1004,MATCH(301,Firms!$R$5:$R$1004,0))&amp;"","")</f>
        <v/>
      </c>
      <c r="F305" s="57">
        <f>IFERROR(INDEX(Firms!$L$5:$L$1004,MATCH(301,Firms!$R$5:$R$1004,0))&amp;"","")</f>
        <v/>
      </c>
      <c r="G305" s="57">
        <f>IFERROR(INDEX(Firms!$M$5:$M$1004,MATCH(301,Firms!$R$5:$R$1004,0))&amp;"","")</f>
        <v/>
      </c>
      <c r="H305" s="58">
        <f>IFERROR(INDEX(Firms!$Q$5:$Q$1004,MATCH(301,Firms!$R$5:$R$1004,0))&amp;"","")</f>
        <v/>
      </c>
    </row>
    <row r="306">
      <c r="A306" s="57">
        <f>IF(B306="","",302)</f>
        <v/>
      </c>
      <c r="B306" s="58">
        <f>IFERROR(INDEX(Firms!$A$5:$A$1004,MATCH(302,Firms!$R$5:$R$1004,0))&amp;"","")</f>
        <v/>
      </c>
      <c r="C306" s="59">
        <f>IFERROR(IF(INDEX(Firms!$O$5:$O$1004,MATCH(302,Firms!$R$5:$R$1004,0))="","",INDEX(Firms!$O$5:$O$1004,MATCH(302,Firms!$R$5:$R$1004,0))),"")</f>
        <v/>
      </c>
      <c r="D306" s="58">
        <f>IFERROR(INDEX(Firms!$P$5:$P$1004,MATCH(302,Firms!$R$5:$R$1004,0))&amp;"","")</f>
        <v/>
      </c>
      <c r="E306" s="58">
        <f>IFERROR(INDEX(Firms!$C$5:$C$1004,MATCH(302,Firms!$R$5:$R$1004,0))&amp;"","")</f>
        <v/>
      </c>
      <c r="F306" s="57">
        <f>IFERROR(INDEX(Firms!$L$5:$L$1004,MATCH(302,Firms!$R$5:$R$1004,0))&amp;"","")</f>
        <v/>
      </c>
      <c r="G306" s="57">
        <f>IFERROR(INDEX(Firms!$M$5:$M$1004,MATCH(302,Firms!$R$5:$R$1004,0))&amp;"","")</f>
        <v/>
      </c>
      <c r="H306" s="58">
        <f>IFERROR(INDEX(Firms!$Q$5:$Q$1004,MATCH(302,Firms!$R$5:$R$1004,0))&amp;"","")</f>
        <v/>
      </c>
    </row>
    <row r="307">
      <c r="A307" s="57">
        <f>IF(B307="","",303)</f>
        <v/>
      </c>
      <c r="B307" s="58">
        <f>IFERROR(INDEX(Firms!$A$5:$A$1004,MATCH(303,Firms!$R$5:$R$1004,0))&amp;"","")</f>
        <v/>
      </c>
      <c r="C307" s="59">
        <f>IFERROR(IF(INDEX(Firms!$O$5:$O$1004,MATCH(303,Firms!$R$5:$R$1004,0))="","",INDEX(Firms!$O$5:$O$1004,MATCH(303,Firms!$R$5:$R$1004,0))),"")</f>
        <v/>
      </c>
      <c r="D307" s="58">
        <f>IFERROR(INDEX(Firms!$P$5:$P$1004,MATCH(303,Firms!$R$5:$R$1004,0))&amp;"","")</f>
        <v/>
      </c>
      <c r="E307" s="58">
        <f>IFERROR(INDEX(Firms!$C$5:$C$1004,MATCH(303,Firms!$R$5:$R$1004,0))&amp;"","")</f>
        <v/>
      </c>
      <c r="F307" s="57">
        <f>IFERROR(INDEX(Firms!$L$5:$L$1004,MATCH(303,Firms!$R$5:$R$1004,0))&amp;"","")</f>
        <v/>
      </c>
      <c r="G307" s="57">
        <f>IFERROR(INDEX(Firms!$M$5:$M$1004,MATCH(303,Firms!$R$5:$R$1004,0))&amp;"","")</f>
        <v/>
      </c>
      <c r="H307" s="58">
        <f>IFERROR(INDEX(Firms!$Q$5:$Q$1004,MATCH(303,Firms!$R$5:$R$1004,0))&amp;"","")</f>
        <v/>
      </c>
    </row>
    <row r="308">
      <c r="A308" s="57">
        <f>IF(B308="","",304)</f>
        <v/>
      </c>
      <c r="B308" s="58">
        <f>IFERROR(INDEX(Firms!$A$5:$A$1004,MATCH(304,Firms!$R$5:$R$1004,0))&amp;"","")</f>
        <v/>
      </c>
      <c r="C308" s="59">
        <f>IFERROR(IF(INDEX(Firms!$O$5:$O$1004,MATCH(304,Firms!$R$5:$R$1004,0))="","",INDEX(Firms!$O$5:$O$1004,MATCH(304,Firms!$R$5:$R$1004,0))),"")</f>
        <v/>
      </c>
      <c r="D308" s="58">
        <f>IFERROR(INDEX(Firms!$P$5:$P$1004,MATCH(304,Firms!$R$5:$R$1004,0))&amp;"","")</f>
        <v/>
      </c>
      <c r="E308" s="58">
        <f>IFERROR(INDEX(Firms!$C$5:$C$1004,MATCH(304,Firms!$R$5:$R$1004,0))&amp;"","")</f>
        <v/>
      </c>
      <c r="F308" s="57">
        <f>IFERROR(INDEX(Firms!$L$5:$L$1004,MATCH(304,Firms!$R$5:$R$1004,0))&amp;"","")</f>
        <v/>
      </c>
      <c r="G308" s="57">
        <f>IFERROR(INDEX(Firms!$M$5:$M$1004,MATCH(304,Firms!$R$5:$R$1004,0))&amp;"","")</f>
        <v/>
      </c>
      <c r="H308" s="58">
        <f>IFERROR(INDEX(Firms!$Q$5:$Q$1004,MATCH(304,Firms!$R$5:$R$1004,0))&amp;"","")</f>
        <v/>
      </c>
    </row>
    <row r="309">
      <c r="A309" s="57">
        <f>IF(B309="","",305)</f>
        <v/>
      </c>
      <c r="B309" s="58">
        <f>IFERROR(INDEX(Firms!$A$5:$A$1004,MATCH(305,Firms!$R$5:$R$1004,0))&amp;"","")</f>
        <v/>
      </c>
      <c r="C309" s="59">
        <f>IFERROR(IF(INDEX(Firms!$O$5:$O$1004,MATCH(305,Firms!$R$5:$R$1004,0))="","",INDEX(Firms!$O$5:$O$1004,MATCH(305,Firms!$R$5:$R$1004,0))),"")</f>
        <v/>
      </c>
      <c r="D309" s="58">
        <f>IFERROR(INDEX(Firms!$P$5:$P$1004,MATCH(305,Firms!$R$5:$R$1004,0))&amp;"","")</f>
        <v/>
      </c>
      <c r="E309" s="58">
        <f>IFERROR(INDEX(Firms!$C$5:$C$1004,MATCH(305,Firms!$R$5:$R$1004,0))&amp;"","")</f>
        <v/>
      </c>
      <c r="F309" s="57">
        <f>IFERROR(INDEX(Firms!$L$5:$L$1004,MATCH(305,Firms!$R$5:$R$1004,0))&amp;"","")</f>
        <v/>
      </c>
      <c r="G309" s="57">
        <f>IFERROR(INDEX(Firms!$M$5:$M$1004,MATCH(305,Firms!$R$5:$R$1004,0))&amp;"","")</f>
        <v/>
      </c>
      <c r="H309" s="58">
        <f>IFERROR(INDEX(Firms!$Q$5:$Q$1004,MATCH(305,Firms!$R$5:$R$1004,0))&amp;"","")</f>
        <v/>
      </c>
    </row>
    <row r="310">
      <c r="A310" s="57">
        <f>IF(B310="","",306)</f>
        <v/>
      </c>
      <c r="B310" s="58">
        <f>IFERROR(INDEX(Firms!$A$5:$A$1004,MATCH(306,Firms!$R$5:$R$1004,0))&amp;"","")</f>
        <v/>
      </c>
      <c r="C310" s="59">
        <f>IFERROR(IF(INDEX(Firms!$O$5:$O$1004,MATCH(306,Firms!$R$5:$R$1004,0))="","",INDEX(Firms!$O$5:$O$1004,MATCH(306,Firms!$R$5:$R$1004,0))),"")</f>
        <v/>
      </c>
      <c r="D310" s="58">
        <f>IFERROR(INDEX(Firms!$P$5:$P$1004,MATCH(306,Firms!$R$5:$R$1004,0))&amp;"","")</f>
        <v/>
      </c>
      <c r="E310" s="58">
        <f>IFERROR(INDEX(Firms!$C$5:$C$1004,MATCH(306,Firms!$R$5:$R$1004,0))&amp;"","")</f>
        <v/>
      </c>
      <c r="F310" s="57">
        <f>IFERROR(INDEX(Firms!$L$5:$L$1004,MATCH(306,Firms!$R$5:$R$1004,0))&amp;"","")</f>
        <v/>
      </c>
      <c r="G310" s="57">
        <f>IFERROR(INDEX(Firms!$M$5:$M$1004,MATCH(306,Firms!$R$5:$R$1004,0))&amp;"","")</f>
        <v/>
      </c>
      <c r="H310" s="58">
        <f>IFERROR(INDEX(Firms!$Q$5:$Q$1004,MATCH(306,Firms!$R$5:$R$1004,0))&amp;"","")</f>
        <v/>
      </c>
    </row>
    <row r="311">
      <c r="A311" s="57">
        <f>IF(B311="","",307)</f>
        <v/>
      </c>
      <c r="B311" s="58">
        <f>IFERROR(INDEX(Firms!$A$5:$A$1004,MATCH(307,Firms!$R$5:$R$1004,0))&amp;"","")</f>
        <v/>
      </c>
      <c r="C311" s="59">
        <f>IFERROR(IF(INDEX(Firms!$O$5:$O$1004,MATCH(307,Firms!$R$5:$R$1004,0))="","",INDEX(Firms!$O$5:$O$1004,MATCH(307,Firms!$R$5:$R$1004,0))),"")</f>
        <v/>
      </c>
      <c r="D311" s="58">
        <f>IFERROR(INDEX(Firms!$P$5:$P$1004,MATCH(307,Firms!$R$5:$R$1004,0))&amp;"","")</f>
        <v/>
      </c>
      <c r="E311" s="58">
        <f>IFERROR(INDEX(Firms!$C$5:$C$1004,MATCH(307,Firms!$R$5:$R$1004,0))&amp;"","")</f>
        <v/>
      </c>
      <c r="F311" s="57">
        <f>IFERROR(INDEX(Firms!$L$5:$L$1004,MATCH(307,Firms!$R$5:$R$1004,0))&amp;"","")</f>
        <v/>
      </c>
      <c r="G311" s="57">
        <f>IFERROR(INDEX(Firms!$M$5:$M$1004,MATCH(307,Firms!$R$5:$R$1004,0))&amp;"","")</f>
        <v/>
      </c>
      <c r="H311" s="58">
        <f>IFERROR(INDEX(Firms!$Q$5:$Q$1004,MATCH(307,Firms!$R$5:$R$1004,0))&amp;"","")</f>
        <v/>
      </c>
    </row>
    <row r="312">
      <c r="A312" s="57">
        <f>IF(B312="","",308)</f>
        <v/>
      </c>
      <c r="B312" s="58">
        <f>IFERROR(INDEX(Firms!$A$5:$A$1004,MATCH(308,Firms!$R$5:$R$1004,0))&amp;"","")</f>
        <v/>
      </c>
      <c r="C312" s="59">
        <f>IFERROR(IF(INDEX(Firms!$O$5:$O$1004,MATCH(308,Firms!$R$5:$R$1004,0))="","",INDEX(Firms!$O$5:$O$1004,MATCH(308,Firms!$R$5:$R$1004,0))),"")</f>
        <v/>
      </c>
      <c r="D312" s="58">
        <f>IFERROR(INDEX(Firms!$P$5:$P$1004,MATCH(308,Firms!$R$5:$R$1004,0))&amp;"","")</f>
        <v/>
      </c>
      <c r="E312" s="58">
        <f>IFERROR(INDEX(Firms!$C$5:$C$1004,MATCH(308,Firms!$R$5:$R$1004,0))&amp;"","")</f>
        <v/>
      </c>
      <c r="F312" s="57">
        <f>IFERROR(INDEX(Firms!$L$5:$L$1004,MATCH(308,Firms!$R$5:$R$1004,0))&amp;"","")</f>
        <v/>
      </c>
      <c r="G312" s="57">
        <f>IFERROR(INDEX(Firms!$M$5:$M$1004,MATCH(308,Firms!$R$5:$R$1004,0))&amp;"","")</f>
        <v/>
      </c>
      <c r="H312" s="58">
        <f>IFERROR(INDEX(Firms!$Q$5:$Q$1004,MATCH(308,Firms!$R$5:$R$1004,0))&amp;"","")</f>
        <v/>
      </c>
    </row>
    <row r="313">
      <c r="A313" s="57">
        <f>IF(B313="","",309)</f>
        <v/>
      </c>
      <c r="B313" s="58">
        <f>IFERROR(INDEX(Firms!$A$5:$A$1004,MATCH(309,Firms!$R$5:$R$1004,0))&amp;"","")</f>
        <v/>
      </c>
      <c r="C313" s="59">
        <f>IFERROR(IF(INDEX(Firms!$O$5:$O$1004,MATCH(309,Firms!$R$5:$R$1004,0))="","",INDEX(Firms!$O$5:$O$1004,MATCH(309,Firms!$R$5:$R$1004,0))),"")</f>
        <v/>
      </c>
      <c r="D313" s="58">
        <f>IFERROR(INDEX(Firms!$P$5:$P$1004,MATCH(309,Firms!$R$5:$R$1004,0))&amp;"","")</f>
        <v/>
      </c>
      <c r="E313" s="58">
        <f>IFERROR(INDEX(Firms!$C$5:$C$1004,MATCH(309,Firms!$R$5:$R$1004,0))&amp;"","")</f>
        <v/>
      </c>
      <c r="F313" s="57">
        <f>IFERROR(INDEX(Firms!$L$5:$L$1004,MATCH(309,Firms!$R$5:$R$1004,0))&amp;"","")</f>
        <v/>
      </c>
      <c r="G313" s="57">
        <f>IFERROR(INDEX(Firms!$M$5:$M$1004,MATCH(309,Firms!$R$5:$R$1004,0))&amp;"","")</f>
        <v/>
      </c>
      <c r="H313" s="58">
        <f>IFERROR(INDEX(Firms!$Q$5:$Q$1004,MATCH(309,Firms!$R$5:$R$1004,0))&amp;"","")</f>
        <v/>
      </c>
    </row>
    <row r="314">
      <c r="A314" s="57">
        <f>IF(B314="","",310)</f>
        <v/>
      </c>
      <c r="B314" s="58">
        <f>IFERROR(INDEX(Firms!$A$5:$A$1004,MATCH(310,Firms!$R$5:$R$1004,0))&amp;"","")</f>
        <v/>
      </c>
      <c r="C314" s="59">
        <f>IFERROR(IF(INDEX(Firms!$O$5:$O$1004,MATCH(310,Firms!$R$5:$R$1004,0))="","",INDEX(Firms!$O$5:$O$1004,MATCH(310,Firms!$R$5:$R$1004,0))),"")</f>
        <v/>
      </c>
      <c r="D314" s="58">
        <f>IFERROR(INDEX(Firms!$P$5:$P$1004,MATCH(310,Firms!$R$5:$R$1004,0))&amp;"","")</f>
        <v/>
      </c>
      <c r="E314" s="58">
        <f>IFERROR(INDEX(Firms!$C$5:$C$1004,MATCH(310,Firms!$R$5:$R$1004,0))&amp;"","")</f>
        <v/>
      </c>
      <c r="F314" s="57">
        <f>IFERROR(INDEX(Firms!$L$5:$L$1004,MATCH(310,Firms!$R$5:$R$1004,0))&amp;"","")</f>
        <v/>
      </c>
      <c r="G314" s="57">
        <f>IFERROR(INDEX(Firms!$M$5:$M$1004,MATCH(310,Firms!$R$5:$R$1004,0))&amp;"","")</f>
        <v/>
      </c>
      <c r="H314" s="58">
        <f>IFERROR(INDEX(Firms!$Q$5:$Q$1004,MATCH(310,Firms!$R$5:$R$1004,0))&amp;"","")</f>
        <v/>
      </c>
    </row>
    <row r="315">
      <c r="A315" s="57">
        <f>IF(B315="","",311)</f>
        <v/>
      </c>
      <c r="B315" s="58">
        <f>IFERROR(INDEX(Firms!$A$5:$A$1004,MATCH(311,Firms!$R$5:$R$1004,0))&amp;"","")</f>
        <v/>
      </c>
      <c r="C315" s="59">
        <f>IFERROR(IF(INDEX(Firms!$O$5:$O$1004,MATCH(311,Firms!$R$5:$R$1004,0))="","",INDEX(Firms!$O$5:$O$1004,MATCH(311,Firms!$R$5:$R$1004,0))),"")</f>
        <v/>
      </c>
      <c r="D315" s="58">
        <f>IFERROR(INDEX(Firms!$P$5:$P$1004,MATCH(311,Firms!$R$5:$R$1004,0))&amp;"","")</f>
        <v/>
      </c>
      <c r="E315" s="58">
        <f>IFERROR(INDEX(Firms!$C$5:$C$1004,MATCH(311,Firms!$R$5:$R$1004,0))&amp;"","")</f>
        <v/>
      </c>
      <c r="F315" s="57">
        <f>IFERROR(INDEX(Firms!$L$5:$L$1004,MATCH(311,Firms!$R$5:$R$1004,0))&amp;"","")</f>
        <v/>
      </c>
      <c r="G315" s="57">
        <f>IFERROR(INDEX(Firms!$M$5:$M$1004,MATCH(311,Firms!$R$5:$R$1004,0))&amp;"","")</f>
        <v/>
      </c>
      <c r="H315" s="58">
        <f>IFERROR(INDEX(Firms!$Q$5:$Q$1004,MATCH(311,Firms!$R$5:$R$1004,0))&amp;"","")</f>
        <v/>
      </c>
    </row>
    <row r="316">
      <c r="A316" s="57">
        <f>IF(B316="","",312)</f>
        <v/>
      </c>
      <c r="B316" s="58">
        <f>IFERROR(INDEX(Firms!$A$5:$A$1004,MATCH(312,Firms!$R$5:$R$1004,0))&amp;"","")</f>
        <v/>
      </c>
      <c r="C316" s="59">
        <f>IFERROR(IF(INDEX(Firms!$O$5:$O$1004,MATCH(312,Firms!$R$5:$R$1004,0))="","",INDEX(Firms!$O$5:$O$1004,MATCH(312,Firms!$R$5:$R$1004,0))),"")</f>
        <v/>
      </c>
      <c r="D316" s="58">
        <f>IFERROR(INDEX(Firms!$P$5:$P$1004,MATCH(312,Firms!$R$5:$R$1004,0))&amp;"","")</f>
        <v/>
      </c>
      <c r="E316" s="58">
        <f>IFERROR(INDEX(Firms!$C$5:$C$1004,MATCH(312,Firms!$R$5:$R$1004,0))&amp;"","")</f>
        <v/>
      </c>
      <c r="F316" s="57">
        <f>IFERROR(INDEX(Firms!$L$5:$L$1004,MATCH(312,Firms!$R$5:$R$1004,0))&amp;"","")</f>
        <v/>
      </c>
      <c r="G316" s="57">
        <f>IFERROR(INDEX(Firms!$M$5:$M$1004,MATCH(312,Firms!$R$5:$R$1004,0))&amp;"","")</f>
        <v/>
      </c>
      <c r="H316" s="58">
        <f>IFERROR(INDEX(Firms!$Q$5:$Q$1004,MATCH(312,Firms!$R$5:$R$1004,0))&amp;"","")</f>
        <v/>
      </c>
    </row>
    <row r="317">
      <c r="A317" s="57">
        <f>IF(B317="","",313)</f>
        <v/>
      </c>
      <c r="B317" s="58">
        <f>IFERROR(INDEX(Firms!$A$5:$A$1004,MATCH(313,Firms!$R$5:$R$1004,0))&amp;"","")</f>
        <v/>
      </c>
      <c r="C317" s="59">
        <f>IFERROR(IF(INDEX(Firms!$O$5:$O$1004,MATCH(313,Firms!$R$5:$R$1004,0))="","",INDEX(Firms!$O$5:$O$1004,MATCH(313,Firms!$R$5:$R$1004,0))),"")</f>
        <v/>
      </c>
      <c r="D317" s="58">
        <f>IFERROR(INDEX(Firms!$P$5:$P$1004,MATCH(313,Firms!$R$5:$R$1004,0))&amp;"","")</f>
        <v/>
      </c>
      <c r="E317" s="58">
        <f>IFERROR(INDEX(Firms!$C$5:$C$1004,MATCH(313,Firms!$R$5:$R$1004,0))&amp;"","")</f>
        <v/>
      </c>
      <c r="F317" s="57">
        <f>IFERROR(INDEX(Firms!$L$5:$L$1004,MATCH(313,Firms!$R$5:$R$1004,0))&amp;"","")</f>
        <v/>
      </c>
      <c r="G317" s="57">
        <f>IFERROR(INDEX(Firms!$M$5:$M$1004,MATCH(313,Firms!$R$5:$R$1004,0))&amp;"","")</f>
        <v/>
      </c>
      <c r="H317" s="58">
        <f>IFERROR(INDEX(Firms!$Q$5:$Q$1004,MATCH(313,Firms!$R$5:$R$1004,0))&amp;"","")</f>
        <v/>
      </c>
    </row>
    <row r="318">
      <c r="A318" s="57">
        <f>IF(B318="","",314)</f>
        <v/>
      </c>
      <c r="B318" s="58">
        <f>IFERROR(INDEX(Firms!$A$5:$A$1004,MATCH(314,Firms!$R$5:$R$1004,0))&amp;"","")</f>
        <v/>
      </c>
      <c r="C318" s="59">
        <f>IFERROR(IF(INDEX(Firms!$O$5:$O$1004,MATCH(314,Firms!$R$5:$R$1004,0))="","",INDEX(Firms!$O$5:$O$1004,MATCH(314,Firms!$R$5:$R$1004,0))),"")</f>
        <v/>
      </c>
      <c r="D318" s="58">
        <f>IFERROR(INDEX(Firms!$P$5:$P$1004,MATCH(314,Firms!$R$5:$R$1004,0))&amp;"","")</f>
        <v/>
      </c>
      <c r="E318" s="58">
        <f>IFERROR(INDEX(Firms!$C$5:$C$1004,MATCH(314,Firms!$R$5:$R$1004,0))&amp;"","")</f>
        <v/>
      </c>
      <c r="F318" s="57">
        <f>IFERROR(INDEX(Firms!$L$5:$L$1004,MATCH(314,Firms!$R$5:$R$1004,0))&amp;"","")</f>
        <v/>
      </c>
      <c r="G318" s="57">
        <f>IFERROR(INDEX(Firms!$M$5:$M$1004,MATCH(314,Firms!$R$5:$R$1004,0))&amp;"","")</f>
        <v/>
      </c>
      <c r="H318" s="58">
        <f>IFERROR(INDEX(Firms!$Q$5:$Q$1004,MATCH(314,Firms!$R$5:$R$1004,0))&amp;"","")</f>
        <v/>
      </c>
    </row>
    <row r="319">
      <c r="A319" s="57">
        <f>IF(B319="","",315)</f>
        <v/>
      </c>
      <c r="B319" s="58">
        <f>IFERROR(INDEX(Firms!$A$5:$A$1004,MATCH(315,Firms!$R$5:$R$1004,0))&amp;"","")</f>
        <v/>
      </c>
      <c r="C319" s="59">
        <f>IFERROR(IF(INDEX(Firms!$O$5:$O$1004,MATCH(315,Firms!$R$5:$R$1004,0))="","",INDEX(Firms!$O$5:$O$1004,MATCH(315,Firms!$R$5:$R$1004,0))),"")</f>
        <v/>
      </c>
      <c r="D319" s="58">
        <f>IFERROR(INDEX(Firms!$P$5:$P$1004,MATCH(315,Firms!$R$5:$R$1004,0))&amp;"","")</f>
        <v/>
      </c>
      <c r="E319" s="58">
        <f>IFERROR(INDEX(Firms!$C$5:$C$1004,MATCH(315,Firms!$R$5:$R$1004,0))&amp;"","")</f>
        <v/>
      </c>
      <c r="F319" s="57">
        <f>IFERROR(INDEX(Firms!$L$5:$L$1004,MATCH(315,Firms!$R$5:$R$1004,0))&amp;"","")</f>
        <v/>
      </c>
      <c r="G319" s="57">
        <f>IFERROR(INDEX(Firms!$M$5:$M$1004,MATCH(315,Firms!$R$5:$R$1004,0))&amp;"","")</f>
        <v/>
      </c>
      <c r="H319" s="58">
        <f>IFERROR(INDEX(Firms!$Q$5:$Q$1004,MATCH(315,Firms!$R$5:$R$1004,0))&amp;"","")</f>
        <v/>
      </c>
    </row>
    <row r="320">
      <c r="A320" s="57">
        <f>IF(B320="","",316)</f>
        <v/>
      </c>
      <c r="B320" s="58">
        <f>IFERROR(INDEX(Firms!$A$5:$A$1004,MATCH(316,Firms!$R$5:$R$1004,0))&amp;"","")</f>
        <v/>
      </c>
      <c r="C320" s="59">
        <f>IFERROR(IF(INDEX(Firms!$O$5:$O$1004,MATCH(316,Firms!$R$5:$R$1004,0))="","",INDEX(Firms!$O$5:$O$1004,MATCH(316,Firms!$R$5:$R$1004,0))),"")</f>
        <v/>
      </c>
      <c r="D320" s="58">
        <f>IFERROR(INDEX(Firms!$P$5:$P$1004,MATCH(316,Firms!$R$5:$R$1004,0))&amp;"","")</f>
        <v/>
      </c>
      <c r="E320" s="58">
        <f>IFERROR(INDEX(Firms!$C$5:$C$1004,MATCH(316,Firms!$R$5:$R$1004,0))&amp;"","")</f>
        <v/>
      </c>
      <c r="F320" s="57">
        <f>IFERROR(INDEX(Firms!$L$5:$L$1004,MATCH(316,Firms!$R$5:$R$1004,0))&amp;"","")</f>
        <v/>
      </c>
      <c r="G320" s="57">
        <f>IFERROR(INDEX(Firms!$M$5:$M$1004,MATCH(316,Firms!$R$5:$R$1004,0))&amp;"","")</f>
        <v/>
      </c>
      <c r="H320" s="58">
        <f>IFERROR(INDEX(Firms!$Q$5:$Q$1004,MATCH(316,Firms!$R$5:$R$1004,0))&amp;"","")</f>
        <v/>
      </c>
    </row>
    <row r="321">
      <c r="A321" s="57">
        <f>IF(B321="","",317)</f>
        <v/>
      </c>
      <c r="B321" s="58">
        <f>IFERROR(INDEX(Firms!$A$5:$A$1004,MATCH(317,Firms!$R$5:$R$1004,0))&amp;"","")</f>
        <v/>
      </c>
      <c r="C321" s="59">
        <f>IFERROR(IF(INDEX(Firms!$O$5:$O$1004,MATCH(317,Firms!$R$5:$R$1004,0))="","",INDEX(Firms!$O$5:$O$1004,MATCH(317,Firms!$R$5:$R$1004,0))),"")</f>
        <v/>
      </c>
      <c r="D321" s="58">
        <f>IFERROR(INDEX(Firms!$P$5:$P$1004,MATCH(317,Firms!$R$5:$R$1004,0))&amp;"","")</f>
        <v/>
      </c>
      <c r="E321" s="58">
        <f>IFERROR(INDEX(Firms!$C$5:$C$1004,MATCH(317,Firms!$R$5:$R$1004,0))&amp;"","")</f>
        <v/>
      </c>
      <c r="F321" s="57">
        <f>IFERROR(INDEX(Firms!$L$5:$L$1004,MATCH(317,Firms!$R$5:$R$1004,0))&amp;"","")</f>
        <v/>
      </c>
      <c r="G321" s="57">
        <f>IFERROR(INDEX(Firms!$M$5:$M$1004,MATCH(317,Firms!$R$5:$R$1004,0))&amp;"","")</f>
        <v/>
      </c>
      <c r="H321" s="58">
        <f>IFERROR(INDEX(Firms!$Q$5:$Q$1004,MATCH(317,Firms!$R$5:$R$1004,0))&amp;"","")</f>
        <v/>
      </c>
    </row>
    <row r="322">
      <c r="A322" s="57">
        <f>IF(B322="","",318)</f>
        <v/>
      </c>
      <c r="B322" s="58">
        <f>IFERROR(INDEX(Firms!$A$5:$A$1004,MATCH(318,Firms!$R$5:$R$1004,0))&amp;"","")</f>
        <v/>
      </c>
      <c r="C322" s="59">
        <f>IFERROR(IF(INDEX(Firms!$O$5:$O$1004,MATCH(318,Firms!$R$5:$R$1004,0))="","",INDEX(Firms!$O$5:$O$1004,MATCH(318,Firms!$R$5:$R$1004,0))),"")</f>
        <v/>
      </c>
      <c r="D322" s="58">
        <f>IFERROR(INDEX(Firms!$P$5:$P$1004,MATCH(318,Firms!$R$5:$R$1004,0))&amp;"","")</f>
        <v/>
      </c>
      <c r="E322" s="58">
        <f>IFERROR(INDEX(Firms!$C$5:$C$1004,MATCH(318,Firms!$R$5:$R$1004,0))&amp;"","")</f>
        <v/>
      </c>
      <c r="F322" s="57">
        <f>IFERROR(INDEX(Firms!$L$5:$L$1004,MATCH(318,Firms!$R$5:$R$1004,0))&amp;"","")</f>
        <v/>
      </c>
      <c r="G322" s="57">
        <f>IFERROR(INDEX(Firms!$M$5:$M$1004,MATCH(318,Firms!$R$5:$R$1004,0))&amp;"","")</f>
        <v/>
      </c>
      <c r="H322" s="58">
        <f>IFERROR(INDEX(Firms!$Q$5:$Q$1004,MATCH(318,Firms!$R$5:$R$1004,0))&amp;"","")</f>
        <v/>
      </c>
    </row>
    <row r="323">
      <c r="A323" s="57">
        <f>IF(B323="","",319)</f>
        <v/>
      </c>
      <c r="B323" s="58">
        <f>IFERROR(INDEX(Firms!$A$5:$A$1004,MATCH(319,Firms!$R$5:$R$1004,0))&amp;"","")</f>
        <v/>
      </c>
      <c r="C323" s="59">
        <f>IFERROR(IF(INDEX(Firms!$O$5:$O$1004,MATCH(319,Firms!$R$5:$R$1004,0))="","",INDEX(Firms!$O$5:$O$1004,MATCH(319,Firms!$R$5:$R$1004,0))),"")</f>
        <v/>
      </c>
      <c r="D323" s="58">
        <f>IFERROR(INDEX(Firms!$P$5:$P$1004,MATCH(319,Firms!$R$5:$R$1004,0))&amp;"","")</f>
        <v/>
      </c>
      <c r="E323" s="58">
        <f>IFERROR(INDEX(Firms!$C$5:$C$1004,MATCH(319,Firms!$R$5:$R$1004,0))&amp;"","")</f>
        <v/>
      </c>
      <c r="F323" s="57">
        <f>IFERROR(INDEX(Firms!$L$5:$L$1004,MATCH(319,Firms!$R$5:$R$1004,0))&amp;"","")</f>
        <v/>
      </c>
      <c r="G323" s="57">
        <f>IFERROR(INDEX(Firms!$M$5:$M$1004,MATCH(319,Firms!$R$5:$R$1004,0))&amp;"","")</f>
        <v/>
      </c>
      <c r="H323" s="58">
        <f>IFERROR(INDEX(Firms!$Q$5:$Q$1004,MATCH(319,Firms!$R$5:$R$1004,0))&amp;"","")</f>
        <v/>
      </c>
    </row>
    <row r="324">
      <c r="A324" s="57">
        <f>IF(B324="","",320)</f>
        <v/>
      </c>
      <c r="B324" s="58">
        <f>IFERROR(INDEX(Firms!$A$5:$A$1004,MATCH(320,Firms!$R$5:$R$1004,0))&amp;"","")</f>
        <v/>
      </c>
      <c r="C324" s="59">
        <f>IFERROR(IF(INDEX(Firms!$O$5:$O$1004,MATCH(320,Firms!$R$5:$R$1004,0))="","",INDEX(Firms!$O$5:$O$1004,MATCH(320,Firms!$R$5:$R$1004,0))),"")</f>
        <v/>
      </c>
      <c r="D324" s="58">
        <f>IFERROR(INDEX(Firms!$P$5:$P$1004,MATCH(320,Firms!$R$5:$R$1004,0))&amp;"","")</f>
        <v/>
      </c>
      <c r="E324" s="58">
        <f>IFERROR(INDEX(Firms!$C$5:$C$1004,MATCH(320,Firms!$R$5:$R$1004,0))&amp;"","")</f>
        <v/>
      </c>
      <c r="F324" s="57">
        <f>IFERROR(INDEX(Firms!$L$5:$L$1004,MATCH(320,Firms!$R$5:$R$1004,0))&amp;"","")</f>
        <v/>
      </c>
      <c r="G324" s="57">
        <f>IFERROR(INDEX(Firms!$M$5:$M$1004,MATCH(320,Firms!$R$5:$R$1004,0))&amp;"","")</f>
        <v/>
      </c>
      <c r="H324" s="58">
        <f>IFERROR(INDEX(Firms!$Q$5:$Q$1004,MATCH(320,Firms!$R$5:$R$1004,0))&amp;"","")</f>
        <v/>
      </c>
    </row>
    <row r="325">
      <c r="A325" s="57">
        <f>IF(B325="","",321)</f>
        <v/>
      </c>
      <c r="B325" s="58">
        <f>IFERROR(INDEX(Firms!$A$5:$A$1004,MATCH(321,Firms!$R$5:$R$1004,0))&amp;"","")</f>
        <v/>
      </c>
      <c r="C325" s="59">
        <f>IFERROR(IF(INDEX(Firms!$O$5:$O$1004,MATCH(321,Firms!$R$5:$R$1004,0))="","",INDEX(Firms!$O$5:$O$1004,MATCH(321,Firms!$R$5:$R$1004,0))),"")</f>
        <v/>
      </c>
      <c r="D325" s="58">
        <f>IFERROR(INDEX(Firms!$P$5:$P$1004,MATCH(321,Firms!$R$5:$R$1004,0))&amp;"","")</f>
        <v/>
      </c>
      <c r="E325" s="58">
        <f>IFERROR(INDEX(Firms!$C$5:$C$1004,MATCH(321,Firms!$R$5:$R$1004,0))&amp;"","")</f>
        <v/>
      </c>
      <c r="F325" s="57">
        <f>IFERROR(INDEX(Firms!$L$5:$L$1004,MATCH(321,Firms!$R$5:$R$1004,0))&amp;"","")</f>
        <v/>
      </c>
      <c r="G325" s="57">
        <f>IFERROR(INDEX(Firms!$M$5:$M$1004,MATCH(321,Firms!$R$5:$R$1004,0))&amp;"","")</f>
        <v/>
      </c>
      <c r="H325" s="58">
        <f>IFERROR(INDEX(Firms!$Q$5:$Q$1004,MATCH(321,Firms!$R$5:$R$1004,0))&amp;"","")</f>
        <v/>
      </c>
    </row>
    <row r="326">
      <c r="A326" s="57">
        <f>IF(B326="","",322)</f>
        <v/>
      </c>
      <c r="B326" s="58">
        <f>IFERROR(INDEX(Firms!$A$5:$A$1004,MATCH(322,Firms!$R$5:$R$1004,0))&amp;"","")</f>
        <v/>
      </c>
      <c r="C326" s="59">
        <f>IFERROR(IF(INDEX(Firms!$O$5:$O$1004,MATCH(322,Firms!$R$5:$R$1004,0))="","",INDEX(Firms!$O$5:$O$1004,MATCH(322,Firms!$R$5:$R$1004,0))),"")</f>
        <v/>
      </c>
      <c r="D326" s="58">
        <f>IFERROR(INDEX(Firms!$P$5:$P$1004,MATCH(322,Firms!$R$5:$R$1004,0))&amp;"","")</f>
        <v/>
      </c>
      <c r="E326" s="58">
        <f>IFERROR(INDEX(Firms!$C$5:$C$1004,MATCH(322,Firms!$R$5:$R$1004,0))&amp;"","")</f>
        <v/>
      </c>
      <c r="F326" s="57">
        <f>IFERROR(INDEX(Firms!$L$5:$L$1004,MATCH(322,Firms!$R$5:$R$1004,0))&amp;"","")</f>
        <v/>
      </c>
      <c r="G326" s="57">
        <f>IFERROR(INDEX(Firms!$M$5:$M$1004,MATCH(322,Firms!$R$5:$R$1004,0))&amp;"","")</f>
        <v/>
      </c>
      <c r="H326" s="58">
        <f>IFERROR(INDEX(Firms!$Q$5:$Q$1004,MATCH(322,Firms!$R$5:$R$1004,0))&amp;"","")</f>
        <v/>
      </c>
    </row>
    <row r="327">
      <c r="A327" s="57">
        <f>IF(B327="","",323)</f>
        <v/>
      </c>
      <c r="B327" s="58">
        <f>IFERROR(INDEX(Firms!$A$5:$A$1004,MATCH(323,Firms!$R$5:$R$1004,0))&amp;"","")</f>
        <v/>
      </c>
      <c r="C327" s="59">
        <f>IFERROR(IF(INDEX(Firms!$O$5:$O$1004,MATCH(323,Firms!$R$5:$R$1004,0))="","",INDEX(Firms!$O$5:$O$1004,MATCH(323,Firms!$R$5:$R$1004,0))),"")</f>
        <v/>
      </c>
      <c r="D327" s="58">
        <f>IFERROR(INDEX(Firms!$P$5:$P$1004,MATCH(323,Firms!$R$5:$R$1004,0))&amp;"","")</f>
        <v/>
      </c>
      <c r="E327" s="58">
        <f>IFERROR(INDEX(Firms!$C$5:$C$1004,MATCH(323,Firms!$R$5:$R$1004,0))&amp;"","")</f>
        <v/>
      </c>
      <c r="F327" s="57">
        <f>IFERROR(INDEX(Firms!$L$5:$L$1004,MATCH(323,Firms!$R$5:$R$1004,0))&amp;"","")</f>
        <v/>
      </c>
      <c r="G327" s="57">
        <f>IFERROR(INDEX(Firms!$M$5:$M$1004,MATCH(323,Firms!$R$5:$R$1004,0))&amp;"","")</f>
        <v/>
      </c>
      <c r="H327" s="58">
        <f>IFERROR(INDEX(Firms!$Q$5:$Q$1004,MATCH(323,Firms!$R$5:$R$1004,0))&amp;"","")</f>
        <v/>
      </c>
    </row>
    <row r="328">
      <c r="A328" s="57">
        <f>IF(B328="","",324)</f>
        <v/>
      </c>
      <c r="B328" s="58">
        <f>IFERROR(INDEX(Firms!$A$5:$A$1004,MATCH(324,Firms!$R$5:$R$1004,0))&amp;"","")</f>
        <v/>
      </c>
      <c r="C328" s="59">
        <f>IFERROR(IF(INDEX(Firms!$O$5:$O$1004,MATCH(324,Firms!$R$5:$R$1004,0))="","",INDEX(Firms!$O$5:$O$1004,MATCH(324,Firms!$R$5:$R$1004,0))),"")</f>
        <v/>
      </c>
      <c r="D328" s="58">
        <f>IFERROR(INDEX(Firms!$P$5:$P$1004,MATCH(324,Firms!$R$5:$R$1004,0))&amp;"","")</f>
        <v/>
      </c>
      <c r="E328" s="58">
        <f>IFERROR(INDEX(Firms!$C$5:$C$1004,MATCH(324,Firms!$R$5:$R$1004,0))&amp;"","")</f>
        <v/>
      </c>
      <c r="F328" s="57">
        <f>IFERROR(INDEX(Firms!$L$5:$L$1004,MATCH(324,Firms!$R$5:$R$1004,0))&amp;"","")</f>
        <v/>
      </c>
      <c r="G328" s="57">
        <f>IFERROR(INDEX(Firms!$M$5:$M$1004,MATCH(324,Firms!$R$5:$R$1004,0))&amp;"","")</f>
        <v/>
      </c>
      <c r="H328" s="58">
        <f>IFERROR(INDEX(Firms!$Q$5:$Q$1004,MATCH(324,Firms!$R$5:$R$1004,0))&amp;"","")</f>
        <v/>
      </c>
    </row>
    <row r="329">
      <c r="A329" s="57">
        <f>IF(B329="","",325)</f>
        <v/>
      </c>
      <c r="B329" s="58">
        <f>IFERROR(INDEX(Firms!$A$5:$A$1004,MATCH(325,Firms!$R$5:$R$1004,0))&amp;"","")</f>
        <v/>
      </c>
      <c r="C329" s="59">
        <f>IFERROR(IF(INDEX(Firms!$O$5:$O$1004,MATCH(325,Firms!$R$5:$R$1004,0))="","",INDEX(Firms!$O$5:$O$1004,MATCH(325,Firms!$R$5:$R$1004,0))),"")</f>
        <v/>
      </c>
      <c r="D329" s="58">
        <f>IFERROR(INDEX(Firms!$P$5:$P$1004,MATCH(325,Firms!$R$5:$R$1004,0))&amp;"","")</f>
        <v/>
      </c>
      <c r="E329" s="58">
        <f>IFERROR(INDEX(Firms!$C$5:$C$1004,MATCH(325,Firms!$R$5:$R$1004,0))&amp;"","")</f>
        <v/>
      </c>
      <c r="F329" s="57">
        <f>IFERROR(INDEX(Firms!$L$5:$L$1004,MATCH(325,Firms!$R$5:$R$1004,0))&amp;"","")</f>
        <v/>
      </c>
      <c r="G329" s="57">
        <f>IFERROR(INDEX(Firms!$M$5:$M$1004,MATCH(325,Firms!$R$5:$R$1004,0))&amp;"","")</f>
        <v/>
      </c>
      <c r="H329" s="58">
        <f>IFERROR(INDEX(Firms!$Q$5:$Q$1004,MATCH(325,Firms!$R$5:$R$1004,0))&amp;"","")</f>
        <v/>
      </c>
    </row>
    <row r="330">
      <c r="A330" s="57">
        <f>IF(B330="","",326)</f>
        <v/>
      </c>
      <c r="B330" s="58">
        <f>IFERROR(INDEX(Firms!$A$5:$A$1004,MATCH(326,Firms!$R$5:$R$1004,0))&amp;"","")</f>
        <v/>
      </c>
      <c r="C330" s="59">
        <f>IFERROR(IF(INDEX(Firms!$O$5:$O$1004,MATCH(326,Firms!$R$5:$R$1004,0))="","",INDEX(Firms!$O$5:$O$1004,MATCH(326,Firms!$R$5:$R$1004,0))),"")</f>
        <v/>
      </c>
      <c r="D330" s="58">
        <f>IFERROR(INDEX(Firms!$P$5:$P$1004,MATCH(326,Firms!$R$5:$R$1004,0))&amp;"","")</f>
        <v/>
      </c>
      <c r="E330" s="58">
        <f>IFERROR(INDEX(Firms!$C$5:$C$1004,MATCH(326,Firms!$R$5:$R$1004,0))&amp;"","")</f>
        <v/>
      </c>
      <c r="F330" s="57">
        <f>IFERROR(INDEX(Firms!$L$5:$L$1004,MATCH(326,Firms!$R$5:$R$1004,0))&amp;"","")</f>
        <v/>
      </c>
      <c r="G330" s="57">
        <f>IFERROR(INDEX(Firms!$M$5:$M$1004,MATCH(326,Firms!$R$5:$R$1004,0))&amp;"","")</f>
        <v/>
      </c>
      <c r="H330" s="58">
        <f>IFERROR(INDEX(Firms!$Q$5:$Q$1004,MATCH(326,Firms!$R$5:$R$1004,0))&amp;"","")</f>
        <v/>
      </c>
    </row>
    <row r="331">
      <c r="A331" s="57">
        <f>IF(B331="","",327)</f>
        <v/>
      </c>
      <c r="B331" s="58">
        <f>IFERROR(INDEX(Firms!$A$5:$A$1004,MATCH(327,Firms!$R$5:$R$1004,0))&amp;"","")</f>
        <v/>
      </c>
      <c r="C331" s="59">
        <f>IFERROR(IF(INDEX(Firms!$O$5:$O$1004,MATCH(327,Firms!$R$5:$R$1004,0))="","",INDEX(Firms!$O$5:$O$1004,MATCH(327,Firms!$R$5:$R$1004,0))),"")</f>
        <v/>
      </c>
      <c r="D331" s="58">
        <f>IFERROR(INDEX(Firms!$P$5:$P$1004,MATCH(327,Firms!$R$5:$R$1004,0))&amp;"","")</f>
        <v/>
      </c>
      <c r="E331" s="58">
        <f>IFERROR(INDEX(Firms!$C$5:$C$1004,MATCH(327,Firms!$R$5:$R$1004,0))&amp;"","")</f>
        <v/>
      </c>
      <c r="F331" s="57">
        <f>IFERROR(INDEX(Firms!$L$5:$L$1004,MATCH(327,Firms!$R$5:$R$1004,0))&amp;"","")</f>
        <v/>
      </c>
      <c r="G331" s="57">
        <f>IFERROR(INDEX(Firms!$M$5:$M$1004,MATCH(327,Firms!$R$5:$R$1004,0))&amp;"","")</f>
        <v/>
      </c>
      <c r="H331" s="58">
        <f>IFERROR(INDEX(Firms!$Q$5:$Q$1004,MATCH(327,Firms!$R$5:$R$1004,0))&amp;"","")</f>
        <v/>
      </c>
    </row>
    <row r="332">
      <c r="A332" s="57">
        <f>IF(B332="","",328)</f>
        <v/>
      </c>
      <c r="B332" s="58">
        <f>IFERROR(INDEX(Firms!$A$5:$A$1004,MATCH(328,Firms!$R$5:$R$1004,0))&amp;"","")</f>
        <v/>
      </c>
      <c r="C332" s="59">
        <f>IFERROR(IF(INDEX(Firms!$O$5:$O$1004,MATCH(328,Firms!$R$5:$R$1004,0))="","",INDEX(Firms!$O$5:$O$1004,MATCH(328,Firms!$R$5:$R$1004,0))),"")</f>
        <v/>
      </c>
      <c r="D332" s="58">
        <f>IFERROR(INDEX(Firms!$P$5:$P$1004,MATCH(328,Firms!$R$5:$R$1004,0))&amp;"","")</f>
        <v/>
      </c>
      <c r="E332" s="58">
        <f>IFERROR(INDEX(Firms!$C$5:$C$1004,MATCH(328,Firms!$R$5:$R$1004,0))&amp;"","")</f>
        <v/>
      </c>
      <c r="F332" s="57">
        <f>IFERROR(INDEX(Firms!$L$5:$L$1004,MATCH(328,Firms!$R$5:$R$1004,0))&amp;"","")</f>
        <v/>
      </c>
      <c r="G332" s="57">
        <f>IFERROR(INDEX(Firms!$M$5:$M$1004,MATCH(328,Firms!$R$5:$R$1004,0))&amp;"","")</f>
        <v/>
      </c>
      <c r="H332" s="58">
        <f>IFERROR(INDEX(Firms!$Q$5:$Q$1004,MATCH(328,Firms!$R$5:$R$1004,0))&amp;"","")</f>
        <v/>
      </c>
    </row>
    <row r="333">
      <c r="A333" s="57">
        <f>IF(B333="","",329)</f>
        <v/>
      </c>
      <c r="B333" s="58">
        <f>IFERROR(INDEX(Firms!$A$5:$A$1004,MATCH(329,Firms!$R$5:$R$1004,0))&amp;"","")</f>
        <v/>
      </c>
      <c r="C333" s="59">
        <f>IFERROR(IF(INDEX(Firms!$O$5:$O$1004,MATCH(329,Firms!$R$5:$R$1004,0))="","",INDEX(Firms!$O$5:$O$1004,MATCH(329,Firms!$R$5:$R$1004,0))),"")</f>
        <v/>
      </c>
      <c r="D333" s="58">
        <f>IFERROR(INDEX(Firms!$P$5:$P$1004,MATCH(329,Firms!$R$5:$R$1004,0))&amp;"","")</f>
        <v/>
      </c>
      <c r="E333" s="58">
        <f>IFERROR(INDEX(Firms!$C$5:$C$1004,MATCH(329,Firms!$R$5:$R$1004,0))&amp;"","")</f>
        <v/>
      </c>
      <c r="F333" s="57">
        <f>IFERROR(INDEX(Firms!$L$5:$L$1004,MATCH(329,Firms!$R$5:$R$1004,0))&amp;"","")</f>
        <v/>
      </c>
      <c r="G333" s="57">
        <f>IFERROR(INDEX(Firms!$M$5:$M$1004,MATCH(329,Firms!$R$5:$R$1004,0))&amp;"","")</f>
        <v/>
      </c>
      <c r="H333" s="58">
        <f>IFERROR(INDEX(Firms!$Q$5:$Q$1004,MATCH(329,Firms!$R$5:$R$1004,0))&amp;"","")</f>
        <v/>
      </c>
    </row>
    <row r="334">
      <c r="A334" s="57">
        <f>IF(B334="","",330)</f>
        <v/>
      </c>
      <c r="B334" s="58">
        <f>IFERROR(INDEX(Firms!$A$5:$A$1004,MATCH(330,Firms!$R$5:$R$1004,0))&amp;"","")</f>
        <v/>
      </c>
      <c r="C334" s="59">
        <f>IFERROR(IF(INDEX(Firms!$O$5:$O$1004,MATCH(330,Firms!$R$5:$R$1004,0))="","",INDEX(Firms!$O$5:$O$1004,MATCH(330,Firms!$R$5:$R$1004,0))),"")</f>
        <v/>
      </c>
      <c r="D334" s="58">
        <f>IFERROR(INDEX(Firms!$P$5:$P$1004,MATCH(330,Firms!$R$5:$R$1004,0))&amp;"","")</f>
        <v/>
      </c>
      <c r="E334" s="58">
        <f>IFERROR(INDEX(Firms!$C$5:$C$1004,MATCH(330,Firms!$R$5:$R$1004,0))&amp;"","")</f>
        <v/>
      </c>
      <c r="F334" s="57">
        <f>IFERROR(INDEX(Firms!$L$5:$L$1004,MATCH(330,Firms!$R$5:$R$1004,0))&amp;"","")</f>
        <v/>
      </c>
      <c r="G334" s="57">
        <f>IFERROR(INDEX(Firms!$M$5:$M$1004,MATCH(330,Firms!$R$5:$R$1004,0))&amp;"","")</f>
        <v/>
      </c>
      <c r="H334" s="58">
        <f>IFERROR(INDEX(Firms!$Q$5:$Q$1004,MATCH(330,Firms!$R$5:$R$1004,0))&amp;"","")</f>
        <v/>
      </c>
    </row>
    <row r="335">
      <c r="A335" s="57">
        <f>IF(B335="","",331)</f>
        <v/>
      </c>
      <c r="B335" s="58">
        <f>IFERROR(INDEX(Firms!$A$5:$A$1004,MATCH(331,Firms!$R$5:$R$1004,0))&amp;"","")</f>
        <v/>
      </c>
      <c r="C335" s="59">
        <f>IFERROR(IF(INDEX(Firms!$O$5:$O$1004,MATCH(331,Firms!$R$5:$R$1004,0))="","",INDEX(Firms!$O$5:$O$1004,MATCH(331,Firms!$R$5:$R$1004,0))),"")</f>
        <v/>
      </c>
      <c r="D335" s="58">
        <f>IFERROR(INDEX(Firms!$P$5:$P$1004,MATCH(331,Firms!$R$5:$R$1004,0))&amp;"","")</f>
        <v/>
      </c>
      <c r="E335" s="58">
        <f>IFERROR(INDEX(Firms!$C$5:$C$1004,MATCH(331,Firms!$R$5:$R$1004,0))&amp;"","")</f>
        <v/>
      </c>
      <c r="F335" s="57">
        <f>IFERROR(INDEX(Firms!$L$5:$L$1004,MATCH(331,Firms!$R$5:$R$1004,0))&amp;"","")</f>
        <v/>
      </c>
      <c r="G335" s="57">
        <f>IFERROR(INDEX(Firms!$M$5:$M$1004,MATCH(331,Firms!$R$5:$R$1004,0))&amp;"","")</f>
        <v/>
      </c>
      <c r="H335" s="58">
        <f>IFERROR(INDEX(Firms!$Q$5:$Q$1004,MATCH(331,Firms!$R$5:$R$1004,0))&amp;"","")</f>
        <v/>
      </c>
    </row>
    <row r="336">
      <c r="A336" s="57">
        <f>IF(B336="","",332)</f>
        <v/>
      </c>
      <c r="B336" s="58">
        <f>IFERROR(INDEX(Firms!$A$5:$A$1004,MATCH(332,Firms!$R$5:$R$1004,0))&amp;"","")</f>
        <v/>
      </c>
      <c r="C336" s="59">
        <f>IFERROR(IF(INDEX(Firms!$O$5:$O$1004,MATCH(332,Firms!$R$5:$R$1004,0))="","",INDEX(Firms!$O$5:$O$1004,MATCH(332,Firms!$R$5:$R$1004,0))),"")</f>
        <v/>
      </c>
      <c r="D336" s="58">
        <f>IFERROR(INDEX(Firms!$P$5:$P$1004,MATCH(332,Firms!$R$5:$R$1004,0))&amp;"","")</f>
        <v/>
      </c>
      <c r="E336" s="58">
        <f>IFERROR(INDEX(Firms!$C$5:$C$1004,MATCH(332,Firms!$R$5:$R$1004,0))&amp;"","")</f>
        <v/>
      </c>
      <c r="F336" s="57">
        <f>IFERROR(INDEX(Firms!$L$5:$L$1004,MATCH(332,Firms!$R$5:$R$1004,0))&amp;"","")</f>
        <v/>
      </c>
      <c r="G336" s="57">
        <f>IFERROR(INDEX(Firms!$M$5:$M$1004,MATCH(332,Firms!$R$5:$R$1004,0))&amp;"","")</f>
        <v/>
      </c>
      <c r="H336" s="58">
        <f>IFERROR(INDEX(Firms!$Q$5:$Q$1004,MATCH(332,Firms!$R$5:$R$1004,0))&amp;"","")</f>
        <v/>
      </c>
    </row>
    <row r="337">
      <c r="A337" s="57">
        <f>IF(B337="","",333)</f>
        <v/>
      </c>
      <c r="B337" s="58">
        <f>IFERROR(INDEX(Firms!$A$5:$A$1004,MATCH(333,Firms!$R$5:$R$1004,0))&amp;"","")</f>
        <v/>
      </c>
      <c r="C337" s="59">
        <f>IFERROR(IF(INDEX(Firms!$O$5:$O$1004,MATCH(333,Firms!$R$5:$R$1004,0))="","",INDEX(Firms!$O$5:$O$1004,MATCH(333,Firms!$R$5:$R$1004,0))),"")</f>
        <v/>
      </c>
      <c r="D337" s="58">
        <f>IFERROR(INDEX(Firms!$P$5:$P$1004,MATCH(333,Firms!$R$5:$R$1004,0))&amp;"","")</f>
        <v/>
      </c>
      <c r="E337" s="58">
        <f>IFERROR(INDEX(Firms!$C$5:$C$1004,MATCH(333,Firms!$R$5:$R$1004,0))&amp;"","")</f>
        <v/>
      </c>
      <c r="F337" s="57">
        <f>IFERROR(INDEX(Firms!$L$5:$L$1004,MATCH(333,Firms!$R$5:$R$1004,0))&amp;"","")</f>
        <v/>
      </c>
      <c r="G337" s="57">
        <f>IFERROR(INDEX(Firms!$M$5:$M$1004,MATCH(333,Firms!$R$5:$R$1004,0))&amp;"","")</f>
        <v/>
      </c>
      <c r="H337" s="58">
        <f>IFERROR(INDEX(Firms!$Q$5:$Q$1004,MATCH(333,Firms!$R$5:$R$1004,0))&amp;"","")</f>
        <v/>
      </c>
    </row>
    <row r="338">
      <c r="A338" s="57">
        <f>IF(B338="","",334)</f>
        <v/>
      </c>
      <c r="B338" s="58">
        <f>IFERROR(INDEX(Firms!$A$5:$A$1004,MATCH(334,Firms!$R$5:$R$1004,0))&amp;"","")</f>
        <v/>
      </c>
      <c r="C338" s="59">
        <f>IFERROR(IF(INDEX(Firms!$O$5:$O$1004,MATCH(334,Firms!$R$5:$R$1004,0))="","",INDEX(Firms!$O$5:$O$1004,MATCH(334,Firms!$R$5:$R$1004,0))),"")</f>
        <v/>
      </c>
      <c r="D338" s="58">
        <f>IFERROR(INDEX(Firms!$P$5:$P$1004,MATCH(334,Firms!$R$5:$R$1004,0))&amp;"","")</f>
        <v/>
      </c>
      <c r="E338" s="58">
        <f>IFERROR(INDEX(Firms!$C$5:$C$1004,MATCH(334,Firms!$R$5:$R$1004,0))&amp;"","")</f>
        <v/>
      </c>
      <c r="F338" s="57">
        <f>IFERROR(INDEX(Firms!$L$5:$L$1004,MATCH(334,Firms!$R$5:$R$1004,0))&amp;"","")</f>
        <v/>
      </c>
      <c r="G338" s="57">
        <f>IFERROR(INDEX(Firms!$M$5:$M$1004,MATCH(334,Firms!$R$5:$R$1004,0))&amp;"","")</f>
        <v/>
      </c>
      <c r="H338" s="58">
        <f>IFERROR(INDEX(Firms!$Q$5:$Q$1004,MATCH(334,Firms!$R$5:$R$1004,0))&amp;"","")</f>
        <v/>
      </c>
    </row>
    <row r="339">
      <c r="A339" s="57">
        <f>IF(B339="","",335)</f>
        <v/>
      </c>
      <c r="B339" s="58">
        <f>IFERROR(INDEX(Firms!$A$5:$A$1004,MATCH(335,Firms!$R$5:$R$1004,0))&amp;"","")</f>
        <v/>
      </c>
      <c r="C339" s="59">
        <f>IFERROR(IF(INDEX(Firms!$O$5:$O$1004,MATCH(335,Firms!$R$5:$R$1004,0))="","",INDEX(Firms!$O$5:$O$1004,MATCH(335,Firms!$R$5:$R$1004,0))),"")</f>
        <v/>
      </c>
      <c r="D339" s="58">
        <f>IFERROR(INDEX(Firms!$P$5:$P$1004,MATCH(335,Firms!$R$5:$R$1004,0))&amp;"","")</f>
        <v/>
      </c>
      <c r="E339" s="58">
        <f>IFERROR(INDEX(Firms!$C$5:$C$1004,MATCH(335,Firms!$R$5:$R$1004,0))&amp;"","")</f>
        <v/>
      </c>
      <c r="F339" s="57">
        <f>IFERROR(INDEX(Firms!$L$5:$L$1004,MATCH(335,Firms!$R$5:$R$1004,0))&amp;"","")</f>
        <v/>
      </c>
      <c r="G339" s="57">
        <f>IFERROR(INDEX(Firms!$M$5:$M$1004,MATCH(335,Firms!$R$5:$R$1004,0))&amp;"","")</f>
        <v/>
      </c>
      <c r="H339" s="58">
        <f>IFERROR(INDEX(Firms!$Q$5:$Q$1004,MATCH(335,Firms!$R$5:$R$1004,0))&amp;"","")</f>
        <v/>
      </c>
    </row>
    <row r="340">
      <c r="A340" s="57">
        <f>IF(B340="","",336)</f>
        <v/>
      </c>
      <c r="B340" s="58">
        <f>IFERROR(INDEX(Firms!$A$5:$A$1004,MATCH(336,Firms!$R$5:$R$1004,0))&amp;"","")</f>
        <v/>
      </c>
      <c r="C340" s="59">
        <f>IFERROR(IF(INDEX(Firms!$O$5:$O$1004,MATCH(336,Firms!$R$5:$R$1004,0))="","",INDEX(Firms!$O$5:$O$1004,MATCH(336,Firms!$R$5:$R$1004,0))),"")</f>
        <v/>
      </c>
      <c r="D340" s="58">
        <f>IFERROR(INDEX(Firms!$P$5:$P$1004,MATCH(336,Firms!$R$5:$R$1004,0))&amp;"","")</f>
        <v/>
      </c>
      <c r="E340" s="58">
        <f>IFERROR(INDEX(Firms!$C$5:$C$1004,MATCH(336,Firms!$R$5:$R$1004,0))&amp;"","")</f>
        <v/>
      </c>
      <c r="F340" s="57">
        <f>IFERROR(INDEX(Firms!$L$5:$L$1004,MATCH(336,Firms!$R$5:$R$1004,0))&amp;"","")</f>
        <v/>
      </c>
      <c r="G340" s="57">
        <f>IFERROR(INDEX(Firms!$M$5:$M$1004,MATCH(336,Firms!$R$5:$R$1004,0))&amp;"","")</f>
        <v/>
      </c>
      <c r="H340" s="58">
        <f>IFERROR(INDEX(Firms!$Q$5:$Q$1004,MATCH(336,Firms!$R$5:$R$1004,0))&amp;"","")</f>
        <v/>
      </c>
    </row>
    <row r="341">
      <c r="A341" s="57">
        <f>IF(B341="","",337)</f>
        <v/>
      </c>
      <c r="B341" s="58">
        <f>IFERROR(INDEX(Firms!$A$5:$A$1004,MATCH(337,Firms!$R$5:$R$1004,0))&amp;"","")</f>
        <v/>
      </c>
      <c r="C341" s="59">
        <f>IFERROR(IF(INDEX(Firms!$O$5:$O$1004,MATCH(337,Firms!$R$5:$R$1004,0))="","",INDEX(Firms!$O$5:$O$1004,MATCH(337,Firms!$R$5:$R$1004,0))),"")</f>
        <v/>
      </c>
      <c r="D341" s="58">
        <f>IFERROR(INDEX(Firms!$P$5:$P$1004,MATCH(337,Firms!$R$5:$R$1004,0))&amp;"","")</f>
        <v/>
      </c>
      <c r="E341" s="58">
        <f>IFERROR(INDEX(Firms!$C$5:$C$1004,MATCH(337,Firms!$R$5:$R$1004,0))&amp;"","")</f>
        <v/>
      </c>
      <c r="F341" s="57">
        <f>IFERROR(INDEX(Firms!$L$5:$L$1004,MATCH(337,Firms!$R$5:$R$1004,0))&amp;"","")</f>
        <v/>
      </c>
      <c r="G341" s="57">
        <f>IFERROR(INDEX(Firms!$M$5:$M$1004,MATCH(337,Firms!$R$5:$R$1004,0))&amp;"","")</f>
        <v/>
      </c>
      <c r="H341" s="58">
        <f>IFERROR(INDEX(Firms!$Q$5:$Q$1004,MATCH(337,Firms!$R$5:$R$1004,0))&amp;"","")</f>
        <v/>
      </c>
    </row>
    <row r="342">
      <c r="A342" s="57">
        <f>IF(B342="","",338)</f>
        <v/>
      </c>
      <c r="B342" s="58">
        <f>IFERROR(INDEX(Firms!$A$5:$A$1004,MATCH(338,Firms!$R$5:$R$1004,0))&amp;"","")</f>
        <v/>
      </c>
      <c r="C342" s="59">
        <f>IFERROR(IF(INDEX(Firms!$O$5:$O$1004,MATCH(338,Firms!$R$5:$R$1004,0))="","",INDEX(Firms!$O$5:$O$1004,MATCH(338,Firms!$R$5:$R$1004,0))),"")</f>
        <v/>
      </c>
      <c r="D342" s="58">
        <f>IFERROR(INDEX(Firms!$P$5:$P$1004,MATCH(338,Firms!$R$5:$R$1004,0))&amp;"","")</f>
        <v/>
      </c>
      <c r="E342" s="58">
        <f>IFERROR(INDEX(Firms!$C$5:$C$1004,MATCH(338,Firms!$R$5:$R$1004,0))&amp;"","")</f>
        <v/>
      </c>
      <c r="F342" s="57">
        <f>IFERROR(INDEX(Firms!$L$5:$L$1004,MATCH(338,Firms!$R$5:$R$1004,0))&amp;"","")</f>
        <v/>
      </c>
      <c r="G342" s="57">
        <f>IFERROR(INDEX(Firms!$M$5:$M$1004,MATCH(338,Firms!$R$5:$R$1004,0))&amp;"","")</f>
        <v/>
      </c>
      <c r="H342" s="58">
        <f>IFERROR(INDEX(Firms!$Q$5:$Q$1004,MATCH(338,Firms!$R$5:$R$1004,0))&amp;"","")</f>
        <v/>
      </c>
    </row>
    <row r="343">
      <c r="A343" s="57">
        <f>IF(B343="","",339)</f>
        <v/>
      </c>
      <c r="B343" s="58">
        <f>IFERROR(INDEX(Firms!$A$5:$A$1004,MATCH(339,Firms!$R$5:$R$1004,0))&amp;"","")</f>
        <v/>
      </c>
      <c r="C343" s="59">
        <f>IFERROR(IF(INDEX(Firms!$O$5:$O$1004,MATCH(339,Firms!$R$5:$R$1004,0))="","",INDEX(Firms!$O$5:$O$1004,MATCH(339,Firms!$R$5:$R$1004,0))),"")</f>
        <v/>
      </c>
      <c r="D343" s="58">
        <f>IFERROR(INDEX(Firms!$P$5:$P$1004,MATCH(339,Firms!$R$5:$R$1004,0))&amp;"","")</f>
        <v/>
      </c>
      <c r="E343" s="58">
        <f>IFERROR(INDEX(Firms!$C$5:$C$1004,MATCH(339,Firms!$R$5:$R$1004,0))&amp;"","")</f>
        <v/>
      </c>
      <c r="F343" s="57">
        <f>IFERROR(INDEX(Firms!$L$5:$L$1004,MATCH(339,Firms!$R$5:$R$1004,0))&amp;"","")</f>
        <v/>
      </c>
      <c r="G343" s="57">
        <f>IFERROR(INDEX(Firms!$M$5:$M$1004,MATCH(339,Firms!$R$5:$R$1004,0))&amp;"","")</f>
        <v/>
      </c>
      <c r="H343" s="58">
        <f>IFERROR(INDEX(Firms!$Q$5:$Q$1004,MATCH(339,Firms!$R$5:$R$1004,0))&amp;"","")</f>
        <v/>
      </c>
    </row>
    <row r="344">
      <c r="A344" s="57">
        <f>IF(B344="","",340)</f>
        <v/>
      </c>
      <c r="B344" s="58">
        <f>IFERROR(INDEX(Firms!$A$5:$A$1004,MATCH(340,Firms!$R$5:$R$1004,0))&amp;"","")</f>
        <v/>
      </c>
      <c r="C344" s="59">
        <f>IFERROR(IF(INDEX(Firms!$O$5:$O$1004,MATCH(340,Firms!$R$5:$R$1004,0))="","",INDEX(Firms!$O$5:$O$1004,MATCH(340,Firms!$R$5:$R$1004,0))),"")</f>
        <v/>
      </c>
      <c r="D344" s="58">
        <f>IFERROR(INDEX(Firms!$P$5:$P$1004,MATCH(340,Firms!$R$5:$R$1004,0))&amp;"","")</f>
        <v/>
      </c>
      <c r="E344" s="58">
        <f>IFERROR(INDEX(Firms!$C$5:$C$1004,MATCH(340,Firms!$R$5:$R$1004,0))&amp;"","")</f>
        <v/>
      </c>
      <c r="F344" s="57">
        <f>IFERROR(INDEX(Firms!$L$5:$L$1004,MATCH(340,Firms!$R$5:$R$1004,0))&amp;"","")</f>
        <v/>
      </c>
      <c r="G344" s="57">
        <f>IFERROR(INDEX(Firms!$M$5:$M$1004,MATCH(340,Firms!$R$5:$R$1004,0))&amp;"","")</f>
        <v/>
      </c>
      <c r="H344" s="58">
        <f>IFERROR(INDEX(Firms!$Q$5:$Q$1004,MATCH(340,Firms!$R$5:$R$1004,0))&amp;"","")</f>
        <v/>
      </c>
    </row>
    <row r="345">
      <c r="A345" s="57">
        <f>IF(B345="","",341)</f>
        <v/>
      </c>
      <c r="B345" s="58">
        <f>IFERROR(INDEX(Firms!$A$5:$A$1004,MATCH(341,Firms!$R$5:$R$1004,0))&amp;"","")</f>
        <v/>
      </c>
      <c r="C345" s="59">
        <f>IFERROR(IF(INDEX(Firms!$O$5:$O$1004,MATCH(341,Firms!$R$5:$R$1004,0))="","",INDEX(Firms!$O$5:$O$1004,MATCH(341,Firms!$R$5:$R$1004,0))),"")</f>
        <v/>
      </c>
      <c r="D345" s="58">
        <f>IFERROR(INDEX(Firms!$P$5:$P$1004,MATCH(341,Firms!$R$5:$R$1004,0))&amp;"","")</f>
        <v/>
      </c>
      <c r="E345" s="58">
        <f>IFERROR(INDEX(Firms!$C$5:$C$1004,MATCH(341,Firms!$R$5:$R$1004,0))&amp;"","")</f>
        <v/>
      </c>
      <c r="F345" s="57">
        <f>IFERROR(INDEX(Firms!$L$5:$L$1004,MATCH(341,Firms!$R$5:$R$1004,0))&amp;"","")</f>
        <v/>
      </c>
      <c r="G345" s="57">
        <f>IFERROR(INDEX(Firms!$M$5:$M$1004,MATCH(341,Firms!$R$5:$R$1004,0))&amp;"","")</f>
        <v/>
      </c>
      <c r="H345" s="58">
        <f>IFERROR(INDEX(Firms!$Q$5:$Q$1004,MATCH(341,Firms!$R$5:$R$1004,0))&amp;"","")</f>
        <v/>
      </c>
    </row>
    <row r="346">
      <c r="A346" s="57">
        <f>IF(B346="","",342)</f>
        <v/>
      </c>
      <c r="B346" s="58">
        <f>IFERROR(INDEX(Firms!$A$5:$A$1004,MATCH(342,Firms!$R$5:$R$1004,0))&amp;"","")</f>
        <v/>
      </c>
      <c r="C346" s="59">
        <f>IFERROR(IF(INDEX(Firms!$O$5:$O$1004,MATCH(342,Firms!$R$5:$R$1004,0))="","",INDEX(Firms!$O$5:$O$1004,MATCH(342,Firms!$R$5:$R$1004,0))),"")</f>
        <v/>
      </c>
      <c r="D346" s="58">
        <f>IFERROR(INDEX(Firms!$P$5:$P$1004,MATCH(342,Firms!$R$5:$R$1004,0))&amp;"","")</f>
        <v/>
      </c>
      <c r="E346" s="58">
        <f>IFERROR(INDEX(Firms!$C$5:$C$1004,MATCH(342,Firms!$R$5:$R$1004,0))&amp;"","")</f>
        <v/>
      </c>
      <c r="F346" s="57">
        <f>IFERROR(INDEX(Firms!$L$5:$L$1004,MATCH(342,Firms!$R$5:$R$1004,0))&amp;"","")</f>
        <v/>
      </c>
      <c r="G346" s="57">
        <f>IFERROR(INDEX(Firms!$M$5:$M$1004,MATCH(342,Firms!$R$5:$R$1004,0))&amp;"","")</f>
        <v/>
      </c>
      <c r="H346" s="58">
        <f>IFERROR(INDEX(Firms!$Q$5:$Q$1004,MATCH(342,Firms!$R$5:$R$1004,0))&amp;"","")</f>
        <v/>
      </c>
    </row>
    <row r="347">
      <c r="A347" s="57">
        <f>IF(B347="","",343)</f>
        <v/>
      </c>
      <c r="B347" s="58">
        <f>IFERROR(INDEX(Firms!$A$5:$A$1004,MATCH(343,Firms!$R$5:$R$1004,0))&amp;"","")</f>
        <v/>
      </c>
      <c r="C347" s="59">
        <f>IFERROR(IF(INDEX(Firms!$O$5:$O$1004,MATCH(343,Firms!$R$5:$R$1004,0))="","",INDEX(Firms!$O$5:$O$1004,MATCH(343,Firms!$R$5:$R$1004,0))),"")</f>
        <v/>
      </c>
      <c r="D347" s="58">
        <f>IFERROR(INDEX(Firms!$P$5:$P$1004,MATCH(343,Firms!$R$5:$R$1004,0))&amp;"","")</f>
        <v/>
      </c>
      <c r="E347" s="58">
        <f>IFERROR(INDEX(Firms!$C$5:$C$1004,MATCH(343,Firms!$R$5:$R$1004,0))&amp;"","")</f>
        <v/>
      </c>
      <c r="F347" s="57">
        <f>IFERROR(INDEX(Firms!$L$5:$L$1004,MATCH(343,Firms!$R$5:$R$1004,0))&amp;"","")</f>
        <v/>
      </c>
      <c r="G347" s="57">
        <f>IFERROR(INDEX(Firms!$M$5:$M$1004,MATCH(343,Firms!$R$5:$R$1004,0))&amp;"","")</f>
        <v/>
      </c>
      <c r="H347" s="58">
        <f>IFERROR(INDEX(Firms!$Q$5:$Q$1004,MATCH(343,Firms!$R$5:$R$1004,0))&amp;"","")</f>
        <v/>
      </c>
    </row>
    <row r="348">
      <c r="A348" s="57">
        <f>IF(B348="","",344)</f>
        <v/>
      </c>
      <c r="B348" s="58">
        <f>IFERROR(INDEX(Firms!$A$5:$A$1004,MATCH(344,Firms!$R$5:$R$1004,0))&amp;"","")</f>
        <v/>
      </c>
      <c r="C348" s="59">
        <f>IFERROR(IF(INDEX(Firms!$O$5:$O$1004,MATCH(344,Firms!$R$5:$R$1004,0))="","",INDEX(Firms!$O$5:$O$1004,MATCH(344,Firms!$R$5:$R$1004,0))),"")</f>
        <v/>
      </c>
      <c r="D348" s="58">
        <f>IFERROR(INDEX(Firms!$P$5:$P$1004,MATCH(344,Firms!$R$5:$R$1004,0))&amp;"","")</f>
        <v/>
      </c>
      <c r="E348" s="58">
        <f>IFERROR(INDEX(Firms!$C$5:$C$1004,MATCH(344,Firms!$R$5:$R$1004,0))&amp;"","")</f>
        <v/>
      </c>
      <c r="F348" s="57">
        <f>IFERROR(INDEX(Firms!$L$5:$L$1004,MATCH(344,Firms!$R$5:$R$1004,0))&amp;"","")</f>
        <v/>
      </c>
      <c r="G348" s="57">
        <f>IFERROR(INDEX(Firms!$M$5:$M$1004,MATCH(344,Firms!$R$5:$R$1004,0))&amp;"","")</f>
        <v/>
      </c>
      <c r="H348" s="58">
        <f>IFERROR(INDEX(Firms!$Q$5:$Q$1004,MATCH(344,Firms!$R$5:$R$1004,0))&amp;"","")</f>
        <v/>
      </c>
    </row>
    <row r="349">
      <c r="A349" s="57">
        <f>IF(B349="","",345)</f>
        <v/>
      </c>
      <c r="B349" s="58">
        <f>IFERROR(INDEX(Firms!$A$5:$A$1004,MATCH(345,Firms!$R$5:$R$1004,0))&amp;"","")</f>
        <v/>
      </c>
      <c r="C349" s="59">
        <f>IFERROR(IF(INDEX(Firms!$O$5:$O$1004,MATCH(345,Firms!$R$5:$R$1004,0))="","",INDEX(Firms!$O$5:$O$1004,MATCH(345,Firms!$R$5:$R$1004,0))),"")</f>
        <v/>
      </c>
      <c r="D349" s="58">
        <f>IFERROR(INDEX(Firms!$P$5:$P$1004,MATCH(345,Firms!$R$5:$R$1004,0))&amp;"","")</f>
        <v/>
      </c>
      <c r="E349" s="58">
        <f>IFERROR(INDEX(Firms!$C$5:$C$1004,MATCH(345,Firms!$R$5:$R$1004,0))&amp;"","")</f>
        <v/>
      </c>
      <c r="F349" s="57">
        <f>IFERROR(INDEX(Firms!$L$5:$L$1004,MATCH(345,Firms!$R$5:$R$1004,0))&amp;"","")</f>
        <v/>
      </c>
      <c r="G349" s="57">
        <f>IFERROR(INDEX(Firms!$M$5:$M$1004,MATCH(345,Firms!$R$5:$R$1004,0))&amp;"","")</f>
        <v/>
      </c>
      <c r="H349" s="58">
        <f>IFERROR(INDEX(Firms!$Q$5:$Q$1004,MATCH(345,Firms!$R$5:$R$1004,0))&amp;"","")</f>
        <v/>
      </c>
    </row>
    <row r="350">
      <c r="A350" s="57">
        <f>IF(B350="","",346)</f>
        <v/>
      </c>
      <c r="B350" s="58">
        <f>IFERROR(INDEX(Firms!$A$5:$A$1004,MATCH(346,Firms!$R$5:$R$1004,0))&amp;"","")</f>
        <v/>
      </c>
      <c r="C350" s="59">
        <f>IFERROR(IF(INDEX(Firms!$O$5:$O$1004,MATCH(346,Firms!$R$5:$R$1004,0))="","",INDEX(Firms!$O$5:$O$1004,MATCH(346,Firms!$R$5:$R$1004,0))),"")</f>
        <v/>
      </c>
      <c r="D350" s="58">
        <f>IFERROR(INDEX(Firms!$P$5:$P$1004,MATCH(346,Firms!$R$5:$R$1004,0))&amp;"","")</f>
        <v/>
      </c>
      <c r="E350" s="58">
        <f>IFERROR(INDEX(Firms!$C$5:$C$1004,MATCH(346,Firms!$R$5:$R$1004,0))&amp;"","")</f>
        <v/>
      </c>
      <c r="F350" s="57">
        <f>IFERROR(INDEX(Firms!$L$5:$L$1004,MATCH(346,Firms!$R$5:$R$1004,0))&amp;"","")</f>
        <v/>
      </c>
      <c r="G350" s="57">
        <f>IFERROR(INDEX(Firms!$M$5:$M$1004,MATCH(346,Firms!$R$5:$R$1004,0))&amp;"","")</f>
        <v/>
      </c>
      <c r="H350" s="58">
        <f>IFERROR(INDEX(Firms!$Q$5:$Q$1004,MATCH(346,Firms!$R$5:$R$1004,0))&amp;"","")</f>
        <v/>
      </c>
    </row>
    <row r="351">
      <c r="A351" s="57">
        <f>IF(B351="","",347)</f>
        <v/>
      </c>
      <c r="B351" s="58">
        <f>IFERROR(INDEX(Firms!$A$5:$A$1004,MATCH(347,Firms!$R$5:$R$1004,0))&amp;"","")</f>
        <v/>
      </c>
      <c r="C351" s="59">
        <f>IFERROR(IF(INDEX(Firms!$O$5:$O$1004,MATCH(347,Firms!$R$5:$R$1004,0))="","",INDEX(Firms!$O$5:$O$1004,MATCH(347,Firms!$R$5:$R$1004,0))),"")</f>
        <v/>
      </c>
      <c r="D351" s="58">
        <f>IFERROR(INDEX(Firms!$P$5:$P$1004,MATCH(347,Firms!$R$5:$R$1004,0))&amp;"","")</f>
        <v/>
      </c>
      <c r="E351" s="58">
        <f>IFERROR(INDEX(Firms!$C$5:$C$1004,MATCH(347,Firms!$R$5:$R$1004,0))&amp;"","")</f>
        <v/>
      </c>
      <c r="F351" s="57">
        <f>IFERROR(INDEX(Firms!$L$5:$L$1004,MATCH(347,Firms!$R$5:$R$1004,0))&amp;"","")</f>
        <v/>
      </c>
      <c r="G351" s="57">
        <f>IFERROR(INDEX(Firms!$M$5:$M$1004,MATCH(347,Firms!$R$5:$R$1004,0))&amp;"","")</f>
        <v/>
      </c>
      <c r="H351" s="58">
        <f>IFERROR(INDEX(Firms!$Q$5:$Q$1004,MATCH(347,Firms!$R$5:$R$1004,0))&amp;"","")</f>
        <v/>
      </c>
    </row>
    <row r="352">
      <c r="A352" s="57">
        <f>IF(B352="","",348)</f>
        <v/>
      </c>
      <c r="B352" s="58">
        <f>IFERROR(INDEX(Firms!$A$5:$A$1004,MATCH(348,Firms!$R$5:$R$1004,0))&amp;"","")</f>
        <v/>
      </c>
      <c r="C352" s="59">
        <f>IFERROR(IF(INDEX(Firms!$O$5:$O$1004,MATCH(348,Firms!$R$5:$R$1004,0))="","",INDEX(Firms!$O$5:$O$1004,MATCH(348,Firms!$R$5:$R$1004,0))),"")</f>
        <v/>
      </c>
      <c r="D352" s="58">
        <f>IFERROR(INDEX(Firms!$P$5:$P$1004,MATCH(348,Firms!$R$5:$R$1004,0))&amp;"","")</f>
        <v/>
      </c>
      <c r="E352" s="58">
        <f>IFERROR(INDEX(Firms!$C$5:$C$1004,MATCH(348,Firms!$R$5:$R$1004,0))&amp;"","")</f>
        <v/>
      </c>
      <c r="F352" s="57">
        <f>IFERROR(INDEX(Firms!$L$5:$L$1004,MATCH(348,Firms!$R$5:$R$1004,0))&amp;"","")</f>
        <v/>
      </c>
      <c r="G352" s="57">
        <f>IFERROR(INDEX(Firms!$M$5:$M$1004,MATCH(348,Firms!$R$5:$R$1004,0))&amp;"","")</f>
        <v/>
      </c>
      <c r="H352" s="58">
        <f>IFERROR(INDEX(Firms!$Q$5:$Q$1004,MATCH(348,Firms!$R$5:$R$1004,0))&amp;"","")</f>
        <v/>
      </c>
    </row>
    <row r="353">
      <c r="A353" s="57">
        <f>IF(B353="","",349)</f>
        <v/>
      </c>
      <c r="B353" s="58">
        <f>IFERROR(INDEX(Firms!$A$5:$A$1004,MATCH(349,Firms!$R$5:$R$1004,0))&amp;"","")</f>
        <v/>
      </c>
      <c r="C353" s="59">
        <f>IFERROR(IF(INDEX(Firms!$O$5:$O$1004,MATCH(349,Firms!$R$5:$R$1004,0))="","",INDEX(Firms!$O$5:$O$1004,MATCH(349,Firms!$R$5:$R$1004,0))),"")</f>
        <v/>
      </c>
      <c r="D353" s="58">
        <f>IFERROR(INDEX(Firms!$P$5:$P$1004,MATCH(349,Firms!$R$5:$R$1004,0))&amp;"","")</f>
        <v/>
      </c>
      <c r="E353" s="58">
        <f>IFERROR(INDEX(Firms!$C$5:$C$1004,MATCH(349,Firms!$R$5:$R$1004,0))&amp;"","")</f>
        <v/>
      </c>
      <c r="F353" s="57">
        <f>IFERROR(INDEX(Firms!$L$5:$L$1004,MATCH(349,Firms!$R$5:$R$1004,0))&amp;"","")</f>
        <v/>
      </c>
      <c r="G353" s="57">
        <f>IFERROR(INDEX(Firms!$M$5:$M$1004,MATCH(349,Firms!$R$5:$R$1004,0))&amp;"","")</f>
        <v/>
      </c>
      <c r="H353" s="58">
        <f>IFERROR(INDEX(Firms!$Q$5:$Q$1004,MATCH(349,Firms!$R$5:$R$1004,0))&amp;"","")</f>
        <v/>
      </c>
    </row>
    <row r="354">
      <c r="A354" s="57">
        <f>IF(B354="","",350)</f>
        <v/>
      </c>
      <c r="B354" s="58">
        <f>IFERROR(INDEX(Firms!$A$5:$A$1004,MATCH(350,Firms!$R$5:$R$1004,0))&amp;"","")</f>
        <v/>
      </c>
      <c r="C354" s="59">
        <f>IFERROR(IF(INDEX(Firms!$O$5:$O$1004,MATCH(350,Firms!$R$5:$R$1004,0))="","",INDEX(Firms!$O$5:$O$1004,MATCH(350,Firms!$R$5:$R$1004,0))),"")</f>
        <v/>
      </c>
      <c r="D354" s="58">
        <f>IFERROR(INDEX(Firms!$P$5:$P$1004,MATCH(350,Firms!$R$5:$R$1004,0))&amp;"","")</f>
        <v/>
      </c>
      <c r="E354" s="58">
        <f>IFERROR(INDEX(Firms!$C$5:$C$1004,MATCH(350,Firms!$R$5:$R$1004,0))&amp;"","")</f>
        <v/>
      </c>
      <c r="F354" s="57">
        <f>IFERROR(INDEX(Firms!$L$5:$L$1004,MATCH(350,Firms!$R$5:$R$1004,0))&amp;"","")</f>
        <v/>
      </c>
      <c r="G354" s="57">
        <f>IFERROR(INDEX(Firms!$M$5:$M$1004,MATCH(350,Firms!$R$5:$R$1004,0))&amp;"","")</f>
        <v/>
      </c>
      <c r="H354" s="58">
        <f>IFERROR(INDEX(Firms!$Q$5:$Q$1004,MATCH(350,Firms!$R$5:$R$1004,0))&amp;"","")</f>
        <v/>
      </c>
    </row>
    <row r="355">
      <c r="A355" s="57">
        <f>IF(B355="","",351)</f>
        <v/>
      </c>
      <c r="B355" s="58">
        <f>IFERROR(INDEX(Firms!$A$5:$A$1004,MATCH(351,Firms!$R$5:$R$1004,0))&amp;"","")</f>
        <v/>
      </c>
      <c r="C355" s="59">
        <f>IFERROR(IF(INDEX(Firms!$O$5:$O$1004,MATCH(351,Firms!$R$5:$R$1004,0))="","",INDEX(Firms!$O$5:$O$1004,MATCH(351,Firms!$R$5:$R$1004,0))),"")</f>
        <v/>
      </c>
      <c r="D355" s="58">
        <f>IFERROR(INDEX(Firms!$P$5:$P$1004,MATCH(351,Firms!$R$5:$R$1004,0))&amp;"","")</f>
        <v/>
      </c>
      <c r="E355" s="58">
        <f>IFERROR(INDEX(Firms!$C$5:$C$1004,MATCH(351,Firms!$R$5:$R$1004,0))&amp;"","")</f>
        <v/>
      </c>
      <c r="F355" s="57">
        <f>IFERROR(INDEX(Firms!$L$5:$L$1004,MATCH(351,Firms!$R$5:$R$1004,0))&amp;"","")</f>
        <v/>
      </c>
      <c r="G355" s="57">
        <f>IFERROR(INDEX(Firms!$M$5:$M$1004,MATCH(351,Firms!$R$5:$R$1004,0))&amp;"","")</f>
        <v/>
      </c>
      <c r="H355" s="58">
        <f>IFERROR(INDEX(Firms!$Q$5:$Q$1004,MATCH(351,Firms!$R$5:$R$1004,0))&amp;"","")</f>
        <v/>
      </c>
    </row>
    <row r="356">
      <c r="A356" s="57">
        <f>IF(B356="","",352)</f>
        <v/>
      </c>
      <c r="B356" s="58">
        <f>IFERROR(INDEX(Firms!$A$5:$A$1004,MATCH(352,Firms!$R$5:$R$1004,0))&amp;"","")</f>
        <v/>
      </c>
      <c r="C356" s="59">
        <f>IFERROR(IF(INDEX(Firms!$O$5:$O$1004,MATCH(352,Firms!$R$5:$R$1004,0))="","",INDEX(Firms!$O$5:$O$1004,MATCH(352,Firms!$R$5:$R$1004,0))),"")</f>
        <v/>
      </c>
      <c r="D356" s="58">
        <f>IFERROR(INDEX(Firms!$P$5:$P$1004,MATCH(352,Firms!$R$5:$R$1004,0))&amp;"","")</f>
        <v/>
      </c>
      <c r="E356" s="58">
        <f>IFERROR(INDEX(Firms!$C$5:$C$1004,MATCH(352,Firms!$R$5:$R$1004,0))&amp;"","")</f>
        <v/>
      </c>
      <c r="F356" s="57">
        <f>IFERROR(INDEX(Firms!$L$5:$L$1004,MATCH(352,Firms!$R$5:$R$1004,0))&amp;"","")</f>
        <v/>
      </c>
      <c r="G356" s="57">
        <f>IFERROR(INDEX(Firms!$M$5:$M$1004,MATCH(352,Firms!$R$5:$R$1004,0))&amp;"","")</f>
        <v/>
      </c>
      <c r="H356" s="58">
        <f>IFERROR(INDEX(Firms!$Q$5:$Q$1004,MATCH(352,Firms!$R$5:$R$1004,0))&amp;"","")</f>
        <v/>
      </c>
    </row>
    <row r="357">
      <c r="A357" s="57">
        <f>IF(B357="","",353)</f>
        <v/>
      </c>
      <c r="B357" s="58">
        <f>IFERROR(INDEX(Firms!$A$5:$A$1004,MATCH(353,Firms!$R$5:$R$1004,0))&amp;"","")</f>
        <v/>
      </c>
      <c r="C357" s="59">
        <f>IFERROR(IF(INDEX(Firms!$O$5:$O$1004,MATCH(353,Firms!$R$5:$R$1004,0))="","",INDEX(Firms!$O$5:$O$1004,MATCH(353,Firms!$R$5:$R$1004,0))),"")</f>
        <v/>
      </c>
      <c r="D357" s="58">
        <f>IFERROR(INDEX(Firms!$P$5:$P$1004,MATCH(353,Firms!$R$5:$R$1004,0))&amp;"","")</f>
        <v/>
      </c>
      <c r="E357" s="58">
        <f>IFERROR(INDEX(Firms!$C$5:$C$1004,MATCH(353,Firms!$R$5:$R$1004,0))&amp;"","")</f>
        <v/>
      </c>
      <c r="F357" s="57">
        <f>IFERROR(INDEX(Firms!$L$5:$L$1004,MATCH(353,Firms!$R$5:$R$1004,0))&amp;"","")</f>
        <v/>
      </c>
      <c r="G357" s="57">
        <f>IFERROR(INDEX(Firms!$M$5:$M$1004,MATCH(353,Firms!$R$5:$R$1004,0))&amp;"","")</f>
        <v/>
      </c>
      <c r="H357" s="58">
        <f>IFERROR(INDEX(Firms!$Q$5:$Q$1004,MATCH(353,Firms!$R$5:$R$1004,0))&amp;"","")</f>
        <v/>
      </c>
    </row>
    <row r="358">
      <c r="A358" s="57">
        <f>IF(B358="","",354)</f>
        <v/>
      </c>
      <c r="B358" s="58">
        <f>IFERROR(INDEX(Firms!$A$5:$A$1004,MATCH(354,Firms!$R$5:$R$1004,0))&amp;"","")</f>
        <v/>
      </c>
      <c r="C358" s="59">
        <f>IFERROR(IF(INDEX(Firms!$O$5:$O$1004,MATCH(354,Firms!$R$5:$R$1004,0))="","",INDEX(Firms!$O$5:$O$1004,MATCH(354,Firms!$R$5:$R$1004,0))),"")</f>
        <v/>
      </c>
      <c r="D358" s="58">
        <f>IFERROR(INDEX(Firms!$P$5:$P$1004,MATCH(354,Firms!$R$5:$R$1004,0))&amp;"","")</f>
        <v/>
      </c>
      <c r="E358" s="58">
        <f>IFERROR(INDEX(Firms!$C$5:$C$1004,MATCH(354,Firms!$R$5:$R$1004,0))&amp;"","")</f>
        <v/>
      </c>
      <c r="F358" s="57">
        <f>IFERROR(INDEX(Firms!$L$5:$L$1004,MATCH(354,Firms!$R$5:$R$1004,0))&amp;"","")</f>
        <v/>
      </c>
      <c r="G358" s="57">
        <f>IFERROR(INDEX(Firms!$M$5:$M$1004,MATCH(354,Firms!$R$5:$R$1004,0))&amp;"","")</f>
        <v/>
      </c>
      <c r="H358" s="58">
        <f>IFERROR(INDEX(Firms!$Q$5:$Q$1004,MATCH(354,Firms!$R$5:$R$1004,0))&amp;"","")</f>
        <v/>
      </c>
    </row>
    <row r="359">
      <c r="A359" s="57">
        <f>IF(B359="","",355)</f>
        <v/>
      </c>
      <c r="B359" s="58">
        <f>IFERROR(INDEX(Firms!$A$5:$A$1004,MATCH(355,Firms!$R$5:$R$1004,0))&amp;"","")</f>
        <v/>
      </c>
      <c r="C359" s="59">
        <f>IFERROR(IF(INDEX(Firms!$O$5:$O$1004,MATCH(355,Firms!$R$5:$R$1004,0))="","",INDEX(Firms!$O$5:$O$1004,MATCH(355,Firms!$R$5:$R$1004,0))),"")</f>
        <v/>
      </c>
      <c r="D359" s="58">
        <f>IFERROR(INDEX(Firms!$P$5:$P$1004,MATCH(355,Firms!$R$5:$R$1004,0))&amp;"","")</f>
        <v/>
      </c>
      <c r="E359" s="58">
        <f>IFERROR(INDEX(Firms!$C$5:$C$1004,MATCH(355,Firms!$R$5:$R$1004,0))&amp;"","")</f>
        <v/>
      </c>
      <c r="F359" s="57">
        <f>IFERROR(INDEX(Firms!$L$5:$L$1004,MATCH(355,Firms!$R$5:$R$1004,0))&amp;"","")</f>
        <v/>
      </c>
      <c r="G359" s="57">
        <f>IFERROR(INDEX(Firms!$M$5:$M$1004,MATCH(355,Firms!$R$5:$R$1004,0))&amp;"","")</f>
        <v/>
      </c>
      <c r="H359" s="58">
        <f>IFERROR(INDEX(Firms!$Q$5:$Q$1004,MATCH(355,Firms!$R$5:$R$1004,0))&amp;"","")</f>
        <v/>
      </c>
    </row>
    <row r="360">
      <c r="A360" s="57">
        <f>IF(B360="","",356)</f>
        <v/>
      </c>
      <c r="B360" s="58">
        <f>IFERROR(INDEX(Firms!$A$5:$A$1004,MATCH(356,Firms!$R$5:$R$1004,0))&amp;"","")</f>
        <v/>
      </c>
      <c r="C360" s="59">
        <f>IFERROR(IF(INDEX(Firms!$O$5:$O$1004,MATCH(356,Firms!$R$5:$R$1004,0))="","",INDEX(Firms!$O$5:$O$1004,MATCH(356,Firms!$R$5:$R$1004,0))),"")</f>
        <v/>
      </c>
      <c r="D360" s="58">
        <f>IFERROR(INDEX(Firms!$P$5:$P$1004,MATCH(356,Firms!$R$5:$R$1004,0))&amp;"","")</f>
        <v/>
      </c>
      <c r="E360" s="58">
        <f>IFERROR(INDEX(Firms!$C$5:$C$1004,MATCH(356,Firms!$R$5:$R$1004,0))&amp;"","")</f>
        <v/>
      </c>
      <c r="F360" s="57">
        <f>IFERROR(INDEX(Firms!$L$5:$L$1004,MATCH(356,Firms!$R$5:$R$1004,0))&amp;"","")</f>
        <v/>
      </c>
      <c r="G360" s="57">
        <f>IFERROR(INDEX(Firms!$M$5:$M$1004,MATCH(356,Firms!$R$5:$R$1004,0))&amp;"","")</f>
        <v/>
      </c>
      <c r="H360" s="58">
        <f>IFERROR(INDEX(Firms!$Q$5:$Q$1004,MATCH(356,Firms!$R$5:$R$1004,0))&amp;"","")</f>
        <v/>
      </c>
    </row>
    <row r="361">
      <c r="A361" s="57">
        <f>IF(B361="","",357)</f>
        <v/>
      </c>
      <c r="B361" s="58">
        <f>IFERROR(INDEX(Firms!$A$5:$A$1004,MATCH(357,Firms!$R$5:$R$1004,0))&amp;"","")</f>
        <v/>
      </c>
      <c r="C361" s="59">
        <f>IFERROR(IF(INDEX(Firms!$O$5:$O$1004,MATCH(357,Firms!$R$5:$R$1004,0))="","",INDEX(Firms!$O$5:$O$1004,MATCH(357,Firms!$R$5:$R$1004,0))),"")</f>
        <v/>
      </c>
      <c r="D361" s="58">
        <f>IFERROR(INDEX(Firms!$P$5:$P$1004,MATCH(357,Firms!$R$5:$R$1004,0))&amp;"","")</f>
        <v/>
      </c>
      <c r="E361" s="58">
        <f>IFERROR(INDEX(Firms!$C$5:$C$1004,MATCH(357,Firms!$R$5:$R$1004,0))&amp;"","")</f>
        <v/>
      </c>
      <c r="F361" s="57">
        <f>IFERROR(INDEX(Firms!$L$5:$L$1004,MATCH(357,Firms!$R$5:$R$1004,0))&amp;"","")</f>
        <v/>
      </c>
      <c r="G361" s="57">
        <f>IFERROR(INDEX(Firms!$M$5:$M$1004,MATCH(357,Firms!$R$5:$R$1004,0))&amp;"","")</f>
        <v/>
      </c>
      <c r="H361" s="58">
        <f>IFERROR(INDEX(Firms!$Q$5:$Q$1004,MATCH(357,Firms!$R$5:$R$1004,0))&amp;"","")</f>
        <v/>
      </c>
    </row>
    <row r="362">
      <c r="A362" s="57">
        <f>IF(B362="","",358)</f>
        <v/>
      </c>
      <c r="B362" s="58">
        <f>IFERROR(INDEX(Firms!$A$5:$A$1004,MATCH(358,Firms!$R$5:$R$1004,0))&amp;"","")</f>
        <v/>
      </c>
      <c r="C362" s="59">
        <f>IFERROR(IF(INDEX(Firms!$O$5:$O$1004,MATCH(358,Firms!$R$5:$R$1004,0))="","",INDEX(Firms!$O$5:$O$1004,MATCH(358,Firms!$R$5:$R$1004,0))),"")</f>
        <v/>
      </c>
      <c r="D362" s="58">
        <f>IFERROR(INDEX(Firms!$P$5:$P$1004,MATCH(358,Firms!$R$5:$R$1004,0))&amp;"","")</f>
        <v/>
      </c>
      <c r="E362" s="58">
        <f>IFERROR(INDEX(Firms!$C$5:$C$1004,MATCH(358,Firms!$R$5:$R$1004,0))&amp;"","")</f>
        <v/>
      </c>
      <c r="F362" s="57">
        <f>IFERROR(INDEX(Firms!$L$5:$L$1004,MATCH(358,Firms!$R$5:$R$1004,0))&amp;"","")</f>
        <v/>
      </c>
      <c r="G362" s="57">
        <f>IFERROR(INDEX(Firms!$M$5:$M$1004,MATCH(358,Firms!$R$5:$R$1004,0))&amp;"","")</f>
        <v/>
      </c>
      <c r="H362" s="58">
        <f>IFERROR(INDEX(Firms!$Q$5:$Q$1004,MATCH(358,Firms!$R$5:$R$1004,0))&amp;"","")</f>
        <v/>
      </c>
    </row>
    <row r="363">
      <c r="A363" s="57">
        <f>IF(B363="","",359)</f>
        <v/>
      </c>
      <c r="B363" s="58">
        <f>IFERROR(INDEX(Firms!$A$5:$A$1004,MATCH(359,Firms!$R$5:$R$1004,0))&amp;"","")</f>
        <v/>
      </c>
      <c r="C363" s="59">
        <f>IFERROR(IF(INDEX(Firms!$O$5:$O$1004,MATCH(359,Firms!$R$5:$R$1004,0))="","",INDEX(Firms!$O$5:$O$1004,MATCH(359,Firms!$R$5:$R$1004,0))),"")</f>
        <v/>
      </c>
      <c r="D363" s="58">
        <f>IFERROR(INDEX(Firms!$P$5:$P$1004,MATCH(359,Firms!$R$5:$R$1004,0))&amp;"","")</f>
        <v/>
      </c>
      <c r="E363" s="58">
        <f>IFERROR(INDEX(Firms!$C$5:$C$1004,MATCH(359,Firms!$R$5:$R$1004,0))&amp;"","")</f>
        <v/>
      </c>
      <c r="F363" s="57">
        <f>IFERROR(INDEX(Firms!$L$5:$L$1004,MATCH(359,Firms!$R$5:$R$1004,0))&amp;"","")</f>
        <v/>
      </c>
      <c r="G363" s="57">
        <f>IFERROR(INDEX(Firms!$M$5:$M$1004,MATCH(359,Firms!$R$5:$R$1004,0))&amp;"","")</f>
        <v/>
      </c>
      <c r="H363" s="58">
        <f>IFERROR(INDEX(Firms!$Q$5:$Q$1004,MATCH(359,Firms!$R$5:$R$1004,0))&amp;"","")</f>
        <v/>
      </c>
    </row>
    <row r="364">
      <c r="A364" s="57">
        <f>IF(B364="","",360)</f>
        <v/>
      </c>
      <c r="B364" s="58">
        <f>IFERROR(INDEX(Firms!$A$5:$A$1004,MATCH(360,Firms!$R$5:$R$1004,0))&amp;"","")</f>
        <v/>
      </c>
      <c r="C364" s="59">
        <f>IFERROR(IF(INDEX(Firms!$O$5:$O$1004,MATCH(360,Firms!$R$5:$R$1004,0))="","",INDEX(Firms!$O$5:$O$1004,MATCH(360,Firms!$R$5:$R$1004,0))),"")</f>
        <v/>
      </c>
      <c r="D364" s="58">
        <f>IFERROR(INDEX(Firms!$P$5:$P$1004,MATCH(360,Firms!$R$5:$R$1004,0))&amp;"","")</f>
        <v/>
      </c>
      <c r="E364" s="58">
        <f>IFERROR(INDEX(Firms!$C$5:$C$1004,MATCH(360,Firms!$R$5:$R$1004,0))&amp;"","")</f>
        <v/>
      </c>
      <c r="F364" s="57">
        <f>IFERROR(INDEX(Firms!$L$5:$L$1004,MATCH(360,Firms!$R$5:$R$1004,0))&amp;"","")</f>
        <v/>
      </c>
      <c r="G364" s="57">
        <f>IFERROR(INDEX(Firms!$M$5:$M$1004,MATCH(360,Firms!$R$5:$R$1004,0))&amp;"","")</f>
        <v/>
      </c>
      <c r="H364" s="58">
        <f>IFERROR(INDEX(Firms!$Q$5:$Q$1004,MATCH(360,Firms!$R$5:$R$1004,0))&amp;"","")</f>
        <v/>
      </c>
    </row>
    <row r="365">
      <c r="A365" s="57">
        <f>IF(B365="","",361)</f>
        <v/>
      </c>
      <c r="B365" s="58">
        <f>IFERROR(INDEX(Firms!$A$5:$A$1004,MATCH(361,Firms!$R$5:$R$1004,0))&amp;"","")</f>
        <v/>
      </c>
      <c r="C365" s="59">
        <f>IFERROR(IF(INDEX(Firms!$O$5:$O$1004,MATCH(361,Firms!$R$5:$R$1004,0))="","",INDEX(Firms!$O$5:$O$1004,MATCH(361,Firms!$R$5:$R$1004,0))),"")</f>
        <v/>
      </c>
      <c r="D365" s="58">
        <f>IFERROR(INDEX(Firms!$P$5:$P$1004,MATCH(361,Firms!$R$5:$R$1004,0))&amp;"","")</f>
        <v/>
      </c>
      <c r="E365" s="58">
        <f>IFERROR(INDEX(Firms!$C$5:$C$1004,MATCH(361,Firms!$R$5:$R$1004,0))&amp;"","")</f>
        <v/>
      </c>
      <c r="F365" s="57">
        <f>IFERROR(INDEX(Firms!$L$5:$L$1004,MATCH(361,Firms!$R$5:$R$1004,0))&amp;"","")</f>
        <v/>
      </c>
      <c r="G365" s="57">
        <f>IFERROR(INDEX(Firms!$M$5:$M$1004,MATCH(361,Firms!$R$5:$R$1004,0))&amp;"","")</f>
        <v/>
      </c>
      <c r="H365" s="58">
        <f>IFERROR(INDEX(Firms!$Q$5:$Q$1004,MATCH(361,Firms!$R$5:$R$1004,0))&amp;"","")</f>
        <v/>
      </c>
    </row>
    <row r="366">
      <c r="A366" s="57">
        <f>IF(B366="","",362)</f>
        <v/>
      </c>
      <c r="B366" s="58">
        <f>IFERROR(INDEX(Firms!$A$5:$A$1004,MATCH(362,Firms!$R$5:$R$1004,0))&amp;"","")</f>
        <v/>
      </c>
      <c r="C366" s="59">
        <f>IFERROR(IF(INDEX(Firms!$O$5:$O$1004,MATCH(362,Firms!$R$5:$R$1004,0))="","",INDEX(Firms!$O$5:$O$1004,MATCH(362,Firms!$R$5:$R$1004,0))),"")</f>
        <v/>
      </c>
      <c r="D366" s="58">
        <f>IFERROR(INDEX(Firms!$P$5:$P$1004,MATCH(362,Firms!$R$5:$R$1004,0))&amp;"","")</f>
        <v/>
      </c>
      <c r="E366" s="58">
        <f>IFERROR(INDEX(Firms!$C$5:$C$1004,MATCH(362,Firms!$R$5:$R$1004,0))&amp;"","")</f>
        <v/>
      </c>
      <c r="F366" s="57">
        <f>IFERROR(INDEX(Firms!$L$5:$L$1004,MATCH(362,Firms!$R$5:$R$1004,0))&amp;"","")</f>
        <v/>
      </c>
      <c r="G366" s="57">
        <f>IFERROR(INDEX(Firms!$M$5:$M$1004,MATCH(362,Firms!$R$5:$R$1004,0))&amp;"","")</f>
        <v/>
      </c>
      <c r="H366" s="58">
        <f>IFERROR(INDEX(Firms!$Q$5:$Q$1004,MATCH(362,Firms!$R$5:$R$1004,0))&amp;"","")</f>
        <v/>
      </c>
    </row>
    <row r="367">
      <c r="A367" s="57">
        <f>IF(B367="","",363)</f>
        <v/>
      </c>
      <c r="B367" s="58">
        <f>IFERROR(INDEX(Firms!$A$5:$A$1004,MATCH(363,Firms!$R$5:$R$1004,0))&amp;"","")</f>
        <v/>
      </c>
      <c r="C367" s="59">
        <f>IFERROR(IF(INDEX(Firms!$O$5:$O$1004,MATCH(363,Firms!$R$5:$R$1004,0))="","",INDEX(Firms!$O$5:$O$1004,MATCH(363,Firms!$R$5:$R$1004,0))),"")</f>
        <v/>
      </c>
      <c r="D367" s="58">
        <f>IFERROR(INDEX(Firms!$P$5:$P$1004,MATCH(363,Firms!$R$5:$R$1004,0))&amp;"","")</f>
        <v/>
      </c>
      <c r="E367" s="58">
        <f>IFERROR(INDEX(Firms!$C$5:$C$1004,MATCH(363,Firms!$R$5:$R$1004,0))&amp;"","")</f>
        <v/>
      </c>
      <c r="F367" s="57">
        <f>IFERROR(INDEX(Firms!$L$5:$L$1004,MATCH(363,Firms!$R$5:$R$1004,0))&amp;"","")</f>
        <v/>
      </c>
      <c r="G367" s="57">
        <f>IFERROR(INDEX(Firms!$M$5:$M$1004,MATCH(363,Firms!$R$5:$R$1004,0))&amp;"","")</f>
        <v/>
      </c>
      <c r="H367" s="58">
        <f>IFERROR(INDEX(Firms!$Q$5:$Q$1004,MATCH(363,Firms!$R$5:$R$1004,0))&amp;"","")</f>
        <v/>
      </c>
    </row>
    <row r="368">
      <c r="A368" s="57">
        <f>IF(B368="","",364)</f>
        <v/>
      </c>
      <c r="B368" s="58">
        <f>IFERROR(INDEX(Firms!$A$5:$A$1004,MATCH(364,Firms!$R$5:$R$1004,0))&amp;"","")</f>
        <v/>
      </c>
      <c r="C368" s="59">
        <f>IFERROR(IF(INDEX(Firms!$O$5:$O$1004,MATCH(364,Firms!$R$5:$R$1004,0))="","",INDEX(Firms!$O$5:$O$1004,MATCH(364,Firms!$R$5:$R$1004,0))),"")</f>
        <v/>
      </c>
      <c r="D368" s="58">
        <f>IFERROR(INDEX(Firms!$P$5:$P$1004,MATCH(364,Firms!$R$5:$R$1004,0))&amp;"","")</f>
        <v/>
      </c>
      <c r="E368" s="58">
        <f>IFERROR(INDEX(Firms!$C$5:$C$1004,MATCH(364,Firms!$R$5:$R$1004,0))&amp;"","")</f>
        <v/>
      </c>
      <c r="F368" s="57">
        <f>IFERROR(INDEX(Firms!$L$5:$L$1004,MATCH(364,Firms!$R$5:$R$1004,0))&amp;"","")</f>
        <v/>
      </c>
      <c r="G368" s="57">
        <f>IFERROR(INDEX(Firms!$M$5:$M$1004,MATCH(364,Firms!$R$5:$R$1004,0))&amp;"","")</f>
        <v/>
      </c>
      <c r="H368" s="58">
        <f>IFERROR(INDEX(Firms!$Q$5:$Q$1004,MATCH(364,Firms!$R$5:$R$1004,0))&amp;"","")</f>
        <v/>
      </c>
    </row>
    <row r="369">
      <c r="A369" s="57">
        <f>IF(B369="","",365)</f>
        <v/>
      </c>
      <c r="B369" s="58">
        <f>IFERROR(INDEX(Firms!$A$5:$A$1004,MATCH(365,Firms!$R$5:$R$1004,0))&amp;"","")</f>
        <v/>
      </c>
      <c r="C369" s="59">
        <f>IFERROR(IF(INDEX(Firms!$O$5:$O$1004,MATCH(365,Firms!$R$5:$R$1004,0))="","",INDEX(Firms!$O$5:$O$1004,MATCH(365,Firms!$R$5:$R$1004,0))),"")</f>
        <v/>
      </c>
      <c r="D369" s="58">
        <f>IFERROR(INDEX(Firms!$P$5:$P$1004,MATCH(365,Firms!$R$5:$R$1004,0))&amp;"","")</f>
        <v/>
      </c>
      <c r="E369" s="58">
        <f>IFERROR(INDEX(Firms!$C$5:$C$1004,MATCH(365,Firms!$R$5:$R$1004,0))&amp;"","")</f>
        <v/>
      </c>
      <c r="F369" s="57">
        <f>IFERROR(INDEX(Firms!$L$5:$L$1004,MATCH(365,Firms!$R$5:$R$1004,0))&amp;"","")</f>
        <v/>
      </c>
      <c r="G369" s="57">
        <f>IFERROR(INDEX(Firms!$M$5:$M$1004,MATCH(365,Firms!$R$5:$R$1004,0))&amp;"","")</f>
        <v/>
      </c>
      <c r="H369" s="58">
        <f>IFERROR(INDEX(Firms!$Q$5:$Q$1004,MATCH(365,Firms!$R$5:$R$1004,0))&amp;"","")</f>
        <v/>
      </c>
    </row>
    <row r="370">
      <c r="A370" s="57">
        <f>IF(B370="","",366)</f>
        <v/>
      </c>
      <c r="B370" s="58">
        <f>IFERROR(INDEX(Firms!$A$5:$A$1004,MATCH(366,Firms!$R$5:$R$1004,0))&amp;"","")</f>
        <v/>
      </c>
      <c r="C370" s="59">
        <f>IFERROR(IF(INDEX(Firms!$O$5:$O$1004,MATCH(366,Firms!$R$5:$R$1004,0))="","",INDEX(Firms!$O$5:$O$1004,MATCH(366,Firms!$R$5:$R$1004,0))),"")</f>
        <v/>
      </c>
      <c r="D370" s="58">
        <f>IFERROR(INDEX(Firms!$P$5:$P$1004,MATCH(366,Firms!$R$5:$R$1004,0))&amp;"","")</f>
        <v/>
      </c>
      <c r="E370" s="58">
        <f>IFERROR(INDEX(Firms!$C$5:$C$1004,MATCH(366,Firms!$R$5:$R$1004,0))&amp;"","")</f>
        <v/>
      </c>
      <c r="F370" s="57">
        <f>IFERROR(INDEX(Firms!$L$5:$L$1004,MATCH(366,Firms!$R$5:$R$1004,0))&amp;"","")</f>
        <v/>
      </c>
      <c r="G370" s="57">
        <f>IFERROR(INDEX(Firms!$M$5:$M$1004,MATCH(366,Firms!$R$5:$R$1004,0))&amp;"","")</f>
        <v/>
      </c>
      <c r="H370" s="58">
        <f>IFERROR(INDEX(Firms!$Q$5:$Q$1004,MATCH(366,Firms!$R$5:$R$1004,0))&amp;"","")</f>
        <v/>
      </c>
    </row>
    <row r="371">
      <c r="A371" s="57">
        <f>IF(B371="","",367)</f>
        <v/>
      </c>
      <c r="B371" s="58">
        <f>IFERROR(INDEX(Firms!$A$5:$A$1004,MATCH(367,Firms!$R$5:$R$1004,0))&amp;"","")</f>
        <v/>
      </c>
      <c r="C371" s="59">
        <f>IFERROR(IF(INDEX(Firms!$O$5:$O$1004,MATCH(367,Firms!$R$5:$R$1004,0))="","",INDEX(Firms!$O$5:$O$1004,MATCH(367,Firms!$R$5:$R$1004,0))),"")</f>
        <v/>
      </c>
      <c r="D371" s="58">
        <f>IFERROR(INDEX(Firms!$P$5:$P$1004,MATCH(367,Firms!$R$5:$R$1004,0))&amp;"","")</f>
        <v/>
      </c>
      <c r="E371" s="58">
        <f>IFERROR(INDEX(Firms!$C$5:$C$1004,MATCH(367,Firms!$R$5:$R$1004,0))&amp;"","")</f>
        <v/>
      </c>
      <c r="F371" s="57">
        <f>IFERROR(INDEX(Firms!$L$5:$L$1004,MATCH(367,Firms!$R$5:$R$1004,0))&amp;"","")</f>
        <v/>
      </c>
      <c r="G371" s="57">
        <f>IFERROR(INDEX(Firms!$M$5:$M$1004,MATCH(367,Firms!$R$5:$R$1004,0))&amp;"","")</f>
        <v/>
      </c>
      <c r="H371" s="58">
        <f>IFERROR(INDEX(Firms!$Q$5:$Q$1004,MATCH(367,Firms!$R$5:$R$1004,0))&amp;"","")</f>
        <v/>
      </c>
    </row>
    <row r="372">
      <c r="A372" s="57">
        <f>IF(B372="","",368)</f>
        <v/>
      </c>
      <c r="B372" s="58">
        <f>IFERROR(INDEX(Firms!$A$5:$A$1004,MATCH(368,Firms!$R$5:$R$1004,0))&amp;"","")</f>
        <v/>
      </c>
      <c r="C372" s="59">
        <f>IFERROR(IF(INDEX(Firms!$O$5:$O$1004,MATCH(368,Firms!$R$5:$R$1004,0))="","",INDEX(Firms!$O$5:$O$1004,MATCH(368,Firms!$R$5:$R$1004,0))),"")</f>
        <v/>
      </c>
      <c r="D372" s="58">
        <f>IFERROR(INDEX(Firms!$P$5:$P$1004,MATCH(368,Firms!$R$5:$R$1004,0))&amp;"","")</f>
        <v/>
      </c>
      <c r="E372" s="58">
        <f>IFERROR(INDEX(Firms!$C$5:$C$1004,MATCH(368,Firms!$R$5:$R$1004,0))&amp;"","")</f>
        <v/>
      </c>
      <c r="F372" s="57">
        <f>IFERROR(INDEX(Firms!$L$5:$L$1004,MATCH(368,Firms!$R$5:$R$1004,0))&amp;"","")</f>
        <v/>
      </c>
      <c r="G372" s="57">
        <f>IFERROR(INDEX(Firms!$M$5:$M$1004,MATCH(368,Firms!$R$5:$R$1004,0))&amp;"","")</f>
        <v/>
      </c>
      <c r="H372" s="58">
        <f>IFERROR(INDEX(Firms!$Q$5:$Q$1004,MATCH(368,Firms!$R$5:$R$1004,0))&amp;"","")</f>
        <v/>
      </c>
    </row>
    <row r="373">
      <c r="A373" s="57">
        <f>IF(B373="","",369)</f>
        <v/>
      </c>
      <c r="B373" s="58">
        <f>IFERROR(INDEX(Firms!$A$5:$A$1004,MATCH(369,Firms!$R$5:$R$1004,0))&amp;"","")</f>
        <v/>
      </c>
      <c r="C373" s="59">
        <f>IFERROR(IF(INDEX(Firms!$O$5:$O$1004,MATCH(369,Firms!$R$5:$R$1004,0))="","",INDEX(Firms!$O$5:$O$1004,MATCH(369,Firms!$R$5:$R$1004,0))),"")</f>
        <v/>
      </c>
      <c r="D373" s="58">
        <f>IFERROR(INDEX(Firms!$P$5:$P$1004,MATCH(369,Firms!$R$5:$R$1004,0))&amp;"","")</f>
        <v/>
      </c>
      <c r="E373" s="58">
        <f>IFERROR(INDEX(Firms!$C$5:$C$1004,MATCH(369,Firms!$R$5:$R$1004,0))&amp;"","")</f>
        <v/>
      </c>
      <c r="F373" s="57">
        <f>IFERROR(INDEX(Firms!$L$5:$L$1004,MATCH(369,Firms!$R$5:$R$1004,0))&amp;"","")</f>
        <v/>
      </c>
      <c r="G373" s="57">
        <f>IFERROR(INDEX(Firms!$M$5:$M$1004,MATCH(369,Firms!$R$5:$R$1004,0))&amp;"","")</f>
        <v/>
      </c>
      <c r="H373" s="58">
        <f>IFERROR(INDEX(Firms!$Q$5:$Q$1004,MATCH(369,Firms!$R$5:$R$1004,0))&amp;"","")</f>
        <v/>
      </c>
    </row>
    <row r="374">
      <c r="A374" s="57">
        <f>IF(B374="","",370)</f>
        <v/>
      </c>
      <c r="B374" s="58">
        <f>IFERROR(INDEX(Firms!$A$5:$A$1004,MATCH(370,Firms!$R$5:$R$1004,0))&amp;"","")</f>
        <v/>
      </c>
      <c r="C374" s="59">
        <f>IFERROR(IF(INDEX(Firms!$O$5:$O$1004,MATCH(370,Firms!$R$5:$R$1004,0))="","",INDEX(Firms!$O$5:$O$1004,MATCH(370,Firms!$R$5:$R$1004,0))),"")</f>
        <v/>
      </c>
      <c r="D374" s="58">
        <f>IFERROR(INDEX(Firms!$P$5:$P$1004,MATCH(370,Firms!$R$5:$R$1004,0))&amp;"","")</f>
        <v/>
      </c>
      <c r="E374" s="58">
        <f>IFERROR(INDEX(Firms!$C$5:$C$1004,MATCH(370,Firms!$R$5:$R$1004,0))&amp;"","")</f>
        <v/>
      </c>
      <c r="F374" s="57">
        <f>IFERROR(INDEX(Firms!$L$5:$L$1004,MATCH(370,Firms!$R$5:$R$1004,0))&amp;"","")</f>
        <v/>
      </c>
      <c r="G374" s="57">
        <f>IFERROR(INDEX(Firms!$M$5:$M$1004,MATCH(370,Firms!$R$5:$R$1004,0))&amp;"","")</f>
        <v/>
      </c>
      <c r="H374" s="58">
        <f>IFERROR(INDEX(Firms!$Q$5:$Q$1004,MATCH(370,Firms!$R$5:$R$1004,0))&amp;"","")</f>
        <v/>
      </c>
    </row>
    <row r="375">
      <c r="A375" s="57">
        <f>IF(B375="","",371)</f>
        <v/>
      </c>
      <c r="B375" s="58">
        <f>IFERROR(INDEX(Firms!$A$5:$A$1004,MATCH(371,Firms!$R$5:$R$1004,0))&amp;"","")</f>
        <v/>
      </c>
      <c r="C375" s="59">
        <f>IFERROR(IF(INDEX(Firms!$O$5:$O$1004,MATCH(371,Firms!$R$5:$R$1004,0))="","",INDEX(Firms!$O$5:$O$1004,MATCH(371,Firms!$R$5:$R$1004,0))),"")</f>
        <v/>
      </c>
      <c r="D375" s="58">
        <f>IFERROR(INDEX(Firms!$P$5:$P$1004,MATCH(371,Firms!$R$5:$R$1004,0))&amp;"","")</f>
        <v/>
      </c>
      <c r="E375" s="58">
        <f>IFERROR(INDEX(Firms!$C$5:$C$1004,MATCH(371,Firms!$R$5:$R$1004,0))&amp;"","")</f>
        <v/>
      </c>
      <c r="F375" s="57">
        <f>IFERROR(INDEX(Firms!$L$5:$L$1004,MATCH(371,Firms!$R$5:$R$1004,0))&amp;"","")</f>
        <v/>
      </c>
      <c r="G375" s="57">
        <f>IFERROR(INDEX(Firms!$M$5:$M$1004,MATCH(371,Firms!$R$5:$R$1004,0))&amp;"","")</f>
        <v/>
      </c>
      <c r="H375" s="58">
        <f>IFERROR(INDEX(Firms!$Q$5:$Q$1004,MATCH(371,Firms!$R$5:$R$1004,0))&amp;"","")</f>
        <v/>
      </c>
    </row>
    <row r="376">
      <c r="A376" s="57">
        <f>IF(B376="","",372)</f>
        <v/>
      </c>
      <c r="B376" s="58">
        <f>IFERROR(INDEX(Firms!$A$5:$A$1004,MATCH(372,Firms!$R$5:$R$1004,0))&amp;"","")</f>
        <v/>
      </c>
      <c r="C376" s="59">
        <f>IFERROR(IF(INDEX(Firms!$O$5:$O$1004,MATCH(372,Firms!$R$5:$R$1004,0))="","",INDEX(Firms!$O$5:$O$1004,MATCH(372,Firms!$R$5:$R$1004,0))),"")</f>
        <v/>
      </c>
      <c r="D376" s="58">
        <f>IFERROR(INDEX(Firms!$P$5:$P$1004,MATCH(372,Firms!$R$5:$R$1004,0))&amp;"","")</f>
        <v/>
      </c>
      <c r="E376" s="58">
        <f>IFERROR(INDEX(Firms!$C$5:$C$1004,MATCH(372,Firms!$R$5:$R$1004,0))&amp;"","")</f>
        <v/>
      </c>
      <c r="F376" s="57">
        <f>IFERROR(INDEX(Firms!$L$5:$L$1004,MATCH(372,Firms!$R$5:$R$1004,0))&amp;"","")</f>
        <v/>
      </c>
      <c r="G376" s="57">
        <f>IFERROR(INDEX(Firms!$M$5:$M$1004,MATCH(372,Firms!$R$5:$R$1004,0))&amp;"","")</f>
        <v/>
      </c>
      <c r="H376" s="58">
        <f>IFERROR(INDEX(Firms!$Q$5:$Q$1004,MATCH(372,Firms!$R$5:$R$1004,0))&amp;"","")</f>
        <v/>
      </c>
    </row>
    <row r="377">
      <c r="A377" s="57">
        <f>IF(B377="","",373)</f>
        <v/>
      </c>
      <c r="B377" s="58">
        <f>IFERROR(INDEX(Firms!$A$5:$A$1004,MATCH(373,Firms!$R$5:$R$1004,0))&amp;"","")</f>
        <v/>
      </c>
      <c r="C377" s="59">
        <f>IFERROR(IF(INDEX(Firms!$O$5:$O$1004,MATCH(373,Firms!$R$5:$R$1004,0))="","",INDEX(Firms!$O$5:$O$1004,MATCH(373,Firms!$R$5:$R$1004,0))),"")</f>
        <v/>
      </c>
      <c r="D377" s="58">
        <f>IFERROR(INDEX(Firms!$P$5:$P$1004,MATCH(373,Firms!$R$5:$R$1004,0))&amp;"","")</f>
        <v/>
      </c>
      <c r="E377" s="58">
        <f>IFERROR(INDEX(Firms!$C$5:$C$1004,MATCH(373,Firms!$R$5:$R$1004,0))&amp;"","")</f>
        <v/>
      </c>
      <c r="F377" s="57">
        <f>IFERROR(INDEX(Firms!$L$5:$L$1004,MATCH(373,Firms!$R$5:$R$1004,0))&amp;"","")</f>
        <v/>
      </c>
      <c r="G377" s="57">
        <f>IFERROR(INDEX(Firms!$M$5:$M$1004,MATCH(373,Firms!$R$5:$R$1004,0))&amp;"","")</f>
        <v/>
      </c>
      <c r="H377" s="58">
        <f>IFERROR(INDEX(Firms!$Q$5:$Q$1004,MATCH(373,Firms!$R$5:$R$1004,0))&amp;"","")</f>
        <v/>
      </c>
    </row>
    <row r="378">
      <c r="A378" s="57">
        <f>IF(B378="","",374)</f>
        <v/>
      </c>
      <c r="B378" s="58">
        <f>IFERROR(INDEX(Firms!$A$5:$A$1004,MATCH(374,Firms!$R$5:$R$1004,0))&amp;"","")</f>
        <v/>
      </c>
      <c r="C378" s="59">
        <f>IFERROR(IF(INDEX(Firms!$O$5:$O$1004,MATCH(374,Firms!$R$5:$R$1004,0))="","",INDEX(Firms!$O$5:$O$1004,MATCH(374,Firms!$R$5:$R$1004,0))),"")</f>
        <v/>
      </c>
      <c r="D378" s="58">
        <f>IFERROR(INDEX(Firms!$P$5:$P$1004,MATCH(374,Firms!$R$5:$R$1004,0))&amp;"","")</f>
        <v/>
      </c>
      <c r="E378" s="58">
        <f>IFERROR(INDEX(Firms!$C$5:$C$1004,MATCH(374,Firms!$R$5:$R$1004,0))&amp;"","")</f>
        <v/>
      </c>
      <c r="F378" s="57">
        <f>IFERROR(INDEX(Firms!$L$5:$L$1004,MATCH(374,Firms!$R$5:$R$1004,0))&amp;"","")</f>
        <v/>
      </c>
      <c r="G378" s="57">
        <f>IFERROR(INDEX(Firms!$M$5:$M$1004,MATCH(374,Firms!$R$5:$R$1004,0))&amp;"","")</f>
        <v/>
      </c>
      <c r="H378" s="58">
        <f>IFERROR(INDEX(Firms!$Q$5:$Q$1004,MATCH(374,Firms!$R$5:$R$1004,0))&amp;"","")</f>
        <v/>
      </c>
    </row>
    <row r="379">
      <c r="A379" s="57">
        <f>IF(B379="","",375)</f>
        <v/>
      </c>
      <c r="B379" s="58">
        <f>IFERROR(INDEX(Firms!$A$5:$A$1004,MATCH(375,Firms!$R$5:$R$1004,0))&amp;"","")</f>
        <v/>
      </c>
      <c r="C379" s="59">
        <f>IFERROR(IF(INDEX(Firms!$O$5:$O$1004,MATCH(375,Firms!$R$5:$R$1004,0))="","",INDEX(Firms!$O$5:$O$1004,MATCH(375,Firms!$R$5:$R$1004,0))),"")</f>
        <v/>
      </c>
      <c r="D379" s="58">
        <f>IFERROR(INDEX(Firms!$P$5:$P$1004,MATCH(375,Firms!$R$5:$R$1004,0))&amp;"","")</f>
        <v/>
      </c>
      <c r="E379" s="58">
        <f>IFERROR(INDEX(Firms!$C$5:$C$1004,MATCH(375,Firms!$R$5:$R$1004,0))&amp;"","")</f>
        <v/>
      </c>
      <c r="F379" s="57">
        <f>IFERROR(INDEX(Firms!$L$5:$L$1004,MATCH(375,Firms!$R$5:$R$1004,0))&amp;"","")</f>
        <v/>
      </c>
      <c r="G379" s="57">
        <f>IFERROR(INDEX(Firms!$M$5:$M$1004,MATCH(375,Firms!$R$5:$R$1004,0))&amp;"","")</f>
        <v/>
      </c>
      <c r="H379" s="58">
        <f>IFERROR(INDEX(Firms!$Q$5:$Q$1004,MATCH(375,Firms!$R$5:$R$1004,0))&amp;"","")</f>
        <v/>
      </c>
    </row>
    <row r="380">
      <c r="A380" s="57">
        <f>IF(B380="","",376)</f>
        <v/>
      </c>
      <c r="B380" s="58">
        <f>IFERROR(INDEX(Firms!$A$5:$A$1004,MATCH(376,Firms!$R$5:$R$1004,0))&amp;"","")</f>
        <v/>
      </c>
      <c r="C380" s="59">
        <f>IFERROR(IF(INDEX(Firms!$O$5:$O$1004,MATCH(376,Firms!$R$5:$R$1004,0))="","",INDEX(Firms!$O$5:$O$1004,MATCH(376,Firms!$R$5:$R$1004,0))),"")</f>
        <v/>
      </c>
      <c r="D380" s="58">
        <f>IFERROR(INDEX(Firms!$P$5:$P$1004,MATCH(376,Firms!$R$5:$R$1004,0))&amp;"","")</f>
        <v/>
      </c>
      <c r="E380" s="58">
        <f>IFERROR(INDEX(Firms!$C$5:$C$1004,MATCH(376,Firms!$R$5:$R$1004,0))&amp;"","")</f>
        <v/>
      </c>
      <c r="F380" s="57">
        <f>IFERROR(INDEX(Firms!$L$5:$L$1004,MATCH(376,Firms!$R$5:$R$1004,0))&amp;"","")</f>
        <v/>
      </c>
      <c r="G380" s="57">
        <f>IFERROR(INDEX(Firms!$M$5:$M$1004,MATCH(376,Firms!$R$5:$R$1004,0))&amp;"","")</f>
        <v/>
      </c>
      <c r="H380" s="58">
        <f>IFERROR(INDEX(Firms!$Q$5:$Q$1004,MATCH(376,Firms!$R$5:$R$1004,0))&amp;"","")</f>
        <v/>
      </c>
    </row>
    <row r="381">
      <c r="A381" s="57">
        <f>IF(B381="","",377)</f>
        <v/>
      </c>
      <c r="B381" s="58">
        <f>IFERROR(INDEX(Firms!$A$5:$A$1004,MATCH(377,Firms!$R$5:$R$1004,0))&amp;"","")</f>
        <v/>
      </c>
      <c r="C381" s="59">
        <f>IFERROR(IF(INDEX(Firms!$O$5:$O$1004,MATCH(377,Firms!$R$5:$R$1004,0))="","",INDEX(Firms!$O$5:$O$1004,MATCH(377,Firms!$R$5:$R$1004,0))),"")</f>
        <v/>
      </c>
      <c r="D381" s="58">
        <f>IFERROR(INDEX(Firms!$P$5:$P$1004,MATCH(377,Firms!$R$5:$R$1004,0))&amp;"","")</f>
        <v/>
      </c>
      <c r="E381" s="58">
        <f>IFERROR(INDEX(Firms!$C$5:$C$1004,MATCH(377,Firms!$R$5:$R$1004,0))&amp;"","")</f>
        <v/>
      </c>
      <c r="F381" s="57">
        <f>IFERROR(INDEX(Firms!$L$5:$L$1004,MATCH(377,Firms!$R$5:$R$1004,0))&amp;"","")</f>
        <v/>
      </c>
      <c r="G381" s="57">
        <f>IFERROR(INDEX(Firms!$M$5:$M$1004,MATCH(377,Firms!$R$5:$R$1004,0))&amp;"","")</f>
        <v/>
      </c>
      <c r="H381" s="58">
        <f>IFERROR(INDEX(Firms!$Q$5:$Q$1004,MATCH(377,Firms!$R$5:$R$1004,0))&amp;"","")</f>
        <v/>
      </c>
    </row>
    <row r="382">
      <c r="A382" s="57">
        <f>IF(B382="","",378)</f>
        <v/>
      </c>
      <c r="B382" s="58">
        <f>IFERROR(INDEX(Firms!$A$5:$A$1004,MATCH(378,Firms!$R$5:$R$1004,0))&amp;"","")</f>
        <v/>
      </c>
      <c r="C382" s="59">
        <f>IFERROR(IF(INDEX(Firms!$O$5:$O$1004,MATCH(378,Firms!$R$5:$R$1004,0))="","",INDEX(Firms!$O$5:$O$1004,MATCH(378,Firms!$R$5:$R$1004,0))),"")</f>
        <v/>
      </c>
      <c r="D382" s="58">
        <f>IFERROR(INDEX(Firms!$P$5:$P$1004,MATCH(378,Firms!$R$5:$R$1004,0))&amp;"","")</f>
        <v/>
      </c>
      <c r="E382" s="58">
        <f>IFERROR(INDEX(Firms!$C$5:$C$1004,MATCH(378,Firms!$R$5:$R$1004,0))&amp;"","")</f>
        <v/>
      </c>
      <c r="F382" s="57">
        <f>IFERROR(INDEX(Firms!$L$5:$L$1004,MATCH(378,Firms!$R$5:$R$1004,0))&amp;"","")</f>
        <v/>
      </c>
      <c r="G382" s="57">
        <f>IFERROR(INDEX(Firms!$M$5:$M$1004,MATCH(378,Firms!$R$5:$R$1004,0))&amp;"","")</f>
        <v/>
      </c>
      <c r="H382" s="58">
        <f>IFERROR(INDEX(Firms!$Q$5:$Q$1004,MATCH(378,Firms!$R$5:$R$1004,0))&amp;"","")</f>
        <v/>
      </c>
    </row>
    <row r="383">
      <c r="A383" s="57">
        <f>IF(B383="","",379)</f>
        <v/>
      </c>
      <c r="B383" s="58">
        <f>IFERROR(INDEX(Firms!$A$5:$A$1004,MATCH(379,Firms!$R$5:$R$1004,0))&amp;"","")</f>
        <v/>
      </c>
      <c r="C383" s="59">
        <f>IFERROR(IF(INDEX(Firms!$O$5:$O$1004,MATCH(379,Firms!$R$5:$R$1004,0))="","",INDEX(Firms!$O$5:$O$1004,MATCH(379,Firms!$R$5:$R$1004,0))),"")</f>
        <v/>
      </c>
      <c r="D383" s="58">
        <f>IFERROR(INDEX(Firms!$P$5:$P$1004,MATCH(379,Firms!$R$5:$R$1004,0))&amp;"","")</f>
        <v/>
      </c>
      <c r="E383" s="58">
        <f>IFERROR(INDEX(Firms!$C$5:$C$1004,MATCH(379,Firms!$R$5:$R$1004,0))&amp;"","")</f>
        <v/>
      </c>
      <c r="F383" s="57">
        <f>IFERROR(INDEX(Firms!$L$5:$L$1004,MATCH(379,Firms!$R$5:$R$1004,0))&amp;"","")</f>
        <v/>
      </c>
      <c r="G383" s="57">
        <f>IFERROR(INDEX(Firms!$M$5:$M$1004,MATCH(379,Firms!$R$5:$R$1004,0))&amp;"","")</f>
        <v/>
      </c>
      <c r="H383" s="58">
        <f>IFERROR(INDEX(Firms!$Q$5:$Q$1004,MATCH(379,Firms!$R$5:$R$1004,0))&amp;"","")</f>
        <v/>
      </c>
    </row>
    <row r="384">
      <c r="A384" s="57">
        <f>IF(B384="","",380)</f>
        <v/>
      </c>
      <c r="B384" s="58">
        <f>IFERROR(INDEX(Firms!$A$5:$A$1004,MATCH(380,Firms!$R$5:$R$1004,0))&amp;"","")</f>
        <v/>
      </c>
      <c r="C384" s="59">
        <f>IFERROR(IF(INDEX(Firms!$O$5:$O$1004,MATCH(380,Firms!$R$5:$R$1004,0))="","",INDEX(Firms!$O$5:$O$1004,MATCH(380,Firms!$R$5:$R$1004,0))),"")</f>
        <v/>
      </c>
      <c r="D384" s="58">
        <f>IFERROR(INDEX(Firms!$P$5:$P$1004,MATCH(380,Firms!$R$5:$R$1004,0))&amp;"","")</f>
        <v/>
      </c>
      <c r="E384" s="58">
        <f>IFERROR(INDEX(Firms!$C$5:$C$1004,MATCH(380,Firms!$R$5:$R$1004,0))&amp;"","")</f>
        <v/>
      </c>
      <c r="F384" s="57">
        <f>IFERROR(INDEX(Firms!$L$5:$L$1004,MATCH(380,Firms!$R$5:$R$1004,0))&amp;"","")</f>
        <v/>
      </c>
      <c r="G384" s="57">
        <f>IFERROR(INDEX(Firms!$M$5:$M$1004,MATCH(380,Firms!$R$5:$R$1004,0))&amp;"","")</f>
        <v/>
      </c>
      <c r="H384" s="58">
        <f>IFERROR(INDEX(Firms!$Q$5:$Q$1004,MATCH(380,Firms!$R$5:$R$1004,0))&amp;"","")</f>
        <v/>
      </c>
    </row>
    <row r="385">
      <c r="A385" s="57">
        <f>IF(B385="","",381)</f>
        <v/>
      </c>
      <c r="B385" s="58">
        <f>IFERROR(INDEX(Firms!$A$5:$A$1004,MATCH(381,Firms!$R$5:$R$1004,0))&amp;"","")</f>
        <v/>
      </c>
      <c r="C385" s="59">
        <f>IFERROR(IF(INDEX(Firms!$O$5:$O$1004,MATCH(381,Firms!$R$5:$R$1004,0))="","",INDEX(Firms!$O$5:$O$1004,MATCH(381,Firms!$R$5:$R$1004,0))),"")</f>
        <v/>
      </c>
      <c r="D385" s="58">
        <f>IFERROR(INDEX(Firms!$P$5:$P$1004,MATCH(381,Firms!$R$5:$R$1004,0))&amp;"","")</f>
        <v/>
      </c>
      <c r="E385" s="58">
        <f>IFERROR(INDEX(Firms!$C$5:$C$1004,MATCH(381,Firms!$R$5:$R$1004,0))&amp;"","")</f>
        <v/>
      </c>
      <c r="F385" s="57">
        <f>IFERROR(INDEX(Firms!$L$5:$L$1004,MATCH(381,Firms!$R$5:$R$1004,0))&amp;"","")</f>
        <v/>
      </c>
      <c r="G385" s="57">
        <f>IFERROR(INDEX(Firms!$M$5:$M$1004,MATCH(381,Firms!$R$5:$R$1004,0))&amp;"","")</f>
        <v/>
      </c>
      <c r="H385" s="58">
        <f>IFERROR(INDEX(Firms!$Q$5:$Q$1004,MATCH(381,Firms!$R$5:$R$1004,0))&amp;"","")</f>
        <v/>
      </c>
    </row>
    <row r="386">
      <c r="A386" s="57">
        <f>IF(B386="","",382)</f>
        <v/>
      </c>
      <c r="B386" s="58">
        <f>IFERROR(INDEX(Firms!$A$5:$A$1004,MATCH(382,Firms!$R$5:$R$1004,0))&amp;"","")</f>
        <v/>
      </c>
      <c r="C386" s="59">
        <f>IFERROR(IF(INDEX(Firms!$O$5:$O$1004,MATCH(382,Firms!$R$5:$R$1004,0))="","",INDEX(Firms!$O$5:$O$1004,MATCH(382,Firms!$R$5:$R$1004,0))),"")</f>
        <v/>
      </c>
      <c r="D386" s="58">
        <f>IFERROR(INDEX(Firms!$P$5:$P$1004,MATCH(382,Firms!$R$5:$R$1004,0))&amp;"","")</f>
        <v/>
      </c>
      <c r="E386" s="58">
        <f>IFERROR(INDEX(Firms!$C$5:$C$1004,MATCH(382,Firms!$R$5:$R$1004,0))&amp;"","")</f>
        <v/>
      </c>
      <c r="F386" s="57">
        <f>IFERROR(INDEX(Firms!$L$5:$L$1004,MATCH(382,Firms!$R$5:$R$1004,0))&amp;"","")</f>
        <v/>
      </c>
      <c r="G386" s="57">
        <f>IFERROR(INDEX(Firms!$M$5:$M$1004,MATCH(382,Firms!$R$5:$R$1004,0))&amp;"","")</f>
        <v/>
      </c>
      <c r="H386" s="58">
        <f>IFERROR(INDEX(Firms!$Q$5:$Q$1004,MATCH(382,Firms!$R$5:$R$1004,0))&amp;"","")</f>
        <v/>
      </c>
    </row>
    <row r="387">
      <c r="A387" s="57">
        <f>IF(B387="","",383)</f>
        <v/>
      </c>
      <c r="B387" s="58">
        <f>IFERROR(INDEX(Firms!$A$5:$A$1004,MATCH(383,Firms!$R$5:$R$1004,0))&amp;"","")</f>
        <v/>
      </c>
      <c r="C387" s="59">
        <f>IFERROR(IF(INDEX(Firms!$O$5:$O$1004,MATCH(383,Firms!$R$5:$R$1004,0))="","",INDEX(Firms!$O$5:$O$1004,MATCH(383,Firms!$R$5:$R$1004,0))),"")</f>
        <v/>
      </c>
      <c r="D387" s="58">
        <f>IFERROR(INDEX(Firms!$P$5:$P$1004,MATCH(383,Firms!$R$5:$R$1004,0))&amp;"","")</f>
        <v/>
      </c>
      <c r="E387" s="58">
        <f>IFERROR(INDEX(Firms!$C$5:$C$1004,MATCH(383,Firms!$R$5:$R$1004,0))&amp;"","")</f>
        <v/>
      </c>
      <c r="F387" s="57">
        <f>IFERROR(INDEX(Firms!$L$5:$L$1004,MATCH(383,Firms!$R$5:$R$1004,0))&amp;"","")</f>
        <v/>
      </c>
      <c r="G387" s="57">
        <f>IFERROR(INDEX(Firms!$M$5:$M$1004,MATCH(383,Firms!$R$5:$R$1004,0))&amp;"","")</f>
        <v/>
      </c>
      <c r="H387" s="58">
        <f>IFERROR(INDEX(Firms!$Q$5:$Q$1004,MATCH(383,Firms!$R$5:$R$1004,0))&amp;"","")</f>
        <v/>
      </c>
    </row>
    <row r="388">
      <c r="A388" s="57">
        <f>IF(B388="","",384)</f>
        <v/>
      </c>
      <c r="B388" s="58">
        <f>IFERROR(INDEX(Firms!$A$5:$A$1004,MATCH(384,Firms!$R$5:$R$1004,0))&amp;"","")</f>
        <v/>
      </c>
      <c r="C388" s="59">
        <f>IFERROR(IF(INDEX(Firms!$O$5:$O$1004,MATCH(384,Firms!$R$5:$R$1004,0))="","",INDEX(Firms!$O$5:$O$1004,MATCH(384,Firms!$R$5:$R$1004,0))),"")</f>
        <v/>
      </c>
      <c r="D388" s="58">
        <f>IFERROR(INDEX(Firms!$P$5:$P$1004,MATCH(384,Firms!$R$5:$R$1004,0))&amp;"","")</f>
        <v/>
      </c>
      <c r="E388" s="58">
        <f>IFERROR(INDEX(Firms!$C$5:$C$1004,MATCH(384,Firms!$R$5:$R$1004,0))&amp;"","")</f>
        <v/>
      </c>
      <c r="F388" s="57">
        <f>IFERROR(INDEX(Firms!$L$5:$L$1004,MATCH(384,Firms!$R$5:$R$1004,0))&amp;"","")</f>
        <v/>
      </c>
      <c r="G388" s="57">
        <f>IFERROR(INDEX(Firms!$M$5:$M$1004,MATCH(384,Firms!$R$5:$R$1004,0))&amp;"","")</f>
        <v/>
      </c>
      <c r="H388" s="58">
        <f>IFERROR(INDEX(Firms!$Q$5:$Q$1004,MATCH(384,Firms!$R$5:$R$1004,0))&amp;"","")</f>
        <v/>
      </c>
    </row>
    <row r="389">
      <c r="A389" s="57">
        <f>IF(B389="","",385)</f>
        <v/>
      </c>
      <c r="B389" s="58">
        <f>IFERROR(INDEX(Firms!$A$5:$A$1004,MATCH(385,Firms!$R$5:$R$1004,0))&amp;"","")</f>
        <v/>
      </c>
      <c r="C389" s="59">
        <f>IFERROR(IF(INDEX(Firms!$O$5:$O$1004,MATCH(385,Firms!$R$5:$R$1004,0))="","",INDEX(Firms!$O$5:$O$1004,MATCH(385,Firms!$R$5:$R$1004,0))),"")</f>
        <v/>
      </c>
      <c r="D389" s="58">
        <f>IFERROR(INDEX(Firms!$P$5:$P$1004,MATCH(385,Firms!$R$5:$R$1004,0))&amp;"","")</f>
        <v/>
      </c>
      <c r="E389" s="58">
        <f>IFERROR(INDEX(Firms!$C$5:$C$1004,MATCH(385,Firms!$R$5:$R$1004,0))&amp;"","")</f>
        <v/>
      </c>
      <c r="F389" s="57">
        <f>IFERROR(INDEX(Firms!$L$5:$L$1004,MATCH(385,Firms!$R$5:$R$1004,0))&amp;"","")</f>
        <v/>
      </c>
      <c r="G389" s="57">
        <f>IFERROR(INDEX(Firms!$M$5:$M$1004,MATCH(385,Firms!$R$5:$R$1004,0))&amp;"","")</f>
        <v/>
      </c>
      <c r="H389" s="58">
        <f>IFERROR(INDEX(Firms!$Q$5:$Q$1004,MATCH(385,Firms!$R$5:$R$1004,0))&amp;"","")</f>
        <v/>
      </c>
    </row>
    <row r="390">
      <c r="A390" s="57">
        <f>IF(B390="","",386)</f>
        <v/>
      </c>
      <c r="B390" s="58">
        <f>IFERROR(INDEX(Firms!$A$5:$A$1004,MATCH(386,Firms!$R$5:$R$1004,0))&amp;"","")</f>
        <v/>
      </c>
      <c r="C390" s="59">
        <f>IFERROR(IF(INDEX(Firms!$O$5:$O$1004,MATCH(386,Firms!$R$5:$R$1004,0))="","",INDEX(Firms!$O$5:$O$1004,MATCH(386,Firms!$R$5:$R$1004,0))),"")</f>
        <v/>
      </c>
      <c r="D390" s="58">
        <f>IFERROR(INDEX(Firms!$P$5:$P$1004,MATCH(386,Firms!$R$5:$R$1004,0))&amp;"","")</f>
        <v/>
      </c>
      <c r="E390" s="58">
        <f>IFERROR(INDEX(Firms!$C$5:$C$1004,MATCH(386,Firms!$R$5:$R$1004,0))&amp;"","")</f>
        <v/>
      </c>
      <c r="F390" s="57">
        <f>IFERROR(INDEX(Firms!$L$5:$L$1004,MATCH(386,Firms!$R$5:$R$1004,0))&amp;"","")</f>
        <v/>
      </c>
      <c r="G390" s="57">
        <f>IFERROR(INDEX(Firms!$M$5:$M$1004,MATCH(386,Firms!$R$5:$R$1004,0))&amp;"","")</f>
        <v/>
      </c>
      <c r="H390" s="58">
        <f>IFERROR(INDEX(Firms!$Q$5:$Q$1004,MATCH(386,Firms!$R$5:$R$1004,0))&amp;"","")</f>
        <v/>
      </c>
    </row>
    <row r="391">
      <c r="A391" s="57">
        <f>IF(B391="","",387)</f>
        <v/>
      </c>
      <c r="B391" s="58">
        <f>IFERROR(INDEX(Firms!$A$5:$A$1004,MATCH(387,Firms!$R$5:$R$1004,0))&amp;"","")</f>
        <v/>
      </c>
      <c r="C391" s="59">
        <f>IFERROR(IF(INDEX(Firms!$O$5:$O$1004,MATCH(387,Firms!$R$5:$R$1004,0))="","",INDEX(Firms!$O$5:$O$1004,MATCH(387,Firms!$R$5:$R$1004,0))),"")</f>
        <v/>
      </c>
      <c r="D391" s="58">
        <f>IFERROR(INDEX(Firms!$P$5:$P$1004,MATCH(387,Firms!$R$5:$R$1004,0))&amp;"","")</f>
        <v/>
      </c>
      <c r="E391" s="58">
        <f>IFERROR(INDEX(Firms!$C$5:$C$1004,MATCH(387,Firms!$R$5:$R$1004,0))&amp;"","")</f>
        <v/>
      </c>
      <c r="F391" s="57">
        <f>IFERROR(INDEX(Firms!$L$5:$L$1004,MATCH(387,Firms!$R$5:$R$1004,0))&amp;"","")</f>
        <v/>
      </c>
      <c r="G391" s="57">
        <f>IFERROR(INDEX(Firms!$M$5:$M$1004,MATCH(387,Firms!$R$5:$R$1004,0))&amp;"","")</f>
        <v/>
      </c>
      <c r="H391" s="58">
        <f>IFERROR(INDEX(Firms!$Q$5:$Q$1004,MATCH(387,Firms!$R$5:$R$1004,0))&amp;"","")</f>
        <v/>
      </c>
    </row>
    <row r="392">
      <c r="A392" s="57">
        <f>IF(B392="","",388)</f>
        <v/>
      </c>
      <c r="B392" s="58">
        <f>IFERROR(INDEX(Firms!$A$5:$A$1004,MATCH(388,Firms!$R$5:$R$1004,0))&amp;"","")</f>
        <v/>
      </c>
      <c r="C392" s="59">
        <f>IFERROR(IF(INDEX(Firms!$O$5:$O$1004,MATCH(388,Firms!$R$5:$R$1004,0))="","",INDEX(Firms!$O$5:$O$1004,MATCH(388,Firms!$R$5:$R$1004,0))),"")</f>
        <v/>
      </c>
      <c r="D392" s="58">
        <f>IFERROR(INDEX(Firms!$P$5:$P$1004,MATCH(388,Firms!$R$5:$R$1004,0))&amp;"","")</f>
        <v/>
      </c>
      <c r="E392" s="58">
        <f>IFERROR(INDEX(Firms!$C$5:$C$1004,MATCH(388,Firms!$R$5:$R$1004,0))&amp;"","")</f>
        <v/>
      </c>
      <c r="F392" s="57">
        <f>IFERROR(INDEX(Firms!$L$5:$L$1004,MATCH(388,Firms!$R$5:$R$1004,0))&amp;"","")</f>
        <v/>
      </c>
      <c r="G392" s="57">
        <f>IFERROR(INDEX(Firms!$M$5:$M$1004,MATCH(388,Firms!$R$5:$R$1004,0))&amp;"","")</f>
        <v/>
      </c>
      <c r="H392" s="58">
        <f>IFERROR(INDEX(Firms!$Q$5:$Q$1004,MATCH(388,Firms!$R$5:$R$1004,0))&amp;"","")</f>
        <v/>
      </c>
    </row>
    <row r="393">
      <c r="A393" s="57">
        <f>IF(B393="","",389)</f>
        <v/>
      </c>
      <c r="B393" s="58">
        <f>IFERROR(INDEX(Firms!$A$5:$A$1004,MATCH(389,Firms!$R$5:$R$1004,0))&amp;"","")</f>
        <v/>
      </c>
      <c r="C393" s="59">
        <f>IFERROR(IF(INDEX(Firms!$O$5:$O$1004,MATCH(389,Firms!$R$5:$R$1004,0))="","",INDEX(Firms!$O$5:$O$1004,MATCH(389,Firms!$R$5:$R$1004,0))),"")</f>
        <v/>
      </c>
      <c r="D393" s="58">
        <f>IFERROR(INDEX(Firms!$P$5:$P$1004,MATCH(389,Firms!$R$5:$R$1004,0))&amp;"","")</f>
        <v/>
      </c>
      <c r="E393" s="58">
        <f>IFERROR(INDEX(Firms!$C$5:$C$1004,MATCH(389,Firms!$R$5:$R$1004,0))&amp;"","")</f>
        <v/>
      </c>
      <c r="F393" s="57">
        <f>IFERROR(INDEX(Firms!$L$5:$L$1004,MATCH(389,Firms!$R$5:$R$1004,0))&amp;"","")</f>
        <v/>
      </c>
      <c r="G393" s="57">
        <f>IFERROR(INDEX(Firms!$M$5:$M$1004,MATCH(389,Firms!$R$5:$R$1004,0))&amp;"","")</f>
        <v/>
      </c>
      <c r="H393" s="58">
        <f>IFERROR(INDEX(Firms!$Q$5:$Q$1004,MATCH(389,Firms!$R$5:$R$1004,0))&amp;"","")</f>
        <v/>
      </c>
    </row>
    <row r="394">
      <c r="A394" s="57">
        <f>IF(B394="","",390)</f>
        <v/>
      </c>
      <c r="B394" s="58">
        <f>IFERROR(INDEX(Firms!$A$5:$A$1004,MATCH(390,Firms!$R$5:$R$1004,0))&amp;"","")</f>
        <v/>
      </c>
      <c r="C394" s="59">
        <f>IFERROR(IF(INDEX(Firms!$O$5:$O$1004,MATCH(390,Firms!$R$5:$R$1004,0))="","",INDEX(Firms!$O$5:$O$1004,MATCH(390,Firms!$R$5:$R$1004,0))),"")</f>
        <v/>
      </c>
      <c r="D394" s="58">
        <f>IFERROR(INDEX(Firms!$P$5:$P$1004,MATCH(390,Firms!$R$5:$R$1004,0))&amp;"","")</f>
        <v/>
      </c>
      <c r="E394" s="58">
        <f>IFERROR(INDEX(Firms!$C$5:$C$1004,MATCH(390,Firms!$R$5:$R$1004,0))&amp;"","")</f>
        <v/>
      </c>
      <c r="F394" s="57">
        <f>IFERROR(INDEX(Firms!$L$5:$L$1004,MATCH(390,Firms!$R$5:$R$1004,0))&amp;"","")</f>
        <v/>
      </c>
      <c r="G394" s="57">
        <f>IFERROR(INDEX(Firms!$M$5:$M$1004,MATCH(390,Firms!$R$5:$R$1004,0))&amp;"","")</f>
        <v/>
      </c>
      <c r="H394" s="58">
        <f>IFERROR(INDEX(Firms!$Q$5:$Q$1004,MATCH(390,Firms!$R$5:$R$1004,0))&amp;"","")</f>
        <v/>
      </c>
    </row>
    <row r="395">
      <c r="A395" s="57">
        <f>IF(B395="","",391)</f>
        <v/>
      </c>
      <c r="B395" s="58">
        <f>IFERROR(INDEX(Firms!$A$5:$A$1004,MATCH(391,Firms!$R$5:$R$1004,0))&amp;"","")</f>
        <v/>
      </c>
      <c r="C395" s="59">
        <f>IFERROR(IF(INDEX(Firms!$O$5:$O$1004,MATCH(391,Firms!$R$5:$R$1004,0))="","",INDEX(Firms!$O$5:$O$1004,MATCH(391,Firms!$R$5:$R$1004,0))),"")</f>
        <v/>
      </c>
      <c r="D395" s="58">
        <f>IFERROR(INDEX(Firms!$P$5:$P$1004,MATCH(391,Firms!$R$5:$R$1004,0))&amp;"","")</f>
        <v/>
      </c>
      <c r="E395" s="58">
        <f>IFERROR(INDEX(Firms!$C$5:$C$1004,MATCH(391,Firms!$R$5:$R$1004,0))&amp;"","")</f>
        <v/>
      </c>
      <c r="F395" s="57">
        <f>IFERROR(INDEX(Firms!$L$5:$L$1004,MATCH(391,Firms!$R$5:$R$1004,0))&amp;"","")</f>
        <v/>
      </c>
      <c r="G395" s="57">
        <f>IFERROR(INDEX(Firms!$M$5:$M$1004,MATCH(391,Firms!$R$5:$R$1004,0))&amp;"","")</f>
        <v/>
      </c>
      <c r="H395" s="58">
        <f>IFERROR(INDEX(Firms!$Q$5:$Q$1004,MATCH(391,Firms!$R$5:$R$1004,0))&amp;"","")</f>
        <v/>
      </c>
    </row>
    <row r="396">
      <c r="A396" s="57">
        <f>IF(B396="","",392)</f>
        <v/>
      </c>
      <c r="B396" s="58">
        <f>IFERROR(INDEX(Firms!$A$5:$A$1004,MATCH(392,Firms!$R$5:$R$1004,0))&amp;"","")</f>
        <v/>
      </c>
      <c r="C396" s="59">
        <f>IFERROR(IF(INDEX(Firms!$O$5:$O$1004,MATCH(392,Firms!$R$5:$R$1004,0))="","",INDEX(Firms!$O$5:$O$1004,MATCH(392,Firms!$R$5:$R$1004,0))),"")</f>
        <v/>
      </c>
      <c r="D396" s="58">
        <f>IFERROR(INDEX(Firms!$P$5:$P$1004,MATCH(392,Firms!$R$5:$R$1004,0))&amp;"","")</f>
        <v/>
      </c>
      <c r="E396" s="58">
        <f>IFERROR(INDEX(Firms!$C$5:$C$1004,MATCH(392,Firms!$R$5:$R$1004,0))&amp;"","")</f>
        <v/>
      </c>
      <c r="F396" s="57">
        <f>IFERROR(INDEX(Firms!$L$5:$L$1004,MATCH(392,Firms!$R$5:$R$1004,0))&amp;"","")</f>
        <v/>
      </c>
      <c r="G396" s="57">
        <f>IFERROR(INDEX(Firms!$M$5:$M$1004,MATCH(392,Firms!$R$5:$R$1004,0))&amp;"","")</f>
        <v/>
      </c>
      <c r="H396" s="58">
        <f>IFERROR(INDEX(Firms!$Q$5:$Q$1004,MATCH(392,Firms!$R$5:$R$1004,0))&amp;"","")</f>
        <v/>
      </c>
    </row>
    <row r="397">
      <c r="A397" s="57">
        <f>IF(B397="","",393)</f>
        <v/>
      </c>
      <c r="B397" s="58">
        <f>IFERROR(INDEX(Firms!$A$5:$A$1004,MATCH(393,Firms!$R$5:$R$1004,0))&amp;"","")</f>
        <v/>
      </c>
      <c r="C397" s="59">
        <f>IFERROR(IF(INDEX(Firms!$O$5:$O$1004,MATCH(393,Firms!$R$5:$R$1004,0))="","",INDEX(Firms!$O$5:$O$1004,MATCH(393,Firms!$R$5:$R$1004,0))),"")</f>
        <v/>
      </c>
      <c r="D397" s="58">
        <f>IFERROR(INDEX(Firms!$P$5:$P$1004,MATCH(393,Firms!$R$5:$R$1004,0))&amp;"","")</f>
        <v/>
      </c>
      <c r="E397" s="58">
        <f>IFERROR(INDEX(Firms!$C$5:$C$1004,MATCH(393,Firms!$R$5:$R$1004,0))&amp;"","")</f>
        <v/>
      </c>
      <c r="F397" s="57">
        <f>IFERROR(INDEX(Firms!$L$5:$L$1004,MATCH(393,Firms!$R$5:$R$1004,0))&amp;"","")</f>
        <v/>
      </c>
      <c r="G397" s="57">
        <f>IFERROR(INDEX(Firms!$M$5:$M$1004,MATCH(393,Firms!$R$5:$R$1004,0))&amp;"","")</f>
        <v/>
      </c>
      <c r="H397" s="58">
        <f>IFERROR(INDEX(Firms!$Q$5:$Q$1004,MATCH(393,Firms!$R$5:$R$1004,0))&amp;"","")</f>
        <v/>
      </c>
    </row>
    <row r="398">
      <c r="A398" s="57">
        <f>IF(B398="","",394)</f>
        <v/>
      </c>
      <c r="B398" s="58">
        <f>IFERROR(INDEX(Firms!$A$5:$A$1004,MATCH(394,Firms!$R$5:$R$1004,0))&amp;"","")</f>
        <v/>
      </c>
      <c r="C398" s="59">
        <f>IFERROR(IF(INDEX(Firms!$O$5:$O$1004,MATCH(394,Firms!$R$5:$R$1004,0))="","",INDEX(Firms!$O$5:$O$1004,MATCH(394,Firms!$R$5:$R$1004,0))),"")</f>
        <v/>
      </c>
      <c r="D398" s="58">
        <f>IFERROR(INDEX(Firms!$P$5:$P$1004,MATCH(394,Firms!$R$5:$R$1004,0))&amp;"","")</f>
        <v/>
      </c>
      <c r="E398" s="58">
        <f>IFERROR(INDEX(Firms!$C$5:$C$1004,MATCH(394,Firms!$R$5:$R$1004,0))&amp;"","")</f>
        <v/>
      </c>
      <c r="F398" s="57">
        <f>IFERROR(INDEX(Firms!$L$5:$L$1004,MATCH(394,Firms!$R$5:$R$1004,0))&amp;"","")</f>
        <v/>
      </c>
      <c r="G398" s="57">
        <f>IFERROR(INDEX(Firms!$M$5:$M$1004,MATCH(394,Firms!$R$5:$R$1004,0))&amp;"","")</f>
        <v/>
      </c>
      <c r="H398" s="58">
        <f>IFERROR(INDEX(Firms!$Q$5:$Q$1004,MATCH(394,Firms!$R$5:$R$1004,0))&amp;"","")</f>
        <v/>
      </c>
    </row>
    <row r="399">
      <c r="A399" s="57">
        <f>IF(B399="","",395)</f>
        <v/>
      </c>
      <c r="B399" s="58">
        <f>IFERROR(INDEX(Firms!$A$5:$A$1004,MATCH(395,Firms!$R$5:$R$1004,0))&amp;"","")</f>
        <v/>
      </c>
      <c r="C399" s="59">
        <f>IFERROR(IF(INDEX(Firms!$O$5:$O$1004,MATCH(395,Firms!$R$5:$R$1004,0))="","",INDEX(Firms!$O$5:$O$1004,MATCH(395,Firms!$R$5:$R$1004,0))),"")</f>
        <v/>
      </c>
      <c r="D399" s="58">
        <f>IFERROR(INDEX(Firms!$P$5:$P$1004,MATCH(395,Firms!$R$5:$R$1004,0))&amp;"","")</f>
        <v/>
      </c>
      <c r="E399" s="58">
        <f>IFERROR(INDEX(Firms!$C$5:$C$1004,MATCH(395,Firms!$R$5:$R$1004,0))&amp;"","")</f>
        <v/>
      </c>
      <c r="F399" s="57">
        <f>IFERROR(INDEX(Firms!$L$5:$L$1004,MATCH(395,Firms!$R$5:$R$1004,0))&amp;"","")</f>
        <v/>
      </c>
      <c r="G399" s="57">
        <f>IFERROR(INDEX(Firms!$M$5:$M$1004,MATCH(395,Firms!$R$5:$R$1004,0))&amp;"","")</f>
        <v/>
      </c>
      <c r="H399" s="58">
        <f>IFERROR(INDEX(Firms!$Q$5:$Q$1004,MATCH(395,Firms!$R$5:$R$1004,0))&amp;"","")</f>
        <v/>
      </c>
    </row>
    <row r="400">
      <c r="A400" s="57">
        <f>IF(B400="","",396)</f>
        <v/>
      </c>
      <c r="B400" s="58">
        <f>IFERROR(INDEX(Firms!$A$5:$A$1004,MATCH(396,Firms!$R$5:$R$1004,0))&amp;"","")</f>
        <v/>
      </c>
      <c r="C400" s="59">
        <f>IFERROR(IF(INDEX(Firms!$O$5:$O$1004,MATCH(396,Firms!$R$5:$R$1004,0))="","",INDEX(Firms!$O$5:$O$1004,MATCH(396,Firms!$R$5:$R$1004,0))),"")</f>
        <v/>
      </c>
      <c r="D400" s="58">
        <f>IFERROR(INDEX(Firms!$P$5:$P$1004,MATCH(396,Firms!$R$5:$R$1004,0))&amp;"","")</f>
        <v/>
      </c>
      <c r="E400" s="58">
        <f>IFERROR(INDEX(Firms!$C$5:$C$1004,MATCH(396,Firms!$R$5:$R$1004,0))&amp;"","")</f>
        <v/>
      </c>
      <c r="F400" s="57">
        <f>IFERROR(INDEX(Firms!$L$5:$L$1004,MATCH(396,Firms!$R$5:$R$1004,0))&amp;"","")</f>
        <v/>
      </c>
      <c r="G400" s="57">
        <f>IFERROR(INDEX(Firms!$M$5:$M$1004,MATCH(396,Firms!$R$5:$R$1004,0))&amp;"","")</f>
        <v/>
      </c>
      <c r="H400" s="58">
        <f>IFERROR(INDEX(Firms!$Q$5:$Q$1004,MATCH(396,Firms!$R$5:$R$1004,0))&amp;"","")</f>
        <v/>
      </c>
    </row>
    <row r="401">
      <c r="A401" s="57">
        <f>IF(B401="","",397)</f>
        <v/>
      </c>
      <c r="B401" s="58">
        <f>IFERROR(INDEX(Firms!$A$5:$A$1004,MATCH(397,Firms!$R$5:$R$1004,0))&amp;"","")</f>
        <v/>
      </c>
      <c r="C401" s="59">
        <f>IFERROR(IF(INDEX(Firms!$O$5:$O$1004,MATCH(397,Firms!$R$5:$R$1004,0))="","",INDEX(Firms!$O$5:$O$1004,MATCH(397,Firms!$R$5:$R$1004,0))),"")</f>
        <v/>
      </c>
      <c r="D401" s="58">
        <f>IFERROR(INDEX(Firms!$P$5:$P$1004,MATCH(397,Firms!$R$5:$R$1004,0))&amp;"","")</f>
        <v/>
      </c>
      <c r="E401" s="58">
        <f>IFERROR(INDEX(Firms!$C$5:$C$1004,MATCH(397,Firms!$R$5:$R$1004,0))&amp;"","")</f>
        <v/>
      </c>
      <c r="F401" s="57">
        <f>IFERROR(INDEX(Firms!$L$5:$L$1004,MATCH(397,Firms!$R$5:$R$1004,0))&amp;"","")</f>
        <v/>
      </c>
      <c r="G401" s="57">
        <f>IFERROR(INDEX(Firms!$M$5:$M$1004,MATCH(397,Firms!$R$5:$R$1004,0))&amp;"","")</f>
        <v/>
      </c>
      <c r="H401" s="58">
        <f>IFERROR(INDEX(Firms!$Q$5:$Q$1004,MATCH(397,Firms!$R$5:$R$1004,0))&amp;"","")</f>
        <v/>
      </c>
    </row>
    <row r="402">
      <c r="A402" s="57">
        <f>IF(B402="","",398)</f>
        <v/>
      </c>
      <c r="B402" s="58">
        <f>IFERROR(INDEX(Firms!$A$5:$A$1004,MATCH(398,Firms!$R$5:$R$1004,0))&amp;"","")</f>
        <v/>
      </c>
      <c r="C402" s="59">
        <f>IFERROR(IF(INDEX(Firms!$O$5:$O$1004,MATCH(398,Firms!$R$5:$R$1004,0))="","",INDEX(Firms!$O$5:$O$1004,MATCH(398,Firms!$R$5:$R$1004,0))),"")</f>
        <v/>
      </c>
      <c r="D402" s="58">
        <f>IFERROR(INDEX(Firms!$P$5:$P$1004,MATCH(398,Firms!$R$5:$R$1004,0))&amp;"","")</f>
        <v/>
      </c>
      <c r="E402" s="58">
        <f>IFERROR(INDEX(Firms!$C$5:$C$1004,MATCH(398,Firms!$R$5:$R$1004,0))&amp;"","")</f>
        <v/>
      </c>
      <c r="F402" s="57">
        <f>IFERROR(INDEX(Firms!$L$5:$L$1004,MATCH(398,Firms!$R$5:$R$1004,0))&amp;"","")</f>
        <v/>
      </c>
      <c r="G402" s="57">
        <f>IFERROR(INDEX(Firms!$M$5:$M$1004,MATCH(398,Firms!$R$5:$R$1004,0))&amp;"","")</f>
        <v/>
      </c>
      <c r="H402" s="58">
        <f>IFERROR(INDEX(Firms!$Q$5:$Q$1004,MATCH(398,Firms!$R$5:$R$1004,0))&amp;"","")</f>
        <v/>
      </c>
    </row>
    <row r="403">
      <c r="A403" s="57">
        <f>IF(B403="","",399)</f>
        <v/>
      </c>
      <c r="B403" s="58">
        <f>IFERROR(INDEX(Firms!$A$5:$A$1004,MATCH(399,Firms!$R$5:$R$1004,0))&amp;"","")</f>
        <v/>
      </c>
      <c r="C403" s="59">
        <f>IFERROR(IF(INDEX(Firms!$O$5:$O$1004,MATCH(399,Firms!$R$5:$R$1004,0))="","",INDEX(Firms!$O$5:$O$1004,MATCH(399,Firms!$R$5:$R$1004,0))),"")</f>
        <v/>
      </c>
      <c r="D403" s="58">
        <f>IFERROR(INDEX(Firms!$P$5:$P$1004,MATCH(399,Firms!$R$5:$R$1004,0))&amp;"","")</f>
        <v/>
      </c>
      <c r="E403" s="58">
        <f>IFERROR(INDEX(Firms!$C$5:$C$1004,MATCH(399,Firms!$R$5:$R$1004,0))&amp;"","")</f>
        <v/>
      </c>
      <c r="F403" s="57">
        <f>IFERROR(INDEX(Firms!$L$5:$L$1004,MATCH(399,Firms!$R$5:$R$1004,0))&amp;"","")</f>
        <v/>
      </c>
      <c r="G403" s="57">
        <f>IFERROR(INDEX(Firms!$M$5:$M$1004,MATCH(399,Firms!$R$5:$R$1004,0))&amp;"","")</f>
        <v/>
      </c>
      <c r="H403" s="58">
        <f>IFERROR(INDEX(Firms!$Q$5:$Q$1004,MATCH(399,Firms!$R$5:$R$1004,0))&amp;"","")</f>
        <v/>
      </c>
    </row>
    <row r="404">
      <c r="A404" s="57">
        <f>IF(B404="","",400)</f>
        <v/>
      </c>
      <c r="B404" s="58">
        <f>IFERROR(INDEX(Firms!$A$5:$A$1004,MATCH(400,Firms!$R$5:$R$1004,0))&amp;"","")</f>
        <v/>
      </c>
      <c r="C404" s="59">
        <f>IFERROR(IF(INDEX(Firms!$O$5:$O$1004,MATCH(400,Firms!$R$5:$R$1004,0))="","",INDEX(Firms!$O$5:$O$1004,MATCH(400,Firms!$R$5:$R$1004,0))),"")</f>
        <v/>
      </c>
      <c r="D404" s="58">
        <f>IFERROR(INDEX(Firms!$P$5:$P$1004,MATCH(400,Firms!$R$5:$R$1004,0))&amp;"","")</f>
        <v/>
      </c>
      <c r="E404" s="58">
        <f>IFERROR(INDEX(Firms!$C$5:$C$1004,MATCH(400,Firms!$R$5:$R$1004,0))&amp;"","")</f>
        <v/>
      </c>
      <c r="F404" s="57">
        <f>IFERROR(INDEX(Firms!$L$5:$L$1004,MATCH(400,Firms!$R$5:$R$1004,0))&amp;"","")</f>
        <v/>
      </c>
      <c r="G404" s="57">
        <f>IFERROR(INDEX(Firms!$M$5:$M$1004,MATCH(400,Firms!$R$5:$R$1004,0))&amp;"","")</f>
        <v/>
      </c>
      <c r="H404" s="58">
        <f>IFERROR(INDEX(Firms!$Q$5:$Q$1004,MATCH(400,Firms!$R$5:$R$1004,0))&amp;"","")</f>
        <v/>
      </c>
    </row>
    <row r="405">
      <c r="A405" s="57">
        <f>IF(B405="","",401)</f>
        <v/>
      </c>
      <c r="B405" s="58">
        <f>IFERROR(INDEX(Firms!$A$5:$A$1004,MATCH(401,Firms!$R$5:$R$1004,0))&amp;"","")</f>
        <v/>
      </c>
      <c r="C405" s="59">
        <f>IFERROR(IF(INDEX(Firms!$O$5:$O$1004,MATCH(401,Firms!$R$5:$R$1004,0))="","",INDEX(Firms!$O$5:$O$1004,MATCH(401,Firms!$R$5:$R$1004,0))),"")</f>
        <v/>
      </c>
      <c r="D405" s="58">
        <f>IFERROR(INDEX(Firms!$P$5:$P$1004,MATCH(401,Firms!$R$5:$R$1004,0))&amp;"","")</f>
        <v/>
      </c>
      <c r="E405" s="58">
        <f>IFERROR(INDEX(Firms!$C$5:$C$1004,MATCH(401,Firms!$R$5:$R$1004,0))&amp;"","")</f>
        <v/>
      </c>
      <c r="F405" s="57">
        <f>IFERROR(INDEX(Firms!$L$5:$L$1004,MATCH(401,Firms!$R$5:$R$1004,0))&amp;"","")</f>
        <v/>
      </c>
      <c r="G405" s="57">
        <f>IFERROR(INDEX(Firms!$M$5:$M$1004,MATCH(401,Firms!$R$5:$R$1004,0))&amp;"","")</f>
        <v/>
      </c>
      <c r="H405" s="58">
        <f>IFERROR(INDEX(Firms!$Q$5:$Q$1004,MATCH(401,Firms!$R$5:$R$1004,0))&amp;"","")</f>
        <v/>
      </c>
    </row>
    <row r="406">
      <c r="A406" s="57">
        <f>IF(B406="","",402)</f>
        <v/>
      </c>
      <c r="B406" s="58">
        <f>IFERROR(INDEX(Firms!$A$5:$A$1004,MATCH(402,Firms!$R$5:$R$1004,0))&amp;"","")</f>
        <v/>
      </c>
      <c r="C406" s="59">
        <f>IFERROR(IF(INDEX(Firms!$O$5:$O$1004,MATCH(402,Firms!$R$5:$R$1004,0))="","",INDEX(Firms!$O$5:$O$1004,MATCH(402,Firms!$R$5:$R$1004,0))),"")</f>
        <v/>
      </c>
      <c r="D406" s="58">
        <f>IFERROR(INDEX(Firms!$P$5:$P$1004,MATCH(402,Firms!$R$5:$R$1004,0))&amp;"","")</f>
        <v/>
      </c>
      <c r="E406" s="58">
        <f>IFERROR(INDEX(Firms!$C$5:$C$1004,MATCH(402,Firms!$R$5:$R$1004,0))&amp;"","")</f>
        <v/>
      </c>
      <c r="F406" s="57">
        <f>IFERROR(INDEX(Firms!$L$5:$L$1004,MATCH(402,Firms!$R$5:$R$1004,0))&amp;"","")</f>
        <v/>
      </c>
      <c r="G406" s="57">
        <f>IFERROR(INDEX(Firms!$M$5:$M$1004,MATCH(402,Firms!$R$5:$R$1004,0))&amp;"","")</f>
        <v/>
      </c>
      <c r="H406" s="58">
        <f>IFERROR(INDEX(Firms!$Q$5:$Q$1004,MATCH(402,Firms!$R$5:$R$1004,0))&amp;"","")</f>
        <v/>
      </c>
    </row>
    <row r="407">
      <c r="A407" s="57">
        <f>IF(B407="","",403)</f>
        <v/>
      </c>
      <c r="B407" s="58">
        <f>IFERROR(INDEX(Firms!$A$5:$A$1004,MATCH(403,Firms!$R$5:$R$1004,0))&amp;"","")</f>
        <v/>
      </c>
      <c r="C407" s="59">
        <f>IFERROR(IF(INDEX(Firms!$O$5:$O$1004,MATCH(403,Firms!$R$5:$R$1004,0))="","",INDEX(Firms!$O$5:$O$1004,MATCH(403,Firms!$R$5:$R$1004,0))),"")</f>
        <v/>
      </c>
      <c r="D407" s="58">
        <f>IFERROR(INDEX(Firms!$P$5:$P$1004,MATCH(403,Firms!$R$5:$R$1004,0))&amp;"","")</f>
        <v/>
      </c>
      <c r="E407" s="58">
        <f>IFERROR(INDEX(Firms!$C$5:$C$1004,MATCH(403,Firms!$R$5:$R$1004,0))&amp;"","")</f>
        <v/>
      </c>
      <c r="F407" s="57">
        <f>IFERROR(INDEX(Firms!$L$5:$L$1004,MATCH(403,Firms!$R$5:$R$1004,0))&amp;"","")</f>
        <v/>
      </c>
      <c r="G407" s="57">
        <f>IFERROR(INDEX(Firms!$M$5:$M$1004,MATCH(403,Firms!$R$5:$R$1004,0))&amp;"","")</f>
        <v/>
      </c>
      <c r="H407" s="58">
        <f>IFERROR(INDEX(Firms!$Q$5:$Q$1004,MATCH(403,Firms!$R$5:$R$1004,0))&amp;"","")</f>
        <v/>
      </c>
    </row>
    <row r="408">
      <c r="A408" s="57">
        <f>IF(B408="","",404)</f>
        <v/>
      </c>
      <c r="B408" s="58">
        <f>IFERROR(INDEX(Firms!$A$5:$A$1004,MATCH(404,Firms!$R$5:$R$1004,0))&amp;"","")</f>
        <v/>
      </c>
      <c r="C408" s="59">
        <f>IFERROR(IF(INDEX(Firms!$O$5:$O$1004,MATCH(404,Firms!$R$5:$R$1004,0))="","",INDEX(Firms!$O$5:$O$1004,MATCH(404,Firms!$R$5:$R$1004,0))),"")</f>
        <v/>
      </c>
      <c r="D408" s="58">
        <f>IFERROR(INDEX(Firms!$P$5:$P$1004,MATCH(404,Firms!$R$5:$R$1004,0))&amp;"","")</f>
        <v/>
      </c>
      <c r="E408" s="58">
        <f>IFERROR(INDEX(Firms!$C$5:$C$1004,MATCH(404,Firms!$R$5:$R$1004,0))&amp;"","")</f>
        <v/>
      </c>
      <c r="F408" s="57">
        <f>IFERROR(INDEX(Firms!$L$5:$L$1004,MATCH(404,Firms!$R$5:$R$1004,0))&amp;"","")</f>
        <v/>
      </c>
      <c r="G408" s="57">
        <f>IFERROR(INDEX(Firms!$M$5:$M$1004,MATCH(404,Firms!$R$5:$R$1004,0))&amp;"","")</f>
        <v/>
      </c>
      <c r="H408" s="58">
        <f>IFERROR(INDEX(Firms!$Q$5:$Q$1004,MATCH(404,Firms!$R$5:$R$1004,0))&amp;"","")</f>
        <v/>
      </c>
    </row>
    <row r="409">
      <c r="A409" s="57">
        <f>IF(B409="","",405)</f>
        <v/>
      </c>
      <c r="B409" s="58">
        <f>IFERROR(INDEX(Firms!$A$5:$A$1004,MATCH(405,Firms!$R$5:$R$1004,0))&amp;"","")</f>
        <v/>
      </c>
      <c r="C409" s="59">
        <f>IFERROR(IF(INDEX(Firms!$O$5:$O$1004,MATCH(405,Firms!$R$5:$R$1004,0))="","",INDEX(Firms!$O$5:$O$1004,MATCH(405,Firms!$R$5:$R$1004,0))),"")</f>
        <v/>
      </c>
      <c r="D409" s="58">
        <f>IFERROR(INDEX(Firms!$P$5:$P$1004,MATCH(405,Firms!$R$5:$R$1004,0))&amp;"","")</f>
        <v/>
      </c>
      <c r="E409" s="58">
        <f>IFERROR(INDEX(Firms!$C$5:$C$1004,MATCH(405,Firms!$R$5:$R$1004,0))&amp;"","")</f>
        <v/>
      </c>
      <c r="F409" s="57">
        <f>IFERROR(INDEX(Firms!$L$5:$L$1004,MATCH(405,Firms!$R$5:$R$1004,0))&amp;"","")</f>
        <v/>
      </c>
      <c r="G409" s="57">
        <f>IFERROR(INDEX(Firms!$M$5:$M$1004,MATCH(405,Firms!$R$5:$R$1004,0))&amp;"","")</f>
        <v/>
      </c>
      <c r="H409" s="58">
        <f>IFERROR(INDEX(Firms!$Q$5:$Q$1004,MATCH(405,Firms!$R$5:$R$1004,0))&amp;"","")</f>
        <v/>
      </c>
    </row>
    <row r="410">
      <c r="A410" s="57">
        <f>IF(B410="","",406)</f>
        <v/>
      </c>
      <c r="B410" s="58">
        <f>IFERROR(INDEX(Firms!$A$5:$A$1004,MATCH(406,Firms!$R$5:$R$1004,0))&amp;"","")</f>
        <v/>
      </c>
      <c r="C410" s="59">
        <f>IFERROR(IF(INDEX(Firms!$O$5:$O$1004,MATCH(406,Firms!$R$5:$R$1004,0))="","",INDEX(Firms!$O$5:$O$1004,MATCH(406,Firms!$R$5:$R$1004,0))),"")</f>
        <v/>
      </c>
      <c r="D410" s="58">
        <f>IFERROR(INDEX(Firms!$P$5:$P$1004,MATCH(406,Firms!$R$5:$R$1004,0))&amp;"","")</f>
        <v/>
      </c>
      <c r="E410" s="58">
        <f>IFERROR(INDEX(Firms!$C$5:$C$1004,MATCH(406,Firms!$R$5:$R$1004,0))&amp;"","")</f>
        <v/>
      </c>
      <c r="F410" s="57">
        <f>IFERROR(INDEX(Firms!$L$5:$L$1004,MATCH(406,Firms!$R$5:$R$1004,0))&amp;"","")</f>
        <v/>
      </c>
      <c r="G410" s="57">
        <f>IFERROR(INDEX(Firms!$M$5:$M$1004,MATCH(406,Firms!$R$5:$R$1004,0))&amp;"","")</f>
        <v/>
      </c>
      <c r="H410" s="58">
        <f>IFERROR(INDEX(Firms!$Q$5:$Q$1004,MATCH(406,Firms!$R$5:$R$1004,0))&amp;"","")</f>
        <v/>
      </c>
    </row>
    <row r="411">
      <c r="A411" s="57">
        <f>IF(B411="","",407)</f>
        <v/>
      </c>
      <c r="B411" s="58">
        <f>IFERROR(INDEX(Firms!$A$5:$A$1004,MATCH(407,Firms!$R$5:$R$1004,0))&amp;"","")</f>
        <v/>
      </c>
      <c r="C411" s="59">
        <f>IFERROR(IF(INDEX(Firms!$O$5:$O$1004,MATCH(407,Firms!$R$5:$R$1004,0))="","",INDEX(Firms!$O$5:$O$1004,MATCH(407,Firms!$R$5:$R$1004,0))),"")</f>
        <v/>
      </c>
      <c r="D411" s="58">
        <f>IFERROR(INDEX(Firms!$P$5:$P$1004,MATCH(407,Firms!$R$5:$R$1004,0))&amp;"","")</f>
        <v/>
      </c>
      <c r="E411" s="58">
        <f>IFERROR(INDEX(Firms!$C$5:$C$1004,MATCH(407,Firms!$R$5:$R$1004,0))&amp;"","")</f>
        <v/>
      </c>
      <c r="F411" s="57">
        <f>IFERROR(INDEX(Firms!$L$5:$L$1004,MATCH(407,Firms!$R$5:$R$1004,0))&amp;"","")</f>
        <v/>
      </c>
      <c r="G411" s="57">
        <f>IFERROR(INDEX(Firms!$M$5:$M$1004,MATCH(407,Firms!$R$5:$R$1004,0))&amp;"","")</f>
        <v/>
      </c>
      <c r="H411" s="58">
        <f>IFERROR(INDEX(Firms!$Q$5:$Q$1004,MATCH(407,Firms!$R$5:$R$1004,0))&amp;"","")</f>
        <v/>
      </c>
    </row>
    <row r="412">
      <c r="A412" s="57">
        <f>IF(B412="","",408)</f>
        <v/>
      </c>
      <c r="B412" s="58">
        <f>IFERROR(INDEX(Firms!$A$5:$A$1004,MATCH(408,Firms!$R$5:$R$1004,0))&amp;"","")</f>
        <v/>
      </c>
      <c r="C412" s="59">
        <f>IFERROR(IF(INDEX(Firms!$O$5:$O$1004,MATCH(408,Firms!$R$5:$R$1004,0))="","",INDEX(Firms!$O$5:$O$1004,MATCH(408,Firms!$R$5:$R$1004,0))),"")</f>
        <v/>
      </c>
      <c r="D412" s="58">
        <f>IFERROR(INDEX(Firms!$P$5:$P$1004,MATCH(408,Firms!$R$5:$R$1004,0))&amp;"","")</f>
        <v/>
      </c>
      <c r="E412" s="58">
        <f>IFERROR(INDEX(Firms!$C$5:$C$1004,MATCH(408,Firms!$R$5:$R$1004,0))&amp;"","")</f>
        <v/>
      </c>
      <c r="F412" s="57">
        <f>IFERROR(INDEX(Firms!$L$5:$L$1004,MATCH(408,Firms!$R$5:$R$1004,0))&amp;"","")</f>
        <v/>
      </c>
      <c r="G412" s="57">
        <f>IFERROR(INDEX(Firms!$M$5:$M$1004,MATCH(408,Firms!$R$5:$R$1004,0))&amp;"","")</f>
        <v/>
      </c>
      <c r="H412" s="58">
        <f>IFERROR(INDEX(Firms!$Q$5:$Q$1004,MATCH(408,Firms!$R$5:$R$1004,0))&amp;"","")</f>
        <v/>
      </c>
    </row>
    <row r="413">
      <c r="A413" s="57">
        <f>IF(B413="","",409)</f>
        <v/>
      </c>
      <c r="B413" s="58">
        <f>IFERROR(INDEX(Firms!$A$5:$A$1004,MATCH(409,Firms!$R$5:$R$1004,0))&amp;"","")</f>
        <v/>
      </c>
      <c r="C413" s="59">
        <f>IFERROR(IF(INDEX(Firms!$O$5:$O$1004,MATCH(409,Firms!$R$5:$R$1004,0))="","",INDEX(Firms!$O$5:$O$1004,MATCH(409,Firms!$R$5:$R$1004,0))),"")</f>
        <v/>
      </c>
      <c r="D413" s="58">
        <f>IFERROR(INDEX(Firms!$P$5:$P$1004,MATCH(409,Firms!$R$5:$R$1004,0))&amp;"","")</f>
        <v/>
      </c>
      <c r="E413" s="58">
        <f>IFERROR(INDEX(Firms!$C$5:$C$1004,MATCH(409,Firms!$R$5:$R$1004,0))&amp;"","")</f>
        <v/>
      </c>
      <c r="F413" s="57">
        <f>IFERROR(INDEX(Firms!$L$5:$L$1004,MATCH(409,Firms!$R$5:$R$1004,0))&amp;"","")</f>
        <v/>
      </c>
      <c r="G413" s="57">
        <f>IFERROR(INDEX(Firms!$M$5:$M$1004,MATCH(409,Firms!$R$5:$R$1004,0))&amp;"","")</f>
        <v/>
      </c>
      <c r="H413" s="58">
        <f>IFERROR(INDEX(Firms!$Q$5:$Q$1004,MATCH(409,Firms!$R$5:$R$1004,0))&amp;"","")</f>
        <v/>
      </c>
    </row>
    <row r="414">
      <c r="A414" s="57">
        <f>IF(B414="","",410)</f>
        <v/>
      </c>
      <c r="B414" s="58">
        <f>IFERROR(INDEX(Firms!$A$5:$A$1004,MATCH(410,Firms!$R$5:$R$1004,0))&amp;"","")</f>
        <v/>
      </c>
      <c r="C414" s="59">
        <f>IFERROR(IF(INDEX(Firms!$O$5:$O$1004,MATCH(410,Firms!$R$5:$R$1004,0))="","",INDEX(Firms!$O$5:$O$1004,MATCH(410,Firms!$R$5:$R$1004,0))),"")</f>
        <v/>
      </c>
      <c r="D414" s="58">
        <f>IFERROR(INDEX(Firms!$P$5:$P$1004,MATCH(410,Firms!$R$5:$R$1004,0))&amp;"","")</f>
        <v/>
      </c>
      <c r="E414" s="58">
        <f>IFERROR(INDEX(Firms!$C$5:$C$1004,MATCH(410,Firms!$R$5:$R$1004,0))&amp;"","")</f>
        <v/>
      </c>
      <c r="F414" s="57">
        <f>IFERROR(INDEX(Firms!$L$5:$L$1004,MATCH(410,Firms!$R$5:$R$1004,0))&amp;"","")</f>
        <v/>
      </c>
      <c r="G414" s="57">
        <f>IFERROR(INDEX(Firms!$M$5:$M$1004,MATCH(410,Firms!$R$5:$R$1004,0))&amp;"","")</f>
        <v/>
      </c>
      <c r="H414" s="58">
        <f>IFERROR(INDEX(Firms!$Q$5:$Q$1004,MATCH(410,Firms!$R$5:$R$1004,0))&amp;"","")</f>
        <v/>
      </c>
    </row>
    <row r="415">
      <c r="A415" s="57">
        <f>IF(B415="","",411)</f>
        <v/>
      </c>
      <c r="B415" s="58">
        <f>IFERROR(INDEX(Firms!$A$5:$A$1004,MATCH(411,Firms!$R$5:$R$1004,0))&amp;"","")</f>
        <v/>
      </c>
      <c r="C415" s="59">
        <f>IFERROR(IF(INDEX(Firms!$O$5:$O$1004,MATCH(411,Firms!$R$5:$R$1004,0))="","",INDEX(Firms!$O$5:$O$1004,MATCH(411,Firms!$R$5:$R$1004,0))),"")</f>
        <v/>
      </c>
      <c r="D415" s="58">
        <f>IFERROR(INDEX(Firms!$P$5:$P$1004,MATCH(411,Firms!$R$5:$R$1004,0))&amp;"","")</f>
        <v/>
      </c>
      <c r="E415" s="58">
        <f>IFERROR(INDEX(Firms!$C$5:$C$1004,MATCH(411,Firms!$R$5:$R$1004,0))&amp;"","")</f>
        <v/>
      </c>
      <c r="F415" s="57">
        <f>IFERROR(INDEX(Firms!$L$5:$L$1004,MATCH(411,Firms!$R$5:$R$1004,0))&amp;"","")</f>
        <v/>
      </c>
      <c r="G415" s="57">
        <f>IFERROR(INDEX(Firms!$M$5:$M$1004,MATCH(411,Firms!$R$5:$R$1004,0))&amp;"","")</f>
        <v/>
      </c>
      <c r="H415" s="58">
        <f>IFERROR(INDEX(Firms!$Q$5:$Q$1004,MATCH(411,Firms!$R$5:$R$1004,0))&amp;"","")</f>
        <v/>
      </c>
    </row>
    <row r="416">
      <c r="A416" s="57">
        <f>IF(B416="","",412)</f>
        <v/>
      </c>
      <c r="B416" s="58">
        <f>IFERROR(INDEX(Firms!$A$5:$A$1004,MATCH(412,Firms!$R$5:$R$1004,0))&amp;"","")</f>
        <v/>
      </c>
      <c r="C416" s="59">
        <f>IFERROR(IF(INDEX(Firms!$O$5:$O$1004,MATCH(412,Firms!$R$5:$R$1004,0))="","",INDEX(Firms!$O$5:$O$1004,MATCH(412,Firms!$R$5:$R$1004,0))),"")</f>
        <v/>
      </c>
      <c r="D416" s="58">
        <f>IFERROR(INDEX(Firms!$P$5:$P$1004,MATCH(412,Firms!$R$5:$R$1004,0))&amp;"","")</f>
        <v/>
      </c>
      <c r="E416" s="58">
        <f>IFERROR(INDEX(Firms!$C$5:$C$1004,MATCH(412,Firms!$R$5:$R$1004,0))&amp;"","")</f>
        <v/>
      </c>
      <c r="F416" s="57">
        <f>IFERROR(INDEX(Firms!$L$5:$L$1004,MATCH(412,Firms!$R$5:$R$1004,0))&amp;"","")</f>
        <v/>
      </c>
      <c r="G416" s="57">
        <f>IFERROR(INDEX(Firms!$M$5:$M$1004,MATCH(412,Firms!$R$5:$R$1004,0))&amp;"","")</f>
        <v/>
      </c>
      <c r="H416" s="58">
        <f>IFERROR(INDEX(Firms!$Q$5:$Q$1004,MATCH(412,Firms!$R$5:$R$1004,0))&amp;"","")</f>
        <v/>
      </c>
    </row>
    <row r="417">
      <c r="A417" s="57">
        <f>IF(B417="","",413)</f>
        <v/>
      </c>
      <c r="B417" s="58">
        <f>IFERROR(INDEX(Firms!$A$5:$A$1004,MATCH(413,Firms!$R$5:$R$1004,0))&amp;"","")</f>
        <v/>
      </c>
      <c r="C417" s="59">
        <f>IFERROR(IF(INDEX(Firms!$O$5:$O$1004,MATCH(413,Firms!$R$5:$R$1004,0))="","",INDEX(Firms!$O$5:$O$1004,MATCH(413,Firms!$R$5:$R$1004,0))),"")</f>
        <v/>
      </c>
      <c r="D417" s="58">
        <f>IFERROR(INDEX(Firms!$P$5:$P$1004,MATCH(413,Firms!$R$5:$R$1004,0))&amp;"","")</f>
        <v/>
      </c>
      <c r="E417" s="58">
        <f>IFERROR(INDEX(Firms!$C$5:$C$1004,MATCH(413,Firms!$R$5:$R$1004,0))&amp;"","")</f>
        <v/>
      </c>
      <c r="F417" s="57">
        <f>IFERROR(INDEX(Firms!$L$5:$L$1004,MATCH(413,Firms!$R$5:$R$1004,0))&amp;"","")</f>
        <v/>
      </c>
      <c r="G417" s="57">
        <f>IFERROR(INDEX(Firms!$M$5:$M$1004,MATCH(413,Firms!$R$5:$R$1004,0))&amp;"","")</f>
        <v/>
      </c>
      <c r="H417" s="58">
        <f>IFERROR(INDEX(Firms!$Q$5:$Q$1004,MATCH(413,Firms!$R$5:$R$1004,0))&amp;"","")</f>
        <v/>
      </c>
    </row>
    <row r="418">
      <c r="A418" s="57">
        <f>IF(B418="","",414)</f>
        <v/>
      </c>
      <c r="B418" s="58">
        <f>IFERROR(INDEX(Firms!$A$5:$A$1004,MATCH(414,Firms!$R$5:$R$1004,0))&amp;"","")</f>
        <v/>
      </c>
      <c r="C418" s="59">
        <f>IFERROR(IF(INDEX(Firms!$O$5:$O$1004,MATCH(414,Firms!$R$5:$R$1004,0))="","",INDEX(Firms!$O$5:$O$1004,MATCH(414,Firms!$R$5:$R$1004,0))),"")</f>
        <v/>
      </c>
      <c r="D418" s="58">
        <f>IFERROR(INDEX(Firms!$P$5:$P$1004,MATCH(414,Firms!$R$5:$R$1004,0))&amp;"","")</f>
        <v/>
      </c>
      <c r="E418" s="58">
        <f>IFERROR(INDEX(Firms!$C$5:$C$1004,MATCH(414,Firms!$R$5:$R$1004,0))&amp;"","")</f>
        <v/>
      </c>
      <c r="F418" s="57">
        <f>IFERROR(INDEX(Firms!$L$5:$L$1004,MATCH(414,Firms!$R$5:$R$1004,0))&amp;"","")</f>
        <v/>
      </c>
      <c r="G418" s="57">
        <f>IFERROR(INDEX(Firms!$M$5:$M$1004,MATCH(414,Firms!$R$5:$R$1004,0))&amp;"","")</f>
        <v/>
      </c>
      <c r="H418" s="58">
        <f>IFERROR(INDEX(Firms!$Q$5:$Q$1004,MATCH(414,Firms!$R$5:$R$1004,0))&amp;"","")</f>
        <v/>
      </c>
    </row>
    <row r="419">
      <c r="A419" s="57">
        <f>IF(B419="","",415)</f>
        <v/>
      </c>
      <c r="B419" s="58">
        <f>IFERROR(INDEX(Firms!$A$5:$A$1004,MATCH(415,Firms!$R$5:$R$1004,0))&amp;"","")</f>
        <v/>
      </c>
      <c r="C419" s="59">
        <f>IFERROR(IF(INDEX(Firms!$O$5:$O$1004,MATCH(415,Firms!$R$5:$R$1004,0))="","",INDEX(Firms!$O$5:$O$1004,MATCH(415,Firms!$R$5:$R$1004,0))),"")</f>
        <v/>
      </c>
      <c r="D419" s="58">
        <f>IFERROR(INDEX(Firms!$P$5:$P$1004,MATCH(415,Firms!$R$5:$R$1004,0))&amp;"","")</f>
        <v/>
      </c>
      <c r="E419" s="58">
        <f>IFERROR(INDEX(Firms!$C$5:$C$1004,MATCH(415,Firms!$R$5:$R$1004,0))&amp;"","")</f>
        <v/>
      </c>
      <c r="F419" s="57">
        <f>IFERROR(INDEX(Firms!$L$5:$L$1004,MATCH(415,Firms!$R$5:$R$1004,0))&amp;"","")</f>
        <v/>
      </c>
      <c r="G419" s="57">
        <f>IFERROR(INDEX(Firms!$M$5:$M$1004,MATCH(415,Firms!$R$5:$R$1004,0))&amp;"","")</f>
        <v/>
      </c>
      <c r="H419" s="58">
        <f>IFERROR(INDEX(Firms!$Q$5:$Q$1004,MATCH(415,Firms!$R$5:$R$1004,0))&amp;"","")</f>
        <v/>
      </c>
    </row>
    <row r="420">
      <c r="A420" s="57">
        <f>IF(B420="","",416)</f>
        <v/>
      </c>
      <c r="B420" s="58">
        <f>IFERROR(INDEX(Firms!$A$5:$A$1004,MATCH(416,Firms!$R$5:$R$1004,0))&amp;"","")</f>
        <v/>
      </c>
      <c r="C420" s="59">
        <f>IFERROR(IF(INDEX(Firms!$O$5:$O$1004,MATCH(416,Firms!$R$5:$R$1004,0))="","",INDEX(Firms!$O$5:$O$1004,MATCH(416,Firms!$R$5:$R$1004,0))),"")</f>
        <v/>
      </c>
      <c r="D420" s="58">
        <f>IFERROR(INDEX(Firms!$P$5:$P$1004,MATCH(416,Firms!$R$5:$R$1004,0))&amp;"","")</f>
        <v/>
      </c>
      <c r="E420" s="58">
        <f>IFERROR(INDEX(Firms!$C$5:$C$1004,MATCH(416,Firms!$R$5:$R$1004,0))&amp;"","")</f>
        <v/>
      </c>
      <c r="F420" s="57">
        <f>IFERROR(INDEX(Firms!$L$5:$L$1004,MATCH(416,Firms!$R$5:$R$1004,0))&amp;"","")</f>
        <v/>
      </c>
      <c r="G420" s="57">
        <f>IFERROR(INDEX(Firms!$M$5:$M$1004,MATCH(416,Firms!$R$5:$R$1004,0))&amp;"","")</f>
        <v/>
      </c>
      <c r="H420" s="58">
        <f>IFERROR(INDEX(Firms!$Q$5:$Q$1004,MATCH(416,Firms!$R$5:$R$1004,0))&amp;"","")</f>
        <v/>
      </c>
    </row>
    <row r="421">
      <c r="A421" s="57">
        <f>IF(B421="","",417)</f>
        <v/>
      </c>
      <c r="B421" s="58">
        <f>IFERROR(INDEX(Firms!$A$5:$A$1004,MATCH(417,Firms!$R$5:$R$1004,0))&amp;"","")</f>
        <v/>
      </c>
      <c r="C421" s="59">
        <f>IFERROR(IF(INDEX(Firms!$O$5:$O$1004,MATCH(417,Firms!$R$5:$R$1004,0))="","",INDEX(Firms!$O$5:$O$1004,MATCH(417,Firms!$R$5:$R$1004,0))),"")</f>
        <v/>
      </c>
      <c r="D421" s="58">
        <f>IFERROR(INDEX(Firms!$P$5:$P$1004,MATCH(417,Firms!$R$5:$R$1004,0))&amp;"","")</f>
        <v/>
      </c>
      <c r="E421" s="58">
        <f>IFERROR(INDEX(Firms!$C$5:$C$1004,MATCH(417,Firms!$R$5:$R$1004,0))&amp;"","")</f>
        <v/>
      </c>
      <c r="F421" s="57">
        <f>IFERROR(INDEX(Firms!$L$5:$L$1004,MATCH(417,Firms!$R$5:$R$1004,0))&amp;"","")</f>
        <v/>
      </c>
      <c r="G421" s="57">
        <f>IFERROR(INDEX(Firms!$M$5:$M$1004,MATCH(417,Firms!$R$5:$R$1004,0))&amp;"","")</f>
        <v/>
      </c>
      <c r="H421" s="58">
        <f>IFERROR(INDEX(Firms!$Q$5:$Q$1004,MATCH(417,Firms!$R$5:$R$1004,0))&amp;"","")</f>
        <v/>
      </c>
    </row>
    <row r="422">
      <c r="A422" s="57">
        <f>IF(B422="","",418)</f>
        <v/>
      </c>
      <c r="B422" s="58">
        <f>IFERROR(INDEX(Firms!$A$5:$A$1004,MATCH(418,Firms!$R$5:$R$1004,0))&amp;"","")</f>
        <v/>
      </c>
      <c r="C422" s="59">
        <f>IFERROR(IF(INDEX(Firms!$O$5:$O$1004,MATCH(418,Firms!$R$5:$R$1004,0))="","",INDEX(Firms!$O$5:$O$1004,MATCH(418,Firms!$R$5:$R$1004,0))),"")</f>
        <v/>
      </c>
      <c r="D422" s="58">
        <f>IFERROR(INDEX(Firms!$P$5:$P$1004,MATCH(418,Firms!$R$5:$R$1004,0))&amp;"","")</f>
        <v/>
      </c>
      <c r="E422" s="58">
        <f>IFERROR(INDEX(Firms!$C$5:$C$1004,MATCH(418,Firms!$R$5:$R$1004,0))&amp;"","")</f>
        <v/>
      </c>
      <c r="F422" s="57">
        <f>IFERROR(INDEX(Firms!$L$5:$L$1004,MATCH(418,Firms!$R$5:$R$1004,0))&amp;"","")</f>
        <v/>
      </c>
      <c r="G422" s="57">
        <f>IFERROR(INDEX(Firms!$M$5:$M$1004,MATCH(418,Firms!$R$5:$R$1004,0))&amp;"","")</f>
        <v/>
      </c>
      <c r="H422" s="58">
        <f>IFERROR(INDEX(Firms!$Q$5:$Q$1004,MATCH(418,Firms!$R$5:$R$1004,0))&amp;"","")</f>
        <v/>
      </c>
    </row>
    <row r="423">
      <c r="A423" s="57">
        <f>IF(B423="","",419)</f>
        <v/>
      </c>
      <c r="B423" s="58">
        <f>IFERROR(INDEX(Firms!$A$5:$A$1004,MATCH(419,Firms!$R$5:$R$1004,0))&amp;"","")</f>
        <v/>
      </c>
      <c r="C423" s="59">
        <f>IFERROR(IF(INDEX(Firms!$O$5:$O$1004,MATCH(419,Firms!$R$5:$R$1004,0))="","",INDEX(Firms!$O$5:$O$1004,MATCH(419,Firms!$R$5:$R$1004,0))),"")</f>
        <v/>
      </c>
      <c r="D423" s="58">
        <f>IFERROR(INDEX(Firms!$P$5:$P$1004,MATCH(419,Firms!$R$5:$R$1004,0))&amp;"","")</f>
        <v/>
      </c>
      <c r="E423" s="58">
        <f>IFERROR(INDEX(Firms!$C$5:$C$1004,MATCH(419,Firms!$R$5:$R$1004,0))&amp;"","")</f>
        <v/>
      </c>
      <c r="F423" s="57">
        <f>IFERROR(INDEX(Firms!$L$5:$L$1004,MATCH(419,Firms!$R$5:$R$1004,0))&amp;"","")</f>
        <v/>
      </c>
      <c r="G423" s="57">
        <f>IFERROR(INDEX(Firms!$M$5:$M$1004,MATCH(419,Firms!$R$5:$R$1004,0))&amp;"","")</f>
        <v/>
      </c>
      <c r="H423" s="58">
        <f>IFERROR(INDEX(Firms!$Q$5:$Q$1004,MATCH(419,Firms!$R$5:$R$1004,0))&amp;"","")</f>
        <v/>
      </c>
    </row>
    <row r="424">
      <c r="A424" s="57">
        <f>IF(B424="","",420)</f>
        <v/>
      </c>
      <c r="B424" s="58">
        <f>IFERROR(INDEX(Firms!$A$5:$A$1004,MATCH(420,Firms!$R$5:$R$1004,0))&amp;"","")</f>
        <v/>
      </c>
      <c r="C424" s="59">
        <f>IFERROR(IF(INDEX(Firms!$O$5:$O$1004,MATCH(420,Firms!$R$5:$R$1004,0))="","",INDEX(Firms!$O$5:$O$1004,MATCH(420,Firms!$R$5:$R$1004,0))),"")</f>
        <v/>
      </c>
      <c r="D424" s="58">
        <f>IFERROR(INDEX(Firms!$P$5:$P$1004,MATCH(420,Firms!$R$5:$R$1004,0))&amp;"","")</f>
        <v/>
      </c>
      <c r="E424" s="58">
        <f>IFERROR(INDEX(Firms!$C$5:$C$1004,MATCH(420,Firms!$R$5:$R$1004,0))&amp;"","")</f>
        <v/>
      </c>
      <c r="F424" s="57">
        <f>IFERROR(INDEX(Firms!$L$5:$L$1004,MATCH(420,Firms!$R$5:$R$1004,0))&amp;"","")</f>
        <v/>
      </c>
      <c r="G424" s="57">
        <f>IFERROR(INDEX(Firms!$M$5:$M$1004,MATCH(420,Firms!$R$5:$R$1004,0))&amp;"","")</f>
        <v/>
      </c>
      <c r="H424" s="58">
        <f>IFERROR(INDEX(Firms!$Q$5:$Q$1004,MATCH(420,Firms!$R$5:$R$1004,0))&amp;"","")</f>
        <v/>
      </c>
    </row>
    <row r="425">
      <c r="A425" s="57">
        <f>IF(B425="","",421)</f>
        <v/>
      </c>
      <c r="B425" s="58">
        <f>IFERROR(INDEX(Firms!$A$5:$A$1004,MATCH(421,Firms!$R$5:$R$1004,0))&amp;"","")</f>
        <v/>
      </c>
      <c r="C425" s="59">
        <f>IFERROR(IF(INDEX(Firms!$O$5:$O$1004,MATCH(421,Firms!$R$5:$R$1004,0))="","",INDEX(Firms!$O$5:$O$1004,MATCH(421,Firms!$R$5:$R$1004,0))),"")</f>
        <v/>
      </c>
      <c r="D425" s="58">
        <f>IFERROR(INDEX(Firms!$P$5:$P$1004,MATCH(421,Firms!$R$5:$R$1004,0))&amp;"","")</f>
        <v/>
      </c>
      <c r="E425" s="58">
        <f>IFERROR(INDEX(Firms!$C$5:$C$1004,MATCH(421,Firms!$R$5:$R$1004,0))&amp;"","")</f>
        <v/>
      </c>
      <c r="F425" s="57">
        <f>IFERROR(INDEX(Firms!$L$5:$L$1004,MATCH(421,Firms!$R$5:$R$1004,0))&amp;"","")</f>
        <v/>
      </c>
      <c r="G425" s="57">
        <f>IFERROR(INDEX(Firms!$M$5:$M$1004,MATCH(421,Firms!$R$5:$R$1004,0))&amp;"","")</f>
        <v/>
      </c>
      <c r="H425" s="58">
        <f>IFERROR(INDEX(Firms!$Q$5:$Q$1004,MATCH(421,Firms!$R$5:$R$1004,0))&amp;"","")</f>
        <v/>
      </c>
    </row>
    <row r="426">
      <c r="A426" s="57">
        <f>IF(B426="","",422)</f>
        <v/>
      </c>
      <c r="B426" s="58">
        <f>IFERROR(INDEX(Firms!$A$5:$A$1004,MATCH(422,Firms!$R$5:$R$1004,0))&amp;"","")</f>
        <v/>
      </c>
      <c r="C426" s="59">
        <f>IFERROR(IF(INDEX(Firms!$O$5:$O$1004,MATCH(422,Firms!$R$5:$R$1004,0))="","",INDEX(Firms!$O$5:$O$1004,MATCH(422,Firms!$R$5:$R$1004,0))),"")</f>
        <v/>
      </c>
      <c r="D426" s="58">
        <f>IFERROR(INDEX(Firms!$P$5:$P$1004,MATCH(422,Firms!$R$5:$R$1004,0))&amp;"","")</f>
        <v/>
      </c>
      <c r="E426" s="58">
        <f>IFERROR(INDEX(Firms!$C$5:$C$1004,MATCH(422,Firms!$R$5:$R$1004,0))&amp;"","")</f>
        <v/>
      </c>
      <c r="F426" s="57">
        <f>IFERROR(INDEX(Firms!$L$5:$L$1004,MATCH(422,Firms!$R$5:$R$1004,0))&amp;"","")</f>
        <v/>
      </c>
      <c r="G426" s="57">
        <f>IFERROR(INDEX(Firms!$M$5:$M$1004,MATCH(422,Firms!$R$5:$R$1004,0))&amp;"","")</f>
        <v/>
      </c>
      <c r="H426" s="58">
        <f>IFERROR(INDEX(Firms!$Q$5:$Q$1004,MATCH(422,Firms!$R$5:$R$1004,0))&amp;"","")</f>
        <v/>
      </c>
    </row>
    <row r="427">
      <c r="A427" s="57">
        <f>IF(B427="","",423)</f>
        <v/>
      </c>
      <c r="B427" s="58">
        <f>IFERROR(INDEX(Firms!$A$5:$A$1004,MATCH(423,Firms!$R$5:$R$1004,0))&amp;"","")</f>
        <v/>
      </c>
      <c r="C427" s="59">
        <f>IFERROR(IF(INDEX(Firms!$O$5:$O$1004,MATCH(423,Firms!$R$5:$R$1004,0))="","",INDEX(Firms!$O$5:$O$1004,MATCH(423,Firms!$R$5:$R$1004,0))),"")</f>
        <v/>
      </c>
      <c r="D427" s="58">
        <f>IFERROR(INDEX(Firms!$P$5:$P$1004,MATCH(423,Firms!$R$5:$R$1004,0))&amp;"","")</f>
        <v/>
      </c>
      <c r="E427" s="58">
        <f>IFERROR(INDEX(Firms!$C$5:$C$1004,MATCH(423,Firms!$R$5:$R$1004,0))&amp;"","")</f>
        <v/>
      </c>
      <c r="F427" s="57">
        <f>IFERROR(INDEX(Firms!$L$5:$L$1004,MATCH(423,Firms!$R$5:$R$1004,0))&amp;"","")</f>
        <v/>
      </c>
      <c r="G427" s="57">
        <f>IFERROR(INDEX(Firms!$M$5:$M$1004,MATCH(423,Firms!$R$5:$R$1004,0))&amp;"","")</f>
        <v/>
      </c>
      <c r="H427" s="58">
        <f>IFERROR(INDEX(Firms!$Q$5:$Q$1004,MATCH(423,Firms!$R$5:$R$1004,0))&amp;"","")</f>
        <v/>
      </c>
    </row>
    <row r="428">
      <c r="A428" s="57">
        <f>IF(B428="","",424)</f>
        <v/>
      </c>
      <c r="B428" s="58">
        <f>IFERROR(INDEX(Firms!$A$5:$A$1004,MATCH(424,Firms!$R$5:$R$1004,0))&amp;"","")</f>
        <v/>
      </c>
      <c r="C428" s="59">
        <f>IFERROR(IF(INDEX(Firms!$O$5:$O$1004,MATCH(424,Firms!$R$5:$R$1004,0))="","",INDEX(Firms!$O$5:$O$1004,MATCH(424,Firms!$R$5:$R$1004,0))),"")</f>
        <v/>
      </c>
      <c r="D428" s="58">
        <f>IFERROR(INDEX(Firms!$P$5:$P$1004,MATCH(424,Firms!$R$5:$R$1004,0))&amp;"","")</f>
        <v/>
      </c>
      <c r="E428" s="58">
        <f>IFERROR(INDEX(Firms!$C$5:$C$1004,MATCH(424,Firms!$R$5:$R$1004,0))&amp;"","")</f>
        <v/>
      </c>
      <c r="F428" s="57">
        <f>IFERROR(INDEX(Firms!$L$5:$L$1004,MATCH(424,Firms!$R$5:$R$1004,0))&amp;"","")</f>
        <v/>
      </c>
      <c r="G428" s="57">
        <f>IFERROR(INDEX(Firms!$M$5:$M$1004,MATCH(424,Firms!$R$5:$R$1004,0))&amp;"","")</f>
        <v/>
      </c>
      <c r="H428" s="58">
        <f>IFERROR(INDEX(Firms!$Q$5:$Q$1004,MATCH(424,Firms!$R$5:$R$1004,0))&amp;"","")</f>
        <v/>
      </c>
    </row>
    <row r="429">
      <c r="A429" s="57">
        <f>IF(B429="","",425)</f>
        <v/>
      </c>
      <c r="B429" s="58">
        <f>IFERROR(INDEX(Firms!$A$5:$A$1004,MATCH(425,Firms!$R$5:$R$1004,0))&amp;"","")</f>
        <v/>
      </c>
      <c r="C429" s="59">
        <f>IFERROR(IF(INDEX(Firms!$O$5:$O$1004,MATCH(425,Firms!$R$5:$R$1004,0))="","",INDEX(Firms!$O$5:$O$1004,MATCH(425,Firms!$R$5:$R$1004,0))),"")</f>
        <v/>
      </c>
      <c r="D429" s="58">
        <f>IFERROR(INDEX(Firms!$P$5:$P$1004,MATCH(425,Firms!$R$5:$R$1004,0))&amp;"","")</f>
        <v/>
      </c>
      <c r="E429" s="58">
        <f>IFERROR(INDEX(Firms!$C$5:$C$1004,MATCH(425,Firms!$R$5:$R$1004,0))&amp;"","")</f>
        <v/>
      </c>
      <c r="F429" s="57">
        <f>IFERROR(INDEX(Firms!$L$5:$L$1004,MATCH(425,Firms!$R$5:$R$1004,0))&amp;"","")</f>
        <v/>
      </c>
      <c r="G429" s="57">
        <f>IFERROR(INDEX(Firms!$M$5:$M$1004,MATCH(425,Firms!$R$5:$R$1004,0))&amp;"","")</f>
        <v/>
      </c>
      <c r="H429" s="58">
        <f>IFERROR(INDEX(Firms!$Q$5:$Q$1004,MATCH(425,Firms!$R$5:$R$1004,0))&amp;"","")</f>
        <v/>
      </c>
    </row>
    <row r="430">
      <c r="A430" s="57">
        <f>IF(B430="","",426)</f>
        <v/>
      </c>
      <c r="B430" s="58">
        <f>IFERROR(INDEX(Firms!$A$5:$A$1004,MATCH(426,Firms!$R$5:$R$1004,0))&amp;"","")</f>
        <v/>
      </c>
      <c r="C430" s="59">
        <f>IFERROR(IF(INDEX(Firms!$O$5:$O$1004,MATCH(426,Firms!$R$5:$R$1004,0))="","",INDEX(Firms!$O$5:$O$1004,MATCH(426,Firms!$R$5:$R$1004,0))),"")</f>
        <v/>
      </c>
      <c r="D430" s="58">
        <f>IFERROR(INDEX(Firms!$P$5:$P$1004,MATCH(426,Firms!$R$5:$R$1004,0))&amp;"","")</f>
        <v/>
      </c>
      <c r="E430" s="58">
        <f>IFERROR(INDEX(Firms!$C$5:$C$1004,MATCH(426,Firms!$R$5:$R$1004,0))&amp;"","")</f>
        <v/>
      </c>
      <c r="F430" s="57">
        <f>IFERROR(INDEX(Firms!$L$5:$L$1004,MATCH(426,Firms!$R$5:$R$1004,0))&amp;"","")</f>
        <v/>
      </c>
      <c r="G430" s="57">
        <f>IFERROR(INDEX(Firms!$M$5:$M$1004,MATCH(426,Firms!$R$5:$R$1004,0))&amp;"","")</f>
        <v/>
      </c>
      <c r="H430" s="58">
        <f>IFERROR(INDEX(Firms!$Q$5:$Q$1004,MATCH(426,Firms!$R$5:$R$1004,0))&amp;"","")</f>
        <v/>
      </c>
    </row>
    <row r="431">
      <c r="A431" s="57">
        <f>IF(B431="","",427)</f>
        <v/>
      </c>
      <c r="B431" s="58">
        <f>IFERROR(INDEX(Firms!$A$5:$A$1004,MATCH(427,Firms!$R$5:$R$1004,0))&amp;"","")</f>
        <v/>
      </c>
      <c r="C431" s="59">
        <f>IFERROR(IF(INDEX(Firms!$O$5:$O$1004,MATCH(427,Firms!$R$5:$R$1004,0))="","",INDEX(Firms!$O$5:$O$1004,MATCH(427,Firms!$R$5:$R$1004,0))),"")</f>
        <v/>
      </c>
      <c r="D431" s="58">
        <f>IFERROR(INDEX(Firms!$P$5:$P$1004,MATCH(427,Firms!$R$5:$R$1004,0))&amp;"","")</f>
        <v/>
      </c>
      <c r="E431" s="58">
        <f>IFERROR(INDEX(Firms!$C$5:$C$1004,MATCH(427,Firms!$R$5:$R$1004,0))&amp;"","")</f>
        <v/>
      </c>
      <c r="F431" s="57">
        <f>IFERROR(INDEX(Firms!$L$5:$L$1004,MATCH(427,Firms!$R$5:$R$1004,0))&amp;"","")</f>
        <v/>
      </c>
      <c r="G431" s="57">
        <f>IFERROR(INDEX(Firms!$M$5:$M$1004,MATCH(427,Firms!$R$5:$R$1004,0))&amp;"","")</f>
        <v/>
      </c>
      <c r="H431" s="58">
        <f>IFERROR(INDEX(Firms!$Q$5:$Q$1004,MATCH(427,Firms!$R$5:$R$1004,0))&amp;"","")</f>
        <v/>
      </c>
    </row>
    <row r="432">
      <c r="A432" s="57">
        <f>IF(B432="","",428)</f>
        <v/>
      </c>
      <c r="B432" s="58">
        <f>IFERROR(INDEX(Firms!$A$5:$A$1004,MATCH(428,Firms!$R$5:$R$1004,0))&amp;"","")</f>
        <v/>
      </c>
      <c r="C432" s="59">
        <f>IFERROR(IF(INDEX(Firms!$O$5:$O$1004,MATCH(428,Firms!$R$5:$R$1004,0))="","",INDEX(Firms!$O$5:$O$1004,MATCH(428,Firms!$R$5:$R$1004,0))),"")</f>
        <v/>
      </c>
      <c r="D432" s="58">
        <f>IFERROR(INDEX(Firms!$P$5:$P$1004,MATCH(428,Firms!$R$5:$R$1004,0))&amp;"","")</f>
        <v/>
      </c>
      <c r="E432" s="58">
        <f>IFERROR(INDEX(Firms!$C$5:$C$1004,MATCH(428,Firms!$R$5:$R$1004,0))&amp;"","")</f>
        <v/>
      </c>
      <c r="F432" s="57">
        <f>IFERROR(INDEX(Firms!$L$5:$L$1004,MATCH(428,Firms!$R$5:$R$1004,0))&amp;"","")</f>
        <v/>
      </c>
      <c r="G432" s="57">
        <f>IFERROR(INDEX(Firms!$M$5:$M$1004,MATCH(428,Firms!$R$5:$R$1004,0))&amp;"","")</f>
        <v/>
      </c>
      <c r="H432" s="58">
        <f>IFERROR(INDEX(Firms!$Q$5:$Q$1004,MATCH(428,Firms!$R$5:$R$1004,0))&amp;"","")</f>
        <v/>
      </c>
    </row>
    <row r="433">
      <c r="A433" s="57">
        <f>IF(B433="","",429)</f>
        <v/>
      </c>
      <c r="B433" s="58">
        <f>IFERROR(INDEX(Firms!$A$5:$A$1004,MATCH(429,Firms!$R$5:$R$1004,0))&amp;"","")</f>
        <v/>
      </c>
      <c r="C433" s="59">
        <f>IFERROR(IF(INDEX(Firms!$O$5:$O$1004,MATCH(429,Firms!$R$5:$R$1004,0))="","",INDEX(Firms!$O$5:$O$1004,MATCH(429,Firms!$R$5:$R$1004,0))),"")</f>
        <v/>
      </c>
      <c r="D433" s="58">
        <f>IFERROR(INDEX(Firms!$P$5:$P$1004,MATCH(429,Firms!$R$5:$R$1004,0))&amp;"","")</f>
        <v/>
      </c>
      <c r="E433" s="58">
        <f>IFERROR(INDEX(Firms!$C$5:$C$1004,MATCH(429,Firms!$R$5:$R$1004,0))&amp;"","")</f>
        <v/>
      </c>
      <c r="F433" s="57">
        <f>IFERROR(INDEX(Firms!$L$5:$L$1004,MATCH(429,Firms!$R$5:$R$1004,0))&amp;"","")</f>
        <v/>
      </c>
      <c r="G433" s="57">
        <f>IFERROR(INDEX(Firms!$M$5:$M$1004,MATCH(429,Firms!$R$5:$R$1004,0))&amp;"","")</f>
        <v/>
      </c>
      <c r="H433" s="58">
        <f>IFERROR(INDEX(Firms!$Q$5:$Q$1004,MATCH(429,Firms!$R$5:$R$1004,0))&amp;"","")</f>
        <v/>
      </c>
    </row>
    <row r="434">
      <c r="A434" s="57">
        <f>IF(B434="","",430)</f>
        <v/>
      </c>
      <c r="B434" s="58">
        <f>IFERROR(INDEX(Firms!$A$5:$A$1004,MATCH(430,Firms!$R$5:$R$1004,0))&amp;"","")</f>
        <v/>
      </c>
      <c r="C434" s="59">
        <f>IFERROR(IF(INDEX(Firms!$O$5:$O$1004,MATCH(430,Firms!$R$5:$R$1004,0))="","",INDEX(Firms!$O$5:$O$1004,MATCH(430,Firms!$R$5:$R$1004,0))),"")</f>
        <v/>
      </c>
      <c r="D434" s="58">
        <f>IFERROR(INDEX(Firms!$P$5:$P$1004,MATCH(430,Firms!$R$5:$R$1004,0))&amp;"","")</f>
        <v/>
      </c>
      <c r="E434" s="58">
        <f>IFERROR(INDEX(Firms!$C$5:$C$1004,MATCH(430,Firms!$R$5:$R$1004,0))&amp;"","")</f>
        <v/>
      </c>
      <c r="F434" s="57">
        <f>IFERROR(INDEX(Firms!$L$5:$L$1004,MATCH(430,Firms!$R$5:$R$1004,0))&amp;"","")</f>
        <v/>
      </c>
      <c r="G434" s="57">
        <f>IFERROR(INDEX(Firms!$M$5:$M$1004,MATCH(430,Firms!$R$5:$R$1004,0))&amp;"","")</f>
        <v/>
      </c>
      <c r="H434" s="58">
        <f>IFERROR(INDEX(Firms!$Q$5:$Q$1004,MATCH(430,Firms!$R$5:$R$1004,0))&amp;"","")</f>
        <v/>
      </c>
    </row>
    <row r="435">
      <c r="A435" s="57">
        <f>IF(B435="","",431)</f>
        <v/>
      </c>
      <c r="B435" s="58">
        <f>IFERROR(INDEX(Firms!$A$5:$A$1004,MATCH(431,Firms!$R$5:$R$1004,0))&amp;"","")</f>
        <v/>
      </c>
      <c r="C435" s="59">
        <f>IFERROR(IF(INDEX(Firms!$O$5:$O$1004,MATCH(431,Firms!$R$5:$R$1004,0))="","",INDEX(Firms!$O$5:$O$1004,MATCH(431,Firms!$R$5:$R$1004,0))),"")</f>
        <v/>
      </c>
      <c r="D435" s="58">
        <f>IFERROR(INDEX(Firms!$P$5:$P$1004,MATCH(431,Firms!$R$5:$R$1004,0))&amp;"","")</f>
        <v/>
      </c>
      <c r="E435" s="58">
        <f>IFERROR(INDEX(Firms!$C$5:$C$1004,MATCH(431,Firms!$R$5:$R$1004,0))&amp;"","")</f>
        <v/>
      </c>
      <c r="F435" s="57">
        <f>IFERROR(INDEX(Firms!$L$5:$L$1004,MATCH(431,Firms!$R$5:$R$1004,0))&amp;"","")</f>
        <v/>
      </c>
      <c r="G435" s="57">
        <f>IFERROR(INDEX(Firms!$M$5:$M$1004,MATCH(431,Firms!$R$5:$R$1004,0))&amp;"","")</f>
        <v/>
      </c>
      <c r="H435" s="58">
        <f>IFERROR(INDEX(Firms!$Q$5:$Q$1004,MATCH(431,Firms!$R$5:$R$1004,0))&amp;"","")</f>
        <v/>
      </c>
    </row>
    <row r="436">
      <c r="A436" s="57">
        <f>IF(B436="","",432)</f>
        <v/>
      </c>
      <c r="B436" s="58">
        <f>IFERROR(INDEX(Firms!$A$5:$A$1004,MATCH(432,Firms!$R$5:$R$1004,0))&amp;"","")</f>
        <v/>
      </c>
      <c r="C436" s="59">
        <f>IFERROR(IF(INDEX(Firms!$O$5:$O$1004,MATCH(432,Firms!$R$5:$R$1004,0))="","",INDEX(Firms!$O$5:$O$1004,MATCH(432,Firms!$R$5:$R$1004,0))),"")</f>
        <v/>
      </c>
      <c r="D436" s="58">
        <f>IFERROR(INDEX(Firms!$P$5:$P$1004,MATCH(432,Firms!$R$5:$R$1004,0))&amp;"","")</f>
        <v/>
      </c>
      <c r="E436" s="58">
        <f>IFERROR(INDEX(Firms!$C$5:$C$1004,MATCH(432,Firms!$R$5:$R$1004,0))&amp;"","")</f>
        <v/>
      </c>
      <c r="F436" s="57">
        <f>IFERROR(INDEX(Firms!$L$5:$L$1004,MATCH(432,Firms!$R$5:$R$1004,0))&amp;"","")</f>
        <v/>
      </c>
      <c r="G436" s="57">
        <f>IFERROR(INDEX(Firms!$M$5:$M$1004,MATCH(432,Firms!$R$5:$R$1004,0))&amp;"","")</f>
        <v/>
      </c>
      <c r="H436" s="58">
        <f>IFERROR(INDEX(Firms!$Q$5:$Q$1004,MATCH(432,Firms!$R$5:$R$1004,0))&amp;"","")</f>
        <v/>
      </c>
    </row>
    <row r="437">
      <c r="A437" s="57">
        <f>IF(B437="","",433)</f>
        <v/>
      </c>
      <c r="B437" s="58">
        <f>IFERROR(INDEX(Firms!$A$5:$A$1004,MATCH(433,Firms!$R$5:$R$1004,0))&amp;"","")</f>
        <v/>
      </c>
      <c r="C437" s="59">
        <f>IFERROR(IF(INDEX(Firms!$O$5:$O$1004,MATCH(433,Firms!$R$5:$R$1004,0))="","",INDEX(Firms!$O$5:$O$1004,MATCH(433,Firms!$R$5:$R$1004,0))),"")</f>
        <v/>
      </c>
      <c r="D437" s="58">
        <f>IFERROR(INDEX(Firms!$P$5:$P$1004,MATCH(433,Firms!$R$5:$R$1004,0))&amp;"","")</f>
        <v/>
      </c>
      <c r="E437" s="58">
        <f>IFERROR(INDEX(Firms!$C$5:$C$1004,MATCH(433,Firms!$R$5:$R$1004,0))&amp;"","")</f>
        <v/>
      </c>
      <c r="F437" s="57">
        <f>IFERROR(INDEX(Firms!$L$5:$L$1004,MATCH(433,Firms!$R$5:$R$1004,0))&amp;"","")</f>
        <v/>
      </c>
      <c r="G437" s="57">
        <f>IFERROR(INDEX(Firms!$M$5:$M$1004,MATCH(433,Firms!$R$5:$R$1004,0))&amp;"","")</f>
        <v/>
      </c>
      <c r="H437" s="58">
        <f>IFERROR(INDEX(Firms!$Q$5:$Q$1004,MATCH(433,Firms!$R$5:$R$1004,0))&amp;"","")</f>
        <v/>
      </c>
    </row>
    <row r="438">
      <c r="A438" s="57">
        <f>IF(B438="","",434)</f>
        <v/>
      </c>
      <c r="B438" s="58">
        <f>IFERROR(INDEX(Firms!$A$5:$A$1004,MATCH(434,Firms!$R$5:$R$1004,0))&amp;"","")</f>
        <v/>
      </c>
      <c r="C438" s="59">
        <f>IFERROR(IF(INDEX(Firms!$O$5:$O$1004,MATCH(434,Firms!$R$5:$R$1004,0))="","",INDEX(Firms!$O$5:$O$1004,MATCH(434,Firms!$R$5:$R$1004,0))),"")</f>
        <v/>
      </c>
      <c r="D438" s="58">
        <f>IFERROR(INDEX(Firms!$P$5:$P$1004,MATCH(434,Firms!$R$5:$R$1004,0))&amp;"","")</f>
        <v/>
      </c>
      <c r="E438" s="58">
        <f>IFERROR(INDEX(Firms!$C$5:$C$1004,MATCH(434,Firms!$R$5:$R$1004,0))&amp;"","")</f>
        <v/>
      </c>
      <c r="F438" s="57">
        <f>IFERROR(INDEX(Firms!$L$5:$L$1004,MATCH(434,Firms!$R$5:$R$1004,0))&amp;"","")</f>
        <v/>
      </c>
      <c r="G438" s="57">
        <f>IFERROR(INDEX(Firms!$M$5:$M$1004,MATCH(434,Firms!$R$5:$R$1004,0))&amp;"","")</f>
        <v/>
      </c>
      <c r="H438" s="58">
        <f>IFERROR(INDEX(Firms!$Q$5:$Q$1004,MATCH(434,Firms!$R$5:$R$1004,0))&amp;"","")</f>
        <v/>
      </c>
    </row>
    <row r="439">
      <c r="A439" s="57">
        <f>IF(B439="","",435)</f>
        <v/>
      </c>
      <c r="B439" s="58">
        <f>IFERROR(INDEX(Firms!$A$5:$A$1004,MATCH(435,Firms!$R$5:$R$1004,0))&amp;"","")</f>
        <v/>
      </c>
      <c r="C439" s="59">
        <f>IFERROR(IF(INDEX(Firms!$O$5:$O$1004,MATCH(435,Firms!$R$5:$R$1004,0))="","",INDEX(Firms!$O$5:$O$1004,MATCH(435,Firms!$R$5:$R$1004,0))),"")</f>
        <v/>
      </c>
      <c r="D439" s="58">
        <f>IFERROR(INDEX(Firms!$P$5:$P$1004,MATCH(435,Firms!$R$5:$R$1004,0))&amp;"","")</f>
        <v/>
      </c>
      <c r="E439" s="58">
        <f>IFERROR(INDEX(Firms!$C$5:$C$1004,MATCH(435,Firms!$R$5:$R$1004,0))&amp;"","")</f>
        <v/>
      </c>
      <c r="F439" s="57">
        <f>IFERROR(INDEX(Firms!$L$5:$L$1004,MATCH(435,Firms!$R$5:$R$1004,0))&amp;"","")</f>
        <v/>
      </c>
      <c r="G439" s="57">
        <f>IFERROR(INDEX(Firms!$M$5:$M$1004,MATCH(435,Firms!$R$5:$R$1004,0))&amp;"","")</f>
        <v/>
      </c>
      <c r="H439" s="58">
        <f>IFERROR(INDEX(Firms!$Q$5:$Q$1004,MATCH(435,Firms!$R$5:$R$1004,0))&amp;"","")</f>
        <v/>
      </c>
    </row>
    <row r="440">
      <c r="A440" s="57">
        <f>IF(B440="","",436)</f>
        <v/>
      </c>
      <c r="B440" s="58">
        <f>IFERROR(INDEX(Firms!$A$5:$A$1004,MATCH(436,Firms!$R$5:$R$1004,0))&amp;"","")</f>
        <v/>
      </c>
      <c r="C440" s="59">
        <f>IFERROR(IF(INDEX(Firms!$O$5:$O$1004,MATCH(436,Firms!$R$5:$R$1004,0))="","",INDEX(Firms!$O$5:$O$1004,MATCH(436,Firms!$R$5:$R$1004,0))),"")</f>
        <v/>
      </c>
      <c r="D440" s="58">
        <f>IFERROR(INDEX(Firms!$P$5:$P$1004,MATCH(436,Firms!$R$5:$R$1004,0))&amp;"","")</f>
        <v/>
      </c>
      <c r="E440" s="58">
        <f>IFERROR(INDEX(Firms!$C$5:$C$1004,MATCH(436,Firms!$R$5:$R$1004,0))&amp;"","")</f>
        <v/>
      </c>
      <c r="F440" s="57">
        <f>IFERROR(INDEX(Firms!$L$5:$L$1004,MATCH(436,Firms!$R$5:$R$1004,0))&amp;"","")</f>
        <v/>
      </c>
      <c r="G440" s="57">
        <f>IFERROR(INDEX(Firms!$M$5:$M$1004,MATCH(436,Firms!$R$5:$R$1004,0))&amp;"","")</f>
        <v/>
      </c>
      <c r="H440" s="58">
        <f>IFERROR(INDEX(Firms!$Q$5:$Q$1004,MATCH(436,Firms!$R$5:$R$1004,0))&amp;"","")</f>
        <v/>
      </c>
    </row>
    <row r="441">
      <c r="A441" s="57">
        <f>IF(B441="","",437)</f>
        <v/>
      </c>
      <c r="B441" s="58">
        <f>IFERROR(INDEX(Firms!$A$5:$A$1004,MATCH(437,Firms!$R$5:$R$1004,0))&amp;"","")</f>
        <v/>
      </c>
      <c r="C441" s="59">
        <f>IFERROR(IF(INDEX(Firms!$O$5:$O$1004,MATCH(437,Firms!$R$5:$R$1004,0))="","",INDEX(Firms!$O$5:$O$1004,MATCH(437,Firms!$R$5:$R$1004,0))),"")</f>
        <v/>
      </c>
      <c r="D441" s="58">
        <f>IFERROR(INDEX(Firms!$P$5:$P$1004,MATCH(437,Firms!$R$5:$R$1004,0))&amp;"","")</f>
        <v/>
      </c>
      <c r="E441" s="58">
        <f>IFERROR(INDEX(Firms!$C$5:$C$1004,MATCH(437,Firms!$R$5:$R$1004,0))&amp;"","")</f>
        <v/>
      </c>
      <c r="F441" s="57">
        <f>IFERROR(INDEX(Firms!$L$5:$L$1004,MATCH(437,Firms!$R$5:$R$1004,0))&amp;"","")</f>
        <v/>
      </c>
      <c r="G441" s="57">
        <f>IFERROR(INDEX(Firms!$M$5:$M$1004,MATCH(437,Firms!$R$5:$R$1004,0))&amp;"","")</f>
        <v/>
      </c>
      <c r="H441" s="58">
        <f>IFERROR(INDEX(Firms!$Q$5:$Q$1004,MATCH(437,Firms!$R$5:$R$1004,0))&amp;"","")</f>
        <v/>
      </c>
    </row>
    <row r="442">
      <c r="A442" s="57">
        <f>IF(B442="","",438)</f>
        <v/>
      </c>
      <c r="B442" s="58">
        <f>IFERROR(INDEX(Firms!$A$5:$A$1004,MATCH(438,Firms!$R$5:$R$1004,0))&amp;"","")</f>
        <v/>
      </c>
      <c r="C442" s="59">
        <f>IFERROR(IF(INDEX(Firms!$O$5:$O$1004,MATCH(438,Firms!$R$5:$R$1004,0))="","",INDEX(Firms!$O$5:$O$1004,MATCH(438,Firms!$R$5:$R$1004,0))),"")</f>
        <v/>
      </c>
      <c r="D442" s="58">
        <f>IFERROR(INDEX(Firms!$P$5:$P$1004,MATCH(438,Firms!$R$5:$R$1004,0))&amp;"","")</f>
        <v/>
      </c>
      <c r="E442" s="58">
        <f>IFERROR(INDEX(Firms!$C$5:$C$1004,MATCH(438,Firms!$R$5:$R$1004,0))&amp;"","")</f>
        <v/>
      </c>
      <c r="F442" s="57">
        <f>IFERROR(INDEX(Firms!$L$5:$L$1004,MATCH(438,Firms!$R$5:$R$1004,0))&amp;"","")</f>
        <v/>
      </c>
      <c r="G442" s="57">
        <f>IFERROR(INDEX(Firms!$M$5:$M$1004,MATCH(438,Firms!$R$5:$R$1004,0))&amp;"","")</f>
        <v/>
      </c>
      <c r="H442" s="58">
        <f>IFERROR(INDEX(Firms!$Q$5:$Q$1004,MATCH(438,Firms!$R$5:$R$1004,0))&amp;"","")</f>
        <v/>
      </c>
    </row>
    <row r="443">
      <c r="A443" s="57">
        <f>IF(B443="","",439)</f>
        <v/>
      </c>
      <c r="B443" s="58">
        <f>IFERROR(INDEX(Firms!$A$5:$A$1004,MATCH(439,Firms!$R$5:$R$1004,0))&amp;"","")</f>
        <v/>
      </c>
      <c r="C443" s="59">
        <f>IFERROR(IF(INDEX(Firms!$O$5:$O$1004,MATCH(439,Firms!$R$5:$R$1004,0))="","",INDEX(Firms!$O$5:$O$1004,MATCH(439,Firms!$R$5:$R$1004,0))),"")</f>
        <v/>
      </c>
      <c r="D443" s="58">
        <f>IFERROR(INDEX(Firms!$P$5:$P$1004,MATCH(439,Firms!$R$5:$R$1004,0))&amp;"","")</f>
        <v/>
      </c>
      <c r="E443" s="58">
        <f>IFERROR(INDEX(Firms!$C$5:$C$1004,MATCH(439,Firms!$R$5:$R$1004,0))&amp;"","")</f>
        <v/>
      </c>
      <c r="F443" s="57">
        <f>IFERROR(INDEX(Firms!$L$5:$L$1004,MATCH(439,Firms!$R$5:$R$1004,0))&amp;"","")</f>
        <v/>
      </c>
      <c r="G443" s="57">
        <f>IFERROR(INDEX(Firms!$M$5:$M$1004,MATCH(439,Firms!$R$5:$R$1004,0))&amp;"","")</f>
        <v/>
      </c>
      <c r="H443" s="58">
        <f>IFERROR(INDEX(Firms!$Q$5:$Q$1004,MATCH(439,Firms!$R$5:$R$1004,0))&amp;"","")</f>
        <v/>
      </c>
    </row>
    <row r="444">
      <c r="A444" s="57">
        <f>IF(B444="","",440)</f>
        <v/>
      </c>
      <c r="B444" s="58">
        <f>IFERROR(INDEX(Firms!$A$5:$A$1004,MATCH(440,Firms!$R$5:$R$1004,0))&amp;"","")</f>
        <v/>
      </c>
      <c r="C444" s="59">
        <f>IFERROR(IF(INDEX(Firms!$O$5:$O$1004,MATCH(440,Firms!$R$5:$R$1004,0))="","",INDEX(Firms!$O$5:$O$1004,MATCH(440,Firms!$R$5:$R$1004,0))),"")</f>
        <v/>
      </c>
      <c r="D444" s="58">
        <f>IFERROR(INDEX(Firms!$P$5:$P$1004,MATCH(440,Firms!$R$5:$R$1004,0))&amp;"","")</f>
        <v/>
      </c>
      <c r="E444" s="58">
        <f>IFERROR(INDEX(Firms!$C$5:$C$1004,MATCH(440,Firms!$R$5:$R$1004,0))&amp;"","")</f>
        <v/>
      </c>
      <c r="F444" s="57">
        <f>IFERROR(INDEX(Firms!$L$5:$L$1004,MATCH(440,Firms!$R$5:$R$1004,0))&amp;"","")</f>
        <v/>
      </c>
      <c r="G444" s="57">
        <f>IFERROR(INDEX(Firms!$M$5:$M$1004,MATCH(440,Firms!$R$5:$R$1004,0))&amp;"","")</f>
        <v/>
      </c>
      <c r="H444" s="58">
        <f>IFERROR(INDEX(Firms!$Q$5:$Q$1004,MATCH(440,Firms!$R$5:$R$1004,0))&amp;"","")</f>
        <v/>
      </c>
    </row>
    <row r="445">
      <c r="A445" s="57">
        <f>IF(B445="","",441)</f>
        <v/>
      </c>
      <c r="B445" s="58">
        <f>IFERROR(INDEX(Firms!$A$5:$A$1004,MATCH(441,Firms!$R$5:$R$1004,0))&amp;"","")</f>
        <v/>
      </c>
      <c r="C445" s="59">
        <f>IFERROR(IF(INDEX(Firms!$O$5:$O$1004,MATCH(441,Firms!$R$5:$R$1004,0))="","",INDEX(Firms!$O$5:$O$1004,MATCH(441,Firms!$R$5:$R$1004,0))),"")</f>
        <v/>
      </c>
      <c r="D445" s="58">
        <f>IFERROR(INDEX(Firms!$P$5:$P$1004,MATCH(441,Firms!$R$5:$R$1004,0))&amp;"","")</f>
        <v/>
      </c>
      <c r="E445" s="58">
        <f>IFERROR(INDEX(Firms!$C$5:$C$1004,MATCH(441,Firms!$R$5:$R$1004,0))&amp;"","")</f>
        <v/>
      </c>
      <c r="F445" s="57">
        <f>IFERROR(INDEX(Firms!$L$5:$L$1004,MATCH(441,Firms!$R$5:$R$1004,0))&amp;"","")</f>
        <v/>
      </c>
      <c r="G445" s="57">
        <f>IFERROR(INDEX(Firms!$M$5:$M$1004,MATCH(441,Firms!$R$5:$R$1004,0))&amp;"","")</f>
        <v/>
      </c>
      <c r="H445" s="58">
        <f>IFERROR(INDEX(Firms!$Q$5:$Q$1004,MATCH(441,Firms!$R$5:$R$1004,0))&amp;"","")</f>
        <v/>
      </c>
    </row>
    <row r="446">
      <c r="A446" s="57">
        <f>IF(B446="","",442)</f>
        <v/>
      </c>
      <c r="B446" s="58">
        <f>IFERROR(INDEX(Firms!$A$5:$A$1004,MATCH(442,Firms!$R$5:$R$1004,0))&amp;"","")</f>
        <v/>
      </c>
      <c r="C446" s="59">
        <f>IFERROR(IF(INDEX(Firms!$O$5:$O$1004,MATCH(442,Firms!$R$5:$R$1004,0))="","",INDEX(Firms!$O$5:$O$1004,MATCH(442,Firms!$R$5:$R$1004,0))),"")</f>
        <v/>
      </c>
      <c r="D446" s="58">
        <f>IFERROR(INDEX(Firms!$P$5:$P$1004,MATCH(442,Firms!$R$5:$R$1004,0))&amp;"","")</f>
        <v/>
      </c>
      <c r="E446" s="58">
        <f>IFERROR(INDEX(Firms!$C$5:$C$1004,MATCH(442,Firms!$R$5:$R$1004,0))&amp;"","")</f>
        <v/>
      </c>
      <c r="F446" s="57">
        <f>IFERROR(INDEX(Firms!$L$5:$L$1004,MATCH(442,Firms!$R$5:$R$1004,0))&amp;"","")</f>
        <v/>
      </c>
      <c r="G446" s="57">
        <f>IFERROR(INDEX(Firms!$M$5:$M$1004,MATCH(442,Firms!$R$5:$R$1004,0))&amp;"","")</f>
        <v/>
      </c>
      <c r="H446" s="58">
        <f>IFERROR(INDEX(Firms!$Q$5:$Q$1004,MATCH(442,Firms!$R$5:$R$1004,0))&amp;"","")</f>
        <v/>
      </c>
    </row>
    <row r="447">
      <c r="A447" s="57">
        <f>IF(B447="","",443)</f>
        <v/>
      </c>
      <c r="B447" s="58">
        <f>IFERROR(INDEX(Firms!$A$5:$A$1004,MATCH(443,Firms!$R$5:$R$1004,0))&amp;"","")</f>
        <v/>
      </c>
      <c r="C447" s="59">
        <f>IFERROR(IF(INDEX(Firms!$O$5:$O$1004,MATCH(443,Firms!$R$5:$R$1004,0))="","",INDEX(Firms!$O$5:$O$1004,MATCH(443,Firms!$R$5:$R$1004,0))),"")</f>
        <v/>
      </c>
      <c r="D447" s="58">
        <f>IFERROR(INDEX(Firms!$P$5:$P$1004,MATCH(443,Firms!$R$5:$R$1004,0))&amp;"","")</f>
        <v/>
      </c>
      <c r="E447" s="58">
        <f>IFERROR(INDEX(Firms!$C$5:$C$1004,MATCH(443,Firms!$R$5:$R$1004,0))&amp;"","")</f>
        <v/>
      </c>
      <c r="F447" s="57">
        <f>IFERROR(INDEX(Firms!$L$5:$L$1004,MATCH(443,Firms!$R$5:$R$1004,0))&amp;"","")</f>
        <v/>
      </c>
      <c r="G447" s="57">
        <f>IFERROR(INDEX(Firms!$M$5:$M$1004,MATCH(443,Firms!$R$5:$R$1004,0))&amp;"","")</f>
        <v/>
      </c>
      <c r="H447" s="58">
        <f>IFERROR(INDEX(Firms!$Q$5:$Q$1004,MATCH(443,Firms!$R$5:$R$1004,0))&amp;"","")</f>
        <v/>
      </c>
    </row>
    <row r="448">
      <c r="A448" s="57">
        <f>IF(B448="","",444)</f>
        <v/>
      </c>
      <c r="B448" s="58">
        <f>IFERROR(INDEX(Firms!$A$5:$A$1004,MATCH(444,Firms!$R$5:$R$1004,0))&amp;"","")</f>
        <v/>
      </c>
      <c r="C448" s="59">
        <f>IFERROR(IF(INDEX(Firms!$O$5:$O$1004,MATCH(444,Firms!$R$5:$R$1004,0))="","",INDEX(Firms!$O$5:$O$1004,MATCH(444,Firms!$R$5:$R$1004,0))),"")</f>
        <v/>
      </c>
      <c r="D448" s="58">
        <f>IFERROR(INDEX(Firms!$P$5:$P$1004,MATCH(444,Firms!$R$5:$R$1004,0))&amp;"","")</f>
        <v/>
      </c>
      <c r="E448" s="58">
        <f>IFERROR(INDEX(Firms!$C$5:$C$1004,MATCH(444,Firms!$R$5:$R$1004,0))&amp;"","")</f>
        <v/>
      </c>
      <c r="F448" s="57">
        <f>IFERROR(INDEX(Firms!$L$5:$L$1004,MATCH(444,Firms!$R$5:$R$1004,0))&amp;"","")</f>
        <v/>
      </c>
      <c r="G448" s="57">
        <f>IFERROR(INDEX(Firms!$M$5:$M$1004,MATCH(444,Firms!$R$5:$R$1004,0))&amp;"","")</f>
        <v/>
      </c>
      <c r="H448" s="58">
        <f>IFERROR(INDEX(Firms!$Q$5:$Q$1004,MATCH(444,Firms!$R$5:$R$1004,0))&amp;"","")</f>
        <v/>
      </c>
    </row>
    <row r="449">
      <c r="A449" s="57">
        <f>IF(B449="","",445)</f>
        <v/>
      </c>
      <c r="B449" s="58">
        <f>IFERROR(INDEX(Firms!$A$5:$A$1004,MATCH(445,Firms!$R$5:$R$1004,0))&amp;"","")</f>
        <v/>
      </c>
      <c r="C449" s="59">
        <f>IFERROR(IF(INDEX(Firms!$O$5:$O$1004,MATCH(445,Firms!$R$5:$R$1004,0))="","",INDEX(Firms!$O$5:$O$1004,MATCH(445,Firms!$R$5:$R$1004,0))),"")</f>
        <v/>
      </c>
      <c r="D449" s="58">
        <f>IFERROR(INDEX(Firms!$P$5:$P$1004,MATCH(445,Firms!$R$5:$R$1004,0))&amp;"","")</f>
        <v/>
      </c>
      <c r="E449" s="58">
        <f>IFERROR(INDEX(Firms!$C$5:$C$1004,MATCH(445,Firms!$R$5:$R$1004,0))&amp;"","")</f>
        <v/>
      </c>
      <c r="F449" s="57">
        <f>IFERROR(INDEX(Firms!$L$5:$L$1004,MATCH(445,Firms!$R$5:$R$1004,0))&amp;"","")</f>
        <v/>
      </c>
      <c r="G449" s="57">
        <f>IFERROR(INDEX(Firms!$M$5:$M$1004,MATCH(445,Firms!$R$5:$R$1004,0))&amp;"","")</f>
        <v/>
      </c>
      <c r="H449" s="58">
        <f>IFERROR(INDEX(Firms!$Q$5:$Q$1004,MATCH(445,Firms!$R$5:$R$1004,0))&amp;"","")</f>
        <v/>
      </c>
    </row>
    <row r="450">
      <c r="A450" s="57">
        <f>IF(B450="","",446)</f>
        <v/>
      </c>
      <c r="B450" s="58">
        <f>IFERROR(INDEX(Firms!$A$5:$A$1004,MATCH(446,Firms!$R$5:$R$1004,0))&amp;"","")</f>
        <v/>
      </c>
      <c r="C450" s="59">
        <f>IFERROR(IF(INDEX(Firms!$O$5:$O$1004,MATCH(446,Firms!$R$5:$R$1004,0))="","",INDEX(Firms!$O$5:$O$1004,MATCH(446,Firms!$R$5:$R$1004,0))),"")</f>
        <v/>
      </c>
      <c r="D450" s="58">
        <f>IFERROR(INDEX(Firms!$P$5:$P$1004,MATCH(446,Firms!$R$5:$R$1004,0))&amp;"","")</f>
        <v/>
      </c>
      <c r="E450" s="58">
        <f>IFERROR(INDEX(Firms!$C$5:$C$1004,MATCH(446,Firms!$R$5:$R$1004,0))&amp;"","")</f>
        <v/>
      </c>
      <c r="F450" s="57">
        <f>IFERROR(INDEX(Firms!$L$5:$L$1004,MATCH(446,Firms!$R$5:$R$1004,0))&amp;"","")</f>
        <v/>
      </c>
      <c r="G450" s="57">
        <f>IFERROR(INDEX(Firms!$M$5:$M$1004,MATCH(446,Firms!$R$5:$R$1004,0))&amp;"","")</f>
        <v/>
      </c>
      <c r="H450" s="58">
        <f>IFERROR(INDEX(Firms!$Q$5:$Q$1004,MATCH(446,Firms!$R$5:$R$1004,0))&amp;"","")</f>
        <v/>
      </c>
    </row>
    <row r="451">
      <c r="A451" s="57">
        <f>IF(B451="","",447)</f>
        <v/>
      </c>
      <c r="B451" s="58">
        <f>IFERROR(INDEX(Firms!$A$5:$A$1004,MATCH(447,Firms!$R$5:$R$1004,0))&amp;"","")</f>
        <v/>
      </c>
      <c r="C451" s="59">
        <f>IFERROR(IF(INDEX(Firms!$O$5:$O$1004,MATCH(447,Firms!$R$5:$R$1004,0))="","",INDEX(Firms!$O$5:$O$1004,MATCH(447,Firms!$R$5:$R$1004,0))),"")</f>
        <v/>
      </c>
      <c r="D451" s="58">
        <f>IFERROR(INDEX(Firms!$P$5:$P$1004,MATCH(447,Firms!$R$5:$R$1004,0))&amp;"","")</f>
        <v/>
      </c>
      <c r="E451" s="58">
        <f>IFERROR(INDEX(Firms!$C$5:$C$1004,MATCH(447,Firms!$R$5:$R$1004,0))&amp;"","")</f>
        <v/>
      </c>
      <c r="F451" s="57">
        <f>IFERROR(INDEX(Firms!$L$5:$L$1004,MATCH(447,Firms!$R$5:$R$1004,0))&amp;"","")</f>
        <v/>
      </c>
      <c r="G451" s="57">
        <f>IFERROR(INDEX(Firms!$M$5:$M$1004,MATCH(447,Firms!$R$5:$R$1004,0))&amp;"","")</f>
        <v/>
      </c>
      <c r="H451" s="58">
        <f>IFERROR(INDEX(Firms!$Q$5:$Q$1004,MATCH(447,Firms!$R$5:$R$1004,0))&amp;"","")</f>
        <v/>
      </c>
    </row>
    <row r="452">
      <c r="A452" s="57">
        <f>IF(B452="","",448)</f>
        <v/>
      </c>
      <c r="B452" s="58">
        <f>IFERROR(INDEX(Firms!$A$5:$A$1004,MATCH(448,Firms!$R$5:$R$1004,0))&amp;"","")</f>
        <v/>
      </c>
      <c r="C452" s="59">
        <f>IFERROR(IF(INDEX(Firms!$O$5:$O$1004,MATCH(448,Firms!$R$5:$R$1004,0))="","",INDEX(Firms!$O$5:$O$1004,MATCH(448,Firms!$R$5:$R$1004,0))),"")</f>
        <v/>
      </c>
      <c r="D452" s="58">
        <f>IFERROR(INDEX(Firms!$P$5:$P$1004,MATCH(448,Firms!$R$5:$R$1004,0))&amp;"","")</f>
        <v/>
      </c>
      <c r="E452" s="58">
        <f>IFERROR(INDEX(Firms!$C$5:$C$1004,MATCH(448,Firms!$R$5:$R$1004,0))&amp;"","")</f>
        <v/>
      </c>
      <c r="F452" s="57">
        <f>IFERROR(INDEX(Firms!$L$5:$L$1004,MATCH(448,Firms!$R$5:$R$1004,0))&amp;"","")</f>
        <v/>
      </c>
      <c r="G452" s="57">
        <f>IFERROR(INDEX(Firms!$M$5:$M$1004,MATCH(448,Firms!$R$5:$R$1004,0))&amp;"","")</f>
        <v/>
      </c>
      <c r="H452" s="58">
        <f>IFERROR(INDEX(Firms!$Q$5:$Q$1004,MATCH(448,Firms!$R$5:$R$1004,0))&amp;"","")</f>
        <v/>
      </c>
    </row>
    <row r="453">
      <c r="A453" s="57">
        <f>IF(B453="","",449)</f>
        <v/>
      </c>
      <c r="B453" s="58">
        <f>IFERROR(INDEX(Firms!$A$5:$A$1004,MATCH(449,Firms!$R$5:$R$1004,0))&amp;"","")</f>
        <v/>
      </c>
      <c r="C453" s="59">
        <f>IFERROR(IF(INDEX(Firms!$O$5:$O$1004,MATCH(449,Firms!$R$5:$R$1004,0))="","",INDEX(Firms!$O$5:$O$1004,MATCH(449,Firms!$R$5:$R$1004,0))),"")</f>
        <v/>
      </c>
      <c r="D453" s="58">
        <f>IFERROR(INDEX(Firms!$P$5:$P$1004,MATCH(449,Firms!$R$5:$R$1004,0))&amp;"","")</f>
        <v/>
      </c>
      <c r="E453" s="58">
        <f>IFERROR(INDEX(Firms!$C$5:$C$1004,MATCH(449,Firms!$R$5:$R$1004,0))&amp;"","")</f>
        <v/>
      </c>
      <c r="F453" s="57">
        <f>IFERROR(INDEX(Firms!$L$5:$L$1004,MATCH(449,Firms!$R$5:$R$1004,0))&amp;"","")</f>
        <v/>
      </c>
      <c r="G453" s="57">
        <f>IFERROR(INDEX(Firms!$M$5:$M$1004,MATCH(449,Firms!$R$5:$R$1004,0))&amp;"","")</f>
        <v/>
      </c>
      <c r="H453" s="58">
        <f>IFERROR(INDEX(Firms!$Q$5:$Q$1004,MATCH(449,Firms!$R$5:$R$1004,0))&amp;"","")</f>
        <v/>
      </c>
    </row>
    <row r="454">
      <c r="A454" s="57">
        <f>IF(B454="","",450)</f>
        <v/>
      </c>
      <c r="B454" s="58">
        <f>IFERROR(INDEX(Firms!$A$5:$A$1004,MATCH(450,Firms!$R$5:$R$1004,0))&amp;"","")</f>
        <v/>
      </c>
      <c r="C454" s="59">
        <f>IFERROR(IF(INDEX(Firms!$O$5:$O$1004,MATCH(450,Firms!$R$5:$R$1004,0))="","",INDEX(Firms!$O$5:$O$1004,MATCH(450,Firms!$R$5:$R$1004,0))),"")</f>
        <v/>
      </c>
      <c r="D454" s="58">
        <f>IFERROR(INDEX(Firms!$P$5:$P$1004,MATCH(450,Firms!$R$5:$R$1004,0))&amp;"","")</f>
        <v/>
      </c>
      <c r="E454" s="58">
        <f>IFERROR(INDEX(Firms!$C$5:$C$1004,MATCH(450,Firms!$R$5:$R$1004,0))&amp;"","")</f>
        <v/>
      </c>
      <c r="F454" s="57">
        <f>IFERROR(INDEX(Firms!$L$5:$L$1004,MATCH(450,Firms!$R$5:$R$1004,0))&amp;"","")</f>
        <v/>
      </c>
      <c r="G454" s="57">
        <f>IFERROR(INDEX(Firms!$M$5:$M$1004,MATCH(450,Firms!$R$5:$R$1004,0))&amp;"","")</f>
        <v/>
      </c>
      <c r="H454" s="58">
        <f>IFERROR(INDEX(Firms!$Q$5:$Q$1004,MATCH(450,Firms!$R$5:$R$1004,0))&amp;"","")</f>
        <v/>
      </c>
    </row>
    <row r="455">
      <c r="A455" s="57">
        <f>IF(B455="","",451)</f>
        <v/>
      </c>
      <c r="B455" s="58">
        <f>IFERROR(INDEX(Firms!$A$5:$A$1004,MATCH(451,Firms!$R$5:$R$1004,0))&amp;"","")</f>
        <v/>
      </c>
      <c r="C455" s="59">
        <f>IFERROR(IF(INDEX(Firms!$O$5:$O$1004,MATCH(451,Firms!$R$5:$R$1004,0))="","",INDEX(Firms!$O$5:$O$1004,MATCH(451,Firms!$R$5:$R$1004,0))),"")</f>
        <v/>
      </c>
      <c r="D455" s="58">
        <f>IFERROR(INDEX(Firms!$P$5:$P$1004,MATCH(451,Firms!$R$5:$R$1004,0))&amp;"","")</f>
        <v/>
      </c>
      <c r="E455" s="58">
        <f>IFERROR(INDEX(Firms!$C$5:$C$1004,MATCH(451,Firms!$R$5:$R$1004,0))&amp;"","")</f>
        <v/>
      </c>
      <c r="F455" s="57">
        <f>IFERROR(INDEX(Firms!$L$5:$L$1004,MATCH(451,Firms!$R$5:$R$1004,0))&amp;"","")</f>
        <v/>
      </c>
      <c r="G455" s="57">
        <f>IFERROR(INDEX(Firms!$M$5:$M$1004,MATCH(451,Firms!$R$5:$R$1004,0))&amp;"","")</f>
        <v/>
      </c>
      <c r="H455" s="58">
        <f>IFERROR(INDEX(Firms!$Q$5:$Q$1004,MATCH(451,Firms!$R$5:$R$1004,0))&amp;"","")</f>
        <v/>
      </c>
    </row>
    <row r="456">
      <c r="A456" s="57">
        <f>IF(B456="","",452)</f>
        <v/>
      </c>
      <c r="B456" s="58">
        <f>IFERROR(INDEX(Firms!$A$5:$A$1004,MATCH(452,Firms!$R$5:$R$1004,0))&amp;"","")</f>
        <v/>
      </c>
      <c r="C456" s="59">
        <f>IFERROR(IF(INDEX(Firms!$O$5:$O$1004,MATCH(452,Firms!$R$5:$R$1004,0))="","",INDEX(Firms!$O$5:$O$1004,MATCH(452,Firms!$R$5:$R$1004,0))),"")</f>
        <v/>
      </c>
      <c r="D456" s="58">
        <f>IFERROR(INDEX(Firms!$P$5:$P$1004,MATCH(452,Firms!$R$5:$R$1004,0))&amp;"","")</f>
        <v/>
      </c>
      <c r="E456" s="58">
        <f>IFERROR(INDEX(Firms!$C$5:$C$1004,MATCH(452,Firms!$R$5:$R$1004,0))&amp;"","")</f>
        <v/>
      </c>
      <c r="F456" s="57">
        <f>IFERROR(INDEX(Firms!$L$5:$L$1004,MATCH(452,Firms!$R$5:$R$1004,0))&amp;"","")</f>
        <v/>
      </c>
      <c r="G456" s="57">
        <f>IFERROR(INDEX(Firms!$M$5:$M$1004,MATCH(452,Firms!$R$5:$R$1004,0))&amp;"","")</f>
        <v/>
      </c>
      <c r="H456" s="58">
        <f>IFERROR(INDEX(Firms!$Q$5:$Q$1004,MATCH(452,Firms!$R$5:$R$1004,0))&amp;"","")</f>
        <v/>
      </c>
    </row>
    <row r="457">
      <c r="A457" s="57">
        <f>IF(B457="","",453)</f>
        <v/>
      </c>
      <c r="B457" s="58">
        <f>IFERROR(INDEX(Firms!$A$5:$A$1004,MATCH(453,Firms!$R$5:$R$1004,0))&amp;"","")</f>
        <v/>
      </c>
      <c r="C457" s="59">
        <f>IFERROR(IF(INDEX(Firms!$O$5:$O$1004,MATCH(453,Firms!$R$5:$R$1004,0))="","",INDEX(Firms!$O$5:$O$1004,MATCH(453,Firms!$R$5:$R$1004,0))),"")</f>
        <v/>
      </c>
      <c r="D457" s="58">
        <f>IFERROR(INDEX(Firms!$P$5:$P$1004,MATCH(453,Firms!$R$5:$R$1004,0))&amp;"","")</f>
        <v/>
      </c>
      <c r="E457" s="58">
        <f>IFERROR(INDEX(Firms!$C$5:$C$1004,MATCH(453,Firms!$R$5:$R$1004,0))&amp;"","")</f>
        <v/>
      </c>
      <c r="F457" s="57">
        <f>IFERROR(INDEX(Firms!$L$5:$L$1004,MATCH(453,Firms!$R$5:$R$1004,0))&amp;"","")</f>
        <v/>
      </c>
      <c r="G457" s="57">
        <f>IFERROR(INDEX(Firms!$M$5:$M$1004,MATCH(453,Firms!$R$5:$R$1004,0))&amp;"","")</f>
        <v/>
      </c>
      <c r="H457" s="58">
        <f>IFERROR(INDEX(Firms!$Q$5:$Q$1004,MATCH(453,Firms!$R$5:$R$1004,0))&amp;"","")</f>
        <v/>
      </c>
    </row>
    <row r="458">
      <c r="A458" s="57">
        <f>IF(B458="","",454)</f>
        <v/>
      </c>
      <c r="B458" s="58">
        <f>IFERROR(INDEX(Firms!$A$5:$A$1004,MATCH(454,Firms!$R$5:$R$1004,0))&amp;"","")</f>
        <v/>
      </c>
      <c r="C458" s="59">
        <f>IFERROR(IF(INDEX(Firms!$O$5:$O$1004,MATCH(454,Firms!$R$5:$R$1004,0))="","",INDEX(Firms!$O$5:$O$1004,MATCH(454,Firms!$R$5:$R$1004,0))),"")</f>
        <v/>
      </c>
      <c r="D458" s="58">
        <f>IFERROR(INDEX(Firms!$P$5:$P$1004,MATCH(454,Firms!$R$5:$R$1004,0))&amp;"","")</f>
        <v/>
      </c>
      <c r="E458" s="58">
        <f>IFERROR(INDEX(Firms!$C$5:$C$1004,MATCH(454,Firms!$R$5:$R$1004,0))&amp;"","")</f>
        <v/>
      </c>
      <c r="F458" s="57">
        <f>IFERROR(INDEX(Firms!$L$5:$L$1004,MATCH(454,Firms!$R$5:$R$1004,0))&amp;"","")</f>
        <v/>
      </c>
      <c r="G458" s="57">
        <f>IFERROR(INDEX(Firms!$M$5:$M$1004,MATCH(454,Firms!$R$5:$R$1004,0))&amp;"","")</f>
        <v/>
      </c>
      <c r="H458" s="58">
        <f>IFERROR(INDEX(Firms!$Q$5:$Q$1004,MATCH(454,Firms!$R$5:$R$1004,0))&amp;"","")</f>
        <v/>
      </c>
    </row>
    <row r="459">
      <c r="A459" s="57">
        <f>IF(B459="","",455)</f>
        <v/>
      </c>
      <c r="B459" s="58">
        <f>IFERROR(INDEX(Firms!$A$5:$A$1004,MATCH(455,Firms!$R$5:$R$1004,0))&amp;"","")</f>
        <v/>
      </c>
      <c r="C459" s="59">
        <f>IFERROR(IF(INDEX(Firms!$O$5:$O$1004,MATCH(455,Firms!$R$5:$R$1004,0))="","",INDEX(Firms!$O$5:$O$1004,MATCH(455,Firms!$R$5:$R$1004,0))),"")</f>
        <v/>
      </c>
      <c r="D459" s="58">
        <f>IFERROR(INDEX(Firms!$P$5:$P$1004,MATCH(455,Firms!$R$5:$R$1004,0))&amp;"","")</f>
        <v/>
      </c>
      <c r="E459" s="58">
        <f>IFERROR(INDEX(Firms!$C$5:$C$1004,MATCH(455,Firms!$R$5:$R$1004,0))&amp;"","")</f>
        <v/>
      </c>
      <c r="F459" s="57">
        <f>IFERROR(INDEX(Firms!$L$5:$L$1004,MATCH(455,Firms!$R$5:$R$1004,0))&amp;"","")</f>
        <v/>
      </c>
      <c r="G459" s="57">
        <f>IFERROR(INDEX(Firms!$M$5:$M$1004,MATCH(455,Firms!$R$5:$R$1004,0))&amp;"","")</f>
        <v/>
      </c>
      <c r="H459" s="58">
        <f>IFERROR(INDEX(Firms!$Q$5:$Q$1004,MATCH(455,Firms!$R$5:$R$1004,0))&amp;"","")</f>
        <v/>
      </c>
    </row>
    <row r="460">
      <c r="A460" s="57">
        <f>IF(B460="","",456)</f>
        <v/>
      </c>
      <c r="B460" s="58">
        <f>IFERROR(INDEX(Firms!$A$5:$A$1004,MATCH(456,Firms!$R$5:$R$1004,0))&amp;"","")</f>
        <v/>
      </c>
      <c r="C460" s="59">
        <f>IFERROR(IF(INDEX(Firms!$O$5:$O$1004,MATCH(456,Firms!$R$5:$R$1004,0))="","",INDEX(Firms!$O$5:$O$1004,MATCH(456,Firms!$R$5:$R$1004,0))),"")</f>
        <v/>
      </c>
      <c r="D460" s="58">
        <f>IFERROR(INDEX(Firms!$P$5:$P$1004,MATCH(456,Firms!$R$5:$R$1004,0))&amp;"","")</f>
        <v/>
      </c>
      <c r="E460" s="58">
        <f>IFERROR(INDEX(Firms!$C$5:$C$1004,MATCH(456,Firms!$R$5:$R$1004,0))&amp;"","")</f>
        <v/>
      </c>
      <c r="F460" s="57">
        <f>IFERROR(INDEX(Firms!$L$5:$L$1004,MATCH(456,Firms!$R$5:$R$1004,0))&amp;"","")</f>
        <v/>
      </c>
      <c r="G460" s="57">
        <f>IFERROR(INDEX(Firms!$M$5:$M$1004,MATCH(456,Firms!$R$5:$R$1004,0))&amp;"","")</f>
        <v/>
      </c>
      <c r="H460" s="58">
        <f>IFERROR(INDEX(Firms!$Q$5:$Q$1004,MATCH(456,Firms!$R$5:$R$1004,0))&amp;"","")</f>
        <v/>
      </c>
    </row>
    <row r="461">
      <c r="A461" s="57">
        <f>IF(B461="","",457)</f>
        <v/>
      </c>
      <c r="B461" s="58">
        <f>IFERROR(INDEX(Firms!$A$5:$A$1004,MATCH(457,Firms!$R$5:$R$1004,0))&amp;"","")</f>
        <v/>
      </c>
      <c r="C461" s="59">
        <f>IFERROR(IF(INDEX(Firms!$O$5:$O$1004,MATCH(457,Firms!$R$5:$R$1004,0))="","",INDEX(Firms!$O$5:$O$1004,MATCH(457,Firms!$R$5:$R$1004,0))),"")</f>
        <v/>
      </c>
      <c r="D461" s="58">
        <f>IFERROR(INDEX(Firms!$P$5:$P$1004,MATCH(457,Firms!$R$5:$R$1004,0))&amp;"","")</f>
        <v/>
      </c>
      <c r="E461" s="58">
        <f>IFERROR(INDEX(Firms!$C$5:$C$1004,MATCH(457,Firms!$R$5:$R$1004,0))&amp;"","")</f>
        <v/>
      </c>
      <c r="F461" s="57">
        <f>IFERROR(INDEX(Firms!$L$5:$L$1004,MATCH(457,Firms!$R$5:$R$1004,0))&amp;"","")</f>
        <v/>
      </c>
      <c r="G461" s="57">
        <f>IFERROR(INDEX(Firms!$M$5:$M$1004,MATCH(457,Firms!$R$5:$R$1004,0))&amp;"","")</f>
        <v/>
      </c>
      <c r="H461" s="58">
        <f>IFERROR(INDEX(Firms!$Q$5:$Q$1004,MATCH(457,Firms!$R$5:$R$1004,0))&amp;"","")</f>
        <v/>
      </c>
    </row>
    <row r="462">
      <c r="A462" s="57">
        <f>IF(B462="","",458)</f>
        <v/>
      </c>
      <c r="B462" s="58">
        <f>IFERROR(INDEX(Firms!$A$5:$A$1004,MATCH(458,Firms!$R$5:$R$1004,0))&amp;"","")</f>
        <v/>
      </c>
      <c r="C462" s="59">
        <f>IFERROR(IF(INDEX(Firms!$O$5:$O$1004,MATCH(458,Firms!$R$5:$R$1004,0))="","",INDEX(Firms!$O$5:$O$1004,MATCH(458,Firms!$R$5:$R$1004,0))),"")</f>
        <v/>
      </c>
      <c r="D462" s="58">
        <f>IFERROR(INDEX(Firms!$P$5:$P$1004,MATCH(458,Firms!$R$5:$R$1004,0))&amp;"","")</f>
        <v/>
      </c>
      <c r="E462" s="58">
        <f>IFERROR(INDEX(Firms!$C$5:$C$1004,MATCH(458,Firms!$R$5:$R$1004,0))&amp;"","")</f>
        <v/>
      </c>
      <c r="F462" s="57">
        <f>IFERROR(INDEX(Firms!$L$5:$L$1004,MATCH(458,Firms!$R$5:$R$1004,0))&amp;"","")</f>
        <v/>
      </c>
      <c r="G462" s="57">
        <f>IFERROR(INDEX(Firms!$M$5:$M$1004,MATCH(458,Firms!$R$5:$R$1004,0))&amp;"","")</f>
        <v/>
      </c>
      <c r="H462" s="58">
        <f>IFERROR(INDEX(Firms!$Q$5:$Q$1004,MATCH(458,Firms!$R$5:$R$1004,0))&amp;"","")</f>
        <v/>
      </c>
    </row>
    <row r="463">
      <c r="A463" s="57">
        <f>IF(B463="","",459)</f>
        <v/>
      </c>
      <c r="B463" s="58">
        <f>IFERROR(INDEX(Firms!$A$5:$A$1004,MATCH(459,Firms!$R$5:$R$1004,0))&amp;"","")</f>
        <v/>
      </c>
      <c r="C463" s="59">
        <f>IFERROR(IF(INDEX(Firms!$O$5:$O$1004,MATCH(459,Firms!$R$5:$R$1004,0))="","",INDEX(Firms!$O$5:$O$1004,MATCH(459,Firms!$R$5:$R$1004,0))),"")</f>
        <v/>
      </c>
      <c r="D463" s="58">
        <f>IFERROR(INDEX(Firms!$P$5:$P$1004,MATCH(459,Firms!$R$5:$R$1004,0))&amp;"","")</f>
        <v/>
      </c>
      <c r="E463" s="58">
        <f>IFERROR(INDEX(Firms!$C$5:$C$1004,MATCH(459,Firms!$R$5:$R$1004,0))&amp;"","")</f>
        <v/>
      </c>
      <c r="F463" s="57">
        <f>IFERROR(INDEX(Firms!$L$5:$L$1004,MATCH(459,Firms!$R$5:$R$1004,0))&amp;"","")</f>
        <v/>
      </c>
      <c r="G463" s="57">
        <f>IFERROR(INDEX(Firms!$M$5:$M$1004,MATCH(459,Firms!$R$5:$R$1004,0))&amp;"","")</f>
        <v/>
      </c>
      <c r="H463" s="58">
        <f>IFERROR(INDEX(Firms!$Q$5:$Q$1004,MATCH(459,Firms!$R$5:$R$1004,0))&amp;"","")</f>
        <v/>
      </c>
    </row>
    <row r="464">
      <c r="A464" s="57">
        <f>IF(B464="","",460)</f>
        <v/>
      </c>
      <c r="B464" s="58">
        <f>IFERROR(INDEX(Firms!$A$5:$A$1004,MATCH(460,Firms!$R$5:$R$1004,0))&amp;"","")</f>
        <v/>
      </c>
      <c r="C464" s="59">
        <f>IFERROR(IF(INDEX(Firms!$O$5:$O$1004,MATCH(460,Firms!$R$5:$R$1004,0))="","",INDEX(Firms!$O$5:$O$1004,MATCH(460,Firms!$R$5:$R$1004,0))),"")</f>
        <v/>
      </c>
      <c r="D464" s="58">
        <f>IFERROR(INDEX(Firms!$P$5:$P$1004,MATCH(460,Firms!$R$5:$R$1004,0))&amp;"","")</f>
        <v/>
      </c>
      <c r="E464" s="58">
        <f>IFERROR(INDEX(Firms!$C$5:$C$1004,MATCH(460,Firms!$R$5:$R$1004,0))&amp;"","")</f>
        <v/>
      </c>
      <c r="F464" s="57">
        <f>IFERROR(INDEX(Firms!$L$5:$L$1004,MATCH(460,Firms!$R$5:$R$1004,0))&amp;"","")</f>
        <v/>
      </c>
      <c r="G464" s="57">
        <f>IFERROR(INDEX(Firms!$M$5:$M$1004,MATCH(460,Firms!$R$5:$R$1004,0))&amp;"","")</f>
        <v/>
      </c>
      <c r="H464" s="58">
        <f>IFERROR(INDEX(Firms!$Q$5:$Q$1004,MATCH(460,Firms!$R$5:$R$1004,0))&amp;"","")</f>
        <v/>
      </c>
    </row>
    <row r="465">
      <c r="A465" s="57">
        <f>IF(B465="","",461)</f>
        <v/>
      </c>
      <c r="B465" s="58">
        <f>IFERROR(INDEX(Firms!$A$5:$A$1004,MATCH(461,Firms!$R$5:$R$1004,0))&amp;"","")</f>
        <v/>
      </c>
      <c r="C465" s="59">
        <f>IFERROR(IF(INDEX(Firms!$O$5:$O$1004,MATCH(461,Firms!$R$5:$R$1004,0))="","",INDEX(Firms!$O$5:$O$1004,MATCH(461,Firms!$R$5:$R$1004,0))),"")</f>
        <v/>
      </c>
      <c r="D465" s="58">
        <f>IFERROR(INDEX(Firms!$P$5:$P$1004,MATCH(461,Firms!$R$5:$R$1004,0))&amp;"","")</f>
        <v/>
      </c>
      <c r="E465" s="58">
        <f>IFERROR(INDEX(Firms!$C$5:$C$1004,MATCH(461,Firms!$R$5:$R$1004,0))&amp;"","")</f>
        <v/>
      </c>
      <c r="F465" s="57">
        <f>IFERROR(INDEX(Firms!$L$5:$L$1004,MATCH(461,Firms!$R$5:$R$1004,0))&amp;"","")</f>
        <v/>
      </c>
      <c r="G465" s="57">
        <f>IFERROR(INDEX(Firms!$M$5:$M$1004,MATCH(461,Firms!$R$5:$R$1004,0))&amp;"","")</f>
        <v/>
      </c>
      <c r="H465" s="58">
        <f>IFERROR(INDEX(Firms!$Q$5:$Q$1004,MATCH(461,Firms!$R$5:$R$1004,0))&amp;"","")</f>
        <v/>
      </c>
    </row>
    <row r="466">
      <c r="A466" s="57">
        <f>IF(B466="","",462)</f>
        <v/>
      </c>
      <c r="B466" s="58">
        <f>IFERROR(INDEX(Firms!$A$5:$A$1004,MATCH(462,Firms!$R$5:$R$1004,0))&amp;"","")</f>
        <v/>
      </c>
      <c r="C466" s="59">
        <f>IFERROR(IF(INDEX(Firms!$O$5:$O$1004,MATCH(462,Firms!$R$5:$R$1004,0))="","",INDEX(Firms!$O$5:$O$1004,MATCH(462,Firms!$R$5:$R$1004,0))),"")</f>
        <v/>
      </c>
      <c r="D466" s="58">
        <f>IFERROR(INDEX(Firms!$P$5:$P$1004,MATCH(462,Firms!$R$5:$R$1004,0))&amp;"","")</f>
        <v/>
      </c>
      <c r="E466" s="58">
        <f>IFERROR(INDEX(Firms!$C$5:$C$1004,MATCH(462,Firms!$R$5:$R$1004,0))&amp;"","")</f>
        <v/>
      </c>
      <c r="F466" s="57">
        <f>IFERROR(INDEX(Firms!$L$5:$L$1004,MATCH(462,Firms!$R$5:$R$1004,0))&amp;"","")</f>
        <v/>
      </c>
      <c r="G466" s="57">
        <f>IFERROR(INDEX(Firms!$M$5:$M$1004,MATCH(462,Firms!$R$5:$R$1004,0))&amp;"","")</f>
        <v/>
      </c>
      <c r="H466" s="58">
        <f>IFERROR(INDEX(Firms!$Q$5:$Q$1004,MATCH(462,Firms!$R$5:$R$1004,0))&amp;"","")</f>
        <v/>
      </c>
    </row>
    <row r="467">
      <c r="A467" s="57">
        <f>IF(B467="","",463)</f>
        <v/>
      </c>
      <c r="B467" s="58">
        <f>IFERROR(INDEX(Firms!$A$5:$A$1004,MATCH(463,Firms!$R$5:$R$1004,0))&amp;"","")</f>
        <v/>
      </c>
      <c r="C467" s="59">
        <f>IFERROR(IF(INDEX(Firms!$O$5:$O$1004,MATCH(463,Firms!$R$5:$R$1004,0))="","",INDEX(Firms!$O$5:$O$1004,MATCH(463,Firms!$R$5:$R$1004,0))),"")</f>
        <v/>
      </c>
      <c r="D467" s="58">
        <f>IFERROR(INDEX(Firms!$P$5:$P$1004,MATCH(463,Firms!$R$5:$R$1004,0))&amp;"","")</f>
        <v/>
      </c>
      <c r="E467" s="58">
        <f>IFERROR(INDEX(Firms!$C$5:$C$1004,MATCH(463,Firms!$R$5:$R$1004,0))&amp;"","")</f>
        <v/>
      </c>
      <c r="F467" s="57">
        <f>IFERROR(INDEX(Firms!$L$5:$L$1004,MATCH(463,Firms!$R$5:$R$1004,0))&amp;"","")</f>
        <v/>
      </c>
      <c r="G467" s="57">
        <f>IFERROR(INDEX(Firms!$M$5:$M$1004,MATCH(463,Firms!$R$5:$R$1004,0))&amp;"","")</f>
        <v/>
      </c>
      <c r="H467" s="58">
        <f>IFERROR(INDEX(Firms!$Q$5:$Q$1004,MATCH(463,Firms!$R$5:$R$1004,0))&amp;"","")</f>
        <v/>
      </c>
    </row>
    <row r="468">
      <c r="A468" s="57">
        <f>IF(B468="","",464)</f>
        <v/>
      </c>
      <c r="B468" s="58">
        <f>IFERROR(INDEX(Firms!$A$5:$A$1004,MATCH(464,Firms!$R$5:$R$1004,0))&amp;"","")</f>
        <v/>
      </c>
      <c r="C468" s="59">
        <f>IFERROR(IF(INDEX(Firms!$O$5:$O$1004,MATCH(464,Firms!$R$5:$R$1004,0))="","",INDEX(Firms!$O$5:$O$1004,MATCH(464,Firms!$R$5:$R$1004,0))),"")</f>
        <v/>
      </c>
      <c r="D468" s="58">
        <f>IFERROR(INDEX(Firms!$P$5:$P$1004,MATCH(464,Firms!$R$5:$R$1004,0))&amp;"","")</f>
        <v/>
      </c>
      <c r="E468" s="58">
        <f>IFERROR(INDEX(Firms!$C$5:$C$1004,MATCH(464,Firms!$R$5:$R$1004,0))&amp;"","")</f>
        <v/>
      </c>
      <c r="F468" s="57">
        <f>IFERROR(INDEX(Firms!$L$5:$L$1004,MATCH(464,Firms!$R$5:$R$1004,0))&amp;"","")</f>
        <v/>
      </c>
      <c r="G468" s="57">
        <f>IFERROR(INDEX(Firms!$M$5:$M$1004,MATCH(464,Firms!$R$5:$R$1004,0))&amp;"","")</f>
        <v/>
      </c>
      <c r="H468" s="58">
        <f>IFERROR(INDEX(Firms!$Q$5:$Q$1004,MATCH(464,Firms!$R$5:$R$1004,0))&amp;"","")</f>
        <v/>
      </c>
    </row>
    <row r="469">
      <c r="A469" s="57">
        <f>IF(B469="","",465)</f>
        <v/>
      </c>
      <c r="B469" s="58">
        <f>IFERROR(INDEX(Firms!$A$5:$A$1004,MATCH(465,Firms!$R$5:$R$1004,0))&amp;"","")</f>
        <v/>
      </c>
      <c r="C469" s="59">
        <f>IFERROR(IF(INDEX(Firms!$O$5:$O$1004,MATCH(465,Firms!$R$5:$R$1004,0))="","",INDEX(Firms!$O$5:$O$1004,MATCH(465,Firms!$R$5:$R$1004,0))),"")</f>
        <v/>
      </c>
      <c r="D469" s="58">
        <f>IFERROR(INDEX(Firms!$P$5:$P$1004,MATCH(465,Firms!$R$5:$R$1004,0))&amp;"","")</f>
        <v/>
      </c>
      <c r="E469" s="58">
        <f>IFERROR(INDEX(Firms!$C$5:$C$1004,MATCH(465,Firms!$R$5:$R$1004,0))&amp;"","")</f>
        <v/>
      </c>
      <c r="F469" s="57">
        <f>IFERROR(INDEX(Firms!$L$5:$L$1004,MATCH(465,Firms!$R$5:$R$1004,0))&amp;"","")</f>
        <v/>
      </c>
      <c r="G469" s="57">
        <f>IFERROR(INDEX(Firms!$M$5:$M$1004,MATCH(465,Firms!$R$5:$R$1004,0))&amp;"","")</f>
        <v/>
      </c>
      <c r="H469" s="58">
        <f>IFERROR(INDEX(Firms!$Q$5:$Q$1004,MATCH(465,Firms!$R$5:$R$1004,0))&amp;"","")</f>
        <v/>
      </c>
    </row>
    <row r="470">
      <c r="A470" s="57">
        <f>IF(B470="","",466)</f>
        <v/>
      </c>
      <c r="B470" s="58">
        <f>IFERROR(INDEX(Firms!$A$5:$A$1004,MATCH(466,Firms!$R$5:$R$1004,0))&amp;"","")</f>
        <v/>
      </c>
      <c r="C470" s="59">
        <f>IFERROR(IF(INDEX(Firms!$O$5:$O$1004,MATCH(466,Firms!$R$5:$R$1004,0))="","",INDEX(Firms!$O$5:$O$1004,MATCH(466,Firms!$R$5:$R$1004,0))),"")</f>
        <v/>
      </c>
      <c r="D470" s="58">
        <f>IFERROR(INDEX(Firms!$P$5:$P$1004,MATCH(466,Firms!$R$5:$R$1004,0))&amp;"","")</f>
        <v/>
      </c>
      <c r="E470" s="58">
        <f>IFERROR(INDEX(Firms!$C$5:$C$1004,MATCH(466,Firms!$R$5:$R$1004,0))&amp;"","")</f>
        <v/>
      </c>
      <c r="F470" s="57">
        <f>IFERROR(INDEX(Firms!$L$5:$L$1004,MATCH(466,Firms!$R$5:$R$1004,0))&amp;"","")</f>
        <v/>
      </c>
      <c r="G470" s="57">
        <f>IFERROR(INDEX(Firms!$M$5:$M$1004,MATCH(466,Firms!$R$5:$R$1004,0))&amp;"","")</f>
        <v/>
      </c>
      <c r="H470" s="58">
        <f>IFERROR(INDEX(Firms!$Q$5:$Q$1004,MATCH(466,Firms!$R$5:$R$1004,0))&amp;"","")</f>
        <v/>
      </c>
    </row>
    <row r="471">
      <c r="A471" s="57">
        <f>IF(B471="","",467)</f>
        <v/>
      </c>
      <c r="B471" s="58">
        <f>IFERROR(INDEX(Firms!$A$5:$A$1004,MATCH(467,Firms!$R$5:$R$1004,0))&amp;"","")</f>
        <v/>
      </c>
      <c r="C471" s="59">
        <f>IFERROR(IF(INDEX(Firms!$O$5:$O$1004,MATCH(467,Firms!$R$5:$R$1004,0))="","",INDEX(Firms!$O$5:$O$1004,MATCH(467,Firms!$R$5:$R$1004,0))),"")</f>
        <v/>
      </c>
      <c r="D471" s="58">
        <f>IFERROR(INDEX(Firms!$P$5:$P$1004,MATCH(467,Firms!$R$5:$R$1004,0))&amp;"","")</f>
        <v/>
      </c>
      <c r="E471" s="58">
        <f>IFERROR(INDEX(Firms!$C$5:$C$1004,MATCH(467,Firms!$R$5:$R$1004,0))&amp;"","")</f>
        <v/>
      </c>
      <c r="F471" s="57">
        <f>IFERROR(INDEX(Firms!$L$5:$L$1004,MATCH(467,Firms!$R$5:$R$1004,0))&amp;"","")</f>
        <v/>
      </c>
      <c r="G471" s="57">
        <f>IFERROR(INDEX(Firms!$M$5:$M$1004,MATCH(467,Firms!$R$5:$R$1004,0))&amp;"","")</f>
        <v/>
      </c>
      <c r="H471" s="58">
        <f>IFERROR(INDEX(Firms!$Q$5:$Q$1004,MATCH(467,Firms!$R$5:$R$1004,0))&amp;"","")</f>
        <v/>
      </c>
    </row>
    <row r="472">
      <c r="A472" s="57">
        <f>IF(B472="","",468)</f>
        <v/>
      </c>
      <c r="B472" s="58">
        <f>IFERROR(INDEX(Firms!$A$5:$A$1004,MATCH(468,Firms!$R$5:$R$1004,0))&amp;"","")</f>
        <v/>
      </c>
      <c r="C472" s="59">
        <f>IFERROR(IF(INDEX(Firms!$O$5:$O$1004,MATCH(468,Firms!$R$5:$R$1004,0))="","",INDEX(Firms!$O$5:$O$1004,MATCH(468,Firms!$R$5:$R$1004,0))),"")</f>
        <v/>
      </c>
      <c r="D472" s="58">
        <f>IFERROR(INDEX(Firms!$P$5:$P$1004,MATCH(468,Firms!$R$5:$R$1004,0))&amp;"","")</f>
        <v/>
      </c>
      <c r="E472" s="58">
        <f>IFERROR(INDEX(Firms!$C$5:$C$1004,MATCH(468,Firms!$R$5:$R$1004,0))&amp;"","")</f>
        <v/>
      </c>
      <c r="F472" s="57">
        <f>IFERROR(INDEX(Firms!$L$5:$L$1004,MATCH(468,Firms!$R$5:$R$1004,0))&amp;"","")</f>
        <v/>
      </c>
      <c r="G472" s="57">
        <f>IFERROR(INDEX(Firms!$M$5:$M$1004,MATCH(468,Firms!$R$5:$R$1004,0))&amp;"","")</f>
        <v/>
      </c>
      <c r="H472" s="58">
        <f>IFERROR(INDEX(Firms!$Q$5:$Q$1004,MATCH(468,Firms!$R$5:$R$1004,0))&amp;"","")</f>
        <v/>
      </c>
    </row>
    <row r="473">
      <c r="A473" s="57">
        <f>IF(B473="","",469)</f>
        <v/>
      </c>
      <c r="B473" s="58">
        <f>IFERROR(INDEX(Firms!$A$5:$A$1004,MATCH(469,Firms!$R$5:$R$1004,0))&amp;"","")</f>
        <v/>
      </c>
      <c r="C473" s="59">
        <f>IFERROR(IF(INDEX(Firms!$O$5:$O$1004,MATCH(469,Firms!$R$5:$R$1004,0))="","",INDEX(Firms!$O$5:$O$1004,MATCH(469,Firms!$R$5:$R$1004,0))),"")</f>
        <v/>
      </c>
      <c r="D473" s="58">
        <f>IFERROR(INDEX(Firms!$P$5:$P$1004,MATCH(469,Firms!$R$5:$R$1004,0))&amp;"","")</f>
        <v/>
      </c>
      <c r="E473" s="58">
        <f>IFERROR(INDEX(Firms!$C$5:$C$1004,MATCH(469,Firms!$R$5:$R$1004,0))&amp;"","")</f>
        <v/>
      </c>
      <c r="F473" s="57">
        <f>IFERROR(INDEX(Firms!$L$5:$L$1004,MATCH(469,Firms!$R$5:$R$1004,0))&amp;"","")</f>
        <v/>
      </c>
      <c r="G473" s="57">
        <f>IFERROR(INDEX(Firms!$M$5:$M$1004,MATCH(469,Firms!$R$5:$R$1004,0))&amp;"","")</f>
        <v/>
      </c>
      <c r="H473" s="58">
        <f>IFERROR(INDEX(Firms!$Q$5:$Q$1004,MATCH(469,Firms!$R$5:$R$1004,0))&amp;"","")</f>
        <v/>
      </c>
    </row>
    <row r="474">
      <c r="A474" s="57">
        <f>IF(B474="","",470)</f>
        <v/>
      </c>
      <c r="B474" s="58">
        <f>IFERROR(INDEX(Firms!$A$5:$A$1004,MATCH(470,Firms!$R$5:$R$1004,0))&amp;"","")</f>
        <v/>
      </c>
      <c r="C474" s="59">
        <f>IFERROR(IF(INDEX(Firms!$O$5:$O$1004,MATCH(470,Firms!$R$5:$R$1004,0))="","",INDEX(Firms!$O$5:$O$1004,MATCH(470,Firms!$R$5:$R$1004,0))),"")</f>
        <v/>
      </c>
      <c r="D474" s="58">
        <f>IFERROR(INDEX(Firms!$P$5:$P$1004,MATCH(470,Firms!$R$5:$R$1004,0))&amp;"","")</f>
        <v/>
      </c>
      <c r="E474" s="58">
        <f>IFERROR(INDEX(Firms!$C$5:$C$1004,MATCH(470,Firms!$R$5:$R$1004,0))&amp;"","")</f>
        <v/>
      </c>
      <c r="F474" s="57">
        <f>IFERROR(INDEX(Firms!$L$5:$L$1004,MATCH(470,Firms!$R$5:$R$1004,0))&amp;"","")</f>
        <v/>
      </c>
      <c r="G474" s="57">
        <f>IFERROR(INDEX(Firms!$M$5:$M$1004,MATCH(470,Firms!$R$5:$R$1004,0))&amp;"","")</f>
        <v/>
      </c>
      <c r="H474" s="58">
        <f>IFERROR(INDEX(Firms!$Q$5:$Q$1004,MATCH(470,Firms!$R$5:$R$1004,0))&amp;"","")</f>
        <v/>
      </c>
    </row>
    <row r="475">
      <c r="A475" s="57">
        <f>IF(B475="","",471)</f>
        <v/>
      </c>
      <c r="B475" s="58">
        <f>IFERROR(INDEX(Firms!$A$5:$A$1004,MATCH(471,Firms!$R$5:$R$1004,0))&amp;"","")</f>
        <v/>
      </c>
      <c r="C475" s="59">
        <f>IFERROR(IF(INDEX(Firms!$O$5:$O$1004,MATCH(471,Firms!$R$5:$R$1004,0))="","",INDEX(Firms!$O$5:$O$1004,MATCH(471,Firms!$R$5:$R$1004,0))),"")</f>
        <v/>
      </c>
      <c r="D475" s="58">
        <f>IFERROR(INDEX(Firms!$P$5:$P$1004,MATCH(471,Firms!$R$5:$R$1004,0))&amp;"","")</f>
        <v/>
      </c>
      <c r="E475" s="58">
        <f>IFERROR(INDEX(Firms!$C$5:$C$1004,MATCH(471,Firms!$R$5:$R$1004,0))&amp;"","")</f>
        <v/>
      </c>
      <c r="F475" s="57">
        <f>IFERROR(INDEX(Firms!$L$5:$L$1004,MATCH(471,Firms!$R$5:$R$1004,0))&amp;"","")</f>
        <v/>
      </c>
      <c r="G475" s="57">
        <f>IFERROR(INDEX(Firms!$M$5:$M$1004,MATCH(471,Firms!$R$5:$R$1004,0))&amp;"","")</f>
        <v/>
      </c>
      <c r="H475" s="58">
        <f>IFERROR(INDEX(Firms!$Q$5:$Q$1004,MATCH(471,Firms!$R$5:$R$1004,0))&amp;"","")</f>
        <v/>
      </c>
    </row>
    <row r="476">
      <c r="A476" s="57">
        <f>IF(B476="","",472)</f>
        <v/>
      </c>
      <c r="B476" s="58">
        <f>IFERROR(INDEX(Firms!$A$5:$A$1004,MATCH(472,Firms!$R$5:$R$1004,0))&amp;"","")</f>
        <v/>
      </c>
      <c r="C476" s="59">
        <f>IFERROR(IF(INDEX(Firms!$O$5:$O$1004,MATCH(472,Firms!$R$5:$R$1004,0))="","",INDEX(Firms!$O$5:$O$1004,MATCH(472,Firms!$R$5:$R$1004,0))),"")</f>
        <v/>
      </c>
      <c r="D476" s="58">
        <f>IFERROR(INDEX(Firms!$P$5:$P$1004,MATCH(472,Firms!$R$5:$R$1004,0))&amp;"","")</f>
        <v/>
      </c>
      <c r="E476" s="58">
        <f>IFERROR(INDEX(Firms!$C$5:$C$1004,MATCH(472,Firms!$R$5:$R$1004,0))&amp;"","")</f>
        <v/>
      </c>
      <c r="F476" s="57">
        <f>IFERROR(INDEX(Firms!$L$5:$L$1004,MATCH(472,Firms!$R$5:$R$1004,0))&amp;"","")</f>
        <v/>
      </c>
      <c r="G476" s="57">
        <f>IFERROR(INDEX(Firms!$M$5:$M$1004,MATCH(472,Firms!$R$5:$R$1004,0))&amp;"","")</f>
        <v/>
      </c>
      <c r="H476" s="58">
        <f>IFERROR(INDEX(Firms!$Q$5:$Q$1004,MATCH(472,Firms!$R$5:$R$1004,0))&amp;"","")</f>
        <v/>
      </c>
    </row>
    <row r="477">
      <c r="A477" s="57">
        <f>IF(B477="","",473)</f>
        <v/>
      </c>
      <c r="B477" s="58">
        <f>IFERROR(INDEX(Firms!$A$5:$A$1004,MATCH(473,Firms!$R$5:$R$1004,0))&amp;"","")</f>
        <v/>
      </c>
      <c r="C477" s="59">
        <f>IFERROR(IF(INDEX(Firms!$O$5:$O$1004,MATCH(473,Firms!$R$5:$R$1004,0))="","",INDEX(Firms!$O$5:$O$1004,MATCH(473,Firms!$R$5:$R$1004,0))),"")</f>
        <v/>
      </c>
      <c r="D477" s="58">
        <f>IFERROR(INDEX(Firms!$P$5:$P$1004,MATCH(473,Firms!$R$5:$R$1004,0))&amp;"","")</f>
        <v/>
      </c>
      <c r="E477" s="58">
        <f>IFERROR(INDEX(Firms!$C$5:$C$1004,MATCH(473,Firms!$R$5:$R$1004,0))&amp;"","")</f>
        <v/>
      </c>
      <c r="F477" s="57">
        <f>IFERROR(INDEX(Firms!$L$5:$L$1004,MATCH(473,Firms!$R$5:$R$1004,0))&amp;"","")</f>
        <v/>
      </c>
      <c r="G477" s="57">
        <f>IFERROR(INDEX(Firms!$M$5:$M$1004,MATCH(473,Firms!$R$5:$R$1004,0))&amp;"","")</f>
        <v/>
      </c>
      <c r="H477" s="58">
        <f>IFERROR(INDEX(Firms!$Q$5:$Q$1004,MATCH(473,Firms!$R$5:$R$1004,0))&amp;"","")</f>
        <v/>
      </c>
    </row>
    <row r="478">
      <c r="A478" s="57">
        <f>IF(B478="","",474)</f>
        <v/>
      </c>
      <c r="B478" s="58">
        <f>IFERROR(INDEX(Firms!$A$5:$A$1004,MATCH(474,Firms!$R$5:$R$1004,0))&amp;"","")</f>
        <v/>
      </c>
      <c r="C478" s="59">
        <f>IFERROR(IF(INDEX(Firms!$O$5:$O$1004,MATCH(474,Firms!$R$5:$R$1004,0))="","",INDEX(Firms!$O$5:$O$1004,MATCH(474,Firms!$R$5:$R$1004,0))),"")</f>
        <v/>
      </c>
      <c r="D478" s="58">
        <f>IFERROR(INDEX(Firms!$P$5:$P$1004,MATCH(474,Firms!$R$5:$R$1004,0))&amp;"","")</f>
        <v/>
      </c>
      <c r="E478" s="58">
        <f>IFERROR(INDEX(Firms!$C$5:$C$1004,MATCH(474,Firms!$R$5:$R$1004,0))&amp;"","")</f>
        <v/>
      </c>
      <c r="F478" s="57">
        <f>IFERROR(INDEX(Firms!$L$5:$L$1004,MATCH(474,Firms!$R$5:$R$1004,0))&amp;"","")</f>
        <v/>
      </c>
      <c r="G478" s="57">
        <f>IFERROR(INDEX(Firms!$M$5:$M$1004,MATCH(474,Firms!$R$5:$R$1004,0))&amp;"","")</f>
        <v/>
      </c>
      <c r="H478" s="58">
        <f>IFERROR(INDEX(Firms!$Q$5:$Q$1004,MATCH(474,Firms!$R$5:$R$1004,0))&amp;"","")</f>
        <v/>
      </c>
    </row>
    <row r="479">
      <c r="A479" s="57">
        <f>IF(B479="","",475)</f>
        <v/>
      </c>
      <c r="B479" s="58">
        <f>IFERROR(INDEX(Firms!$A$5:$A$1004,MATCH(475,Firms!$R$5:$R$1004,0))&amp;"","")</f>
        <v/>
      </c>
      <c r="C479" s="59">
        <f>IFERROR(IF(INDEX(Firms!$O$5:$O$1004,MATCH(475,Firms!$R$5:$R$1004,0))="","",INDEX(Firms!$O$5:$O$1004,MATCH(475,Firms!$R$5:$R$1004,0))),"")</f>
        <v/>
      </c>
      <c r="D479" s="58">
        <f>IFERROR(INDEX(Firms!$P$5:$P$1004,MATCH(475,Firms!$R$5:$R$1004,0))&amp;"","")</f>
        <v/>
      </c>
      <c r="E479" s="58">
        <f>IFERROR(INDEX(Firms!$C$5:$C$1004,MATCH(475,Firms!$R$5:$R$1004,0))&amp;"","")</f>
        <v/>
      </c>
      <c r="F479" s="57">
        <f>IFERROR(INDEX(Firms!$L$5:$L$1004,MATCH(475,Firms!$R$5:$R$1004,0))&amp;"","")</f>
        <v/>
      </c>
      <c r="G479" s="57">
        <f>IFERROR(INDEX(Firms!$M$5:$M$1004,MATCH(475,Firms!$R$5:$R$1004,0))&amp;"","")</f>
        <v/>
      </c>
      <c r="H479" s="58">
        <f>IFERROR(INDEX(Firms!$Q$5:$Q$1004,MATCH(475,Firms!$R$5:$R$1004,0))&amp;"","")</f>
        <v/>
      </c>
    </row>
    <row r="480">
      <c r="A480" s="57">
        <f>IF(B480="","",476)</f>
        <v/>
      </c>
      <c r="B480" s="58">
        <f>IFERROR(INDEX(Firms!$A$5:$A$1004,MATCH(476,Firms!$R$5:$R$1004,0))&amp;"","")</f>
        <v/>
      </c>
      <c r="C480" s="59">
        <f>IFERROR(IF(INDEX(Firms!$O$5:$O$1004,MATCH(476,Firms!$R$5:$R$1004,0))="","",INDEX(Firms!$O$5:$O$1004,MATCH(476,Firms!$R$5:$R$1004,0))),"")</f>
        <v/>
      </c>
      <c r="D480" s="58">
        <f>IFERROR(INDEX(Firms!$P$5:$P$1004,MATCH(476,Firms!$R$5:$R$1004,0))&amp;"","")</f>
        <v/>
      </c>
      <c r="E480" s="58">
        <f>IFERROR(INDEX(Firms!$C$5:$C$1004,MATCH(476,Firms!$R$5:$R$1004,0))&amp;"","")</f>
        <v/>
      </c>
      <c r="F480" s="57">
        <f>IFERROR(INDEX(Firms!$L$5:$L$1004,MATCH(476,Firms!$R$5:$R$1004,0))&amp;"","")</f>
        <v/>
      </c>
      <c r="G480" s="57">
        <f>IFERROR(INDEX(Firms!$M$5:$M$1004,MATCH(476,Firms!$R$5:$R$1004,0))&amp;"","")</f>
        <v/>
      </c>
      <c r="H480" s="58">
        <f>IFERROR(INDEX(Firms!$Q$5:$Q$1004,MATCH(476,Firms!$R$5:$R$1004,0))&amp;"","")</f>
        <v/>
      </c>
    </row>
    <row r="481">
      <c r="A481" s="57">
        <f>IF(B481="","",477)</f>
        <v/>
      </c>
      <c r="B481" s="58">
        <f>IFERROR(INDEX(Firms!$A$5:$A$1004,MATCH(477,Firms!$R$5:$R$1004,0))&amp;"","")</f>
        <v/>
      </c>
      <c r="C481" s="59">
        <f>IFERROR(IF(INDEX(Firms!$O$5:$O$1004,MATCH(477,Firms!$R$5:$R$1004,0))="","",INDEX(Firms!$O$5:$O$1004,MATCH(477,Firms!$R$5:$R$1004,0))),"")</f>
        <v/>
      </c>
      <c r="D481" s="58">
        <f>IFERROR(INDEX(Firms!$P$5:$P$1004,MATCH(477,Firms!$R$5:$R$1004,0))&amp;"","")</f>
        <v/>
      </c>
      <c r="E481" s="58">
        <f>IFERROR(INDEX(Firms!$C$5:$C$1004,MATCH(477,Firms!$R$5:$R$1004,0))&amp;"","")</f>
        <v/>
      </c>
      <c r="F481" s="57">
        <f>IFERROR(INDEX(Firms!$L$5:$L$1004,MATCH(477,Firms!$R$5:$R$1004,0))&amp;"","")</f>
        <v/>
      </c>
      <c r="G481" s="57">
        <f>IFERROR(INDEX(Firms!$M$5:$M$1004,MATCH(477,Firms!$R$5:$R$1004,0))&amp;"","")</f>
        <v/>
      </c>
      <c r="H481" s="58">
        <f>IFERROR(INDEX(Firms!$Q$5:$Q$1004,MATCH(477,Firms!$R$5:$R$1004,0))&amp;"","")</f>
        <v/>
      </c>
    </row>
    <row r="482">
      <c r="A482" s="57">
        <f>IF(B482="","",478)</f>
        <v/>
      </c>
      <c r="B482" s="58">
        <f>IFERROR(INDEX(Firms!$A$5:$A$1004,MATCH(478,Firms!$R$5:$R$1004,0))&amp;"","")</f>
        <v/>
      </c>
      <c r="C482" s="59">
        <f>IFERROR(IF(INDEX(Firms!$O$5:$O$1004,MATCH(478,Firms!$R$5:$R$1004,0))="","",INDEX(Firms!$O$5:$O$1004,MATCH(478,Firms!$R$5:$R$1004,0))),"")</f>
        <v/>
      </c>
      <c r="D482" s="58">
        <f>IFERROR(INDEX(Firms!$P$5:$P$1004,MATCH(478,Firms!$R$5:$R$1004,0))&amp;"","")</f>
        <v/>
      </c>
      <c r="E482" s="58">
        <f>IFERROR(INDEX(Firms!$C$5:$C$1004,MATCH(478,Firms!$R$5:$R$1004,0))&amp;"","")</f>
        <v/>
      </c>
      <c r="F482" s="57">
        <f>IFERROR(INDEX(Firms!$L$5:$L$1004,MATCH(478,Firms!$R$5:$R$1004,0))&amp;"","")</f>
        <v/>
      </c>
      <c r="G482" s="57">
        <f>IFERROR(INDEX(Firms!$M$5:$M$1004,MATCH(478,Firms!$R$5:$R$1004,0))&amp;"","")</f>
        <v/>
      </c>
      <c r="H482" s="58">
        <f>IFERROR(INDEX(Firms!$Q$5:$Q$1004,MATCH(478,Firms!$R$5:$R$1004,0))&amp;"","")</f>
        <v/>
      </c>
    </row>
    <row r="483">
      <c r="A483" s="57">
        <f>IF(B483="","",479)</f>
        <v/>
      </c>
      <c r="B483" s="58">
        <f>IFERROR(INDEX(Firms!$A$5:$A$1004,MATCH(479,Firms!$R$5:$R$1004,0))&amp;"","")</f>
        <v/>
      </c>
      <c r="C483" s="59">
        <f>IFERROR(IF(INDEX(Firms!$O$5:$O$1004,MATCH(479,Firms!$R$5:$R$1004,0))="","",INDEX(Firms!$O$5:$O$1004,MATCH(479,Firms!$R$5:$R$1004,0))),"")</f>
        <v/>
      </c>
      <c r="D483" s="58">
        <f>IFERROR(INDEX(Firms!$P$5:$P$1004,MATCH(479,Firms!$R$5:$R$1004,0))&amp;"","")</f>
        <v/>
      </c>
      <c r="E483" s="58">
        <f>IFERROR(INDEX(Firms!$C$5:$C$1004,MATCH(479,Firms!$R$5:$R$1004,0))&amp;"","")</f>
        <v/>
      </c>
      <c r="F483" s="57">
        <f>IFERROR(INDEX(Firms!$L$5:$L$1004,MATCH(479,Firms!$R$5:$R$1004,0))&amp;"","")</f>
        <v/>
      </c>
      <c r="G483" s="57">
        <f>IFERROR(INDEX(Firms!$M$5:$M$1004,MATCH(479,Firms!$R$5:$R$1004,0))&amp;"","")</f>
        <v/>
      </c>
      <c r="H483" s="58">
        <f>IFERROR(INDEX(Firms!$Q$5:$Q$1004,MATCH(479,Firms!$R$5:$R$1004,0))&amp;"","")</f>
        <v/>
      </c>
    </row>
    <row r="484">
      <c r="A484" s="57">
        <f>IF(B484="","",480)</f>
        <v/>
      </c>
      <c r="B484" s="58">
        <f>IFERROR(INDEX(Firms!$A$5:$A$1004,MATCH(480,Firms!$R$5:$R$1004,0))&amp;"","")</f>
        <v/>
      </c>
      <c r="C484" s="59">
        <f>IFERROR(IF(INDEX(Firms!$O$5:$O$1004,MATCH(480,Firms!$R$5:$R$1004,0))="","",INDEX(Firms!$O$5:$O$1004,MATCH(480,Firms!$R$5:$R$1004,0))),"")</f>
        <v/>
      </c>
      <c r="D484" s="58">
        <f>IFERROR(INDEX(Firms!$P$5:$P$1004,MATCH(480,Firms!$R$5:$R$1004,0))&amp;"","")</f>
        <v/>
      </c>
      <c r="E484" s="58">
        <f>IFERROR(INDEX(Firms!$C$5:$C$1004,MATCH(480,Firms!$R$5:$R$1004,0))&amp;"","")</f>
        <v/>
      </c>
      <c r="F484" s="57">
        <f>IFERROR(INDEX(Firms!$L$5:$L$1004,MATCH(480,Firms!$R$5:$R$1004,0))&amp;"","")</f>
        <v/>
      </c>
      <c r="G484" s="57">
        <f>IFERROR(INDEX(Firms!$M$5:$M$1004,MATCH(480,Firms!$R$5:$R$1004,0))&amp;"","")</f>
        <v/>
      </c>
      <c r="H484" s="58">
        <f>IFERROR(INDEX(Firms!$Q$5:$Q$1004,MATCH(480,Firms!$R$5:$R$1004,0))&amp;"","")</f>
        <v/>
      </c>
    </row>
    <row r="485">
      <c r="A485" s="57">
        <f>IF(B485="","",481)</f>
        <v/>
      </c>
      <c r="B485" s="58">
        <f>IFERROR(INDEX(Firms!$A$5:$A$1004,MATCH(481,Firms!$R$5:$R$1004,0))&amp;"","")</f>
        <v/>
      </c>
      <c r="C485" s="59">
        <f>IFERROR(IF(INDEX(Firms!$O$5:$O$1004,MATCH(481,Firms!$R$5:$R$1004,0))="","",INDEX(Firms!$O$5:$O$1004,MATCH(481,Firms!$R$5:$R$1004,0))),"")</f>
        <v/>
      </c>
      <c r="D485" s="58">
        <f>IFERROR(INDEX(Firms!$P$5:$P$1004,MATCH(481,Firms!$R$5:$R$1004,0))&amp;"","")</f>
        <v/>
      </c>
      <c r="E485" s="58">
        <f>IFERROR(INDEX(Firms!$C$5:$C$1004,MATCH(481,Firms!$R$5:$R$1004,0))&amp;"","")</f>
        <v/>
      </c>
      <c r="F485" s="57">
        <f>IFERROR(INDEX(Firms!$L$5:$L$1004,MATCH(481,Firms!$R$5:$R$1004,0))&amp;"","")</f>
        <v/>
      </c>
      <c r="G485" s="57">
        <f>IFERROR(INDEX(Firms!$M$5:$M$1004,MATCH(481,Firms!$R$5:$R$1004,0))&amp;"","")</f>
        <v/>
      </c>
      <c r="H485" s="58">
        <f>IFERROR(INDEX(Firms!$Q$5:$Q$1004,MATCH(481,Firms!$R$5:$R$1004,0))&amp;"","")</f>
        <v/>
      </c>
    </row>
    <row r="486">
      <c r="A486" s="57">
        <f>IF(B486="","",482)</f>
        <v/>
      </c>
      <c r="B486" s="58">
        <f>IFERROR(INDEX(Firms!$A$5:$A$1004,MATCH(482,Firms!$R$5:$R$1004,0))&amp;"","")</f>
        <v/>
      </c>
      <c r="C486" s="59">
        <f>IFERROR(IF(INDEX(Firms!$O$5:$O$1004,MATCH(482,Firms!$R$5:$R$1004,0))="","",INDEX(Firms!$O$5:$O$1004,MATCH(482,Firms!$R$5:$R$1004,0))),"")</f>
        <v/>
      </c>
      <c r="D486" s="58">
        <f>IFERROR(INDEX(Firms!$P$5:$P$1004,MATCH(482,Firms!$R$5:$R$1004,0))&amp;"","")</f>
        <v/>
      </c>
      <c r="E486" s="58">
        <f>IFERROR(INDEX(Firms!$C$5:$C$1004,MATCH(482,Firms!$R$5:$R$1004,0))&amp;"","")</f>
        <v/>
      </c>
      <c r="F486" s="57">
        <f>IFERROR(INDEX(Firms!$L$5:$L$1004,MATCH(482,Firms!$R$5:$R$1004,0))&amp;"","")</f>
        <v/>
      </c>
      <c r="G486" s="57">
        <f>IFERROR(INDEX(Firms!$M$5:$M$1004,MATCH(482,Firms!$R$5:$R$1004,0))&amp;"","")</f>
        <v/>
      </c>
      <c r="H486" s="58">
        <f>IFERROR(INDEX(Firms!$Q$5:$Q$1004,MATCH(482,Firms!$R$5:$R$1004,0))&amp;"","")</f>
        <v/>
      </c>
    </row>
    <row r="487">
      <c r="A487" s="57">
        <f>IF(B487="","",483)</f>
        <v/>
      </c>
      <c r="B487" s="58">
        <f>IFERROR(INDEX(Firms!$A$5:$A$1004,MATCH(483,Firms!$R$5:$R$1004,0))&amp;"","")</f>
        <v/>
      </c>
      <c r="C487" s="59">
        <f>IFERROR(IF(INDEX(Firms!$O$5:$O$1004,MATCH(483,Firms!$R$5:$R$1004,0))="","",INDEX(Firms!$O$5:$O$1004,MATCH(483,Firms!$R$5:$R$1004,0))),"")</f>
        <v/>
      </c>
      <c r="D487" s="58">
        <f>IFERROR(INDEX(Firms!$P$5:$P$1004,MATCH(483,Firms!$R$5:$R$1004,0))&amp;"","")</f>
        <v/>
      </c>
      <c r="E487" s="58">
        <f>IFERROR(INDEX(Firms!$C$5:$C$1004,MATCH(483,Firms!$R$5:$R$1004,0))&amp;"","")</f>
        <v/>
      </c>
      <c r="F487" s="57">
        <f>IFERROR(INDEX(Firms!$L$5:$L$1004,MATCH(483,Firms!$R$5:$R$1004,0))&amp;"","")</f>
        <v/>
      </c>
      <c r="G487" s="57">
        <f>IFERROR(INDEX(Firms!$M$5:$M$1004,MATCH(483,Firms!$R$5:$R$1004,0))&amp;"","")</f>
        <v/>
      </c>
      <c r="H487" s="58">
        <f>IFERROR(INDEX(Firms!$Q$5:$Q$1004,MATCH(483,Firms!$R$5:$R$1004,0))&amp;"","")</f>
        <v/>
      </c>
    </row>
    <row r="488">
      <c r="A488" s="57">
        <f>IF(B488="","",484)</f>
        <v/>
      </c>
      <c r="B488" s="58">
        <f>IFERROR(INDEX(Firms!$A$5:$A$1004,MATCH(484,Firms!$R$5:$R$1004,0))&amp;"","")</f>
        <v/>
      </c>
      <c r="C488" s="59">
        <f>IFERROR(IF(INDEX(Firms!$O$5:$O$1004,MATCH(484,Firms!$R$5:$R$1004,0))="","",INDEX(Firms!$O$5:$O$1004,MATCH(484,Firms!$R$5:$R$1004,0))),"")</f>
        <v/>
      </c>
      <c r="D488" s="58">
        <f>IFERROR(INDEX(Firms!$P$5:$P$1004,MATCH(484,Firms!$R$5:$R$1004,0))&amp;"","")</f>
        <v/>
      </c>
      <c r="E488" s="58">
        <f>IFERROR(INDEX(Firms!$C$5:$C$1004,MATCH(484,Firms!$R$5:$R$1004,0))&amp;"","")</f>
        <v/>
      </c>
      <c r="F488" s="57">
        <f>IFERROR(INDEX(Firms!$L$5:$L$1004,MATCH(484,Firms!$R$5:$R$1004,0))&amp;"","")</f>
        <v/>
      </c>
      <c r="G488" s="57">
        <f>IFERROR(INDEX(Firms!$M$5:$M$1004,MATCH(484,Firms!$R$5:$R$1004,0))&amp;"","")</f>
        <v/>
      </c>
      <c r="H488" s="58">
        <f>IFERROR(INDEX(Firms!$Q$5:$Q$1004,MATCH(484,Firms!$R$5:$R$1004,0))&amp;"","")</f>
        <v/>
      </c>
    </row>
    <row r="489">
      <c r="A489" s="57">
        <f>IF(B489="","",485)</f>
        <v/>
      </c>
      <c r="B489" s="58">
        <f>IFERROR(INDEX(Firms!$A$5:$A$1004,MATCH(485,Firms!$R$5:$R$1004,0))&amp;"","")</f>
        <v/>
      </c>
      <c r="C489" s="59">
        <f>IFERROR(IF(INDEX(Firms!$O$5:$O$1004,MATCH(485,Firms!$R$5:$R$1004,0))="","",INDEX(Firms!$O$5:$O$1004,MATCH(485,Firms!$R$5:$R$1004,0))),"")</f>
        <v/>
      </c>
      <c r="D489" s="58">
        <f>IFERROR(INDEX(Firms!$P$5:$P$1004,MATCH(485,Firms!$R$5:$R$1004,0))&amp;"","")</f>
        <v/>
      </c>
      <c r="E489" s="58">
        <f>IFERROR(INDEX(Firms!$C$5:$C$1004,MATCH(485,Firms!$R$5:$R$1004,0))&amp;"","")</f>
        <v/>
      </c>
      <c r="F489" s="57">
        <f>IFERROR(INDEX(Firms!$L$5:$L$1004,MATCH(485,Firms!$R$5:$R$1004,0))&amp;"","")</f>
        <v/>
      </c>
      <c r="G489" s="57">
        <f>IFERROR(INDEX(Firms!$M$5:$M$1004,MATCH(485,Firms!$R$5:$R$1004,0))&amp;"","")</f>
        <v/>
      </c>
      <c r="H489" s="58">
        <f>IFERROR(INDEX(Firms!$Q$5:$Q$1004,MATCH(485,Firms!$R$5:$R$1004,0))&amp;"","")</f>
        <v/>
      </c>
    </row>
    <row r="490">
      <c r="A490" s="57">
        <f>IF(B490="","",486)</f>
        <v/>
      </c>
      <c r="B490" s="58">
        <f>IFERROR(INDEX(Firms!$A$5:$A$1004,MATCH(486,Firms!$R$5:$R$1004,0))&amp;"","")</f>
        <v/>
      </c>
      <c r="C490" s="59">
        <f>IFERROR(IF(INDEX(Firms!$O$5:$O$1004,MATCH(486,Firms!$R$5:$R$1004,0))="","",INDEX(Firms!$O$5:$O$1004,MATCH(486,Firms!$R$5:$R$1004,0))),"")</f>
        <v/>
      </c>
      <c r="D490" s="58">
        <f>IFERROR(INDEX(Firms!$P$5:$P$1004,MATCH(486,Firms!$R$5:$R$1004,0))&amp;"","")</f>
        <v/>
      </c>
      <c r="E490" s="58">
        <f>IFERROR(INDEX(Firms!$C$5:$C$1004,MATCH(486,Firms!$R$5:$R$1004,0))&amp;"","")</f>
        <v/>
      </c>
      <c r="F490" s="57">
        <f>IFERROR(INDEX(Firms!$L$5:$L$1004,MATCH(486,Firms!$R$5:$R$1004,0))&amp;"","")</f>
        <v/>
      </c>
      <c r="G490" s="57">
        <f>IFERROR(INDEX(Firms!$M$5:$M$1004,MATCH(486,Firms!$R$5:$R$1004,0))&amp;"","")</f>
        <v/>
      </c>
      <c r="H490" s="58">
        <f>IFERROR(INDEX(Firms!$Q$5:$Q$1004,MATCH(486,Firms!$R$5:$R$1004,0))&amp;"","")</f>
        <v/>
      </c>
    </row>
    <row r="491">
      <c r="A491" s="57">
        <f>IF(B491="","",487)</f>
        <v/>
      </c>
      <c r="B491" s="58">
        <f>IFERROR(INDEX(Firms!$A$5:$A$1004,MATCH(487,Firms!$R$5:$R$1004,0))&amp;"","")</f>
        <v/>
      </c>
      <c r="C491" s="59">
        <f>IFERROR(IF(INDEX(Firms!$O$5:$O$1004,MATCH(487,Firms!$R$5:$R$1004,0))="","",INDEX(Firms!$O$5:$O$1004,MATCH(487,Firms!$R$5:$R$1004,0))),"")</f>
        <v/>
      </c>
      <c r="D491" s="58">
        <f>IFERROR(INDEX(Firms!$P$5:$P$1004,MATCH(487,Firms!$R$5:$R$1004,0))&amp;"","")</f>
        <v/>
      </c>
      <c r="E491" s="58">
        <f>IFERROR(INDEX(Firms!$C$5:$C$1004,MATCH(487,Firms!$R$5:$R$1004,0))&amp;"","")</f>
        <v/>
      </c>
      <c r="F491" s="57">
        <f>IFERROR(INDEX(Firms!$L$5:$L$1004,MATCH(487,Firms!$R$5:$R$1004,0))&amp;"","")</f>
        <v/>
      </c>
      <c r="G491" s="57">
        <f>IFERROR(INDEX(Firms!$M$5:$M$1004,MATCH(487,Firms!$R$5:$R$1004,0))&amp;"","")</f>
        <v/>
      </c>
      <c r="H491" s="58">
        <f>IFERROR(INDEX(Firms!$Q$5:$Q$1004,MATCH(487,Firms!$R$5:$R$1004,0))&amp;"","")</f>
        <v/>
      </c>
    </row>
    <row r="492">
      <c r="A492" s="57">
        <f>IF(B492="","",488)</f>
        <v/>
      </c>
      <c r="B492" s="58">
        <f>IFERROR(INDEX(Firms!$A$5:$A$1004,MATCH(488,Firms!$R$5:$R$1004,0))&amp;"","")</f>
        <v/>
      </c>
      <c r="C492" s="59">
        <f>IFERROR(IF(INDEX(Firms!$O$5:$O$1004,MATCH(488,Firms!$R$5:$R$1004,0))="","",INDEX(Firms!$O$5:$O$1004,MATCH(488,Firms!$R$5:$R$1004,0))),"")</f>
        <v/>
      </c>
      <c r="D492" s="58">
        <f>IFERROR(INDEX(Firms!$P$5:$P$1004,MATCH(488,Firms!$R$5:$R$1004,0))&amp;"","")</f>
        <v/>
      </c>
      <c r="E492" s="58">
        <f>IFERROR(INDEX(Firms!$C$5:$C$1004,MATCH(488,Firms!$R$5:$R$1004,0))&amp;"","")</f>
        <v/>
      </c>
      <c r="F492" s="57">
        <f>IFERROR(INDEX(Firms!$L$5:$L$1004,MATCH(488,Firms!$R$5:$R$1004,0))&amp;"","")</f>
        <v/>
      </c>
      <c r="G492" s="57">
        <f>IFERROR(INDEX(Firms!$M$5:$M$1004,MATCH(488,Firms!$R$5:$R$1004,0))&amp;"","")</f>
        <v/>
      </c>
      <c r="H492" s="58">
        <f>IFERROR(INDEX(Firms!$Q$5:$Q$1004,MATCH(488,Firms!$R$5:$R$1004,0))&amp;"","")</f>
        <v/>
      </c>
    </row>
    <row r="493">
      <c r="A493" s="57">
        <f>IF(B493="","",489)</f>
        <v/>
      </c>
      <c r="B493" s="58">
        <f>IFERROR(INDEX(Firms!$A$5:$A$1004,MATCH(489,Firms!$R$5:$R$1004,0))&amp;"","")</f>
        <v/>
      </c>
      <c r="C493" s="59">
        <f>IFERROR(IF(INDEX(Firms!$O$5:$O$1004,MATCH(489,Firms!$R$5:$R$1004,0))="","",INDEX(Firms!$O$5:$O$1004,MATCH(489,Firms!$R$5:$R$1004,0))),"")</f>
        <v/>
      </c>
      <c r="D493" s="58">
        <f>IFERROR(INDEX(Firms!$P$5:$P$1004,MATCH(489,Firms!$R$5:$R$1004,0))&amp;"","")</f>
        <v/>
      </c>
      <c r="E493" s="58">
        <f>IFERROR(INDEX(Firms!$C$5:$C$1004,MATCH(489,Firms!$R$5:$R$1004,0))&amp;"","")</f>
        <v/>
      </c>
      <c r="F493" s="57">
        <f>IFERROR(INDEX(Firms!$L$5:$L$1004,MATCH(489,Firms!$R$5:$R$1004,0))&amp;"","")</f>
        <v/>
      </c>
      <c r="G493" s="57">
        <f>IFERROR(INDEX(Firms!$M$5:$M$1004,MATCH(489,Firms!$R$5:$R$1004,0))&amp;"","")</f>
        <v/>
      </c>
      <c r="H493" s="58">
        <f>IFERROR(INDEX(Firms!$Q$5:$Q$1004,MATCH(489,Firms!$R$5:$R$1004,0))&amp;"","")</f>
        <v/>
      </c>
    </row>
    <row r="494">
      <c r="A494" s="57">
        <f>IF(B494="","",490)</f>
        <v/>
      </c>
      <c r="B494" s="58">
        <f>IFERROR(INDEX(Firms!$A$5:$A$1004,MATCH(490,Firms!$R$5:$R$1004,0))&amp;"","")</f>
        <v/>
      </c>
      <c r="C494" s="59">
        <f>IFERROR(IF(INDEX(Firms!$O$5:$O$1004,MATCH(490,Firms!$R$5:$R$1004,0))="","",INDEX(Firms!$O$5:$O$1004,MATCH(490,Firms!$R$5:$R$1004,0))),"")</f>
        <v/>
      </c>
      <c r="D494" s="58">
        <f>IFERROR(INDEX(Firms!$P$5:$P$1004,MATCH(490,Firms!$R$5:$R$1004,0))&amp;"","")</f>
        <v/>
      </c>
      <c r="E494" s="58">
        <f>IFERROR(INDEX(Firms!$C$5:$C$1004,MATCH(490,Firms!$R$5:$R$1004,0))&amp;"","")</f>
        <v/>
      </c>
      <c r="F494" s="57">
        <f>IFERROR(INDEX(Firms!$L$5:$L$1004,MATCH(490,Firms!$R$5:$R$1004,0))&amp;"","")</f>
        <v/>
      </c>
      <c r="G494" s="57">
        <f>IFERROR(INDEX(Firms!$M$5:$M$1004,MATCH(490,Firms!$R$5:$R$1004,0))&amp;"","")</f>
        <v/>
      </c>
      <c r="H494" s="58">
        <f>IFERROR(INDEX(Firms!$Q$5:$Q$1004,MATCH(490,Firms!$R$5:$R$1004,0))&amp;"","")</f>
        <v/>
      </c>
    </row>
    <row r="495">
      <c r="A495" s="57">
        <f>IF(B495="","",491)</f>
        <v/>
      </c>
      <c r="B495" s="58">
        <f>IFERROR(INDEX(Firms!$A$5:$A$1004,MATCH(491,Firms!$R$5:$R$1004,0))&amp;"","")</f>
        <v/>
      </c>
      <c r="C495" s="59">
        <f>IFERROR(IF(INDEX(Firms!$O$5:$O$1004,MATCH(491,Firms!$R$5:$R$1004,0))="","",INDEX(Firms!$O$5:$O$1004,MATCH(491,Firms!$R$5:$R$1004,0))),"")</f>
        <v/>
      </c>
      <c r="D495" s="58">
        <f>IFERROR(INDEX(Firms!$P$5:$P$1004,MATCH(491,Firms!$R$5:$R$1004,0))&amp;"","")</f>
        <v/>
      </c>
      <c r="E495" s="58">
        <f>IFERROR(INDEX(Firms!$C$5:$C$1004,MATCH(491,Firms!$R$5:$R$1004,0))&amp;"","")</f>
        <v/>
      </c>
      <c r="F495" s="57">
        <f>IFERROR(INDEX(Firms!$L$5:$L$1004,MATCH(491,Firms!$R$5:$R$1004,0))&amp;"","")</f>
        <v/>
      </c>
      <c r="G495" s="57">
        <f>IFERROR(INDEX(Firms!$M$5:$M$1004,MATCH(491,Firms!$R$5:$R$1004,0))&amp;"","")</f>
        <v/>
      </c>
      <c r="H495" s="58">
        <f>IFERROR(INDEX(Firms!$Q$5:$Q$1004,MATCH(491,Firms!$R$5:$R$1004,0))&amp;"","")</f>
        <v/>
      </c>
    </row>
    <row r="496">
      <c r="A496" s="57">
        <f>IF(B496="","",492)</f>
        <v/>
      </c>
      <c r="B496" s="58">
        <f>IFERROR(INDEX(Firms!$A$5:$A$1004,MATCH(492,Firms!$R$5:$R$1004,0))&amp;"","")</f>
        <v/>
      </c>
      <c r="C496" s="59">
        <f>IFERROR(IF(INDEX(Firms!$O$5:$O$1004,MATCH(492,Firms!$R$5:$R$1004,0))="","",INDEX(Firms!$O$5:$O$1004,MATCH(492,Firms!$R$5:$R$1004,0))),"")</f>
        <v/>
      </c>
      <c r="D496" s="58">
        <f>IFERROR(INDEX(Firms!$P$5:$P$1004,MATCH(492,Firms!$R$5:$R$1004,0))&amp;"","")</f>
        <v/>
      </c>
      <c r="E496" s="58">
        <f>IFERROR(INDEX(Firms!$C$5:$C$1004,MATCH(492,Firms!$R$5:$R$1004,0))&amp;"","")</f>
        <v/>
      </c>
      <c r="F496" s="57">
        <f>IFERROR(INDEX(Firms!$L$5:$L$1004,MATCH(492,Firms!$R$5:$R$1004,0))&amp;"","")</f>
        <v/>
      </c>
      <c r="G496" s="57">
        <f>IFERROR(INDEX(Firms!$M$5:$M$1004,MATCH(492,Firms!$R$5:$R$1004,0))&amp;"","")</f>
        <v/>
      </c>
      <c r="H496" s="58">
        <f>IFERROR(INDEX(Firms!$Q$5:$Q$1004,MATCH(492,Firms!$R$5:$R$1004,0))&amp;"","")</f>
        <v/>
      </c>
    </row>
    <row r="497">
      <c r="A497" s="57">
        <f>IF(B497="","",493)</f>
        <v/>
      </c>
      <c r="B497" s="58">
        <f>IFERROR(INDEX(Firms!$A$5:$A$1004,MATCH(493,Firms!$R$5:$R$1004,0))&amp;"","")</f>
        <v/>
      </c>
      <c r="C497" s="59">
        <f>IFERROR(IF(INDEX(Firms!$O$5:$O$1004,MATCH(493,Firms!$R$5:$R$1004,0))="","",INDEX(Firms!$O$5:$O$1004,MATCH(493,Firms!$R$5:$R$1004,0))),"")</f>
        <v/>
      </c>
      <c r="D497" s="58">
        <f>IFERROR(INDEX(Firms!$P$5:$P$1004,MATCH(493,Firms!$R$5:$R$1004,0))&amp;"","")</f>
        <v/>
      </c>
      <c r="E497" s="58">
        <f>IFERROR(INDEX(Firms!$C$5:$C$1004,MATCH(493,Firms!$R$5:$R$1004,0))&amp;"","")</f>
        <v/>
      </c>
      <c r="F497" s="57">
        <f>IFERROR(INDEX(Firms!$L$5:$L$1004,MATCH(493,Firms!$R$5:$R$1004,0))&amp;"","")</f>
        <v/>
      </c>
      <c r="G497" s="57">
        <f>IFERROR(INDEX(Firms!$M$5:$M$1004,MATCH(493,Firms!$R$5:$R$1004,0))&amp;"","")</f>
        <v/>
      </c>
      <c r="H497" s="58">
        <f>IFERROR(INDEX(Firms!$Q$5:$Q$1004,MATCH(493,Firms!$R$5:$R$1004,0))&amp;"","")</f>
        <v/>
      </c>
    </row>
    <row r="498">
      <c r="A498" s="57">
        <f>IF(B498="","",494)</f>
        <v/>
      </c>
      <c r="B498" s="58">
        <f>IFERROR(INDEX(Firms!$A$5:$A$1004,MATCH(494,Firms!$R$5:$R$1004,0))&amp;"","")</f>
        <v/>
      </c>
      <c r="C498" s="59">
        <f>IFERROR(IF(INDEX(Firms!$O$5:$O$1004,MATCH(494,Firms!$R$5:$R$1004,0))="","",INDEX(Firms!$O$5:$O$1004,MATCH(494,Firms!$R$5:$R$1004,0))),"")</f>
        <v/>
      </c>
      <c r="D498" s="58">
        <f>IFERROR(INDEX(Firms!$P$5:$P$1004,MATCH(494,Firms!$R$5:$R$1004,0))&amp;"","")</f>
        <v/>
      </c>
      <c r="E498" s="58">
        <f>IFERROR(INDEX(Firms!$C$5:$C$1004,MATCH(494,Firms!$R$5:$R$1004,0))&amp;"","")</f>
        <v/>
      </c>
      <c r="F498" s="57">
        <f>IFERROR(INDEX(Firms!$L$5:$L$1004,MATCH(494,Firms!$R$5:$R$1004,0))&amp;"","")</f>
        <v/>
      </c>
      <c r="G498" s="57">
        <f>IFERROR(INDEX(Firms!$M$5:$M$1004,MATCH(494,Firms!$R$5:$R$1004,0))&amp;"","")</f>
        <v/>
      </c>
      <c r="H498" s="58">
        <f>IFERROR(INDEX(Firms!$Q$5:$Q$1004,MATCH(494,Firms!$R$5:$R$1004,0))&amp;"","")</f>
        <v/>
      </c>
    </row>
    <row r="499">
      <c r="A499" s="57">
        <f>IF(B499="","",495)</f>
        <v/>
      </c>
      <c r="B499" s="58">
        <f>IFERROR(INDEX(Firms!$A$5:$A$1004,MATCH(495,Firms!$R$5:$R$1004,0))&amp;"","")</f>
        <v/>
      </c>
      <c r="C499" s="59">
        <f>IFERROR(IF(INDEX(Firms!$O$5:$O$1004,MATCH(495,Firms!$R$5:$R$1004,0))="","",INDEX(Firms!$O$5:$O$1004,MATCH(495,Firms!$R$5:$R$1004,0))),"")</f>
        <v/>
      </c>
      <c r="D499" s="58">
        <f>IFERROR(INDEX(Firms!$P$5:$P$1004,MATCH(495,Firms!$R$5:$R$1004,0))&amp;"","")</f>
        <v/>
      </c>
      <c r="E499" s="58">
        <f>IFERROR(INDEX(Firms!$C$5:$C$1004,MATCH(495,Firms!$R$5:$R$1004,0))&amp;"","")</f>
        <v/>
      </c>
      <c r="F499" s="57">
        <f>IFERROR(INDEX(Firms!$L$5:$L$1004,MATCH(495,Firms!$R$5:$R$1004,0))&amp;"","")</f>
        <v/>
      </c>
      <c r="G499" s="57">
        <f>IFERROR(INDEX(Firms!$M$5:$M$1004,MATCH(495,Firms!$R$5:$R$1004,0))&amp;"","")</f>
        <v/>
      </c>
      <c r="H499" s="58">
        <f>IFERROR(INDEX(Firms!$Q$5:$Q$1004,MATCH(495,Firms!$R$5:$R$1004,0))&amp;"","")</f>
        <v/>
      </c>
    </row>
    <row r="500">
      <c r="A500" s="57">
        <f>IF(B500="","",496)</f>
        <v/>
      </c>
      <c r="B500" s="58">
        <f>IFERROR(INDEX(Firms!$A$5:$A$1004,MATCH(496,Firms!$R$5:$R$1004,0))&amp;"","")</f>
        <v/>
      </c>
      <c r="C500" s="59">
        <f>IFERROR(IF(INDEX(Firms!$O$5:$O$1004,MATCH(496,Firms!$R$5:$R$1004,0))="","",INDEX(Firms!$O$5:$O$1004,MATCH(496,Firms!$R$5:$R$1004,0))),"")</f>
        <v/>
      </c>
      <c r="D500" s="58">
        <f>IFERROR(INDEX(Firms!$P$5:$P$1004,MATCH(496,Firms!$R$5:$R$1004,0))&amp;"","")</f>
        <v/>
      </c>
      <c r="E500" s="58">
        <f>IFERROR(INDEX(Firms!$C$5:$C$1004,MATCH(496,Firms!$R$5:$R$1004,0))&amp;"","")</f>
        <v/>
      </c>
      <c r="F500" s="57">
        <f>IFERROR(INDEX(Firms!$L$5:$L$1004,MATCH(496,Firms!$R$5:$R$1004,0))&amp;"","")</f>
        <v/>
      </c>
      <c r="G500" s="57">
        <f>IFERROR(INDEX(Firms!$M$5:$M$1004,MATCH(496,Firms!$R$5:$R$1004,0))&amp;"","")</f>
        <v/>
      </c>
      <c r="H500" s="58">
        <f>IFERROR(INDEX(Firms!$Q$5:$Q$1004,MATCH(496,Firms!$R$5:$R$1004,0))&amp;"","")</f>
        <v/>
      </c>
    </row>
    <row r="501">
      <c r="A501" s="57">
        <f>IF(B501="","",497)</f>
        <v/>
      </c>
      <c r="B501" s="58">
        <f>IFERROR(INDEX(Firms!$A$5:$A$1004,MATCH(497,Firms!$R$5:$R$1004,0))&amp;"","")</f>
        <v/>
      </c>
      <c r="C501" s="59">
        <f>IFERROR(IF(INDEX(Firms!$O$5:$O$1004,MATCH(497,Firms!$R$5:$R$1004,0))="","",INDEX(Firms!$O$5:$O$1004,MATCH(497,Firms!$R$5:$R$1004,0))),"")</f>
        <v/>
      </c>
      <c r="D501" s="58">
        <f>IFERROR(INDEX(Firms!$P$5:$P$1004,MATCH(497,Firms!$R$5:$R$1004,0))&amp;"","")</f>
        <v/>
      </c>
      <c r="E501" s="58">
        <f>IFERROR(INDEX(Firms!$C$5:$C$1004,MATCH(497,Firms!$R$5:$R$1004,0))&amp;"","")</f>
        <v/>
      </c>
      <c r="F501" s="57">
        <f>IFERROR(INDEX(Firms!$L$5:$L$1004,MATCH(497,Firms!$R$5:$R$1004,0))&amp;"","")</f>
        <v/>
      </c>
      <c r="G501" s="57">
        <f>IFERROR(INDEX(Firms!$M$5:$M$1004,MATCH(497,Firms!$R$5:$R$1004,0))&amp;"","")</f>
        <v/>
      </c>
      <c r="H501" s="58">
        <f>IFERROR(INDEX(Firms!$Q$5:$Q$1004,MATCH(497,Firms!$R$5:$R$1004,0))&amp;"","")</f>
        <v/>
      </c>
    </row>
    <row r="502">
      <c r="A502" s="57">
        <f>IF(B502="","",498)</f>
        <v/>
      </c>
      <c r="B502" s="58">
        <f>IFERROR(INDEX(Firms!$A$5:$A$1004,MATCH(498,Firms!$R$5:$R$1004,0))&amp;"","")</f>
        <v/>
      </c>
      <c r="C502" s="59">
        <f>IFERROR(IF(INDEX(Firms!$O$5:$O$1004,MATCH(498,Firms!$R$5:$R$1004,0))="","",INDEX(Firms!$O$5:$O$1004,MATCH(498,Firms!$R$5:$R$1004,0))),"")</f>
        <v/>
      </c>
      <c r="D502" s="58">
        <f>IFERROR(INDEX(Firms!$P$5:$P$1004,MATCH(498,Firms!$R$5:$R$1004,0))&amp;"","")</f>
        <v/>
      </c>
      <c r="E502" s="58">
        <f>IFERROR(INDEX(Firms!$C$5:$C$1004,MATCH(498,Firms!$R$5:$R$1004,0))&amp;"","")</f>
        <v/>
      </c>
      <c r="F502" s="57">
        <f>IFERROR(INDEX(Firms!$L$5:$L$1004,MATCH(498,Firms!$R$5:$R$1004,0))&amp;"","")</f>
        <v/>
      </c>
      <c r="G502" s="57">
        <f>IFERROR(INDEX(Firms!$M$5:$M$1004,MATCH(498,Firms!$R$5:$R$1004,0))&amp;"","")</f>
        <v/>
      </c>
      <c r="H502" s="58">
        <f>IFERROR(INDEX(Firms!$Q$5:$Q$1004,MATCH(498,Firms!$R$5:$R$1004,0))&amp;"","")</f>
        <v/>
      </c>
    </row>
    <row r="503">
      <c r="A503" s="57">
        <f>IF(B503="","",499)</f>
        <v/>
      </c>
      <c r="B503" s="58">
        <f>IFERROR(INDEX(Firms!$A$5:$A$1004,MATCH(499,Firms!$R$5:$R$1004,0))&amp;"","")</f>
        <v/>
      </c>
      <c r="C503" s="59">
        <f>IFERROR(IF(INDEX(Firms!$O$5:$O$1004,MATCH(499,Firms!$R$5:$R$1004,0))="","",INDEX(Firms!$O$5:$O$1004,MATCH(499,Firms!$R$5:$R$1004,0))),"")</f>
        <v/>
      </c>
      <c r="D503" s="58">
        <f>IFERROR(INDEX(Firms!$P$5:$P$1004,MATCH(499,Firms!$R$5:$R$1004,0))&amp;"","")</f>
        <v/>
      </c>
      <c r="E503" s="58">
        <f>IFERROR(INDEX(Firms!$C$5:$C$1004,MATCH(499,Firms!$R$5:$R$1004,0))&amp;"","")</f>
        <v/>
      </c>
      <c r="F503" s="57">
        <f>IFERROR(INDEX(Firms!$L$5:$L$1004,MATCH(499,Firms!$R$5:$R$1004,0))&amp;"","")</f>
        <v/>
      </c>
      <c r="G503" s="57">
        <f>IFERROR(INDEX(Firms!$M$5:$M$1004,MATCH(499,Firms!$R$5:$R$1004,0))&amp;"","")</f>
        <v/>
      </c>
      <c r="H503" s="58">
        <f>IFERROR(INDEX(Firms!$Q$5:$Q$1004,MATCH(499,Firms!$R$5:$R$1004,0))&amp;"","")</f>
        <v/>
      </c>
    </row>
    <row r="504">
      <c r="A504" s="57">
        <f>IF(B504="","",500)</f>
        <v/>
      </c>
      <c r="B504" s="58">
        <f>IFERROR(INDEX(Firms!$A$5:$A$1004,MATCH(500,Firms!$R$5:$R$1004,0))&amp;"","")</f>
        <v/>
      </c>
      <c r="C504" s="59">
        <f>IFERROR(IF(INDEX(Firms!$O$5:$O$1004,MATCH(500,Firms!$R$5:$R$1004,0))="","",INDEX(Firms!$O$5:$O$1004,MATCH(500,Firms!$R$5:$R$1004,0))),"")</f>
        <v/>
      </c>
      <c r="D504" s="58">
        <f>IFERROR(INDEX(Firms!$P$5:$P$1004,MATCH(500,Firms!$R$5:$R$1004,0))&amp;"","")</f>
        <v/>
      </c>
      <c r="E504" s="58">
        <f>IFERROR(INDEX(Firms!$C$5:$C$1004,MATCH(500,Firms!$R$5:$R$1004,0))&amp;"","")</f>
        <v/>
      </c>
      <c r="F504" s="57">
        <f>IFERROR(INDEX(Firms!$L$5:$L$1004,MATCH(500,Firms!$R$5:$R$1004,0))&amp;"","")</f>
        <v/>
      </c>
      <c r="G504" s="57">
        <f>IFERROR(INDEX(Firms!$M$5:$M$1004,MATCH(500,Firms!$R$5:$R$1004,0))&amp;"","")</f>
        <v/>
      </c>
      <c r="H504" s="58">
        <f>IFERROR(INDEX(Firms!$Q$5:$Q$1004,MATCH(500,Firms!$R$5:$R$1004,0))&amp;"","")</f>
        <v/>
      </c>
    </row>
    <row r="505">
      <c r="A505" s="57">
        <f>IF(B505="","",501)</f>
        <v/>
      </c>
      <c r="B505" s="58">
        <f>IFERROR(INDEX(Firms!$A$5:$A$1004,MATCH(501,Firms!$R$5:$R$1004,0))&amp;"","")</f>
        <v/>
      </c>
      <c r="C505" s="59">
        <f>IFERROR(IF(INDEX(Firms!$O$5:$O$1004,MATCH(501,Firms!$R$5:$R$1004,0))="","",INDEX(Firms!$O$5:$O$1004,MATCH(501,Firms!$R$5:$R$1004,0))),"")</f>
        <v/>
      </c>
      <c r="D505" s="58">
        <f>IFERROR(INDEX(Firms!$P$5:$P$1004,MATCH(501,Firms!$R$5:$R$1004,0))&amp;"","")</f>
        <v/>
      </c>
      <c r="E505" s="58">
        <f>IFERROR(INDEX(Firms!$C$5:$C$1004,MATCH(501,Firms!$R$5:$R$1004,0))&amp;"","")</f>
        <v/>
      </c>
      <c r="F505" s="57">
        <f>IFERROR(INDEX(Firms!$L$5:$L$1004,MATCH(501,Firms!$R$5:$R$1004,0))&amp;"","")</f>
        <v/>
      </c>
      <c r="G505" s="57">
        <f>IFERROR(INDEX(Firms!$M$5:$M$1004,MATCH(501,Firms!$R$5:$R$1004,0))&amp;"","")</f>
        <v/>
      </c>
      <c r="H505" s="58">
        <f>IFERROR(INDEX(Firms!$Q$5:$Q$1004,MATCH(501,Firms!$R$5:$R$1004,0))&amp;"","")</f>
        <v/>
      </c>
    </row>
    <row r="506">
      <c r="A506" s="57">
        <f>IF(B506="","",502)</f>
        <v/>
      </c>
      <c r="B506" s="58">
        <f>IFERROR(INDEX(Firms!$A$5:$A$1004,MATCH(502,Firms!$R$5:$R$1004,0))&amp;"","")</f>
        <v/>
      </c>
      <c r="C506" s="59">
        <f>IFERROR(IF(INDEX(Firms!$O$5:$O$1004,MATCH(502,Firms!$R$5:$R$1004,0))="","",INDEX(Firms!$O$5:$O$1004,MATCH(502,Firms!$R$5:$R$1004,0))),"")</f>
        <v/>
      </c>
      <c r="D506" s="58">
        <f>IFERROR(INDEX(Firms!$P$5:$P$1004,MATCH(502,Firms!$R$5:$R$1004,0))&amp;"","")</f>
        <v/>
      </c>
      <c r="E506" s="58">
        <f>IFERROR(INDEX(Firms!$C$5:$C$1004,MATCH(502,Firms!$R$5:$R$1004,0))&amp;"","")</f>
        <v/>
      </c>
      <c r="F506" s="57">
        <f>IFERROR(INDEX(Firms!$L$5:$L$1004,MATCH(502,Firms!$R$5:$R$1004,0))&amp;"","")</f>
        <v/>
      </c>
      <c r="G506" s="57">
        <f>IFERROR(INDEX(Firms!$M$5:$M$1004,MATCH(502,Firms!$R$5:$R$1004,0))&amp;"","")</f>
        <v/>
      </c>
      <c r="H506" s="58">
        <f>IFERROR(INDEX(Firms!$Q$5:$Q$1004,MATCH(502,Firms!$R$5:$R$1004,0))&amp;"","")</f>
        <v/>
      </c>
    </row>
    <row r="507">
      <c r="A507" s="57">
        <f>IF(B507="","",503)</f>
        <v/>
      </c>
      <c r="B507" s="58">
        <f>IFERROR(INDEX(Firms!$A$5:$A$1004,MATCH(503,Firms!$R$5:$R$1004,0))&amp;"","")</f>
        <v/>
      </c>
      <c r="C507" s="59">
        <f>IFERROR(IF(INDEX(Firms!$O$5:$O$1004,MATCH(503,Firms!$R$5:$R$1004,0))="","",INDEX(Firms!$O$5:$O$1004,MATCH(503,Firms!$R$5:$R$1004,0))),"")</f>
        <v/>
      </c>
      <c r="D507" s="58">
        <f>IFERROR(INDEX(Firms!$P$5:$P$1004,MATCH(503,Firms!$R$5:$R$1004,0))&amp;"","")</f>
        <v/>
      </c>
      <c r="E507" s="58">
        <f>IFERROR(INDEX(Firms!$C$5:$C$1004,MATCH(503,Firms!$R$5:$R$1004,0))&amp;"","")</f>
        <v/>
      </c>
      <c r="F507" s="57">
        <f>IFERROR(INDEX(Firms!$L$5:$L$1004,MATCH(503,Firms!$R$5:$R$1004,0))&amp;"","")</f>
        <v/>
      </c>
      <c r="G507" s="57">
        <f>IFERROR(INDEX(Firms!$M$5:$M$1004,MATCH(503,Firms!$R$5:$R$1004,0))&amp;"","")</f>
        <v/>
      </c>
      <c r="H507" s="58">
        <f>IFERROR(INDEX(Firms!$Q$5:$Q$1004,MATCH(503,Firms!$R$5:$R$1004,0))&amp;"","")</f>
        <v/>
      </c>
    </row>
    <row r="508">
      <c r="A508" s="57">
        <f>IF(B508="","",504)</f>
        <v/>
      </c>
      <c r="B508" s="58">
        <f>IFERROR(INDEX(Firms!$A$5:$A$1004,MATCH(504,Firms!$R$5:$R$1004,0))&amp;"","")</f>
        <v/>
      </c>
      <c r="C508" s="59">
        <f>IFERROR(IF(INDEX(Firms!$O$5:$O$1004,MATCH(504,Firms!$R$5:$R$1004,0))="","",INDEX(Firms!$O$5:$O$1004,MATCH(504,Firms!$R$5:$R$1004,0))),"")</f>
        <v/>
      </c>
      <c r="D508" s="58">
        <f>IFERROR(INDEX(Firms!$P$5:$P$1004,MATCH(504,Firms!$R$5:$R$1004,0))&amp;"","")</f>
        <v/>
      </c>
      <c r="E508" s="58">
        <f>IFERROR(INDEX(Firms!$C$5:$C$1004,MATCH(504,Firms!$R$5:$R$1004,0))&amp;"","")</f>
        <v/>
      </c>
      <c r="F508" s="57">
        <f>IFERROR(INDEX(Firms!$L$5:$L$1004,MATCH(504,Firms!$R$5:$R$1004,0))&amp;"","")</f>
        <v/>
      </c>
      <c r="G508" s="57">
        <f>IFERROR(INDEX(Firms!$M$5:$M$1004,MATCH(504,Firms!$R$5:$R$1004,0))&amp;"","")</f>
        <v/>
      </c>
      <c r="H508" s="58">
        <f>IFERROR(INDEX(Firms!$Q$5:$Q$1004,MATCH(504,Firms!$R$5:$R$1004,0))&amp;"","")</f>
        <v/>
      </c>
    </row>
    <row r="509">
      <c r="A509" s="57">
        <f>IF(B509="","",505)</f>
        <v/>
      </c>
      <c r="B509" s="58">
        <f>IFERROR(INDEX(Firms!$A$5:$A$1004,MATCH(505,Firms!$R$5:$R$1004,0))&amp;"","")</f>
        <v/>
      </c>
      <c r="C509" s="59">
        <f>IFERROR(IF(INDEX(Firms!$O$5:$O$1004,MATCH(505,Firms!$R$5:$R$1004,0))="","",INDEX(Firms!$O$5:$O$1004,MATCH(505,Firms!$R$5:$R$1004,0))),"")</f>
        <v/>
      </c>
      <c r="D509" s="58">
        <f>IFERROR(INDEX(Firms!$P$5:$P$1004,MATCH(505,Firms!$R$5:$R$1004,0))&amp;"","")</f>
        <v/>
      </c>
      <c r="E509" s="58">
        <f>IFERROR(INDEX(Firms!$C$5:$C$1004,MATCH(505,Firms!$R$5:$R$1004,0))&amp;"","")</f>
        <v/>
      </c>
      <c r="F509" s="57">
        <f>IFERROR(INDEX(Firms!$L$5:$L$1004,MATCH(505,Firms!$R$5:$R$1004,0))&amp;"","")</f>
        <v/>
      </c>
      <c r="G509" s="57">
        <f>IFERROR(INDEX(Firms!$M$5:$M$1004,MATCH(505,Firms!$R$5:$R$1004,0))&amp;"","")</f>
        <v/>
      </c>
      <c r="H509" s="58">
        <f>IFERROR(INDEX(Firms!$Q$5:$Q$1004,MATCH(505,Firms!$R$5:$R$1004,0))&amp;"","")</f>
        <v/>
      </c>
    </row>
    <row r="510">
      <c r="A510" s="57">
        <f>IF(B510="","",506)</f>
        <v/>
      </c>
      <c r="B510" s="58">
        <f>IFERROR(INDEX(Firms!$A$5:$A$1004,MATCH(506,Firms!$R$5:$R$1004,0))&amp;"","")</f>
        <v/>
      </c>
      <c r="C510" s="59">
        <f>IFERROR(IF(INDEX(Firms!$O$5:$O$1004,MATCH(506,Firms!$R$5:$R$1004,0))="","",INDEX(Firms!$O$5:$O$1004,MATCH(506,Firms!$R$5:$R$1004,0))),"")</f>
        <v/>
      </c>
      <c r="D510" s="58">
        <f>IFERROR(INDEX(Firms!$P$5:$P$1004,MATCH(506,Firms!$R$5:$R$1004,0))&amp;"","")</f>
        <v/>
      </c>
      <c r="E510" s="58">
        <f>IFERROR(INDEX(Firms!$C$5:$C$1004,MATCH(506,Firms!$R$5:$R$1004,0))&amp;"","")</f>
        <v/>
      </c>
      <c r="F510" s="57">
        <f>IFERROR(INDEX(Firms!$L$5:$L$1004,MATCH(506,Firms!$R$5:$R$1004,0))&amp;"","")</f>
        <v/>
      </c>
      <c r="G510" s="57">
        <f>IFERROR(INDEX(Firms!$M$5:$M$1004,MATCH(506,Firms!$R$5:$R$1004,0))&amp;"","")</f>
        <v/>
      </c>
      <c r="H510" s="58">
        <f>IFERROR(INDEX(Firms!$Q$5:$Q$1004,MATCH(506,Firms!$R$5:$R$1004,0))&amp;"","")</f>
        <v/>
      </c>
    </row>
    <row r="511">
      <c r="A511" s="57">
        <f>IF(B511="","",507)</f>
        <v/>
      </c>
      <c r="B511" s="58">
        <f>IFERROR(INDEX(Firms!$A$5:$A$1004,MATCH(507,Firms!$R$5:$R$1004,0))&amp;"","")</f>
        <v/>
      </c>
      <c r="C511" s="59">
        <f>IFERROR(IF(INDEX(Firms!$O$5:$O$1004,MATCH(507,Firms!$R$5:$R$1004,0))="","",INDEX(Firms!$O$5:$O$1004,MATCH(507,Firms!$R$5:$R$1004,0))),"")</f>
        <v/>
      </c>
      <c r="D511" s="58">
        <f>IFERROR(INDEX(Firms!$P$5:$P$1004,MATCH(507,Firms!$R$5:$R$1004,0))&amp;"","")</f>
        <v/>
      </c>
      <c r="E511" s="58">
        <f>IFERROR(INDEX(Firms!$C$5:$C$1004,MATCH(507,Firms!$R$5:$R$1004,0))&amp;"","")</f>
        <v/>
      </c>
      <c r="F511" s="57">
        <f>IFERROR(INDEX(Firms!$L$5:$L$1004,MATCH(507,Firms!$R$5:$R$1004,0))&amp;"","")</f>
        <v/>
      </c>
      <c r="G511" s="57">
        <f>IFERROR(INDEX(Firms!$M$5:$M$1004,MATCH(507,Firms!$R$5:$R$1004,0))&amp;"","")</f>
        <v/>
      </c>
      <c r="H511" s="58">
        <f>IFERROR(INDEX(Firms!$Q$5:$Q$1004,MATCH(507,Firms!$R$5:$R$1004,0))&amp;"","")</f>
        <v/>
      </c>
    </row>
    <row r="512">
      <c r="A512" s="57">
        <f>IF(B512="","",508)</f>
        <v/>
      </c>
      <c r="B512" s="58">
        <f>IFERROR(INDEX(Firms!$A$5:$A$1004,MATCH(508,Firms!$R$5:$R$1004,0))&amp;"","")</f>
        <v/>
      </c>
      <c r="C512" s="59">
        <f>IFERROR(IF(INDEX(Firms!$O$5:$O$1004,MATCH(508,Firms!$R$5:$R$1004,0))="","",INDEX(Firms!$O$5:$O$1004,MATCH(508,Firms!$R$5:$R$1004,0))),"")</f>
        <v/>
      </c>
      <c r="D512" s="58">
        <f>IFERROR(INDEX(Firms!$P$5:$P$1004,MATCH(508,Firms!$R$5:$R$1004,0))&amp;"","")</f>
        <v/>
      </c>
      <c r="E512" s="58">
        <f>IFERROR(INDEX(Firms!$C$5:$C$1004,MATCH(508,Firms!$R$5:$R$1004,0))&amp;"","")</f>
        <v/>
      </c>
      <c r="F512" s="57">
        <f>IFERROR(INDEX(Firms!$L$5:$L$1004,MATCH(508,Firms!$R$5:$R$1004,0))&amp;"","")</f>
        <v/>
      </c>
      <c r="G512" s="57">
        <f>IFERROR(INDEX(Firms!$M$5:$M$1004,MATCH(508,Firms!$R$5:$R$1004,0))&amp;"","")</f>
        <v/>
      </c>
      <c r="H512" s="58">
        <f>IFERROR(INDEX(Firms!$Q$5:$Q$1004,MATCH(508,Firms!$R$5:$R$1004,0))&amp;"","")</f>
        <v/>
      </c>
    </row>
    <row r="513">
      <c r="A513" s="57">
        <f>IF(B513="","",509)</f>
        <v/>
      </c>
      <c r="B513" s="58">
        <f>IFERROR(INDEX(Firms!$A$5:$A$1004,MATCH(509,Firms!$R$5:$R$1004,0))&amp;"","")</f>
        <v/>
      </c>
      <c r="C513" s="59">
        <f>IFERROR(IF(INDEX(Firms!$O$5:$O$1004,MATCH(509,Firms!$R$5:$R$1004,0))="","",INDEX(Firms!$O$5:$O$1004,MATCH(509,Firms!$R$5:$R$1004,0))),"")</f>
        <v/>
      </c>
      <c r="D513" s="58">
        <f>IFERROR(INDEX(Firms!$P$5:$P$1004,MATCH(509,Firms!$R$5:$R$1004,0))&amp;"","")</f>
        <v/>
      </c>
      <c r="E513" s="58">
        <f>IFERROR(INDEX(Firms!$C$5:$C$1004,MATCH(509,Firms!$R$5:$R$1004,0))&amp;"","")</f>
        <v/>
      </c>
      <c r="F513" s="57">
        <f>IFERROR(INDEX(Firms!$L$5:$L$1004,MATCH(509,Firms!$R$5:$R$1004,0))&amp;"","")</f>
        <v/>
      </c>
      <c r="G513" s="57">
        <f>IFERROR(INDEX(Firms!$M$5:$M$1004,MATCH(509,Firms!$R$5:$R$1004,0))&amp;"","")</f>
        <v/>
      </c>
      <c r="H513" s="58">
        <f>IFERROR(INDEX(Firms!$Q$5:$Q$1004,MATCH(509,Firms!$R$5:$R$1004,0))&amp;"","")</f>
        <v/>
      </c>
    </row>
    <row r="514">
      <c r="A514" s="57">
        <f>IF(B514="","",510)</f>
        <v/>
      </c>
      <c r="B514" s="58">
        <f>IFERROR(INDEX(Firms!$A$5:$A$1004,MATCH(510,Firms!$R$5:$R$1004,0))&amp;"","")</f>
        <v/>
      </c>
      <c r="C514" s="59">
        <f>IFERROR(IF(INDEX(Firms!$O$5:$O$1004,MATCH(510,Firms!$R$5:$R$1004,0))="","",INDEX(Firms!$O$5:$O$1004,MATCH(510,Firms!$R$5:$R$1004,0))),"")</f>
        <v/>
      </c>
      <c r="D514" s="58">
        <f>IFERROR(INDEX(Firms!$P$5:$P$1004,MATCH(510,Firms!$R$5:$R$1004,0))&amp;"","")</f>
        <v/>
      </c>
      <c r="E514" s="58">
        <f>IFERROR(INDEX(Firms!$C$5:$C$1004,MATCH(510,Firms!$R$5:$R$1004,0))&amp;"","")</f>
        <v/>
      </c>
      <c r="F514" s="57">
        <f>IFERROR(INDEX(Firms!$L$5:$L$1004,MATCH(510,Firms!$R$5:$R$1004,0))&amp;"","")</f>
        <v/>
      </c>
      <c r="G514" s="57">
        <f>IFERROR(INDEX(Firms!$M$5:$M$1004,MATCH(510,Firms!$R$5:$R$1004,0))&amp;"","")</f>
        <v/>
      </c>
      <c r="H514" s="58">
        <f>IFERROR(INDEX(Firms!$Q$5:$Q$1004,MATCH(510,Firms!$R$5:$R$1004,0))&amp;"","")</f>
        <v/>
      </c>
    </row>
    <row r="515">
      <c r="A515" s="57">
        <f>IF(B515="","",511)</f>
        <v/>
      </c>
      <c r="B515" s="58">
        <f>IFERROR(INDEX(Firms!$A$5:$A$1004,MATCH(511,Firms!$R$5:$R$1004,0))&amp;"","")</f>
        <v/>
      </c>
      <c r="C515" s="59">
        <f>IFERROR(IF(INDEX(Firms!$O$5:$O$1004,MATCH(511,Firms!$R$5:$R$1004,0))="","",INDEX(Firms!$O$5:$O$1004,MATCH(511,Firms!$R$5:$R$1004,0))),"")</f>
        <v/>
      </c>
      <c r="D515" s="58">
        <f>IFERROR(INDEX(Firms!$P$5:$P$1004,MATCH(511,Firms!$R$5:$R$1004,0))&amp;"","")</f>
        <v/>
      </c>
      <c r="E515" s="58">
        <f>IFERROR(INDEX(Firms!$C$5:$C$1004,MATCH(511,Firms!$R$5:$R$1004,0))&amp;"","")</f>
        <v/>
      </c>
      <c r="F515" s="57">
        <f>IFERROR(INDEX(Firms!$L$5:$L$1004,MATCH(511,Firms!$R$5:$R$1004,0))&amp;"","")</f>
        <v/>
      </c>
      <c r="G515" s="57">
        <f>IFERROR(INDEX(Firms!$M$5:$M$1004,MATCH(511,Firms!$R$5:$R$1004,0))&amp;"","")</f>
        <v/>
      </c>
      <c r="H515" s="58">
        <f>IFERROR(INDEX(Firms!$Q$5:$Q$1004,MATCH(511,Firms!$R$5:$R$1004,0))&amp;"","")</f>
        <v/>
      </c>
    </row>
    <row r="516">
      <c r="A516" s="57">
        <f>IF(B516="","",512)</f>
        <v/>
      </c>
      <c r="B516" s="58">
        <f>IFERROR(INDEX(Firms!$A$5:$A$1004,MATCH(512,Firms!$R$5:$R$1004,0))&amp;"","")</f>
        <v/>
      </c>
      <c r="C516" s="59">
        <f>IFERROR(IF(INDEX(Firms!$O$5:$O$1004,MATCH(512,Firms!$R$5:$R$1004,0))="","",INDEX(Firms!$O$5:$O$1004,MATCH(512,Firms!$R$5:$R$1004,0))),"")</f>
        <v/>
      </c>
      <c r="D516" s="58">
        <f>IFERROR(INDEX(Firms!$P$5:$P$1004,MATCH(512,Firms!$R$5:$R$1004,0))&amp;"","")</f>
        <v/>
      </c>
      <c r="E516" s="58">
        <f>IFERROR(INDEX(Firms!$C$5:$C$1004,MATCH(512,Firms!$R$5:$R$1004,0))&amp;"","")</f>
        <v/>
      </c>
      <c r="F516" s="57">
        <f>IFERROR(INDEX(Firms!$L$5:$L$1004,MATCH(512,Firms!$R$5:$R$1004,0))&amp;"","")</f>
        <v/>
      </c>
      <c r="G516" s="57">
        <f>IFERROR(INDEX(Firms!$M$5:$M$1004,MATCH(512,Firms!$R$5:$R$1004,0))&amp;"","")</f>
        <v/>
      </c>
      <c r="H516" s="58">
        <f>IFERROR(INDEX(Firms!$Q$5:$Q$1004,MATCH(512,Firms!$R$5:$R$1004,0))&amp;"","")</f>
        <v/>
      </c>
    </row>
    <row r="517">
      <c r="A517" s="57">
        <f>IF(B517="","",513)</f>
        <v/>
      </c>
      <c r="B517" s="58">
        <f>IFERROR(INDEX(Firms!$A$5:$A$1004,MATCH(513,Firms!$R$5:$R$1004,0))&amp;"","")</f>
        <v/>
      </c>
      <c r="C517" s="59">
        <f>IFERROR(IF(INDEX(Firms!$O$5:$O$1004,MATCH(513,Firms!$R$5:$R$1004,0))="","",INDEX(Firms!$O$5:$O$1004,MATCH(513,Firms!$R$5:$R$1004,0))),"")</f>
        <v/>
      </c>
      <c r="D517" s="58">
        <f>IFERROR(INDEX(Firms!$P$5:$P$1004,MATCH(513,Firms!$R$5:$R$1004,0))&amp;"","")</f>
        <v/>
      </c>
      <c r="E517" s="58">
        <f>IFERROR(INDEX(Firms!$C$5:$C$1004,MATCH(513,Firms!$R$5:$R$1004,0))&amp;"","")</f>
        <v/>
      </c>
      <c r="F517" s="57">
        <f>IFERROR(INDEX(Firms!$L$5:$L$1004,MATCH(513,Firms!$R$5:$R$1004,0))&amp;"","")</f>
        <v/>
      </c>
      <c r="G517" s="57">
        <f>IFERROR(INDEX(Firms!$M$5:$M$1004,MATCH(513,Firms!$R$5:$R$1004,0))&amp;"","")</f>
        <v/>
      </c>
      <c r="H517" s="58">
        <f>IFERROR(INDEX(Firms!$Q$5:$Q$1004,MATCH(513,Firms!$R$5:$R$1004,0))&amp;"","")</f>
        <v/>
      </c>
    </row>
    <row r="518">
      <c r="A518" s="57">
        <f>IF(B518="","",514)</f>
        <v/>
      </c>
      <c r="B518" s="58">
        <f>IFERROR(INDEX(Firms!$A$5:$A$1004,MATCH(514,Firms!$R$5:$R$1004,0))&amp;"","")</f>
        <v/>
      </c>
      <c r="C518" s="59">
        <f>IFERROR(IF(INDEX(Firms!$O$5:$O$1004,MATCH(514,Firms!$R$5:$R$1004,0))="","",INDEX(Firms!$O$5:$O$1004,MATCH(514,Firms!$R$5:$R$1004,0))),"")</f>
        <v/>
      </c>
      <c r="D518" s="58">
        <f>IFERROR(INDEX(Firms!$P$5:$P$1004,MATCH(514,Firms!$R$5:$R$1004,0))&amp;"","")</f>
        <v/>
      </c>
      <c r="E518" s="58">
        <f>IFERROR(INDEX(Firms!$C$5:$C$1004,MATCH(514,Firms!$R$5:$R$1004,0))&amp;"","")</f>
        <v/>
      </c>
      <c r="F518" s="57">
        <f>IFERROR(INDEX(Firms!$L$5:$L$1004,MATCH(514,Firms!$R$5:$R$1004,0))&amp;"","")</f>
        <v/>
      </c>
      <c r="G518" s="57">
        <f>IFERROR(INDEX(Firms!$M$5:$M$1004,MATCH(514,Firms!$R$5:$R$1004,0))&amp;"","")</f>
        <v/>
      </c>
      <c r="H518" s="58">
        <f>IFERROR(INDEX(Firms!$Q$5:$Q$1004,MATCH(514,Firms!$R$5:$R$1004,0))&amp;"","")</f>
        <v/>
      </c>
    </row>
    <row r="519">
      <c r="A519" s="57">
        <f>IF(B519="","",515)</f>
        <v/>
      </c>
      <c r="B519" s="58">
        <f>IFERROR(INDEX(Firms!$A$5:$A$1004,MATCH(515,Firms!$R$5:$R$1004,0))&amp;"","")</f>
        <v/>
      </c>
      <c r="C519" s="59">
        <f>IFERROR(IF(INDEX(Firms!$O$5:$O$1004,MATCH(515,Firms!$R$5:$R$1004,0))="","",INDEX(Firms!$O$5:$O$1004,MATCH(515,Firms!$R$5:$R$1004,0))),"")</f>
        <v/>
      </c>
      <c r="D519" s="58">
        <f>IFERROR(INDEX(Firms!$P$5:$P$1004,MATCH(515,Firms!$R$5:$R$1004,0))&amp;"","")</f>
        <v/>
      </c>
      <c r="E519" s="58">
        <f>IFERROR(INDEX(Firms!$C$5:$C$1004,MATCH(515,Firms!$R$5:$R$1004,0))&amp;"","")</f>
        <v/>
      </c>
      <c r="F519" s="57">
        <f>IFERROR(INDEX(Firms!$L$5:$L$1004,MATCH(515,Firms!$R$5:$R$1004,0))&amp;"","")</f>
        <v/>
      </c>
      <c r="G519" s="57">
        <f>IFERROR(INDEX(Firms!$M$5:$M$1004,MATCH(515,Firms!$R$5:$R$1004,0))&amp;"","")</f>
        <v/>
      </c>
      <c r="H519" s="58">
        <f>IFERROR(INDEX(Firms!$Q$5:$Q$1004,MATCH(515,Firms!$R$5:$R$1004,0))&amp;"","")</f>
        <v/>
      </c>
    </row>
    <row r="520">
      <c r="A520" s="57">
        <f>IF(B520="","",516)</f>
        <v/>
      </c>
      <c r="B520" s="58">
        <f>IFERROR(INDEX(Firms!$A$5:$A$1004,MATCH(516,Firms!$R$5:$R$1004,0))&amp;"","")</f>
        <v/>
      </c>
      <c r="C520" s="59">
        <f>IFERROR(IF(INDEX(Firms!$O$5:$O$1004,MATCH(516,Firms!$R$5:$R$1004,0))="","",INDEX(Firms!$O$5:$O$1004,MATCH(516,Firms!$R$5:$R$1004,0))),"")</f>
        <v/>
      </c>
      <c r="D520" s="58">
        <f>IFERROR(INDEX(Firms!$P$5:$P$1004,MATCH(516,Firms!$R$5:$R$1004,0))&amp;"","")</f>
        <v/>
      </c>
      <c r="E520" s="58">
        <f>IFERROR(INDEX(Firms!$C$5:$C$1004,MATCH(516,Firms!$R$5:$R$1004,0))&amp;"","")</f>
        <v/>
      </c>
      <c r="F520" s="57">
        <f>IFERROR(INDEX(Firms!$L$5:$L$1004,MATCH(516,Firms!$R$5:$R$1004,0))&amp;"","")</f>
        <v/>
      </c>
      <c r="G520" s="57">
        <f>IFERROR(INDEX(Firms!$M$5:$M$1004,MATCH(516,Firms!$R$5:$R$1004,0))&amp;"","")</f>
        <v/>
      </c>
      <c r="H520" s="58">
        <f>IFERROR(INDEX(Firms!$Q$5:$Q$1004,MATCH(516,Firms!$R$5:$R$1004,0))&amp;"","")</f>
        <v/>
      </c>
    </row>
    <row r="521">
      <c r="A521" s="57">
        <f>IF(B521="","",517)</f>
        <v/>
      </c>
      <c r="B521" s="58">
        <f>IFERROR(INDEX(Firms!$A$5:$A$1004,MATCH(517,Firms!$R$5:$R$1004,0))&amp;"","")</f>
        <v/>
      </c>
      <c r="C521" s="59">
        <f>IFERROR(IF(INDEX(Firms!$O$5:$O$1004,MATCH(517,Firms!$R$5:$R$1004,0))="","",INDEX(Firms!$O$5:$O$1004,MATCH(517,Firms!$R$5:$R$1004,0))),"")</f>
        <v/>
      </c>
      <c r="D521" s="58">
        <f>IFERROR(INDEX(Firms!$P$5:$P$1004,MATCH(517,Firms!$R$5:$R$1004,0))&amp;"","")</f>
        <v/>
      </c>
      <c r="E521" s="58">
        <f>IFERROR(INDEX(Firms!$C$5:$C$1004,MATCH(517,Firms!$R$5:$R$1004,0))&amp;"","")</f>
        <v/>
      </c>
      <c r="F521" s="57">
        <f>IFERROR(INDEX(Firms!$L$5:$L$1004,MATCH(517,Firms!$R$5:$R$1004,0))&amp;"","")</f>
        <v/>
      </c>
      <c r="G521" s="57">
        <f>IFERROR(INDEX(Firms!$M$5:$M$1004,MATCH(517,Firms!$R$5:$R$1004,0))&amp;"","")</f>
        <v/>
      </c>
      <c r="H521" s="58">
        <f>IFERROR(INDEX(Firms!$Q$5:$Q$1004,MATCH(517,Firms!$R$5:$R$1004,0))&amp;"","")</f>
        <v/>
      </c>
    </row>
    <row r="522">
      <c r="A522" s="57">
        <f>IF(B522="","",518)</f>
        <v/>
      </c>
      <c r="B522" s="58">
        <f>IFERROR(INDEX(Firms!$A$5:$A$1004,MATCH(518,Firms!$R$5:$R$1004,0))&amp;"","")</f>
        <v/>
      </c>
      <c r="C522" s="59">
        <f>IFERROR(IF(INDEX(Firms!$O$5:$O$1004,MATCH(518,Firms!$R$5:$R$1004,0))="","",INDEX(Firms!$O$5:$O$1004,MATCH(518,Firms!$R$5:$R$1004,0))),"")</f>
        <v/>
      </c>
      <c r="D522" s="58">
        <f>IFERROR(INDEX(Firms!$P$5:$P$1004,MATCH(518,Firms!$R$5:$R$1004,0))&amp;"","")</f>
        <v/>
      </c>
      <c r="E522" s="58">
        <f>IFERROR(INDEX(Firms!$C$5:$C$1004,MATCH(518,Firms!$R$5:$R$1004,0))&amp;"","")</f>
        <v/>
      </c>
      <c r="F522" s="57">
        <f>IFERROR(INDEX(Firms!$L$5:$L$1004,MATCH(518,Firms!$R$5:$R$1004,0))&amp;"","")</f>
        <v/>
      </c>
      <c r="G522" s="57">
        <f>IFERROR(INDEX(Firms!$M$5:$M$1004,MATCH(518,Firms!$R$5:$R$1004,0))&amp;"","")</f>
        <v/>
      </c>
      <c r="H522" s="58">
        <f>IFERROR(INDEX(Firms!$Q$5:$Q$1004,MATCH(518,Firms!$R$5:$R$1004,0))&amp;"","")</f>
        <v/>
      </c>
    </row>
    <row r="523">
      <c r="A523" s="57">
        <f>IF(B523="","",519)</f>
        <v/>
      </c>
      <c r="B523" s="58">
        <f>IFERROR(INDEX(Firms!$A$5:$A$1004,MATCH(519,Firms!$R$5:$R$1004,0))&amp;"","")</f>
        <v/>
      </c>
      <c r="C523" s="59">
        <f>IFERROR(IF(INDEX(Firms!$O$5:$O$1004,MATCH(519,Firms!$R$5:$R$1004,0))="","",INDEX(Firms!$O$5:$O$1004,MATCH(519,Firms!$R$5:$R$1004,0))),"")</f>
        <v/>
      </c>
      <c r="D523" s="58">
        <f>IFERROR(INDEX(Firms!$P$5:$P$1004,MATCH(519,Firms!$R$5:$R$1004,0))&amp;"","")</f>
        <v/>
      </c>
      <c r="E523" s="58">
        <f>IFERROR(INDEX(Firms!$C$5:$C$1004,MATCH(519,Firms!$R$5:$R$1004,0))&amp;"","")</f>
        <v/>
      </c>
      <c r="F523" s="57">
        <f>IFERROR(INDEX(Firms!$L$5:$L$1004,MATCH(519,Firms!$R$5:$R$1004,0))&amp;"","")</f>
        <v/>
      </c>
      <c r="G523" s="57">
        <f>IFERROR(INDEX(Firms!$M$5:$M$1004,MATCH(519,Firms!$R$5:$R$1004,0))&amp;"","")</f>
        <v/>
      </c>
      <c r="H523" s="58">
        <f>IFERROR(INDEX(Firms!$Q$5:$Q$1004,MATCH(519,Firms!$R$5:$R$1004,0))&amp;"","")</f>
        <v/>
      </c>
    </row>
    <row r="524">
      <c r="A524" s="57">
        <f>IF(B524="","",520)</f>
        <v/>
      </c>
      <c r="B524" s="58">
        <f>IFERROR(INDEX(Firms!$A$5:$A$1004,MATCH(520,Firms!$R$5:$R$1004,0))&amp;"","")</f>
        <v/>
      </c>
      <c r="C524" s="59">
        <f>IFERROR(IF(INDEX(Firms!$O$5:$O$1004,MATCH(520,Firms!$R$5:$R$1004,0))="","",INDEX(Firms!$O$5:$O$1004,MATCH(520,Firms!$R$5:$R$1004,0))),"")</f>
        <v/>
      </c>
      <c r="D524" s="58">
        <f>IFERROR(INDEX(Firms!$P$5:$P$1004,MATCH(520,Firms!$R$5:$R$1004,0))&amp;"","")</f>
        <v/>
      </c>
      <c r="E524" s="58">
        <f>IFERROR(INDEX(Firms!$C$5:$C$1004,MATCH(520,Firms!$R$5:$R$1004,0))&amp;"","")</f>
        <v/>
      </c>
      <c r="F524" s="57">
        <f>IFERROR(INDEX(Firms!$L$5:$L$1004,MATCH(520,Firms!$R$5:$R$1004,0))&amp;"","")</f>
        <v/>
      </c>
      <c r="G524" s="57">
        <f>IFERROR(INDEX(Firms!$M$5:$M$1004,MATCH(520,Firms!$R$5:$R$1004,0))&amp;"","")</f>
        <v/>
      </c>
      <c r="H524" s="58">
        <f>IFERROR(INDEX(Firms!$Q$5:$Q$1004,MATCH(520,Firms!$R$5:$R$1004,0))&amp;"","")</f>
        <v/>
      </c>
    </row>
    <row r="525">
      <c r="A525" s="57">
        <f>IF(B525="","",521)</f>
        <v/>
      </c>
      <c r="B525" s="58">
        <f>IFERROR(INDEX(Firms!$A$5:$A$1004,MATCH(521,Firms!$R$5:$R$1004,0))&amp;"","")</f>
        <v/>
      </c>
      <c r="C525" s="59">
        <f>IFERROR(IF(INDEX(Firms!$O$5:$O$1004,MATCH(521,Firms!$R$5:$R$1004,0))="","",INDEX(Firms!$O$5:$O$1004,MATCH(521,Firms!$R$5:$R$1004,0))),"")</f>
        <v/>
      </c>
      <c r="D525" s="58">
        <f>IFERROR(INDEX(Firms!$P$5:$P$1004,MATCH(521,Firms!$R$5:$R$1004,0))&amp;"","")</f>
        <v/>
      </c>
      <c r="E525" s="58">
        <f>IFERROR(INDEX(Firms!$C$5:$C$1004,MATCH(521,Firms!$R$5:$R$1004,0))&amp;"","")</f>
        <v/>
      </c>
      <c r="F525" s="57">
        <f>IFERROR(INDEX(Firms!$L$5:$L$1004,MATCH(521,Firms!$R$5:$R$1004,0))&amp;"","")</f>
        <v/>
      </c>
      <c r="G525" s="57">
        <f>IFERROR(INDEX(Firms!$M$5:$M$1004,MATCH(521,Firms!$R$5:$R$1004,0))&amp;"","")</f>
        <v/>
      </c>
      <c r="H525" s="58">
        <f>IFERROR(INDEX(Firms!$Q$5:$Q$1004,MATCH(521,Firms!$R$5:$R$1004,0))&amp;"","")</f>
        <v/>
      </c>
    </row>
    <row r="526">
      <c r="A526" s="57">
        <f>IF(B526="","",522)</f>
        <v/>
      </c>
      <c r="B526" s="58">
        <f>IFERROR(INDEX(Firms!$A$5:$A$1004,MATCH(522,Firms!$R$5:$R$1004,0))&amp;"","")</f>
        <v/>
      </c>
      <c r="C526" s="59">
        <f>IFERROR(IF(INDEX(Firms!$O$5:$O$1004,MATCH(522,Firms!$R$5:$R$1004,0))="","",INDEX(Firms!$O$5:$O$1004,MATCH(522,Firms!$R$5:$R$1004,0))),"")</f>
        <v/>
      </c>
      <c r="D526" s="58">
        <f>IFERROR(INDEX(Firms!$P$5:$P$1004,MATCH(522,Firms!$R$5:$R$1004,0))&amp;"","")</f>
        <v/>
      </c>
      <c r="E526" s="58">
        <f>IFERROR(INDEX(Firms!$C$5:$C$1004,MATCH(522,Firms!$R$5:$R$1004,0))&amp;"","")</f>
        <v/>
      </c>
      <c r="F526" s="57">
        <f>IFERROR(INDEX(Firms!$L$5:$L$1004,MATCH(522,Firms!$R$5:$R$1004,0))&amp;"","")</f>
        <v/>
      </c>
      <c r="G526" s="57">
        <f>IFERROR(INDEX(Firms!$M$5:$M$1004,MATCH(522,Firms!$R$5:$R$1004,0))&amp;"","")</f>
        <v/>
      </c>
      <c r="H526" s="58">
        <f>IFERROR(INDEX(Firms!$Q$5:$Q$1004,MATCH(522,Firms!$R$5:$R$1004,0))&amp;"","")</f>
        <v/>
      </c>
    </row>
    <row r="527">
      <c r="A527" s="57">
        <f>IF(B527="","",523)</f>
        <v/>
      </c>
      <c r="B527" s="58">
        <f>IFERROR(INDEX(Firms!$A$5:$A$1004,MATCH(523,Firms!$R$5:$R$1004,0))&amp;"","")</f>
        <v/>
      </c>
      <c r="C527" s="59">
        <f>IFERROR(IF(INDEX(Firms!$O$5:$O$1004,MATCH(523,Firms!$R$5:$R$1004,0))="","",INDEX(Firms!$O$5:$O$1004,MATCH(523,Firms!$R$5:$R$1004,0))),"")</f>
        <v/>
      </c>
      <c r="D527" s="58">
        <f>IFERROR(INDEX(Firms!$P$5:$P$1004,MATCH(523,Firms!$R$5:$R$1004,0))&amp;"","")</f>
        <v/>
      </c>
      <c r="E527" s="58">
        <f>IFERROR(INDEX(Firms!$C$5:$C$1004,MATCH(523,Firms!$R$5:$R$1004,0))&amp;"","")</f>
        <v/>
      </c>
      <c r="F527" s="57">
        <f>IFERROR(INDEX(Firms!$L$5:$L$1004,MATCH(523,Firms!$R$5:$R$1004,0))&amp;"","")</f>
        <v/>
      </c>
      <c r="G527" s="57">
        <f>IFERROR(INDEX(Firms!$M$5:$M$1004,MATCH(523,Firms!$R$5:$R$1004,0))&amp;"","")</f>
        <v/>
      </c>
      <c r="H527" s="58">
        <f>IFERROR(INDEX(Firms!$Q$5:$Q$1004,MATCH(523,Firms!$R$5:$R$1004,0))&amp;"","")</f>
        <v/>
      </c>
    </row>
    <row r="528">
      <c r="A528" s="57">
        <f>IF(B528="","",524)</f>
        <v/>
      </c>
      <c r="B528" s="58">
        <f>IFERROR(INDEX(Firms!$A$5:$A$1004,MATCH(524,Firms!$R$5:$R$1004,0))&amp;"","")</f>
        <v/>
      </c>
      <c r="C528" s="59">
        <f>IFERROR(IF(INDEX(Firms!$O$5:$O$1004,MATCH(524,Firms!$R$5:$R$1004,0))="","",INDEX(Firms!$O$5:$O$1004,MATCH(524,Firms!$R$5:$R$1004,0))),"")</f>
        <v/>
      </c>
      <c r="D528" s="58">
        <f>IFERROR(INDEX(Firms!$P$5:$P$1004,MATCH(524,Firms!$R$5:$R$1004,0))&amp;"","")</f>
        <v/>
      </c>
      <c r="E528" s="58">
        <f>IFERROR(INDEX(Firms!$C$5:$C$1004,MATCH(524,Firms!$R$5:$R$1004,0))&amp;"","")</f>
        <v/>
      </c>
      <c r="F528" s="57">
        <f>IFERROR(INDEX(Firms!$L$5:$L$1004,MATCH(524,Firms!$R$5:$R$1004,0))&amp;"","")</f>
        <v/>
      </c>
      <c r="G528" s="57">
        <f>IFERROR(INDEX(Firms!$M$5:$M$1004,MATCH(524,Firms!$R$5:$R$1004,0))&amp;"","")</f>
        <v/>
      </c>
      <c r="H528" s="58">
        <f>IFERROR(INDEX(Firms!$Q$5:$Q$1004,MATCH(524,Firms!$R$5:$R$1004,0))&amp;"","")</f>
        <v/>
      </c>
    </row>
    <row r="529">
      <c r="A529" s="57">
        <f>IF(B529="","",525)</f>
        <v/>
      </c>
      <c r="B529" s="58">
        <f>IFERROR(INDEX(Firms!$A$5:$A$1004,MATCH(525,Firms!$R$5:$R$1004,0))&amp;"","")</f>
        <v/>
      </c>
      <c r="C529" s="59">
        <f>IFERROR(IF(INDEX(Firms!$O$5:$O$1004,MATCH(525,Firms!$R$5:$R$1004,0))="","",INDEX(Firms!$O$5:$O$1004,MATCH(525,Firms!$R$5:$R$1004,0))),"")</f>
        <v/>
      </c>
      <c r="D529" s="58">
        <f>IFERROR(INDEX(Firms!$P$5:$P$1004,MATCH(525,Firms!$R$5:$R$1004,0))&amp;"","")</f>
        <v/>
      </c>
      <c r="E529" s="58">
        <f>IFERROR(INDEX(Firms!$C$5:$C$1004,MATCH(525,Firms!$R$5:$R$1004,0))&amp;"","")</f>
        <v/>
      </c>
      <c r="F529" s="57">
        <f>IFERROR(INDEX(Firms!$L$5:$L$1004,MATCH(525,Firms!$R$5:$R$1004,0))&amp;"","")</f>
        <v/>
      </c>
      <c r="G529" s="57">
        <f>IFERROR(INDEX(Firms!$M$5:$M$1004,MATCH(525,Firms!$R$5:$R$1004,0))&amp;"","")</f>
        <v/>
      </c>
      <c r="H529" s="58">
        <f>IFERROR(INDEX(Firms!$Q$5:$Q$1004,MATCH(525,Firms!$R$5:$R$1004,0))&amp;"","")</f>
        <v/>
      </c>
    </row>
    <row r="530">
      <c r="A530" s="57">
        <f>IF(B530="","",526)</f>
        <v/>
      </c>
      <c r="B530" s="58">
        <f>IFERROR(INDEX(Firms!$A$5:$A$1004,MATCH(526,Firms!$R$5:$R$1004,0))&amp;"","")</f>
        <v/>
      </c>
      <c r="C530" s="59">
        <f>IFERROR(IF(INDEX(Firms!$O$5:$O$1004,MATCH(526,Firms!$R$5:$R$1004,0))="","",INDEX(Firms!$O$5:$O$1004,MATCH(526,Firms!$R$5:$R$1004,0))),"")</f>
        <v/>
      </c>
      <c r="D530" s="58">
        <f>IFERROR(INDEX(Firms!$P$5:$P$1004,MATCH(526,Firms!$R$5:$R$1004,0))&amp;"","")</f>
        <v/>
      </c>
      <c r="E530" s="58">
        <f>IFERROR(INDEX(Firms!$C$5:$C$1004,MATCH(526,Firms!$R$5:$R$1004,0))&amp;"","")</f>
        <v/>
      </c>
      <c r="F530" s="57">
        <f>IFERROR(INDEX(Firms!$L$5:$L$1004,MATCH(526,Firms!$R$5:$R$1004,0))&amp;"","")</f>
        <v/>
      </c>
      <c r="G530" s="57">
        <f>IFERROR(INDEX(Firms!$M$5:$M$1004,MATCH(526,Firms!$R$5:$R$1004,0))&amp;"","")</f>
        <v/>
      </c>
      <c r="H530" s="58">
        <f>IFERROR(INDEX(Firms!$Q$5:$Q$1004,MATCH(526,Firms!$R$5:$R$1004,0))&amp;"","")</f>
        <v/>
      </c>
    </row>
    <row r="531">
      <c r="A531" s="57">
        <f>IF(B531="","",527)</f>
        <v/>
      </c>
      <c r="B531" s="58">
        <f>IFERROR(INDEX(Firms!$A$5:$A$1004,MATCH(527,Firms!$R$5:$R$1004,0))&amp;"","")</f>
        <v/>
      </c>
      <c r="C531" s="59">
        <f>IFERROR(IF(INDEX(Firms!$O$5:$O$1004,MATCH(527,Firms!$R$5:$R$1004,0))="","",INDEX(Firms!$O$5:$O$1004,MATCH(527,Firms!$R$5:$R$1004,0))),"")</f>
        <v/>
      </c>
      <c r="D531" s="58">
        <f>IFERROR(INDEX(Firms!$P$5:$P$1004,MATCH(527,Firms!$R$5:$R$1004,0))&amp;"","")</f>
        <v/>
      </c>
      <c r="E531" s="58">
        <f>IFERROR(INDEX(Firms!$C$5:$C$1004,MATCH(527,Firms!$R$5:$R$1004,0))&amp;"","")</f>
        <v/>
      </c>
      <c r="F531" s="57">
        <f>IFERROR(INDEX(Firms!$L$5:$L$1004,MATCH(527,Firms!$R$5:$R$1004,0))&amp;"","")</f>
        <v/>
      </c>
      <c r="G531" s="57">
        <f>IFERROR(INDEX(Firms!$M$5:$M$1004,MATCH(527,Firms!$R$5:$R$1004,0))&amp;"","")</f>
        <v/>
      </c>
      <c r="H531" s="58">
        <f>IFERROR(INDEX(Firms!$Q$5:$Q$1004,MATCH(527,Firms!$R$5:$R$1004,0))&amp;"","")</f>
        <v/>
      </c>
    </row>
    <row r="532">
      <c r="A532" s="57">
        <f>IF(B532="","",528)</f>
        <v/>
      </c>
      <c r="B532" s="58">
        <f>IFERROR(INDEX(Firms!$A$5:$A$1004,MATCH(528,Firms!$R$5:$R$1004,0))&amp;"","")</f>
        <v/>
      </c>
      <c r="C532" s="59">
        <f>IFERROR(IF(INDEX(Firms!$O$5:$O$1004,MATCH(528,Firms!$R$5:$R$1004,0))="","",INDEX(Firms!$O$5:$O$1004,MATCH(528,Firms!$R$5:$R$1004,0))),"")</f>
        <v/>
      </c>
      <c r="D532" s="58">
        <f>IFERROR(INDEX(Firms!$P$5:$P$1004,MATCH(528,Firms!$R$5:$R$1004,0))&amp;"","")</f>
        <v/>
      </c>
      <c r="E532" s="58">
        <f>IFERROR(INDEX(Firms!$C$5:$C$1004,MATCH(528,Firms!$R$5:$R$1004,0))&amp;"","")</f>
        <v/>
      </c>
      <c r="F532" s="57">
        <f>IFERROR(INDEX(Firms!$L$5:$L$1004,MATCH(528,Firms!$R$5:$R$1004,0))&amp;"","")</f>
        <v/>
      </c>
      <c r="G532" s="57">
        <f>IFERROR(INDEX(Firms!$M$5:$M$1004,MATCH(528,Firms!$R$5:$R$1004,0))&amp;"","")</f>
        <v/>
      </c>
      <c r="H532" s="58">
        <f>IFERROR(INDEX(Firms!$Q$5:$Q$1004,MATCH(528,Firms!$R$5:$R$1004,0))&amp;"","")</f>
        <v/>
      </c>
    </row>
    <row r="533">
      <c r="A533" s="57">
        <f>IF(B533="","",529)</f>
        <v/>
      </c>
      <c r="B533" s="58">
        <f>IFERROR(INDEX(Firms!$A$5:$A$1004,MATCH(529,Firms!$R$5:$R$1004,0))&amp;"","")</f>
        <v/>
      </c>
      <c r="C533" s="59">
        <f>IFERROR(IF(INDEX(Firms!$O$5:$O$1004,MATCH(529,Firms!$R$5:$R$1004,0))="","",INDEX(Firms!$O$5:$O$1004,MATCH(529,Firms!$R$5:$R$1004,0))),"")</f>
        <v/>
      </c>
      <c r="D533" s="58">
        <f>IFERROR(INDEX(Firms!$P$5:$P$1004,MATCH(529,Firms!$R$5:$R$1004,0))&amp;"","")</f>
        <v/>
      </c>
      <c r="E533" s="58">
        <f>IFERROR(INDEX(Firms!$C$5:$C$1004,MATCH(529,Firms!$R$5:$R$1004,0))&amp;"","")</f>
        <v/>
      </c>
      <c r="F533" s="57">
        <f>IFERROR(INDEX(Firms!$L$5:$L$1004,MATCH(529,Firms!$R$5:$R$1004,0))&amp;"","")</f>
        <v/>
      </c>
      <c r="G533" s="57">
        <f>IFERROR(INDEX(Firms!$M$5:$M$1004,MATCH(529,Firms!$R$5:$R$1004,0))&amp;"","")</f>
        <v/>
      </c>
      <c r="H533" s="58">
        <f>IFERROR(INDEX(Firms!$Q$5:$Q$1004,MATCH(529,Firms!$R$5:$R$1004,0))&amp;"","")</f>
        <v/>
      </c>
    </row>
    <row r="534">
      <c r="A534" s="57">
        <f>IF(B534="","",530)</f>
        <v/>
      </c>
      <c r="B534" s="58">
        <f>IFERROR(INDEX(Firms!$A$5:$A$1004,MATCH(530,Firms!$R$5:$R$1004,0))&amp;"","")</f>
        <v/>
      </c>
      <c r="C534" s="59">
        <f>IFERROR(IF(INDEX(Firms!$O$5:$O$1004,MATCH(530,Firms!$R$5:$R$1004,0))="","",INDEX(Firms!$O$5:$O$1004,MATCH(530,Firms!$R$5:$R$1004,0))),"")</f>
        <v/>
      </c>
      <c r="D534" s="58">
        <f>IFERROR(INDEX(Firms!$P$5:$P$1004,MATCH(530,Firms!$R$5:$R$1004,0))&amp;"","")</f>
        <v/>
      </c>
      <c r="E534" s="58">
        <f>IFERROR(INDEX(Firms!$C$5:$C$1004,MATCH(530,Firms!$R$5:$R$1004,0))&amp;"","")</f>
        <v/>
      </c>
      <c r="F534" s="57">
        <f>IFERROR(INDEX(Firms!$L$5:$L$1004,MATCH(530,Firms!$R$5:$R$1004,0))&amp;"","")</f>
        <v/>
      </c>
      <c r="G534" s="57">
        <f>IFERROR(INDEX(Firms!$M$5:$M$1004,MATCH(530,Firms!$R$5:$R$1004,0))&amp;"","")</f>
        <v/>
      </c>
      <c r="H534" s="58">
        <f>IFERROR(INDEX(Firms!$Q$5:$Q$1004,MATCH(530,Firms!$R$5:$R$1004,0))&amp;"","")</f>
        <v/>
      </c>
    </row>
    <row r="535">
      <c r="A535" s="57">
        <f>IF(B535="","",531)</f>
        <v/>
      </c>
      <c r="B535" s="58">
        <f>IFERROR(INDEX(Firms!$A$5:$A$1004,MATCH(531,Firms!$R$5:$R$1004,0))&amp;"","")</f>
        <v/>
      </c>
      <c r="C535" s="59">
        <f>IFERROR(IF(INDEX(Firms!$O$5:$O$1004,MATCH(531,Firms!$R$5:$R$1004,0))="","",INDEX(Firms!$O$5:$O$1004,MATCH(531,Firms!$R$5:$R$1004,0))),"")</f>
        <v/>
      </c>
      <c r="D535" s="58">
        <f>IFERROR(INDEX(Firms!$P$5:$P$1004,MATCH(531,Firms!$R$5:$R$1004,0))&amp;"","")</f>
        <v/>
      </c>
      <c r="E535" s="58">
        <f>IFERROR(INDEX(Firms!$C$5:$C$1004,MATCH(531,Firms!$R$5:$R$1004,0))&amp;"","")</f>
        <v/>
      </c>
      <c r="F535" s="57">
        <f>IFERROR(INDEX(Firms!$L$5:$L$1004,MATCH(531,Firms!$R$5:$R$1004,0))&amp;"","")</f>
        <v/>
      </c>
      <c r="G535" s="57">
        <f>IFERROR(INDEX(Firms!$M$5:$M$1004,MATCH(531,Firms!$R$5:$R$1004,0))&amp;"","")</f>
        <v/>
      </c>
      <c r="H535" s="58">
        <f>IFERROR(INDEX(Firms!$Q$5:$Q$1004,MATCH(531,Firms!$R$5:$R$1004,0))&amp;"","")</f>
        <v/>
      </c>
    </row>
    <row r="536">
      <c r="A536" s="57">
        <f>IF(B536="","",532)</f>
        <v/>
      </c>
      <c r="B536" s="58">
        <f>IFERROR(INDEX(Firms!$A$5:$A$1004,MATCH(532,Firms!$R$5:$R$1004,0))&amp;"","")</f>
        <v/>
      </c>
      <c r="C536" s="59">
        <f>IFERROR(IF(INDEX(Firms!$O$5:$O$1004,MATCH(532,Firms!$R$5:$R$1004,0))="","",INDEX(Firms!$O$5:$O$1004,MATCH(532,Firms!$R$5:$R$1004,0))),"")</f>
        <v/>
      </c>
      <c r="D536" s="58">
        <f>IFERROR(INDEX(Firms!$P$5:$P$1004,MATCH(532,Firms!$R$5:$R$1004,0))&amp;"","")</f>
        <v/>
      </c>
      <c r="E536" s="58">
        <f>IFERROR(INDEX(Firms!$C$5:$C$1004,MATCH(532,Firms!$R$5:$R$1004,0))&amp;"","")</f>
        <v/>
      </c>
      <c r="F536" s="57">
        <f>IFERROR(INDEX(Firms!$L$5:$L$1004,MATCH(532,Firms!$R$5:$R$1004,0))&amp;"","")</f>
        <v/>
      </c>
      <c r="G536" s="57">
        <f>IFERROR(INDEX(Firms!$M$5:$M$1004,MATCH(532,Firms!$R$5:$R$1004,0))&amp;"","")</f>
        <v/>
      </c>
      <c r="H536" s="58">
        <f>IFERROR(INDEX(Firms!$Q$5:$Q$1004,MATCH(532,Firms!$R$5:$R$1004,0))&amp;"","")</f>
        <v/>
      </c>
    </row>
    <row r="537">
      <c r="A537" s="57">
        <f>IF(B537="","",533)</f>
        <v/>
      </c>
      <c r="B537" s="58">
        <f>IFERROR(INDEX(Firms!$A$5:$A$1004,MATCH(533,Firms!$R$5:$R$1004,0))&amp;"","")</f>
        <v/>
      </c>
      <c r="C537" s="59">
        <f>IFERROR(IF(INDEX(Firms!$O$5:$O$1004,MATCH(533,Firms!$R$5:$R$1004,0))="","",INDEX(Firms!$O$5:$O$1004,MATCH(533,Firms!$R$5:$R$1004,0))),"")</f>
        <v/>
      </c>
      <c r="D537" s="58">
        <f>IFERROR(INDEX(Firms!$P$5:$P$1004,MATCH(533,Firms!$R$5:$R$1004,0))&amp;"","")</f>
        <v/>
      </c>
      <c r="E537" s="58">
        <f>IFERROR(INDEX(Firms!$C$5:$C$1004,MATCH(533,Firms!$R$5:$R$1004,0))&amp;"","")</f>
        <v/>
      </c>
      <c r="F537" s="57">
        <f>IFERROR(INDEX(Firms!$L$5:$L$1004,MATCH(533,Firms!$R$5:$R$1004,0))&amp;"","")</f>
        <v/>
      </c>
      <c r="G537" s="57">
        <f>IFERROR(INDEX(Firms!$M$5:$M$1004,MATCH(533,Firms!$R$5:$R$1004,0))&amp;"","")</f>
        <v/>
      </c>
      <c r="H537" s="58">
        <f>IFERROR(INDEX(Firms!$Q$5:$Q$1004,MATCH(533,Firms!$R$5:$R$1004,0))&amp;"","")</f>
        <v/>
      </c>
    </row>
    <row r="538">
      <c r="A538" s="57">
        <f>IF(B538="","",534)</f>
        <v/>
      </c>
      <c r="B538" s="58">
        <f>IFERROR(INDEX(Firms!$A$5:$A$1004,MATCH(534,Firms!$R$5:$R$1004,0))&amp;"","")</f>
        <v/>
      </c>
      <c r="C538" s="59">
        <f>IFERROR(IF(INDEX(Firms!$O$5:$O$1004,MATCH(534,Firms!$R$5:$R$1004,0))="","",INDEX(Firms!$O$5:$O$1004,MATCH(534,Firms!$R$5:$R$1004,0))),"")</f>
        <v/>
      </c>
      <c r="D538" s="58">
        <f>IFERROR(INDEX(Firms!$P$5:$P$1004,MATCH(534,Firms!$R$5:$R$1004,0))&amp;"","")</f>
        <v/>
      </c>
      <c r="E538" s="58">
        <f>IFERROR(INDEX(Firms!$C$5:$C$1004,MATCH(534,Firms!$R$5:$R$1004,0))&amp;"","")</f>
        <v/>
      </c>
      <c r="F538" s="57">
        <f>IFERROR(INDEX(Firms!$L$5:$L$1004,MATCH(534,Firms!$R$5:$R$1004,0))&amp;"","")</f>
        <v/>
      </c>
      <c r="G538" s="57">
        <f>IFERROR(INDEX(Firms!$M$5:$M$1004,MATCH(534,Firms!$R$5:$R$1004,0))&amp;"","")</f>
        <v/>
      </c>
      <c r="H538" s="58">
        <f>IFERROR(INDEX(Firms!$Q$5:$Q$1004,MATCH(534,Firms!$R$5:$R$1004,0))&amp;"","")</f>
        <v/>
      </c>
    </row>
    <row r="539">
      <c r="A539" s="57">
        <f>IF(B539="","",535)</f>
        <v/>
      </c>
      <c r="B539" s="58">
        <f>IFERROR(INDEX(Firms!$A$5:$A$1004,MATCH(535,Firms!$R$5:$R$1004,0))&amp;"","")</f>
        <v/>
      </c>
      <c r="C539" s="59">
        <f>IFERROR(IF(INDEX(Firms!$O$5:$O$1004,MATCH(535,Firms!$R$5:$R$1004,0))="","",INDEX(Firms!$O$5:$O$1004,MATCH(535,Firms!$R$5:$R$1004,0))),"")</f>
        <v/>
      </c>
      <c r="D539" s="58">
        <f>IFERROR(INDEX(Firms!$P$5:$P$1004,MATCH(535,Firms!$R$5:$R$1004,0))&amp;"","")</f>
        <v/>
      </c>
      <c r="E539" s="58">
        <f>IFERROR(INDEX(Firms!$C$5:$C$1004,MATCH(535,Firms!$R$5:$R$1004,0))&amp;"","")</f>
        <v/>
      </c>
      <c r="F539" s="57">
        <f>IFERROR(INDEX(Firms!$L$5:$L$1004,MATCH(535,Firms!$R$5:$R$1004,0))&amp;"","")</f>
        <v/>
      </c>
      <c r="G539" s="57">
        <f>IFERROR(INDEX(Firms!$M$5:$M$1004,MATCH(535,Firms!$R$5:$R$1004,0))&amp;"","")</f>
        <v/>
      </c>
      <c r="H539" s="58">
        <f>IFERROR(INDEX(Firms!$Q$5:$Q$1004,MATCH(535,Firms!$R$5:$R$1004,0))&amp;"","")</f>
        <v/>
      </c>
    </row>
    <row r="540">
      <c r="A540" s="57">
        <f>IF(B540="","",536)</f>
        <v/>
      </c>
      <c r="B540" s="58">
        <f>IFERROR(INDEX(Firms!$A$5:$A$1004,MATCH(536,Firms!$R$5:$R$1004,0))&amp;"","")</f>
        <v/>
      </c>
      <c r="C540" s="59">
        <f>IFERROR(IF(INDEX(Firms!$O$5:$O$1004,MATCH(536,Firms!$R$5:$R$1004,0))="","",INDEX(Firms!$O$5:$O$1004,MATCH(536,Firms!$R$5:$R$1004,0))),"")</f>
        <v/>
      </c>
      <c r="D540" s="58">
        <f>IFERROR(INDEX(Firms!$P$5:$P$1004,MATCH(536,Firms!$R$5:$R$1004,0))&amp;"","")</f>
        <v/>
      </c>
      <c r="E540" s="58">
        <f>IFERROR(INDEX(Firms!$C$5:$C$1004,MATCH(536,Firms!$R$5:$R$1004,0))&amp;"","")</f>
        <v/>
      </c>
      <c r="F540" s="57">
        <f>IFERROR(INDEX(Firms!$L$5:$L$1004,MATCH(536,Firms!$R$5:$R$1004,0))&amp;"","")</f>
        <v/>
      </c>
      <c r="G540" s="57">
        <f>IFERROR(INDEX(Firms!$M$5:$M$1004,MATCH(536,Firms!$R$5:$R$1004,0))&amp;"","")</f>
        <v/>
      </c>
      <c r="H540" s="58">
        <f>IFERROR(INDEX(Firms!$Q$5:$Q$1004,MATCH(536,Firms!$R$5:$R$1004,0))&amp;"","")</f>
        <v/>
      </c>
    </row>
    <row r="541">
      <c r="A541" s="57">
        <f>IF(B541="","",537)</f>
        <v/>
      </c>
      <c r="B541" s="58">
        <f>IFERROR(INDEX(Firms!$A$5:$A$1004,MATCH(537,Firms!$R$5:$R$1004,0))&amp;"","")</f>
        <v/>
      </c>
      <c r="C541" s="59">
        <f>IFERROR(IF(INDEX(Firms!$O$5:$O$1004,MATCH(537,Firms!$R$5:$R$1004,0))="","",INDEX(Firms!$O$5:$O$1004,MATCH(537,Firms!$R$5:$R$1004,0))),"")</f>
        <v/>
      </c>
      <c r="D541" s="58">
        <f>IFERROR(INDEX(Firms!$P$5:$P$1004,MATCH(537,Firms!$R$5:$R$1004,0))&amp;"","")</f>
        <v/>
      </c>
      <c r="E541" s="58">
        <f>IFERROR(INDEX(Firms!$C$5:$C$1004,MATCH(537,Firms!$R$5:$R$1004,0))&amp;"","")</f>
        <v/>
      </c>
      <c r="F541" s="57">
        <f>IFERROR(INDEX(Firms!$L$5:$L$1004,MATCH(537,Firms!$R$5:$R$1004,0))&amp;"","")</f>
        <v/>
      </c>
      <c r="G541" s="57">
        <f>IFERROR(INDEX(Firms!$M$5:$M$1004,MATCH(537,Firms!$R$5:$R$1004,0))&amp;"","")</f>
        <v/>
      </c>
      <c r="H541" s="58">
        <f>IFERROR(INDEX(Firms!$Q$5:$Q$1004,MATCH(537,Firms!$R$5:$R$1004,0))&amp;"","")</f>
        <v/>
      </c>
    </row>
    <row r="542">
      <c r="A542" s="57">
        <f>IF(B542="","",538)</f>
        <v/>
      </c>
      <c r="B542" s="58">
        <f>IFERROR(INDEX(Firms!$A$5:$A$1004,MATCH(538,Firms!$R$5:$R$1004,0))&amp;"","")</f>
        <v/>
      </c>
      <c r="C542" s="59">
        <f>IFERROR(IF(INDEX(Firms!$O$5:$O$1004,MATCH(538,Firms!$R$5:$R$1004,0))="","",INDEX(Firms!$O$5:$O$1004,MATCH(538,Firms!$R$5:$R$1004,0))),"")</f>
        <v/>
      </c>
      <c r="D542" s="58">
        <f>IFERROR(INDEX(Firms!$P$5:$P$1004,MATCH(538,Firms!$R$5:$R$1004,0))&amp;"","")</f>
        <v/>
      </c>
      <c r="E542" s="58">
        <f>IFERROR(INDEX(Firms!$C$5:$C$1004,MATCH(538,Firms!$R$5:$R$1004,0))&amp;"","")</f>
        <v/>
      </c>
      <c r="F542" s="57">
        <f>IFERROR(INDEX(Firms!$L$5:$L$1004,MATCH(538,Firms!$R$5:$R$1004,0))&amp;"","")</f>
        <v/>
      </c>
      <c r="G542" s="57">
        <f>IFERROR(INDEX(Firms!$M$5:$M$1004,MATCH(538,Firms!$R$5:$R$1004,0))&amp;"","")</f>
        <v/>
      </c>
      <c r="H542" s="58">
        <f>IFERROR(INDEX(Firms!$Q$5:$Q$1004,MATCH(538,Firms!$R$5:$R$1004,0))&amp;"","")</f>
        <v/>
      </c>
    </row>
    <row r="543">
      <c r="A543" s="57">
        <f>IF(B543="","",539)</f>
        <v/>
      </c>
      <c r="B543" s="58">
        <f>IFERROR(INDEX(Firms!$A$5:$A$1004,MATCH(539,Firms!$R$5:$R$1004,0))&amp;"","")</f>
        <v/>
      </c>
      <c r="C543" s="59">
        <f>IFERROR(IF(INDEX(Firms!$O$5:$O$1004,MATCH(539,Firms!$R$5:$R$1004,0))="","",INDEX(Firms!$O$5:$O$1004,MATCH(539,Firms!$R$5:$R$1004,0))),"")</f>
        <v/>
      </c>
      <c r="D543" s="58">
        <f>IFERROR(INDEX(Firms!$P$5:$P$1004,MATCH(539,Firms!$R$5:$R$1004,0))&amp;"","")</f>
        <v/>
      </c>
      <c r="E543" s="58">
        <f>IFERROR(INDEX(Firms!$C$5:$C$1004,MATCH(539,Firms!$R$5:$R$1004,0))&amp;"","")</f>
        <v/>
      </c>
      <c r="F543" s="57">
        <f>IFERROR(INDEX(Firms!$L$5:$L$1004,MATCH(539,Firms!$R$5:$R$1004,0))&amp;"","")</f>
        <v/>
      </c>
      <c r="G543" s="57">
        <f>IFERROR(INDEX(Firms!$M$5:$M$1004,MATCH(539,Firms!$R$5:$R$1004,0))&amp;"","")</f>
        <v/>
      </c>
      <c r="H543" s="58">
        <f>IFERROR(INDEX(Firms!$Q$5:$Q$1004,MATCH(539,Firms!$R$5:$R$1004,0))&amp;"","")</f>
        <v/>
      </c>
    </row>
    <row r="544">
      <c r="A544" s="57">
        <f>IF(B544="","",540)</f>
        <v/>
      </c>
      <c r="B544" s="58">
        <f>IFERROR(INDEX(Firms!$A$5:$A$1004,MATCH(540,Firms!$R$5:$R$1004,0))&amp;"","")</f>
        <v/>
      </c>
      <c r="C544" s="59">
        <f>IFERROR(IF(INDEX(Firms!$O$5:$O$1004,MATCH(540,Firms!$R$5:$R$1004,0))="","",INDEX(Firms!$O$5:$O$1004,MATCH(540,Firms!$R$5:$R$1004,0))),"")</f>
        <v/>
      </c>
      <c r="D544" s="58">
        <f>IFERROR(INDEX(Firms!$P$5:$P$1004,MATCH(540,Firms!$R$5:$R$1004,0))&amp;"","")</f>
        <v/>
      </c>
      <c r="E544" s="58">
        <f>IFERROR(INDEX(Firms!$C$5:$C$1004,MATCH(540,Firms!$R$5:$R$1004,0))&amp;"","")</f>
        <v/>
      </c>
      <c r="F544" s="57">
        <f>IFERROR(INDEX(Firms!$L$5:$L$1004,MATCH(540,Firms!$R$5:$R$1004,0))&amp;"","")</f>
        <v/>
      </c>
      <c r="G544" s="57">
        <f>IFERROR(INDEX(Firms!$M$5:$M$1004,MATCH(540,Firms!$R$5:$R$1004,0))&amp;"","")</f>
        <v/>
      </c>
      <c r="H544" s="58">
        <f>IFERROR(INDEX(Firms!$Q$5:$Q$1004,MATCH(540,Firms!$R$5:$R$1004,0))&amp;"","")</f>
        <v/>
      </c>
    </row>
    <row r="545">
      <c r="A545" s="57">
        <f>IF(B545="","",541)</f>
        <v/>
      </c>
      <c r="B545" s="58">
        <f>IFERROR(INDEX(Firms!$A$5:$A$1004,MATCH(541,Firms!$R$5:$R$1004,0))&amp;"","")</f>
        <v/>
      </c>
      <c r="C545" s="59">
        <f>IFERROR(IF(INDEX(Firms!$O$5:$O$1004,MATCH(541,Firms!$R$5:$R$1004,0))="","",INDEX(Firms!$O$5:$O$1004,MATCH(541,Firms!$R$5:$R$1004,0))),"")</f>
        <v/>
      </c>
      <c r="D545" s="58">
        <f>IFERROR(INDEX(Firms!$P$5:$P$1004,MATCH(541,Firms!$R$5:$R$1004,0))&amp;"","")</f>
        <v/>
      </c>
      <c r="E545" s="58">
        <f>IFERROR(INDEX(Firms!$C$5:$C$1004,MATCH(541,Firms!$R$5:$R$1004,0))&amp;"","")</f>
        <v/>
      </c>
      <c r="F545" s="57">
        <f>IFERROR(INDEX(Firms!$L$5:$L$1004,MATCH(541,Firms!$R$5:$R$1004,0))&amp;"","")</f>
        <v/>
      </c>
      <c r="G545" s="57">
        <f>IFERROR(INDEX(Firms!$M$5:$M$1004,MATCH(541,Firms!$R$5:$R$1004,0))&amp;"","")</f>
        <v/>
      </c>
      <c r="H545" s="58">
        <f>IFERROR(INDEX(Firms!$Q$5:$Q$1004,MATCH(541,Firms!$R$5:$R$1004,0))&amp;"","")</f>
        <v/>
      </c>
    </row>
    <row r="546">
      <c r="A546" s="57">
        <f>IF(B546="","",542)</f>
        <v/>
      </c>
      <c r="B546" s="58">
        <f>IFERROR(INDEX(Firms!$A$5:$A$1004,MATCH(542,Firms!$R$5:$R$1004,0))&amp;"","")</f>
        <v/>
      </c>
      <c r="C546" s="59">
        <f>IFERROR(IF(INDEX(Firms!$O$5:$O$1004,MATCH(542,Firms!$R$5:$R$1004,0))="","",INDEX(Firms!$O$5:$O$1004,MATCH(542,Firms!$R$5:$R$1004,0))),"")</f>
        <v/>
      </c>
      <c r="D546" s="58">
        <f>IFERROR(INDEX(Firms!$P$5:$P$1004,MATCH(542,Firms!$R$5:$R$1004,0))&amp;"","")</f>
        <v/>
      </c>
      <c r="E546" s="58">
        <f>IFERROR(INDEX(Firms!$C$5:$C$1004,MATCH(542,Firms!$R$5:$R$1004,0))&amp;"","")</f>
        <v/>
      </c>
      <c r="F546" s="57">
        <f>IFERROR(INDEX(Firms!$L$5:$L$1004,MATCH(542,Firms!$R$5:$R$1004,0))&amp;"","")</f>
        <v/>
      </c>
      <c r="G546" s="57">
        <f>IFERROR(INDEX(Firms!$M$5:$M$1004,MATCH(542,Firms!$R$5:$R$1004,0))&amp;"","")</f>
        <v/>
      </c>
      <c r="H546" s="58">
        <f>IFERROR(INDEX(Firms!$Q$5:$Q$1004,MATCH(542,Firms!$R$5:$R$1004,0))&amp;"","")</f>
        <v/>
      </c>
    </row>
    <row r="547">
      <c r="A547" s="57">
        <f>IF(B547="","",543)</f>
        <v/>
      </c>
      <c r="B547" s="58">
        <f>IFERROR(INDEX(Firms!$A$5:$A$1004,MATCH(543,Firms!$R$5:$R$1004,0))&amp;"","")</f>
        <v/>
      </c>
      <c r="C547" s="59">
        <f>IFERROR(IF(INDEX(Firms!$O$5:$O$1004,MATCH(543,Firms!$R$5:$R$1004,0))="","",INDEX(Firms!$O$5:$O$1004,MATCH(543,Firms!$R$5:$R$1004,0))),"")</f>
        <v/>
      </c>
      <c r="D547" s="58">
        <f>IFERROR(INDEX(Firms!$P$5:$P$1004,MATCH(543,Firms!$R$5:$R$1004,0))&amp;"","")</f>
        <v/>
      </c>
      <c r="E547" s="58">
        <f>IFERROR(INDEX(Firms!$C$5:$C$1004,MATCH(543,Firms!$R$5:$R$1004,0))&amp;"","")</f>
        <v/>
      </c>
      <c r="F547" s="57">
        <f>IFERROR(INDEX(Firms!$L$5:$L$1004,MATCH(543,Firms!$R$5:$R$1004,0))&amp;"","")</f>
        <v/>
      </c>
      <c r="G547" s="57">
        <f>IFERROR(INDEX(Firms!$M$5:$M$1004,MATCH(543,Firms!$R$5:$R$1004,0))&amp;"","")</f>
        <v/>
      </c>
      <c r="H547" s="58">
        <f>IFERROR(INDEX(Firms!$Q$5:$Q$1004,MATCH(543,Firms!$R$5:$R$1004,0))&amp;"","")</f>
        <v/>
      </c>
    </row>
    <row r="548">
      <c r="A548" s="57">
        <f>IF(B548="","",544)</f>
        <v/>
      </c>
      <c r="B548" s="58">
        <f>IFERROR(INDEX(Firms!$A$5:$A$1004,MATCH(544,Firms!$R$5:$R$1004,0))&amp;"","")</f>
        <v/>
      </c>
      <c r="C548" s="59">
        <f>IFERROR(IF(INDEX(Firms!$O$5:$O$1004,MATCH(544,Firms!$R$5:$R$1004,0))="","",INDEX(Firms!$O$5:$O$1004,MATCH(544,Firms!$R$5:$R$1004,0))),"")</f>
        <v/>
      </c>
      <c r="D548" s="58">
        <f>IFERROR(INDEX(Firms!$P$5:$P$1004,MATCH(544,Firms!$R$5:$R$1004,0))&amp;"","")</f>
        <v/>
      </c>
      <c r="E548" s="58">
        <f>IFERROR(INDEX(Firms!$C$5:$C$1004,MATCH(544,Firms!$R$5:$R$1004,0))&amp;"","")</f>
        <v/>
      </c>
      <c r="F548" s="57">
        <f>IFERROR(INDEX(Firms!$L$5:$L$1004,MATCH(544,Firms!$R$5:$R$1004,0))&amp;"","")</f>
        <v/>
      </c>
      <c r="G548" s="57">
        <f>IFERROR(INDEX(Firms!$M$5:$M$1004,MATCH(544,Firms!$R$5:$R$1004,0))&amp;"","")</f>
        <v/>
      </c>
      <c r="H548" s="58">
        <f>IFERROR(INDEX(Firms!$Q$5:$Q$1004,MATCH(544,Firms!$R$5:$R$1004,0))&amp;"","")</f>
        <v/>
      </c>
    </row>
    <row r="549">
      <c r="A549" s="57">
        <f>IF(B549="","",545)</f>
        <v/>
      </c>
      <c r="B549" s="58">
        <f>IFERROR(INDEX(Firms!$A$5:$A$1004,MATCH(545,Firms!$R$5:$R$1004,0))&amp;"","")</f>
        <v/>
      </c>
      <c r="C549" s="59">
        <f>IFERROR(IF(INDEX(Firms!$O$5:$O$1004,MATCH(545,Firms!$R$5:$R$1004,0))="","",INDEX(Firms!$O$5:$O$1004,MATCH(545,Firms!$R$5:$R$1004,0))),"")</f>
        <v/>
      </c>
      <c r="D549" s="58">
        <f>IFERROR(INDEX(Firms!$P$5:$P$1004,MATCH(545,Firms!$R$5:$R$1004,0))&amp;"","")</f>
        <v/>
      </c>
      <c r="E549" s="58">
        <f>IFERROR(INDEX(Firms!$C$5:$C$1004,MATCH(545,Firms!$R$5:$R$1004,0))&amp;"","")</f>
        <v/>
      </c>
      <c r="F549" s="57">
        <f>IFERROR(INDEX(Firms!$L$5:$L$1004,MATCH(545,Firms!$R$5:$R$1004,0))&amp;"","")</f>
        <v/>
      </c>
      <c r="G549" s="57">
        <f>IFERROR(INDEX(Firms!$M$5:$M$1004,MATCH(545,Firms!$R$5:$R$1004,0))&amp;"","")</f>
        <v/>
      </c>
      <c r="H549" s="58">
        <f>IFERROR(INDEX(Firms!$Q$5:$Q$1004,MATCH(545,Firms!$R$5:$R$1004,0))&amp;"","")</f>
        <v/>
      </c>
    </row>
    <row r="550">
      <c r="A550" s="57">
        <f>IF(B550="","",546)</f>
        <v/>
      </c>
      <c r="B550" s="58">
        <f>IFERROR(INDEX(Firms!$A$5:$A$1004,MATCH(546,Firms!$R$5:$R$1004,0))&amp;"","")</f>
        <v/>
      </c>
      <c r="C550" s="59">
        <f>IFERROR(IF(INDEX(Firms!$O$5:$O$1004,MATCH(546,Firms!$R$5:$R$1004,0))="","",INDEX(Firms!$O$5:$O$1004,MATCH(546,Firms!$R$5:$R$1004,0))),"")</f>
        <v/>
      </c>
      <c r="D550" s="58">
        <f>IFERROR(INDEX(Firms!$P$5:$P$1004,MATCH(546,Firms!$R$5:$R$1004,0))&amp;"","")</f>
        <v/>
      </c>
      <c r="E550" s="58">
        <f>IFERROR(INDEX(Firms!$C$5:$C$1004,MATCH(546,Firms!$R$5:$R$1004,0))&amp;"","")</f>
        <v/>
      </c>
      <c r="F550" s="57">
        <f>IFERROR(INDEX(Firms!$L$5:$L$1004,MATCH(546,Firms!$R$5:$R$1004,0))&amp;"","")</f>
        <v/>
      </c>
      <c r="G550" s="57">
        <f>IFERROR(INDEX(Firms!$M$5:$M$1004,MATCH(546,Firms!$R$5:$R$1004,0))&amp;"","")</f>
        <v/>
      </c>
      <c r="H550" s="58">
        <f>IFERROR(INDEX(Firms!$Q$5:$Q$1004,MATCH(546,Firms!$R$5:$R$1004,0))&amp;"","")</f>
        <v/>
      </c>
    </row>
    <row r="551">
      <c r="A551" s="57">
        <f>IF(B551="","",547)</f>
        <v/>
      </c>
      <c r="B551" s="58">
        <f>IFERROR(INDEX(Firms!$A$5:$A$1004,MATCH(547,Firms!$R$5:$R$1004,0))&amp;"","")</f>
        <v/>
      </c>
      <c r="C551" s="59">
        <f>IFERROR(IF(INDEX(Firms!$O$5:$O$1004,MATCH(547,Firms!$R$5:$R$1004,0))="","",INDEX(Firms!$O$5:$O$1004,MATCH(547,Firms!$R$5:$R$1004,0))),"")</f>
        <v/>
      </c>
      <c r="D551" s="58">
        <f>IFERROR(INDEX(Firms!$P$5:$P$1004,MATCH(547,Firms!$R$5:$R$1004,0))&amp;"","")</f>
        <v/>
      </c>
      <c r="E551" s="58">
        <f>IFERROR(INDEX(Firms!$C$5:$C$1004,MATCH(547,Firms!$R$5:$R$1004,0))&amp;"","")</f>
        <v/>
      </c>
      <c r="F551" s="57">
        <f>IFERROR(INDEX(Firms!$L$5:$L$1004,MATCH(547,Firms!$R$5:$R$1004,0))&amp;"","")</f>
        <v/>
      </c>
      <c r="G551" s="57">
        <f>IFERROR(INDEX(Firms!$M$5:$M$1004,MATCH(547,Firms!$R$5:$R$1004,0))&amp;"","")</f>
        <v/>
      </c>
      <c r="H551" s="58">
        <f>IFERROR(INDEX(Firms!$Q$5:$Q$1004,MATCH(547,Firms!$R$5:$R$1004,0))&amp;"","")</f>
        <v/>
      </c>
    </row>
    <row r="552">
      <c r="A552" s="57">
        <f>IF(B552="","",548)</f>
        <v/>
      </c>
      <c r="B552" s="58">
        <f>IFERROR(INDEX(Firms!$A$5:$A$1004,MATCH(548,Firms!$R$5:$R$1004,0))&amp;"","")</f>
        <v/>
      </c>
      <c r="C552" s="59">
        <f>IFERROR(IF(INDEX(Firms!$O$5:$O$1004,MATCH(548,Firms!$R$5:$R$1004,0))="","",INDEX(Firms!$O$5:$O$1004,MATCH(548,Firms!$R$5:$R$1004,0))),"")</f>
        <v/>
      </c>
      <c r="D552" s="58">
        <f>IFERROR(INDEX(Firms!$P$5:$P$1004,MATCH(548,Firms!$R$5:$R$1004,0))&amp;"","")</f>
        <v/>
      </c>
      <c r="E552" s="58">
        <f>IFERROR(INDEX(Firms!$C$5:$C$1004,MATCH(548,Firms!$R$5:$R$1004,0))&amp;"","")</f>
        <v/>
      </c>
      <c r="F552" s="57">
        <f>IFERROR(INDEX(Firms!$L$5:$L$1004,MATCH(548,Firms!$R$5:$R$1004,0))&amp;"","")</f>
        <v/>
      </c>
      <c r="G552" s="57">
        <f>IFERROR(INDEX(Firms!$M$5:$M$1004,MATCH(548,Firms!$R$5:$R$1004,0))&amp;"","")</f>
        <v/>
      </c>
      <c r="H552" s="58">
        <f>IFERROR(INDEX(Firms!$Q$5:$Q$1004,MATCH(548,Firms!$R$5:$R$1004,0))&amp;"","")</f>
        <v/>
      </c>
    </row>
    <row r="553">
      <c r="A553" s="57">
        <f>IF(B553="","",549)</f>
        <v/>
      </c>
      <c r="B553" s="58">
        <f>IFERROR(INDEX(Firms!$A$5:$A$1004,MATCH(549,Firms!$R$5:$R$1004,0))&amp;"","")</f>
        <v/>
      </c>
      <c r="C553" s="59">
        <f>IFERROR(IF(INDEX(Firms!$O$5:$O$1004,MATCH(549,Firms!$R$5:$R$1004,0))="","",INDEX(Firms!$O$5:$O$1004,MATCH(549,Firms!$R$5:$R$1004,0))),"")</f>
        <v/>
      </c>
      <c r="D553" s="58">
        <f>IFERROR(INDEX(Firms!$P$5:$P$1004,MATCH(549,Firms!$R$5:$R$1004,0))&amp;"","")</f>
        <v/>
      </c>
      <c r="E553" s="58">
        <f>IFERROR(INDEX(Firms!$C$5:$C$1004,MATCH(549,Firms!$R$5:$R$1004,0))&amp;"","")</f>
        <v/>
      </c>
      <c r="F553" s="57">
        <f>IFERROR(INDEX(Firms!$L$5:$L$1004,MATCH(549,Firms!$R$5:$R$1004,0))&amp;"","")</f>
        <v/>
      </c>
      <c r="G553" s="57">
        <f>IFERROR(INDEX(Firms!$M$5:$M$1004,MATCH(549,Firms!$R$5:$R$1004,0))&amp;"","")</f>
        <v/>
      </c>
      <c r="H553" s="58">
        <f>IFERROR(INDEX(Firms!$Q$5:$Q$1004,MATCH(549,Firms!$R$5:$R$1004,0))&amp;"","")</f>
        <v/>
      </c>
    </row>
    <row r="554">
      <c r="A554" s="57">
        <f>IF(B554="","",550)</f>
        <v/>
      </c>
      <c r="B554" s="58">
        <f>IFERROR(INDEX(Firms!$A$5:$A$1004,MATCH(550,Firms!$R$5:$R$1004,0))&amp;"","")</f>
        <v/>
      </c>
      <c r="C554" s="59">
        <f>IFERROR(IF(INDEX(Firms!$O$5:$O$1004,MATCH(550,Firms!$R$5:$R$1004,0))="","",INDEX(Firms!$O$5:$O$1004,MATCH(550,Firms!$R$5:$R$1004,0))),"")</f>
        <v/>
      </c>
      <c r="D554" s="58">
        <f>IFERROR(INDEX(Firms!$P$5:$P$1004,MATCH(550,Firms!$R$5:$R$1004,0))&amp;"","")</f>
        <v/>
      </c>
      <c r="E554" s="58">
        <f>IFERROR(INDEX(Firms!$C$5:$C$1004,MATCH(550,Firms!$R$5:$R$1004,0))&amp;"","")</f>
        <v/>
      </c>
      <c r="F554" s="57">
        <f>IFERROR(INDEX(Firms!$L$5:$L$1004,MATCH(550,Firms!$R$5:$R$1004,0))&amp;"","")</f>
        <v/>
      </c>
      <c r="G554" s="57">
        <f>IFERROR(INDEX(Firms!$M$5:$M$1004,MATCH(550,Firms!$R$5:$R$1004,0))&amp;"","")</f>
        <v/>
      </c>
      <c r="H554" s="58">
        <f>IFERROR(INDEX(Firms!$Q$5:$Q$1004,MATCH(550,Firms!$R$5:$R$1004,0))&amp;"","")</f>
        <v/>
      </c>
    </row>
    <row r="555">
      <c r="A555" s="57">
        <f>IF(B555="","",551)</f>
        <v/>
      </c>
      <c r="B555" s="58">
        <f>IFERROR(INDEX(Firms!$A$5:$A$1004,MATCH(551,Firms!$R$5:$R$1004,0))&amp;"","")</f>
        <v/>
      </c>
      <c r="C555" s="59">
        <f>IFERROR(IF(INDEX(Firms!$O$5:$O$1004,MATCH(551,Firms!$R$5:$R$1004,0))="","",INDEX(Firms!$O$5:$O$1004,MATCH(551,Firms!$R$5:$R$1004,0))),"")</f>
        <v/>
      </c>
      <c r="D555" s="58">
        <f>IFERROR(INDEX(Firms!$P$5:$P$1004,MATCH(551,Firms!$R$5:$R$1004,0))&amp;"","")</f>
        <v/>
      </c>
      <c r="E555" s="58">
        <f>IFERROR(INDEX(Firms!$C$5:$C$1004,MATCH(551,Firms!$R$5:$R$1004,0))&amp;"","")</f>
        <v/>
      </c>
      <c r="F555" s="57">
        <f>IFERROR(INDEX(Firms!$L$5:$L$1004,MATCH(551,Firms!$R$5:$R$1004,0))&amp;"","")</f>
        <v/>
      </c>
      <c r="G555" s="57">
        <f>IFERROR(INDEX(Firms!$M$5:$M$1004,MATCH(551,Firms!$R$5:$R$1004,0))&amp;"","")</f>
        <v/>
      </c>
      <c r="H555" s="58">
        <f>IFERROR(INDEX(Firms!$Q$5:$Q$1004,MATCH(551,Firms!$R$5:$R$1004,0))&amp;"","")</f>
        <v/>
      </c>
    </row>
    <row r="556">
      <c r="A556" s="57">
        <f>IF(B556="","",552)</f>
        <v/>
      </c>
      <c r="B556" s="58">
        <f>IFERROR(INDEX(Firms!$A$5:$A$1004,MATCH(552,Firms!$R$5:$R$1004,0))&amp;"","")</f>
        <v/>
      </c>
      <c r="C556" s="59">
        <f>IFERROR(IF(INDEX(Firms!$O$5:$O$1004,MATCH(552,Firms!$R$5:$R$1004,0))="","",INDEX(Firms!$O$5:$O$1004,MATCH(552,Firms!$R$5:$R$1004,0))),"")</f>
        <v/>
      </c>
      <c r="D556" s="58">
        <f>IFERROR(INDEX(Firms!$P$5:$P$1004,MATCH(552,Firms!$R$5:$R$1004,0))&amp;"","")</f>
        <v/>
      </c>
      <c r="E556" s="58">
        <f>IFERROR(INDEX(Firms!$C$5:$C$1004,MATCH(552,Firms!$R$5:$R$1004,0))&amp;"","")</f>
        <v/>
      </c>
      <c r="F556" s="57">
        <f>IFERROR(INDEX(Firms!$L$5:$L$1004,MATCH(552,Firms!$R$5:$R$1004,0))&amp;"","")</f>
        <v/>
      </c>
      <c r="G556" s="57">
        <f>IFERROR(INDEX(Firms!$M$5:$M$1004,MATCH(552,Firms!$R$5:$R$1004,0))&amp;"","")</f>
        <v/>
      </c>
      <c r="H556" s="58">
        <f>IFERROR(INDEX(Firms!$Q$5:$Q$1004,MATCH(552,Firms!$R$5:$R$1004,0))&amp;"","")</f>
        <v/>
      </c>
    </row>
    <row r="557">
      <c r="A557" s="57">
        <f>IF(B557="","",553)</f>
        <v/>
      </c>
      <c r="B557" s="58">
        <f>IFERROR(INDEX(Firms!$A$5:$A$1004,MATCH(553,Firms!$R$5:$R$1004,0))&amp;"","")</f>
        <v/>
      </c>
      <c r="C557" s="59">
        <f>IFERROR(IF(INDEX(Firms!$O$5:$O$1004,MATCH(553,Firms!$R$5:$R$1004,0))="","",INDEX(Firms!$O$5:$O$1004,MATCH(553,Firms!$R$5:$R$1004,0))),"")</f>
        <v/>
      </c>
      <c r="D557" s="58">
        <f>IFERROR(INDEX(Firms!$P$5:$P$1004,MATCH(553,Firms!$R$5:$R$1004,0))&amp;"","")</f>
        <v/>
      </c>
      <c r="E557" s="58">
        <f>IFERROR(INDEX(Firms!$C$5:$C$1004,MATCH(553,Firms!$R$5:$R$1004,0))&amp;"","")</f>
        <v/>
      </c>
      <c r="F557" s="57">
        <f>IFERROR(INDEX(Firms!$L$5:$L$1004,MATCH(553,Firms!$R$5:$R$1004,0))&amp;"","")</f>
        <v/>
      </c>
      <c r="G557" s="57">
        <f>IFERROR(INDEX(Firms!$M$5:$M$1004,MATCH(553,Firms!$R$5:$R$1004,0))&amp;"","")</f>
        <v/>
      </c>
      <c r="H557" s="58">
        <f>IFERROR(INDEX(Firms!$Q$5:$Q$1004,MATCH(553,Firms!$R$5:$R$1004,0))&amp;"","")</f>
        <v/>
      </c>
    </row>
    <row r="558">
      <c r="A558" s="57">
        <f>IF(B558="","",554)</f>
        <v/>
      </c>
      <c r="B558" s="58">
        <f>IFERROR(INDEX(Firms!$A$5:$A$1004,MATCH(554,Firms!$R$5:$R$1004,0))&amp;"","")</f>
        <v/>
      </c>
      <c r="C558" s="59">
        <f>IFERROR(IF(INDEX(Firms!$O$5:$O$1004,MATCH(554,Firms!$R$5:$R$1004,0))="","",INDEX(Firms!$O$5:$O$1004,MATCH(554,Firms!$R$5:$R$1004,0))),"")</f>
        <v/>
      </c>
      <c r="D558" s="58">
        <f>IFERROR(INDEX(Firms!$P$5:$P$1004,MATCH(554,Firms!$R$5:$R$1004,0))&amp;"","")</f>
        <v/>
      </c>
      <c r="E558" s="58">
        <f>IFERROR(INDEX(Firms!$C$5:$C$1004,MATCH(554,Firms!$R$5:$R$1004,0))&amp;"","")</f>
        <v/>
      </c>
      <c r="F558" s="57">
        <f>IFERROR(INDEX(Firms!$L$5:$L$1004,MATCH(554,Firms!$R$5:$R$1004,0))&amp;"","")</f>
        <v/>
      </c>
      <c r="G558" s="57">
        <f>IFERROR(INDEX(Firms!$M$5:$M$1004,MATCH(554,Firms!$R$5:$R$1004,0))&amp;"","")</f>
        <v/>
      </c>
      <c r="H558" s="58">
        <f>IFERROR(INDEX(Firms!$Q$5:$Q$1004,MATCH(554,Firms!$R$5:$R$1004,0))&amp;"","")</f>
        <v/>
      </c>
    </row>
    <row r="559">
      <c r="A559" s="57">
        <f>IF(B559="","",555)</f>
        <v/>
      </c>
      <c r="B559" s="58">
        <f>IFERROR(INDEX(Firms!$A$5:$A$1004,MATCH(555,Firms!$R$5:$R$1004,0))&amp;"","")</f>
        <v/>
      </c>
      <c r="C559" s="59">
        <f>IFERROR(IF(INDEX(Firms!$O$5:$O$1004,MATCH(555,Firms!$R$5:$R$1004,0))="","",INDEX(Firms!$O$5:$O$1004,MATCH(555,Firms!$R$5:$R$1004,0))),"")</f>
        <v/>
      </c>
      <c r="D559" s="58">
        <f>IFERROR(INDEX(Firms!$P$5:$P$1004,MATCH(555,Firms!$R$5:$R$1004,0))&amp;"","")</f>
        <v/>
      </c>
      <c r="E559" s="58">
        <f>IFERROR(INDEX(Firms!$C$5:$C$1004,MATCH(555,Firms!$R$5:$R$1004,0))&amp;"","")</f>
        <v/>
      </c>
      <c r="F559" s="57">
        <f>IFERROR(INDEX(Firms!$L$5:$L$1004,MATCH(555,Firms!$R$5:$R$1004,0))&amp;"","")</f>
        <v/>
      </c>
      <c r="G559" s="57">
        <f>IFERROR(INDEX(Firms!$M$5:$M$1004,MATCH(555,Firms!$R$5:$R$1004,0))&amp;"","")</f>
        <v/>
      </c>
      <c r="H559" s="58">
        <f>IFERROR(INDEX(Firms!$Q$5:$Q$1004,MATCH(555,Firms!$R$5:$R$1004,0))&amp;"","")</f>
        <v/>
      </c>
    </row>
    <row r="560">
      <c r="A560" s="57">
        <f>IF(B560="","",556)</f>
        <v/>
      </c>
      <c r="B560" s="58">
        <f>IFERROR(INDEX(Firms!$A$5:$A$1004,MATCH(556,Firms!$R$5:$R$1004,0))&amp;"","")</f>
        <v/>
      </c>
      <c r="C560" s="59">
        <f>IFERROR(IF(INDEX(Firms!$O$5:$O$1004,MATCH(556,Firms!$R$5:$R$1004,0))="","",INDEX(Firms!$O$5:$O$1004,MATCH(556,Firms!$R$5:$R$1004,0))),"")</f>
        <v/>
      </c>
      <c r="D560" s="58">
        <f>IFERROR(INDEX(Firms!$P$5:$P$1004,MATCH(556,Firms!$R$5:$R$1004,0))&amp;"","")</f>
        <v/>
      </c>
      <c r="E560" s="58">
        <f>IFERROR(INDEX(Firms!$C$5:$C$1004,MATCH(556,Firms!$R$5:$R$1004,0))&amp;"","")</f>
        <v/>
      </c>
      <c r="F560" s="57">
        <f>IFERROR(INDEX(Firms!$L$5:$L$1004,MATCH(556,Firms!$R$5:$R$1004,0))&amp;"","")</f>
        <v/>
      </c>
      <c r="G560" s="57">
        <f>IFERROR(INDEX(Firms!$M$5:$M$1004,MATCH(556,Firms!$R$5:$R$1004,0))&amp;"","")</f>
        <v/>
      </c>
      <c r="H560" s="58">
        <f>IFERROR(INDEX(Firms!$Q$5:$Q$1004,MATCH(556,Firms!$R$5:$R$1004,0))&amp;"","")</f>
        <v/>
      </c>
    </row>
    <row r="561">
      <c r="A561" s="57">
        <f>IF(B561="","",557)</f>
        <v/>
      </c>
      <c r="B561" s="58">
        <f>IFERROR(INDEX(Firms!$A$5:$A$1004,MATCH(557,Firms!$R$5:$R$1004,0))&amp;"","")</f>
        <v/>
      </c>
      <c r="C561" s="59">
        <f>IFERROR(IF(INDEX(Firms!$O$5:$O$1004,MATCH(557,Firms!$R$5:$R$1004,0))="","",INDEX(Firms!$O$5:$O$1004,MATCH(557,Firms!$R$5:$R$1004,0))),"")</f>
        <v/>
      </c>
      <c r="D561" s="58">
        <f>IFERROR(INDEX(Firms!$P$5:$P$1004,MATCH(557,Firms!$R$5:$R$1004,0))&amp;"","")</f>
        <v/>
      </c>
      <c r="E561" s="58">
        <f>IFERROR(INDEX(Firms!$C$5:$C$1004,MATCH(557,Firms!$R$5:$R$1004,0))&amp;"","")</f>
        <v/>
      </c>
      <c r="F561" s="57">
        <f>IFERROR(INDEX(Firms!$L$5:$L$1004,MATCH(557,Firms!$R$5:$R$1004,0))&amp;"","")</f>
        <v/>
      </c>
      <c r="G561" s="57">
        <f>IFERROR(INDEX(Firms!$M$5:$M$1004,MATCH(557,Firms!$R$5:$R$1004,0))&amp;"","")</f>
        <v/>
      </c>
      <c r="H561" s="58">
        <f>IFERROR(INDEX(Firms!$Q$5:$Q$1004,MATCH(557,Firms!$R$5:$R$1004,0))&amp;"","")</f>
        <v/>
      </c>
    </row>
    <row r="562">
      <c r="A562" s="57">
        <f>IF(B562="","",558)</f>
        <v/>
      </c>
      <c r="B562" s="58">
        <f>IFERROR(INDEX(Firms!$A$5:$A$1004,MATCH(558,Firms!$R$5:$R$1004,0))&amp;"","")</f>
        <v/>
      </c>
      <c r="C562" s="59">
        <f>IFERROR(IF(INDEX(Firms!$O$5:$O$1004,MATCH(558,Firms!$R$5:$R$1004,0))="","",INDEX(Firms!$O$5:$O$1004,MATCH(558,Firms!$R$5:$R$1004,0))),"")</f>
        <v/>
      </c>
      <c r="D562" s="58">
        <f>IFERROR(INDEX(Firms!$P$5:$P$1004,MATCH(558,Firms!$R$5:$R$1004,0))&amp;"","")</f>
        <v/>
      </c>
      <c r="E562" s="58">
        <f>IFERROR(INDEX(Firms!$C$5:$C$1004,MATCH(558,Firms!$R$5:$R$1004,0))&amp;"","")</f>
        <v/>
      </c>
      <c r="F562" s="57">
        <f>IFERROR(INDEX(Firms!$L$5:$L$1004,MATCH(558,Firms!$R$5:$R$1004,0))&amp;"","")</f>
        <v/>
      </c>
      <c r="G562" s="57">
        <f>IFERROR(INDEX(Firms!$M$5:$M$1004,MATCH(558,Firms!$R$5:$R$1004,0))&amp;"","")</f>
        <v/>
      </c>
      <c r="H562" s="58">
        <f>IFERROR(INDEX(Firms!$Q$5:$Q$1004,MATCH(558,Firms!$R$5:$R$1004,0))&amp;"","")</f>
        <v/>
      </c>
    </row>
    <row r="563">
      <c r="A563" s="57">
        <f>IF(B563="","",559)</f>
        <v/>
      </c>
      <c r="B563" s="58">
        <f>IFERROR(INDEX(Firms!$A$5:$A$1004,MATCH(559,Firms!$R$5:$R$1004,0))&amp;"","")</f>
        <v/>
      </c>
      <c r="C563" s="59">
        <f>IFERROR(IF(INDEX(Firms!$O$5:$O$1004,MATCH(559,Firms!$R$5:$R$1004,0))="","",INDEX(Firms!$O$5:$O$1004,MATCH(559,Firms!$R$5:$R$1004,0))),"")</f>
        <v/>
      </c>
      <c r="D563" s="58">
        <f>IFERROR(INDEX(Firms!$P$5:$P$1004,MATCH(559,Firms!$R$5:$R$1004,0))&amp;"","")</f>
        <v/>
      </c>
      <c r="E563" s="58">
        <f>IFERROR(INDEX(Firms!$C$5:$C$1004,MATCH(559,Firms!$R$5:$R$1004,0))&amp;"","")</f>
        <v/>
      </c>
      <c r="F563" s="57">
        <f>IFERROR(INDEX(Firms!$L$5:$L$1004,MATCH(559,Firms!$R$5:$R$1004,0))&amp;"","")</f>
        <v/>
      </c>
      <c r="G563" s="57">
        <f>IFERROR(INDEX(Firms!$M$5:$M$1004,MATCH(559,Firms!$R$5:$R$1004,0))&amp;"","")</f>
        <v/>
      </c>
      <c r="H563" s="58">
        <f>IFERROR(INDEX(Firms!$Q$5:$Q$1004,MATCH(559,Firms!$R$5:$R$1004,0))&amp;"","")</f>
        <v/>
      </c>
    </row>
    <row r="564">
      <c r="A564" s="57">
        <f>IF(B564="","",560)</f>
        <v/>
      </c>
      <c r="B564" s="58">
        <f>IFERROR(INDEX(Firms!$A$5:$A$1004,MATCH(560,Firms!$R$5:$R$1004,0))&amp;"","")</f>
        <v/>
      </c>
      <c r="C564" s="59">
        <f>IFERROR(IF(INDEX(Firms!$O$5:$O$1004,MATCH(560,Firms!$R$5:$R$1004,0))="","",INDEX(Firms!$O$5:$O$1004,MATCH(560,Firms!$R$5:$R$1004,0))),"")</f>
        <v/>
      </c>
      <c r="D564" s="58">
        <f>IFERROR(INDEX(Firms!$P$5:$P$1004,MATCH(560,Firms!$R$5:$R$1004,0))&amp;"","")</f>
        <v/>
      </c>
      <c r="E564" s="58">
        <f>IFERROR(INDEX(Firms!$C$5:$C$1004,MATCH(560,Firms!$R$5:$R$1004,0))&amp;"","")</f>
        <v/>
      </c>
      <c r="F564" s="57">
        <f>IFERROR(INDEX(Firms!$L$5:$L$1004,MATCH(560,Firms!$R$5:$R$1004,0))&amp;"","")</f>
        <v/>
      </c>
      <c r="G564" s="57">
        <f>IFERROR(INDEX(Firms!$M$5:$M$1004,MATCH(560,Firms!$R$5:$R$1004,0))&amp;"","")</f>
        <v/>
      </c>
      <c r="H564" s="58">
        <f>IFERROR(INDEX(Firms!$Q$5:$Q$1004,MATCH(560,Firms!$R$5:$R$1004,0))&amp;"","")</f>
        <v/>
      </c>
    </row>
    <row r="565">
      <c r="A565" s="57">
        <f>IF(B565="","",561)</f>
        <v/>
      </c>
      <c r="B565" s="58">
        <f>IFERROR(INDEX(Firms!$A$5:$A$1004,MATCH(561,Firms!$R$5:$R$1004,0))&amp;"","")</f>
        <v/>
      </c>
      <c r="C565" s="59">
        <f>IFERROR(IF(INDEX(Firms!$O$5:$O$1004,MATCH(561,Firms!$R$5:$R$1004,0))="","",INDEX(Firms!$O$5:$O$1004,MATCH(561,Firms!$R$5:$R$1004,0))),"")</f>
        <v/>
      </c>
      <c r="D565" s="58">
        <f>IFERROR(INDEX(Firms!$P$5:$P$1004,MATCH(561,Firms!$R$5:$R$1004,0))&amp;"","")</f>
        <v/>
      </c>
      <c r="E565" s="58">
        <f>IFERROR(INDEX(Firms!$C$5:$C$1004,MATCH(561,Firms!$R$5:$R$1004,0))&amp;"","")</f>
        <v/>
      </c>
      <c r="F565" s="57">
        <f>IFERROR(INDEX(Firms!$L$5:$L$1004,MATCH(561,Firms!$R$5:$R$1004,0))&amp;"","")</f>
        <v/>
      </c>
      <c r="G565" s="57">
        <f>IFERROR(INDEX(Firms!$M$5:$M$1004,MATCH(561,Firms!$R$5:$R$1004,0))&amp;"","")</f>
        <v/>
      </c>
      <c r="H565" s="58">
        <f>IFERROR(INDEX(Firms!$Q$5:$Q$1004,MATCH(561,Firms!$R$5:$R$1004,0))&amp;"","")</f>
        <v/>
      </c>
    </row>
    <row r="566">
      <c r="A566" s="57">
        <f>IF(B566="","",562)</f>
        <v/>
      </c>
      <c r="B566" s="58">
        <f>IFERROR(INDEX(Firms!$A$5:$A$1004,MATCH(562,Firms!$R$5:$R$1004,0))&amp;"","")</f>
        <v/>
      </c>
      <c r="C566" s="59">
        <f>IFERROR(IF(INDEX(Firms!$O$5:$O$1004,MATCH(562,Firms!$R$5:$R$1004,0))="","",INDEX(Firms!$O$5:$O$1004,MATCH(562,Firms!$R$5:$R$1004,0))),"")</f>
        <v/>
      </c>
      <c r="D566" s="58">
        <f>IFERROR(INDEX(Firms!$P$5:$P$1004,MATCH(562,Firms!$R$5:$R$1004,0))&amp;"","")</f>
        <v/>
      </c>
      <c r="E566" s="58">
        <f>IFERROR(INDEX(Firms!$C$5:$C$1004,MATCH(562,Firms!$R$5:$R$1004,0))&amp;"","")</f>
        <v/>
      </c>
      <c r="F566" s="57">
        <f>IFERROR(INDEX(Firms!$L$5:$L$1004,MATCH(562,Firms!$R$5:$R$1004,0))&amp;"","")</f>
        <v/>
      </c>
      <c r="G566" s="57">
        <f>IFERROR(INDEX(Firms!$M$5:$M$1004,MATCH(562,Firms!$R$5:$R$1004,0))&amp;"","")</f>
        <v/>
      </c>
      <c r="H566" s="58">
        <f>IFERROR(INDEX(Firms!$Q$5:$Q$1004,MATCH(562,Firms!$R$5:$R$1004,0))&amp;"","")</f>
        <v/>
      </c>
    </row>
    <row r="567">
      <c r="A567" s="57">
        <f>IF(B567="","",563)</f>
        <v/>
      </c>
      <c r="B567" s="58">
        <f>IFERROR(INDEX(Firms!$A$5:$A$1004,MATCH(563,Firms!$R$5:$R$1004,0))&amp;"","")</f>
        <v/>
      </c>
      <c r="C567" s="59">
        <f>IFERROR(IF(INDEX(Firms!$O$5:$O$1004,MATCH(563,Firms!$R$5:$R$1004,0))="","",INDEX(Firms!$O$5:$O$1004,MATCH(563,Firms!$R$5:$R$1004,0))),"")</f>
        <v/>
      </c>
      <c r="D567" s="58">
        <f>IFERROR(INDEX(Firms!$P$5:$P$1004,MATCH(563,Firms!$R$5:$R$1004,0))&amp;"","")</f>
        <v/>
      </c>
      <c r="E567" s="58">
        <f>IFERROR(INDEX(Firms!$C$5:$C$1004,MATCH(563,Firms!$R$5:$R$1004,0))&amp;"","")</f>
        <v/>
      </c>
      <c r="F567" s="57">
        <f>IFERROR(INDEX(Firms!$L$5:$L$1004,MATCH(563,Firms!$R$5:$R$1004,0))&amp;"","")</f>
        <v/>
      </c>
      <c r="G567" s="57">
        <f>IFERROR(INDEX(Firms!$M$5:$M$1004,MATCH(563,Firms!$R$5:$R$1004,0))&amp;"","")</f>
        <v/>
      </c>
      <c r="H567" s="58">
        <f>IFERROR(INDEX(Firms!$Q$5:$Q$1004,MATCH(563,Firms!$R$5:$R$1004,0))&amp;"","")</f>
        <v/>
      </c>
    </row>
    <row r="568">
      <c r="A568" s="57">
        <f>IF(B568="","",564)</f>
        <v/>
      </c>
      <c r="B568" s="58">
        <f>IFERROR(INDEX(Firms!$A$5:$A$1004,MATCH(564,Firms!$R$5:$R$1004,0))&amp;"","")</f>
        <v/>
      </c>
      <c r="C568" s="59">
        <f>IFERROR(IF(INDEX(Firms!$O$5:$O$1004,MATCH(564,Firms!$R$5:$R$1004,0))="","",INDEX(Firms!$O$5:$O$1004,MATCH(564,Firms!$R$5:$R$1004,0))),"")</f>
        <v/>
      </c>
      <c r="D568" s="58">
        <f>IFERROR(INDEX(Firms!$P$5:$P$1004,MATCH(564,Firms!$R$5:$R$1004,0))&amp;"","")</f>
        <v/>
      </c>
      <c r="E568" s="58">
        <f>IFERROR(INDEX(Firms!$C$5:$C$1004,MATCH(564,Firms!$R$5:$R$1004,0))&amp;"","")</f>
        <v/>
      </c>
      <c r="F568" s="57">
        <f>IFERROR(INDEX(Firms!$L$5:$L$1004,MATCH(564,Firms!$R$5:$R$1004,0))&amp;"","")</f>
        <v/>
      </c>
      <c r="G568" s="57">
        <f>IFERROR(INDEX(Firms!$M$5:$M$1004,MATCH(564,Firms!$R$5:$R$1004,0))&amp;"","")</f>
        <v/>
      </c>
      <c r="H568" s="58">
        <f>IFERROR(INDEX(Firms!$Q$5:$Q$1004,MATCH(564,Firms!$R$5:$R$1004,0))&amp;"","")</f>
        <v/>
      </c>
    </row>
    <row r="569">
      <c r="A569" s="57">
        <f>IF(B569="","",565)</f>
        <v/>
      </c>
      <c r="B569" s="58">
        <f>IFERROR(INDEX(Firms!$A$5:$A$1004,MATCH(565,Firms!$R$5:$R$1004,0))&amp;"","")</f>
        <v/>
      </c>
      <c r="C569" s="59">
        <f>IFERROR(IF(INDEX(Firms!$O$5:$O$1004,MATCH(565,Firms!$R$5:$R$1004,0))="","",INDEX(Firms!$O$5:$O$1004,MATCH(565,Firms!$R$5:$R$1004,0))),"")</f>
        <v/>
      </c>
      <c r="D569" s="58">
        <f>IFERROR(INDEX(Firms!$P$5:$P$1004,MATCH(565,Firms!$R$5:$R$1004,0))&amp;"","")</f>
        <v/>
      </c>
      <c r="E569" s="58">
        <f>IFERROR(INDEX(Firms!$C$5:$C$1004,MATCH(565,Firms!$R$5:$R$1004,0))&amp;"","")</f>
        <v/>
      </c>
      <c r="F569" s="57">
        <f>IFERROR(INDEX(Firms!$L$5:$L$1004,MATCH(565,Firms!$R$5:$R$1004,0))&amp;"","")</f>
        <v/>
      </c>
      <c r="G569" s="57">
        <f>IFERROR(INDEX(Firms!$M$5:$M$1004,MATCH(565,Firms!$R$5:$R$1004,0))&amp;"","")</f>
        <v/>
      </c>
      <c r="H569" s="58">
        <f>IFERROR(INDEX(Firms!$Q$5:$Q$1004,MATCH(565,Firms!$R$5:$R$1004,0))&amp;"","")</f>
        <v/>
      </c>
    </row>
    <row r="570">
      <c r="A570" s="57">
        <f>IF(B570="","",566)</f>
        <v/>
      </c>
      <c r="B570" s="58">
        <f>IFERROR(INDEX(Firms!$A$5:$A$1004,MATCH(566,Firms!$R$5:$R$1004,0))&amp;"","")</f>
        <v/>
      </c>
      <c r="C570" s="59">
        <f>IFERROR(IF(INDEX(Firms!$O$5:$O$1004,MATCH(566,Firms!$R$5:$R$1004,0))="","",INDEX(Firms!$O$5:$O$1004,MATCH(566,Firms!$R$5:$R$1004,0))),"")</f>
        <v/>
      </c>
      <c r="D570" s="58">
        <f>IFERROR(INDEX(Firms!$P$5:$P$1004,MATCH(566,Firms!$R$5:$R$1004,0))&amp;"","")</f>
        <v/>
      </c>
      <c r="E570" s="58">
        <f>IFERROR(INDEX(Firms!$C$5:$C$1004,MATCH(566,Firms!$R$5:$R$1004,0))&amp;"","")</f>
        <v/>
      </c>
      <c r="F570" s="57">
        <f>IFERROR(INDEX(Firms!$L$5:$L$1004,MATCH(566,Firms!$R$5:$R$1004,0))&amp;"","")</f>
        <v/>
      </c>
      <c r="G570" s="57">
        <f>IFERROR(INDEX(Firms!$M$5:$M$1004,MATCH(566,Firms!$R$5:$R$1004,0))&amp;"","")</f>
        <v/>
      </c>
      <c r="H570" s="58">
        <f>IFERROR(INDEX(Firms!$Q$5:$Q$1004,MATCH(566,Firms!$R$5:$R$1004,0))&amp;"","")</f>
        <v/>
      </c>
    </row>
    <row r="571">
      <c r="A571" s="57">
        <f>IF(B571="","",567)</f>
        <v/>
      </c>
      <c r="B571" s="58">
        <f>IFERROR(INDEX(Firms!$A$5:$A$1004,MATCH(567,Firms!$R$5:$R$1004,0))&amp;"","")</f>
        <v/>
      </c>
      <c r="C571" s="59">
        <f>IFERROR(IF(INDEX(Firms!$O$5:$O$1004,MATCH(567,Firms!$R$5:$R$1004,0))="","",INDEX(Firms!$O$5:$O$1004,MATCH(567,Firms!$R$5:$R$1004,0))),"")</f>
        <v/>
      </c>
      <c r="D571" s="58">
        <f>IFERROR(INDEX(Firms!$P$5:$P$1004,MATCH(567,Firms!$R$5:$R$1004,0))&amp;"","")</f>
        <v/>
      </c>
      <c r="E571" s="58">
        <f>IFERROR(INDEX(Firms!$C$5:$C$1004,MATCH(567,Firms!$R$5:$R$1004,0))&amp;"","")</f>
        <v/>
      </c>
      <c r="F571" s="57">
        <f>IFERROR(INDEX(Firms!$L$5:$L$1004,MATCH(567,Firms!$R$5:$R$1004,0))&amp;"","")</f>
        <v/>
      </c>
      <c r="G571" s="57">
        <f>IFERROR(INDEX(Firms!$M$5:$M$1004,MATCH(567,Firms!$R$5:$R$1004,0))&amp;"","")</f>
        <v/>
      </c>
      <c r="H571" s="58">
        <f>IFERROR(INDEX(Firms!$Q$5:$Q$1004,MATCH(567,Firms!$R$5:$R$1004,0))&amp;"","")</f>
        <v/>
      </c>
    </row>
    <row r="572">
      <c r="A572" s="57">
        <f>IF(B572="","",568)</f>
        <v/>
      </c>
      <c r="B572" s="58">
        <f>IFERROR(INDEX(Firms!$A$5:$A$1004,MATCH(568,Firms!$R$5:$R$1004,0))&amp;"","")</f>
        <v/>
      </c>
      <c r="C572" s="59">
        <f>IFERROR(IF(INDEX(Firms!$O$5:$O$1004,MATCH(568,Firms!$R$5:$R$1004,0))="","",INDEX(Firms!$O$5:$O$1004,MATCH(568,Firms!$R$5:$R$1004,0))),"")</f>
        <v/>
      </c>
      <c r="D572" s="58">
        <f>IFERROR(INDEX(Firms!$P$5:$P$1004,MATCH(568,Firms!$R$5:$R$1004,0))&amp;"","")</f>
        <v/>
      </c>
      <c r="E572" s="58">
        <f>IFERROR(INDEX(Firms!$C$5:$C$1004,MATCH(568,Firms!$R$5:$R$1004,0))&amp;"","")</f>
        <v/>
      </c>
      <c r="F572" s="57">
        <f>IFERROR(INDEX(Firms!$L$5:$L$1004,MATCH(568,Firms!$R$5:$R$1004,0))&amp;"","")</f>
        <v/>
      </c>
      <c r="G572" s="57">
        <f>IFERROR(INDEX(Firms!$M$5:$M$1004,MATCH(568,Firms!$R$5:$R$1004,0))&amp;"","")</f>
        <v/>
      </c>
      <c r="H572" s="58">
        <f>IFERROR(INDEX(Firms!$Q$5:$Q$1004,MATCH(568,Firms!$R$5:$R$1004,0))&amp;"","")</f>
        <v/>
      </c>
    </row>
    <row r="573">
      <c r="A573" s="57">
        <f>IF(B573="","",569)</f>
        <v/>
      </c>
      <c r="B573" s="58">
        <f>IFERROR(INDEX(Firms!$A$5:$A$1004,MATCH(569,Firms!$R$5:$R$1004,0))&amp;"","")</f>
        <v/>
      </c>
      <c r="C573" s="59">
        <f>IFERROR(IF(INDEX(Firms!$O$5:$O$1004,MATCH(569,Firms!$R$5:$R$1004,0))="","",INDEX(Firms!$O$5:$O$1004,MATCH(569,Firms!$R$5:$R$1004,0))),"")</f>
        <v/>
      </c>
      <c r="D573" s="58">
        <f>IFERROR(INDEX(Firms!$P$5:$P$1004,MATCH(569,Firms!$R$5:$R$1004,0))&amp;"","")</f>
        <v/>
      </c>
      <c r="E573" s="58">
        <f>IFERROR(INDEX(Firms!$C$5:$C$1004,MATCH(569,Firms!$R$5:$R$1004,0))&amp;"","")</f>
        <v/>
      </c>
      <c r="F573" s="57">
        <f>IFERROR(INDEX(Firms!$L$5:$L$1004,MATCH(569,Firms!$R$5:$R$1004,0))&amp;"","")</f>
        <v/>
      </c>
      <c r="G573" s="57">
        <f>IFERROR(INDEX(Firms!$M$5:$M$1004,MATCH(569,Firms!$R$5:$R$1004,0))&amp;"","")</f>
        <v/>
      </c>
      <c r="H573" s="58">
        <f>IFERROR(INDEX(Firms!$Q$5:$Q$1004,MATCH(569,Firms!$R$5:$R$1004,0))&amp;"","")</f>
        <v/>
      </c>
    </row>
    <row r="574">
      <c r="A574" s="57">
        <f>IF(B574="","",570)</f>
        <v/>
      </c>
      <c r="B574" s="58">
        <f>IFERROR(INDEX(Firms!$A$5:$A$1004,MATCH(570,Firms!$R$5:$R$1004,0))&amp;"","")</f>
        <v/>
      </c>
      <c r="C574" s="59">
        <f>IFERROR(IF(INDEX(Firms!$O$5:$O$1004,MATCH(570,Firms!$R$5:$R$1004,0))="","",INDEX(Firms!$O$5:$O$1004,MATCH(570,Firms!$R$5:$R$1004,0))),"")</f>
        <v/>
      </c>
      <c r="D574" s="58">
        <f>IFERROR(INDEX(Firms!$P$5:$P$1004,MATCH(570,Firms!$R$5:$R$1004,0))&amp;"","")</f>
        <v/>
      </c>
      <c r="E574" s="58">
        <f>IFERROR(INDEX(Firms!$C$5:$C$1004,MATCH(570,Firms!$R$5:$R$1004,0))&amp;"","")</f>
        <v/>
      </c>
      <c r="F574" s="57">
        <f>IFERROR(INDEX(Firms!$L$5:$L$1004,MATCH(570,Firms!$R$5:$R$1004,0))&amp;"","")</f>
        <v/>
      </c>
      <c r="G574" s="57">
        <f>IFERROR(INDEX(Firms!$M$5:$M$1004,MATCH(570,Firms!$R$5:$R$1004,0))&amp;"","")</f>
        <v/>
      </c>
      <c r="H574" s="58">
        <f>IFERROR(INDEX(Firms!$Q$5:$Q$1004,MATCH(570,Firms!$R$5:$R$1004,0))&amp;"","")</f>
        <v/>
      </c>
    </row>
    <row r="575">
      <c r="A575" s="57">
        <f>IF(B575="","",571)</f>
        <v/>
      </c>
      <c r="B575" s="58">
        <f>IFERROR(INDEX(Firms!$A$5:$A$1004,MATCH(571,Firms!$R$5:$R$1004,0))&amp;"","")</f>
        <v/>
      </c>
      <c r="C575" s="59">
        <f>IFERROR(IF(INDEX(Firms!$O$5:$O$1004,MATCH(571,Firms!$R$5:$R$1004,0))="","",INDEX(Firms!$O$5:$O$1004,MATCH(571,Firms!$R$5:$R$1004,0))),"")</f>
        <v/>
      </c>
      <c r="D575" s="58">
        <f>IFERROR(INDEX(Firms!$P$5:$P$1004,MATCH(571,Firms!$R$5:$R$1004,0))&amp;"","")</f>
        <v/>
      </c>
      <c r="E575" s="58">
        <f>IFERROR(INDEX(Firms!$C$5:$C$1004,MATCH(571,Firms!$R$5:$R$1004,0))&amp;"","")</f>
        <v/>
      </c>
      <c r="F575" s="57">
        <f>IFERROR(INDEX(Firms!$L$5:$L$1004,MATCH(571,Firms!$R$5:$R$1004,0))&amp;"","")</f>
        <v/>
      </c>
      <c r="G575" s="57">
        <f>IFERROR(INDEX(Firms!$M$5:$M$1004,MATCH(571,Firms!$R$5:$R$1004,0))&amp;"","")</f>
        <v/>
      </c>
      <c r="H575" s="58">
        <f>IFERROR(INDEX(Firms!$Q$5:$Q$1004,MATCH(571,Firms!$R$5:$R$1004,0))&amp;"","")</f>
        <v/>
      </c>
    </row>
    <row r="576">
      <c r="A576" s="57">
        <f>IF(B576="","",572)</f>
        <v/>
      </c>
      <c r="B576" s="58">
        <f>IFERROR(INDEX(Firms!$A$5:$A$1004,MATCH(572,Firms!$R$5:$R$1004,0))&amp;"","")</f>
        <v/>
      </c>
      <c r="C576" s="59">
        <f>IFERROR(IF(INDEX(Firms!$O$5:$O$1004,MATCH(572,Firms!$R$5:$R$1004,0))="","",INDEX(Firms!$O$5:$O$1004,MATCH(572,Firms!$R$5:$R$1004,0))),"")</f>
        <v/>
      </c>
      <c r="D576" s="58">
        <f>IFERROR(INDEX(Firms!$P$5:$P$1004,MATCH(572,Firms!$R$5:$R$1004,0))&amp;"","")</f>
        <v/>
      </c>
      <c r="E576" s="58">
        <f>IFERROR(INDEX(Firms!$C$5:$C$1004,MATCH(572,Firms!$R$5:$R$1004,0))&amp;"","")</f>
        <v/>
      </c>
      <c r="F576" s="57">
        <f>IFERROR(INDEX(Firms!$L$5:$L$1004,MATCH(572,Firms!$R$5:$R$1004,0))&amp;"","")</f>
        <v/>
      </c>
      <c r="G576" s="57">
        <f>IFERROR(INDEX(Firms!$M$5:$M$1004,MATCH(572,Firms!$R$5:$R$1004,0))&amp;"","")</f>
        <v/>
      </c>
      <c r="H576" s="58">
        <f>IFERROR(INDEX(Firms!$Q$5:$Q$1004,MATCH(572,Firms!$R$5:$R$1004,0))&amp;"","")</f>
        <v/>
      </c>
    </row>
    <row r="577">
      <c r="A577" s="57">
        <f>IF(B577="","",573)</f>
        <v/>
      </c>
      <c r="B577" s="58">
        <f>IFERROR(INDEX(Firms!$A$5:$A$1004,MATCH(573,Firms!$R$5:$R$1004,0))&amp;"","")</f>
        <v/>
      </c>
      <c r="C577" s="59">
        <f>IFERROR(IF(INDEX(Firms!$O$5:$O$1004,MATCH(573,Firms!$R$5:$R$1004,0))="","",INDEX(Firms!$O$5:$O$1004,MATCH(573,Firms!$R$5:$R$1004,0))),"")</f>
        <v/>
      </c>
      <c r="D577" s="58">
        <f>IFERROR(INDEX(Firms!$P$5:$P$1004,MATCH(573,Firms!$R$5:$R$1004,0))&amp;"","")</f>
        <v/>
      </c>
      <c r="E577" s="58">
        <f>IFERROR(INDEX(Firms!$C$5:$C$1004,MATCH(573,Firms!$R$5:$R$1004,0))&amp;"","")</f>
        <v/>
      </c>
      <c r="F577" s="57">
        <f>IFERROR(INDEX(Firms!$L$5:$L$1004,MATCH(573,Firms!$R$5:$R$1004,0))&amp;"","")</f>
        <v/>
      </c>
      <c r="G577" s="57">
        <f>IFERROR(INDEX(Firms!$M$5:$M$1004,MATCH(573,Firms!$R$5:$R$1004,0))&amp;"","")</f>
        <v/>
      </c>
      <c r="H577" s="58">
        <f>IFERROR(INDEX(Firms!$Q$5:$Q$1004,MATCH(573,Firms!$R$5:$R$1004,0))&amp;"","")</f>
        <v/>
      </c>
    </row>
    <row r="578">
      <c r="A578" s="57">
        <f>IF(B578="","",574)</f>
        <v/>
      </c>
      <c r="B578" s="58">
        <f>IFERROR(INDEX(Firms!$A$5:$A$1004,MATCH(574,Firms!$R$5:$R$1004,0))&amp;"","")</f>
        <v/>
      </c>
      <c r="C578" s="59">
        <f>IFERROR(IF(INDEX(Firms!$O$5:$O$1004,MATCH(574,Firms!$R$5:$R$1004,0))="","",INDEX(Firms!$O$5:$O$1004,MATCH(574,Firms!$R$5:$R$1004,0))),"")</f>
        <v/>
      </c>
      <c r="D578" s="58">
        <f>IFERROR(INDEX(Firms!$P$5:$P$1004,MATCH(574,Firms!$R$5:$R$1004,0))&amp;"","")</f>
        <v/>
      </c>
      <c r="E578" s="58">
        <f>IFERROR(INDEX(Firms!$C$5:$C$1004,MATCH(574,Firms!$R$5:$R$1004,0))&amp;"","")</f>
        <v/>
      </c>
      <c r="F578" s="57">
        <f>IFERROR(INDEX(Firms!$L$5:$L$1004,MATCH(574,Firms!$R$5:$R$1004,0))&amp;"","")</f>
        <v/>
      </c>
      <c r="G578" s="57">
        <f>IFERROR(INDEX(Firms!$M$5:$M$1004,MATCH(574,Firms!$R$5:$R$1004,0))&amp;"","")</f>
        <v/>
      </c>
      <c r="H578" s="58">
        <f>IFERROR(INDEX(Firms!$Q$5:$Q$1004,MATCH(574,Firms!$R$5:$R$1004,0))&amp;"","")</f>
        <v/>
      </c>
    </row>
    <row r="579">
      <c r="A579" s="57">
        <f>IF(B579="","",575)</f>
        <v/>
      </c>
      <c r="B579" s="58">
        <f>IFERROR(INDEX(Firms!$A$5:$A$1004,MATCH(575,Firms!$R$5:$R$1004,0))&amp;"","")</f>
        <v/>
      </c>
      <c r="C579" s="59">
        <f>IFERROR(IF(INDEX(Firms!$O$5:$O$1004,MATCH(575,Firms!$R$5:$R$1004,0))="","",INDEX(Firms!$O$5:$O$1004,MATCH(575,Firms!$R$5:$R$1004,0))),"")</f>
        <v/>
      </c>
      <c r="D579" s="58">
        <f>IFERROR(INDEX(Firms!$P$5:$P$1004,MATCH(575,Firms!$R$5:$R$1004,0))&amp;"","")</f>
        <v/>
      </c>
      <c r="E579" s="58">
        <f>IFERROR(INDEX(Firms!$C$5:$C$1004,MATCH(575,Firms!$R$5:$R$1004,0))&amp;"","")</f>
        <v/>
      </c>
      <c r="F579" s="57">
        <f>IFERROR(INDEX(Firms!$L$5:$L$1004,MATCH(575,Firms!$R$5:$R$1004,0))&amp;"","")</f>
        <v/>
      </c>
      <c r="G579" s="57">
        <f>IFERROR(INDEX(Firms!$M$5:$M$1004,MATCH(575,Firms!$R$5:$R$1004,0))&amp;"","")</f>
        <v/>
      </c>
      <c r="H579" s="58">
        <f>IFERROR(INDEX(Firms!$Q$5:$Q$1004,MATCH(575,Firms!$R$5:$R$1004,0))&amp;"","")</f>
        <v/>
      </c>
    </row>
    <row r="580">
      <c r="A580" s="57">
        <f>IF(B580="","",576)</f>
        <v/>
      </c>
      <c r="B580" s="58">
        <f>IFERROR(INDEX(Firms!$A$5:$A$1004,MATCH(576,Firms!$R$5:$R$1004,0))&amp;"","")</f>
        <v/>
      </c>
      <c r="C580" s="59">
        <f>IFERROR(IF(INDEX(Firms!$O$5:$O$1004,MATCH(576,Firms!$R$5:$R$1004,0))="","",INDEX(Firms!$O$5:$O$1004,MATCH(576,Firms!$R$5:$R$1004,0))),"")</f>
        <v/>
      </c>
      <c r="D580" s="58">
        <f>IFERROR(INDEX(Firms!$P$5:$P$1004,MATCH(576,Firms!$R$5:$R$1004,0))&amp;"","")</f>
        <v/>
      </c>
      <c r="E580" s="58">
        <f>IFERROR(INDEX(Firms!$C$5:$C$1004,MATCH(576,Firms!$R$5:$R$1004,0))&amp;"","")</f>
        <v/>
      </c>
      <c r="F580" s="57">
        <f>IFERROR(INDEX(Firms!$L$5:$L$1004,MATCH(576,Firms!$R$5:$R$1004,0))&amp;"","")</f>
        <v/>
      </c>
      <c r="G580" s="57">
        <f>IFERROR(INDEX(Firms!$M$5:$M$1004,MATCH(576,Firms!$R$5:$R$1004,0))&amp;"","")</f>
        <v/>
      </c>
      <c r="H580" s="58">
        <f>IFERROR(INDEX(Firms!$Q$5:$Q$1004,MATCH(576,Firms!$R$5:$R$1004,0))&amp;"","")</f>
        <v/>
      </c>
    </row>
    <row r="581">
      <c r="A581" s="57">
        <f>IF(B581="","",577)</f>
        <v/>
      </c>
      <c r="B581" s="58">
        <f>IFERROR(INDEX(Firms!$A$5:$A$1004,MATCH(577,Firms!$R$5:$R$1004,0))&amp;"","")</f>
        <v/>
      </c>
      <c r="C581" s="59">
        <f>IFERROR(IF(INDEX(Firms!$O$5:$O$1004,MATCH(577,Firms!$R$5:$R$1004,0))="","",INDEX(Firms!$O$5:$O$1004,MATCH(577,Firms!$R$5:$R$1004,0))),"")</f>
        <v/>
      </c>
      <c r="D581" s="58">
        <f>IFERROR(INDEX(Firms!$P$5:$P$1004,MATCH(577,Firms!$R$5:$R$1004,0))&amp;"","")</f>
        <v/>
      </c>
      <c r="E581" s="58">
        <f>IFERROR(INDEX(Firms!$C$5:$C$1004,MATCH(577,Firms!$R$5:$R$1004,0))&amp;"","")</f>
        <v/>
      </c>
      <c r="F581" s="57">
        <f>IFERROR(INDEX(Firms!$L$5:$L$1004,MATCH(577,Firms!$R$5:$R$1004,0))&amp;"","")</f>
        <v/>
      </c>
      <c r="G581" s="57">
        <f>IFERROR(INDEX(Firms!$M$5:$M$1004,MATCH(577,Firms!$R$5:$R$1004,0))&amp;"","")</f>
        <v/>
      </c>
      <c r="H581" s="58">
        <f>IFERROR(INDEX(Firms!$Q$5:$Q$1004,MATCH(577,Firms!$R$5:$R$1004,0))&amp;"","")</f>
        <v/>
      </c>
    </row>
    <row r="582">
      <c r="A582" s="57">
        <f>IF(B582="","",578)</f>
        <v/>
      </c>
      <c r="B582" s="58">
        <f>IFERROR(INDEX(Firms!$A$5:$A$1004,MATCH(578,Firms!$R$5:$R$1004,0))&amp;"","")</f>
        <v/>
      </c>
      <c r="C582" s="59">
        <f>IFERROR(IF(INDEX(Firms!$O$5:$O$1004,MATCH(578,Firms!$R$5:$R$1004,0))="","",INDEX(Firms!$O$5:$O$1004,MATCH(578,Firms!$R$5:$R$1004,0))),"")</f>
        <v/>
      </c>
      <c r="D582" s="58">
        <f>IFERROR(INDEX(Firms!$P$5:$P$1004,MATCH(578,Firms!$R$5:$R$1004,0))&amp;"","")</f>
        <v/>
      </c>
      <c r="E582" s="58">
        <f>IFERROR(INDEX(Firms!$C$5:$C$1004,MATCH(578,Firms!$R$5:$R$1004,0))&amp;"","")</f>
        <v/>
      </c>
      <c r="F582" s="57">
        <f>IFERROR(INDEX(Firms!$L$5:$L$1004,MATCH(578,Firms!$R$5:$R$1004,0))&amp;"","")</f>
        <v/>
      </c>
      <c r="G582" s="57">
        <f>IFERROR(INDEX(Firms!$M$5:$M$1004,MATCH(578,Firms!$R$5:$R$1004,0))&amp;"","")</f>
        <v/>
      </c>
      <c r="H582" s="58">
        <f>IFERROR(INDEX(Firms!$Q$5:$Q$1004,MATCH(578,Firms!$R$5:$R$1004,0))&amp;"","")</f>
        <v/>
      </c>
    </row>
    <row r="583">
      <c r="A583" s="57">
        <f>IF(B583="","",579)</f>
        <v/>
      </c>
      <c r="B583" s="58">
        <f>IFERROR(INDEX(Firms!$A$5:$A$1004,MATCH(579,Firms!$R$5:$R$1004,0))&amp;"","")</f>
        <v/>
      </c>
      <c r="C583" s="59">
        <f>IFERROR(IF(INDEX(Firms!$O$5:$O$1004,MATCH(579,Firms!$R$5:$R$1004,0))="","",INDEX(Firms!$O$5:$O$1004,MATCH(579,Firms!$R$5:$R$1004,0))),"")</f>
        <v/>
      </c>
      <c r="D583" s="58">
        <f>IFERROR(INDEX(Firms!$P$5:$P$1004,MATCH(579,Firms!$R$5:$R$1004,0))&amp;"","")</f>
        <v/>
      </c>
      <c r="E583" s="58">
        <f>IFERROR(INDEX(Firms!$C$5:$C$1004,MATCH(579,Firms!$R$5:$R$1004,0))&amp;"","")</f>
        <v/>
      </c>
      <c r="F583" s="57">
        <f>IFERROR(INDEX(Firms!$L$5:$L$1004,MATCH(579,Firms!$R$5:$R$1004,0))&amp;"","")</f>
        <v/>
      </c>
      <c r="G583" s="57">
        <f>IFERROR(INDEX(Firms!$M$5:$M$1004,MATCH(579,Firms!$R$5:$R$1004,0))&amp;"","")</f>
        <v/>
      </c>
      <c r="H583" s="58">
        <f>IFERROR(INDEX(Firms!$Q$5:$Q$1004,MATCH(579,Firms!$R$5:$R$1004,0))&amp;"","")</f>
        <v/>
      </c>
    </row>
    <row r="584">
      <c r="A584" s="57">
        <f>IF(B584="","",580)</f>
        <v/>
      </c>
      <c r="B584" s="58">
        <f>IFERROR(INDEX(Firms!$A$5:$A$1004,MATCH(580,Firms!$R$5:$R$1004,0))&amp;"","")</f>
        <v/>
      </c>
      <c r="C584" s="59">
        <f>IFERROR(IF(INDEX(Firms!$O$5:$O$1004,MATCH(580,Firms!$R$5:$R$1004,0))="","",INDEX(Firms!$O$5:$O$1004,MATCH(580,Firms!$R$5:$R$1004,0))),"")</f>
        <v/>
      </c>
      <c r="D584" s="58">
        <f>IFERROR(INDEX(Firms!$P$5:$P$1004,MATCH(580,Firms!$R$5:$R$1004,0))&amp;"","")</f>
        <v/>
      </c>
      <c r="E584" s="58">
        <f>IFERROR(INDEX(Firms!$C$5:$C$1004,MATCH(580,Firms!$R$5:$R$1004,0))&amp;"","")</f>
        <v/>
      </c>
      <c r="F584" s="57">
        <f>IFERROR(INDEX(Firms!$L$5:$L$1004,MATCH(580,Firms!$R$5:$R$1004,0))&amp;"","")</f>
        <v/>
      </c>
      <c r="G584" s="57">
        <f>IFERROR(INDEX(Firms!$M$5:$M$1004,MATCH(580,Firms!$R$5:$R$1004,0))&amp;"","")</f>
        <v/>
      </c>
      <c r="H584" s="58">
        <f>IFERROR(INDEX(Firms!$Q$5:$Q$1004,MATCH(580,Firms!$R$5:$R$1004,0))&amp;"","")</f>
        <v/>
      </c>
    </row>
    <row r="585">
      <c r="A585" s="57">
        <f>IF(B585="","",581)</f>
        <v/>
      </c>
      <c r="B585" s="58">
        <f>IFERROR(INDEX(Firms!$A$5:$A$1004,MATCH(581,Firms!$R$5:$R$1004,0))&amp;"","")</f>
        <v/>
      </c>
      <c r="C585" s="59">
        <f>IFERROR(IF(INDEX(Firms!$O$5:$O$1004,MATCH(581,Firms!$R$5:$R$1004,0))="","",INDEX(Firms!$O$5:$O$1004,MATCH(581,Firms!$R$5:$R$1004,0))),"")</f>
        <v/>
      </c>
      <c r="D585" s="58">
        <f>IFERROR(INDEX(Firms!$P$5:$P$1004,MATCH(581,Firms!$R$5:$R$1004,0))&amp;"","")</f>
        <v/>
      </c>
      <c r="E585" s="58">
        <f>IFERROR(INDEX(Firms!$C$5:$C$1004,MATCH(581,Firms!$R$5:$R$1004,0))&amp;"","")</f>
        <v/>
      </c>
      <c r="F585" s="57">
        <f>IFERROR(INDEX(Firms!$L$5:$L$1004,MATCH(581,Firms!$R$5:$R$1004,0))&amp;"","")</f>
        <v/>
      </c>
      <c r="G585" s="57">
        <f>IFERROR(INDEX(Firms!$M$5:$M$1004,MATCH(581,Firms!$R$5:$R$1004,0))&amp;"","")</f>
        <v/>
      </c>
      <c r="H585" s="58">
        <f>IFERROR(INDEX(Firms!$Q$5:$Q$1004,MATCH(581,Firms!$R$5:$R$1004,0))&amp;"","")</f>
        <v/>
      </c>
    </row>
    <row r="586">
      <c r="A586" s="57">
        <f>IF(B586="","",582)</f>
        <v/>
      </c>
      <c r="B586" s="58">
        <f>IFERROR(INDEX(Firms!$A$5:$A$1004,MATCH(582,Firms!$R$5:$R$1004,0))&amp;"","")</f>
        <v/>
      </c>
      <c r="C586" s="59">
        <f>IFERROR(IF(INDEX(Firms!$O$5:$O$1004,MATCH(582,Firms!$R$5:$R$1004,0))="","",INDEX(Firms!$O$5:$O$1004,MATCH(582,Firms!$R$5:$R$1004,0))),"")</f>
        <v/>
      </c>
      <c r="D586" s="58">
        <f>IFERROR(INDEX(Firms!$P$5:$P$1004,MATCH(582,Firms!$R$5:$R$1004,0))&amp;"","")</f>
        <v/>
      </c>
      <c r="E586" s="58">
        <f>IFERROR(INDEX(Firms!$C$5:$C$1004,MATCH(582,Firms!$R$5:$R$1004,0))&amp;"","")</f>
        <v/>
      </c>
      <c r="F586" s="57">
        <f>IFERROR(INDEX(Firms!$L$5:$L$1004,MATCH(582,Firms!$R$5:$R$1004,0))&amp;"","")</f>
        <v/>
      </c>
      <c r="G586" s="57">
        <f>IFERROR(INDEX(Firms!$M$5:$M$1004,MATCH(582,Firms!$R$5:$R$1004,0))&amp;"","")</f>
        <v/>
      </c>
      <c r="H586" s="58">
        <f>IFERROR(INDEX(Firms!$Q$5:$Q$1004,MATCH(582,Firms!$R$5:$R$1004,0))&amp;"","")</f>
        <v/>
      </c>
    </row>
    <row r="587">
      <c r="A587" s="57">
        <f>IF(B587="","",583)</f>
        <v/>
      </c>
      <c r="B587" s="58">
        <f>IFERROR(INDEX(Firms!$A$5:$A$1004,MATCH(583,Firms!$R$5:$R$1004,0))&amp;"","")</f>
        <v/>
      </c>
      <c r="C587" s="59">
        <f>IFERROR(IF(INDEX(Firms!$O$5:$O$1004,MATCH(583,Firms!$R$5:$R$1004,0))="","",INDEX(Firms!$O$5:$O$1004,MATCH(583,Firms!$R$5:$R$1004,0))),"")</f>
        <v/>
      </c>
      <c r="D587" s="58">
        <f>IFERROR(INDEX(Firms!$P$5:$P$1004,MATCH(583,Firms!$R$5:$R$1004,0))&amp;"","")</f>
        <v/>
      </c>
      <c r="E587" s="58">
        <f>IFERROR(INDEX(Firms!$C$5:$C$1004,MATCH(583,Firms!$R$5:$R$1004,0))&amp;"","")</f>
        <v/>
      </c>
      <c r="F587" s="57">
        <f>IFERROR(INDEX(Firms!$L$5:$L$1004,MATCH(583,Firms!$R$5:$R$1004,0))&amp;"","")</f>
        <v/>
      </c>
      <c r="G587" s="57">
        <f>IFERROR(INDEX(Firms!$M$5:$M$1004,MATCH(583,Firms!$R$5:$R$1004,0))&amp;"","")</f>
        <v/>
      </c>
      <c r="H587" s="58">
        <f>IFERROR(INDEX(Firms!$Q$5:$Q$1004,MATCH(583,Firms!$R$5:$R$1004,0))&amp;"","")</f>
        <v/>
      </c>
    </row>
    <row r="588">
      <c r="A588" s="57">
        <f>IF(B588="","",584)</f>
        <v/>
      </c>
      <c r="B588" s="58">
        <f>IFERROR(INDEX(Firms!$A$5:$A$1004,MATCH(584,Firms!$R$5:$R$1004,0))&amp;"","")</f>
        <v/>
      </c>
      <c r="C588" s="59">
        <f>IFERROR(IF(INDEX(Firms!$O$5:$O$1004,MATCH(584,Firms!$R$5:$R$1004,0))="","",INDEX(Firms!$O$5:$O$1004,MATCH(584,Firms!$R$5:$R$1004,0))),"")</f>
        <v/>
      </c>
      <c r="D588" s="58">
        <f>IFERROR(INDEX(Firms!$P$5:$P$1004,MATCH(584,Firms!$R$5:$R$1004,0))&amp;"","")</f>
        <v/>
      </c>
      <c r="E588" s="58">
        <f>IFERROR(INDEX(Firms!$C$5:$C$1004,MATCH(584,Firms!$R$5:$R$1004,0))&amp;"","")</f>
        <v/>
      </c>
      <c r="F588" s="57">
        <f>IFERROR(INDEX(Firms!$L$5:$L$1004,MATCH(584,Firms!$R$5:$R$1004,0))&amp;"","")</f>
        <v/>
      </c>
      <c r="G588" s="57">
        <f>IFERROR(INDEX(Firms!$M$5:$M$1004,MATCH(584,Firms!$R$5:$R$1004,0))&amp;"","")</f>
        <v/>
      </c>
      <c r="H588" s="58">
        <f>IFERROR(INDEX(Firms!$Q$5:$Q$1004,MATCH(584,Firms!$R$5:$R$1004,0))&amp;"","")</f>
        <v/>
      </c>
    </row>
    <row r="589">
      <c r="A589" s="57">
        <f>IF(B589="","",585)</f>
        <v/>
      </c>
      <c r="B589" s="58">
        <f>IFERROR(INDEX(Firms!$A$5:$A$1004,MATCH(585,Firms!$R$5:$R$1004,0))&amp;"","")</f>
        <v/>
      </c>
      <c r="C589" s="59">
        <f>IFERROR(IF(INDEX(Firms!$O$5:$O$1004,MATCH(585,Firms!$R$5:$R$1004,0))="","",INDEX(Firms!$O$5:$O$1004,MATCH(585,Firms!$R$5:$R$1004,0))),"")</f>
        <v/>
      </c>
      <c r="D589" s="58">
        <f>IFERROR(INDEX(Firms!$P$5:$P$1004,MATCH(585,Firms!$R$5:$R$1004,0))&amp;"","")</f>
        <v/>
      </c>
      <c r="E589" s="58">
        <f>IFERROR(INDEX(Firms!$C$5:$C$1004,MATCH(585,Firms!$R$5:$R$1004,0))&amp;"","")</f>
        <v/>
      </c>
      <c r="F589" s="57">
        <f>IFERROR(INDEX(Firms!$L$5:$L$1004,MATCH(585,Firms!$R$5:$R$1004,0))&amp;"","")</f>
        <v/>
      </c>
      <c r="G589" s="57">
        <f>IFERROR(INDEX(Firms!$M$5:$M$1004,MATCH(585,Firms!$R$5:$R$1004,0))&amp;"","")</f>
        <v/>
      </c>
      <c r="H589" s="58">
        <f>IFERROR(INDEX(Firms!$Q$5:$Q$1004,MATCH(585,Firms!$R$5:$R$1004,0))&amp;"","")</f>
        <v/>
      </c>
    </row>
    <row r="590">
      <c r="A590" s="57">
        <f>IF(B590="","",586)</f>
        <v/>
      </c>
      <c r="B590" s="58">
        <f>IFERROR(INDEX(Firms!$A$5:$A$1004,MATCH(586,Firms!$R$5:$R$1004,0))&amp;"","")</f>
        <v/>
      </c>
      <c r="C590" s="59">
        <f>IFERROR(IF(INDEX(Firms!$O$5:$O$1004,MATCH(586,Firms!$R$5:$R$1004,0))="","",INDEX(Firms!$O$5:$O$1004,MATCH(586,Firms!$R$5:$R$1004,0))),"")</f>
        <v/>
      </c>
      <c r="D590" s="58">
        <f>IFERROR(INDEX(Firms!$P$5:$P$1004,MATCH(586,Firms!$R$5:$R$1004,0))&amp;"","")</f>
        <v/>
      </c>
      <c r="E590" s="58">
        <f>IFERROR(INDEX(Firms!$C$5:$C$1004,MATCH(586,Firms!$R$5:$R$1004,0))&amp;"","")</f>
        <v/>
      </c>
      <c r="F590" s="57">
        <f>IFERROR(INDEX(Firms!$L$5:$L$1004,MATCH(586,Firms!$R$5:$R$1004,0))&amp;"","")</f>
        <v/>
      </c>
      <c r="G590" s="57">
        <f>IFERROR(INDEX(Firms!$M$5:$M$1004,MATCH(586,Firms!$R$5:$R$1004,0))&amp;"","")</f>
        <v/>
      </c>
      <c r="H590" s="58">
        <f>IFERROR(INDEX(Firms!$Q$5:$Q$1004,MATCH(586,Firms!$R$5:$R$1004,0))&amp;"","")</f>
        <v/>
      </c>
    </row>
    <row r="591">
      <c r="A591" s="57">
        <f>IF(B591="","",587)</f>
        <v/>
      </c>
      <c r="B591" s="58">
        <f>IFERROR(INDEX(Firms!$A$5:$A$1004,MATCH(587,Firms!$R$5:$R$1004,0))&amp;"","")</f>
        <v/>
      </c>
      <c r="C591" s="59">
        <f>IFERROR(IF(INDEX(Firms!$O$5:$O$1004,MATCH(587,Firms!$R$5:$R$1004,0))="","",INDEX(Firms!$O$5:$O$1004,MATCH(587,Firms!$R$5:$R$1004,0))),"")</f>
        <v/>
      </c>
      <c r="D591" s="58">
        <f>IFERROR(INDEX(Firms!$P$5:$P$1004,MATCH(587,Firms!$R$5:$R$1004,0))&amp;"","")</f>
        <v/>
      </c>
      <c r="E591" s="58">
        <f>IFERROR(INDEX(Firms!$C$5:$C$1004,MATCH(587,Firms!$R$5:$R$1004,0))&amp;"","")</f>
        <v/>
      </c>
      <c r="F591" s="57">
        <f>IFERROR(INDEX(Firms!$L$5:$L$1004,MATCH(587,Firms!$R$5:$R$1004,0))&amp;"","")</f>
        <v/>
      </c>
      <c r="G591" s="57">
        <f>IFERROR(INDEX(Firms!$M$5:$M$1004,MATCH(587,Firms!$R$5:$R$1004,0))&amp;"","")</f>
        <v/>
      </c>
      <c r="H591" s="58">
        <f>IFERROR(INDEX(Firms!$Q$5:$Q$1004,MATCH(587,Firms!$R$5:$R$1004,0))&amp;"","")</f>
        <v/>
      </c>
    </row>
    <row r="592">
      <c r="A592" s="57">
        <f>IF(B592="","",588)</f>
        <v/>
      </c>
      <c r="B592" s="58">
        <f>IFERROR(INDEX(Firms!$A$5:$A$1004,MATCH(588,Firms!$R$5:$R$1004,0))&amp;"","")</f>
        <v/>
      </c>
      <c r="C592" s="59">
        <f>IFERROR(IF(INDEX(Firms!$O$5:$O$1004,MATCH(588,Firms!$R$5:$R$1004,0))="","",INDEX(Firms!$O$5:$O$1004,MATCH(588,Firms!$R$5:$R$1004,0))),"")</f>
        <v/>
      </c>
      <c r="D592" s="58">
        <f>IFERROR(INDEX(Firms!$P$5:$P$1004,MATCH(588,Firms!$R$5:$R$1004,0))&amp;"","")</f>
        <v/>
      </c>
      <c r="E592" s="58">
        <f>IFERROR(INDEX(Firms!$C$5:$C$1004,MATCH(588,Firms!$R$5:$R$1004,0))&amp;"","")</f>
        <v/>
      </c>
      <c r="F592" s="57">
        <f>IFERROR(INDEX(Firms!$L$5:$L$1004,MATCH(588,Firms!$R$5:$R$1004,0))&amp;"","")</f>
        <v/>
      </c>
      <c r="G592" s="57">
        <f>IFERROR(INDEX(Firms!$M$5:$M$1004,MATCH(588,Firms!$R$5:$R$1004,0))&amp;"","")</f>
        <v/>
      </c>
      <c r="H592" s="58">
        <f>IFERROR(INDEX(Firms!$Q$5:$Q$1004,MATCH(588,Firms!$R$5:$R$1004,0))&amp;"","")</f>
        <v/>
      </c>
    </row>
    <row r="593">
      <c r="A593" s="57">
        <f>IF(B593="","",589)</f>
        <v/>
      </c>
      <c r="B593" s="58">
        <f>IFERROR(INDEX(Firms!$A$5:$A$1004,MATCH(589,Firms!$R$5:$R$1004,0))&amp;"","")</f>
        <v/>
      </c>
      <c r="C593" s="59">
        <f>IFERROR(IF(INDEX(Firms!$O$5:$O$1004,MATCH(589,Firms!$R$5:$R$1004,0))="","",INDEX(Firms!$O$5:$O$1004,MATCH(589,Firms!$R$5:$R$1004,0))),"")</f>
        <v/>
      </c>
      <c r="D593" s="58">
        <f>IFERROR(INDEX(Firms!$P$5:$P$1004,MATCH(589,Firms!$R$5:$R$1004,0))&amp;"","")</f>
        <v/>
      </c>
      <c r="E593" s="58">
        <f>IFERROR(INDEX(Firms!$C$5:$C$1004,MATCH(589,Firms!$R$5:$R$1004,0))&amp;"","")</f>
        <v/>
      </c>
      <c r="F593" s="57">
        <f>IFERROR(INDEX(Firms!$L$5:$L$1004,MATCH(589,Firms!$R$5:$R$1004,0))&amp;"","")</f>
        <v/>
      </c>
      <c r="G593" s="57">
        <f>IFERROR(INDEX(Firms!$M$5:$M$1004,MATCH(589,Firms!$R$5:$R$1004,0))&amp;"","")</f>
        <v/>
      </c>
      <c r="H593" s="58">
        <f>IFERROR(INDEX(Firms!$Q$5:$Q$1004,MATCH(589,Firms!$R$5:$R$1004,0))&amp;"","")</f>
        <v/>
      </c>
    </row>
    <row r="594">
      <c r="A594" s="57">
        <f>IF(B594="","",590)</f>
        <v/>
      </c>
      <c r="B594" s="58">
        <f>IFERROR(INDEX(Firms!$A$5:$A$1004,MATCH(590,Firms!$R$5:$R$1004,0))&amp;"","")</f>
        <v/>
      </c>
      <c r="C594" s="59">
        <f>IFERROR(IF(INDEX(Firms!$O$5:$O$1004,MATCH(590,Firms!$R$5:$R$1004,0))="","",INDEX(Firms!$O$5:$O$1004,MATCH(590,Firms!$R$5:$R$1004,0))),"")</f>
        <v/>
      </c>
      <c r="D594" s="58">
        <f>IFERROR(INDEX(Firms!$P$5:$P$1004,MATCH(590,Firms!$R$5:$R$1004,0))&amp;"","")</f>
        <v/>
      </c>
      <c r="E594" s="58">
        <f>IFERROR(INDEX(Firms!$C$5:$C$1004,MATCH(590,Firms!$R$5:$R$1004,0))&amp;"","")</f>
        <v/>
      </c>
      <c r="F594" s="57">
        <f>IFERROR(INDEX(Firms!$L$5:$L$1004,MATCH(590,Firms!$R$5:$R$1004,0))&amp;"","")</f>
        <v/>
      </c>
      <c r="G594" s="57">
        <f>IFERROR(INDEX(Firms!$M$5:$M$1004,MATCH(590,Firms!$R$5:$R$1004,0))&amp;"","")</f>
        <v/>
      </c>
      <c r="H594" s="58">
        <f>IFERROR(INDEX(Firms!$Q$5:$Q$1004,MATCH(590,Firms!$R$5:$R$1004,0))&amp;"","")</f>
        <v/>
      </c>
    </row>
    <row r="595">
      <c r="A595" s="57">
        <f>IF(B595="","",591)</f>
        <v/>
      </c>
      <c r="B595" s="58">
        <f>IFERROR(INDEX(Firms!$A$5:$A$1004,MATCH(591,Firms!$R$5:$R$1004,0))&amp;"","")</f>
        <v/>
      </c>
      <c r="C595" s="59">
        <f>IFERROR(IF(INDEX(Firms!$O$5:$O$1004,MATCH(591,Firms!$R$5:$R$1004,0))="","",INDEX(Firms!$O$5:$O$1004,MATCH(591,Firms!$R$5:$R$1004,0))),"")</f>
        <v/>
      </c>
      <c r="D595" s="58">
        <f>IFERROR(INDEX(Firms!$P$5:$P$1004,MATCH(591,Firms!$R$5:$R$1004,0))&amp;"","")</f>
        <v/>
      </c>
      <c r="E595" s="58">
        <f>IFERROR(INDEX(Firms!$C$5:$C$1004,MATCH(591,Firms!$R$5:$R$1004,0))&amp;"","")</f>
        <v/>
      </c>
      <c r="F595" s="57">
        <f>IFERROR(INDEX(Firms!$L$5:$L$1004,MATCH(591,Firms!$R$5:$R$1004,0))&amp;"","")</f>
        <v/>
      </c>
      <c r="G595" s="57">
        <f>IFERROR(INDEX(Firms!$M$5:$M$1004,MATCH(591,Firms!$R$5:$R$1004,0))&amp;"","")</f>
        <v/>
      </c>
      <c r="H595" s="58">
        <f>IFERROR(INDEX(Firms!$Q$5:$Q$1004,MATCH(591,Firms!$R$5:$R$1004,0))&amp;"","")</f>
        <v/>
      </c>
    </row>
    <row r="596">
      <c r="A596" s="57">
        <f>IF(B596="","",592)</f>
        <v/>
      </c>
      <c r="B596" s="58">
        <f>IFERROR(INDEX(Firms!$A$5:$A$1004,MATCH(592,Firms!$R$5:$R$1004,0))&amp;"","")</f>
        <v/>
      </c>
      <c r="C596" s="59">
        <f>IFERROR(IF(INDEX(Firms!$O$5:$O$1004,MATCH(592,Firms!$R$5:$R$1004,0))="","",INDEX(Firms!$O$5:$O$1004,MATCH(592,Firms!$R$5:$R$1004,0))),"")</f>
        <v/>
      </c>
      <c r="D596" s="58">
        <f>IFERROR(INDEX(Firms!$P$5:$P$1004,MATCH(592,Firms!$R$5:$R$1004,0))&amp;"","")</f>
        <v/>
      </c>
      <c r="E596" s="58">
        <f>IFERROR(INDEX(Firms!$C$5:$C$1004,MATCH(592,Firms!$R$5:$R$1004,0))&amp;"","")</f>
        <v/>
      </c>
      <c r="F596" s="57">
        <f>IFERROR(INDEX(Firms!$L$5:$L$1004,MATCH(592,Firms!$R$5:$R$1004,0))&amp;"","")</f>
        <v/>
      </c>
      <c r="G596" s="57">
        <f>IFERROR(INDEX(Firms!$M$5:$M$1004,MATCH(592,Firms!$R$5:$R$1004,0))&amp;"","")</f>
        <v/>
      </c>
      <c r="H596" s="58">
        <f>IFERROR(INDEX(Firms!$Q$5:$Q$1004,MATCH(592,Firms!$R$5:$R$1004,0))&amp;"","")</f>
        <v/>
      </c>
    </row>
    <row r="597">
      <c r="A597" s="57">
        <f>IF(B597="","",593)</f>
        <v/>
      </c>
      <c r="B597" s="58">
        <f>IFERROR(INDEX(Firms!$A$5:$A$1004,MATCH(593,Firms!$R$5:$R$1004,0))&amp;"","")</f>
        <v/>
      </c>
      <c r="C597" s="59">
        <f>IFERROR(IF(INDEX(Firms!$O$5:$O$1004,MATCH(593,Firms!$R$5:$R$1004,0))="","",INDEX(Firms!$O$5:$O$1004,MATCH(593,Firms!$R$5:$R$1004,0))),"")</f>
        <v/>
      </c>
      <c r="D597" s="58">
        <f>IFERROR(INDEX(Firms!$P$5:$P$1004,MATCH(593,Firms!$R$5:$R$1004,0))&amp;"","")</f>
        <v/>
      </c>
      <c r="E597" s="58">
        <f>IFERROR(INDEX(Firms!$C$5:$C$1004,MATCH(593,Firms!$R$5:$R$1004,0))&amp;"","")</f>
        <v/>
      </c>
      <c r="F597" s="57">
        <f>IFERROR(INDEX(Firms!$L$5:$L$1004,MATCH(593,Firms!$R$5:$R$1004,0))&amp;"","")</f>
        <v/>
      </c>
      <c r="G597" s="57">
        <f>IFERROR(INDEX(Firms!$M$5:$M$1004,MATCH(593,Firms!$R$5:$R$1004,0))&amp;"","")</f>
        <v/>
      </c>
      <c r="H597" s="58">
        <f>IFERROR(INDEX(Firms!$Q$5:$Q$1004,MATCH(593,Firms!$R$5:$R$1004,0))&amp;"","")</f>
        <v/>
      </c>
    </row>
    <row r="598">
      <c r="A598" s="57">
        <f>IF(B598="","",594)</f>
        <v/>
      </c>
      <c r="B598" s="58">
        <f>IFERROR(INDEX(Firms!$A$5:$A$1004,MATCH(594,Firms!$R$5:$R$1004,0))&amp;"","")</f>
        <v/>
      </c>
      <c r="C598" s="59">
        <f>IFERROR(IF(INDEX(Firms!$O$5:$O$1004,MATCH(594,Firms!$R$5:$R$1004,0))="","",INDEX(Firms!$O$5:$O$1004,MATCH(594,Firms!$R$5:$R$1004,0))),"")</f>
        <v/>
      </c>
      <c r="D598" s="58">
        <f>IFERROR(INDEX(Firms!$P$5:$P$1004,MATCH(594,Firms!$R$5:$R$1004,0))&amp;"","")</f>
        <v/>
      </c>
      <c r="E598" s="58">
        <f>IFERROR(INDEX(Firms!$C$5:$C$1004,MATCH(594,Firms!$R$5:$R$1004,0))&amp;"","")</f>
        <v/>
      </c>
      <c r="F598" s="57">
        <f>IFERROR(INDEX(Firms!$L$5:$L$1004,MATCH(594,Firms!$R$5:$R$1004,0))&amp;"","")</f>
        <v/>
      </c>
      <c r="G598" s="57">
        <f>IFERROR(INDEX(Firms!$M$5:$M$1004,MATCH(594,Firms!$R$5:$R$1004,0))&amp;"","")</f>
        <v/>
      </c>
      <c r="H598" s="58">
        <f>IFERROR(INDEX(Firms!$Q$5:$Q$1004,MATCH(594,Firms!$R$5:$R$1004,0))&amp;"","")</f>
        <v/>
      </c>
    </row>
    <row r="599">
      <c r="A599" s="57">
        <f>IF(B599="","",595)</f>
        <v/>
      </c>
      <c r="B599" s="58">
        <f>IFERROR(INDEX(Firms!$A$5:$A$1004,MATCH(595,Firms!$R$5:$R$1004,0))&amp;"","")</f>
        <v/>
      </c>
      <c r="C599" s="59">
        <f>IFERROR(IF(INDEX(Firms!$O$5:$O$1004,MATCH(595,Firms!$R$5:$R$1004,0))="","",INDEX(Firms!$O$5:$O$1004,MATCH(595,Firms!$R$5:$R$1004,0))),"")</f>
        <v/>
      </c>
      <c r="D599" s="58">
        <f>IFERROR(INDEX(Firms!$P$5:$P$1004,MATCH(595,Firms!$R$5:$R$1004,0))&amp;"","")</f>
        <v/>
      </c>
      <c r="E599" s="58">
        <f>IFERROR(INDEX(Firms!$C$5:$C$1004,MATCH(595,Firms!$R$5:$R$1004,0))&amp;"","")</f>
        <v/>
      </c>
      <c r="F599" s="57">
        <f>IFERROR(INDEX(Firms!$L$5:$L$1004,MATCH(595,Firms!$R$5:$R$1004,0))&amp;"","")</f>
        <v/>
      </c>
      <c r="G599" s="57">
        <f>IFERROR(INDEX(Firms!$M$5:$M$1004,MATCH(595,Firms!$R$5:$R$1004,0))&amp;"","")</f>
        <v/>
      </c>
      <c r="H599" s="58">
        <f>IFERROR(INDEX(Firms!$Q$5:$Q$1004,MATCH(595,Firms!$R$5:$R$1004,0))&amp;"","")</f>
        <v/>
      </c>
    </row>
    <row r="600">
      <c r="A600" s="57">
        <f>IF(B600="","",596)</f>
        <v/>
      </c>
      <c r="B600" s="58">
        <f>IFERROR(INDEX(Firms!$A$5:$A$1004,MATCH(596,Firms!$R$5:$R$1004,0))&amp;"","")</f>
        <v/>
      </c>
      <c r="C600" s="59">
        <f>IFERROR(IF(INDEX(Firms!$O$5:$O$1004,MATCH(596,Firms!$R$5:$R$1004,0))="","",INDEX(Firms!$O$5:$O$1004,MATCH(596,Firms!$R$5:$R$1004,0))),"")</f>
        <v/>
      </c>
      <c r="D600" s="58">
        <f>IFERROR(INDEX(Firms!$P$5:$P$1004,MATCH(596,Firms!$R$5:$R$1004,0))&amp;"","")</f>
        <v/>
      </c>
      <c r="E600" s="58">
        <f>IFERROR(INDEX(Firms!$C$5:$C$1004,MATCH(596,Firms!$R$5:$R$1004,0))&amp;"","")</f>
        <v/>
      </c>
      <c r="F600" s="57">
        <f>IFERROR(INDEX(Firms!$L$5:$L$1004,MATCH(596,Firms!$R$5:$R$1004,0))&amp;"","")</f>
        <v/>
      </c>
      <c r="G600" s="57">
        <f>IFERROR(INDEX(Firms!$M$5:$M$1004,MATCH(596,Firms!$R$5:$R$1004,0))&amp;"","")</f>
        <v/>
      </c>
      <c r="H600" s="58">
        <f>IFERROR(INDEX(Firms!$Q$5:$Q$1004,MATCH(596,Firms!$R$5:$R$1004,0))&amp;"","")</f>
        <v/>
      </c>
    </row>
    <row r="601">
      <c r="A601" s="57">
        <f>IF(B601="","",597)</f>
        <v/>
      </c>
      <c r="B601" s="58">
        <f>IFERROR(INDEX(Firms!$A$5:$A$1004,MATCH(597,Firms!$R$5:$R$1004,0))&amp;"","")</f>
        <v/>
      </c>
      <c r="C601" s="59">
        <f>IFERROR(IF(INDEX(Firms!$O$5:$O$1004,MATCH(597,Firms!$R$5:$R$1004,0))="","",INDEX(Firms!$O$5:$O$1004,MATCH(597,Firms!$R$5:$R$1004,0))),"")</f>
        <v/>
      </c>
      <c r="D601" s="58">
        <f>IFERROR(INDEX(Firms!$P$5:$P$1004,MATCH(597,Firms!$R$5:$R$1004,0))&amp;"","")</f>
        <v/>
      </c>
      <c r="E601" s="58">
        <f>IFERROR(INDEX(Firms!$C$5:$C$1004,MATCH(597,Firms!$R$5:$R$1004,0))&amp;"","")</f>
        <v/>
      </c>
      <c r="F601" s="57">
        <f>IFERROR(INDEX(Firms!$L$5:$L$1004,MATCH(597,Firms!$R$5:$R$1004,0))&amp;"","")</f>
        <v/>
      </c>
      <c r="G601" s="57">
        <f>IFERROR(INDEX(Firms!$M$5:$M$1004,MATCH(597,Firms!$R$5:$R$1004,0))&amp;"","")</f>
        <v/>
      </c>
      <c r="H601" s="58">
        <f>IFERROR(INDEX(Firms!$Q$5:$Q$1004,MATCH(597,Firms!$R$5:$R$1004,0))&amp;"","")</f>
        <v/>
      </c>
    </row>
    <row r="602">
      <c r="A602" s="57">
        <f>IF(B602="","",598)</f>
        <v/>
      </c>
      <c r="B602" s="58">
        <f>IFERROR(INDEX(Firms!$A$5:$A$1004,MATCH(598,Firms!$R$5:$R$1004,0))&amp;"","")</f>
        <v/>
      </c>
      <c r="C602" s="59">
        <f>IFERROR(IF(INDEX(Firms!$O$5:$O$1004,MATCH(598,Firms!$R$5:$R$1004,0))="","",INDEX(Firms!$O$5:$O$1004,MATCH(598,Firms!$R$5:$R$1004,0))),"")</f>
        <v/>
      </c>
      <c r="D602" s="58">
        <f>IFERROR(INDEX(Firms!$P$5:$P$1004,MATCH(598,Firms!$R$5:$R$1004,0))&amp;"","")</f>
        <v/>
      </c>
      <c r="E602" s="58">
        <f>IFERROR(INDEX(Firms!$C$5:$C$1004,MATCH(598,Firms!$R$5:$R$1004,0))&amp;"","")</f>
        <v/>
      </c>
      <c r="F602" s="57">
        <f>IFERROR(INDEX(Firms!$L$5:$L$1004,MATCH(598,Firms!$R$5:$R$1004,0))&amp;"","")</f>
        <v/>
      </c>
      <c r="G602" s="57">
        <f>IFERROR(INDEX(Firms!$M$5:$M$1004,MATCH(598,Firms!$R$5:$R$1004,0))&amp;"","")</f>
        <v/>
      </c>
      <c r="H602" s="58">
        <f>IFERROR(INDEX(Firms!$Q$5:$Q$1004,MATCH(598,Firms!$R$5:$R$1004,0))&amp;"","")</f>
        <v/>
      </c>
    </row>
    <row r="603">
      <c r="A603" s="57">
        <f>IF(B603="","",599)</f>
        <v/>
      </c>
      <c r="B603" s="58">
        <f>IFERROR(INDEX(Firms!$A$5:$A$1004,MATCH(599,Firms!$R$5:$R$1004,0))&amp;"","")</f>
        <v/>
      </c>
      <c r="C603" s="59">
        <f>IFERROR(IF(INDEX(Firms!$O$5:$O$1004,MATCH(599,Firms!$R$5:$R$1004,0))="","",INDEX(Firms!$O$5:$O$1004,MATCH(599,Firms!$R$5:$R$1004,0))),"")</f>
        <v/>
      </c>
      <c r="D603" s="58">
        <f>IFERROR(INDEX(Firms!$P$5:$P$1004,MATCH(599,Firms!$R$5:$R$1004,0))&amp;"","")</f>
        <v/>
      </c>
      <c r="E603" s="58">
        <f>IFERROR(INDEX(Firms!$C$5:$C$1004,MATCH(599,Firms!$R$5:$R$1004,0))&amp;"","")</f>
        <v/>
      </c>
      <c r="F603" s="57">
        <f>IFERROR(INDEX(Firms!$L$5:$L$1004,MATCH(599,Firms!$R$5:$R$1004,0))&amp;"","")</f>
        <v/>
      </c>
      <c r="G603" s="57">
        <f>IFERROR(INDEX(Firms!$M$5:$M$1004,MATCH(599,Firms!$R$5:$R$1004,0))&amp;"","")</f>
        <v/>
      </c>
      <c r="H603" s="58">
        <f>IFERROR(INDEX(Firms!$Q$5:$Q$1004,MATCH(599,Firms!$R$5:$R$1004,0))&amp;"","")</f>
        <v/>
      </c>
    </row>
    <row r="604">
      <c r="A604" s="57">
        <f>IF(B604="","",600)</f>
        <v/>
      </c>
      <c r="B604" s="58">
        <f>IFERROR(INDEX(Firms!$A$5:$A$1004,MATCH(600,Firms!$R$5:$R$1004,0))&amp;"","")</f>
        <v/>
      </c>
      <c r="C604" s="59">
        <f>IFERROR(IF(INDEX(Firms!$O$5:$O$1004,MATCH(600,Firms!$R$5:$R$1004,0))="","",INDEX(Firms!$O$5:$O$1004,MATCH(600,Firms!$R$5:$R$1004,0))),"")</f>
        <v/>
      </c>
      <c r="D604" s="58">
        <f>IFERROR(INDEX(Firms!$P$5:$P$1004,MATCH(600,Firms!$R$5:$R$1004,0))&amp;"","")</f>
        <v/>
      </c>
      <c r="E604" s="58">
        <f>IFERROR(INDEX(Firms!$C$5:$C$1004,MATCH(600,Firms!$R$5:$R$1004,0))&amp;"","")</f>
        <v/>
      </c>
      <c r="F604" s="57">
        <f>IFERROR(INDEX(Firms!$L$5:$L$1004,MATCH(600,Firms!$R$5:$R$1004,0))&amp;"","")</f>
        <v/>
      </c>
      <c r="G604" s="57">
        <f>IFERROR(INDEX(Firms!$M$5:$M$1004,MATCH(600,Firms!$R$5:$R$1004,0))&amp;"","")</f>
        <v/>
      </c>
      <c r="H604" s="58">
        <f>IFERROR(INDEX(Firms!$Q$5:$Q$1004,MATCH(600,Firms!$R$5:$R$1004,0))&amp;"","")</f>
        <v/>
      </c>
    </row>
    <row r="605">
      <c r="A605" s="57">
        <f>IF(B605="","",601)</f>
        <v/>
      </c>
      <c r="B605" s="58">
        <f>IFERROR(INDEX(Firms!$A$5:$A$1004,MATCH(601,Firms!$R$5:$R$1004,0))&amp;"","")</f>
        <v/>
      </c>
      <c r="C605" s="59">
        <f>IFERROR(IF(INDEX(Firms!$O$5:$O$1004,MATCH(601,Firms!$R$5:$R$1004,0))="","",INDEX(Firms!$O$5:$O$1004,MATCH(601,Firms!$R$5:$R$1004,0))),"")</f>
        <v/>
      </c>
      <c r="D605" s="58">
        <f>IFERROR(INDEX(Firms!$P$5:$P$1004,MATCH(601,Firms!$R$5:$R$1004,0))&amp;"","")</f>
        <v/>
      </c>
      <c r="E605" s="58">
        <f>IFERROR(INDEX(Firms!$C$5:$C$1004,MATCH(601,Firms!$R$5:$R$1004,0))&amp;"","")</f>
        <v/>
      </c>
      <c r="F605" s="57">
        <f>IFERROR(INDEX(Firms!$L$5:$L$1004,MATCH(601,Firms!$R$5:$R$1004,0))&amp;"","")</f>
        <v/>
      </c>
      <c r="G605" s="57">
        <f>IFERROR(INDEX(Firms!$M$5:$M$1004,MATCH(601,Firms!$R$5:$R$1004,0))&amp;"","")</f>
        <v/>
      </c>
      <c r="H605" s="58">
        <f>IFERROR(INDEX(Firms!$Q$5:$Q$1004,MATCH(601,Firms!$R$5:$R$1004,0))&amp;"","")</f>
        <v/>
      </c>
    </row>
    <row r="606">
      <c r="A606" s="57">
        <f>IF(B606="","",602)</f>
        <v/>
      </c>
      <c r="B606" s="58">
        <f>IFERROR(INDEX(Firms!$A$5:$A$1004,MATCH(602,Firms!$R$5:$R$1004,0))&amp;"","")</f>
        <v/>
      </c>
      <c r="C606" s="59">
        <f>IFERROR(IF(INDEX(Firms!$O$5:$O$1004,MATCH(602,Firms!$R$5:$R$1004,0))="","",INDEX(Firms!$O$5:$O$1004,MATCH(602,Firms!$R$5:$R$1004,0))),"")</f>
        <v/>
      </c>
      <c r="D606" s="58">
        <f>IFERROR(INDEX(Firms!$P$5:$P$1004,MATCH(602,Firms!$R$5:$R$1004,0))&amp;"","")</f>
        <v/>
      </c>
      <c r="E606" s="58">
        <f>IFERROR(INDEX(Firms!$C$5:$C$1004,MATCH(602,Firms!$R$5:$R$1004,0))&amp;"","")</f>
        <v/>
      </c>
      <c r="F606" s="57">
        <f>IFERROR(INDEX(Firms!$L$5:$L$1004,MATCH(602,Firms!$R$5:$R$1004,0))&amp;"","")</f>
        <v/>
      </c>
      <c r="G606" s="57">
        <f>IFERROR(INDEX(Firms!$M$5:$M$1004,MATCH(602,Firms!$R$5:$R$1004,0))&amp;"","")</f>
        <v/>
      </c>
      <c r="H606" s="58">
        <f>IFERROR(INDEX(Firms!$Q$5:$Q$1004,MATCH(602,Firms!$R$5:$R$1004,0))&amp;"","")</f>
        <v/>
      </c>
    </row>
    <row r="607">
      <c r="A607" s="57">
        <f>IF(B607="","",603)</f>
        <v/>
      </c>
      <c r="B607" s="58">
        <f>IFERROR(INDEX(Firms!$A$5:$A$1004,MATCH(603,Firms!$R$5:$R$1004,0))&amp;"","")</f>
        <v/>
      </c>
      <c r="C607" s="59">
        <f>IFERROR(IF(INDEX(Firms!$O$5:$O$1004,MATCH(603,Firms!$R$5:$R$1004,0))="","",INDEX(Firms!$O$5:$O$1004,MATCH(603,Firms!$R$5:$R$1004,0))),"")</f>
        <v/>
      </c>
      <c r="D607" s="58">
        <f>IFERROR(INDEX(Firms!$P$5:$P$1004,MATCH(603,Firms!$R$5:$R$1004,0))&amp;"","")</f>
        <v/>
      </c>
      <c r="E607" s="58">
        <f>IFERROR(INDEX(Firms!$C$5:$C$1004,MATCH(603,Firms!$R$5:$R$1004,0))&amp;"","")</f>
        <v/>
      </c>
      <c r="F607" s="57">
        <f>IFERROR(INDEX(Firms!$L$5:$L$1004,MATCH(603,Firms!$R$5:$R$1004,0))&amp;"","")</f>
        <v/>
      </c>
      <c r="G607" s="57">
        <f>IFERROR(INDEX(Firms!$M$5:$M$1004,MATCH(603,Firms!$R$5:$R$1004,0))&amp;"","")</f>
        <v/>
      </c>
      <c r="H607" s="58">
        <f>IFERROR(INDEX(Firms!$Q$5:$Q$1004,MATCH(603,Firms!$R$5:$R$1004,0))&amp;"","")</f>
        <v/>
      </c>
    </row>
    <row r="608">
      <c r="A608" s="57">
        <f>IF(B608="","",604)</f>
        <v/>
      </c>
      <c r="B608" s="58">
        <f>IFERROR(INDEX(Firms!$A$5:$A$1004,MATCH(604,Firms!$R$5:$R$1004,0))&amp;"","")</f>
        <v/>
      </c>
      <c r="C608" s="59">
        <f>IFERROR(IF(INDEX(Firms!$O$5:$O$1004,MATCH(604,Firms!$R$5:$R$1004,0))="","",INDEX(Firms!$O$5:$O$1004,MATCH(604,Firms!$R$5:$R$1004,0))),"")</f>
        <v/>
      </c>
      <c r="D608" s="58">
        <f>IFERROR(INDEX(Firms!$P$5:$P$1004,MATCH(604,Firms!$R$5:$R$1004,0))&amp;"","")</f>
        <v/>
      </c>
      <c r="E608" s="58">
        <f>IFERROR(INDEX(Firms!$C$5:$C$1004,MATCH(604,Firms!$R$5:$R$1004,0))&amp;"","")</f>
        <v/>
      </c>
      <c r="F608" s="57">
        <f>IFERROR(INDEX(Firms!$L$5:$L$1004,MATCH(604,Firms!$R$5:$R$1004,0))&amp;"","")</f>
        <v/>
      </c>
      <c r="G608" s="57">
        <f>IFERROR(INDEX(Firms!$M$5:$M$1004,MATCH(604,Firms!$R$5:$R$1004,0))&amp;"","")</f>
        <v/>
      </c>
      <c r="H608" s="58">
        <f>IFERROR(INDEX(Firms!$Q$5:$Q$1004,MATCH(604,Firms!$R$5:$R$1004,0))&amp;"","")</f>
        <v/>
      </c>
    </row>
    <row r="609">
      <c r="A609" s="57">
        <f>IF(B609="","",605)</f>
        <v/>
      </c>
      <c r="B609" s="58">
        <f>IFERROR(INDEX(Firms!$A$5:$A$1004,MATCH(605,Firms!$R$5:$R$1004,0))&amp;"","")</f>
        <v/>
      </c>
      <c r="C609" s="59">
        <f>IFERROR(IF(INDEX(Firms!$O$5:$O$1004,MATCH(605,Firms!$R$5:$R$1004,0))="","",INDEX(Firms!$O$5:$O$1004,MATCH(605,Firms!$R$5:$R$1004,0))),"")</f>
        <v/>
      </c>
      <c r="D609" s="58">
        <f>IFERROR(INDEX(Firms!$P$5:$P$1004,MATCH(605,Firms!$R$5:$R$1004,0))&amp;"","")</f>
        <v/>
      </c>
      <c r="E609" s="58">
        <f>IFERROR(INDEX(Firms!$C$5:$C$1004,MATCH(605,Firms!$R$5:$R$1004,0))&amp;"","")</f>
        <v/>
      </c>
      <c r="F609" s="57">
        <f>IFERROR(INDEX(Firms!$L$5:$L$1004,MATCH(605,Firms!$R$5:$R$1004,0))&amp;"","")</f>
        <v/>
      </c>
      <c r="G609" s="57">
        <f>IFERROR(INDEX(Firms!$M$5:$M$1004,MATCH(605,Firms!$R$5:$R$1004,0))&amp;"","")</f>
        <v/>
      </c>
      <c r="H609" s="58">
        <f>IFERROR(INDEX(Firms!$Q$5:$Q$1004,MATCH(605,Firms!$R$5:$R$1004,0))&amp;"","")</f>
        <v/>
      </c>
    </row>
    <row r="610">
      <c r="A610" s="57">
        <f>IF(B610="","",606)</f>
        <v/>
      </c>
      <c r="B610" s="58">
        <f>IFERROR(INDEX(Firms!$A$5:$A$1004,MATCH(606,Firms!$R$5:$R$1004,0))&amp;"","")</f>
        <v/>
      </c>
      <c r="C610" s="59">
        <f>IFERROR(IF(INDEX(Firms!$O$5:$O$1004,MATCH(606,Firms!$R$5:$R$1004,0))="","",INDEX(Firms!$O$5:$O$1004,MATCH(606,Firms!$R$5:$R$1004,0))),"")</f>
        <v/>
      </c>
      <c r="D610" s="58">
        <f>IFERROR(INDEX(Firms!$P$5:$P$1004,MATCH(606,Firms!$R$5:$R$1004,0))&amp;"","")</f>
        <v/>
      </c>
      <c r="E610" s="58">
        <f>IFERROR(INDEX(Firms!$C$5:$C$1004,MATCH(606,Firms!$R$5:$R$1004,0))&amp;"","")</f>
        <v/>
      </c>
      <c r="F610" s="57">
        <f>IFERROR(INDEX(Firms!$L$5:$L$1004,MATCH(606,Firms!$R$5:$R$1004,0))&amp;"","")</f>
        <v/>
      </c>
      <c r="G610" s="57">
        <f>IFERROR(INDEX(Firms!$M$5:$M$1004,MATCH(606,Firms!$R$5:$R$1004,0))&amp;"","")</f>
        <v/>
      </c>
      <c r="H610" s="58">
        <f>IFERROR(INDEX(Firms!$Q$5:$Q$1004,MATCH(606,Firms!$R$5:$R$1004,0))&amp;"","")</f>
        <v/>
      </c>
    </row>
    <row r="611">
      <c r="A611" s="57">
        <f>IF(B611="","",607)</f>
        <v/>
      </c>
      <c r="B611" s="58">
        <f>IFERROR(INDEX(Firms!$A$5:$A$1004,MATCH(607,Firms!$R$5:$R$1004,0))&amp;"","")</f>
        <v/>
      </c>
      <c r="C611" s="59">
        <f>IFERROR(IF(INDEX(Firms!$O$5:$O$1004,MATCH(607,Firms!$R$5:$R$1004,0))="","",INDEX(Firms!$O$5:$O$1004,MATCH(607,Firms!$R$5:$R$1004,0))),"")</f>
        <v/>
      </c>
      <c r="D611" s="58">
        <f>IFERROR(INDEX(Firms!$P$5:$P$1004,MATCH(607,Firms!$R$5:$R$1004,0))&amp;"","")</f>
        <v/>
      </c>
      <c r="E611" s="58">
        <f>IFERROR(INDEX(Firms!$C$5:$C$1004,MATCH(607,Firms!$R$5:$R$1004,0))&amp;"","")</f>
        <v/>
      </c>
      <c r="F611" s="57">
        <f>IFERROR(INDEX(Firms!$L$5:$L$1004,MATCH(607,Firms!$R$5:$R$1004,0))&amp;"","")</f>
        <v/>
      </c>
      <c r="G611" s="57">
        <f>IFERROR(INDEX(Firms!$M$5:$M$1004,MATCH(607,Firms!$R$5:$R$1004,0))&amp;"","")</f>
        <v/>
      </c>
      <c r="H611" s="58">
        <f>IFERROR(INDEX(Firms!$Q$5:$Q$1004,MATCH(607,Firms!$R$5:$R$1004,0))&amp;"","")</f>
        <v/>
      </c>
    </row>
    <row r="612">
      <c r="A612" s="57">
        <f>IF(B612="","",608)</f>
        <v/>
      </c>
      <c r="B612" s="58">
        <f>IFERROR(INDEX(Firms!$A$5:$A$1004,MATCH(608,Firms!$R$5:$R$1004,0))&amp;"","")</f>
        <v/>
      </c>
      <c r="C612" s="59">
        <f>IFERROR(IF(INDEX(Firms!$O$5:$O$1004,MATCH(608,Firms!$R$5:$R$1004,0))="","",INDEX(Firms!$O$5:$O$1004,MATCH(608,Firms!$R$5:$R$1004,0))),"")</f>
        <v/>
      </c>
      <c r="D612" s="58">
        <f>IFERROR(INDEX(Firms!$P$5:$P$1004,MATCH(608,Firms!$R$5:$R$1004,0))&amp;"","")</f>
        <v/>
      </c>
      <c r="E612" s="58">
        <f>IFERROR(INDEX(Firms!$C$5:$C$1004,MATCH(608,Firms!$R$5:$R$1004,0))&amp;"","")</f>
        <v/>
      </c>
      <c r="F612" s="57">
        <f>IFERROR(INDEX(Firms!$L$5:$L$1004,MATCH(608,Firms!$R$5:$R$1004,0))&amp;"","")</f>
        <v/>
      </c>
      <c r="G612" s="57">
        <f>IFERROR(INDEX(Firms!$M$5:$M$1004,MATCH(608,Firms!$R$5:$R$1004,0))&amp;"","")</f>
        <v/>
      </c>
      <c r="H612" s="58">
        <f>IFERROR(INDEX(Firms!$Q$5:$Q$1004,MATCH(608,Firms!$R$5:$R$1004,0))&amp;"","")</f>
        <v/>
      </c>
    </row>
    <row r="613">
      <c r="A613" s="57">
        <f>IF(B613="","",609)</f>
        <v/>
      </c>
      <c r="B613" s="58">
        <f>IFERROR(INDEX(Firms!$A$5:$A$1004,MATCH(609,Firms!$R$5:$R$1004,0))&amp;"","")</f>
        <v/>
      </c>
      <c r="C613" s="59">
        <f>IFERROR(IF(INDEX(Firms!$O$5:$O$1004,MATCH(609,Firms!$R$5:$R$1004,0))="","",INDEX(Firms!$O$5:$O$1004,MATCH(609,Firms!$R$5:$R$1004,0))),"")</f>
        <v/>
      </c>
      <c r="D613" s="58">
        <f>IFERROR(INDEX(Firms!$P$5:$P$1004,MATCH(609,Firms!$R$5:$R$1004,0))&amp;"","")</f>
        <v/>
      </c>
      <c r="E613" s="58">
        <f>IFERROR(INDEX(Firms!$C$5:$C$1004,MATCH(609,Firms!$R$5:$R$1004,0))&amp;"","")</f>
        <v/>
      </c>
      <c r="F613" s="57">
        <f>IFERROR(INDEX(Firms!$L$5:$L$1004,MATCH(609,Firms!$R$5:$R$1004,0))&amp;"","")</f>
        <v/>
      </c>
      <c r="G613" s="57">
        <f>IFERROR(INDEX(Firms!$M$5:$M$1004,MATCH(609,Firms!$R$5:$R$1004,0))&amp;"","")</f>
        <v/>
      </c>
      <c r="H613" s="58">
        <f>IFERROR(INDEX(Firms!$Q$5:$Q$1004,MATCH(609,Firms!$R$5:$R$1004,0))&amp;"","")</f>
        <v/>
      </c>
    </row>
    <row r="614">
      <c r="A614" s="57">
        <f>IF(B614="","",610)</f>
        <v/>
      </c>
      <c r="B614" s="58">
        <f>IFERROR(INDEX(Firms!$A$5:$A$1004,MATCH(610,Firms!$R$5:$R$1004,0))&amp;"","")</f>
        <v/>
      </c>
      <c r="C614" s="59">
        <f>IFERROR(IF(INDEX(Firms!$O$5:$O$1004,MATCH(610,Firms!$R$5:$R$1004,0))="","",INDEX(Firms!$O$5:$O$1004,MATCH(610,Firms!$R$5:$R$1004,0))),"")</f>
        <v/>
      </c>
      <c r="D614" s="58">
        <f>IFERROR(INDEX(Firms!$P$5:$P$1004,MATCH(610,Firms!$R$5:$R$1004,0))&amp;"","")</f>
        <v/>
      </c>
      <c r="E614" s="58">
        <f>IFERROR(INDEX(Firms!$C$5:$C$1004,MATCH(610,Firms!$R$5:$R$1004,0))&amp;"","")</f>
        <v/>
      </c>
      <c r="F614" s="57">
        <f>IFERROR(INDEX(Firms!$L$5:$L$1004,MATCH(610,Firms!$R$5:$R$1004,0))&amp;"","")</f>
        <v/>
      </c>
      <c r="G614" s="57">
        <f>IFERROR(INDEX(Firms!$M$5:$M$1004,MATCH(610,Firms!$R$5:$R$1004,0))&amp;"","")</f>
        <v/>
      </c>
      <c r="H614" s="58">
        <f>IFERROR(INDEX(Firms!$Q$5:$Q$1004,MATCH(610,Firms!$R$5:$R$1004,0))&amp;"","")</f>
        <v/>
      </c>
    </row>
    <row r="615">
      <c r="A615" s="57">
        <f>IF(B615="","",611)</f>
        <v/>
      </c>
      <c r="B615" s="58">
        <f>IFERROR(INDEX(Firms!$A$5:$A$1004,MATCH(611,Firms!$R$5:$R$1004,0))&amp;"","")</f>
        <v/>
      </c>
      <c r="C615" s="59">
        <f>IFERROR(IF(INDEX(Firms!$O$5:$O$1004,MATCH(611,Firms!$R$5:$R$1004,0))="","",INDEX(Firms!$O$5:$O$1004,MATCH(611,Firms!$R$5:$R$1004,0))),"")</f>
        <v/>
      </c>
      <c r="D615" s="58">
        <f>IFERROR(INDEX(Firms!$P$5:$P$1004,MATCH(611,Firms!$R$5:$R$1004,0))&amp;"","")</f>
        <v/>
      </c>
      <c r="E615" s="58">
        <f>IFERROR(INDEX(Firms!$C$5:$C$1004,MATCH(611,Firms!$R$5:$R$1004,0))&amp;"","")</f>
        <v/>
      </c>
      <c r="F615" s="57">
        <f>IFERROR(INDEX(Firms!$L$5:$L$1004,MATCH(611,Firms!$R$5:$R$1004,0))&amp;"","")</f>
        <v/>
      </c>
      <c r="G615" s="57">
        <f>IFERROR(INDEX(Firms!$M$5:$M$1004,MATCH(611,Firms!$R$5:$R$1004,0))&amp;"","")</f>
        <v/>
      </c>
      <c r="H615" s="58">
        <f>IFERROR(INDEX(Firms!$Q$5:$Q$1004,MATCH(611,Firms!$R$5:$R$1004,0))&amp;"","")</f>
        <v/>
      </c>
    </row>
    <row r="616">
      <c r="A616" s="57">
        <f>IF(B616="","",612)</f>
        <v/>
      </c>
      <c r="B616" s="58">
        <f>IFERROR(INDEX(Firms!$A$5:$A$1004,MATCH(612,Firms!$R$5:$R$1004,0))&amp;"","")</f>
        <v/>
      </c>
      <c r="C616" s="59">
        <f>IFERROR(IF(INDEX(Firms!$O$5:$O$1004,MATCH(612,Firms!$R$5:$R$1004,0))="","",INDEX(Firms!$O$5:$O$1004,MATCH(612,Firms!$R$5:$R$1004,0))),"")</f>
        <v/>
      </c>
      <c r="D616" s="58">
        <f>IFERROR(INDEX(Firms!$P$5:$P$1004,MATCH(612,Firms!$R$5:$R$1004,0))&amp;"","")</f>
        <v/>
      </c>
      <c r="E616" s="58">
        <f>IFERROR(INDEX(Firms!$C$5:$C$1004,MATCH(612,Firms!$R$5:$R$1004,0))&amp;"","")</f>
        <v/>
      </c>
      <c r="F616" s="57">
        <f>IFERROR(INDEX(Firms!$L$5:$L$1004,MATCH(612,Firms!$R$5:$R$1004,0))&amp;"","")</f>
        <v/>
      </c>
      <c r="G616" s="57">
        <f>IFERROR(INDEX(Firms!$M$5:$M$1004,MATCH(612,Firms!$R$5:$R$1004,0))&amp;"","")</f>
        <v/>
      </c>
      <c r="H616" s="58">
        <f>IFERROR(INDEX(Firms!$Q$5:$Q$1004,MATCH(612,Firms!$R$5:$R$1004,0))&amp;"","")</f>
        <v/>
      </c>
    </row>
    <row r="617">
      <c r="A617" s="57">
        <f>IF(B617="","",613)</f>
        <v/>
      </c>
      <c r="B617" s="58">
        <f>IFERROR(INDEX(Firms!$A$5:$A$1004,MATCH(613,Firms!$R$5:$R$1004,0))&amp;"","")</f>
        <v/>
      </c>
      <c r="C617" s="59">
        <f>IFERROR(IF(INDEX(Firms!$O$5:$O$1004,MATCH(613,Firms!$R$5:$R$1004,0))="","",INDEX(Firms!$O$5:$O$1004,MATCH(613,Firms!$R$5:$R$1004,0))),"")</f>
        <v/>
      </c>
      <c r="D617" s="58">
        <f>IFERROR(INDEX(Firms!$P$5:$P$1004,MATCH(613,Firms!$R$5:$R$1004,0))&amp;"","")</f>
        <v/>
      </c>
      <c r="E617" s="58">
        <f>IFERROR(INDEX(Firms!$C$5:$C$1004,MATCH(613,Firms!$R$5:$R$1004,0))&amp;"","")</f>
        <v/>
      </c>
      <c r="F617" s="57">
        <f>IFERROR(INDEX(Firms!$L$5:$L$1004,MATCH(613,Firms!$R$5:$R$1004,0))&amp;"","")</f>
        <v/>
      </c>
      <c r="G617" s="57">
        <f>IFERROR(INDEX(Firms!$M$5:$M$1004,MATCH(613,Firms!$R$5:$R$1004,0))&amp;"","")</f>
        <v/>
      </c>
      <c r="H617" s="58">
        <f>IFERROR(INDEX(Firms!$Q$5:$Q$1004,MATCH(613,Firms!$R$5:$R$1004,0))&amp;"","")</f>
        <v/>
      </c>
    </row>
    <row r="618">
      <c r="A618" s="57">
        <f>IF(B618="","",614)</f>
        <v/>
      </c>
      <c r="B618" s="58">
        <f>IFERROR(INDEX(Firms!$A$5:$A$1004,MATCH(614,Firms!$R$5:$R$1004,0))&amp;"","")</f>
        <v/>
      </c>
      <c r="C618" s="59">
        <f>IFERROR(IF(INDEX(Firms!$O$5:$O$1004,MATCH(614,Firms!$R$5:$R$1004,0))="","",INDEX(Firms!$O$5:$O$1004,MATCH(614,Firms!$R$5:$R$1004,0))),"")</f>
        <v/>
      </c>
      <c r="D618" s="58">
        <f>IFERROR(INDEX(Firms!$P$5:$P$1004,MATCH(614,Firms!$R$5:$R$1004,0))&amp;"","")</f>
        <v/>
      </c>
      <c r="E618" s="58">
        <f>IFERROR(INDEX(Firms!$C$5:$C$1004,MATCH(614,Firms!$R$5:$R$1004,0))&amp;"","")</f>
        <v/>
      </c>
      <c r="F618" s="57">
        <f>IFERROR(INDEX(Firms!$L$5:$L$1004,MATCH(614,Firms!$R$5:$R$1004,0))&amp;"","")</f>
        <v/>
      </c>
      <c r="G618" s="57">
        <f>IFERROR(INDEX(Firms!$M$5:$M$1004,MATCH(614,Firms!$R$5:$R$1004,0))&amp;"","")</f>
        <v/>
      </c>
      <c r="H618" s="58">
        <f>IFERROR(INDEX(Firms!$Q$5:$Q$1004,MATCH(614,Firms!$R$5:$R$1004,0))&amp;"","")</f>
        <v/>
      </c>
    </row>
    <row r="619">
      <c r="A619" s="57">
        <f>IF(B619="","",615)</f>
        <v/>
      </c>
      <c r="B619" s="58">
        <f>IFERROR(INDEX(Firms!$A$5:$A$1004,MATCH(615,Firms!$R$5:$R$1004,0))&amp;"","")</f>
        <v/>
      </c>
      <c r="C619" s="59">
        <f>IFERROR(IF(INDEX(Firms!$O$5:$O$1004,MATCH(615,Firms!$R$5:$R$1004,0))="","",INDEX(Firms!$O$5:$O$1004,MATCH(615,Firms!$R$5:$R$1004,0))),"")</f>
        <v/>
      </c>
      <c r="D619" s="58">
        <f>IFERROR(INDEX(Firms!$P$5:$P$1004,MATCH(615,Firms!$R$5:$R$1004,0))&amp;"","")</f>
        <v/>
      </c>
      <c r="E619" s="58">
        <f>IFERROR(INDEX(Firms!$C$5:$C$1004,MATCH(615,Firms!$R$5:$R$1004,0))&amp;"","")</f>
        <v/>
      </c>
      <c r="F619" s="57">
        <f>IFERROR(INDEX(Firms!$L$5:$L$1004,MATCH(615,Firms!$R$5:$R$1004,0))&amp;"","")</f>
        <v/>
      </c>
      <c r="G619" s="57">
        <f>IFERROR(INDEX(Firms!$M$5:$M$1004,MATCH(615,Firms!$R$5:$R$1004,0))&amp;"","")</f>
        <v/>
      </c>
      <c r="H619" s="58">
        <f>IFERROR(INDEX(Firms!$Q$5:$Q$1004,MATCH(615,Firms!$R$5:$R$1004,0))&amp;"","")</f>
        <v/>
      </c>
    </row>
    <row r="620">
      <c r="A620" s="57">
        <f>IF(B620="","",616)</f>
        <v/>
      </c>
      <c r="B620" s="58">
        <f>IFERROR(INDEX(Firms!$A$5:$A$1004,MATCH(616,Firms!$R$5:$R$1004,0))&amp;"","")</f>
        <v/>
      </c>
      <c r="C620" s="59">
        <f>IFERROR(IF(INDEX(Firms!$O$5:$O$1004,MATCH(616,Firms!$R$5:$R$1004,0))="","",INDEX(Firms!$O$5:$O$1004,MATCH(616,Firms!$R$5:$R$1004,0))),"")</f>
        <v/>
      </c>
      <c r="D620" s="58">
        <f>IFERROR(INDEX(Firms!$P$5:$P$1004,MATCH(616,Firms!$R$5:$R$1004,0))&amp;"","")</f>
        <v/>
      </c>
      <c r="E620" s="58">
        <f>IFERROR(INDEX(Firms!$C$5:$C$1004,MATCH(616,Firms!$R$5:$R$1004,0))&amp;"","")</f>
        <v/>
      </c>
      <c r="F620" s="57">
        <f>IFERROR(INDEX(Firms!$L$5:$L$1004,MATCH(616,Firms!$R$5:$R$1004,0))&amp;"","")</f>
        <v/>
      </c>
      <c r="G620" s="57">
        <f>IFERROR(INDEX(Firms!$M$5:$M$1004,MATCH(616,Firms!$R$5:$R$1004,0))&amp;"","")</f>
        <v/>
      </c>
      <c r="H620" s="58">
        <f>IFERROR(INDEX(Firms!$Q$5:$Q$1004,MATCH(616,Firms!$R$5:$R$1004,0))&amp;"","")</f>
        <v/>
      </c>
    </row>
    <row r="621">
      <c r="A621" s="57">
        <f>IF(B621="","",617)</f>
        <v/>
      </c>
      <c r="B621" s="58">
        <f>IFERROR(INDEX(Firms!$A$5:$A$1004,MATCH(617,Firms!$R$5:$R$1004,0))&amp;"","")</f>
        <v/>
      </c>
      <c r="C621" s="59">
        <f>IFERROR(IF(INDEX(Firms!$O$5:$O$1004,MATCH(617,Firms!$R$5:$R$1004,0))="","",INDEX(Firms!$O$5:$O$1004,MATCH(617,Firms!$R$5:$R$1004,0))),"")</f>
        <v/>
      </c>
      <c r="D621" s="58">
        <f>IFERROR(INDEX(Firms!$P$5:$P$1004,MATCH(617,Firms!$R$5:$R$1004,0))&amp;"","")</f>
        <v/>
      </c>
      <c r="E621" s="58">
        <f>IFERROR(INDEX(Firms!$C$5:$C$1004,MATCH(617,Firms!$R$5:$R$1004,0))&amp;"","")</f>
        <v/>
      </c>
      <c r="F621" s="57">
        <f>IFERROR(INDEX(Firms!$L$5:$L$1004,MATCH(617,Firms!$R$5:$R$1004,0))&amp;"","")</f>
        <v/>
      </c>
      <c r="G621" s="57">
        <f>IFERROR(INDEX(Firms!$M$5:$M$1004,MATCH(617,Firms!$R$5:$R$1004,0))&amp;"","")</f>
        <v/>
      </c>
      <c r="H621" s="58">
        <f>IFERROR(INDEX(Firms!$Q$5:$Q$1004,MATCH(617,Firms!$R$5:$R$1004,0))&amp;"","")</f>
        <v/>
      </c>
    </row>
    <row r="622">
      <c r="A622" s="57">
        <f>IF(B622="","",618)</f>
        <v/>
      </c>
      <c r="B622" s="58">
        <f>IFERROR(INDEX(Firms!$A$5:$A$1004,MATCH(618,Firms!$R$5:$R$1004,0))&amp;"","")</f>
        <v/>
      </c>
      <c r="C622" s="59">
        <f>IFERROR(IF(INDEX(Firms!$O$5:$O$1004,MATCH(618,Firms!$R$5:$R$1004,0))="","",INDEX(Firms!$O$5:$O$1004,MATCH(618,Firms!$R$5:$R$1004,0))),"")</f>
        <v/>
      </c>
      <c r="D622" s="58">
        <f>IFERROR(INDEX(Firms!$P$5:$P$1004,MATCH(618,Firms!$R$5:$R$1004,0))&amp;"","")</f>
        <v/>
      </c>
      <c r="E622" s="58">
        <f>IFERROR(INDEX(Firms!$C$5:$C$1004,MATCH(618,Firms!$R$5:$R$1004,0))&amp;"","")</f>
        <v/>
      </c>
      <c r="F622" s="57">
        <f>IFERROR(INDEX(Firms!$L$5:$L$1004,MATCH(618,Firms!$R$5:$R$1004,0))&amp;"","")</f>
        <v/>
      </c>
      <c r="G622" s="57">
        <f>IFERROR(INDEX(Firms!$M$5:$M$1004,MATCH(618,Firms!$R$5:$R$1004,0))&amp;"","")</f>
        <v/>
      </c>
      <c r="H622" s="58">
        <f>IFERROR(INDEX(Firms!$Q$5:$Q$1004,MATCH(618,Firms!$R$5:$R$1004,0))&amp;"","")</f>
        <v/>
      </c>
    </row>
    <row r="623">
      <c r="A623" s="57">
        <f>IF(B623="","",619)</f>
        <v/>
      </c>
      <c r="B623" s="58">
        <f>IFERROR(INDEX(Firms!$A$5:$A$1004,MATCH(619,Firms!$R$5:$R$1004,0))&amp;"","")</f>
        <v/>
      </c>
      <c r="C623" s="59">
        <f>IFERROR(IF(INDEX(Firms!$O$5:$O$1004,MATCH(619,Firms!$R$5:$R$1004,0))="","",INDEX(Firms!$O$5:$O$1004,MATCH(619,Firms!$R$5:$R$1004,0))),"")</f>
        <v/>
      </c>
      <c r="D623" s="58">
        <f>IFERROR(INDEX(Firms!$P$5:$P$1004,MATCH(619,Firms!$R$5:$R$1004,0))&amp;"","")</f>
        <v/>
      </c>
      <c r="E623" s="58">
        <f>IFERROR(INDEX(Firms!$C$5:$C$1004,MATCH(619,Firms!$R$5:$R$1004,0))&amp;"","")</f>
        <v/>
      </c>
      <c r="F623" s="57">
        <f>IFERROR(INDEX(Firms!$L$5:$L$1004,MATCH(619,Firms!$R$5:$R$1004,0))&amp;"","")</f>
        <v/>
      </c>
      <c r="G623" s="57">
        <f>IFERROR(INDEX(Firms!$M$5:$M$1004,MATCH(619,Firms!$R$5:$R$1004,0))&amp;"","")</f>
        <v/>
      </c>
      <c r="H623" s="58">
        <f>IFERROR(INDEX(Firms!$Q$5:$Q$1004,MATCH(619,Firms!$R$5:$R$1004,0))&amp;"","")</f>
        <v/>
      </c>
    </row>
    <row r="624">
      <c r="A624" s="57">
        <f>IF(B624="","",620)</f>
        <v/>
      </c>
      <c r="B624" s="58">
        <f>IFERROR(INDEX(Firms!$A$5:$A$1004,MATCH(620,Firms!$R$5:$R$1004,0))&amp;"","")</f>
        <v/>
      </c>
      <c r="C624" s="59">
        <f>IFERROR(IF(INDEX(Firms!$O$5:$O$1004,MATCH(620,Firms!$R$5:$R$1004,0))="","",INDEX(Firms!$O$5:$O$1004,MATCH(620,Firms!$R$5:$R$1004,0))),"")</f>
        <v/>
      </c>
      <c r="D624" s="58">
        <f>IFERROR(INDEX(Firms!$P$5:$P$1004,MATCH(620,Firms!$R$5:$R$1004,0))&amp;"","")</f>
        <v/>
      </c>
      <c r="E624" s="58">
        <f>IFERROR(INDEX(Firms!$C$5:$C$1004,MATCH(620,Firms!$R$5:$R$1004,0))&amp;"","")</f>
        <v/>
      </c>
      <c r="F624" s="57">
        <f>IFERROR(INDEX(Firms!$L$5:$L$1004,MATCH(620,Firms!$R$5:$R$1004,0))&amp;"","")</f>
        <v/>
      </c>
      <c r="G624" s="57">
        <f>IFERROR(INDEX(Firms!$M$5:$M$1004,MATCH(620,Firms!$R$5:$R$1004,0))&amp;"","")</f>
        <v/>
      </c>
      <c r="H624" s="58">
        <f>IFERROR(INDEX(Firms!$Q$5:$Q$1004,MATCH(620,Firms!$R$5:$R$1004,0))&amp;"","")</f>
        <v/>
      </c>
    </row>
    <row r="625">
      <c r="A625" s="57">
        <f>IF(B625="","",621)</f>
        <v/>
      </c>
      <c r="B625" s="58">
        <f>IFERROR(INDEX(Firms!$A$5:$A$1004,MATCH(621,Firms!$R$5:$R$1004,0))&amp;"","")</f>
        <v/>
      </c>
      <c r="C625" s="59">
        <f>IFERROR(IF(INDEX(Firms!$O$5:$O$1004,MATCH(621,Firms!$R$5:$R$1004,0))="","",INDEX(Firms!$O$5:$O$1004,MATCH(621,Firms!$R$5:$R$1004,0))),"")</f>
        <v/>
      </c>
      <c r="D625" s="58">
        <f>IFERROR(INDEX(Firms!$P$5:$P$1004,MATCH(621,Firms!$R$5:$R$1004,0))&amp;"","")</f>
        <v/>
      </c>
      <c r="E625" s="58">
        <f>IFERROR(INDEX(Firms!$C$5:$C$1004,MATCH(621,Firms!$R$5:$R$1004,0))&amp;"","")</f>
        <v/>
      </c>
      <c r="F625" s="57">
        <f>IFERROR(INDEX(Firms!$L$5:$L$1004,MATCH(621,Firms!$R$5:$R$1004,0))&amp;"","")</f>
        <v/>
      </c>
      <c r="G625" s="57">
        <f>IFERROR(INDEX(Firms!$M$5:$M$1004,MATCH(621,Firms!$R$5:$R$1004,0))&amp;"","")</f>
        <v/>
      </c>
      <c r="H625" s="58">
        <f>IFERROR(INDEX(Firms!$Q$5:$Q$1004,MATCH(621,Firms!$R$5:$R$1004,0))&amp;"","")</f>
        <v/>
      </c>
    </row>
    <row r="626">
      <c r="A626" s="57">
        <f>IF(B626="","",622)</f>
        <v/>
      </c>
      <c r="B626" s="58">
        <f>IFERROR(INDEX(Firms!$A$5:$A$1004,MATCH(622,Firms!$R$5:$R$1004,0))&amp;"","")</f>
        <v/>
      </c>
      <c r="C626" s="59">
        <f>IFERROR(IF(INDEX(Firms!$O$5:$O$1004,MATCH(622,Firms!$R$5:$R$1004,0))="","",INDEX(Firms!$O$5:$O$1004,MATCH(622,Firms!$R$5:$R$1004,0))),"")</f>
        <v/>
      </c>
      <c r="D626" s="58">
        <f>IFERROR(INDEX(Firms!$P$5:$P$1004,MATCH(622,Firms!$R$5:$R$1004,0))&amp;"","")</f>
        <v/>
      </c>
      <c r="E626" s="58">
        <f>IFERROR(INDEX(Firms!$C$5:$C$1004,MATCH(622,Firms!$R$5:$R$1004,0))&amp;"","")</f>
        <v/>
      </c>
      <c r="F626" s="57">
        <f>IFERROR(INDEX(Firms!$L$5:$L$1004,MATCH(622,Firms!$R$5:$R$1004,0))&amp;"","")</f>
        <v/>
      </c>
      <c r="G626" s="57">
        <f>IFERROR(INDEX(Firms!$M$5:$M$1004,MATCH(622,Firms!$R$5:$R$1004,0))&amp;"","")</f>
        <v/>
      </c>
      <c r="H626" s="58">
        <f>IFERROR(INDEX(Firms!$Q$5:$Q$1004,MATCH(622,Firms!$R$5:$R$1004,0))&amp;"","")</f>
        <v/>
      </c>
    </row>
    <row r="627">
      <c r="A627" s="57">
        <f>IF(B627="","",623)</f>
        <v/>
      </c>
      <c r="B627" s="58">
        <f>IFERROR(INDEX(Firms!$A$5:$A$1004,MATCH(623,Firms!$R$5:$R$1004,0))&amp;"","")</f>
        <v/>
      </c>
      <c r="C627" s="59">
        <f>IFERROR(IF(INDEX(Firms!$O$5:$O$1004,MATCH(623,Firms!$R$5:$R$1004,0))="","",INDEX(Firms!$O$5:$O$1004,MATCH(623,Firms!$R$5:$R$1004,0))),"")</f>
        <v/>
      </c>
      <c r="D627" s="58">
        <f>IFERROR(INDEX(Firms!$P$5:$P$1004,MATCH(623,Firms!$R$5:$R$1004,0))&amp;"","")</f>
        <v/>
      </c>
      <c r="E627" s="58">
        <f>IFERROR(INDEX(Firms!$C$5:$C$1004,MATCH(623,Firms!$R$5:$R$1004,0))&amp;"","")</f>
        <v/>
      </c>
      <c r="F627" s="57">
        <f>IFERROR(INDEX(Firms!$L$5:$L$1004,MATCH(623,Firms!$R$5:$R$1004,0))&amp;"","")</f>
        <v/>
      </c>
      <c r="G627" s="57">
        <f>IFERROR(INDEX(Firms!$M$5:$M$1004,MATCH(623,Firms!$R$5:$R$1004,0))&amp;"","")</f>
        <v/>
      </c>
      <c r="H627" s="58">
        <f>IFERROR(INDEX(Firms!$Q$5:$Q$1004,MATCH(623,Firms!$R$5:$R$1004,0))&amp;"","")</f>
        <v/>
      </c>
    </row>
    <row r="628">
      <c r="A628" s="57">
        <f>IF(B628="","",624)</f>
        <v/>
      </c>
      <c r="B628" s="58">
        <f>IFERROR(INDEX(Firms!$A$5:$A$1004,MATCH(624,Firms!$R$5:$R$1004,0))&amp;"","")</f>
        <v/>
      </c>
      <c r="C628" s="59">
        <f>IFERROR(IF(INDEX(Firms!$O$5:$O$1004,MATCH(624,Firms!$R$5:$R$1004,0))="","",INDEX(Firms!$O$5:$O$1004,MATCH(624,Firms!$R$5:$R$1004,0))),"")</f>
        <v/>
      </c>
      <c r="D628" s="58">
        <f>IFERROR(INDEX(Firms!$P$5:$P$1004,MATCH(624,Firms!$R$5:$R$1004,0))&amp;"","")</f>
        <v/>
      </c>
      <c r="E628" s="58">
        <f>IFERROR(INDEX(Firms!$C$5:$C$1004,MATCH(624,Firms!$R$5:$R$1004,0))&amp;"","")</f>
        <v/>
      </c>
      <c r="F628" s="57">
        <f>IFERROR(INDEX(Firms!$L$5:$L$1004,MATCH(624,Firms!$R$5:$R$1004,0))&amp;"","")</f>
        <v/>
      </c>
      <c r="G628" s="57">
        <f>IFERROR(INDEX(Firms!$M$5:$M$1004,MATCH(624,Firms!$R$5:$R$1004,0))&amp;"","")</f>
        <v/>
      </c>
      <c r="H628" s="58">
        <f>IFERROR(INDEX(Firms!$Q$5:$Q$1004,MATCH(624,Firms!$R$5:$R$1004,0))&amp;"","")</f>
        <v/>
      </c>
    </row>
    <row r="629">
      <c r="A629" s="57">
        <f>IF(B629="","",625)</f>
        <v/>
      </c>
      <c r="B629" s="58">
        <f>IFERROR(INDEX(Firms!$A$5:$A$1004,MATCH(625,Firms!$R$5:$R$1004,0))&amp;"","")</f>
        <v/>
      </c>
      <c r="C629" s="59">
        <f>IFERROR(IF(INDEX(Firms!$O$5:$O$1004,MATCH(625,Firms!$R$5:$R$1004,0))="","",INDEX(Firms!$O$5:$O$1004,MATCH(625,Firms!$R$5:$R$1004,0))),"")</f>
        <v/>
      </c>
      <c r="D629" s="58">
        <f>IFERROR(INDEX(Firms!$P$5:$P$1004,MATCH(625,Firms!$R$5:$R$1004,0))&amp;"","")</f>
        <v/>
      </c>
      <c r="E629" s="58">
        <f>IFERROR(INDEX(Firms!$C$5:$C$1004,MATCH(625,Firms!$R$5:$R$1004,0))&amp;"","")</f>
        <v/>
      </c>
      <c r="F629" s="57">
        <f>IFERROR(INDEX(Firms!$L$5:$L$1004,MATCH(625,Firms!$R$5:$R$1004,0))&amp;"","")</f>
        <v/>
      </c>
      <c r="G629" s="57">
        <f>IFERROR(INDEX(Firms!$M$5:$M$1004,MATCH(625,Firms!$R$5:$R$1004,0))&amp;"","")</f>
        <v/>
      </c>
      <c r="H629" s="58">
        <f>IFERROR(INDEX(Firms!$Q$5:$Q$1004,MATCH(625,Firms!$R$5:$R$1004,0))&amp;"","")</f>
        <v/>
      </c>
    </row>
    <row r="630">
      <c r="A630" s="57">
        <f>IF(B630="","",626)</f>
        <v/>
      </c>
      <c r="B630" s="58">
        <f>IFERROR(INDEX(Firms!$A$5:$A$1004,MATCH(626,Firms!$R$5:$R$1004,0))&amp;"","")</f>
        <v/>
      </c>
      <c r="C630" s="59">
        <f>IFERROR(IF(INDEX(Firms!$O$5:$O$1004,MATCH(626,Firms!$R$5:$R$1004,0))="","",INDEX(Firms!$O$5:$O$1004,MATCH(626,Firms!$R$5:$R$1004,0))),"")</f>
        <v/>
      </c>
      <c r="D630" s="58">
        <f>IFERROR(INDEX(Firms!$P$5:$P$1004,MATCH(626,Firms!$R$5:$R$1004,0))&amp;"","")</f>
        <v/>
      </c>
      <c r="E630" s="58">
        <f>IFERROR(INDEX(Firms!$C$5:$C$1004,MATCH(626,Firms!$R$5:$R$1004,0))&amp;"","")</f>
        <v/>
      </c>
      <c r="F630" s="57">
        <f>IFERROR(INDEX(Firms!$L$5:$L$1004,MATCH(626,Firms!$R$5:$R$1004,0))&amp;"","")</f>
        <v/>
      </c>
      <c r="G630" s="57">
        <f>IFERROR(INDEX(Firms!$M$5:$M$1004,MATCH(626,Firms!$R$5:$R$1004,0))&amp;"","")</f>
        <v/>
      </c>
      <c r="H630" s="58">
        <f>IFERROR(INDEX(Firms!$Q$5:$Q$1004,MATCH(626,Firms!$R$5:$R$1004,0))&amp;"","")</f>
        <v/>
      </c>
    </row>
    <row r="631">
      <c r="A631" s="57">
        <f>IF(B631="","",627)</f>
        <v/>
      </c>
      <c r="B631" s="58">
        <f>IFERROR(INDEX(Firms!$A$5:$A$1004,MATCH(627,Firms!$R$5:$R$1004,0))&amp;"","")</f>
        <v/>
      </c>
      <c r="C631" s="59">
        <f>IFERROR(IF(INDEX(Firms!$O$5:$O$1004,MATCH(627,Firms!$R$5:$R$1004,0))="","",INDEX(Firms!$O$5:$O$1004,MATCH(627,Firms!$R$5:$R$1004,0))),"")</f>
        <v/>
      </c>
      <c r="D631" s="58">
        <f>IFERROR(INDEX(Firms!$P$5:$P$1004,MATCH(627,Firms!$R$5:$R$1004,0))&amp;"","")</f>
        <v/>
      </c>
      <c r="E631" s="58">
        <f>IFERROR(INDEX(Firms!$C$5:$C$1004,MATCH(627,Firms!$R$5:$R$1004,0))&amp;"","")</f>
        <v/>
      </c>
      <c r="F631" s="57">
        <f>IFERROR(INDEX(Firms!$L$5:$L$1004,MATCH(627,Firms!$R$5:$R$1004,0))&amp;"","")</f>
        <v/>
      </c>
      <c r="G631" s="57">
        <f>IFERROR(INDEX(Firms!$M$5:$M$1004,MATCH(627,Firms!$R$5:$R$1004,0))&amp;"","")</f>
        <v/>
      </c>
      <c r="H631" s="58">
        <f>IFERROR(INDEX(Firms!$Q$5:$Q$1004,MATCH(627,Firms!$R$5:$R$1004,0))&amp;"","")</f>
        <v/>
      </c>
    </row>
    <row r="632">
      <c r="A632" s="57">
        <f>IF(B632="","",628)</f>
        <v/>
      </c>
      <c r="B632" s="58">
        <f>IFERROR(INDEX(Firms!$A$5:$A$1004,MATCH(628,Firms!$R$5:$R$1004,0))&amp;"","")</f>
        <v/>
      </c>
      <c r="C632" s="59">
        <f>IFERROR(IF(INDEX(Firms!$O$5:$O$1004,MATCH(628,Firms!$R$5:$R$1004,0))="","",INDEX(Firms!$O$5:$O$1004,MATCH(628,Firms!$R$5:$R$1004,0))),"")</f>
        <v/>
      </c>
      <c r="D632" s="58">
        <f>IFERROR(INDEX(Firms!$P$5:$P$1004,MATCH(628,Firms!$R$5:$R$1004,0))&amp;"","")</f>
        <v/>
      </c>
      <c r="E632" s="58">
        <f>IFERROR(INDEX(Firms!$C$5:$C$1004,MATCH(628,Firms!$R$5:$R$1004,0))&amp;"","")</f>
        <v/>
      </c>
      <c r="F632" s="57">
        <f>IFERROR(INDEX(Firms!$L$5:$L$1004,MATCH(628,Firms!$R$5:$R$1004,0))&amp;"","")</f>
        <v/>
      </c>
      <c r="G632" s="57">
        <f>IFERROR(INDEX(Firms!$M$5:$M$1004,MATCH(628,Firms!$R$5:$R$1004,0))&amp;"","")</f>
        <v/>
      </c>
      <c r="H632" s="58">
        <f>IFERROR(INDEX(Firms!$Q$5:$Q$1004,MATCH(628,Firms!$R$5:$R$1004,0))&amp;"","")</f>
        <v/>
      </c>
    </row>
    <row r="633">
      <c r="A633" s="57">
        <f>IF(B633="","",629)</f>
        <v/>
      </c>
      <c r="B633" s="58">
        <f>IFERROR(INDEX(Firms!$A$5:$A$1004,MATCH(629,Firms!$R$5:$R$1004,0))&amp;"","")</f>
        <v/>
      </c>
      <c r="C633" s="59">
        <f>IFERROR(IF(INDEX(Firms!$O$5:$O$1004,MATCH(629,Firms!$R$5:$R$1004,0))="","",INDEX(Firms!$O$5:$O$1004,MATCH(629,Firms!$R$5:$R$1004,0))),"")</f>
        <v/>
      </c>
      <c r="D633" s="58">
        <f>IFERROR(INDEX(Firms!$P$5:$P$1004,MATCH(629,Firms!$R$5:$R$1004,0))&amp;"","")</f>
        <v/>
      </c>
      <c r="E633" s="58">
        <f>IFERROR(INDEX(Firms!$C$5:$C$1004,MATCH(629,Firms!$R$5:$R$1004,0))&amp;"","")</f>
        <v/>
      </c>
      <c r="F633" s="57">
        <f>IFERROR(INDEX(Firms!$L$5:$L$1004,MATCH(629,Firms!$R$5:$R$1004,0))&amp;"","")</f>
        <v/>
      </c>
      <c r="G633" s="57">
        <f>IFERROR(INDEX(Firms!$M$5:$M$1004,MATCH(629,Firms!$R$5:$R$1004,0))&amp;"","")</f>
        <v/>
      </c>
      <c r="H633" s="58">
        <f>IFERROR(INDEX(Firms!$Q$5:$Q$1004,MATCH(629,Firms!$R$5:$R$1004,0))&amp;"","")</f>
        <v/>
      </c>
    </row>
    <row r="634">
      <c r="A634" s="57">
        <f>IF(B634="","",630)</f>
        <v/>
      </c>
      <c r="B634" s="58">
        <f>IFERROR(INDEX(Firms!$A$5:$A$1004,MATCH(630,Firms!$R$5:$R$1004,0))&amp;"","")</f>
        <v/>
      </c>
      <c r="C634" s="59">
        <f>IFERROR(IF(INDEX(Firms!$O$5:$O$1004,MATCH(630,Firms!$R$5:$R$1004,0))="","",INDEX(Firms!$O$5:$O$1004,MATCH(630,Firms!$R$5:$R$1004,0))),"")</f>
        <v/>
      </c>
      <c r="D634" s="58">
        <f>IFERROR(INDEX(Firms!$P$5:$P$1004,MATCH(630,Firms!$R$5:$R$1004,0))&amp;"","")</f>
        <v/>
      </c>
      <c r="E634" s="58">
        <f>IFERROR(INDEX(Firms!$C$5:$C$1004,MATCH(630,Firms!$R$5:$R$1004,0))&amp;"","")</f>
        <v/>
      </c>
      <c r="F634" s="57">
        <f>IFERROR(INDEX(Firms!$L$5:$L$1004,MATCH(630,Firms!$R$5:$R$1004,0))&amp;"","")</f>
        <v/>
      </c>
      <c r="G634" s="57">
        <f>IFERROR(INDEX(Firms!$M$5:$M$1004,MATCH(630,Firms!$R$5:$R$1004,0))&amp;"","")</f>
        <v/>
      </c>
      <c r="H634" s="58">
        <f>IFERROR(INDEX(Firms!$Q$5:$Q$1004,MATCH(630,Firms!$R$5:$R$1004,0))&amp;"","")</f>
        <v/>
      </c>
    </row>
    <row r="635">
      <c r="A635" s="57">
        <f>IF(B635="","",631)</f>
        <v/>
      </c>
      <c r="B635" s="58">
        <f>IFERROR(INDEX(Firms!$A$5:$A$1004,MATCH(631,Firms!$R$5:$R$1004,0))&amp;"","")</f>
        <v/>
      </c>
      <c r="C635" s="59">
        <f>IFERROR(IF(INDEX(Firms!$O$5:$O$1004,MATCH(631,Firms!$R$5:$R$1004,0))="","",INDEX(Firms!$O$5:$O$1004,MATCH(631,Firms!$R$5:$R$1004,0))),"")</f>
        <v/>
      </c>
      <c r="D635" s="58">
        <f>IFERROR(INDEX(Firms!$P$5:$P$1004,MATCH(631,Firms!$R$5:$R$1004,0))&amp;"","")</f>
        <v/>
      </c>
      <c r="E635" s="58">
        <f>IFERROR(INDEX(Firms!$C$5:$C$1004,MATCH(631,Firms!$R$5:$R$1004,0))&amp;"","")</f>
        <v/>
      </c>
      <c r="F635" s="57">
        <f>IFERROR(INDEX(Firms!$L$5:$L$1004,MATCH(631,Firms!$R$5:$R$1004,0))&amp;"","")</f>
        <v/>
      </c>
      <c r="G635" s="57">
        <f>IFERROR(INDEX(Firms!$M$5:$M$1004,MATCH(631,Firms!$R$5:$R$1004,0))&amp;"","")</f>
        <v/>
      </c>
      <c r="H635" s="58">
        <f>IFERROR(INDEX(Firms!$Q$5:$Q$1004,MATCH(631,Firms!$R$5:$R$1004,0))&amp;"","")</f>
        <v/>
      </c>
    </row>
    <row r="636">
      <c r="A636" s="57">
        <f>IF(B636="","",632)</f>
        <v/>
      </c>
      <c r="B636" s="58">
        <f>IFERROR(INDEX(Firms!$A$5:$A$1004,MATCH(632,Firms!$R$5:$R$1004,0))&amp;"","")</f>
        <v/>
      </c>
      <c r="C636" s="59">
        <f>IFERROR(IF(INDEX(Firms!$O$5:$O$1004,MATCH(632,Firms!$R$5:$R$1004,0))="","",INDEX(Firms!$O$5:$O$1004,MATCH(632,Firms!$R$5:$R$1004,0))),"")</f>
        <v/>
      </c>
      <c r="D636" s="58">
        <f>IFERROR(INDEX(Firms!$P$5:$P$1004,MATCH(632,Firms!$R$5:$R$1004,0))&amp;"","")</f>
        <v/>
      </c>
      <c r="E636" s="58">
        <f>IFERROR(INDEX(Firms!$C$5:$C$1004,MATCH(632,Firms!$R$5:$R$1004,0))&amp;"","")</f>
        <v/>
      </c>
      <c r="F636" s="57">
        <f>IFERROR(INDEX(Firms!$L$5:$L$1004,MATCH(632,Firms!$R$5:$R$1004,0))&amp;"","")</f>
        <v/>
      </c>
      <c r="G636" s="57">
        <f>IFERROR(INDEX(Firms!$M$5:$M$1004,MATCH(632,Firms!$R$5:$R$1004,0))&amp;"","")</f>
        <v/>
      </c>
      <c r="H636" s="58">
        <f>IFERROR(INDEX(Firms!$Q$5:$Q$1004,MATCH(632,Firms!$R$5:$R$1004,0))&amp;"","")</f>
        <v/>
      </c>
    </row>
    <row r="637">
      <c r="A637" s="57">
        <f>IF(B637="","",633)</f>
        <v/>
      </c>
      <c r="B637" s="58">
        <f>IFERROR(INDEX(Firms!$A$5:$A$1004,MATCH(633,Firms!$R$5:$R$1004,0))&amp;"","")</f>
        <v/>
      </c>
      <c r="C637" s="59">
        <f>IFERROR(IF(INDEX(Firms!$O$5:$O$1004,MATCH(633,Firms!$R$5:$R$1004,0))="","",INDEX(Firms!$O$5:$O$1004,MATCH(633,Firms!$R$5:$R$1004,0))),"")</f>
        <v/>
      </c>
      <c r="D637" s="58">
        <f>IFERROR(INDEX(Firms!$P$5:$P$1004,MATCH(633,Firms!$R$5:$R$1004,0))&amp;"","")</f>
        <v/>
      </c>
      <c r="E637" s="58">
        <f>IFERROR(INDEX(Firms!$C$5:$C$1004,MATCH(633,Firms!$R$5:$R$1004,0))&amp;"","")</f>
        <v/>
      </c>
      <c r="F637" s="57">
        <f>IFERROR(INDEX(Firms!$L$5:$L$1004,MATCH(633,Firms!$R$5:$R$1004,0))&amp;"","")</f>
        <v/>
      </c>
      <c r="G637" s="57">
        <f>IFERROR(INDEX(Firms!$M$5:$M$1004,MATCH(633,Firms!$R$5:$R$1004,0))&amp;"","")</f>
        <v/>
      </c>
      <c r="H637" s="58">
        <f>IFERROR(INDEX(Firms!$Q$5:$Q$1004,MATCH(633,Firms!$R$5:$R$1004,0))&amp;"","")</f>
        <v/>
      </c>
    </row>
    <row r="638">
      <c r="A638" s="57">
        <f>IF(B638="","",634)</f>
        <v/>
      </c>
      <c r="B638" s="58">
        <f>IFERROR(INDEX(Firms!$A$5:$A$1004,MATCH(634,Firms!$R$5:$R$1004,0))&amp;"","")</f>
        <v/>
      </c>
      <c r="C638" s="59">
        <f>IFERROR(IF(INDEX(Firms!$O$5:$O$1004,MATCH(634,Firms!$R$5:$R$1004,0))="","",INDEX(Firms!$O$5:$O$1004,MATCH(634,Firms!$R$5:$R$1004,0))),"")</f>
        <v/>
      </c>
      <c r="D638" s="58">
        <f>IFERROR(INDEX(Firms!$P$5:$P$1004,MATCH(634,Firms!$R$5:$R$1004,0))&amp;"","")</f>
        <v/>
      </c>
      <c r="E638" s="58">
        <f>IFERROR(INDEX(Firms!$C$5:$C$1004,MATCH(634,Firms!$R$5:$R$1004,0))&amp;"","")</f>
        <v/>
      </c>
      <c r="F638" s="57">
        <f>IFERROR(INDEX(Firms!$L$5:$L$1004,MATCH(634,Firms!$R$5:$R$1004,0))&amp;"","")</f>
        <v/>
      </c>
      <c r="G638" s="57">
        <f>IFERROR(INDEX(Firms!$M$5:$M$1004,MATCH(634,Firms!$R$5:$R$1004,0))&amp;"","")</f>
        <v/>
      </c>
      <c r="H638" s="58">
        <f>IFERROR(INDEX(Firms!$Q$5:$Q$1004,MATCH(634,Firms!$R$5:$R$1004,0))&amp;"","")</f>
        <v/>
      </c>
    </row>
    <row r="639">
      <c r="A639" s="57">
        <f>IF(B639="","",635)</f>
        <v/>
      </c>
      <c r="B639" s="58">
        <f>IFERROR(INDEX(Firms!$A$5:$A$1004,MATCH(635,Firms!$R$5:$R$1004,0))&amp;"","")</f>
        <v/>
      </c>
      <c r="C639" s="59">
        <f>IFERROR(IF(INDEX(Firms!$O$5:$O$1004,MATCH(635,Firms!$R$5:$R$1004,0))="","",INDEX(Firms!$O$5:$O$1004,MATCH(635,Firms!$R$5:$R$1004,0))),"")</f>
        <v/>
      </c>
      <c r="D639" s="58">
        <f>IFERROR(INDEX(Firms!$P$5:$P$1004,MATCH(635,Firms!$R$5:$R$1004,0))&amp;"","")</f>
        <v/>
      </c>
      <c r="E639" s="58">
        <f>IFERROR(INDEX(Firms!$C$5:$C$1004,MATCH(635,Firms!$R$5:$R$1004,0))&amp;"","")</f>
        <v/>
      </c>
      <c r="F639" s="57">
        <f>IFERROR(INDEX(Firms!$L$5:$L$1004,MATCH(635,Firms!$R$5:$R$1004,0))&amp;"","")</f>
        <v/>
      </c>
      <c r="G639" s="57">
        <f>IFERROR(INDEX(Firms!$M$5:$M$1004,MATCH(635,Firms!$R$5:$R$1004,0))&amp;"","")</f>
        <v/>
      </c>
      <c r="H639" s="58">
        <f>IFERROR(INDEX(Firms!$Q$5:$Q$1004,MATCH(635,Firms!$R$5:$R$1004,0))&amp;"","")</f>
        <v/>
      </c>
    </row>
    <row r="640">
      <c r="A640" s="57">
        <f>IF(B640="","",636)</f>
        <v/>
      </c>
      <c r="B640" s="58">
        <f>IFERROR(INDEX(Firms!$A$5:$A$1004,MATCH(636,Firms!$R$5:$R$1004,0))&amp;"","")</f>
        <v/>
      </c>
      <c r="C640" s="59">
        <f>IFERROR(IF(INDEX(Firms!$O$5:$O$1004,MATCH(636,Firms!$R$5:$R$1004,0))="","",INDEX(Firms!$O$5:$O$1004,MATCH(636,Firms!$R$5:$R$1004,0))),"")</f>
        <v/>
      </c>
      <c r="D640" s="58">
        <f>IFERROR(INDEX(Firms!$P$5:$P$1004,MATCH(636,Firms!$R$5:$R$1004,0))&amp;"","")</f>
        <v/>
      </c>
      <c r="E640" s="58">
        <f>IFERROR(INDEX(Firms!$C$5:$C$1004,MATCH(636,Firms!$R$5:$R$1004,0))&amp;"","")</f>
        <v/>
      </c>
      <c r="F640" s="57">
        <f>IFERROR(INDEX(Firms!$L$5:$L$1004,MATCH(636,Firms!$R$5:$R$1004,0))&amp;"","")</f>
        <v/>
      </c>
      <c r="G640" s="57">
        <f>IFERROR(INDEX(Firms!$M$5:$M$1004,MATCH(636,Firms!$R$5:$R$1004,0))&amp;"","")</f>
        <v/>
      </c>
      <c r="H640" s="58">
        <f>IFERROR(INDEX(Firms!$Q$5:$Q$1004,MATCH(636,Firms!$R$5:$R$1004,0))&amp;"","")</f>
        <v/>
      </c>
    </row>
    <row r="641">
      <c r="A641" s="57">
        <f>IF(B641="","",637)</f>
        <v/>
      </c>
      <c r="B641" s="58">
        <f>IFERROR(INDEX(Firms!$A$5:$A$1004,MATCH(637,Firms!$R$5:$R$1004,0))&amp;"","")</f>
        <v/>
      </c>
      <c r="C641" s="59">
        <f>IFERROR(IF(INDEX(Firms!$O$5:$O$1004,MATCH(637,Firms!$R$5:$R$1004,0))="","",INDEX(Firms!$O$5:$O$1004,MATCH(637,Firms!$R$5:$R$1004,0))),"")</f>
        <v/>
      </c>
      <c r="D641" s="58">
        <f>IFERROR(INDEX(Firms!$P$5:$P$1004,MATCH(637,Firms!$R$5:$R$1004,0))&amp;"","")</f>
        <v/>
      </c>
      <c r="E641" s="58">
        <f>IFERROR(INDEX(Firms!$C$5:$C$1004,MATCH(637,Firms!$R$5:$R$1004,0))&amp;"","")</f>
        <v/>
      </c>
      <c r="F641" s="57">
        <f>IFERROR(INDEX(Firms!$L$5:$L$1004,MATCH(637,Firms!$R$5:$R$1004,0))&amp;"","")</f>
        <v/>
      </c>
      <c r="G641" s="57">
        <f>IFERROR(INDEX(Firms!$M$5:$M$1004,MATCH(637,Firms!$R$5:$R$1004,0))&amp;"","")</f>
        <v/>
      </c>
      <c r="H641" s="58">
        <f>IFERROR(INDEX(Firms!$Q$5:$Q$1004,MATCH(637,Firms!$R$5:$R$1004,0))&amp;"","")</f>
        <v/>
      </c>
    </row>
    <row r="642">
      <c r="A642" s="57">
        <f>IF(B642="","",638)</f>
        <v/>
      </c>
      <c r="B642" s="58">
        <f>IFERROR(INDEX(Firms!$A$5:$A$1004,MATCH(638,Firms!$R$5:$R$1004,0))&amp;"","")</f>
        <v/>
      </c>
      <c r="C642" s="59">
        <f>IFERROR(IF(INDEX(Firms!$O$5:$O$1004,MATCH(638,Firms!$R$5:$R$1004,0))="","",INDEX(Firms!$O$5:$O$1004,MATCH(638,Firms!$R$5:$R$1004,0))),"")</f>
        <v/>
      </c>
      <c r="D642" s="58">
        <f>IFERROR(INDEX(Firms!$P$5:$P$1004,MATCH(638,Firms!$R$5:$R$1004,0))&amp;"","")</f>
        <v/>
      </c>
      <c r="E642" s="58">
        <f>IFERROR(INDEX(Firms!$C$5:$C$1004,MATCH(638,Firms!$R$5:$R$1004,0))&amp;"","")</f>
        <v/>
      </c>
      <c r="F642" s="57">
        <f>IFERROR(INDEX(Firms!$L$5:$L$1004,MATCH(638,Firms!$R$5:$R$1004,0))&amp;"","")</f>
        <v/>
      </c>
      <c r="G642" s="57">
        <f>IFERROR(INDEX(Firms!$M$5:$M$1004,MATCH(638,Firms!$R$5:$R$1004,0))&amp;"","")</f>
        <v/>
      </c>
      <c r="H642" s="58">
        <f>IFERROR(INDEX(Firms!$Q$5:$Q$1004,MATCH(638,Firms!$R$5:$R$1004,0))&amp;"","")</f>
        <v/>
      </c>
    </row>
    <row r="643">
      <c r="A643" s="57">
        <f>IF(B643="","",639)</f>
        <v/>
      </c>
      <c r="B643" s="58">
        <f>IFERROR(INDEX(Firms!$A$5:$A$1004,MATCH(639,Firms!$R$5:$R$1004,0))&amp;"","")</f>
        <v/>
      </c>
      <c r="C643" s="59">
        <f>IFERROR(IF(INDEX(Firms!$O$5:$O$1004,MATCH(639,Firms!$R$5:$R$1004,0))="","",INDEX(Firms!$O$5:$O$1004,MATCH(639,Firms!$R$5:$R$1004,0))),"")</f>
        <v/>
      </c>
      <c r="D643" s="58">
        <f>IFERROR(INDEX(Firms!$P$5:$P$1004,MATCH(639,Firms!$R$5:$R$1004,0))&amp;"","")</f>
        <v/>
      </c>
      <c r="E643" s="58">
        <f>IFERROR(INDEX(Firms!$C$5:$C$1004,MATCH(639,Firms!$R$5:$R$1004,0))&amp;"","")</f>
        <v/>
      </c>
      <c r="F643" s="57">
        <f>IFERROR(INDEX(Firms!$L$5:$L$1004,MATCH(639,Firms!$R$5:$R$1004,0))&amp;"","")</f>
        <v/>
      </c>
      <c r="G643" s="57">
        <f>IFERROR(INDEX(Firms!$M$5:$M$1004,MATCH(639,Firms!$R$5:$R$1004,0))&amp;"","")</f>
        <v/>
      </c>
      <c r="H643" s="58">
        <f>IFERROR(INDEX(Firms!$Q$5:$Q$1004,MATCH(639,Firms!$R$5:$R$1004,0))&amp;"","")</f>
        <v/>
      </c>
    </row>
    <row r="644">
      <c r="A644" s="57">
        <f>IF(B644="","",640)</f>
        <v/>
      </c>
      <c r="B644" s="58">
        <f>IFERROR(INDEX(Firms!$A$5:$A$1004,MATCH(640,Firms!$R$5:$R$1004,0))&amp;"","")</f>
        <v/>
      </c>
      <c r="C644" s="59">
        <f>IFERROR(IF(INDEX(Firms!$O$5:$O$1004,MATCH(640,Firms!$R$5:$R$1004,0))="","",INDEX(Firms!$O$5:$O$1004,MATCH(640,Firms!$R$5:$R$1004,0))),"")</f>
        <v/>
      </c>
      <c r="D644" s="58">
        <f>IFERROR(INDEX(Firms!$P$5:$P$1004,MATCH(640,Firms!$R$5:$R$1004,0))&amp;"","")</f>
        <v/>
      </c>
      <c r="E644" s="58">
        <f>IFERROR(INDEX(Firms!$C$5:$C$1004,MATCH(640,Firms!$R$5:$R$1004,0))&amp;"","")</f>
        <v/>
      </c>
      <c r="F644" s="57">
        <f>IFERROR(INDEX(Firms!$L$5:$L$1004,MATCH(640,Firms!$R$5:$R$1004,0))&amp;"","")</f>
        <v/>
      </c>
      <c r="G644" s="57">
        <f>IFERROR(INDEX(Firms!$M$5:$M$1004,MATCH(640,Firms!$R$5:$R$1004,0))&amp;"","")</f>
        <v/>
      </c>
      <c r="H644" s="58">
        <f>IFERROR(INDEX(Firms!$Q$5:$Q$1004,MATCH(640,Firms!$R$5:$R$1004,0))&amp;"","")</f>
        <v/>
      </c>
    </row>
    <row r="645">
      <c r="A645" s="57">
        <f>IF(B645="","",641)</f>
        <v/>
      </c>
      <c r="B645" s="58">
        <f>IFERROR(INDEX(Firms!$A$5:$A$1004,MATCH(641,Firms!$R$5:$R$1004,0))&amp;"","")</f>
        <v/>
      </c>
      <c r="C645" s="59">
        <f>IFERROR(IF(INDEX(Firms!$O$5:$O$1004,MATCH(641,Firms!$R$5:$R$1004,0))="","",INDEX(Firms!$O$5:$O$1004,MATCH(641,Firms!$R$5:$R$1004,0))),"")</f>
        <v/>
      </c>
      <c r="D645" s="58">
        <f>IFERROR(INDEX(Firms!$P$5:$P$1004,MATCH(641,Firms!$R$5:$R$1004,0))&amp;"","")</f>
        <v/>
      </c>
      <c r="E645" s="58">
        <f>IFERROR(INDEX(Firms!$C$5:$C$1004,MATCH(641,Firms!$R$5:$R$1004,0))&amp;"","")</f>
        <v/>
      </c>
      <c r="F645" s="57">
        <f>IFERROR(INDEX(Firms!$L$5:$L$1004,MATCH(641,Firms!$R$5:$R$1004,0))&amp;"","")</f>
        <v/>
      </c>
      <c r="G645" s="57">
        <f>IFERROR(INDEX(Firms!$M$5:$M$1004,MATCH(641,Firms!$R$5:$R$1004,0))&amp;"","")</f>
        <v/>
      </c>
      <c r="H645" s="58">
        <f>IFERROR(INDEX(Firms!$Q$5:$Q$1004,MATCH(641,Firms!$R$5:$R$1004,0))&amp;"","")</f>
        <v/>
      </c>
    </row>
    <row r="646">
      <c r="A646" s="57">
        <f>IF(B646="","",642)</f>
        <v/>
      </c>
      <c r="B646" s="58">
        <f>IFERROR(INDEX(Firms!$A$5:$A$1004,MATCH(642,Firms!$R$5:$R$1004,0))&amp;"","")</f>
        <v/>
      </c>
      <c r="C646" s="59">
        <f>IFERROR(IF(INDEX(Firms!$O$5:$O$1004,MATCH(642,Firms!$R$5:$R$1004,0))="","",INDEX(Firms!$O$5:$O$1004,MATCH(642,Firms!$R$5:$R$1004,0))),"")</f>
        <v/>
      </c>
      <c r="D646" s="58">
        <f>IFERROR(INDEX(Firms!$P$5:$P$1004,MATCH(642,Firms!$R$5:$R$1004,0))&amp;"","")</f>
        <v/>
      </c>
      <c r="E646" s="58">
        <f>IFERROR(INDEX(Firms!$C$5:$C$1004,MATCH(642,Firms!$R$5:$R$1004,0))&amp;"","")</f>
        <v/>
      </c>
      <c r="F646" s="57">
        <f>IFERROR(INDEX(Firms!$L$5:$L$1004,MATCH(642,Firms!$R$5:$R$1004,0))&amp;"","")</f>
        <v/>
      </c>
      <c r="G646" s="57">
        <f>IFERROR(INDEX(Firms!$M$5:$M$1004,MATCH(642,Firms!$R$5:$R$1004,0))&amp;"","")</f>
        <v/>
      </c>
      <c r="H646" s="58">
        <f>IFERROR(INDEX(Firms!$Q$5:$Q$1004,MATCH(642,Firms!$R$5:$R$1004,0))&amp;"","")</f>
        <v/>
      </c>
    </row>
    <row r="647">
      <c r="A647" s="57">
        <f>IF(B647="","",643)</f>
        <v/>
      </c>
      <c r="B647" s="58">
        <f>IFERROR(INDEX(Firms!$A$5:$A$1004,MATCH(643,Firms!$R$5:$R$1004,0))&amp;"","")</f>
        <v/>
      </c>
      <c r="C647" s="59">
        <f>IFERROR(IF(INDEX(Firms!$O$5:$O$1004,MATCH(643,Firms!$R$5:$R$1004,0))="","",INDEX(Firms!$O$5:$O$1004,MATCH(643,Firms!$R$5:$R$1004,0))),"")</f>
        <v/>
      </c>
      <c r="D647" s="58">
        <f>IFERROR(INDEX(Firms!$P$5:$P$1004,MATCH(643,Firms!$R$5:$R$1004,0))&amp;"","")</f>
        <v/>
      </c>
      <c r="E647" s="58">
        <f>IFERROR(INDEX(Firms!$C$5:$C$1004,MATCH(643,Firms!$R$5:$R$1004,0))&amp;"","")</f>
        <v/>
      </c>
      <c r="F647" s="57">
        <f>IFERROR(INDEX(Firms!$L$5:$L$1004,MATCH(643,Firms!$R$5:$R$1004,0))&amp;"","")</f>
        <v/>
      </c>
      <c r="G647" s="57">
        <f>IFERROR(INDEX(Firms!$M$5:$M$1004,MATCH(643,Firms!$R$5:$R$1004,0))&amp;"","")</f>
        <v/>
      </c>
      <c r="H647" s="58">
        <f>IFERROR(INDEX(Firms!$Q$5:$Q$1004,MATCH(643,Firms!$R$5:$R$1004,0))&amp;"","")</f>
        <v/>
      </c>
    </row>
    <row r="648">
      <c r="A648" s="57">
        <f>IF(B648="","",644)</f>
        <v/>
      </c>
      <c r="B648" s="58">
        <f>IFERROR(INDEX(Firms!$A$5:$A$1004,MATCH(644,Firms!$R$5:$R$1004,0))&amp;"","")</f>
        <v/>
      </c>
      <c r="C648" s="59">
        <f>IFERROR(IF(INDEX(Firms!$O$5:$O$1004,MATCH(644,Firms!$R$5:$R$1004,0))="","",INDEX(Firms!$O$5:$O$1004,MATCH(644,Firms!$R$5:$R$1004,0))),"")</f>
        <v/>
      </c>
      <c r="D648" s="58">
        <f>IFERROR(INDEX(Firms!$P$5:$P$1004,MATCH(644,Firms!$R$5:$R$1004,0))&amp;"","")</f>
        <v/>
      </c>
      <c r="E648" s="58">
        <f>IFERROR(INDEX(Firms!$C$5:$C$1004,MATCH(644,Firms!$R$5:$R$1004,0))&amp;"","")</f>
        <v/>
      </c>
      <c r="F648" s="57">
        <f>IFERROR(INDEX(Firms!$L$5:$L$1004,MATCH(644,Firms!$R$5:$R$1004,0))&amp;"","")</f>
        <v/>
      </c>
      <c r="G648" s="57">
        <f>IFERROR(INDEX(Firms!$M$5:$M$1004,MATCH(644,Firms!$R$5:$R$1004,0))&amp;"","")</f>
        <v/>
      </c>
      <c r="H648" s="58">
        <f>IFERROR(INDEX(Firms!$Q$5:$Q$1004,MATCH(644,Firms!$R$5:$R$1004,0))&amp;"","")</f>
        <v/>
      </c>
    </row>
    <row r="649">
      <c r="A649" s="57">
        <f>IF(B649="","",645)</f>
        <v/>
      </c>
      <c r="B649" s="58">
        <f>IFERROR(INDEX(Firms!$A$5:$A$1004,MATCH(645,Firms!$R$5:$R$1004,0))&amp;"","")</f>
        <v/>
      </c>
      <c r="C649" s="59">
        <f>IFERROR(IF(INDEX(Firms!$O$5:$O$1004,MATCH(645,Firms!$R$5:$R$1004,0))="","",INDEX(Firms!$O$5:$O$1004,MATCH(645,Firms!$R$5:$R$1004,0))),"")</f>
        <v/>
      </c>
      <c r="D649" s="58">
        <f>IFERROR(INDEX(Firms!$P$5:$P$1004,MATCH(645,Firms!$R$5:$R$1004,0))&amp;"","")</f>
        <v/>
      </c>
      <c r="E649" s="58">
        <f>IFERROR(INDEX(Firms!$C$5:$C$1004,MATCH(645,Firms!$R$5:$R$1004,0))&amp;"","")</f>
        <v/>
      </c>
      <c r="F649" s="57">
        <f>IFERROR(INDEX(Firms!$L$5:$L$1004,MATCH(645,Firms!$R$5:$R$1004,0))&amp;"","")</f>
        <v/>
      </c>
      <c r="G649" s="57">
        <f>IFERROR(INDEX(Firms!$M$5:$M$1004,MATCH(645,Firms!$R$5:$R$1004,0))&amp;"","")</f>
        <v/>
      </c>
      <c r="H649" s="58">
        <f>IFERROR(INDEX(Firms!$Q$5:$Q$1004,MATCH(645,Firms!$R$5:$R$1004,0))&amp;"","")</f>
        <v/>
      </c>
    </row>
    <row r="650">
      <c r="A650" s="57">
        <f>IF(B650="","",646)</f>
        <v/>
      </c>
      <c r="B650" s="58">
        <f>IFERROR(INDEX(Firms!$A$5:$A$1004,MATCH(646,Firms!$R$5:$R$1004,0))&amp;"","")</f>
        <v/>
      </c>
      <c r="C650" s="59">
        <f>IFERROR(IF(INDEX(Firms!$O$5:$O$1004,MATCH(646,Firms!$R$5:$R$1004,0))="","",INDEX(Firms!$O$5:$O$1004,MATCH(646,Firms!$R$5:$R$1004,0))),"")</f>
        <v/>
      </c>
      <c r="D650" s="58">
        <f>IFERROR(INDEX(Firms!$P$5:$P$1004,MATCH(646,Firms!$R$5:$R$1004,0))&amp;"","")</f>
        <v/>
      </c>
      <c r="E650" s="58">
        <f>IFERROR(INDEX(Firms!$C$5:$C$1004,MATCH(646,Firms!$R$5:$R$1004,0))&amp;"","")</f>
        <v/>
      </c>
      <c r="F650" s="57">
        <f>IFERROR(INDEX(Firms!$L$5:$L$1004,MATCH(646,Firms!$R$5:$R$1004,0))&amp;"","")</f>
        <v/>
      </c>
      <c r="G650" s="57">
        <f>IFERROR(INDEX(Firms!$M$5:$M$1004,MATCH(646,Firms!$R$5:$R$1004,0))&amp;"","")</f>
        <v/>
      </c>
      <c r="H650" s="58">
        <f>IFERROR(INDEX(Firms!$Q$5:$Q$1004,MATCH(646,Firms!$R$5:$R$1004,0))&amp;"","")</f>
        <v/>
      </c>
    </row>
    <row r="651">
      <c r="A651" s="57">
        <f>IF(B651="","",647)</f>
        <v/>
      </c>
      <c r="B651" s="58">
        <f>IFERROR(INDEX(Firms!$A$5:$A$1004,MATCH(647,Firms!$R$5:$R$1004,0))&amp;"","")</f>
        <v/>
      </c>
      <c r="C651" s="59">
        <f>IFERROR(IF(INDEX(Firms!$O$5:$O$1004,MATCH(647,Firms!$R$5:$R$1004,0))="","",INDEX(Firms!$O$5:$O$1004,MATCH(647,Firms!$R$5:$R$1004,0))),"")</f>
        <v/>
      </c>
      <c r="D651" s="58">
        <f>IFERROR(INDEX(Firms!$P$5:$P$1004,MATCH(647,Firms!$R$5:$R$1004,0))&amp;"","")</f>
        <v/>
      </c>
      <c r="E651" s="58">
        <f>IFERROR(INDEX(Firms!$C$5:$C$1004,MATCH(647,Firms!$R$5:$R$1004,0))&amp;"","")</f>
        <v/>
      </c>
      <c r="F651" s="57">
        <f>IFERROR(INDEX(Firms!$L$5:$L$1004,MATCH(647,Firms!$R$5:$R$1004,0))&amp;"","")</f>
        <v/>
      </c>
      <c r="G651" s="57">
        <f>IFERROR(INDEX(Firms!$M$5:$M$1004,MATCH(647,Firms!$R$5:$R$1004,0))&amp;"","")</f>
        <v/>
      </c>
      <c r="H651" s="58">
        <f>IFERROR(INDEX(Firms!$Q$5:$Q$1004,MATCH(647,Firms!$R$5:$R$1004,0))&amp;"","")</f>
        <v/>
      </c>
    </row>
    <row r="652">
      <c r="A652" s="57">
        <f>IF(B652="","",648)</f>
        <v/>
      </c>
      <c r="B652" s="58">
        <f>IFERROR(INDEX(Firms!$A$5:$A$1004,MATCH(648,Firms!$R$5:$R$1004,0))&amp;"","")</f>
        <v/>
      </c>
      <c r="C652" s="59">
        <f>IFERROR(IF(INDEX(Firms!$O$5:$O$1004,MATCH(648,Firms!$R$5:$R$1004,0))="","",INDEX(Firms!$O$5:$O$1004,MATCH(648,Firms!$R$5:$R$1004,0))),"")</f>
        <v/>
      </c>
      <c r="D652" s="58">
        <f>IFERROR(INDEX(Firms!$P$5:$P$1004,MATCH(648,Firms!$R$5:$R$1004,0))&amp;"","")</f>
        <v/>
      </c>
      <c r="E652" s="58">
        <f>IFERROR(INDEX(Firms!$C$5:$C$1004,MATCH(648,Firms!$R$5:$R$1004,0))&amp;"","")</f>
        <v/>
      </c>
      <c r="F652" s="57">
        <f>IFERROR(INDEX(Firms!$L$5:$L$1004,MATCH(648,Firms!$R$5:$R$1004,0))&amp;"","")</f>
        <v/>
      </c>
      <c r="G652" s="57">
        <f>IFERROR(INDEX(Firms!$M$5:$M$1004,MATCH(648,Firms!$R$5:$R$1004,0))&amp;"","")</f>
        <v/>
      </c>
      <c r="H652" s="58">
        <f>IFERROR(INDEX(Firms!$Q$5:$Q$1004,MATCH(648,Firms!$R$5:$R$1004,0))&amp;"","")</f>
        <v/>
      </c>
    </row>
    <row r="653">
      <c r="A653" s="57">
        <f>IF(B653="","",649)</f>
        <v/>
      </c>
      <c r="B653" s="58">
        <f>IFERROR(INDEX(Firms!$A$5:$A$1004,MATCH(649,Firms!$R$5:$R$1004,0))&amp;"","")</f>
        <v/>
      </c>
      <c r="C653" s="59">
        <f>IFERROR(IF(INDEX(Firms!$O$5:$O$1004,MATCH(649,Firms!$R$5:$R$1004,0))="","",INDEX(Firms!$O$5:$O$1004,MATCH(649,Firms!$R$5:$R$1004,0))),"")</f>
        <v/>
      </c>
      <c r="D653" s="58">
        <f>IFERROR(INDEX(Firms!$P$5:$P$1004,MATCH(649,Firms!$R$5:$R$1004,0))&amp;"","")</f>
        <v/>
      </c>
      <c r="E653" s="58">
        <f>IFERROR(INDEX(Firms!$C$5:$C$1004,MATCH(649,Firms!$R$5:$R$1004,0))&amp;"","")</f>
        <v/>
      </c>
      <c r="F653" s="57">
        <f>IFERROR(INDEX(Firms!$L$5:$L$1004,MATCH(649,Firms!$R$5:$R$1004,0))&amp;"","")</f>
        <v/>
      </c>
      <c r="G653" s="57">
        <f>IFERROR(INDEX(Firms!$M$5:$M$1004,MATCH(649,Firms!$R$5:$R$1004,0))&amp;"","")</f>
        <v/>
      </c>
      <c r="H653" s="58">
        <f>IFERROR(INDEX(Firms!$Q$5:$Q$1004,MATCH(649,Firms!$R$5:$R$1004,0))&amp;"","")</f>
        <v/>
      </c>
    </row>
    <row r="654">
      <c r="A654" s="57">
        <f>IF(B654="","",650)</f>
        <v/>
      </c>
      <c r="B654" s="58">
        <f>IFERROR(INDEX(Firms!$A$5:$A$1004,MATCH(650,Firms!$R$5:$R$1004,0))&amp;"","")</f>
        <v/>
      </c>
      <c r="C654" s="59">
        <f>IFERROR(IF(INDEX(Firms!$O$5:$O$1004,MATCH(650,Firms!$R$5:$R$1004,0))="","",INDEX(Firms!$O$5:$O$1004,MATCH(650,Firms!$R$5:$R$1004,0))),"")</f>
        <v/>
      </c>
      <c r="D654" s="58">
        <f>IFERROR(INDEX(Firms!$P$5:$P$1004,MATCH(650,Firms!$R$5:$R$1004,0))&amp;"","")</f>
        <v/>
      </c>
      <c r="E654" s="58">
        <f>IFERROR(INDEX(Firms!$C$5:$C$1004,MATCH(650,Firms!$R$5:$R$1004,0))&amp;"","")</f>
        <v/>
      </c>
      <c r="F654" s="57">
        <f>IFERROR(INDEX(Firms!$L$5:$L$1004,MATCH(650,Firms!$R$5:$R$1004,0))&amp;"","")</f>
        <v/>
      </c>
      <c r="G654" s="57">
        <f>IFERROR(INDEX(Firms!$M$5:$M$1004,MATCH(650,Firms!$R$5:$R$1004,0))&amp;"","")</f>
        <v/>
      </c>
      <c r="H654" s="58">
        <f>IFERROR(INDEX(Firms!$Q$5:$Q$1004,MATCH(650,Firms!$R$5:$R$1004,0))&amp;"","")</f>
        <v/>
      </c>
    </row>
    <row r="655">
      <c r="A655" s="57">
        <f>IF(B655="","",651)</f>
        <v/>
      </c>
      <c r="B655" s="58">
        <f>IFERROR(INDEX(Firms!$A$5:$A$1004,MATCH(651,Firms!$R$5:$R$1004,0))&amp;"","")</f>
        <v/>
      </c>
      <c r="C655" s="59">
        <f>IFERROR(IF(INDEX(Firms!$O$5:$O$1004,MATCH(651,Firms!$R$5:$R$1004,0))="","",INDEX(Firms!$O$5:$O$1004,MATCH(651,Firms!$R$5:$R$1004,0))),"")</f>
        <v/>
      </c>
      <c r="D655" s="58">
        <f>IFERROR(INDEX(Firms!$P$5:$P$1004,MATCH(651,Firms!$R$5:$R$1004,0))&amp;"","")</f>
        <v/>
      </c>
      <c r="E655" s="58">
        <f>IFERROR(INDEX(Firms!$C$5:$C$1004,MATCH(651,Firms!$R$5:$R$1004,0))&amp;"","")</f>
        <v/>
      </c>
      <c r="F655" s="57">
        <f>IFERROR(INDEX(Firms!$L$5:$L$1004,MATCH(651,Firms!$R$5:$R$1004,0))&amp;"","")</f>
        <v/>
      </c>
      <c r="G655" s="57">
        <f>IFERROR(INDEX(Firms!$M$5:$M$1004,MATCH(651,Firms!$R$5:$R$1004,0))&amp;"","")</f>
        <v/>
      </c>
      <c r="H655" s="58">
        <f>IFERROR(INDEX(Firms!$Q$5:$Q$1004,MATCH(651,Firms!$R$5:$R$1004,0))&amp;"","")</f>
        <v/>
      </c>
    </row>
    <row r="656">
      <c r="A656" s="57">
        <f>IF(B656="","",652)</f>
        <v/>
      </c>
      <c r="B656" s="58">
        <f>IFERROR(INDEX(Firms!$A$5:$A$1004,MATCH(652,Firms!$R$5:$R$1004,0))&amp;"","")</f>
        <v/>
      </c>
      <c r="C656" s="59">
        <f>IFERROR(IF(INDEX(Firms!$O$5:$O$1004,MATCH(652,Firms!$R$5:$R$1004,0))="","",INDEX(Firms!$O$5:$O$1004,MATCH(652,Firms!$R$5:$R$1004,0))),"")</f>
        <v/>
      </c>
      <c r="D656" s="58">
        <f>IFERROR(INDEX(Firms!$P$5:$P$1004,MATCH(652,Firms!$R$5:$R$1004,0))&amp;"","")</f>
        <v/>
      </c>
      <c r="E656" s="58">
        <f>IFERROR(INDEX(Firms!$C$5:$C$1004,MATCH(652,Firms!$R$5:$R$1004,0))&amp;"","")</f>
        <v/>
      </c>
      <c r="F656" s="57">
        <f>IFERROR(INDEX(Firms!$L$5:$L$1004,MATCH(652,Firms!$R$5:$R$1004,0))&amp;"","")</f>
        <v/>
      </c>
      <c r="G656" s="57">
        <f>IFERROR(INDEX(Firms!$M$5:$M$1004,MATCH(652,Firms!$R$5:$R$1004,0))&amp;"","")</f>
        <v/>
      </c>
      <c r="H656" s="58">
        <f>IFERROR(INDEX(Firms!$Q$5:$Q$1004,MATCH(652,Firms!$R$5:$R$1004,0))&amp;"","")</f>
        <v/>
      </c>
    </row>
    <row r="657">
      <c r="A657" s="57">
        <f>IF(B657="","",653)</f>
        <v/>
      </c>
      <c r="B657" s="58">
        <f>IFERROR(INDEX(Firms!$A$5:$A$1004,MATCH(653,Firms!$R$5:$R$1004,0))&amp;"","")</f>
        <v/>
      </c>
      <c r="C657" s="59">
        <f>IFERROR(IF(INDEX(Firms!$O$5:$O$1004,MATCH(653,Firms!$R$5:$R$1004,0))="","",INDEX(Firms!$O$5:$O$1004,MATCH(653,Firms!$R$5:$R$1004,0))),"")</f>
        <v/>
      </c>
      <c r="D657" s="58">
        <f>IFERROR(INDEX(Firms!$P$5:$P$1004,MATCH(653,Firms!$R$5:$R$1004,0))&amp;"","")</f>
        <v/>
      </c>
      <c r="E657" s="58">
        <f>IFERROR(INDEX(Firms!$C$5:$C$1004,MATCH(653,Firms!$R$5:$R$1004,0))&amp;"","")</f>
        <v/>
      </c>
      <c r="F657" s="57">
        <f>IFERROR(INDEX(Firms!$L$5:$L$1004,MATCH(653,Firms!$R$5:$R$1004,0))&amp;"","")</f>
        <v/>
      </c>
      <c r="G657" s="57">
        <f>IFERROR(INDEX(Firms!$M$5:$M$1004,MATCH(653,Firms!$R$5:$R$1004,0))&amp;"","")</f>
        <v/>
      </c>
      <c r="H657" s="58">
        <f>IFERROR(INDEX(Firms!$Q$5:$Q$1004,MATCH(653,Firms!$R$5:$R$1004,0))&amp;"","")</f>
        <v/>
      </c>
    </row>
    <row r="658">
      <c r="A658" s="57">
        <f>IF(B658="","",654)</f>
        <v/>
      </c>
      <c r="B658" s="58">
        <f>IFERROR(INDEX(Firms!$A$5:$A$1004,MATCH(654,Firms!$R$5:$R$1004,0))&amp;"","")</f>
        <v/>
      </c>
      <c r="C658" s="59">
        <f>IFERROR(IF(INDEX(Firms!$O$5:$O$1004,MATCH(654,Firms!$R$5:$R$1004,0))="","",INDEX(Firms!$O$5:$O$1004,MATCH(654,Firms!$R$5:$R$1004,0))),"")</f>
        <v/>
      </c>
      <c r="D658" s="58">
        <f>IFERROR(INDEX(Firms!$P$5:$P$1004,MATCH(654,Firms!$R$5:$R$1004,0))&amp;"","")</f>
        <v/>
      </c>
      <c r="E658" s="58">
        <f>IFERROR(INDEX(Firms!$C$5:$C$1004,MATCH(654,Firms!$R$5:$R$1004,0))&amp;"","")</f>
        <v/>
      </c>
      <c r="F658" s="57">
        <f>IFERROR(INDEX(Firms!$L$5:$L$1004,MATCH(654,Firms!$R$5:$R$1004,0))&amp;"","")</f>
        <v/>
      </c>
      <c r="G658" s="57">
        <f>IFERROR(INDEX(Firms!$M$5:$M$1004,MATCH(654,Firms!$R$5:$R$1004,0))&amp;"","")</f>
        <v/>
      </c>
      <c r="H658" s="58">
        <f>IFERROR(INDEX(Firms!$Q$5:$Q$1004,MATCH(654,Firms!$R$5:$R$1004,0))&amp;"","")</f>
        <v/>
      </c>
    </row>
    <row r="659">
      <c r="A659" s="57">
        <f>IF(B659="","",655)</f>
        <v/>
      </c>
      <c r="B659" s="58">
        <f>IFERROR(INDEX(Firms!$A$5:$A$1004,MATCH(655,Firms!$R$5:$R$1004,0))&amp;"","")</f>
        <v/>
      </c>
      <c r="C659" s="59">
        <f>IFERROR(IF(INDEX(Firms!$O$5:$O$1004,MATCH(655,Firms!$R$5:$R$1004,0))="","",INDEX(Firms!$O$5:$O$1004,MATCH(655,Firms!$R$5:$R$1004,0))),"")</f>
        <v/>
      </c>
      <c r="D659" s="58">
        <f>IFERROR(INDEX(Firms!$P$5:$P$1004,MATCH(655,Firms!$R$5:$R$1004,0))&amp;"","")</f>
        <v/>
      </c>
      <c r="E659" s="58">
        <f>IFERROR(INDEX(Firms!$C$5:$C$1004,MATCH(655,Firms!$R$5:$R$1004,0))&amp;"","")</f>
        <v/>
      </c>
      <c r="F659" s="57">
        <f>IFERROR(INDEX(Firms!$L$5:$L$1004,MATCH(655,Firms!$R$5:$R$1004,0))&amp;"","")</f>
        <v/>
      </c>
      <c r="G659" s="57">
        <f>IFERROR(INDEX(Firms!$M$5:$M$1004,MATCH(655,Firms!$R$5:$R$1004,0))&amp;"","")</f>
        <v/>
      </c>
      <c r="H659" s="58">
        <f>IFERROR(INDEX(Firms!$Q$5:$Q$1004,MATCH(655,Firms!$R$5:$R$1004,0))&amp;"","")</f>
        <v/>
      </c>
    </row>
    <row r="660">
      <c r="A660" s="57">
        <f>IF(B660="","",656)</f>
        <v/>
      </c>
      <c r="B660" s="58">
        <f>IFERROR(INDEX(Firms!$A$5:$A$1004,MATCH(656,Firms!$R$5:$R$1004,0))&amp;"","")</f>
        <v/>
      </c>
      <c r="C660" s="59">
        <f>IFERROR(IF(INDEX(Firms!$O$5:$O$1004,MATCH(656,Firms!$R$5:$R$1004,0))="","",INDEX(Firms!$O$5:$O$1004,MATCH(656,Firms!$R$5:$R$1004,0))),"")</f>
        <v/>
      </c>
      <c r="D660" s="58">
        <f>IFERROR(INDEX(Firms!$P$5:$P$1004,MATCH(656,Firms!$R$5:$R$1004,0))&amp;"","")</f>
        <v/>
      </c>
      <c r="E660" s="58">
        <f>IFERROR(INDEX(Firms!$C$5:$C$1004,MATCH(656,Firms!$R$5:$R$1004,0))&amp;"","")</f>
        <v/>
      </c>
      <c r="F660" s="57">
        <f>IFERROR(INDEX(Firms!$L$5:$L$1004,MATCH(656,Firms!$R$5:$R$1004,0))&amp;"","")</f>
        <v/>
      </c>
      <c r="G660" s="57">
        <f>IFERROR(INDEX(Firms!$M$5:$M$1004,MATCH(656,Firms!$R$5:$R$1004,0))&amp;"","")</f>
        <v/>
      </c>
      <c r="H660" s="58">
        <f>IFERROR(INDEX(Firms!$Q$5:$Q$1004,MATCH(656,Firms!$R$5:$R$1004,0))&amp;"","")</f>
        <v/>
      </c>
    </row>
    <row r="661">
      <c r="A661" s="57">
        <f>IF(B661="","",657)</f>
        <v/>
      </c>
      <c r="B661" s="58">
        <f>IFERROR(INDEX(Firms!$A$5:$A$1004,MATCH(657,Firms!$R$5:$R$1004,0))&amp;"","")</f>
        <v/>
      </c>
      <c r="C661" s="59">
        <f>IFERROR(IF(INDEX(Firms!$O$5:$O$1004,MATCH(657,Firms!$R$5:$R$1004,0))="","",INDEX(Firms!$O$5:$O$1004,MATCH(657,Firms!$R$5:$R$1004,0))),"")</f>
        <v/>
      </c>
      <c r="D661" s="58">
        <f>IFERROR(INDEX(Firms!$P$5:$P$1004,MATCH(657,Firms!$R$5:$R$1004,0))&amp;"","")</f>
        <v/>
      </c>
      <c r="E661" s="58">
        <f>IFERROR(INDEX(Firms!$C$5:$C$1004,MATCH(657,Firms!$R$5:$R$1004,0))&amp;"","")</f>
        <v/>
      </c>
      <c r="F661" s="57">
        <f>IFERROR(INDEX(Firms!$L$5:$L$1004,MATCH(657,Firms!$R$5:$R$1004,0))&amp;"","")</f>
        <v/>
      </c>
      <c r="G661" s="57">
        <f>IFERROR(INDEX(Firms!$M$5:$M$1004,MATCH(657,Firms!$R$5:$R$1004,0))&amp;"","")</f>
        <v/>
      </c>
      <c r="H661" s="58">
        <f>IFERROR(INDEX(Firms!$Q$5:$Q$1004,MATCH(657,Firms!$R$5:$R$1004,0))&amp;"","")</f>
        <v/>
      </c>
    </row>
    <row r="662">
      <c r="A662" s="57">
        <f>IF(B662="","",658)</f>
        <v/>
      </c>
      <c r="B662" s="58">
        <f>IFERROR(INDEX(Firms!$A$5:$A$1004,MATCH(658,Firms!$R$5:$R$1004,0))&amp;"","")</f>
        <v/>
      </c>
      <c r="C662" s="59">
        <f>IFERROR(IF(INDEX(Firms!$O$5:$O$1004,MATCH(658,Firms!$R$5:$R$1004,0))="","",INDEX(Firms!$O$5:$O$1004,MATCH(658,Firms!$R$5:$R$1004,0))),"")</f>
        <v/>
      </c>
      <c r="D662" s="58">
        <f>IFERROR(INDEX(Firms!$P$5:$P$1004,MATCH(658,Firms!$R$5:$R$1004,0))&amp;"","")</f>
        <v/>
      </c>
      <c r="E662" s="58">
        <f>IFERROR(INDEX(Firms!$C$5:$C$1004,MATCH(658,Firms!$R$5:$R$1004,0))&amp;"","")</f>
        <v/>
      </c>
      <c r="F662" s="57">
        <f>IFERROR(INDEX(Firms!$L$5:$L$1004,MATCH(658,Firms!$R$5:$R$1004,0))&amp;"","")</f>
        <v/>
      </c>
      <c r="G662" s="57">
        <f>IFERROR(INDEX(Firms!$M$5:$M$1004,MATCH(658,Firms!$R$5:$R$1004,0))&amp;"","")</f>
        <v/>
      </c>
      <c r="H662" s="58">
        <f>IFERROR(INDEX(Firms!$Q$5:$Q$1004,MATCH(658,Firms!$R$5:$R$1004,0))&amp;"","")</f>
        <v/>
      </c>
    </row>
    <row r="663">
      <c r="A663" s="57">
        <f>IF(B663="","",659)</f>
        <v/>
      </c>
      <c r="B663" s="58">
        <f>IFERROR(INDEX(Firms!$A$5:$A$1004,MATCH(659,Firms!$R$5:$R$1004,0))&amp;"","")</f>
        <v/>
      </c>
      <c r="C663" s="59">
        <f>IFERROR(IF(INDEX(Firms!$O$5:$O$1004,MATCH(659,Firms!$R$5:$R$1004,0))="","",INDEX(Firms!$O$5:$O$1004,MATCH(659,Firms!$R$5:$R$1004,0))),"")</f>
        <v/>
      </c>
      <c r="D663" s="58">
        <f>IFERROR(INDEX(Firms!$P$5:$P$1004,MATCH(659,Firms!$R$5:$R$1004,0))&amp;"","")</f>
        <v/>
      </c>
      <c r="E663" s="58">
        <f>IFERROR(INDEX(Firms!$C$5:$C$1004,MATCH(659,Firms!$R$5:$R$1004,0))&amp;"","")</f>
        <v/>
      </c>
      <c r="F663" s="57">
        <f>IFERROR(INDEX(Firms!$L$5:$L$1004,MATCH(659,Firms!$R$5:$R$1004,0))&amp;"","")</f>
        <v/>
      </c>
      <c r="G663" s="57">
        <f>IFERROR(INDEX(Firms!$M$5:$M$1004,MATCH(659,Firms!$R$5:$R$1004,0))&amp;"","")</f>
        <v/>
      </c>
      <c r="H663" s="58">
        <f>IFERROR(INDEX(Firms!$Q$5:$Q$1004,MATCH(659,Firms!$R$5:$R$1004,0))&amp;"","")</f>
        <v/>
      </c>
    </row>
    <row r="664">
      <c r="A664" s="57">
        <f>IF(B664="","",660)</f>
        <v/>
      </c>
      <c r="B664" s="58">
        <f>IFERROR(INDEX(Firms!$A$5:$A$1004,MATCH(660,Firms!$R$5:$R$1004,0))&amp;"","")</f>
        <v/>
      </c>
      <c r="C664" s="59">
        <f>IFERROR(IF(INDEX(Firms!$O$5:$O$1004,MATCH(660,Firms!$R$5:$R$1004,0))="","",INDEX(Firms!$O$5:$O$1004,MATCH(660,Firms!$R$5:$R$1004,0))),"")</f>
        <v/>
      </c>
      <c r="D664" s="58">
        <f>IFERROR(INDEX(Firms!$P$5:$P$1004,MATCH(660,Firms!$R$5:$R$1004,0))&amp;"","")</f>
        <v/>
      </c>
      <c r="E664" s="58">
        <f>IFERROR(INDEX(Firms!$C$5:$C$1004,MATCH(660,Firms!$R$5:$R$1004,0))&amp;"","")</f>
        <v/>
      </c>
      <c r="F664" s="57">
        <f>IFERROR(INDEX(Firms!$L$5:$L$1004,MATCH(660,Firms!$R$5:$R$1004,0))&amp;"","")</f>
        <v/>
      </c>
      <c r="G664" s="57">
        <f>IFERROR(INDEX(Firms!$M$5:$M$1004,MATCH(660,Firms!$R$5:$R$1004,0))&amp;"","")</f>
        <v/>
      </c>
      <c r="H664" s="58">
        <f>IFERROR(INDEX(Firms!$Q$5:$Q$1004,MATCH(660,Firms!$R$5:$R$1004,0))&amp;"","")</f>
        <v/>
      </c>
    </row>
    <row r="665">
      <c r="A665" s="57">
        <f>IF(B665="","",661)</f>
        <v/>
      </c>
      <c r="B665" s="58">
        <f>IFERROR(INDEX(Firms!$A$5:$A$1004,MATCH(661,Firms!$R$5:$R$1004,0))&amp;"","")</f>
        <v/>
      </c>
      <c r="C665" s="59">
        <f>IFERROR(IF(INDEX(Firms!$O$5:$O$1004,MATCH(661,Firms!$R$5:$R$1004,0))="","",INDEX(Firms!$O$5:$O$1004,MATCH(661,Firms!$R$5:$R$1004,0))),"")</f>
        <v/>
      </c>
      <c r="D665" s="58">
        <f>IFERROR(INDEX(Firms!$P$5:$P$1004,MATCH(661,Firms!$R$5:$R$1004,0))&amp;"","")</f>
        <v/>
      </c>
      <c r="E665" s="58">
        <f>IFERROR(INDEX(Firms!$C$5:$C$1004,MATCH(661,Firms!$R$5:$R$1004,0))&amp;"","")</f>
        <v/>
      </c>
      <c r="F665" s="57">
        <f>IFERROR(INDEX(Firms!$L$5:$L$1004,MATCH(661,Firms!$R$5:$R$1004,0))&amp;"","")</f>
        <v/>
      </c>
      <c r="G665" s="57">
        <f>IFERROR(INDEX(Firms!$M$5:$M$1004,MATCH(661,Firms!$R$5:$R$1004,0))&amp;"","")</f>
        <v/>
      </c>
      <c r="H665" s="58">
        <f>IFERROR(INDEX(Firms!$Q$5:$Q$1004,MATCH(661,Firms!$R$5:$R$1004,0))&amp;"","")</f>
        <v/>
      </c>
    </row>
    <row r="666">
      <c r="A666" s="57">
        <f>IF(B666="","",662)</f>
        <v/>
      </c>
      <c r="B666" s="58">
        <f>IFERROR(INDEX(Firms!$A$5:$A$1004,MATCH(662,Firms!$R$5:$R$1004,0))&amp;"","")</f>
        <v/>
      </c>
      <c r="C666" s="59">
        <f>IFERROR(IF(INDEX(Firms!$O$5:$O$1004,MATCH(662,Firms!$R$5:$R$1004,0))="","",INDEX(Firms!$O$5:$O$1004,MATCH(662,Firms!$R$5:$R$1004,0))),"")</f>
        <v/>
      </c>
      <c r="D666" s="58">
        <f>IFERROR(INDEX(Firms!$P$5:$P$1004,MATCH(662,Firms!$R$5:$R$1004,0))&amp;"","")</f>
        <v/>
      </c>
      <c r="E666" s="58">
        <f>IFERROR(INDEX(Firms!$C$5:$C$1004,MATCH(662,Firms!$R$5:$R$1004,0))&amp;"","")</f>
        <v/>
      </c>
      <c r="F666" s="57">
        <f>IFERROR(INDEX(Firms!$L$5:$L$1004,MATCH(662,Firms!$R$5:$R$1004,0))&amp;"","")</f>
        <v/>
      </c>
      <c r="G666" s="57">
        <f>IFERROR(INDEX(Firms!$M$5:$M$1004,MATCH(662,Firms!$R$5:$R$1004,0))&amp;"","")</f>
        <v/>
      </c>
      <c r="H666" s="58">
        <f>IFERROR(INDEX(Firms!$Q$5:$Q$1004,MATCH(662,Firms!$R$5:$R$1004,0))&amp;"","")</f>
        <v/>
      </c>
    </row>
    <row r="667">
      <c r="A667" s="57">
        <f>IF(B667="","",663)</f>
        <v/>
      </c>
      <c r="B667" s="58">
        <f>IFERROR(INDEX(Firms!$A$5:$A$1004,MATCH(663,Firms!$R$5:$R$1004,0))&amp;"","")</f>
        <v/>
      </c>
      <c r="C667" s="59">
        <f>IFERROR(IF(INDEX(Firms!$O$5:$O$1004,MATCH(663,Firms!$R$5:$R$1004,0))="","",INDEX(Firms!$O$5:$O$1004,MATCH(663,Firms!$R$5:$R$1004,0))),"")</f>
        <v/>
      </c>
      <c r="D667" s="58">
        <f>IFERROR(INDEX(Firms!$P$5:$P$1004,MATCH(663,Firms!$R$5:$R$1004,0))&amp;"","")</f>
        <v/>
      </c>
      <c r="E667" s="58">
        <f>IFERROR(INDEX(Firms!$C$5:$C$1004,MATCH(663,Firms!$R$5:$R$1004,0))&amp;"","")</f>
        <v/>
      </c>
      <c r="F667" s="57">
        <f>IFERROR(INDEX(Firms!$L$5:$L$1004,MATCH(663,Firms!$R$5:$R$1004,0))&amp;"","")</f>
        <v/>
      </c>
      <c r="G667" s="57">
        <f>IFERROR(INDEX(Firms!$M$5:$M$1004,MATCH(663,Firms!$R$5:$R$1004,0))&amp;"","")</f>
        <v/>
      </c>
      <c r="H667" s="58">
        <f>IFERROR(INDEX(Firms!$Q$5:$Q$1004,MATCH(663,Firms!$R$5:$R$1004,0))&amp;"","")</f>
        <v/>
      </c>
    </row>
    <row r="668">
      <c r="A668" s="57">
        <f>IF(B668="","",664)</f>
        <v/>
      </c>
      <c r="B668" s="58">
        <f>IFERROR(INDEX(Firms!$A$5:$A$1004,MATCH(664,Firms!$R$5:$R$1004,0))&amp;"","")</f>
        <v/>
      </c>
      <c r="C668" s="59">
        <f>IFERROR(IF(INDEX(Firms!$O$5:$O$1004,MATCH(664,Firms!$R$5:$R$1004,0))="","",INDEX(Firms!$O$5:$O$1004,MATCH(664,Firms!$R$5:$R$1004,0))),"")</f>
        <v/>
      </c>
      <c r="D668" s="58">
        <f>IFERROR(INDEX(Firms!$P$5:$P$1004,MATCH(664,Firms!$R$5:$R$1004,0))&amp;"","")</f>
        <v/>
      </c>
      <c r="E668" s="58">
        <f>IFERROR(INDEX(Firms!$C$5:$C$1004,MATCH(664,Firms!$R$5:$R$1004,0))&amp;"","")</f>
        <v/>
      </c>
      <c r="F668" s="57">
        <f>IFERROR(INDEX(Firms!$L$5:$L$1004,MATCH(664,Firms!$R$5:$R$1004,0))&amp;"","")</f>
        <v/>
      </c>
      <c r="G668" s="57">
        <f>IFERROR(INDEX(Firms!$M$5:$M$1004,MATCH(664,Firms!$R$5:$R$1004,0))&amp;"","")</f>
        <v/>
      </c>
      <c r="H668" s="58">
        <f>IFERROR(INDEX(Firms!$Q$5:$Q$1004,MATCH(664,Firms!$R$5:$R$1004,0))&amp;"","")</f>
        <v/>
      </c>
    </row>
    <row r="669">
      <c r="A669" s="57">
        <f>IF(B669="","",665)</f>
        <v/>
      </c>
      <c r="B669" s="58">
        <f>IFERROR(INDEX(Firms!$A$5:$A$1004,MATCH(665,Firms!$R$5:$R$1004,0))&amp;"","")</f>
        <v/>
      </c>
      <c r="C669" s="59">
        <f>IFERROR(IF(INDEX(Firms!$O$5:$O$1004,MATCH(665,Firms!$R$5:$R$1004,0))="","",INDEX(Firms!$O$5:$O$1004,MATCH(665,Firms!$R$5:$R$1004,0))),"")</f>
        <v/>
      </c>
      <c r="D669" s="58">
        <f>IFERROR(INDEX(Firms!$P$5:$P$1004,MATCH(665,Firms!$R$5:$R$1004,0))&amp;"","")</f>
        <v/>
      </c>
      <c r="E669" s="58">
        <f>IFERROR(INDEX(Firms!$C$5:$C$1004,MATCH(665,Firms!$R$5:$R$1004,0))&amp;"","")</f>
        <v/>
      </c>
      <c r="F669" s="57">
        <f>IFERROR(INDEX(Firms!$L$5:$L$1004,MATCH(665,Firms!$R$5:$R$1004,0))&amp;"","")</f>
        <v/>
      </c>
      <c r="G669" s="57">
        <f>IFERROR(INDEX(Firms!$M$5:$M$1004,MATCH(665,Firms!$R$5:$R$1004,0))&amp;"","")</f>
        <v/>
      </c>
      <c r="H669" s="58">
        <f>IFERROR(INDEX(Firms!$Q$5:$Q$1004,MATCH(665,Firms!$R$5:$R$1004,0))&amp;"","")</f>
        <v/>
      </c>
    </row>
    <row r="670">
      <c r="A670" s="57">
        <f>IF(B670="","",666)</f>
        <v/>
      </c>
      <c r="B670" s="58">
        <f>IFERROR(INDEX(Firms!$A$5:$A$1004,MATCH(666,Firms!$R$5:$R$1004,0))&amp;"","")</f>
        <v/>
      </c>
      <c r="C670" s="59">
        <f>IFERROR(IF(INDEX(Firms!$O$5:$O$1004,MATCH(666,Firms!$R$5:$R$1004,0))="","",INDEX(Firms!$O$5:$O$1004,MATCH(666,Firms!$R$5:$R$1004,0))),"")</f>
        <v/>
      </c>
      <c r="D670" s="58">
        <f>IFERROR(INDEX(Firms!$P$5:$P$1004,MATCH(666,Firms!$R$5:$R$1004,0))&amp;"","")</f>
        <v/>
      </c>
      <c r="E670" s="58">
        <f>IFERROR(INDEX(Firms!$C$5:$C$1004,MATCH(666,Firms!$R$5:$R$1004,0))&amp;"","")</f>
        <v/>
      </c>
      <c r="F670" s="57">
        <f>IFERROR(INDEX(Firms!$L$5:$L$1004,MATCH(666,Firms!$R$5:$R$1004,0))&amp;"","")</f>
        <v/>
      </c>
      <c r="G670" s="57">
        <f>IFERROR(INDEX(Firms!$M$5:$M$1004,MATCH(666,Firms!$R$5:$R$1004,0))&amp;"","")</f>
        <v/>
      </c>
      <c r="H670" s="58">
        <f>IFERROR(INDEX(Firms!$Q$5:$Q$1004,MATCH(666,Firms!$R$5:$R$1004,0))&amp;"","")</f>
        <v/>
      </c>
    </row>
    <row r="671">
      <c r="A671" s="57">
        <f>IF(B671="","",667)</f>
        <v/>
      </c>
      <c r="B671" s="58">
        <f>IFERROR(INDEX(Firms!$A$5:$A$1004,MATCH(667,Firms!$R$5:$R$1004,0))&amp;"","")</f>
        <v/>
      </c>
      <c r="C671" s="59">
        <f>IFERROR(IF(INDEX(Firms!$O$5:$O$1004,MATCH(667,Firms!$R$5:$R$1004,0))="","",INDEX(Firms!$O$5:$O$1004,MATCH(667,Firms!$R$5:$R$1004,0))),"")</f>
        <v/>
      </c>
      <c r="D671" s="58">
        <f>IFERROR(INDEX(Firms!$P$5:$P$1004,MATCH(667,Firms!$R$5:$R$1004,0))&amp;"","")</f>
        <v/>
      </c>
      <c r="E671" s="58">
        <f>IFERROR(INDEX(Firms!$C$5:$C$1004,MATCH(667,Firms!$R$5:$R$1004,0))&amp;"","")</f>
        <v/>
      </c>
      <c r="F671" s="57">
        <f>IFERROR(INDEX(Firms!$L$5:$L$1004,MATCH(667,Firms!$R$5:$R$1004,0))&amp;"","")</f>
        <v/>
      </c>
      <c r="G671" s="57">
        <f>IFERROR(INDEX(Firms!$M$5:$M$1004,MATCH(667,Firms!$R$5:$R$1004,0))&amp;"","")</f>
        <v/>
      </c>
      <c r="H671" s="58">
        <f>IFERROR(INDEX(Firms!$Q$5:$Q$1004,MATCH(667,Firms!$R$5:$R$1004,0))&amp;"","")</f>
        <v/>
      </c>
    </row>
    <row r="672">
      <c r="A672" s="57">
        <f>IF(B672="","",668)</f>
        <v/>
      </c>
      <c r="B672" s="58">
        <f>IFERROR(INDEX(Firms!$A$5:$A$1004,MATCH(668,Firms!$R$5:$R$1004,0))&amp;"","")</f>
        <v/>
      </c>
      <c r="C672" s="59">
        <f>IFERROR(IF(INDEX(Firms!$O$5:$O$1004,MATCH(668,Firms!$R$5:$R$1004,0))="","",INDEX(Firms!$O$5:$O$1004,MATCH(668,Firms!$R$5:$R$1004,0))),"")</f>
        <v/>
      </c>
      <c r="D672" s="58">
        <f>IFERROR(INDEX(Firms!$P$5:$P$1004,MATCH(668,Firms!$R$5:$R$1004,0))&amp;"","")</f>
        <v/>
      </c>
      <c r="E672" s="58">
        <f>IFERROR(INDEX(Firms!$C$5:$C$1004,MATCH(668,Firms!$R$5:$R$1004,0))&amp;"","")</f>
        <v/>
      </c>
      <c r="F672" s="57">
        <f>IFERROR(INDEX(Firms!$L$5:$L$1004,MATCH(668,Firms!$R$5:$R$1004,0))&amp;"","")</f>
        <v/>
      </c>
      <c r="G672" s="57">
        <f>IFERROR(INDEX(Firms!$M$5:$M$1004,MATCH(668,Firms!$R$5:$R$1004,0))&amp;"","")</f>
        <v/>
      </c>
      <c r="H672" s="58">
        <f>IFERROR(INDEX(Firms!$Q$5:$Q$1004,MATCH(668,Firms!$R$5:$R$1004,0))&amp;"","")</f>
        <v/>
      </c>
    </row>
    <row r="673">
      <c r="A673" s="57">
        <f>IF(B673="","",669)</f>
        <v/>
      </c>
      <c r="B673" s="58">
        <f>IFERROR(INDEX(Firms!$A$5:$A$1004,MATCH(669,Firms!$R$5:$R$1004,0))&amp;"","")</f>
        <v/>
      </c>
      <c r="C673" s="59">
        <f>IFERROR(IF(INDEX(Firms!$O$5:$O$1004,MATCH(669,Firms!$R$5:$R$1004,0))="","",INDEX(Firms!$O$5:$O$1004,MATCH(669,Firms!$R$5:$R$1004,0))),"")</f>
        <v/>
      </c>
      <c r="D673" s="58">
        <f>IFERROR(INDEX(Firms!$P$5:$P$1004,MATCH(669,Firms!$R$5:$R$1004,0))&amp;"","")</f>
        <v/>
      </c>
      <c r="E673" s="58">
        <f>IFERROR(INDEX(Firms!$C$5:$C$1004,MATCH(669,Firms!$R$5:$R$1004,0))&amp;"","")</f>
        <v/>
      </c>
      <c r="F673" s="57">
        <f>IFERROR(INDEX(Firms!$L$5:$L$1004,MATCH(669,Firms!$R$5:$R$1004,0))&amp;"","")</f>
        <v/>
      </c>
      <c r="G673" s="57">
        <f>IFERROR(INDEX(Firms!$M$5:$M$1004,MATCH(669,Firms!$R$5:$R$1004,0))&amp;"","")</f>
        <v/>
      </c>
      <c r="H673" s="58">
        <f>IFERROR(INDEX(Firms!$Q$5:$Q$1004,MATCH(669,Firms!$R$5:$R$1004,0))&amp;"","")</f>
        <v/>
      </c>
    </row>
    <row r="674">
      <c r="A674" s="57">
        <f>IF(B674="","",670)</f>
        <v/>
      </c>
      <c r="B674" s="58">
        <f>IFERROR(INDEX(Firms!$A$5:$A$1004,MATCH(670,Firms!$R$5:$R$1004,0))&amp;"","")</f>
        <v/>
      </c>
      <c r="C674" s="59">
        <f>IFERROR(IF(INDEX(Firms!$O$5:$O$1004,MATCH(670,Firms!$R$5:$R$1004,0))="","",INDEX(Firms!$O$5:$O$1004,MATCH(670,Firms!$R$5:$R$1004,0))),"")</f>
        <v/>
      </c>
      <c r="D674" s="58">
        <f>IFERROR(INDEX(Firms!$P$5:$P$1004,MATCH(670,Firms!$R$5:$R$1004,0))&amp;"","")</f>
        <v/>
      </c>
      <c r="E674" s="58">
        <f>IFERROR(INDEX(Firms!$C$5:$C$1004,MATCH(670,Firms!$R$5:$R$1004,0))&amp;"","")</f>
        <v/>
      </c>
      <c r="F674" s="57">
        <f>IFERROR(INDEX(Firms!$L$5:$L$1004,MATCH(670,Firms!$R$5:$R$1004,0))&amp;"","")</f>
        <v/>
      </c>
      <c r="G674" s="57">
        <f>IFERROR(INDEX(Firms!$M$5:$M$1004,MATCH(670,Firms!$R$5:$R$1004,0))&amp;"","")</f>
        <v/>
      </c>
      <c r="H674" s="58">
        <f>IFERROR(INDEX(Firms!$Q$5:$Q$1004,MATCH(670,Firms!$R$5:$R$1004,0))&amp;"","")</f>
        <v/>
      </c>
    </row>
    <row r="675">
      <c r="A675" s="57">
        <f>IF(B675="","",671)</f>
        <v/>
      </c>
      <c r="B675" s="58">
        <f>IFERROR(INDEX(Firms!$A$5:$A$1004,MATCH(671,Firms!$R$5:$R$1004,0))&amp;"","")</f>
        <v/>
      </c>
      <c r="C675" s="59">
        <f>IFERROR(IF(INDEX(Firms!$O$5:$O$1004,MATCH(671,Firms!$R$5:$R$1004,0))="","",INDEX(Firms!$O$5:$O$1004,MATCH(671,Firms!$R$5:$R$1004,0))),"")</f>
        <v/>
      </c>
      <c r="D675" s="58">
        <f>IFERROR(INDEX(Firms!$P$5:$P$1004,MATCH(671,Firms!$R$5:$R$1004,0))&amp;"","")</f>
        <v/>
      </c>
      <c r="E675" s="58">
        <f>IFERROR(INDEX(Firms!$C$5:$C$1004,MATCH(671,Firms!$R$5:$R$1004,0))&amp;"","")</f>
        <v/>
      </c>
      <c r="F675" s="57">
        <f>IFERROR(INDEX(Firms!$L$5:$L$1004,MATCH(671,Firms!$R$5:$R$1004,0))&amp;"","")</f>
        <v/>
      </c>
      <c r="G675" s="57">
        <f>IFERROR(INDEX(Firms!$M$5:$M$1004,MATCH(671,Firms!$R$5:$R$1004,0))&amp;"","")</f>
        <v/>
      </c>
      <c r="H675" s="58">
        <f>IFERROR(INDEX(Firms!$Q$5:$Q$1004,MATCH(671,Firms!$R$5:$R$1004,0))&amp;"","")</f>
        <v/>
      </c>
    </row>
    <row r="676">
      <c r="A676" s="57">
        <f>IF(B676="","",672)</f>
        <v/>
      </c>
      <c r="B676" s="58">
        <f>IFERROR(INDEX(Firms!$A$5:$A$1004,MATCH(672,Firms!$R$5:$R$1004,0))&amp;"","")</f>
        <v/>
      </c>
      <c r="C676" s="59">
        <f>IFERROR(IF(INDEX(Firms!$O$5:$O$1004,MATCH(672,Firms!$R$5:$R$1004,0))="","",INDEX(Firms!$O$5:$O$1004,MATCH(672,Firms!$R$5:$R$1004,0))),"")</f>
        <v/>
      </c>
      <c r="D676" s="58">
        <f>IFERROR(INDEX(Firms!$P$5:$P$1004,MATCH(672,Firms!$R$5:$R$1004,0))&amp;"","")</f>
        <v/>
      </c>
      <c r="E676" s="58">
        <f>IFERROR(INDEX(Firms!$C$5:$C$1004,MATCH(672,Firms!$R$5:$R$1004,0))&amp;"","")</f>
        <v/>
      </c>
      <c r="F676" s="57">
        <f>IFERROR(INDEX(Firms!$L$5:$L$1004,MATCH(672,Firms!$R$5:$R$1004,0))&amp;"","")</f>
        <v/>
      </c>
      <c r="G676" s="57">
        <f>IFERROR(INDEX(Firms!$M$5:$M$1004,MATCH(672,Firms!$R$5:$R$1004,0))&amp;"","")</f>
        <v/>
      </c>
      <c r="H676" s="58">
        <f>IFERROR(INDEX(Firms!$Q$5:$Q$1004,MATCH(672,Firms!$R$5:$R$1004,0))&amp;"","")</f>
        <v/>
      </c>
    </row>
    <row r="677">
      <c r="A677" s="57">
        <f>IF(B677="","",673)</f>
        <v/>
      </c>
      <c r="B677" s="58">
        <f>IFERROR(INDEX(Firms!$A$5:$A$1004,MATCH(673,Firms!$R$5:$R$1004,0))&amp;"","")</f>
        <v/>
      </c>
      <c r="C677" s="59">
        <f>IFERROR(IF(INDEX(Firms!$O$5:$O$1004,MATCH(673,Firms!$R$5:$R$1004,0))="","",INDEX(Firms!$O$5:$O$1004,MATCH(673,Firms!$R$5:$R$1004,0))),"")</f>
        <v/>
      </c>
      <c r="D677" s="58">
        <f>IFERROR(INDEX(Firms!$P$5:$P$1004,MATCH(673,Firms!$R$5:$R$1004,0))&amp;"","")</f>
        <v/>
      </c>
      <c r="E677" s="58">
        <f>IFERROR(INDEX(Firms!$C$5:$C$1004,MATCH(673,Firms!$R$5:$R$1004,0))&amp;"","")</f>
        <v/>
      </c>
      <c r="F677" s="57">
        <f>IFERROR(INDEX(Firms!$L$5:$L$1004,MATCH(673,Firms!$R$5:$R$1004,0))&amp;"","")</f>
        <v/>
      </c>
      <c r="G677" s="57">
        <f>IFERROR(INDEX(Firms!$M$5:$M$1004,MATCH(673,Firms!$R$5:$R$1004,0))&amp;"","")</f>
        <v/>
      </c>
      <c r="H677" s="58">
        <f>IFERROR(INDEX(Firms!$Q$5:$Q$1004,MATCH(673,Firms!$R$5:$R$1004,0))&amp;"","")</f>
        <v/>
      </c>
    </row>
    <row r="678">
      <c r="A678" s="57">
        <f>IF(B678="","",674)</f>
        <v/>
      </c>
      <c r="B678" s="58">
        <f>IFERROR(INDEX(Firms!$A$5:$A$1004,MATCH(674,Firms!$R$5:$R$1004,0))&amp;"","")</f>
        <v/>
      </c>
      <c r="C678" s="59">
        <f>IFERROR(IF(INDEX(Firms!$O$5:$O$1004,MATCH(674,Firms!$R$5:$R$1004,0))="","",INDEX(Firms!$O$5:$O$1004,MATCH(674,Firms!$R$5:$R$1004,0))),"")</f>
        <v/>
      </c>
      <c r="D678" s="58">
        <f>IFERROR(INDEX(Firms!$P$5:$P$1004,MATCH(674,Firms!$R$5:$R$1004,0))&amp;"","")</f>
        <v/>
      </c>
      <c r="E678" s="58">
        <f>IFERROR(INDEX(Firms!$C$5:$C$1004,MATCH(674,Firms!$R$5:$R$1004,0))&amp;"","")</f>
        <v/>
      </c>
      <c r="F678" s="57">
        <f>IFERROR(INDEX(Firms!$L$5:$L$1004,MATCH(674,Firms!$R$5:$R$1004,0))&amp;"","")</f>
        <v/>
      </c>
      <c r="G678" s="57">
        <f>IFERROR(INDEX(Firms!$M$5:$M$1004,MATCH(674,Firms!$R$5:$R$1004,0))&amp;"","")</f>
        <v/>
      </c>
      <c r="H678" s="58">
        <f>IFERROR(INDEX(Firms!$Q$5:$Q$1004,MATCH(674,Firms!$R$5:$R$1004,0))&amp;"","")</f>
        <v/>
      </c>
    </row>
    <row r="679">
      <c r="A679" s="57">
        <f>IF(B679="","",675)</f>
        <v/>
      </c>
      <c r="B679" s="58">
        <f>IFERROR(INDEX(Firms!$A$5:$A$1004,MATCH(675,Firms!$R$5:$R$1004,0))&amp;"","")</f>
        <v/>
      </c>
      <c r="C679" s="59">
        <f>IFERROR(IF(INDEX(Firms!$O$5:$O$1004,MATCH(675,Firms!$R$5:$R$1004,0))="","",INDEX(Firms!$O$5:$O$1004,MATCH(675,Firms!$R$5:$R$1004,0))),"")</f>
        <v/>
      </c>
      <c r="D679" s="58">
        <f>IFERROR(INDEX(Firms!$P$5:$P$1004,MATCH(675,Firms!$R$5:$R$1004,0))&amp;"","")</f>
        <v/>
      </c>
      <c r="E679" s="58">
        <f>IFERROR(INDEX(Firms!$C$5:$C$1004,MATCH(675,Firms!$R$5:$R$1004,0))&amp;"","")</f>
        <v/>
      </c>
      <c r="F679" s="57">
        <f>IFERROR(INDEX(Firms!$L$5:$L$1004,MATCH(675,Firms!$R$5:$R$1004,0))&amp;"","")</f>
        <v/>
      </c>
      <c r="G679" s="57">
        <f>IFERROR(INDEX(Firms!$M$5:$M$1004,MATCH(675,Firms!$R$5:$R$1004,0))&amp;"","")</f>
        <v/>
      </c>
      <c r="H679" s="58">
        <f>IFERROR(INDEX(Firms!$Q$5:$Q$1004,MATCH(675,Firms!$R$5:$R$1004,0))&amp;"","")</f>
        <v/>
      </c>
    </row>
    <row r="680">
      <c r="A680" s="57">
        <f>IF(B680="","",676)</f>
        <v/>
      </c>
      <c r="B680" s="58">
        <f>IFERROR(INDEX(Firms!$A$5:$A$1004,MATCH(676,Firms!$R$5:$R$1004,0))&amp;"","")</f>
        <v/>
      </c>
      <c r="C680" s="59">
        <f>IFERROR(IF(INDEX(Firms!$O$5:$O$1004,MATCH(676,Firms!$R$5:$R$1004,0))="","",INDEX(Firms!$O$5:$O$1004,MATCH(676,Firms!$R$5:$R$1004,0))),"")</f>
        <v/>
      </c>
      <c r="D680" s="58">
        <f>IFERROR(INDEX(Firms!$P$5:$P$1004,MATCH(676,Firms!$R$5:$R$1004,0))&amp;"","")</f>
        <v/>
      </c>
      <c r="E680" s="58">
        <f>IFERROR(INDEX(Firms!$C$5:$C$1004,MATCH(676,Firms!$R$5:$R$1004,0))&amp;"","")</f>
        <v/>
      </c>
      <c r="F680" s="57">
        <f>IFERROR(INDEX(Firms!$L$5:$L$1004,MATCH(676,Firms!$R$5:$R$1004,0))&amp;"","")</f>
        <v/>
      </c>
      <c r="G680" s="57">
        <f>IFERROR(INDEX(Firms!$M$5:$M$1004,MATCH(676,Firms!$R$5:$R$1004,0))&amp;"","")</f>
        <v/>
      </c>
      <c r="H680" s="58">
        <f>IFERROR(INDEX(Firms!$Q$5:$Q$1004,MATCH(676,Firms!$R$5:$R$1004,0))&amp;"","")</f>
        <v/>
      </c>
    </row>
    <row r="681">
      <c r="A681" s="57">
        <f>IF(B681="","",677)</f>
        <v/>
      </c>
      <c r="B681" s="58">
        <f>IFERROR(INDEX(Firms!$A$5:$A$1004,MATCH(677,Firms!$R$5:$R$1004,0))&amp;"","")</f>
        <v/>
      </c>
      <c r="C681" s="59">
        <f>IFERROR(IF(INDEX(Firms!$O$5:$O$1004,MATCH(677,Firms!$R$5:$R$1004,0))="","",INDEX(Firms!$O$5:$O$1004,MATCH(677,Firms!$R$5:$R$1004,0))),"")</f>
        <v/>
      </c>
      <c r="D681" s="58">
        <f>IFERROR(INDEX(Firms!$P$5:$P$1004,MATCH(677,Firms!$R$5:$R$1004,0))&amp;"","")</f>
        <v/>
      </c>
      <c r="E681" s="58">
        <f>IFERROR(INDEX(Firms!$C$5:$C$1004,MATCH(677,Firms!$R$5:$R$1004,0))&amp;"","")</f>
        <v/>
      </c>
      <c r="F681" s="57">
        <f>IFERROR(INDEX(Firms!$L$5:$L$1004,MATCH(677,Firms!$R$5:$R$1004,0))&amp;"","")</f>
        <v/>
      </c>
      <c r="G681" s="57">
        <f>IFERROR(INDEX(Firms!$M$5:$M$1004,MATCH(677,Firms!$R$5:$R$1004,0))&amp;"","")</f>
        <v/>
      </c>
      <c r="H681" s="58">
        <f>IFERROR(INDEX(Firms!$Q$5:$Q$1004,MATCH(677,Firms!$R$5:$R$1004,0))&amp;"","")</f>
        <v/>
      </c>
    </row>
    <row r="682">
      <c r="A682" s="57">
        <f>IF(B682="","",678)</f>
        <v/>
      </c>
      <c r="B682" s="58">
        <f>IFERROR(INDEX(Firms!$A$5:$A$1004,MATCH(678,Firms!$R$5:$R$1004,0))&amp;"","")</f>
        <v/>
      </c>
      <c r="C682" s="59">
        <f>IFERROR(IF(INDEX(Firms!$O$5:$O$1004,MATCH(678,Firms!$R$5:$R$1004,0))="","",INDEX(Firms!$O$5:$O$1004,MATCH(678,Firms!$R$5:$R$1004,0))),"")</f>
        <v/>
      </c>
      <c r="D682" s="58">
        <f>IFERROR(INDEX(Firms!$P$5:$P$1004,MATCH(678,Firms!$R$5:$R$1004,0))&amp;"","")</f>
        <v/>
      </c>
      <c r="E682" s="58">
        <f>IFERROR(INDEX(Firms!$C$5:$C$1004,MATCH(678,Firms!$R$5:$R$1004,0))&amp;"","")</f>
        <v/>
      </c>
      <c r="F682" s="57">
        <f>IFERROR(INDEX(Firms!$L$5:$L$1004,MATCH(678,Firms!$R$5:$R$1004,0))&amp;"","")</f>
        <v/>
      </c>
      <c r="G682" s="57">
        <f>IFERROR(INDEX(Firms!$M$5:$M$1004,MATCH(678,Firms!$R$5:$R$1004,0))&amp;"","")</f>
        <v/>
      </c>
      <c r="H682" s="58">
        <f>IFERROR(INDEX(Firms!$Q$5:$Q$1004,MATCH(678,Firms!$R$5:$R$1004,0))&amp;"","")</f>
        <v/>
      </c>
    </row>
    <row r="683">
      <c r="A683" s="57">
        <f>IF(B683="","",679)</f>
        <v/>
      </c>
      <c r="B683" s="58">
        <f>IFERROR(INDEX(Firms!$A$5:$A$1004,MATCH(679,Firms!$R$5:$R$1004,0))&amp;"","")</f>
        <v/>
      </c>
      <c r="C683" s="59">
        <f>IFERROR(IF(INDEX(Firms!$O$5:$O$1004,MATCH(679,Firms!$R$5:$R$1004,0))="","",INDEX(Firms!$O$5:$O$1004,MATCH(679,Firms!$R$5:$R$1004,0))),"")</f>
        <v/>
      </c>
      <c r="D683" s="58">
        <f>IFERROR(INDEX(Firms!$P$5:$P$1004,MATCH(679,Firms!$R$5:$R$1004,0))&amp;"","")</f>
        <v/>
      </c>
      <c r="E683" s="58">
        <f>IFERROR(INDEX(Firms!$C$5:$C$1004,MATCH(679,Firms!$R$5:$R$1004,0))&amp;"","")</f>
        <v/>
      </c>
      <c r="F683" s="57">
        <f>IFERROR(INDEX(Firms!$L$5:$L$1004,MATCH(679,Firms!$R$5:$R$1004,0))&amp;"","")</f>
        <v/>
      </c>
      <c r="G683" s="57">
        <f>IFERROR(INDEX(Firms!$M$5:$M$1004,MATCH(679,Firms!$R$5:$R$1004,0))&amp;"","")</f>
        <v/>
      </c>
      <c r="H683" s="58">
        <f>IFERROR(INDEX(Firms!$Q$5:$Q$1004,MATCH(679,Firms!$R$5:$R$1004,0))&amp;"","")</f>
        <v/>
      </c>
    </row>
    <row r="684">
      <c r="A684" s="57">
        <f>IF(B684="","",680)</f>
        <v/>
      </c>
      <c r="B684" s="58">
        <f>IFERROR(INDEX(Firms!$A$5:$A$1004,MATCH(680,Firms!$R$5:$R$1004,0))&amp;"","")</f>
        <v/>
      </c>
      <c r="C684" s="59">
        <f>IFERROR(IF(INDEX(Firms!$O$5:$O$1004,MATCH(680,Firms!$R$5:$R$1004,0))="","",INDEX(Firms!$O$5:$O$1004,MATCH(680,Firms!$R$5:$R$1004,0))),"")</f>
        <v/>
      </c>
      <c r="D684" s="58">
        <f>IFERROR(INDEX(Firms!$P$5:$P$1004,MATCH(680,Firms!$R$5:$R$1004,0))&amp;"","")</f>
        <v/>
      </c>
      <c r="E684" s="58">
        <f>IFERROR(INDEX(Firms!$C$5:$C$1004,MATCH(680,Firms!$R$5:$R$1004,0))&amp;"","")</f>
        <v/>
      </c>
      <c r="F684" s="57">
        <f>IFERROR(INDEX(Firms!$L$5:$L$1004,MATCH(680,Firms!$R$5:$R$1004,0))&amp;"","")</f>
        <v/>
      </c>
      <c r="G684" s="57">
        <f>IFERROR(INDEX(Firms!$M$5:$M$1004,MATCH(680,Firms!$R$5:$R$1004,0))&amp;"","")</f>
        <v/>
      </c>
      <c r="H684" s="58">
        <f>IFERROR(INDEX(Firms!$Q$5:$Q$1004,MATCH(680,Firms!$R$5:$R$1004,0))&amp;"","")</f>
        <v/>
      </c>
    </row>
    <row r="685">
      <c r="A685" s="57">
        <f>IF(B685="","",681)</f>
        <v/>
      </c>
      <c r="B685" s="58">
        <f>IFERROR(INDEX(Firms!$A$5:$A$1004,MATCH(681,Firms!$R$5:$R$1004,0))&amp;"","")</f>
        <v/>
      </c>
      <c r="C685" s="59">
        <f>IFERROR(IF(INDEX(Firms!$O$5:$O$1004,MATCH(681,Firms!$R$5:$R$1004,0))="","",INDEX(Firms!$O$5:$O$1004,MATCH(681,Firms!$R$5:$R$1004,0))),"")</f>
        <v/>
      </c>
      <c r="D685" s="58">
        <f>IFERROR(INDEX(Firms!$P$5:$P$1004,MATCH(681,Firms!$R$5:$R$1004,0))&amp;"","")</f>
        <v/>
      </c>
      <c r="E685" s="58">
        <f>IFERROR(INDEX(Firms!$C$5:$C$1004,MATCH(681,Firms!$R$5:$R$1004,0))&amp;"","")</f>
        <v/>
      </c>
      <c r="F685" s="57">
        <f>IFERROR(INDEX(Firms!$L$5:$L$1004,MATCH(681,Firms!$R$5:$R$1004,0))&amp;"","")</f>
        <v/>
      </c>
      <c r="G685" s="57">
        <f>IFERROR(INDEX(Firms!$M$5:$M$1004,MATCH(681,Firms!$R$5:$R$1004,0))&amp;"","")</f>
        <v/>
      </c>
      <c r="H685" s="58">
        <f>IFERROR(INDEX(Firms!$Q$5:$Q$1004,MATCH(681,Firms!$R$5:$R$1004,0))&amp;"","")</f>
        <v/>
      </c>
    </row>
    <row r="686">
      <c r="A686" s="57">
        <f>IF(B686="","",682)</f>
        <v/>
      </c>
      <c r="B686" s="58">
        <f>IFERROR(INDEX(Firms!$A$5:$A$1004,MATCH(682,Firms!$R$5:$R$1004,0))&amp;"","")</f>
        <v/>
      </c>
      <c r="C686" s="59">
        <f>IFERROR(IF(INDEX(Firms!$O$5:$O$1004,MATCH(682,Firms!$R$5:$R$1004,0))="","",INDEX(Firms!$O$5:$O$1004,MATCH(682,Firms!$R$5:$R$1004,0))),"")</f>
        <v/>
      </c>
      <c r="D686" s="58">
        <f>IFERROR(INDEX(Firms!$P$5:$P$1004,MATCH(682,Firms!$R$5:$R$1004,0))&amp;"","")</f>
        <v/>
      </c>
      <c r="E686" s="58">
        <f>IFERROR(INDEX(Firms!$C$5:$C$1004,MATCH(682,Firms!$R$5:$R$1004,0))&amp;"","")</f>
        <v/>
      </c>
      <c r="F686" s="57">
        <f>IFERROR(INDEX(Firms!$L$5:$L$1004,MATCH(682,Firms!$R$5:$R$1004,0))&amp;"","")</f>
        <v/>
      </c>
      <c r="G686" s="57">
        <f>IFERROR(INDEX(Firms!$M$5:$M$1004,MATCH(682,Firms!$R$5:$R$1004,0))&amp;"","")</f>
        <v/>
      </c>
      <c r="H686" s="58">
        <f>IFERROR(INDEX(Firms!$Q$5:$Q$1004,MATCH(682,Firms!$R$5:$R$1004,0))&amp;"","")</f>
        <v/>
      </c>
    </row>
    <row r="687">
      <c r="A687" s="57">
        <f>IF(B687="","",683)</f>
        <v/>
      </c>
      <c r="B687" s="58">
        <f>IFERROR(INDEX(Firms!$A$5:$A$1004,MATCH(683,Firms!$R$5:$R$1004,0))&amp;"","")</f>
        <v/>
      </c>
      <c r="C687" s="59">
        <f>IFERROR(IF(INDEX(Firms!$O$5:$O$1004,MATCH(683,Firms!$R$5:$R$1004,0))="","",INDEX(Firms!$O$5:$O$1004,MATCH(683,Firms!$R$5:$R$1004,0))),"")</f>
        <v/>
      </c>
      <c r="D687" s="58">
        <f>IFERROR(INDEX(Firms!$P$5:$P$1004,MATCH(683,Firms!$R$5:$R$1004,0))&amp;"","")</f>
        <v/>
      </c>
      <c r="E687" s="58">
        <f>IFERROR(INDEX(Firms!$C$5:$C$1004,MATCH(683,Firms!$R$5:$R$1004,0))&amp;"","")</f>
        <v/>
      </c>
      <c r="F687" s="57">
        <f>IFERROR(INDEX(Firms!$L$5:$L$1004,MATCH(683,Firms!$R$5:$R$1004,0))&amp;"","")</f>
        <v/>
      </c>
      <c r="G687" s="57">
        <f>IFERROR(INDEX(Firms!$M$5:$M$1004,MATCH(683,Firms!$R$5:$R$1004,0))&amp;"","")</f>
        <v/>
      </c>
      <c r="H687" s="58">
        <f>IFERROR(INDEX(Firms!$Q$5:$Q$1004,MATCH(683,Firms!$R$5:$R$1004,0))&amp;"","")</f>
        <v/>
      </c>
    </row>
    <row r="688">
      <c r="A688" s="57">
        <f>IF(B688="","",684)</f>
        <v/>
      </c>
      <c r="B688" s="58">
        <f>IFERROR(INDEX(Firms!$A$5:$A$1004,MATCH(684,Firms!$R$5:$R$1004,0))&amp;"","")</f>
        <v/>
      </c>
      <c r="C688" s="59">
        <f>IFERROR(IF(INDEX(Firms!$O$5:$O$1004,MATCH(684,Firms!$R$5:$R$1004,0))="","",INDEX(Firms!$O$5:$O$1004,MATCH(684,Firms!$R$5:$R$1004,0))),"")</f>
        <v/>
      </c>
      <c r="D688" s="58">
        <f>IFERROR(INDEX(Firms!$P$5:$P$1004,MATCH(684,Firms!$R$5:$R$1004,0))&amp;"","")</f>
        <v/>
      </c>
      <c r="E688" s="58">
        <f>IFERROR(INDEX(Firms!$C$5:$C$1004,MATCH(684,Firms!$R$5:$R$1004,0))&amp;"","")</f>
        <v/>
      </c>
      <c r="F688" s="57">
        <f>IFERROR(INDEX(Firms!$L$5:$L$1004,MATCH(684,Firms!$R$5:$R$1004,0))&amp;"","")</f>
        <v/>
      </c>
      <c r="G688" s="57">
        <f>IFERROR(INDEX(Firms!$M$5:$M$1004,MATCH(684,Firms!$R$5:$R$1004,0))&amp;"","")</f>
        <v/>
      </c>
      <c r="H688" s="58">
        <f>IFERROR(INDEX(Firms!$Q$5:$Q$1004,MATCH(684,Firms!$R$5:$R$1004,0))&amp;"","")</f>
        <v/>
      </c>
    </row>
    <row r="689">
      <c r="A689" s="57">
        <f>IF(B689="","",685)</f>
        <v/>
      </c>
      <c r="B689" s="58">
        <f>IFERROR(INDEX(Firms!$A$5:$A$1004,MATCH(685,Firms!$R$5:$R$1004,0))&amp;"","")</f>
        <v/>
      </c>
      <c r="C689" s="59">
        <f>IFERROR(IF(INDEX(Firms!$O$5:$O$1004,MATCH(685,Firms!$R$5:$R$1004,0))="","",INDEX(Firms!$O$5:$O$1004,MATCH(685,Firms!$R$5:$R$1004,0))),"")</f>
        <v/>
      </c>
      <c r="D689" s="58">
        <f>IFERROR(INDEX(Firms!$P$5:$P$1004,MATCH(685,Firms!$R$5:$R$1004,0))&amp;"","")</f>
        <v/>
      </c>
      <c r="E689" s="58">
        <f>IFERROR(INDEX(Firms!$C$5:$C$1004,MATCH(685,Firms!$R$5:$R$1004,0))&amp;"","")</f>
        <v/>
      </c>
      <c r="F689" s="57">
        <f>IFERROR(INDEX(Firms!$L$5:$L$1004,MATCH(685,Firms!$R$5:$R$1004,0))&amp;"","")</f>
        <v/>
      </c>
      <c r="G689" s="57">
        <f>IFERROR(INDEX(Firms!$M$5:$M$1004,MATCH(685,Firms!$R$5:$R$1004,0))&amp;"","")</f>
        <v/>
      </c>
      <c r="H689" s="58">
        <f>IFERROR(INDEX(Firms!$Q$5:$Q$1004,MATCH(685,Firms!$R$5:$R$1004,0))&amp;"","")</f>
        <v/>
      </c>
    </row>
    <row r="690">
      <c r="A690" s="57">
        <f>IF(B690="","",686)</f>
        <v/>
      </c>
      <c r="B690" s="58">
        <f>IFERROR(INDEX(Firms!$A$5:$A$1004,MATCH(686,Firms!$R$5:$R$1004,0))&amp;"","")</f>
        <v/>
      </c>
      <c r="C690" s="59">
        <f>IFERROR(IF(INDEX(Firms!$O$5:$O$1004,MATCH(686,Firms!$R$5:$R$1004,0))="","",INDEX(Firms!$O$5:$O$1004,MATCH(686,Firms!$R$5:$R$1004,0))),"")</f>
        <v/>
      </c>
      <c r="D690" s="58">
        <f>IFERROR(INDEX(Firms!$P$5:$P$1004,MATCH(686,Firms!$R$5:$R$1004,0))&amp;"","")</f>
        <v/>
      </c>
      <c r="E690" s="58">
        <f>IFERROR(INDEX(Firms!$C$5:$C$1004,MATCH(686,Firms!$R$5:$R$1004,0))&amp;"","")</f>
        <v/>
      </c>
      <c r="F690" s="57">
        <f>IFERROR(INDEX(Firms!$L$5:$L$1004,MATCH(686,Firms!$R$5:$R$1004,0))&amp;"","")</f>
        <v/>
      </c>
      <c r="G690" s="57">
        <f>IFERROR(INDEX(Firms!$M$5:$M$1004,MATCH(686,Firms!$R$5:$R$1004,0))&amp;"","")</f>
        <v/>
      </c>
      <c r="H690" s="58">
        <f>IFERROR(INDEX(Firms!$Q$5:$Q$1004,MATCH(686,Firms!$R$5:$R$1004,0))&amp;"","")</f>
        <v/>
      </c>
    </row>
    <row r="691">
      <c r="A691" s="57">
        <f>IF(B691="","",687)</f>
        <v/>
      </c>
      <c r="B691" s="58">
        <f>IFERROR(INDEX(Firms!$A$5:$A$1004,MATCH(687,Firms!$R$5:$R$1004,0))&amp;"","")</f>
        <v/>
      </c>
      <c r="C691" s="59">
        <f>IFERROR(IF(INDEX(Firms!$O$5:$O$1004,MATCH(687,Firms!$R$5:$R$1004,0))="","",INDEX(Firms!$O$5:$O$1004,MATCH(687,Firms!$R$5:$R$1004,0))),"")</f>
        <v/>
      </c>
      <c r="D691" s="58">
        <f>IFERROR(INDEX(Firms!$P$5:$P$1004,MATCH(687,Firms!$R$5:$R$1004,0))&amp;"","")</f>
        <v/>
      </c>
      <c r="E691" s="58">
        <f>IFERROR(INDEX(Firms!$C$5:$C$1004,MATCH(687,Firms!$R$5:$R$1004,0))&amp;"","")</f>
        <v/>
      </c>
      <c r="F691" s="57">
        <f>IFERROR(INDEX(Firms!$L$5:$L$1004,MATCH(687,Firms!$R$5:$R$1004,0))&amp;"","")</f>
        <v/>
      </c>
      <c r="G691" s="57">
        <f>IFERROR(INDEX(Firms!$M$5:$M$1004,MATCH(687,Firms!$R$5:$R$1004,0))&amp;"","")</f>
        <v/>
      </c>
      <c r="H691" s="58">
        <f>IFERROR(INDEX(Firms!$Q$5:$Q$1004,MATCH(687,Firms!$R$5:$R$1004,0))&amp;"","")</f>
        <v/>
      </c>
    </row>
    <row r="692">
      <c r="A692" s="57">
        <f>IF(B692="","",688)</f>
        <v/>
      </c>
      <c r="B692" s="58">
        <f>IFERROR(INDEX(Firms!$A$5:$A$1004,MATCH(688,Firms!$R$5:$R$1004,0))&amp;"","")</f>
        <v/>
      </c>
      <c r="C692" s="59">
        <f>IFERROR(IF(INDEX(Firms!$O$5:$O$1004,MATCH(688,Firms!$R$5:$R$1004,0))="","",INDEX(Firms!$O$5:$O$1004,MATCH(688,Firms!$R$5:$R$1004,0))),"")</f>
        <v/>
      </c>
      <c r="D692" s="58">
        <f>IFERROR(INDEX(Firms!$P$5:$P$1004,MATCH(688,Firms!$R$5:$R$1004,0))&amp;"","")</f>
        <v/>
      </c>
      <c r="E692" s="58">
        <f>IFERROR(INDEX(Firms!$C$5:$C$1004,MATCH(688,Firms!$R$5:$R$1004,0))&amp;"","")</f>
        <v/>
      </c>
      <c r="F692" s="57">
        <f>IFERROR(INDEX(Firms!$L$5:$L$1004,MATCH(688,Firms!$R$5:$R$1004,0))&amp;"","")</f>
        <v/>
      </c>
      <c r="G692" s="57">
        <f>IFERROR(INDEX(Firms!$M$5:$M$1004,MATCH(688,Firms!$R$5:$R$1004,0))&amp;"","")</f>
        <v/>
      </c>
      <c r="H692" s="58">
        <f>IFERROR(INDEX(Firms!$Q$5:$Q$1004,MATCH(688,Firms!$R$5:$R$1004,0))&amp;"","")</f>
        <v/>
      </c>
    </row>
    <row r="693">
      <c r="A693" s="57">
        <f>IF(B693="","",689)</f>
        <v/>
      </c>
      <c r="B693" s="58">
        <f>IFERROR(INDEX(Firms!$A$5:$A$1004,MATCH(689,Firms!$R$5:$R$1004,0))&amp;"","")</f>
        <v/>
      </c>
      <c r="C693" s="59">
        <f>IFERROR(IF(INDEX(Firms!$O$5:$O$1004,MATCH(689,Firms!$R$5:$R$1004,0))="","",INDEX(Firms!$O$5:$O$1004,MATCH(689,Firms!$R$5:$R$1004,0))),"")</f>
        <v/>
      </c>
      <c r="D693" s="58">
        <f>IFERROR(INDEX(Firms!$P$5:$P$1004,MATCH(689,Firms!$R$5:$R$1004,0))&amp;"","")</f>
        <v/>
      </c>
      <c r="E693" s="58">
        <f>IFERROR(INDEX(Firms!$C$5:$C$1004,MATCH(689,Firms!$R$5:$R$1004,0))&amp;"","")</f>
        <v/>
      </c>
      <c r="F693" s="57">
        <f>IFERROR(INDEX(Firms!$L$5:$L$1004,MATCH(689,Firms!$R$5:$R$1004,0))&amp;"","")</f>
        <v/>
      </c>
      <c r="G693" s="57">
        <f>IFERROR(INDEX(Firms!$M$5:$M$1004,MATCH(689,Firms!$R$5:$R$1004,0))&amp;"","")</f>
        <v/>
      </c>
      <c r="H693" s="58">
        <f>IFERROR(INDEX(Firms!$Q$5:$Q$1004,MATCH(689,Firms!$R$5:$R$1004,0))&amp;"","")</f>
        <v/>
      </c>
    </row>
    <row r="694">
      <c r="A694" s="57">
        <f>IF(B694="","",690)</f>
        <v/>
      </c>
      <c r="B694" s="58">
        <f>IFERROR(INDEX(Firms!$A$5:$A$1004,MATCH(690,Firms!$R$5:$R$1004,0))&amp;"","")</f>
        <v/>
      </c>
      <c r="C694" s="59">
        <f>IFERROR(IF(INDEX(Firms!$O$5:$O$1004,MATCH(690,Firms!$R$5:$R$1004,0))="","",INDEX(Firms!$O$5:$O$1004,MATCH(690,Firms!$R$5:$R$1004,0))),"")</f>
        <v/>
      </c>
      <c r="D694" s="58">
        <f>IFERROR(INDEX(Firms!$P$5:$P$1004,MATCH(690,Firms!$R$5:$R$1004,0))&amp;"","")</f>
        <v/>
      </c>
      <c r="E694" s="58">
        <f>IFERROR(INDEX(Firms!$C$5:$C$1004,MATCH(690,Firms!$R$5:$R$1004,0))&amp;"","")</f>
        <v/>
      </c>
      <c r="F694" s="57">
        <f>IFERROR(INDEX(Firms!$L$5:$L$1004,MATCH(690,Firms!$R$5:$R$1004,0))&amp;"","")</f>
        <v/>
      </c>
      <c r="G694" s="57">
        <f>IFERROR(INDEX(Firms!$M$5:$M$1004,MATCH(690,Firms!$R$5:$R$1004,0))&amp;"","")</f>
        <v/>
      </c>
      <c r="H694" s="58">
        <f>IFERROR(INDEX(Firms!$Q$5:$Q$1004,MATCH(690,Firms!$R$5:$R$1004,0))&amp;"","")</f>
        <v/>
      </c>
    </row>
    <row r="695">
      <c r="A695" s="57">
        <f>IF(B695="","",691)</f>
        <v/>
      </c>
      <c r="B695" s="58">
        <f>IFERROR(INDEX(Firms!$A$5:$A$1004,MATCH(691,Firms!$R$5:$R$1004,0))&amp;"","")</f>
        <v/>
      </c>
      <c r="C695" s="59">
        <f>IFERROR(IF(INDEX(Firms!$O$5:$O$1004,MATCH(691,Firms!$R$5:$R$1004,0))="","",INDEX(Firms!$O$5:$O$1004,MATCH(691,Firms!$R$5:$R$1004,0))),"")</f>
        <v/>
      </c>
      <c r="D695" s="58">
        <f>IFERROR(INDEX(Firms!$P$5:$P$1004,MATCH(691,Firms!$R$5:$R$1004,0))&amp;"","")</f>
        <v/>
      </c>
      <c r="E695" s="58">
        <f>IFERROR(INDEX(Firms!$C$5:$C$1004,MATCH(691,Firms!$R$5:$R$1004,0))&amp;"","")</f>
        <v/>
      </c>
      <c r="F695" s="57">
        <f>IFERROR(INDEX(Firms!$L$5:$L$1004,MATCH(691,Firms!$R$5:$R$1004,0))&amp;"","")</f>
        <v/>
      </c>
      <c r="G695" s="57">
        <f>IFERROR(INDEX(Firms!$M$5:$M$1004,MATCH(691,Firms!$R$5:$R$1004,0))&amp;"","")</f>
        <v/>
      </c>
      <c r="H695" s="58">
        <f>IFERROR(INDEX(Firms!$Q$5:$Q$1004,MATCH(691,Firms!$R$5:$R$1004,0))&amp;"","")</f>
        <v/>
      </c>
    </row>
    <row r="696">
      <c r="A696" s="57">
        <f>IF(B696="","",692)</f>
        <v/>
      </c>
      <c r="B696" s="58">
        <f>IFERROR(INDEX(Firms!$A$5:$A$1004,MATCH(692,Firms!$R$5:$R$1004,0))&amp;"","")</f>
        <v/>
      </c>
      <c r="C696" s="59">
        <f>IFERROR(IF(INDEX(Firms!$O$5:$O$1004,MATCH(692,Firms!$R$5:$R$1004,0))="","",INDEX(Firms!$O$5:$O$1004,MATCH(692,Firms!$R$5:$R$1004,0))),"")</f>
        <v/>
      </c>
      <c r="D696" s="58">
        <f>IFERROR(INDEX(Firms!$P$5:$P$1004,MATCH(692,Firms!$R$5:$R$1004,0))&amp;"","")</f>
        <v/>
      </c>
      <c r="E696" s="58">
        <f>IFERROR(INDEX(Firms!$C$5:$C$1004,MATCH(692,Firms!$R$5:$R$1004,0))&amp;"","")</f>
        <v/>
      </c>
      <c r="F696" s="57">
        <f>IFERROR(INDEX(Firms!$L$5:$L$1004,MATCH(692,Firms!$R$5:$R$1004,0))&amp;"","")</f>
        <v/>
      </c>
      <c r="G696" s="57">
        <f>IFERROR(INDEX(Firms!$M$5:$M$1004,MATCH(692,Firms!$R$5:$R$1004,0))&amp;"","")</f>
        <v/>
      </c>
      <c r="H696" s="58">
        <f>IFERROR(INDEX(Firms!$Q$5:$Q$1004,MATCH(692,Firms!$R$5:$R$1004,0))&amp;"","")</f>
        <v/>
      </c>
    </row>
    <row r="697">
      <c r="A697" s="57">
        <f>IF(B697="","",693)</f>
        <v/>
      </c>
      <c r="B697" s="58">
        <f>IFERROR(INDEX(Firms!$A$5:$A$1004,MATCH(693,Firms!$R$5:$R$1004,0))&amp;"","")</f>
        <v/>
      </c>
      <c r="C697" s="59">
        <f>IFERROR(IF(INDEX(Firms!$O$5:$O$1004,MATCH(693,Firms!$R$5:$R$1004,0))="","",INDEX(Firms!$O$5:$O$1004,MATCH(693,Firms!$R$5:$R$1004,0))),"")</f>
        <v/>
      </c>
      <c r="D697" s="58">
        <f>IFERROR(INDEX(Firms!$P$5:$P$1004,MATCH(693,Firms!$R$5:$R$1004,0))&amp;"","")</f>
        <v/>
      </c>
      <c r="E697" s="58">
        <f>IFERROR(INDEX(Firms!$C$5:$C$1004,MATCH(693,Firms!$R$5:$R$1004,0))&amp;"","")</f>
        <v/>
      </c>
      <c r="F697" s="57">
        <f>IFERROR(INDEX(Firms!$L$5:$L$1004,MATCH(693,Firms!$R$5:$R$1004,0))&amp;"","")</f>
        <v/>
      </c>
      <c r="G697" s="57">
        <f>IFERROR(INDEX(Firms!$M$5:$M$1004,MATCH(693,Firms!$R$5:$R$1004,0))&amp;"","")</f>
        <v/>
      </c>
      <c r="H697" s="58">
        <f>IFERROR(INDEX(Firms!$Q$5:$Q$1004,MATCH(693,Firms!$R$5:$R$1004,0))&amp;"","")</f>
        <v/>
      </c>
    </row>
    <row r="698">
      <c r="A698" s="57">
        <f>IF(B698="","",694)</f>
        <v/>
      </c>
      <c r="B698" s="58">
        <f>IFERROR(INDEX(Firms!$A$5:$A$1004,MATCH(694,Firms!$R$5:$R$1004,0))&amp;"","")</f>
        <v/>
      </c>
      <c r="C698" s="59">
        <f>IFERROR(IF(INDEX(Firms!$O$5:$O$1004,MATCH(694,Firms!$R$5:$R$1004,0))="","",INDEX(Firms!$O$5:$O$1004,MATCH(694,Firms!$R$5:$R$1004,0))),"")</f>
        <v/>
      </c>
      <c r="D698" s="58">
        <f>IFERROR(INDEX(Firms!$P$5:$P$1004,MATCH(694,Firms!$R$5:$R$1004,0))&amp;"","")</f>
        <v/>
      </c>
      <c r="E698" s="58">
        <f>IFERROR(INDEX(Firms!$C$5:$C$1004,MATCH(694,Firms!$R$5:$R$1004,0))&amp;"","")</f>
        <v/>
      </c>
      <c r="F698" s="57">
        <f>IFERROR(INDEX(Firms!$L$5:$L$1004,MATCH(694,Firms!$R$5:$R$1004,0))&amp;"","")</f>
        <v/>
      </c>
      <c r="G698" s="57">
        <f>IFERROR(INDEX(Firms!$M$5:$M$1004,MATCH(694,Firms!$R$5:$R$1004,0))&amp;"","")</f>
        <v/>
      </c>
      <c r="H698" s="58">
        <f>IFERROR(INDEX(Firms!$Q$5:$Q$1004,MATCH(694,Firms!$R$5:$R$1004,0))&amp;"","")</f>
        <v/>
      </c>
    </row>
    <row r="699">
      <c r="A699" s="57">
        <f>IF(B699="","",695)</f>
        <v/>
      </c>
      <c r="B699" s="58">
        <f>IFERROR(INDEX(Firms!$A$5:$A$1004,MATCH(695,Firms!$R$5:$R$1004,0))&amp;"","")</f>
        <v/>
      </c>
      <c r="C699" s="59">
        <f>IFERROR(IF(INDEX(Firms!$O$5:$O$1004,MATCH(695,Firms!$R$5:$R$1004,0))="","",INDEX(Firms!$O$5:$O$1004,MATCH(695,Firms!$R$5:$R$1004,0))),"")</f>
        <v/>
      </c>
      <c r="D699" s="58">
        <f>IFERROR(INDEX(Firms!$P$5:$P$1004,MATCH(695,Firms!$R$5:$R$1004,0))&amp;"","")</f>
        <v/>
      </c>
      <c r="E699" s="58">
        <f>IFERROR(INDEX(Firms!$C$5:$C$1004,MATCH(695,Firms!$R$5:$R$1004,0))&amp;"","")</f>
        <v/>
      </c>
      <c r="F699" s="57">
        <f>IFERROR(INDEX(Firms!$L$5:$L$1004,MATCH(695,Firms!$R$5:$R$1004,0))&amp;"","")</f>
        <v/>
      </c>
      <c r="G699" s="57">
        <f>IFERROR(INDEX(Firms!$M$5:$M$1004,MATCH(695,Firms!$R$5:$R$1004,0))&amp;"","")</f>
        <v/>
      </c>
      <c r="H699" s="58">
        <f>IFERROR(INDEX(Firms!$Q$5:$Q$1004,MATCH(695,Firms!$R$5:$R$1004,0))&amp;"","")</f>
        <v/>
      </c>
    </row>
    <row r="700">
      <c r="A700" s="57">
        <f>IF(B700="","",696)</f>
        <v/>
      </c>
      <c r="B700" s="58">
        <f>IFERROR(INDEX(Firms!$A$5:$A$1004,MATCH(696,Firms!$R$5:$R$1004,0))&amp;"","")</f>
        <v/>
      </c>
      <c r="C700" s="59">
        <f>IFERROR(IF(INDEX(Firms!$O$5:$O$1004,MATCH(696,Firms!$R$5:$R$1004,0))="","",INDEX(Firms!$O$5:$O$1004,MATCH(696,Firms!$R$5:$R$1004,0))),"")</f>
        <v/>
      </c>
      <c r="D700" s="58">
        <f>IFERROR(INDEX(Firms!$P$5:$P$1004,MATCH(696,Firms!$R$5:$R$1004,0))&amp;"","")</f>
        <v/>
      </c>
      <c r="E700" s="58">
        <f>IFERROR(INDEX(Firms!$C$5:$C$1004,MATCH(696,Firms!$R$5:$R$1004,0))&amp;"","")</f>
        <v/>
      </c>
      <c r="F700" s="57">
        <f>IFERROR(INDEX(Firms!$L$5:$L$1004,MATCH(696,Firms!$R$5:$R$1004,0))&amp;"","")</f>
        <v/>
      </c>
      <c r="G700" s="57">
        <f>IFERROR(INDEX(Firms!$M$5:$M$1004,MATCH(696,Firms!$R$5:$R$1004,0))&amp;"","")</f>
        <v/>
      </c>
      <c r="H700" s="58">
        <f>IFERROR(INDEX(Firms!$Q$5:$Q$1004,MATCH(696,Firms!$R$5:$R$1004,0))&amp;"","")</f>
        <v/>
      </c>
    </row>
    <row r="701">
      <c r="A701" s="57">
        <f>IF(B701="","",697)</f>
        <v/>
      </c>
      <c r="B701" s="58">
        <f>IFERROR(INDEX(Firms!$A$5:$A$1004,MATCH(697,Firms!$R$5:$R$1004,0))&amp;"","")</f>
        <v/>
      </c>
      <c r="C701" s="59">
        <f>IFERROR(IF(INDEX(Firms!$O$5:$O$1004,MATCH(697,Firms!$R$5:$R$1004,0))="","",INDEX(Firms!$O$5:$O$1004,MATCH(697,Firms!$R$5:$R$1004,0))),"")</f>
        <v/>
      </c>
      <c r="D701" s="58">
        <f>IFERROR(INDEX(Firms!$P$5:$P$1004,MATCH(697,Firms!$R$5:$R$1004,0))&amp;"","")</f>
        <v/>
      </c>
      <c r="E701" s="58">
        <f>IFERROR(INDEX(Firms!$C$5:$C$1004,MATCH(697,Firms!$R$5:$R$1004,0))&amp;"","")</f>
        <v/>
      </c>
      <c r="F701" s="57">
        <f>IFERROR(INDEX(Firms!$L$5:$L$1004,MATCH(697,Firms!$R$5:$R$1004,0))&amp;"","")</f>
        <v/>
      </c>
      <c r="G701" s="57">
        <f>IFERROR(INDEX(Firms!$M$5:$M$1004,MATCH(697,Firms!$R$5:$R$1004,0))&amp;"","")</f>
        <v/>
      </c>
      <c r="H701" s="58">
        <f>IFERROR(INDEX(Firms!$Q$5:$Q$1004,MATCH(697,Firms!$R$5:$R$1004,0))&amp;"","")</f>
        <v/>
      </c>
    </row>
    <row r="702">
      <c r="A702" s="57">
        <f>IF(B702="","",698)</f>
        <v/>
      </c>
      <c r="B702" s="58">
        <f>IFERROR(INDEX(Firms!$A$5:$A$1004,MATCH(698,Firms!$R$5:$R$1004,0))&amp;"","")</f>
        <v/>
      </c>
      <c r="C702" s="59">
        <f>IFERROR(IF(INDEX(Firms!$O$5:$O$1004,MATCH(698,Firms!$R$5:$R$1004,0))="","",INDEX(Firms!$O$5:$O$1004,MATCH(698,Firms!$R$5:$R$1004,0))),"")</f>
        <v/>
      </c>
      <c r="D702" s="58">
        <f>IFERROR(INDEX(Firms!$P$5:$P$1004,MATCH(698,Firms!$R$5:$R$1004,0))&amp;"","")</f>
        <v/>
      </c>
      <c r="E702" s="58">
        <f>IFERROR(INDEX(Firms!$C$5:$C$1004,MATCH(698,Firms!$R$5:$R$1004,0))&amp;"","")</f>
        <v/>
      </c>
      <c r="F702" s="57">
        <f>IFERROR(INDEX(Firms!$L$5:$L$1004,MATCH(698,Firms!$R$5:$R$1004,0))&amp;"","")</f>
        <v/>
      </c>
      <c r="G702" s="57">
        <f>IFERROR(INDEX(Firms!$M$5:$M$1004,MATCH(698,Firms!$R$5:$R$1004,0))&amp;"","")</f>
        <v/>
      </c>
      <c r="H702" s="58">
        <f>IFERROR(INDEX(Firms!$Q$5:$Q$1004,MATCH(698,Firms!$R$5:$R$1004,0))&amp;"","")</f>
        <v/>
      </c>
    </row>
    <row r="703">
      <c r="A703" s="57">
        <f>IF(B703="","",699)</f>
        <v/>
      </c>
      <c r="B703" s="58">
        <f>IFERROR(INDEX(Firms!$A$5:$A$1004,MATCH(699,Firms!$R$5:$R$1004,0))&amp;"","")</f>
        <v/>
      </c>
      <c r="C703" s="59">
        <f>IFERROR(IF(INDEX(Firms!$O$5:$O$1004,MATCH(699,Firms!$R$5:$R$1004,0))="","",INDEX(Firms!$O$5:$O$1004,MATCH(699,Firms!$R$5:$R$1004,0))),"")</f>
        <v/>
      </c>
      <c r="D703" s="58">
        <f>IFERROR(INDEX(Firms!$P$5:$P$1004,MATCH(699,Firms!$R$5:$R$1004,0))&amp;"","")</f>
        <v/>
      </c>
      <c r="E703" s="58">
        <f>IFERROR(INDEX(Firms!$C$5:$C$1004,MATCH(699,Firms!$R$5:$R$1004,0))&amp;"","")</f>
        <v/>
      </c>
      <c r="F703" s="57">
        <f>IFERROR(INDEX(Firms!$L$5:$L$1004,MATCH(699,Firms!$R$5:$R$1004,0))&amp;"","")</f>
        <v/>
      </c>
      <c r="G703" s="57">
        <f>IFERROR(INDEX(Firms!$M$5:$M$1004,MATCH(699,Firms!$R$5:$R$1004,0))&amp;"","")</f>
        <v/>
      </c>
      <c r="H703" s="58">
        <f>IFERROR(INDEX(Firms!$Q$5:$Q$1004,MATCH(699,Firms!$R$5:$R$1004,0))&amp;"","")</f>
        <v/>
      </c>
    </row>
    <row r="704">
      <c r="A704" s="57">
        <f>IF(B704="","",700)</f>
        <v/>
      </c>
      <c r="B704" s="58">
        <f>IFERROR(INDEX(Firms!$A$5:$A$1004,MATCH(700,Firms!$R$5:$R$1004,0))&amp;"","")</f>
        <v/>
      </c>
      <c r="C704" s="59">
        <f>IFERROR(IF(INDEX(Firms!$O$5:$O$1004,MATCH(700,Firms!$R$5:$R$1004,0))="","",INDEX(Firms!$O$5:$O$1004,MATCH(700,Firms!$R$5:$R$1004,0))),"")</f>
        <v/>
      </c>
      <c r="D704" s="58">
        <f>IFERROR(INDEX(Firms!$P$5:$P$1004,MATCH(700,Firms!$R$5:$R$1004,0))&amp;"","")</f>
        <v/>
      </c>
      <c r="E704" s="58">
        <f>IFERROR(INDEX(Firms!$C$5:$C$1004,MATCH(700,Firms!$R$5:$R$1004,0))&amp;"","")</f>
        <v/>
      </c>
      <c r="F704" s="57">
        <f>IFERROR(INDEX(Firms!$L$5:$L$1004,MATCH(700,Firms!$R$5:$R$1004,0))&amp;"","")</f>
        <v/>
      </c>
      <c r="G704" s="57">
        <f>IFERROR(INDEX(Firms!$M$5:$M$1004,MATCH(700,Firms!$R$5:$R$1004,0))&amp;"","")</f>
        <v/>
      </c>
      <c r="H704" s="58">
        <f>IFERROR(INDEX(Firms!$Q$5:$Q$1004,MATCH(700,Firms!$R$5:$R$1004,0))&amp;"","")</f>
        <v/>
      </c>
    </row>
    <row r="705">
      <c r="A705" s="57">
        <f>IF(B705="","",701)</f>
        <v/>
      </c>
      <c r="B705" s="58">
        <f>IFERROR(INDEX(Firms!$A$5:$A$1004,MATCH(701,Firms!$R$5:$R$1004,0))&amp;"","")</f>
        <v/>
      </c>
      <c r="C705" s="59">
        <f>IFERROR(IF(INDEX(Firms!$O$5:$O$1004,MATCH(701,Firms!$R$5:$R$1004,0))="","",INDEX(Firms!$O$5:$O$1004,MATCH(701,Firms!$R$5:$R$1004,0))),"")</f>
        <v/>
      </c>
      <c r="D705" s="58">
        <f>IFERROR(INDEX(Firms!$P$5:$P$1004,MATCH(701,Firms!$R$5:$R$1004,0))&amp;"","")</f>
        <v/>
      </c>
      <c r="E705" s="58">
        <f>IFERROR(INDEX(Firms!$C$5:$C$1004,MATCH(701,Firms!$R$5:$R$1004,0))&amp;"","")</f>
        <v/>
      </c>
      <c r="F705" s="57">
        <f>IFERROR(INDEX(Firms!$L$5:$L$1004,MATCH(701,Firms!$R$5:$R$1004,0))&amp;"","")</f>
        <v/>
      </c>
      <c r="G705" s="57">
        <f>IFERROR(INDEX(Firms!$M$5:$M$1004,MATCH(701,Firms!$R$5:$R$1004,0))&amp;"","")</f>
        <v/>
      </c>
      <c r="H705" s="58">
        <f>IFERROR(INDEX(Firms!$Q$5:$Q$1004,MATCH(701,Firms!$R$5:$R$1004,0))&amp;"","")</f>
        <v/>
      </c>
    </row>
    <row r="706">
      <c r="A706" s="57">
        <f>IF(B706="","",702)</f>
        <v/>
      </c>
      <c r="B706" s="58">
        <f>IFERROR(INDEX(Firms!$A$5:$A$1004,MATCH(702,Firms!$R$5:$R$1004,0))&amp;"","")</f>
        <v/>
      </c>
      <c r="C706" s="59">
        <f>IFERROR(IF(INDEX(Firms!$O$5:$O$1004,MATCH(702,Firms!$R$5:$R$1004,0))="","",INDEX(Firms!$O$5:$O$1004,MATCH(702,Firms!$R$5:$R$1004,0))),"")</f>
        <v/>
      </c>
      <c r="D706" s="58">
        <f>IFERROR(INDEX(Firms!$P$5:$P$1004,MATCH(702,Firms!$R$5:$R$1004,0))&amp;"","")</f>
        <v/>
      </c>
      <c r="E706" s="58">
        <f>IFERROR(INDEX(Firms!$C$5:$C$1004,MATCH(702,Firms!$R$5:$R$1004,0))&amp;"","")</f>
        <v/>
      </c>
      <c r="F706" s="57">
        <f>IFERROR(INDEX(Firms!$L$5:$L$1004,MATCH(702,Firms!$R$5:$R$1004,0))&amp;"","")</f>
        <v/>
      </c>
      <c r="G706" s="57">
        <f>IFERROR(INDEX(Firms!$M$5:$M$1004,MATCH(702,Firms!$R$5:$R$1004,0))&amp;"","")</f>
        <v/>
      </c>
      <c r="H706" s="58">
        <f>IFERROR(INDEX(Firms!$Q$5:$Q$1004,MATCH(702,Firms!$R$5:$R$1004,0))&amp;"","")</f>
        <v/>
      </c>
    </row>
    <row r="707">
      <c r="A707" s="57">
        <f>IF(B707="","",703)</f>
        <v/>
      </c>
      <c r="B707" s="58">
        <f>IFERROR(INDEX(Firms!$A$5:$A$1004,MATCH(703,Firms!$R$5:$R$1004,0))&amp;"","")</f>
        <v/>
      </c>
      <c r="C707" s="59">
        <f>IFERROR(IF(INDEX(Firms!$O$5:$O$1004,MATCH(703,Firms!$R$5:$R$1004,0))="","",INDEX(Firms!$O$5:$O$1004,MATCH(703,Firms!$R$5:$R$1004,0))),"")</f>
        <v/>
      </c>
      <c r="D707" s="58">
        <f>IFERROR(INDEX(Firms!$P$5:$P$1004,MATCH(703,Firms!$R$5:$R$1004,0))&amp;"","")</f>
        <v/>
      </c>
      <c r="E707" s="58">
        <f>IFERROR(INDEX(Firms!$C$5:$C$1004,MATCH(703,Firms!$R$5:$R$1004,0))&amp;"","")</f>
        <v/>
      </c>
      <c r="F707" s="57">
        <f>IFERROR(INDEX(Firms!$L$5:$L$1004,MATCH(703,Firms!$R$5:$R$1004,0))&amp;"","")</f>
        <v/>
      </c>
      <c r="G707" s="57">
        <f>IFERROR(INDEX(Firms!$M$5:$M$1004,MATCH(703,Firms!$R$5:$R$1004,0))&amp;"","")</f>
        <v/>
      </c>
      <c r="H707" s="58">
        <f>IFERROR(INDEX(Firms!$Q$5:$Q$1004,MATCH(703,Firms!$R$5:$R$1004,0))&amp;"","")</f>
        <v/>
      </c>
    </row>
    <row r="708">
      <c r="A708" s="57">
        <f>IF(B708="","",704)</f>
        <v/>
      </c>
      <c r="B708" s="58">
        <f>IFERROR(INDEX(Firms!$A$5:$A$1004,MATCH(704,Firms!$R$5:$R$1004,0))&amp;"","")</f>
        <v/>
      </c>
      <c r="C708" s="59">
        <f>IFERROR(IF(INDEX(Firms!$O$5:$O$1004,MATCH(704,Firms!$R$5:$R$1004,0))="","",INDEX(Firms!$O$5:$O$1004,MATCH(704,Firms!$R$5:$R$1004,0))),"")</f>
        <v/>
      </c>
      <c r="D708" s="58">
        <f>IFERROR(INDEX(Firms!$P$5:$P$1004,MATCH(704,Firms!$R$5:$R$1004,0))&amp;"","")</f>
        <v/>
      </c>
      <c r="E708" s="58">
        <f>IFERROR(INDEX(Firms!$C$5:$C$1004,MATCH(704,Firms!$R$5:$R$1004,0))&amp;"","")</f>
        <v/>
      </c>
      <c r="F708" s="57">
        <f>IFERROR(INDEX(Firms!$L$5:$L$1004,MATCH(704,Firms!$R$5:$R$1004,0))&amp;"","")</f>
        <v/>
      </c>
      <c r="G708" s="57">
        <f>IFERROR(INDEX(Firms!$M$5:$M$1004,MATCH(704,Firms!$R$5:$R$1004,0))&amp;"","")</f>
        <v/>
      </c>
      <c r="H708" s="58">
        <f>IFERROR(INDEX(Firms!$Q$5:$Q$1004,MATCH(704,Firms!$R$5:$R$1004,0))&amp;"","")</f>
        <v/>
      </c>
    </row>
    <row r="709">
      <c r="A709" s="57">
        <f>IF(B709="","",705)</f>
        <v/>
      </c>
      <c r="B709" s="58">
        <f>IFERROR(INDEX(Firms!$A$5:$A$1004,MATCH(705,Firms!$R$5:$R$1004,0))&amp;"","")</f>
        <v/>
      </c>
      <c r="C709" s="59">
        <f>IFERROR(IF(INDEX(Firms!$O$5:$O$1004,MATCH(705,Firms!$R$5:$R$1004,0))="","",INDEX(Firms!$O$5:$O$1004,MATCH(705,Firms!$R$5:$R$1004,0))),"")</f>
        <v/>
      </c>
      <c r="D709" s="58">
        <f>IFERROR(INDEX(Firms!$P$5:$P$1004,MATCH(705,Firms!$R$5:$R$1004,0))&amp;"","")</f>
        <v/>
      </c>
      <c r="E709" s="58">
        <f>IFERROR(INDEX(Firms!$C$5:$C$1004,MATCH(705,Firms!$R$5:$R$1004,0))&amp;"","")</f>
        <v/>
      </c>
      <c r="F709" s="57">
        <f>IFERROR(INDEX(Firms!$L$5:$L$1004,MATCH(705,Firms!$R$5:$R$1004,0))&amp;"","")</f>
        <v/>
      </c>
      <c r="G709" s="57">
        <f>IFERROR(INDEX(Firms!$M$5:$M$1004,MATCH(705,Firms!$R$5:$R$1004,0))&amp;"","")</f>
        <v/>
      </c>
      <c r="H709" s="58">
        <f>IFERROR(INDEX(Firms!$Q$5:$Q$1004,MATCH(705,Firms!$R$5:$R$1004,0))&amp;"","")</f>
        <v/>
      </c>
    </row>
    <row r="710">
      <c r="A710" s="57">
        <f>IF(B710="","",706)</f>
        <v/>
      </c>
      <c r="B710" s="58">
        <f>IFERROR(INDEX(Firms!$A$5:$A$1004,MATCH(706,Firms!$R$5:$R$1004,0))&amp;"","")</f>
        <v/>
      </c>
      <c r="C710" s="59">
        <f>IFERROR(IF(INDEX(Firms!$O$5:$O$1004,MATCH(706,Firms!$R$5:$R$1004,0))="","",INDEX(Firms!$O$5:$O$1004,MATCH(706,Firms!$R$5:$R$1004,0))),"")</f>
        <v/>
      </c>
      <c r="D710" s="58">
        <f>IFERROR(INDEX(Firms!$P$5:$P$1004,MATCH(706,Firms!$R$5:$R$1004,0))&amp;"","")</f>
        <v/>
      </c>
      <c r="E710" s="58">
        <f>IFERROR(INDEX(Firms!$C$5:$C$1004,MATCH(706,Firms!$R$5:$R$1004,0))&amp;"","")</f>
        <v/>
      </c>
      <c r="F710" s="57">
        <f>IFERROR(INDEX(Firms!$L$5:$L$1004,MATCH(706,Firms!$R$5:$R$1004,0))&amp;"","")</f>
        <v/>
      </c>
      <c r="G710" s="57">
        <f>IFERROR(INDEX(Firms!$M$5:$M$1004,MATCH(706,Firms!$R$5:$R$1004,0))&amp;"","")</f>
        <v/>
      </c>
      <c r="H710" s="58">
        <f>IFERROR(INDEX(Firms!$Q$5:$Q$1004,MATCH(706,Firms!$R$5:$R$1004,0))&amp;"","")</f>
        <v/>
      </c>
    </row>
    <row r="711">
      <c r="A711" s="57">
        <f>IF(B711="","",707)</f>
        <v/>
      </c>
      <c r="B711" s="58">
        <f>IFERROR(INDEX(Firms!$A$5:$A$1004,MATCH(707,Firms!$R$5:$R$1004,0))&amp;"","")</f>
        <v/>
      </c>
      <c r="C711" s="59">
        <f>IFERROR(IF(INDEX(Firms!$O$5:$O$1004,MATCH(707,Firms!$R$5:$R$1004,0))="","",INDEX(Firms!$O$5:$O$1004,MATCH(707,Firms!$R$5:$R$1004,0))),"")</f>
        <v/>
      </c>
      <c r="D711" s="58">
        <f>IFERROR(INDEX(Firms!$P$5:$P$1004,MATCH(707,Firms!$R$5:$R$1004,0))&amp;"","")</f>
        <v/>
      </c>
      <c r="E711" s="58">
        <f>IFERROR(INDEX(Firms!$C$5:$C$1004,MATCH(707,Firms!$R$5:$R$1004,0))&amp;"","")</f>
        <v/>
      </c>
      <c r="F711" s="57">
        <f>IFERROR(INDEX(Firms!$L$5:$L$1004,MATCH(707,Firms!$R$5:$R$1004,0))&amp;"","")</f>
        <v/>
      </c>
      <c r="G711" s="57">
        <f>IFERROR(INDEX(Firms!$M$5:$M$1004,MATCH(707,Firms!$R$5:$R$1004,0))&amp;"","")</f>
        <v/>
      </c>
      <c r="H711" s="58">
        <f>IFERROR(INDEX(Firms!$Q$5:$Q$1004,MATCH(707,Firms!$R$5:$R$1004,0))&amp;"","")</f>
        <v/>
      </c>
    </row>
    <row r="712">
      <c r="A712" s="57">
        <f>IF(B712="","",708)</f>
        <v/>
      </c>
      <c r="B712" s="58">
        <f>IFERROR(INDEX(Firms!$A$5:$A$1004,MATCH(708,Firms!$R$5:$R$1004,0))&amp;"","")</f>
        <v/>
      </c>
      <c r="C712" s="59">
        <f>IFERROR(IF(INDEX(Firms!$O$5:$O$1004,MATCH(708,Firms!$R$5:$R$1004,0))="","",INDEX(Firms!$O$5:$O$1004,MATCH(708,Firms!$R$5:$R$1004,0))),"")</f>
        <v/>
      </c>
      <c r="D712" s="58">
        <f>IFERROR(INDEX(Firms!$P$5:$P$1004,MATCH(708,Firms!$R$5:$R$1004,0))&amp;"","")</f>
        <v/>
      </c>
      <c r="E712" s="58">
        <f>IFERROR(INDEX(Firms!$C$5:$C$1004,MATCH(708,Firms!$R$5:$R$1004,0))&amp;"","")</f>
        <v/>
      </c>
      <c r="F712" s="57">
        <f>IFERROR(INDEX(Firms!$L$5:$L$1004,MATCH(708,Firms!$R$5:$R$1004,0))&amp;"","")</f>
        <v/>
      </c>
      <c r="G712" s="57">
        <f>IFERROR(INDEX(Firms!$M$5:$M$1004,MATCH(708,Firms!$R$5:$R$1004,0))&amp;"","")</f>
        <v/>
      </c>
      <c r="H712" s="58">
        <f>IFERROR(INDEX(Firms!$Q$5:$Q$1004,MATCH(708,Firms!$R$5:$R$1004,0))&amp;"","")</f>
        <v/>
      </c>
    </row>
    <row r="713">
      <c r="A713" s="57">
        <f>IF(B713="","",709)</f>
        <v/>
      </c>
      <c r="B713" s="58">
        <f>IFERROR(INDEX(Firms!$A$5:$A$1004,MATCH(709,Firms!$R$5:$R$1004,0))&amp;"","")</f>
        <v/>
      </c>
      <c r="C713" s="59">
        <f>IFERROR(IF(INDEX(Firms!$O$5:$O$1004,MATCH(709,Firms!$R$5:$R$1004,0))="","",INDEX(Firms!$O$5:$O$1004,MATCH(709,Firms!$R$5:$R$1004,0))),"")</f>
        <v/>
      </c>
      <c r="D713" s="58">
        <f>IFERROR(INDEX(Firms!$P$5:$P$1004,MATCH(709,Firms!$R$5:$R$1004,0))&amp;"","")</f>
        <v/>
      </c>
      <c r="E713" s="58">
        <f>IFERROR(INDEX(Firms!$C$5:$C$1004,MATCH(709,Firms!$R$5:$R$1004,0))&amp;"","")</f>
        <v/>
      </c>
      <c r="F713" s="57">
        <f>IFERROR(INDEX(Firms!$L$5:$L$1004,MATCH(709,Firms!$R$5:$R$1004,0))&amp;"","")</f>
        <v/>
      </c>
      <c r="G713" s="57">
        <f>IFERROR(INDEX(Firms!$M$5:$M$1004,MATCH(709,Firms!$R$5:$R$1004,0))&amp;"","")</f>
        <v/>
      </c>
      <c r="H713" s="58">
        <f>IFERROR(INDEX(Firms!$Q$5:$Q$1004,MATCH(709,Firms!$R$5:$R$1004,0))&amp;"","")</f>
        <v/>
      </c>
    </row>
    <row r="714">
      <c r="A714" s="57">
        <f>IF(B714="","",710)</f>
        <v/>
      </c>
      <c r="B714" s="58">
        <f>IFERROR(INDEX(Firms!$A$5:$A$1004,MATCH(710,Firms!$R$5:$R$1004,0))&amp;"","")</f>
        <v/>
      </c>
      <c r="C714" s="59">
        <f>IFERROR(IF(INDEX(Firms!$O$5:$O$1004,MATCH(710,Firms!$R$5:$R$1004,0))="","",INDEX(Firms!$O$5:$O$1004,MATCH(710,Firms!$R$5:$R$1004,0))),"")</f>
        <v/>
      </c>
      <c r="D714" s="58">
        <f>IFERROR(INDEX(Firms!$P$5:$P$1004,MATCH(710,Firms!$R$5:$R$1004,0))&amp;"","")</f>
        <v/>
      </c>
      <c r="E714" s="58">
        <f>IFERROR(INDEX(Firms!$C$5:$C$1004,MATCH(710,Firms!$R$5:$R$1004,0))&amp;"","")</f>
        <v/>
      </c>
      <c r="F714" s="57">
        <f>IFERROR(INDEX(Firms!$L$5:$L$1004,MATCH(710,Firms!$R$5:$R$1004,0))&amp;"","")</f>
        <v/>
      </c>
      <c r="G714" s="57">
        <f>IFERROR(INDEX(Firms!$M$5:$M$1004,MATCH(710,Firms!$R$5:$R$1004,0))&amp;"","")</f>
        <v/>
      </c>
      <c r="H714" s="58">
        <f>IFERROR(INDEX(Firms!$Q$5:$Q$1004,MATCH(710,Firms!$R$5:$R$1004,0))&amp;"","")</f>
        <v/>
      </c>
    </row>
    <row r="715">
      <c r="A715" s="57">
        <f>IF(B715="","",711)</f>
        <v/>
      </c>
      <c r="B715" s="58">
        <f>IFERROR(INDEX(Firms!$A$5:$A$1004,MATCH(711,Firms!$R$5:$R$1004,0))&amp;"","")</f>
        <v/>
      </c>
      <c r="C715" s="59">
        <f>IFERROR(IF(INDEX(Firms!$O$5:$O$1004,MATCH(711,Firms!$R$5:$R$1004,0))="","",INDEX(Firms!$O$5:$O$1004,MATCH(711,Firms!$R$5:$R$1004,0))),"")</f>
        <v/>
      </c>
      <c r="D715" s="58">
        <f>IFERROR(INDEX(Firms!$P$5:$P$1004,MATCH(711,Firms!$R$5:$R$1004,0))&amp;"","")</f>
        <v/>
      </c>
      <c r="E715" s="58">
        <f>IFERROR(INDEX(Firms!$C$5:$C$1004,MATCH(711,Firms!$R$5:$R$1004,0))&amp;"","")</f>
        <v/>
      </c>
      <c r="F715" s="57">
        <f>IFERROR(INDEX(Firms!$L$5:$L$1004,MATCH(711,Firms!$R$5:$R$1004,0))&amp;"","")</f>
        <v/>
      </c>
      <c r="G715" s="57">
        <f>IFERROR(INDEX(Firms!$M$5:$M$1004,MATCH(711,Firms!$R$5:$R$1004,0))&amp;"","")</f>
        <v/>
      </c>
      <c r="H715" s="58">
        <f>IFERROR(INDEX(Firms!$Q$5:$Q$1004,MATCH(711,Firms!$R$5:$R$1004,0))&amp;"","")</f>
        <v/>
      </c>
    </row>
    <row r="716">
      <c r="A716" s="57">
        <f>IF(B716="","",712)</f>
        <v/>
      </c>
      <c r="B716" s="58">
        <f>IFERROR(INDEX(Firms!$A$5:$A$1004,MATCH(712,Firms!$R$5:$R$1004,0))&amp;"","")</f>
        <v/>
      </c>
      <c r="C716" s="59">
        <f>IFERROR(IF(INDEX(Firms!$O$5:$O$1004,MATCH(712,Firms!$R$5:$R$1004,0))="","",INDEX(Firms!$O$5:$O$1004,MATCH(712,Firms!$R$5:$R$1004,0))),"")</f>
        <v/>
      </c>
      <c r="D716" s="58">
        <f>IFERROR(INDEX(Firms!$P$5:$P$1004,MATCH(712,Firms!$R$5:$R$1004,0))&amp;"","")</f>
        <v/>
      </c>
      <c r="E716" s="58">
        <f>IFERROR(INDEX(Firms!$C$5:$C$1004,MATCH(712,Firms!$R$5:$R$1004,0))&amp;"","")</f>
        <v/>
      </c>
      <c r="F716" s="57">
        <f>IFERROR(INDEX(Firms!$L$5:$L$1004,MATCH(712,Firms!$R$5:$R$1004,0))&amp;"","")</f>
        <v/>
      </c>
      <c r="G716" s="57">
        <f>IFERROR(INDEX(Firms!$M$5:$M$1004,MATCH(712,Firms!$R$5:$R$1004,0))&amp;"","")</f>
        <v/>
      </c>
      <c r="H716" s="58">
        <f>IFERROR(INDEX(Firms!$Q$5:$Q$1004,MATCH(712,Firms!$R$5:$R$1004,0))&amp;"","")</f>
        <v/>
      </c>
    </row>
    <row r="717">
      <c r="A717" s="57">
        <f>IF(B717="","",713)</f>
        <v/>
      </c>
      <c r="B717" s="58">
        <f>IFERROR(INDEX(Firms!$A$5:$A$1004,MATCH(713,Firms!$R$5:$R$1004,0))&amp;"","")</f>
        <v/>
      </c>
      <c r="C717" s="59">
        <f>IFERROR(IF(INDEX(Firms!$O$5:$O$1004,MATCH(713,Firms!$R$5:$R$1004,0))="","",INDEX(Firms!$O$5:$O$1004,MATCH(713,Firms!$R$5:$R$1004,0))),"")</f>
        <v/>
      </c>
      <c r="D717" s="58">
        <f>IFERROR(INDEX(Firms!$P$5:$P$1004,MATCH(713,Firms!$R$5:$R$1004,0))&amp;"","")</f>
        <v/>
      </c>
      <c r="E717" s="58">
        <f>IFERROR(INDEX(Firms!$C$5:$C$1004,MATCH(713,Firms!$R$5:$R$1004,0))&amp;"","")</f>
        <v/>
      </c>
      <c r="F717" s="57">
        <f>IFERROR(INDEX(Firms!$L$5:$L$1004,MATCH(713,Firms!$R$5:$R$1004,0))&amp;"","")</f>
        <v/>
      </c>
      <c r="G717" s="57">
        <f>IFERROR(INDEX(Firms!$M$5:$M$1004,MATCH(713,Firms!$R$5:$R$1004,0))&amp;"","")</f>
        <v/>
      </c>
      <c r="H717" s="58">
        <f>IFERROR(INDEX(Firms!$Q$5:$Q$1004,MATCH(713,Firms!$R$5:$R$1004,0))&amp;"","")</f>
        <v/>
      </c>
    </row>
    <row r="718">
      <c r="A718" s="57">
        <f>IF(B718="","",714)</f>
        <v/>
      </c>
      <c r="B718" s="58">
        <f>IFERROR(INDEX(Firms!$A$5:$A$1004,MATCH(714,Firms!$R$5:$R$1004,0))&amp;"","")</f>
        <v/>
      </c>
      <c r="C718" s="59">
        <f>IFERROR(IF(INDEX(Firms!$O$5:$O$1004,MATCH(714,Firms!$R$5:$R$1004,0))="","",INDEX(Firms!$O$5:$O$1004,MATCH(714,Firms!$R$5:$R$1004,0))),"")</f>
        <v/>
      </c>
      <c r="D718" s="58">
        <f>IFERROR(INDEX(Firms!$P$5:$P$1004,MATCH(714,Firms!$R$5:$R$1004,0))&amp;"","")</f>
        <v/>
      </c>
      <c r="E718" s="58">
        <f>IFERROR(INDEX(Firms!$C$5:$C$1004,MATCH(714,Firms!$R$5:$R$1004,0))&amp;"","")</f>
        <v/>
      </c>
      <c r="F718" s="57">
        <f>IFERROR(INDEX(Firms!$L$5:$L$1004,MATCH(714,Firms!$R$5:$R$1004,0))&amp;"","")</f>
        <v/>
      </c>
      <c r="G718" s="57">
        <f>IFERROR(INDEX(Firms!$M$5:$M$1004,MATCH(714,Firms!$R$5:$R$1004,0))&amp;"","")</f>
        <v/>
      </c>
      <c r="H718" s="58">
        <f>IFERROR(INDEX(Firms!$Q$5:$Q$1004,MATCH(714,Firms!$R$5:$R$1004,0))&amp;"","")</f>
        <v/>
      </c>
    </row>
    <row r="719">
      <c r="A719" s="57">
        <f>IF(B719="","",715)</f>
        <v/>
      </c>
      <c r="B719" s="58">
        <f>IFERROR(INDEX(Firms!$A$5:$A$1004,MATCH(715,Firms!$R$5:$R$1004,0))&amp;"","")</f>
        <v/>
      </c>
      <c r="C719" s="59">
        <f>IFERROR(IF(INDEX(Firms!$O$5:$O$1004,MATCH(715,Firms!$R$5:$R$1004,0))="","",INDEX(Firms!$O$5:$O$1004,MATCH(715,Firms!$R$5:$R$1004,0))),"")</f>
        <v/>
      </c>
      <c r="D719" s="58">
        <f>IFERROR(INDEX(Firms!$P$5:$P$1004,MATCH(715,Firms!$R$5:$R$1004,0))&amp;"","")</f>
        <v/>
      </c>
      <c r="E719" s="58">
        <f>IFERROR(INDEX(Firms!$C$5:$C$1004,MATCH(715,Firms!$R$5:$R$1004,0))&amp;"","")</f>
        <v/>
      </c>
      <c r="F719" s="57">
        <f>IFERROR(INDEX(Firms!$L$5:$L$1004,MATCH(715,Firms!$R$5:$R$1004,0))&amp;"","")</f>
        <v/>
      </c>
      <c r="G719" s="57">
        <f>IFERROR(INDEX(Firms!$M$5:$M$1004,MATCH(715,Firms!$R$5:$R$1004,0))&amp;"","")</f>
        <v/>
      </c>
      <c r="H719" s="58">
        <f>IFERROR(INDEX(Firms!$Q$5:$Q$1004,MATCH(715,Firms!$R$5:$R$1004,0))&amp;"","")</f>
        <v/>
      </c>
    </row>
    <row r="720">
      <c r="A720" s="57">
        <f>IF(B720="","",716)</f>
        <v/>
      </c>
      <c r="B720" s="58">
        <f>IFERROR(INDEX(Firms!$A$5:$A$1004,MATCH(716,Firms!$R$5:$R$1004,0))&amp;"","")</f>
        <v/>
      </c>
      <c r="C720" s="59">
        <f>IFERROR(IF(INDEX(Firms!$O$5:$O$1004,MATCH(716,Firms!$R$5:$R$1004,0))="","",INDEX(Firms!$O$5:$O$1004,MATCH(716,Firms!$R$5:$R$1004,0))),"")</f>
        <v/>
      </c>
      <c r="D720" s="58">
        <f>IFERROR(INDEX(Firms!$P$5:$P$1004,MATCH(716,Firms!$R$5:$R$1004,0))&amp;"","")</f>
        <v/>
      </c>
      <c r="E720" s="58">
        <f>IFERROR(INDEX(Firms!$C$5:$C$1004,MATCH(716,Firms!$R$5:$R$1004,0))&amp;"","")</f>
        <v/>
      </c>
      <c r="F720" s="57">
        <f>IFERROR(INDEX(Firms!$L$5:$L$1004,MATCH(716,Firms!$R$5:$R$1004,0))&amp;"","")</f>
        <v/>
      </c>
      <c r="G720" s="57">
        <f>IFERROR(INDEX(Firms!$M$5:$M$1004,MATCH(716,Firms!$R$5:$R$1004,0))&amp;"","")</f>
        <v/>
      </c>
      <c r="H720" s="58">
        <f>IFERROR(INDEX(Firms!$Q$5:$Q$1004,MATCH(716,Firms!$R$5:$R$1004,0))&amp;"","")</f>
        <v/>
      </c>
    </row>
    <row r="721">
      <c r="A721" s="57">
        <f>IF(B721="","",717)</f>
        <v/>
      </c>
      <c r="B721" s="58">
        <f>IFERROR(INDEX(Firms!$A$5:$A$1004,MATCH(717,Firms!$R$5:$R$1004,0))&amp;"","")</f>
        <v/>
      </c>
      <c r="C721" s="59">
        <f>IFERROR(IF(INDEX(Firms!$O$5:$O$1004,MATCH(717,Firms!$R$5:$R$1004,0))="","",INDEX(Firms!$O$5:$O$1004,MATCH(717,Firms!$R$5:$R$1004,0))),"")</f>
        <v/>
      </c>
      <c r="D721" s="58">
        <f>IFERROR(INDEX(Firms!$P$5:$P$1004,MATCH(717,Firms!$R$5:$R$1004,0))&amp;"","")</f>
        <v/>
      </c>
      <c r="E721" s="58">
        <f>IFERROR(INDEX(Firms!$C$5:$C$1004,MATCH(717,Firms!$R$5:$R$1004,0))&amp;"","")</f>
        <v/>
      </c>
      <c r="F721" s="57">
        <f>IFERROR(INDEX(Firms!$L$5:$L$1004,MATCH(717,Firms!$R$5:$R$1004,0))&amp;"","")</f>
        <v/>
      </c>
      <c r="G721" s="57">
        <f>IFERROR(INDEX(Firms!$M$5:$M$1004,MATCH(717,Firms!$R$5:$R$1004,0))&amp;"","")</f>
        <v/>
      </c>
      <c r="H721" s="58">
        <f>IFERROR(INDEX(Firms!$Q$5:$Q$1004,MATCH(717,Firms!$R$5:$R$1004,0))&amp;"","")</f>
        <v/>
      </c>
    </row>
    <row r="722">
      <c r="A722" s="57">
        <f>IF(B722="","",718)</f>
        <v/>
      </c>
      <c r="B722" s="58">
        <f>IFERROR(INDEX(Firms!$A$5:$A$1004,MATCH(718,Firms!$R$5:$R$1004,0))&amp;"","")</f>
        <v/>
      </c>
      <c r="C722" s="59">
        <f>IFERROR(IF(INDEX(Firms!$O$5:$O$1004,MATCH(718,Firms!$R$5:$R$1004,0))="","",INDEX(Firms!$O$5:$O$1004,MATCH(718,Firms!$R$5:$R$1004,0))),"")</f>
        <v/>
      </c>
      <c r="D722" s="58">
        <f>IFERROR(INDEX(Firms!$P$5:$P$1004,MATCH(718,Firms!$R$5:$R$1004,0))&amp;"","")</f>
        <v/>
      </c>
      <c r="E722" s="58">
        <f>IFERROR(INDEX(Firms!$C$5:$C$1004,MATCH(718,Firms!$R$5:$R$1004,0))&amp;"","")</f>
        <v/>
      </c>
      <c r="F722" s="57">
        <f>IFERROR(INDEX(Firms!$L$5:$L$1004,MATCH(718,Firms!$R$5:$R$1004,0))&amp;"","")</f>
        <v/>
      </c>
      <c r="G722" s="57">
        <f>IFERROR(INDEX(Firms!$M$5:$M$1004,MATCH(718,Firms!$R$5:$R$1004,0))&amp;"","")</f>
        <v/>
      </c>
      <c r="H722" s="58">
        <f>IFERROR(INDEX(Firms!$Q$5:$Q$1004,MATCH(718,Firms!$R$5:$R$1004,0))&amp;"","")</f>
        <v/>
      </c>
    </row>
    <row r="723">
      <c r="A723" s="57">
        <f>IF(B723="","",719)</f>
        <v/>
      </c>
      <c r="B723" s="58">
        <f>IFERROR(INDEX(Firms!$A$5:$A$1004,MATCH(719,Firms!$R$5:$R$1004,0))&amp;"","")</f>
        <v/>
      </c>
      <c r="C723" s="59">
        <f>IFERROR(IF(INDEX(Firms!$O$5:$O$1004,MATCH(719,Firms!$R$5:$R$1004,0))="","",INDEX(Firms!$O$5:$O$1004,MATCH(719,Firms!$R$5:$R$1004,0))),"")</f>
        <v/>
      </c>
      <c r="D723" s="58">
        <f>IFERROR(INDEX(Firms!$P$5:$P$1004,MATCH(719,Firms!$R$5:$R$1004,0))&amp;"","")</f>
        <v/>
      </c>
      <c r="E723" s="58">
        <f>IFERROR(INDEX(Firms!$C$5:$C$1004,MATCH(719,Firms!$R$5:$R$1004,0))&amp;"","")</f>
        <v/>
      </c>
      <c r="F723" s="57">
        <f>IFERROR(INDEX(Firms!$L$5:$L$1004,MATCH(719,Firms!$R$5:$R$1004,0))&amp;"","")</f>
        <v/>
      </c>
      <c r="G723" s="57">
        <f>IFERROR(INDEX(Firms!$M$5:$M$1004,MATCH(719,Firms!$R$5:$R$1004,0))&amp;"","")</f>
        <v/>
      </c>
      <c r="H723" s="58">
        <f>IFERROR(INDEX(Firms!$Q$5:$Q$1004,MATCH(719,Firms!$R$5:$R$1004,0))&amp;"","")</f>
        <v/>
      </c>
    </row>
    <row r="724">
      <c r="A724" s="57">
        <f>IF(B724="","",720)</f>
        <v/>
      </c>
      <c r="B724" s="58">
        <f>IFERROR(INDEX(Firms!$A$5:$A$1004,MATCH(720,Firms!$R$5:$R$1004,0))&amp;"","")</f>
        <v/>
      </c>
      <c r="C724" s="59">
        <f>IFERROR(IF(INDEX(Firms!$O$5:$O$1004,MATCH(720,Firms!$R$5:$R$1004,0))="","",INDEX(Firms!$O$5:$O$1004,MATCH(720,Firms!$R$5:$R$1004,0))),"")</f>
        <v/>
      </c>
      <c r="D724" s="58">
        <f>IFERROR(INDEX(Firms!$P$5:$P$1004,MATCH(720,Firms!$R$5:$R$1004,0))&amp;"","")</f>
        <v/>
      </c>
      <c r="E724" s="58">
        <f>IFERROR(INDEX(Firms!$C$5:$C$1004,MATCH(720,Firms!$R$5:$R$1004,0))&amp;"","")</f>
        <v/>
      </c>
      <c r="F724" s="57">
        <f>IFERROR(INDEX(Firms!$L$5:$L$1004,MATCH(720,Firms!$R$5:$R$1004,0))&amp;"","")</f>
        <v/>
      </c>
      <c r="G724" s="57">
        <f>IFERROR(INDEX(Firms!$M$5:$M$1004,MATCH(720,Firms!$R$5:$R$1004,0))&amp;"","")</f>
        <v/>
      </c>
      <c r="H724" s="58">
        <f>IFERROR(INDEX(Firms!$Q$5:$Q$1004,MATCH(720,Firms!$R$5:$R$1004,0))&amp;"","")</f>
        <v/>
      </c>
    </row>
    <row r="725">
      <c r="A725" s="57">
        <f>IF(B725="","",721)</f>
        <v/>
      </c>
      <c r="B725" s="58">
        <f>IFERROR(INDEX(Firms!$A$5:$A$1004,MATCH(721,Firms!$R$5:$R$1004,0))&amp;"","")</f>
        <v/>
      </c>
      <c r="C725" s="59">
        <f>IFERROR(IF(INDEX(Firms!$O$5:$O$1004,MATCH(721,Firms!$R$5:$R$1004,0))="","",INDEX(Firms!$O$5:$O$1004,MATCH(721,Firms!$R$5:$R$1004,0))),"")</f>
        <v/>
      </c>
      <c r="D725" s="58">
        <f>IFERROR(INDEX(Firms!$P$5:$P$1004,MATCH(721,Firms!$R$5:$R$1004,0))&amp;"","")</f>
        <v/>
      </c>
      <c r="E725" s="58">
        <f>IFERROR(INDEX(Firms!$C$5:$C$1004,MATCH(721,Firms!$R$5:$R$1004,0))&amp;"","")</f>
        <v/>
      </c>
      <c r="F725" s="57">
        <f>IFERROR(INDEX(Firms!$L$5:$L$1004,MATCH(721,Firms!$R$5:$R$1004,0))&amp;"","")</f>
        <v/>
      </c>
      <c r="G725" s="57">
        <f>IFERROR(INDEX(Firms!$M$5:$M$1004,MATCH(721,Firms!$R$5:$R$1004,0))&amp;"","")</f>
        <v/>
      </c>
      <c r="H725" s="58">
        <f>IFERROR(INDEX(Firms!$Q$5:$Q$1004,MATCH(721,Firms!$R$5:$R$1004,0))&amp;"","")</f>
        <v/>
      </c>
    </row>
    <row r="726">
      <c r="A726" s="57">
        <f>IF(B726="","",722)</f>
        <v/>
      </c>
      <c r="B726" s="58">
        <f>IFERROR(INDEX(Firms!$A$5:$A$1004,MATCH(722,Firms!$R$5:$R$1004,0))&amp;"","")</f>
        <v/>
      </c>
      <c r="C726" s="59">
        <f>IFERROR(IF(INDEX(Firms!$O$5:$O$1004,MATCH(722,Firms!$R$5:$R$1004,0))="","",INDEX(Firms!$O$5:$O$1004,MATCH(722,Firms!$R$5:$R$1004,0))),"")</f>
        <v/>
      </c>
      <c r="D726" s="58">
        <f>IFERROR(INDEX(Firms!$P$5:$P$1004,MATCH(722,Firms!$R$5:$R$1004,0))&amp;"","")</f>
        <v/>
      </c>
      <c r="E726" s="58">
        <f>IFERROR(INDEX(Firms!$C$5:$C$1004,MATCH(722,Firms!$R$5:$R$1004,0))&amp;"","")</f>
        <v/>
      </c>
      <c r="F726" s="57">
        <f>IFERROR(INDEX(Firms!$L$5:$L$1004,MATCH(722,Firms!$R$5:$R$1004,0))&amp;"","")</f>
        <v/>
      </c>
      <c r="G726" s="57">
        <f>IFERROR(INDEX(Firms!$M$5:$M$1004,MATCH(722,Firms!$R$5:$R$1004,0))&amp;"","")</f>
        <v/>
      </c>
      <c r="H726" s="58">
        <f>IFERROR(INDEX(Firms!$Q$5:$Q$1004,MATCH(722,Firms!$R$5:$R$1004,0))&amp;"","")</f>
        <v/>
      </c>
    </row>
    <row r="727">
      <c r="A727" s="57">
        <f>IF(B727="","",723)</f>
        <v/>
      </c>
      <c r="B727" s="58">
        <f>IFERROR(INDEX(Firms!$A$5:$A$1004,MATCH(723,Firms!$R$5:$R$1004,0))&amp;"","")</f>
        <v/>
      </c>
      <c r="C727" s="59">
        <f>IFERROR(IF(INDEX(Firms!$O$5:$O$1004,MATCH(723,Firms!$R$5:$R$1004,0))="","",INDEX(Firms!$O$5:$O$1004,MATCH(723,Firms!$R$5:$R$1004,0))),"")</f>
        <v/>
      </c>
      <c r="D727" s="58">
        <f>IFERROR(INDEX(Firms!$P$5:$P$1004,MATCH(723,Firms!$R$5:$R$1004,0))&amp;"","")</f>
        <v/>
      </c>
      <c r="E727" s="58">
        <f>IFERROR(INDEX(Firms!$C$5:$C$1004,MATCH(723,Firms!$R$5:$R$1004,0))&amp;"","")</f>
        <v/>
      </c>
      <c r="F727" s="57">
        <f>IFERROR(INDEX(Firms!$L$5:$L$1004,MATCH(723,Firms!$R$5:$R$1004,0))&amp;"","")</f>
        <v/>
      </c>
      <c r="G727" s="57">
        <f>IFERROR(INDEX(Firms!$M$5:$M$1004,MATCH(723,Firms!$R$5:$R$1004,0))&amp;"","")</f>
        <v/>
      </c>
      <c r="H727" s="58">
        <f>IFERROR(INDEX(Firms!$Q$5:$Q$1004,MATCH(723,Firms!$R$5:$R$1004,0))&amp;"","")</f>
        <v/>
      </c>
    </row>
    <row r="728">
      <c r="A728" s="57">
        <f>IF(B728="","",724)</f>
        <v/>
      </c>
      <c r="B728" s="58">
        <f>IFERROR(INDEX(Firms!$A$5:$A$1004,MATCH(724,Firms!$R$5:$R$1004,0))&amp;"","")</f>
        <v/>
      </c>
      <c r="C728" s="59">
        <f>IFERROR(IF(INDEX(Firms!$O$5:$O$1004,MATCH(724,Firms!$R$5:$R$1004,0))="","",INDEX(Firms!$O$5:$O$1004,MATCH(724,Firms!$R$5:$R$1004,0))),"")</f>
        <v/>
      </c>
      <c r="D728" s="58">
        <f>IFERROR(INDEX(Firms!$P$5:$P$1004,MATCH(724,Firms!$R$5:$R$1004,0))&amp;"","")</f>
        <v/>
      </c>
      <c r="E728" s="58">
        <f>IFERROR(INDEX(Firms!$C$5:$C$1004,MATCH(724,Firms!$R$5:$R$1004,0))&amp;"","")</f>
        <v/>
      </c>
      <c r="F728" s="57">
        <f>IFERROR(INDEX(Firms!$L$5:$L$1004,MATCH(724,Firms!$R$5:$R$1004,0))&amp;"","")</f>
        <v/>
      </c>
      <c r="G728" s="57">
        <f>IFERROR(INDEX(Firms!$M$5:$M$1004,MATCH(724,Firms!$R$5:$R$1004,0))&amp;"","")</f>
        <v/>
      </c>
      <c r="H728" s="58">
        <f>IFERROR(INDEX(Firms!$Q$5:$Q$1004,MATCH(724,Firms!$R$5:$R$1004,0))&amp;"","")</f>
        <v/>
      </c>
    </row>
    <row r="729">
      <c r="A729" s="57">
        <f>IF(B729="","",725)</f>
        <v/>
      </c>
      <c r="B729" s="58">
        <f>IFERROR(INDEX(Firms!$A$5:$A$1004,MATCH(725,Firms!$R$5:$R$1004,0))&amp;"","")</f>
        <v/>
      </c>
      <c r="C729" s="59">
        <f>IFERROR(IF(INDEX(Firms!$O$5:$O$1004,MATCH(725,Firms!$R$5:$R$1004,0))="","",INDEX(Firms!$O$5:$O$1004,MATCH(725,Firms!$R$5:$R$1004,0))),"")</f>
        <v/>
      </c>
      <c r="D729" s="58">
        <f>IFERROR(INDEX(Firms!$P$5:$P$1004,MATCH(725,Firms!$R$5:$R$1004,0))&amp;"","")</f>
        <v/>
      </c>
      <c r="E729" s="58">
        <f>IFERROR(INDEX(Firms!$C$5:$C$1004,MATCH(725,Firms!$R$5:$R$1004,0))&amp;"","")</f>
        <v/>
      </c>
      <c r="F729" s="57">
        <f>IFERROR(INDEX(Firms!$L$5:$L$1004,MATCH(725,Firms!$R$5:$R$1004,0))&amp;"","")</f>
        <v/>
      </c>
      <c r="G729" s="57">
        <f>IFERROR(INDEX(Firms!$M$5:$M$1004,MATCH(725,Firms!$R$5:$R$1004,0))&amp;"","")</f>
        <v/>
      </c>
      <c r="H729" s="58">
        <f>IFERROR(INDEX(Firms!$Q$5:$Q$1004,MATCH(725,Firms!$R$5:$R$1004,0))&amp;"","")</f>
        <v/>
      </c>
    </row>
    <row r="730">
      <c r="A730" s="57">
        <f>IF(B730="","",726)</f>
        <v/>
      </c>
      <c r="B730" s="58">
        <f>IFERROR(INDEX(Firms!$A$5:$A$1004,MATCH(726,Firms!$R$5:$R$1004,0))&amp;"","")</f>
        <v/>
      </c>
      <c r="C730" s="59">
        <f>IFERROR(IF(INDEX(Firms!$O$5:$O$1004,MATCH(726,Firms!$R$5:$R$1004,0))="","",INDEX(Firms!$O$5:$O$1004,MATCH(726,Firms!$R$5:$R$1004,0))),"")</f>
        <v/>
      </c>
      <c r="D730" s="58">
        <f>IFERROR(INDEX(Firms!$P$5:$P$1004,MATCH(726,Firms!$R$5:$R$1004,0))&amp;"","")</f>
        <v/>
      </c>
      <c r="E730" s="58">
        <f>IFERROR(INDEX(Firms!$C$5:$C$1004,MATCH(726,Firms!$R$5:$R$1004,0))&amp;"","")</f>
        <v/>
      </c>
      <c r="F730" s="57">
        <f>IFERROR(INDEX(Firms!$L$5:$L$1004,MATCH(726,Firms!$R$5:$R$1004,0))&amp;"","")</f>
        <v/>
      </c>
      <c r="G730" s="57">
        <f>IFERROR(INDEX(Firms!$M$5:$M$1004,MATCH(726,Firms!$R$5:$R$1004,0))&amp;"","")</f>
        <v/>
      </c>
      <c r="H730" s="58">
        <f>IFERROR(INDEX(Firms!$Q$5:$Q$1004,MATCH(726,Firms!$R$5:$R$1004,0))&amp;"","")</f>
        <v/>
      </c>
    </row>
    <row r="731">
      <c r="A731" s="57">
        <f>IF(B731="","",727)</f>
        <v/>
      </c>
      <c r="B731" s="58">
        <f>IFERROR(INDEX(Firms!$A$5:$A$1004,MATCH(727,Firms!$R$5:$R$1004,0))&amp;"","")</f>
        <v/>
      </c>
      <c r="C731" s="59">
        <f>IFERROR(IF(INDEX(Firms!$O$5:$O$1004,MATCH(727,Firms!$R$5:$R$1004,0))="","",INDEX(Firms!$O$5:$O$1004,MATCH(727,Firms!$R$5:$R$1004,0))),"")</f>
        <v/>
      </c>
      <c r="D731" s="58">
        <f>IFERROR(INDEX(Firms!$P$5:$P$1004,MATCH(727,Firms!$R$5:$R$1004,0))&amp;"","")</f>
        <v/>
      </c>
      <c r="E731" s="58">
        <f>IFERROR(INDEX(Firms!$C$5:$C$1004,MATCH(727,Firms!$R$5:$R$1004,0))&amp;"","")</f>
        <v/>
      </c>
      <c r="F731" s="57">
        <f>IFERROR(INDEX(Firms!$L$5:$L$1004,MATCH(727,Firms!$R$5:$R$1004,0))&amp;"","")</f>
        <v/>
      </c>
      <c r="G731" s="57">
        <f>IFERROR(INDEX(Firms!$M$5:$M$1004,MATCH(727,Firms!$R$5:$R$1004,0))&amp;"","")</f>
        <v/>
      </c>
      <c r="H731" s="58">
        <f>IFERROR(INDEX(Firms!$Q$5:$Q$1004,MATCH(727,Firms!$R$5:$R$1004,0))&amp;"","")</f>
        <v/>
      </c>
    </row>
    <row r="732">
      <c r="A732" s="57">
        <f>IF(B732="","",728)</f>
        <v/>
      </c>
      <c r="B732" s="58">
        <f>IFERROR(INDEX(Firms!$A$5:$A$1004,MATCH(728,Firms!$R$5:$R$1004,0))&amp;"","")</f>
        <v/>
      </c>
      <c r="C732" s="59">
        <f>IFERROR(IF(INDEX(Firms!$O$5:$O$1004,MATCH(728,Firms!$R$5:$R$1004,0))="","",INDEX(Firms!$O$5:$O$1004,MATCH(728,Firms!$R$5:$R$1004,0))),"")</f>
        <v/>
      </c>
      <c r="D732" s="58">
        <f>IFERROR(INDEX(Firms!$P$5:$P$1004,MATCH(728,Firms!$R$5:$R$1004,0))&amp;"","")</f>
        <v/>
      </c>
      <c r="E732" s="58">
        <f>IFERROR(INDEX(Firms!$C$5:$C$1004,MATCH(728,Firms!$R$5:$R$1004,0))&amp;"","")</f>
        <v/>
      </c>
      <c r="F732" s="57">
        <f>IFERROR(INDEX(Firms!$L$5:$L$1004,MATCH(728,Firms!$R$5:$R$1004,0))&amp;"","")</f>
        <v/>
      </c>
      <c r="G732" s="57">
        <f>IFERROR(INDEX(Firms!$M$5:$M$1004,MATCH(728,Firms!$R$5:$R$1004,0))&amp;"","")</f>
        <v/>
      </c>
      <c r="H732" s="58">
        <f>IFERROR(INDEX(Firms!$Q$5:$Q$1004,MATCH(728,Firms!$R$5:$R$1004,0))&amp;"","")</f>
        <v/>
      </c>
    </row>
    <row r="733">
      <c r="A733" s="57">
        <f>IF(B733="","",729)</f>
        <v/>
      </c>
      <c r="B733" s="58">
        <f>IFERROR(INDEX(Firms!$A$5:$A$1004,MATCH(729,Firms!$R$5:$R$1004,0))&amp;"","")</f>
        <v/>
      </c>
      <c r="C733" s="59">
        <f>IFERROR(IF(INDEX(Firms!$O$5:$O$1004,MATCH(729,Firms!$R$5:$R$1004,0))="","",INDEX(Firms!$O$5:$O$1004,MATCH(729,Firms!$R$5:$R$1004,0))),"")</f>
        <v/>
      </c>
      <c r="D733" s="58">
        <f>IFERROR(INDEX(Firms!$P$5:$P$1004,MATCH(729,Firms!$R$5:$R$1004,0))&amp;"","")</f>
        <v/>
      </c>
      <c r="E733" s="58">
        <f>IFERROR(INDEX(Firms!$C$5:$C$1004,MATCH(729,Firms!$R$5:$R$1004,0))&amp;"","")</f>
        <v/>
      </c>
      <c r="F733" s="57">
        <f>IFERROR(INDEX(Firms!$L$5:$L$1004,MATCH(729,Firms!$R$5:$R$1004,0))&amp;"","")</f>
        <v/>
      </c>
      <c r="G733" s="57">
        <f>IFERROR(INDEX(Firms!$M$5:$M$1004,MATCH(729,Firms!$R$5:$R$1004,0))&amp;"","")</f>
        <v/>
      </c>
      <c r="H733" s="58">
        <f>IFERROR(INDEX(Firms!$Q$5:$Q$1004,MATCH(729,Firms!$R$5:$R$1004,0))&amp;"","")</f>
        <v/>
      </c>
    </row>
    <row r="734">
      <c r="A734" s="57">
        <f>IF(B734="","",730)</f>
        <v/>
      </c>
      <c r="B734" s="58">
        <f>IFERROR(INDEX(Firms!$A$5:$A$1004,MATCH(730,Firms!$R$5:$R$1004,0))&amp;"","")</f>
        <v/>
      </c>
      <c r="C734" s="59">
        <f>IFERROR(IF(INDEX(Firms!$O$5:$O$1004,MATCH(730,Firms!$R$5:$R$1004,0))="","",INDEX(Firms!$O$5:$O$1004,MATCH(730,Firms!$R$5:$R$1004,0))),"")</f>
        <v/>
      </c>
      <c r="D734" s="58">
        <f>IFERROR(INDEX(Firms!$P$5:$P$1004,MATCH(730,Firms!$R$5:$R$1004,0))&amp;"","")</f>
        <v/>
      </c>
      <c r="E734" s="58">
        <f>IFERROR(INDEX(Firms!$C$5:$C$1004,MATCH(730,Firms!$R$5:$R$1004,0))&amp;"","")</f>
        <v/>
      </c>
      <c r="F734" s="57">
        <f>IFERROR(INDEX(Firms!$L$5:$L$1004,MATCH(730,Firms!$R$5:$R$1004,0))&amp;"","")</f>
        <v/>
      </c>
      <c r="G734" s="57">
        <f>IFERROR(INDEX(Firms!$M$5:$M$1004,MATCH(730,Firms!$R$5:$R$1004,0))&amp;"","")</f>
        <v/>
      </c>
      <c r="H734" s="58">
        <f>IFERROR(INDEX(Firms!$Q$5:$Q$1004,MATCH(730,Firms!$R$5:$R$1004,0))&amp;"","")</f>
        <v/>
      </c>
    </row>
    <row r="735">
      <c r="A735" s="57">
        <f>IF(B735="","",731)</f>
        <v/>
      </c>
      <c r="B735" s="58">
        <f>IFERROR(INDEX(Firms!$A$5:$A$1004,MATCH(731,Firms!$R$5:$R$1004,0))&amp;"","")</f>
        <v/>
      </c>
      <c r="C735" s="59">
        <f>IFERROR(IF(INDEX(Firms!$O$5:$O$1004,MATCH(731,Firms!$R$5:$R$1004,0))="","",INDEX(Firms!$O$5:$O$1004,MATCH(731,Firms!$R$5:$R$1004,0))),"")</f>
        <v/>
      </c>
      <c r="D735" s="58">
        <f>IFERROR(INDEX(Firms!$P$5:$P$1004,MATCH(731,Firms!$R$5:$R$1004,0))&amp;"","")</f>
        <v/>
      </c>
      <c r="E735" s="58">
        <f>IFERROR(INDEX(Firms!$C$5:$C$1004,MATCH(731,Firms!$R$5:$R$1004,0))&amp;"","")</f>
        <v/>
      </c>
      <c r="F735" s="57">
        <f>IFERROR(INDEX(Firms!$L$5:$L$1004,MATCH(731,Firms!$R$5:$R$1004,0))&amp;"","")</f>
        <v/>
      </c>
      <c r="G735" s="57">
        <f>IFERROR(INDEX(Firms!$M$5:$M$1004,MATCH(731,Firms!$R$5:$R$1004,0))&amp;"","")</f>
        <v/>
      </c>
      <c r="H735" s="58">
        <f>IFERROR(INDEX(Firms!$Q$5:$Q$1004,MATCH(731,Firms!$R$5:$R$1004,0))&amp;"","")</f>
        <v/>
      </c>
    </row>
    <row r="736">
      <c r="A736" s="57">
        <f>IF(B736="","",732)</f>
        <v/>
      </c>
      <c r="B736" s="58">
        <f>IFERROR(INDEX(Firms!$A$5:$A$1004,MATCH(732,Firms!$R$5:$R$1004,0))&amp;"","")</f>
        <v/>
      </c>
      <c r="C736" s="59">
        <f>IFERROR(IF(INDEX(Firms!$O$5:$O$1004,MATCH(732,Firms!$R$5:$R$1004,0))="","",INDEX(Firms!$O$5:$O$1004,MATCH(732,Firms!$R$5:$R$1004,0))),"")</f>
        <v/>
      </c>
      <c r="D736" s="58">
        <f>IFERROR(INDEX(Firms!$P$5:$P$1004,MATCH(732,Firms!$R$5:$R$1004,0))&amp;"","")</f>
        <v/>
      </c>
      <c r="E736" s="58">
        <f>IFERROR(INDEX(Firms!$C$5:$C$1004,MATCH(732,Firms!$R$5:$R$1004,0))&amp;"","")</f>
        <v/>
      </c>
      <c r="F736" s="57">
        <f>IFERROR(INDEX(Firms!$L$5:$L$1004,MATCH(732,Firms!$R$5:$R$1004,0))&amp;"","")</f>
        <v/>
      </c>
      <c r="G736" s="57">
        <f>IFERROR(INDEX(Firms!$M$5:$M$1004,MATCH(732,Firms!$R$5:$R$1004,0))&amp;"","")</f>
        <v/>
      </c>
      <c r="H736" s="58">
        <f>IFERROR(INDEX(Firms!$Q$5:$Q$1004,MATCH(732,Firms!$R$5:$R$1004,0))&amp;"","")</f>
        <v/>
      </c>
    </row>
    <row r="737">
      <c r="A737" s="57">
        <f>IF(B737="","",733)</f>
        <v/>
      </c>
      <c r="B737" s="58">
        <f>IFERROR(INDEX(Firms!$A$5:$A$1004,MATCH(733,Firms!$R$5:$R$1004,0))&amp;"","")</f>
        <v/>
      </c>
      <c r="C737" s="59">
        <f>IFERROR(IF(INDEX(Firms!$O$5:$O$1004,MATCH(733,Firms!$R$5:$R$1004,0))="","",INDEX(Firms!$O$5:$O$1004,MATCH(733,Firms!$R$5:$R$1004,0))),"")</f>
        <v/>
      </c>
      <c r="D737" s="58">
        <f>IFERROR(INDEX(Firms!$P$5:$P$1004,MATCH(733,Firms!$R$5:$R$1004,0))&amp;"","")</f>
        <v/>
      </c>
      <c r="E737" s="58">
        <f>IFERROR(INDEX(Firms!$C$5:$C$1004,MATCH(733,Firms!$R$5:$R$1004,0))&amp;"","")</f>
        <v/>
      </c>
      <c r="F737" s="57">
        <f>IFERROR(INDEX(Firms!$L$5:$L$1004,MATCH(733,Firms!$R$5:$R$1004,0))&amp;"","")</f>
        <v/>
      </c>
      <c r="G737" s="57">
        <f>IFERROR(INDEX(Firms!$M$5:$M$1004,MATCH(733,Firms!$R$5:$R$1004,0))&amp;"","")</f>
        <v/>
      </c>
      <c r="H737" s="58">
        <f>IFERROR(INDEX(Firms!$Q$5:$Q$1004,MATCH(733,Firms!$R$5:$R$1004,0))&amp;"","")</f>
        <v/>
      </c>
    </row>
    <row r="738">
      <c r="A738" s="57">
        <f>IF(B738="","",734)</f>
        <v/>
      </c>
      <c r="B738" s="58">
        <f>IFERROR(INDEX(Firms!$A$5:$A$1004,MATCH(734,Firms!$R$5:$R$1004,0))&amp;"","")</f>
        <v/>
      </c>
      <c r="C738" s="59">
        <f>IFERROR(IF(INDEX(Firms!$O$5:$O$1004,MATCH(734,Firms!$R$5:$R$1004,0))="","",INDEX(Firms!$O$5:$O$1004,MATCH(734,Firms!$R$5:$R$1004,0))),"")</f>
        <v/>
      </c>
      <c r="D738" s="58">
        <f>IFERROR(INDEX(Firms!$P$5:$P$1004,MATCH(734,Firms!$R$5:$R$1004,0))&amp;"","")</f>
        <v/>
      </c>
      <c r="E738" s="58">
        <f>IFERROR(INDEX(Firms!$C$5:$C$1004,MATCH(734,Firms!$R$5:$R$1004,0))&amp;"","")</f>
        <v/>
      </c>
      <c r="F738" s="57">
        <f>IFERROR(INDEX(Firms!$L$5:$L$1004,MATCH(734,Firms!$R$5:$R$1004,0))&amp;"","")</f>
        <v/>
      </c>
      <c r="G738" s="57">
        <f>IFERROR(INDEX(Firms!$M$5:$M$1004,MATCH(734,Firms!$R$5:$R$1004,0))&amp;"","")</f>
        <v/>
      </c>
      <c r="H738" s="58">
        <f>IFERROR(INDEX(Firms!$Q$5:$Q$1004,MATCH(734,Firms!$R$5:$R$1004,0))&amp;"","")</f>
        <v/>
      </c>
    </row>
    <row r="739">
      <c r="A739" s="57">
        <f>IF(B739="","",735)</f>
        <v/>
      </c>
      <c r="B739" s="58">
        <f>IFERROR(INDEX(Firms!$A$5:$A$1004,MATCH(735,Firms!$R$5:$R$1004,0))&amp;"","")</f>
        <v/>
      </c>
      <c r="C739" s="59">
        <f>IFERROR(IF(INDEX(Firms!$O$5:$O$1004,MATCH(735,Firms!$R$5:$R$1004,0))="","",INDEX(Firms!$O$5:$O$1004,MATCH(735,Firms!$R$5:$R$1004,0))),"")</f>
        <v/>
      </c>
      <c r="D739" s="58">
        <f>IFERROR(INDEX(Firms!$P$5:$P$1004,MATCH(735,Firms!$R$5:$R$1004,0))&amp;"","")</f>
        <v/>
      </c>
      <c r="E739" s="58">
        <f>IFERROR(INDEX(Firms!$C$5:$C$1004,MATCH(735,Firms!$R$5:$R$1004,0))&amp;"","")</f>
        <v/>
      </c>
      <c r="F739" s="57">
        <f>IFERROR(INDEX(Firms!$L$5:$L$1004,MATCH(735,Firms!$R$5:$R$1004,0))&amp;"","")</f>
        <v/>
      </c>
      <c r="G739" s="57">
        <f>IFERROR(INDEX(Firms!$M$5:$M$1004,MATCH(735,Firms!$R$5:$R$1004,0))&amp;"","")</f>
        <v/>
      </c>
      <c r="H739" s="58">
        <f>IFERROR(INDEX(Firms!$Q$5:$Q$1004,MATCH(735,Firms!$R$5:$R$1004,0))&amp;"","")</f>
        <v/>
      </c>
    </row>
    <row r="740">
      <c r="A740" s="57">
        <f>IF(B740="","",736)</f>
        <v/>
      </c>
      <c r="B740" s="58">
        <f>IFERROR(INDEX(Firms!$A$5:$A$1004,MATCH(736,Firms!$R$5:$R$1004,0))&amp;"","")</f>
        <v/>
      </c>
      <c r="C740" s="59">
        <f>IFERROR(IF(INDEX(Firms!$O$5:$O$1004,MATCH(736,Firms!$R$5:$R$1004,0))="","",INDEX(Firms!$O$5:$O$1004,MATCH(736,Firms!$R$5:$R$1004,0))),"")</f>
        <v/>
      </c>
      <c r="D740" s="58">
        <f>IFERROR(INDEX(Firms!$P$5:$P$1004,MATCH(736,Firms!$R$5:$R$1004,0))&amp;"","")</f>
        <v/>
      </c>
      <c r="E740" s="58">
        <f>IFERROR(INDEX(Firms!$C$5:$C$1004,MATCH(736,Firms!$R$5:$R$1004,0))&amp;"","")</f>
        <v/>
      </c>
      <c r="F740" s="57">
        <f>IFERROR(INDEX(Firms!$L$5:$L$1004,MATCH(736,Firms!$R$5:$R$1004,0))&amp;"","")</f>
        <v/>
      </c>
      <c r="G740" s="57">
        <f>IFERROR(INDEX(Firms!$M$5:$M$1004,MATCH(736,Firms!$R$5:$R$1004,0))&amp;"","")</f>
        <v/>
      </c>
      <c r="H740" s="58">
        <f>IFERROR(INDEX(Firms!$Q$5:$Q$1004,MATCH(736,Firms!$R$5:$R$1004,0))&amp;"","")</f>
        <v/>
      </c>
    </row>
    <row r="741">
      <c r="A741" s="57">
        <f>IF(B741="","",737)</f>
        <v/>
      </c>
      <c r="B741" s="58">
        <f>IFERROR(INDEX(Firms!$A$5:$A$1004,MATCH(737,Firms!$R$5:$R$1004,0))&amp;"","")</f>
        <v/>
      </c>
      <c r="C741" s="59">
        <f>IFERROR(IF(INDEX(Firms!$O$5:$O$1004,MATCH(737,Firms!$R$5:$R$1004,0))="","",INDEX(Firms!$O$5:$O$1004,MATCH(737,Firms!$R$5:$R$1004,0))),"")</f>
        <v/>
      </c>
      <c r="D741" s="58">
        <f>IFERROR(INDEX(Firms!$P$5:$P$1004,MATCH(737,Firms!$R$5:$R$1004,0))&amp;"","")</f>
        <v/>
      </c>
      <c r="E741" s="58">
        <f>IFERROR(INDEX(Firms!$C$5:$C$1004,MATCH(737,Firms!$R$5:$R$1004,0))&amp;"","")</f>
        <v/>
      </c>
      <c r="F741" s="57">
        <f>IFERROR(INDEX(Firms!$L$5:$L$1004,MATCH(737,Firms!$R$5:$R$1004,0))&amp;"","")</f>
        <v/>
      </c>
      <c r="G741" s="57">
        <f>IFERROR(INDEX(Firms!$M$5:$M$1004,MATCH(737,Firms!$R$5:$R$1004,0))&amp;"","")</f>
        <v/>
      </c>
      <c r="H741" s="58">
        <f>IFERROR(INDEX(Firms!$Q$5:$Q$1004,MATCH(737,Firms!$R$5:$R$1004,0))&amp;"","")</f>
        <v/>
      </c>
    </row>
    <row r="742">
      <c r="A742" s="57">
        <f>IF(B742="","",738)</f>
        <v/>
      </c>
      <c r="B742" s="58">
        <f>IFERROR(INDEX(Firms!$A$5:$A$1004,MATCH(738,Firms!$R$5:$R$1004,0))&amp;"","")</f>
        <v/>
      </c>
      <c r="C742" s="59">
        <f>IFERROR(IF(INDEX(Firms!$O$5:$O$1004,MATCH(738,Firms!$R$5:$R$1004,0))="","",INDEX(Firms!$O$5:$O$1004,MATCH(738,Firms!$R$5:$R$1004,0))),"")</f>
        <v/>
      </c>
      <c r="D742" s="58">
        <f>IFERROR(INDEX(Firms!$P$5:$P$1004,MATCH(738,Firms!$R$5:$R$1004,0))&amp;"","")</f>
        <v/>
      </c>
      <c r="E742" s="58">
        <f>IFERROR(INDEX(Firms!$C$5:$C$1004,MATCH(738,Firms!$R$5:$R$1004,0))&amp;"","")</f>
        <v/>
      </c>
      <c r="F742" s="57">
        <f>IFERROR(INDEX(Firms!$L$5:$L$1004,MATCH(738,Firms!$R$5:$R$1004,0))&amp;"","")</f>
        <v/>
      </c>
      <c r="G742" s="57">
        <f>IFERROR(INDEX(Firms!$M$5:$M$1004,MATCH(738,Firms!$R$5:$R$1004,0))&amp;"","")</f>
        <v/>
      </c>
      <c r="H742" s="58">
        <f>IFERROR(INDEX(Firms!$Q$5:$Q$1004,MATCH(738,Firms!$R$5:$R$1004,0))&amp;"","")</f>
        <v/>
      </c>
    </row>
    <row r="743">
      <c r="A743" s="57">
        <f>IF(B743="","",739)</f>
        <v/>
      </c>
      <c r="B743" s="58">
        <f>IFERROR(INDEX(Firms!$A$5:$A$1004,MATCH(739,Firms!$R$5:$R$1004,0))&amp;"","")</f>
        <v/>
      </c>
      <c r="C743" s="59">
        <f>IFERROR(IF(INDEX(Firms!$O$5:$O$1004,MATCH(739,Firms!$R$5:$R$1004,0))="","",INDEX(Firms!$O$5:$O$1004,MATCH(739,Firms!$R$5:$R$1004,0))),"")</f>
        <v/>
      </c>
      <c r="D743" s="58">
        <f>IFERROR(INDEX(Firms!$P$5:$P$1004,MATCH(739,Firms!$R$5:$R$1004,0))&amp;"","")</f>
        <v/>
      </c>
      <c r="E743" s="58">
        <f>IFERROR(INDEX(Firms!$C$5:$C$1004,MATCH(739,Firms!$R$5:$R$1004,0))&amp;"","")</f>
        <v/>
      </c>
      <c r="F743" s="57">
        <f>IFERROR(INDEX(Firms!$L$5:$L$1004,MATCH(739,Firms!$R$5:$R$1004,0))&amp;"","")</f>
        <v/>
      </c>
      <c r="G743" s="57">
        <f>IFERROR(INDEX(Firms!$M$5:$M$1004,MATCH(739,Firms!$R$5:$R$1004,0))&amp;"","")</f>
        <v/>
      </c>
      <c r="H743" s="58">
        <f>IFERROR(INDEX(Firms!$Q$5:$Q$1004,MATCH(739,Firms!$R$5:$R$1004,0))&amp;"","")</f>
        <v/>
      </c>
    </row>
    <row r="744">
      <c r="A744" s="57">
        <f>IF(B744="","",740)</f>
        <v/>
      </c>
      <c r="B744" s="58">
        <f>IFERROR(INDEX(Firms!$A$5:$A$1004,MATCH(740,Firms!$R$5:$R$1004,0))&amp;"","")</f>
        <v/>
      </c>
      <c r="C744" s="59">
        <f>IFERROR(IF(INDEX(Firms!$O$5:$O$1004,MATCH(740,Firms!$R$5:$R$1004,0))="","",INDEX(Firms!$O$5:$O$1004,MATCH(740,Firms!$R$5:$R$1004,0))),"")</f>
        <v/>
      </c>
      <c r="D744" s="58">
        <f>IFERROR(INDEX(Firms!$P$5:$P$1004,MATCH(740,Firms!$R$5:$R$1004,0))&amp;"","")</f>
        <v/>
      </c>
      <c r="E744" s="58">
        <f>IFERROR(INDEX(Firms!$C$5:$C$1004,MATCH(740,Firms!$R$5:$R$1004,0))&amp;"","")</f>
        <v/>
      </c>
      <c r="F744" s="57">
        <f>IFERROR(INDEX(Firms!$L$5:$L$1004,MATCH(740,Firms!$R$5:$R$1004,0))&amp;"","")</f>
        <v/>
      </c>
      <c r="G744" s="57">
        <f>IFERROR(INDEX(Firms!$M$5:$M$1004,MATCH(740,Firms!$R$5:$R$1004,0))&amp;"","")</f>
        <v/>
      </c>
      <c r="H744" s="58">
        <f>IFERROR(INDEX(Firms!$Q$5:$Q$1004,MATCH(740,Firms!$R$5:$R$1004,0))&amp;"","")</f>
        <v/>
      </c>
    </row>
    <row r="745">
      <c r="A745" s="57">
        <f>IF(B745="","",741)</f>
        <v/>
      </c>
      <c r="B745" s="58">
        <f>IFERROR(INDEX(Firms!$A$5:$A$1004,MATCH(741,Firms!$R$5:$R$1004,0))&amp;"","")</f>
        <v/>
      </c>
      <c r="C745" s="59">
        <f>IFERROR(IF(INDEX(Firms!$O$5:$O$1004,MATCH(741,Firms!$R$5:$R$1004,0))="","",INDEX(Firms!$O$5:$O$1004,MATCH(741,Firms!$R$5:$R$1004,0))),"")</f>
        <v/>
      </c>
      <c r="D745" s="58">
        <f>IFERROR(INDEX(Firms!$P$5:$P$1004,MATCH(741,Firms!$R$5:$R$1004,0))&amp;"","")</f>
        <v/>
      </c>
      <c r="E745" s="58">
        <f>IFERROR(INDEX(Firms!$C$5:$C$1004,MATCH(741,Firms!$R$5:$R$1004,0))&amp;"","")</f>
        <v/>
      </c>
      <c r="F745" s="57">
        <f>IFERROR(INDEX(Firms!$L$5:$L$1004,MATCH(741,Firms!$R$5:$R$1004,0))&amp;"","")</f>
        <v/>
      </c>
      <c r="G745" s="57">
        <f>IFERROR(INDEX(Firms!$M$5:$M$1004,MATCH(741,Firms!$R$5:$R$1004,0))&amp;"","")</f>
        <v/>
      </c>
      <c r="H745" s="58">
        <f>IFERROR(INDEX(Firms!$Q$5:$Q$1004,MATCH(741,Firms!$R$5:$R$1004,0))&amp;"","")</f>
        <v/>
      </c>
    </row>
    <row r="746">
      <c r="A746" s="57">
        <f>IF(B746="","",742)</f>
        <v/>
      </c>
      <c r="B746" s="58">
        <f>IFERROR(INDEX(Firms!$A$5:$A$1004,MATCH(742,Firms!$R$5:$R$1004,0))&amp;"","")</f>
        <v/>
      </c>
      <c r="C746" s="59">
        <f>IFERROR(IF(INDEX(Firms!$O$5:$O$1004,MATCH(742,Firms!$R$5:$R$1004,0))="","",INDEX(Firms!$O$5:$O$1004,MATCH(742,Firms!$R$5:$R$1004,0))),"")</f>
        <v/>
      </c>
      <c r="D746" s="58">
        <f>IFERROR(INDEX(Firms!$P$5:$P$1004,MATCH(742,Firms!$R$5:$R$1004,0))&amp;"","")</f>
        <v/>
      </c>
      <c r="E746" s="58">
        <f>IFERROR(INDEX(Firms!$C$5:$C$1004,MATCH(742,Firms!$R$5:$R$1004,0))&amp;"","")</f>
        <v/>
      </c>
      <c r="F746" s="57">
        <f>IFERROR(INDEX(Firms!$L$5:$L$1004,MATCH(742,Firms!$R$5:$R$1004,0))&amp;"","")</f>
        <v/>
      </c>
      <c r="G746" s="57">
        <f>IFERROR(INDEX(Firms!$M$5:$M$1004,MATCH(742,Firms!$R$5:$R$1004,0))&amp;"","")</f>
        <v/>
      </c>
      <c r="H746" s="58">
        <f>IFERROR(INDEX(Firms!$Q$5:$Q$1004,MATCH(742,Firms!$R$5:$R$1004,0))&amp;"","")</f>
        <v/>
      </c>
    </row>
    <row r="747">
      <c r="A747" s="57">
        <f>IF(B747="","",743)</f>
        <v/>
      </c>
      <c r="B747" s="58">
        <f>IFERROR(INDEX(Firms!$A$5:$A$1004,MATCH(743,Firms!$R$5:$R$1004,0))&amp;"","")</f>
        <v/>
      </c>
      <c r="C747" s="59">
        <f>IFERROR(IF(INDEX(Firms!$O$5:$O$1004,MATCH(743,Firms!$R$5:$R$1004,0))="","",INDEX(Firms!$O$5:$O$1004,MATCH(743,Firms!$R$5:$R$1004,0))),"")</f>
        <v/>
      </c>
      <c r="D747" s="58">
        <f>IFERROR(INDEX(Firms!$P$5:$P$1004,MATCH(743,Firms!$R$5:$R$1004,0))&amp;"","")</f>
        <v/>
      </c>
      <c r="E747" s="58">
        <f>IFERROR(INDEX(Firms!$C$5:$C$1004,MATCH(743,Firms!$R$5:$R$1004,0))&amp;"","")</f>
        <v/>
      </c>
      <c r="F747" s="57">
        <f>IFERROR(INDEX(Firms!$L$5:$L$1004,MATCH(743,Firms!$R$5:$R$1004,0))&amp;"","")</f>
        <v/>
      </c>
      <c r="G747" s="57">
        <f>IFERROR(INDEX(Firms!$M$5:$M$1004,MATCH(743,Firms!$R$5:$R$1004,0))&amp;"","")</f>
        <v/>
      </c>
      <c r="H747" s="58">
        <f>IFERROR(INDEX(Firms!$Q$5:$Q$1004,MATCH(743,Firms!$R$5:$R$1004,0))&amp;"","")</f>
        <v/>
      </c>
    </row>
    <row r="748">
      <c r="A748" s="57">
        <f>IF(B748="","",744)</f>
        <v/>
      </c>
      <c r="B748" s="58">
        <f>IFERROR(INDEX(Firms!$A$5:$A$1004,MATCH(744,Firms!$R$5:$R$1004,0))&amp;"","")</f>
        <v/>
      </c>
      <c r="C748" s="59">
        <f>IFERROR(IF(INDEX(Firms!$O$5:$O$1004,MATCH(744,Firms!$R$5:$R$1004,0))="","",INDEX(Firms!$O$5:$O$1004,MATCH(744,Firms!$R$5:$R$1004,0))),"")</f>
        <v/>
      </c>
      <c r="D748" s="58">
        <f>IFERROR(INDEX(Firms!$P$5:$P$1004,MATCH(744,Firms!$R$5:$R$1004,0))&amp;"","")</f>
        <v/>
      </c>
      <c r="E748" s="58">
        <f>IFERROR(INDEX(Firms!$C$5:$C$1004,MATCH(744,Firms!$R$5:$R$1004,0))&amp;"","")</f>
        <v/>
      </c>
      <c r="F748" s="57">
        <f>IFERROR(INDEX(Firms!$L$5:$L$1004,MATCH(744,Firms!$R$5:$R$1004,0))&amp;"","")</f>
        <v/>
      </c>
      <c r="G748" s="57">
        <f>IFERROR(INDEX(Firms!$M$5:$M$1004,MATCH(744,Firms!$R$5:$R$1004,0))&amp;"","")</f>
        <v/>
      </c>
      <c r="H748" s="58">
        <f>IFERROR(INDEX(Firms!$Q$5:$Q$1004,MATCH(744,Firms!$R$5:$R$1004,0))&amp;"","")</f>
        <v/>
      </c>
    </row>
    <row r="749">
      <c r="A749" s="57">
        <f>IF(B749="","",745)</f>
        <v/>
      </c>
      <c r="B749" s="58">
        <f>IFERROR(INDEX(Firms!$A$5:$A$1004,MATCH(745,Firms!$R$5:$R$1004,0))&amp;"","")</f>
        <v/>
      </c>
      <c r="C749" s="59">
        <f>IFERROR(IF(INDEX(Firms!$O$5:$O$1004,MATCH(745,Firms!$R$5:$R$1004,0))="","",INDEX(Firms!$O$5:$O$1004,MATCH(745,Firms!$R$5:$R$1004,0))),"")</f>
        <v/>
      </c>
      <c r="D749" s="58">
        <f>IFERROR(INDEX(Firms!$P$5:$P$1004,MATCH(745,Firms!$R$5:$R$1004,0))&amp;"","")</f>
        <v/>
      </c>
      <c r="E749" s="58">
        <f>IFERROR(INDEX(Firms!$C$5:$C$1004,MATCH(745,Firms!$R$5:$R$1004,0))&amp;"","")</f>
        <v/>
      </c>
      <c r="F749" s="57">
        <f>IFERROR(INDEX(Firms!$L$5:$L$1004,MATCH(745,Firms!$R$5:$R$1004,0))&amp;"","")</f>
        <v/>
      </c>
      <c r="G749" s="57">
        <f>IFERROR(INDEX(Firms!$M$5:$M$1004,MATCH(745,Firms!$R$5:$R$1004,0))&amp;"","")</f>
        <v/>
      </c>
      <c r="H749" s="58">
        <f>IFERROR(INDEX(Firms!$Q$5:$Q$1004,MATCH(745,Firms!$R$5:$R$1004,0))&amp;"","")</f>
        <v/>
      </c>
    </row>
    <row r="750">
      <c r="A750" s="57">
        <f>IF(B750="","",746)</f>
        <v/>
      </c>
      <c r="B750" s="58">
        <f>IFERROR(INDEX(Firms!$A$5:$A$1004,MATCH(746,Firms!$R$5:$R$1004,0))&amp;"","")</f>
        <v/>
      </c>
      <c r="C750" s="59">
        <f>IFERROR(IF(INDEX(Firms!$O$5:$O$1004,MATCH(746,Firms!$R$5:$R$1004,0))="","",INDEX(Firms!$O$5:$O$1004,MATCH(746,Firms!$R$5:$R$1004,0))),"")</f>
        <v/>
      </c>
      <c r="D750" s="58">
        <f>IFERROR(INDEX(Firms!$P$5:$P$1004,MATCH(746,Firms!$R$5:$R$1004,0))&amp;"","")</f>
        <v/>
      </c>
      <c r="E750" s="58">
        <f>IFERROR(INDEX(Firms!$C$5:$C$1004,MATCH(746,Firms!$R$5:$R$1004,0))&amp;"","")</f>
        <v/>
      </c>
      <c r="F750" s="57">
        <f>IFERROR(INDEX(Firms!$L$5:$L$1004,MATCH(746,Firms!$R$5:$R$1004,0))&amp;"","")</f>
        <v/>
      </c>
      <c r="G750" s="57">
        <f>IFERROR(INDEX(Firms!$M$5:$M$1004,MATCH(746,Firms!$R$5:$R$1004,0))&amp;"","")</f>
        <v/>
      </c>
      <c r="H750" s="58">
        <f>IFERROR(INDEX(Firms!$Q$5:$Q$1004,MATCH(746,Firms!$R$5:$R$1004,0))&amp;"","")</f>
        <v/>
      </c>
    </row>
    <row r="751">
      <c r="A751" s="57">
        <f>IF(B751="","",747)</f>
        <v/>
      </c>
      <c r="B751" s="58">
        <f>IFERROR(INDEX(Firms!$A$5:$A$1004,MATCH(747,Firms!$R$5:$R$1004,0))&amp;"","")</f>
        <v/>
      </c>
      <c r="C751" s="59">
        <f>IFERROR(IF(INDEX(Firms!$O$5:$O$1004,MATCH(747,Firms!$R$5:$R$1004,0))="","",INDEX(Firms!$O$5:$O$1004,MATCH(747,Firms!$R$5:$R$1004,0))),"")</f>
        <v/>
      </c>
      <c r="D751" s="58">
        <f>IFERROR(INDEX(Firms!$P$5:$P$1004,MATCH(747,Firms!$R$5:$R$1004,0))&amp;"","")</f>
        <v/>
      </c>
      <c r="E751" s="58">
        <f>IFERROR(INDEX(Firms!$C$5:$C$1004,MATCH(747,Firms!$R$5:$R$1004,0))&amp;"","")</f>
        <v/>
      </c>
      <c r="F751" s="57">
        <f>IFERROR(INDEX(Firms!$L$5:$L$1004,MATCH(747,Firms!$R$5:$R$1004,0))&amp;"","")</f>
        <v/>
      </c>
      <c r="G751" s="57">
        <f>IFERROR(INDEX(Firms!$M$5:$M$1004,MATCH(747,Firms!$R$5:$R$1004,0))&amp;"","")</f>
        <v/>
      </c>
      <c r="H751" s="58">
        <f>IFERROR(INDEX(Firms!$Q$5:$Q$1004,MATCH(747,Firms!$R$5:$R$1004,0))&amp;"","")</f>
        <v/>
      </c>
    </row>
    <row r="752">
      <c r="A752" s="57">
        <f>IF(B752="","",748)</f>
        <v/>
      </c>
      <c r="B752" s="58">
        <f>IFERROR(INDEX(Firms!$A$5:$A$1004,MATCH(748,Firms!$R$5:$R$1004,0))&amp;"","")</f>
        <v/>
      </c>
      <c r="C752" s="59">
        <f>IFERROR(IF(INDEX(Firms!$O$5:$O$1004,MATCH(748,Firms!$R$5:$R$1004,0))="","",INDEX(Firms!$O$5:$O$1004,MATCH(748,Firms!$R$5:$R$1004,0))),"")</f>
        <v/>
      </c>
      <c r="D752" s="58">
        <f>IFERROR(INDEX(Firms!$P$5:$P$1004,MATCH(748,Firms!$R$5:$R$1004,0))&amp;"","")</f>
        <v/>
      </c>
      <c r="E752" s="58">
        <f>IFERROR(INDEX(Firms!$C$5:$C$1004,MATCH(748,Firms!$R$5:$R$1004,0))&amp;"","")</f>
        <v/>
      </c>
      <c r="F752" s="57">
        <f>IFERROR(INDEX(Firms!$L$5:$L$1004,MATCH(748,Firms!$R$5:$R$1004,0))&amp;"","")</f>
        <v/>
      </c>
      <c r="G752" s="57">
        <f>IFERROR(INDEX(Firms!$M$5:$M$1004,MATCH(748,Firms!$R$5:$R$1004,0))&amp;"","")</f>
        <v/>
      </c>
      <c r="H752" s="58">
        <f>IFERROR(INDEX(Firms!$Q$5:$Q$1004,MATCH(748,Firms!$R$5:$R$1004,0))&amp;"","")</f>
        <v/>
      </c>
    </row>
    <row r="753">
      <c r="A753" s="57">
        <f>IF(B753="","",749)</f>
        <v/>
      </c>
      <c r="B753" s="58">
        <f>IFERROR(INDEX(Firms!$A$5:$A$1004,MATCH(749,Firms!$R$5:$R$1004,0))&amp;"","")</f>
        <v/>
      </c>
      <c r="C753" s="59">
        <f>IFERROR(IF(INDEX(Firms!$O$5:$O$1004,MATCH(749,Firms!$R$5:$R$1004,0))="","",INDEX(Firms!$O$5:$O$1004,MATCH(749,Firms!$R$5:$R$1004,0))),"")</f>
        <v/>
      </c>
      <c r="D753" s="58">
        <f>IFERROR(INDEX(Firms!$P$5:$P$1004,MATCH(749,Firms!$R$5:$R$1004,0))&amp;"","")</f>
        <v/>
      </c>
      <c r="E753" s="58">
        <f>IFERROR(INDEX(Firms!$C$5:$C$1004,MATCH(749,Firms!$R$5:$R$1004,0))&amp;"","")</f>
        <v/>
      </c>
      <c r="F753" s="57">
        <f>IFERROR(INDEX(Firms!$L$5:$L$1004,MATCH(749,Firms!$R$5:$R$1004,0))&amp;"","")</f>
        <v/>
      </c>
      <c r="G753" s="57">
        <f>IFERROR(INDEX(Firms!$M$5:$M$1004,MATCH(749,Firms!$R$5:$R$1004,0))&amp;"","")</f>
        <v/>
      </c>
      <c r="H753" s="58">
        <f>IFERROR(INDEX(Firms!$Q$5:$Q$1004,MATCH(749,Firms!$R$5:$R$1004,0))&amp;"","")</f>
        <v/>
      </c>
    </row>
    <row r="754">
      <c r="A754" s="57">
        <f>IF(B754="","",750)</f>
        <v/>
      </c>
      <c r="B754" s="58">
        <f>IFERROR(INDEX(Firms!$A$5:$A$1004,MATCH(750,Firms!$R$5:$R$1004,0))&amp;"","")</f>
        <v/>
      </c>
      <c r="C754" s="59">
        <f>IFERROR(IF(INDEX(Firms!$O$5:$O$1004,MATCH(750,Firms!$R$5:$R$1004,0))="","",INDEX(Firms!$O$5:$O$1004,MATCH(750,Firms!$R$5:$R$1004,0))),"")</f>
        <v/>
      </c>
      <c r="D754" s="58">
        <f>IFERROR(INDEX(Firms!$P$5:$P$1004,MATCH(750,Firms!$R$5:$R$1004,0))&amp;"","")</f>
        <v/>
      </c>
      <c r="E754" s="58">
        <f>IFERROR(INDEX(Firms!$C$5:$C$1004,MATCH(750,Firms!$R$5:$R$1004,0))&amp;"","")</f>
        <v/>
      </c>
      <c r="F754" s="57">
        <f>IFERROR(INDEX(Firms!$L$5:$L$1004,MATCH(750,Firms!$R$5:$R$1004,0))&amp;"","")</f>
        <v/>
      </c>
      <c r="G754" s="57">
        <f>IFERROR(INDEX(Firms!$M$5:$M$1004,MATCH(750,Firms!$R$5:$R$1004,0))&amp;"","")</f>
        <v/>
      </c>
      <c r="H754" s="58">
        <f>IFERROR(INDEX(Firms!$Q$5:$Q$1004,MATCH(750,Firms!$R$5:$R$1004,0))&amp;"","")</f>
        <v/>
      </c>
    </row>
    <row r="755">
      <c r="A755" s="57">
        <f>IF(B755="","",751)</f>
        <v/>
      </c>
      <c r="B755" s="58">
        <f>IFERROR(INDEX(Firms!$A$5:$A$1004,MATCH(751,Firms!$R$5:$R$1004,0))&amp;"","")</f>
        <v/>
      </c>
      <c r="C755" s="59">
        <f>IFERROR(IF(INDEX(Firms!$O$5:$O$1004,MATCH(751,Firms!$R$5:$R$1004,0))="","",INDEX(Firms!$O$5:$O$1004,MATCH(751,Firms!$R$5:$R$1004,0))),"")</f>
        <v/>
      </c>
      <c r="D755" s="58">
        <f>IFERROR(INDEX(Firms!$P$5:$P$1004,MATCH(751,Firms!$R$5:$R$1004,0))&amp;"","")</f>
        <v/>
      </c>
      <c r="E755" s="58">
        <f>IFERROR(INDEX(Firms!$C$5:$C$1004,MATCH(751,Firms!$R$5:$R$1004,0))&amp;"","")</f>
        <v/>
      </c>
      <c r="F755" s="57">
        <f>IFERROR(INDEX(Firms!$L$5:$L$1004,MATCH(751,Firms!$R$5:$R$1004,0))&amp;"","")</f>
        <v/>
      </c>
      <c r="G755" s="57">
        <f>IFERROR(INDEX(Firms!$M$5:$M$1004,MATCH(751,Firms!$R$5:$R$1004,0))&amp;"","")</f>
        <v/>
      </c>
      <c r="H755" s="58">
        <f>IFERROR(INDEX(Firms!$Q$5:$Q$1004,MATCH(751,Firms!$R$5:$R$1004,0))&amp;"","")</f>
        <v/>
      </c>
    </row>
    <row r="756">
      <c r="A756" s="57">
        <f>IF(B756="","",752)</f>
        <v/>
      </c>
      <c r="B756" s="58">
        <f>IFERROR(INDEX(Firms!$A$5:$A$1004,MATCH(752,Firms!$R$5:$R$1004,0))&amp;"","")</f>
        <v/>
      </c>
      <c r="C756" s="59">
        <f>IFERROR(IF(INDEX(Firms!$O$5:$O$1004,MATCH(752,Firms!$R$5:$R$1004,0))="","",INDEX(Firms!$O$5:$O$1004,MATCH(752,Firms!$R$5:$R$1004,0))),"")</f>
        <v/>
      </c>
      <c r="D756" s="58">
        <f>IFERROR(INDEX(Firms!$P$5:$P$1004,MATCH(752,Firms!$R$5:$R$1004,0))&amp;"","")</f>
        <v/>
      </c>
      <c r="E756" s="58">
        <f>IFERROR(INDEX(Firms!$C$5:$C$1004,MATCH(752,Firms!$R$5:$R$1004,0))&amp;"","")</f>
        <v/>
      </c>
      <c r="F756" s="57">
        <f>IFERROR(INDEX(Firms!$L$5:$L$1004,MATCH(752,Firms!$R$5:$R$1004,0))&amp;"","")</f>
        <v/>
      </c>
      <c r="G756" s="57">
        <f>IFERROR(INDEX(Firms!$M$5:$M$1004,MATCH(752,Firms!$R$5:$R$1004,0))&amp;"","")</f>
        <v/>
      </c>
      <c r="H756" s="58">
        <f>IFERROR(INDEX(Firms!$Q$5:$Q$1004,MATCH(752,Firms!$R$5:$R$1004,0))&amp;"","")</f>
        <v/>
      </c>
    </row>
    <row r="757">
      <c r="A757" s="57">
        <f>IF(B757="","",753)</f>
        <v/>
      </c>
      <c r="B757" s="58">
        <f>IFERROR(INDEX(Firms!$A$5:$A$1004,MATCH(753,Firms!$R$5:$R$1004,0))&amp;"","")</f>
        <v/>
      </c>
      <c r="C757" s="59">
        <f>IFERROR(IF(INDEX(Firms!$O$5:$O$1004,MATCH(753,Firms!$R$5:$R$1004,0))="","",INDEX(Firms!$O$5:$O$1004,MATCH(753,Firms!$R$5:$R$1004,0))),"")</f>
        <v/>
      </c>
      <c r="D757" s="58">
        <f>IFERROR(INDEX(Firms!$P$5:$P$1004,MATCH(753,Firms!$R$5:$R$1004,0))&amp;"","")</f>
        <v/>
      </c>
      <c r="E757" s="58">
        <f>IFERROR(INDEX(Firms!$C$5:$C$1004,MATCH(753,Firms!$R$5:$R$1004,0))&amp;"","")</f>
        <v/>
      </c>
      <c r="F757" s="57">
        <f>IFERROR(INDEX(Firms!$L$5:$L$1004,MATCH(753,Firms!$R$5:$R$1004,0))&amp;"","")</f>
        <v/>
      </c>
      <c r="G757" s="57">
        <f>IFERROR(INDEX(Firms!$M$5:$M$1004,MATCH(753,Firms!$R$5:$R$1004,0))&amp;"","")</f>
        <v/>
      </c>
      <c r="H757" s="58">
        <f>IFERROR(INDEX(Firms!$Q$5:$Q$1004,MATCH(753,Firms!$R$5:$R$1004,0))&amp;"","")</f>
        <v/>
      </c>
    </row>
    <row r="758">
      <c r="A758" s="57">
        <f>IF(B758="","",754)</f>
        <v/>
      </c>
      <c r="B758" s="58">
        <f>IFERROR(INDEX(Firms!$A$5:$A$1004,MATCH(754,Firms!$R$5:$R$1004,0))&amp;"","")</f>
        <v/>
      </c>
      <c r="C758" s="59">
        <f>IFERROR(IF(INDEX(Firms!$O$5:$O$1004,MATCH(754,Firms!$R$5:$R$1004,0))="","",INDEX(Firms!$O$5:$O$1004,MATCH(754,Firms!$R$5:$R$1004,0))),"")</f>
        <v/>
      </c>
      <c r="D758" s="58">
        <f>IFERROR(INDEX(Firms!$P$5:$P$1004,MATCH(754,Firms!$R$5:$R$1004,0))&amp;"","")</f>
        <v/>
      </c>
      <c r="E758" s="58">
        <f>IFERROR(INDEX(Firms!$C$5:$C$1004,MATCH(754,Firms!$R$5:$R$1004,0))&amp;"","")</f>
        <v/>
      </c>
      <c r="F758" s="57">
        <f>IFERROR(INDEX(Firms!$L$5:$L$1004,MATCH(754,Firms!$R$5:$R$1004,0))&amp;"","")</f>
        <v/>
      </c>
      <c r="G758" s="57">
        <f>IFERROR(INDEX(Firms!$M$5:$M$1004,MATCH(754,Firms!$R$5:$R$1004,0))&amp;"","")</f>
        <v/>
      </c>
      <c r="H758" s="58">
        <f>IFERROR(INDEX(Firms!$Q$5:$Q$1004,MATCH(754,Firms!$R$5:$R$1004,0))&amp;"","")</f>
        <v/>
      </c>
    </row>
    <row r="759">
      <c r="A759" s="57">
        <f>IF(B759="","",755)</f>
        <v/>
      </c>
      <c r="B759" s="58">
        <f>IFERROR(INDEX(Firms!$A$5:$A$1004,MATCH(755,Firms!$R$5:$R$1004,0))&amp;"","")</f>
        <v/>
      </c>
      <c r="C759" s="59">
        <f>IFERROR(IF(INDEX(Firms!$O$5:$O$1004,MATCH(755,Firms!$R$5:$R$1004,0))="","",INDEX(Firms!$O$5:$O$1004,MATCH(755,Firms!$R$5:$R$1004,0))),"")</f>
        <v/>
      </c>
      <c r="D759" s="58">
        <f>IFERROR(INDEX(Firms!$P$5:$P$1004,MATCH(755,Firms!$R$5:$R$1004,0))&amp;"","")</f>
        <v/>
      </c>
      <c r="E759" s="58">
        <f>IFERROR(INDEX(Firms!$C$5:$C$1004,MATCH(755,Firms!$R$5:$R$1004,0))&amp;"","")</f>
        <v/>
      </c>
      <c r="F759" s="57">
        <f>IFERROR(INDEX(Firms!$L$5:$L$1004,MATCH(755,Firms!$R$5:$R$1004,0))&amp;"","")</f>
        <v/>
      </c>
      <c r="G759" s="57">
        <f>IFERROR(INDEX(Firms!$M$5:$M$1004,MATCH(755,Firms!$R$5:$R$1004,0))&amp;"","")</f>
        <v/>
      </c>
      <c r="H759" s="58">
        <f>IFERROR(INDEX(Firms!$Q$5:$Q$1004,MATCH(755,Firms!$R$5:$R$1004,0))&amp;"","")</f>
        <v/>
      </c>
    </row>
    <row r="760">
      <c r="A760" s="57">
        <f>IF(B760="","",756)</f>
        <v/>
      </c>
      <c r="B760" s="58">
        <f>IFERROR(INDEX(Firms!$A$5:$A$1004,MATCH(756,Firms!$R$5:$R$1004,0))&amp;"","")</f>
        <v/>
      </c>
      <c r="C760" s="59">
        <f>IFERROR(IF(INDEX(Firms!$O$5:$O$1004,MATCH(756,Firms!$R$5:$R$1004,0))="","",INDEX(Firms!$O$5:$O$1004,MATCH(756,Firms!$R$5:$R$1004,0))),"")</f>
        <v/>
      </c>
      <c r="D760" s="58">
        <f>IFERROR(INDEX(Firms!$P$5:$P$1004,MATCH(756,Firms!$R$5:$R$1004,0))&amp;"","")</f>
        <v/>
      </c>
      <c r="E760" s="58">
        <f>IFERROR(INDEX(Firms!$C$5:$C$1004,MATCH(756,Firms!$R$5:$R$1004,0))&amp;"","")</f>
        <v/>
      </c>
      <c r="F760" s="57">
        <f>IFERROR(INDEX(Firms!$L$5:$L$1004,MATCH(756,Firms!$R$5:$R$1004,0))&amp;"","")</f>
        <v/>
      </c>
      <c r="G760" s="57">
        <f>IFERROR(INDEX(Firms!$M$5:$M$1004,MATCH(756,Firms!$R$5:$R$1004,0))&amp;"","")</f>
        <v/>
      </c>
      <c r="H760" s="58">
        <f>IFERROR(INDEX(Firms!$Q$5:$Q$1004,MATCH(756,Firms!$R$5:$R$1004,0))&amp;"","")</f>
        <v/>
      </c>
    </row>
    <row r="761">
      <c r="A761" s="57">
        <f>IF(B761="","",757)</f>
        <v/>
      </c>
      <c r="B761" s="58">
        <f>IFERROR(INDEX(Firms!$A$5:$A$1004,MATCH(757,Firms!$R$5:$R$1004,0))&amp;"","")</f>
        <v/>
      </c>
      <c r="C761" s="59">
        <f>IFERROR(IF(INDEX(Firms!$O$5:$O$1004,MATCH(757,Firms!$R$5:$R$1004,0))="","",INDEX(Firms!$O$5:$O$1004,MATCH(757,Firms!$R$5:$R$1004,0))),"")</f>
        <v/>
      </c>
      <c r="D761" s="58">
        <f>IFERROR(INDEX(Firms!$P$5:$P$1004,MATCH(757,Firms!$R$5:$R$1004,0))&amp;"","")</f>
        <v/>
      </c>
      <c r="E761" s="58">
        <f>IFERROR(INDEX(Firms!$C$5:$C$1004,MATCH(757,Firms!$R$5:$R$1004,0))&amp;"","")</f>
        <v/>
      </c>
      <c r="F761" s="57">
        <f>IFERROR(INDEX(Firms!$L$5:$L$1004,MATCH(757,Firms!$R$5:$R$1004,0))&amp;"","")</f>
        <v/>
      </c>
      <c r="G761" s="57">
        <f>IFERROR(INDEX(Firms!$M$5:$M$1004,MATCH(757,Firms!$R$5:$R$1004,0))&amp;"","")</f>
        <v/>
      </c>
      <c r="H761" s="58">
        <f>IFERROR(INDEX(Firms!$Q$5:$Q$1004,MATCH(757,Firms!$R$5:$R$1004,0))&amp;"","")</f>
        <v/>
      </c>
    </row>
    <row r="762">
      <c r="A762" s="57">
        <f>IF(B762="","",758)</f>
        <v/>
      </c>
      <c r="B762" s="58">
        <f>IFERROR(INDEX(Firms!$A$5:$A$1004,MATCH(758,Firms!$R$5:$R$1004,0))&amp;"","")</f>
        <v/>
      </c>
      <c r="C762" s="59">
        <f>IFERROR(IF(INDEX(Firms!$O$5:$O$1004,MATCH(758,Firms!$R$5:$R$1004,0))="","",INDEX(Firms!$O$5:$O$1004,MATCH(758,Firms!$R$5:$R$1004,0))),"")</f>
        <v/>
      </c>
      <c r="D762" s="58">
        <f>IFERROR(INDEX(Firms!$P$5:$P$1004,MATCH(758,Firms!$R$5:$R$1004,0))&amp;"","")</f>
        <v/>
      </c>
      <c r="E762" s="58">
        <f>IFERROR(INDEX(Firms!$C$5:$C$1004,MATCH(758,Firms!$R$5:$R$1004,0))&amp;"","")</f>
        <v/>
      </c>
      <c r="F762" s="57">
        <f>IFERROR(INDEX(Firms!$L$5:$L$1004,MATCH(758,Firms!$R$5:$R$1004,0))&amp;"","")</f>
        <v/>
      </c>
      <c r="G762" s="57">
        <f>IFERROR(INDEX(Firms!$M$5:$M$1004,MATCH(758,Firms!$R$5:$R$1004,0))&amp;"","")</f>
        <v/>
      </c>
      <c r="H762" s="58">
        <f>IFERROR(INDEX(Firms!$Q$5:$Q$1004,MATCH(758,Firms!$R$5:$R$1004,0))&amp;"","")</f>
        <v/>
      </c>
    </row>
    <row r="763">
      <c r="A763" s="57">
        <f>IF(B763="","",759)</f>
        <v/>
      </c>
      <c r="B763" s="58">
        <f>IFERROR(INDEX(Firms!$A$5:$A$1004,MATCH(759,Firms!$R$5:$R$1004,0))&amp;"","")</f>
        <v/>
      </c>
      <c r="C763" s="59">
        <f>IFERROR(IF(INDEX(Firms!$O$5:$O$1004,MATCH(759,Firms!$R$5:$R$1004,0))="","",INDEX(Firms!$O$5:$O$1004,MATCH(759,Firms!$R$5:$R$1004,0))),"")</f>
        <v/>
      </c>
      <c r="D763" s="58">
        <f>IFERROR(INDEX(Firms!$P$5:$P$1004,MATCH(759,Firms!$R$5:$R$1004,0))&amp;"","")</f>
        <v/>
      </c>
      <c r="E763" s="58">
        <f>IFERROR(INDEX(Firms!$C$5:$C$1004,MATCH(759,Firms!$R$5:$R$1004,0))&amp;"","")</f>
        <v/>
      </c>
      <c r="F763" s="57">
        <f>IFERROR(INDEX(Firms!$L$5:$L$1004,MATCH(759,Firms!$R$5:$R$1004,0))&amp;"","")</f>
        <v/>
      </c>
      <c r="G763" s="57">
        <f>IFERROR(INDEX(Firms!$M$5:$M$1004,MATCH(759,Firms!$R$5:$R$1004,0))&amp;"","")</f>
        <v/>
      </c>
      <c r="H763" s="58">
        <f>IFERROR(INDEX(Firms!$Q$5:$Q$1004,MATCH(759,Firms!$R$5:$R$1004,0))&amp;"","")</f>
        <v/>
      </c>
    </row>
    <row r="764">
      <c r="A764" s="57">
        <f>IF(B764="","",760)</f>
        <v/>
      </c>
      <c r="B764" s="58">
        <f>IFERROR(INDEX(Firms!$A$5:$A$1004,MATCH(760,Firms!$R$5:$R$1004,0))&amp;"","")</f>
        <v/>
      </c>
      <c r="C764" s="59">
        <f>IFERROR(IF(INDEX(Firms!$O$5:$O$1004,MATCH(760,Firms!$R$5:$R$1004,0))="","",INDEX(Firms!$O$5:$O$1004,MATCH(760,Firms!$R$5:$R$1004,0))),"")</f>
        <v/>
      </c>
      <c r="D764" s="58">
        <f>IFERROR(INDEX(Firms!$P$5:$P$1004,MATCH(760,Firms!$R$5:$R$1004,0))&amp;"","")</f>
        <v/>
      </c>
      <c r="E764" s="58">
        <f>IFERROR(INDEX(Firms!$C$5:$C$1004,MATCH(760,Firms!$R$5:$R$1004,0))&amp;"","")</f>
        <v/>
      </c>
      <c r="F764" s="57">
        <f>IFERROR(INDEX(Firms!$L$5:$L$1004,MATCH(760,Firms!$R$5:$R$1004,0))&amp;"","")</f>
        <v/>
      </c>
      <c r="G764" s="57">
        <f>IFERROR(INDEX(Firms!$M$5:$M$1004,MATCH(760,Firms!$R$5:$R$1004,0))&amp;"","")</f>
        <v/>
      </c>
      <c r="H764" s="58">
        <f>IFERROR(INDEX(Firms!$Q$5:$Q$1004,MATCH(760,Firms!$R$5:$R$1004,0))&amp;"","")</f>
        <v/>
      </c>
    </row>
    <row r="765">
      <c r="A765" s="57">
        <f>IF(B765="","",761)</f>
        <v/>
      </c>
      <c r="B765" s="58">
        <f>IFERROR(INDEX(Firms!$A$5:$A$1004,MATCH(761,Firms!$R$5:$R$1004,0))&amp;"","")</f>
        <v/>
      </c>
      <c r="C765" s="59">
        <f>IFERROR(IF(INDEX(Firms!$O$5:$O$1004,MATCH(761,Firms!$R$5:$R$1004,0))="","",INDEX(Firms!$O$5:$O$1004,MATCH(761,Firms!$R$5:$R$1004,0))),"")</f>
        <v/>
      </c>
      <c r="D765" s="58">
        <f>IFERROR(INDEX(Firms!$P$5:$P$1004,MATCH(761,Firms!$R$5:$R$1004,0))&amp;"","")</f>
        <v/>
      </c>
      <c r="E765" s="58">
        <f>IFERROR(INDEX(Firms!$C$5:$C$1004,MATCH(761,Firms!$R$5:$R$1004,0))&amp;"","")</f>
        <v/>
      </c>
      <c r="F765" s="57">
        <f>IFERROR(INDEX(Firms!$L$5:$L$1004,MATCH(761,Firms!$R$5:$R$1004,0))&amp;"","")</f>
        <v/>
      </c>
      <c r="G765" s="57">
        <f>IFERROR(INDEX(Firms!$M$5:$M$1004,MATCH(761,Firms!$R$5:$R$1004,0))&amp;"","")</f>
        <v/>
      </c>
      <c r="H765" s="58">
        <f>IFERROR(INDEX(Firms!$Q$5:$Q$1004,MATCH(761,Firms!$R$5:$R$1004,0))&amp;"","")</f>
        <v/>
      </c>
    </row>
    <row r="766">
      <c r="A766" s="57">
        <f>IF(B766="","",762)</f>
        <v/>
      </c>
      <c r="B766" s="58">
        <f>IFERROR(INDEX(Firms!$A$5:$A$1004,MATCH(762,Firms!$R$5:$R$1004,0))&amp;"","")</f>
        <v/>
      </c>
      <c r="C766" s="59">
        <f>IFERROR(IF(INDEX(Firms!$O$5:$O$1004,MATCH(762,Firms!$R$5:$R$1004,0))="","",INDEX(Firms!$O$5:$O$1004,MATCH(762,Firms!$R$5:$R$1004,0))),"")</f>
        <v/>
      </c>
      <c r="D766" s="58">
        <f>IFERROR(INDEX(Firms!$P$5:$P$1004,MATCH(762,Firms!$R$5:$R$1004,0))&amp;"","")</f>
        <v/>
      </c>
      <c r="E766" s="58">
        <f>IFERROR(INDEX(Firms!$C$5:$C$1004,MATCH(762,Firms!$R$5:$R$1004,0))&amp;"","")</f>
        <v/>
      </c>
      <c r="F766" s="57">
        <f>IFERROR(INDEX(Firms!$L$5:$L$1004,MATCH(762,Firms!$R$5:$R$1004,0))&amp;"","")</f>
        <v/>
      </c>
      <c r="G766" s="57">
        <f>IFERROR(INDEX(Firms!$M$5:$M$1004,MATCH(762,Firms!$R$5:$R$1004,0))&amp;"","")</f>
        <v/>
      </c>
      <c r="H766" s="58">
        <f>IFERROR(INDEX(Firms!$Q$5:$Q$1004,MATCH(762,Firms!$R$5:$R$1004,0))&amp;"","")</f>
        <v/>
      </c>
    </row>
    <row r="767">
      <c r="A767" s="57">
        <f>IF(B767="","",763)</f>
        <v/>
      </c>
      <c r="B767" s="58">
        <f>IFERROR(INDEX(Firms!$A$5:$A$1004,MATCH(763,Firms!$R$5:$R$1004,0))&amp;"","")</f>
        <v/>
      </c>
      <c r="C767" s="59">
        <f>IFERROR(IF(INDEX(Firms!$O$5:$O$1004,MATCH(763,Firms!$R$5:$R$1004,0))="","",INDEX(Firms!$O$5:$O$1004,MATCH(763,Firms!$R$5:$R$1004,0))),"")</f>
        <v/>
      </c>
      <c r="D767" s="58">
        <f>IFERROR(INDEX(Firms!$P$5:$P$1004,MATCH(763,Firms!$R$5:$R$1004,0))&amp;"","")</f>
        <v/>
      </c>
      <c r="E767" s="58">
        <f>IFERROR(INDEX(Firms!$C$5:$C$1004,MATCH(763,Firms!$R$5:$R$1004,0))&amp;"","")</f>
        <v/>
      </c>
      <c r="F767" s="57">
        <f>IFERROR(INDEX(Firms!$L$5:$L$1004,MATCH(763,Firms!$R$5:$R$1004,0))&amp;"","")</f>
        <v/>
      </c>
      <c r="G767" s="57">
        <f>IFERROR(INDEX(Firms!$M$5:$M$1004,MATCH(763,Firms!$R$5:$R$1004,0))&amp;"","")</f>
        <v/>
      </c>
      <c r="H767" s="58">
        <f>IFERROR(INDEX(Firms!$Q$5:$Q$1004,MATCH(763,Firms!$R$5:$R$1004,0))&amp;"","")</f>
        <v/>
      </c>
    </row>
    <row r="768">
      <c r="A768" s="57">
        <f>IF(B768="","",764)</f>
        <v/>
      </c>
      <c r="B768" s="58">
        <f>IFERROR(INDEX(Firms!$A$5:$A$1004,MATCH(764,Firms!$R$5:$R$1004,0))&amp;"","")</f>
        <v/>
      </c>
      <c r="C768" s="59">
        <f>IFERROR(IF(INDEX(Firms!$O$5:$O$1004,MATCH(764,Firms!$R$5:$R$1004,0))="","",INDEX(Firms!$O$5:$O$1004,MATCH(764,Firms!$R$5:$R$1004,0))),"")</f>
        <v/>
      </c>
      <c r="D768" s="58">
        <f>IFERROR(INDEX(Firms!$P$5:$P$1004,MATCH(764,Firms!$R$5:$R$1004,0))&amp;"","")</f>
        <v/>
      </c>
      <c r="E768" s="58">
        <f>IFERROR(INDEX(Firms!$C$5:$C$1004,MATCH(764,Firms!$R$5:$R$1004,0))&amp;"","")</f>
        <v/>
      </c>
      <c r="F768" s="57">
        <f>IFERROR(INDEX(Firms!$L$5:$L$1004,MATCH(764,Firms!$R$5:$R$1004,0))&amp;"","")</f>
        <v/>
      </c>
      <c r="G768" s="57">
        <f>IFERROR(INDEX(Firms!$M$5:$M$1004,MATCH(764,Firms!$R$5:$R$1004,0))&amp;"","")</f>
        <v/>
      </c>
      <c r="H768" s="58">
        <f>IFERROR(INDEX(Firms!$Q$5:$Q$1004,MATCH(764,Firms!$R$5:$R$1004,0))&amp;"","")</f>
        <v/>
      </c>
    </row>
    <row r="769">
      <c r="A769" s="57">
        <f>IF(B769="","",765)</f>
        <v/>
      </c>
      <c r="B769" s="58">
        <f>IFERROR(INDEX(Firms!$A$5:$A$1004,MATCH(765,Firms!$R$5:$R$1004,0))&amp;"","")</f>
        <v/>
      </c>
      <c r="C769" s="59">
        <f>IFERROR(IF(INDEX(Firms!$O$5:$O$1004,MATCH(765,Firms!$R$5:$R$1004,0))="","",INDEX(Firms!$O$5:$O$1004,MATCH(765,Firms!$R$5:$R$1004,0))),"")</f>
        <v/>
      </c>
      <c r="D769" s="58">
        <f>IFERROR(INDEX(Firms!$P$5:$P$1004,MATCH(765,Firms!$R$5:$R$1004,0))&amp;"","")</f>
        <v/>
      </c>
      <c r="E769" s="58">
        <f>IFERROR(INDEX(Firms!$C$5:$C$1004,MATCH(765,Firms!$R$5:$R$1004,0))&amp;"","")</f>
        <v/>
      </c>
      <c r="F769" s="57">
        <f>IFERROR(INDEX(Firms!$L$5:$L$1004,MATCH(765,Firms!$R$5:$R$1004,0))&amp;"","")</f>
        <v/>
      </c>
      <c r="G769" s="57">
        <f>IFERROR(INDEX(Firms!$M$5:$M$1004,MATCH(765,Firms!$R$5:$R$1004,0))&amp;"","")</f>
        <v/>
      </c>
      <c r="H769" s="58">
        <f>IFERROR(INDEX(Firms!$Q$5:$Q$1004,MATCH(765,Firms!$R$5:$R$1004,0))&amp;"","")</f>
        <v/>
      </c>
    </row>
    <row r="770">
      <c r="A770" s="57">
        <f>IF(B770="","",766)</f>
        <v/>
      </c>
      <c r="B770" s="58">
        <f>IFERROR(INDEX(Firms!$A$5:$A$1004,MATCH(766,Firms!$R$5:$R$1004,0))&amp;"","")</f>
        <v/>
      </c>
      <c r="C770" s="59">
        <f>IFERROR(IF(INDEX(Firms!$O$5:$O$1004,MATCH(766,Firms!$R$5:$R$1004,0))="","",INDEX(Firms!$O$5:$O$1004,MATCH(766,Firms!$R$5:$R$1004,0))),"")</f>
        <v/>
      </c>
      <c r="D770" s="58">
        <f>IFERROR(INDEX(Firms!$P$5:$P$1004,MATCH(766,Firms!$R$5:$R$1004,0))&amp;"","")</f>
        <v/>
      </c>
      <c r="E770" s="58">
        <f>IFERROR(INDEX(Firms!$C$5:$C$1004,MATCH(766,Firms!$R$5:$R$1004,0))&amp;"","")</f>
        <v/>
      </c>
      <c r="F770" s="57">
        <f>IFERROR(INDEX(Firms!$L$5:$L$1004,MATCH(766,Firms!$R$5:$R$1004,0))&amp;"","")</f>
        <v/>
      </c>
      <c r="G770" s="57">
        <f>IFERROR(INDEX(Firms!$M$5:$M$1004,MATCH(766,Firms!$R$5:$R$1004,0))&amp;"","")</f>
        <v/>
      </c>
      <c r="H770" s="58">
        <f>IFERROR(INDEX(Firms!$Q$5:$Q$1004,MATCH(766,Firms!$R$5:$R$1004,0))&amp;"","")</f>
        <v/>
      </c>
    </row>
    <row r="771">
      <c r="A771" s="57">
        <f>IF(B771="","",767)</f>
        <v/>
      </c>
      <c r="B771" s="58">
        <f>IFERROR(INDEX(Firms!$A$5:$A$1004,MATCH(767,Firms!$R$5:$R$1004,0))&amp;"","")</f>
        <v/>
      </c>
      <c r="C771" s="59">
        <f>IFERROR(IF(INDEX(Firms!$O$5:$O$1004,MATCH(767,Firms!$R$5:$R$1004,0))="","",INDEX(Firms!$O$5:$O$1004,MATCH(767,Firms!$R$5:$R$1004,0))),"")</f>
        <v/>
      </c>
      <c r="D771" s="58">
        <f>IFERROR(INDEX(Firms!$P$5:$P$1004,MATCH(767,Firms!$R$5:$R$1004,0))&amp;"","")</f>
        <v/>
      </c>
      <c r="E771" s="58">
        <f>IFERROR(INDEX(Firms!$C$5:$C$1004,MATCH(767,Firms!$R$5:$R$1004,0))&amp;"","")</f>
        <v/>
      </c>
      <c r="F771" s="57">
        <f>IFERROR(INDEX(Firms!$L$5:$L$1004,MATCH(767,Firms!$R$5:$R$1004,0))&amp;"","")</f>
        <v/>
      </c>
      <c r="G771" s="57">
        <f>IFERROR(INDEX(Firms!$M$5:$M$1004,MATCH(767,Firms!$R$5:$R$1004,0))&amp;"","")</f>
        <v/>
      </c>
      <c r="H771" s="58">
        <f>IFERROR(INDEX(Firms!$Q$5:$Q$1004,MATCH(767,Firms!$R$5:$R$1004,0))&amp;"","")</f>
        <v/>
      </c>
    </row>
    <row r="772">
      <c r="A772" s="57">
        <f>IF(B772="","",768)</f>
        <v/>
      </c>
      <c r="B772" s="58">
        <f>IFERROR(INDEX(Firms!$A$5:$A$1004,MATCH(768,Firms!$R$5:$R$1004,0))&amp;"","")</f>
        <v/>
      </c>
      <c r="C772" s="59">
        <f>IFERROR(IF(INDEX(Firms!$O$5:$O$1004,MATCH(768,Firms!$R$5:$R$1004,0))="","",INDEX(Firms!$O$5:$O$1004,MATCH(768,Firms!$R$5:$R$1004,0))),"")</f>
        <v/>
      </c>
      <c r="D772" s="58">
        <f>IFERROR(INDEX(Firms!$P$5:$P$1004,MATCH(768,Firms!$R$5:$R$1004,0))&amp;"","")</f>
        <v/>
      </c>
      <c r="E772" s="58">
        <f>IFERROR(INDEX(Firms!$C$5:$C$1004,MATCH(768,Firms!$R$5:$R$1004,0))&amp;"","")</f>
        <v/>
      </c>
      <c r="F772" s="57">
        <f>IFERROR(INDEX(Firms!$L$5:$L$1004,MATCH(768,Firms!$R$5:$R$1004,0))&amp;"","")</f>
        <v/>
      </c>
      <c r="G772" s="57">
        <f>IFERROR(INDEX(Firms!$M$5:$M$1004,MATCH(768,Firms!$R$5:$R$1004,0))&amp;"","")</f>
        <v/>
      </c>
      <c r="H772" s="58">
        <f>IFERROR(INDEX(Firms!$Q$5:$Q$1004,MATCH(768,Firms!$R$5:$R$1004,0))&amp;"","")</f>
        <v/>
      </c>
    </row>
    <row r="773">
      <c r="A773" s="57">
        <f>IF(B773="","",769)</f>
        <v/>
      </c>
      <c r="B773" s="58">
        <f>IFERROR(INDEX(Firms!$A$5:$A$1004,MATCH(769,Firms!$R$5:$R$1004,0))&amp;"","")</f>
        <v/>
      </c>
      <c r="C773" s="59">
        <f>IFERROR(IF(INDEX(Firms!$O$5:$O$1004,MATCH(769,Firms!$R$5:$R$1004,0))="","",INDEX(Firms!$O$5:$O$1004,MATCH(769,Firms!$R$5:$R$1004,0))),"")</f>
        <v/>
      </c>
      <c r="D773" s="58">
        <f>IFERROR(INDEX(Firms!$P$5:$P$1004,MATCH(769,Firms!$R$5:$R$1004,0))&amp;"","")</f>
        <v/>
      </c>
      <c r="E773" s="58">
        <f>IFERROR(INDEX(Firms!$C$5:$C$1004,MATCH(769,Firms!$R$5:$R$1004,0))&amp;"","")</f>
        <v/>
      </c>
      <c r="F773" s="57">
        <f>IFERROR(INDEX(Firms!$L$5:$L$1004,MATCH(769,Firms!$R$5:$R$1004,0))&amp;"","")</f>
        <v/>
      </c>
      <c r="G773" s="57">
        <f>IFERROR(INDEX(Firms!$M$5:$M$1004,MATCH(769,Firms!$R$5:$R$1004,0))&amp;"","")</f>
        <v/>
      </c>
      <c r="H773" s="58">
        <f>IFERROR(INDEX(Firms!$Q$5:$Q$1004,MATCH(769,Firms!$R$5:$R$1004,0))&amp;"","")</f>
        <v/>
      </c>
    </row>
    <row r="774">
      <c r="A774" s="57">
        <f>IF(B774="","",770)</f>
        <v/>
      </c>
      <c r="B774" s="58">
        <f>IFERROR(INDEX(Firms!$A$5:$A$1004,MATCH(770,Firms!$R$5:$R$1004,0))&amp;"","")</f>
        <v/>
      </c>
      <c r="C774" s="59">
        <f>IFERROR(IF(INDEX(Firms!$O$5:$O$1004,MATCH(770,Firms!$R$5:$R$1004,0))="","",INDEX(Firms!$O$5:$O$1004,MATCH(770,Firms!$R$5:$R$1004,0))),"")</f>
        <v/>
      </c>
      <c r="D774" s="58">
        <f>IFERROR(INDEX(Firms!$P$5:$P$1004,MATCH(770,Firms!$R$5:$R$1004,0))&amp;"","")</f>
        <v/>
      </c>
      <c r="E774" s="58">
        <f>IFERROR(INDEX(Firms!$C$5:$C$1004,MATCH(770,Firms!$R$5:$R$1004,0))&amp;"","")</f>
        <v/>
      </c>
      <c r="F774" s="57">
        <f>IFERROR(INDEX(Firms!$L$5:$L$1004,MATCH(770,Firms!$R$5:$R$1004,0))&amp;"","")</f>
        <v/>
      </c>
      <c r="G774" s="57">
        <f>IFERROR(INDEX(Firms!$M$5:$M$1004,MATCH(770,Firms!$R$5:$R$1004,0))&amp;"","")</f>
        <v/>
      </c>
      <c r="H774" s="58">
        <f>IFERROR(INDEX(Firms!$Q$5:$Q$1004,MATCH(770,Firms!$R$5:$R$1004,0))&amp;"","")</f>
        <v/>
      </c>
    </row>
    <row r="775">
      <c r="A775" s="57">
        <f>IF(B775="","",771)</f>
        <v/>
      </c>
      <c r="B775" s="58">
        <f>IFERROR(INDEX(Firms!$A$5:$A$1004,MATCH(771,Firms!$R$5:$R$1004,0))&amp;"","")</f>
        <v/>
      </c>
      <c r="C775" s="59">
        <f>IFERROR(IF(INDEX(Firms!$O$5:$O$1004,MATCH(771,Firms!$R$5:$R$1004,0))="","",INDEX(Firms!$O$5:$O$1004,MATCH(771,Firms!$R$5:$R$1004,0))),"")</f>
        <v/>
      </c>
      <c r="D775" s="58">
        <f>IFERROR(INDEX(Firms!$P$5:$P$1004,MATCH(771,Firms!$R$5:$R$1004,0))&amp;"","")</f>
        <v/>
      </c>
      <c r="E775" s="58">
        <f>IFERROR(INDEX(Firms!$C$5:$C$1004,MATCH(771,Firms!$R$5:$R$1004,0))&amp;"","")</f>
        <v/>
      </c>
      <c r="F775" s="57">
        <f>IFERROR(INDEX(Firms!$L$5:$L$1004,MATCH(771,Firms!$R$5:$R$1004,0))&amp;"","")</f>
        <v/>
      </c>
      <c r="G775" s="57">
        <f>IFERROR(INDEX(Firms!$M$5:$M$1004,MATCH(771,Firms!$R$5:$R$1004,0))&amp;"","")</f>
        <v/>
      </c>
      <c r="H775" s="58">
        <f>IFERROR(INDEX(Firms!$Q$5:$Q$1004,MATCH(771,Firms!$R$5:$R$1004,0))&amp;"","")</f>
        <v/>
      </c>
    </row>
    <row r="776">
      <c r="A776" s="57">
        <f>IF(B776="","",772)</f>
        <v/>
      </c>
      <c r="B776" s="58">
        <f>IFERROR(INDEX(Firms!$A$5:$A$1004,MATCH(772,Firms!$R$5:$R$1004,0))&amp;"","")</f>
        <v/>
      </c>
      <c r="C776" s="59">
        <f>IFERROR(IF(INDEX(Firms!$O$5:$O$1004,MATCH(772,Firms!$R$5:$R$1004,0))="","",INDEX(Firms!$O$5:$O$1004,MATCH(772,Firms!$R$5:$R$1004,0))),"")</f>
        <v/>
      </c>
      <c r="D776" s="58">
        <f>IFERROR(INDEX(Firms!$P$5:$P$1004,MATCH(772,Firms!$R$5:$R$1004,0))&amp;"","")</f>
        <v/>
      </c>
      <c r="E776" s="58">
        <f>IFERROR(INDEX(Firms!$C$5:$C$1004,MATCH(772,Firms!$R$5:$R$1004,0))&amp;"","")</f>
        <v/>
      </c>
      <c r="F776" s="57">
        <f>IFERROR(INDEX(Firms!$L$5:$L$1004,MATCH(772,Firms!$R$5:$R$1004,0))&amp;"","")</f>
        <v/>
      </c>
      <c r="G776" s="57">
        <f>IFERROR(INDEX(Firms!$M$5:$M$1004,MATCH(772,Firms!$R$5:$R$1004,0))&amp;"","")</f>
        <v/>
      </c>
      <c r="H776" s="58">
        <f>IFERROR(INDEX(Firms!$Q$5:$Q$1004,MATCH(772,Firms!$R$5:$R$1004,0))&amp;"","")</f>
        <v/>
      </c>
    </row>
    <row r="777">
      <c r="A777" s="57">
        <f>IF(B777="","",773)</f>
        <v/>
      </c>
      <c r="B777" s="58">
        <f>IFERROR(INDEX(Firms!$A$5:$A$1004,MATCH(773,Firms!$R$5:$R$1004,0))&amp;"","")</f>
        <v/>
      </c>
      <c r="C777" s="59">
        <f>IFERROR(IF(INDEX(Firms!$O$5:$O$1004,MATCH(773,Firms!$R$5:$R$1004,0))="","",INDEX(Firms!$O$5:$O$1004,MATCH(773,Firms!$R$5:$R$1004,0))),"")</f>
        <v/>
      </c>
      <c r="D777" s="58">
        <f>IFERROR(INDEX(Firms!$P$5:$P$1004,MATCH(773,Firms!$R$5:$R$1004,0))&amp;"","")</f>
        <v/>
      </c>
      <c r="E777" s="58">
        <f>IFERROR(INDEX(Firms!$C$5:$C$1004,MATCH(773,Firms!$R$5:$R$1004,0))&amp;"","")</f>
        <v/>
      </c>
      <c r="F777" s="57">
        <f>IFERROR(INDEX(Firms!$L$5:$L$1004,MATCH(773,Firms!$R$5:$R$1004,0))&amp;"","")</f>
        <v/>
      </c>
      <c r="G777" s="57">
        <f>IFERROR(INDEX(Firms!$M$5:$M$1004,MATCH(773,Firms!$R$5:$R$1004,0))&amp;"","")</f>
        <v/>
      </c>
      <c r="H777" s="58">
        <f>IFERROR(INDEX(Firms!$Q$5:$Q$1004,MATCH(773,Firms!$R$5:$R$1004,0))&amp;"","")</f>
        <v/>
      </c>
    </row>
    <row r="778">
      <c r="A778" s="57">
        <f>IF(B778="","",774)</f>
        <v/>
      </c>
      <c r="B778" s="58">
        <f>IFERROR(INDEX(Firms!$A$5:$A$1004,MATCH(774,Firms!$R$5:$R$1004,0))&amp;"","")</f>
        <v/>
      </c>
      <c r="C778" s="59">
        <f>IFERROR(IF(INDEX(Firms!$O$5:$O$1004,MATCH(774,Firms!$R$5:$R$1004,0))="","",INDEX(Firms!$O$5:$O$1004,MATCH(774,Firms!$R$5:$R$1004,0))),"")</f>
        <v/>
      </c>
      <c r="D778" s="58">
        <f>IFERROR(INDEX(Firms!$P$5:$P$1004,MATCH(774,Firms!$R$5:$R$1004,0))&amp;"","")</f>
        <v/>
      </c>
      <c r="E778" s="58">
        <f>IFERROR(INDEX(Firms!$C$5:$C$1004,MATCH(774,Firms!$R$5:$R$1004,0))&amp;"","")</f>
        <v/>
      </c>
      <c r="F778" s="57">
        <f>IFERROR(INDEX(Firms!$L$5:$L$1004,MATCH(774,Firms!$R$5:$R$1004,0))&amp;"","")</f>
        <v/>
      </c>
      <c r="G778" s="57">
        <f>IFERROR(INDEX(Firms!$M$5:$M$1004,MATCH(774,Firms!$R$5:$R$1004,0))&amp;"","")</f>
        <v/>
      </c>
      <c r="H778" s="58">
        <f>IFERROR(INDEX(Firms!$Q$5:$Q$1004,MATCH(774,Firms!$R$5:$R$1004,0))&amp;"","")</f>
        <v/>
      </c>
    </row>
    <row r="779">
      <c r="A779" s="57">
        <f>IF(B779="","",775)</f>
        <v/>
      </c>
      <c r="B779" s="58">
        <f>IFERROR(INDEX(Firms!$A$5:$A$1004,MATCH(775,Firms!$R$5:$R$1004,0))&amp;"","")</f>
        <v/>
      </c>
      <c r="C779" s="59">
        <f>IFERROR(IF(INDEX(Firms!$O$5:$O$1004,MATCH(775,Firms!$R$5:$R$1004,0))="","",INDEX(Firms!$O$5:$O$1004,MATCH(775,Firms!$R$5:$R$1004,0))),"")</f>
        <v/>
      </c>
      <c r="D779" s="58">
        <f>IFERROR(INDEX(Firms!$P$5:$P$1004,MATCH(775,Firms!$R$5:$R$1004,0))&amp;"","")</f>
        <v/>
      </c>
      <c r="E779" s="58">
        <f>IFERROR(INDEX(Firms!$C$5:$C$1004,MATCH(775,Firms!$R$5:$R$1004,0))&amp;"","")</f>
        <v/>
      </c>
      <c r="F779" s="57">
        <f>IFERROR(INDEX(Firms!$L$5:$L$1004,MATCH(775,Firms!$R$5:$R$1004,0))&amp;"","")</f>
        <v/>
      </c>
      <c r="G779" s="57">
        <f>IFERROR(INDEX(Firms!$M$5:$M$1004,MATCH(775,Firms!$R$5:$R$1004,0))&amp;"","")</f>
        <v/>
      </c>
      <c r="H779" s="58">
        <f>IFERROR(INDEX(Firms!$Q$5:$Q$1004,MATCH(775,Firms!$R$5:$R$1004,0))&amp;"","")</f>
        <v/>
      </c>
    </row>
    <row r="780">
      <c r="A780" s="57">
        <f>IF(B780="","",776)</f>
        <v/>
      </c>
      <c r="B780" s="58">
        <f>IFERROR(INDEX(Firms!$A$5:$A$1004,MATCH(776,Firms!$R$5:$R$1004,0))&amp;"","")</f>
        <v/>
      </c>
      <c r="C780" s="59">
        <f>IFERROR(IF(INDEX(Firms!$O$5:$O$1004,MATCH(776,Firms!$R$5:$R$1004,0))="","",INDEX(Firms!$O$5:$O$1004,MATCH(776,Firms!$R$5:$R$1004,0))),"")</f>
        <v/>
      </c>
      <c r="D780" s="58">
        <f>IFERROR(INDEX(Firms!$P$5:$P$1004,MATCH(776,Firms!$R$5:$R$1004,0))&amp;"","")</f>
        <v/>
      </c>
      <c r="E780" s="58">
        <f>IFERROR(INDEX(Firms!$C$5:$C$1004,MATCH(776,Firms!$R$5:$R$1004,0))&amp;"","")</f>
        <v/>
      </c>
      <c r="F780" s="57">
        <f>IFERROR(INDEX(Firms!$L$5:$L$1004,MATCH(776,Firms!$R$5:$R$1004,0))&amp;"","")</f>
        <v/>
      </c>
      <c r="G780" s="57">
        <f>IFERROR(INDEX(Firms!$M$5:$M$1004,MATCH(776,Firms!$R$5:$R$1004,0))&amp;"","")</f>
        <v/>
      </c>
      <c r="H780" s="58">
        <f>IFERROR(INDEX(Firms!$Q$5:$Q$1004,MATCH(776,Firms!$R$5:$R$1004,0))&amp;"","")</f>
        <v/>
      </c>
    </row>
    <row r="781">
      <c r="A781" s="57">
        <f>IF(B781="","",777)</f>
        <v/>
      </c>
      <c r="B781" s="58">
        <f>IFERROR(INDEX(Firms!$A$5:$A$1004,MATCH(777,Firms!$R$5:$R$1004,0))&amp;"","")</f>
        <v/>
      </c>
      <c r="C781" s="59">
        <f>IFERROR(IF(INDEX(Firms!$O$5:$O$1004,MATCH(777,Firms!$R$5:$R$1004,0))="","",INDEX(Firms!$O$5:$O$1004,MATCH(777,Firms!$R$5:$R$1004,0))),"")</f>
        <v/>
      </c>
      <c r="D781" s="58">
        <f>IFERROR(INDEX(Firms!$P$5:$P$1004,MATCH(777,Firms!$R$5:$R$1004,0))&amp;"","")</f>
        <v/>
      </c>
      <c r="E781" s="58">
        <f>IFERROR(INDEX(Firms!$C$5:$C$1004,MATCH(777,Firms!$R$5:$R$1004,0))&amp;"","")</f>
        <v/>
      </c>
      <c r="F781" s="57">
        <f>IFERROR(INDEX(Firms!$L$5:$L$1004,MATCH(777,Firms!$R$5:$R$1004,0))&amp;"","")</f>
        <v/>
      </c>
      <c r="G781" s="57">
        <f>IFERROR(INDEX(Firms!$M$5:$M$1004,MATCH(777,Firms!$R$5:$R$1004,0))&amp;"","")</f>
        <v/>
      </c>
      <c r="H781" s="58">
        <f>IFERROR(INDEX(Firms!$Q$5:$Q$1004,MATCH(777,Firms!$R$5:$R$1004,0))&amp;"","")</f>
        <v/>
      </c>
    </row>
    <row r="782">
      <c r="A782" s="57">
        <f>IF(B782="","",778)</f>
        <v/>
      </c>
      <c r="B782" s="58">
        <f>IFERROR(INDEX(Firms!$A$5:$A$1004,MATCH(778,Firms!$R$5:$R$1004,0))&amp;"","")</f>
        <v/>
      </c>
      <c r="C782" s="59">
        <f>IFERROR(IF(INDEX(Firms!$O$5:$O$1004,MATCH(778,Firms!$R$5:$R$1004,0))="","",INDEX(Firms!$O$5:$O$1004,MATCH(778,Firms!$R$5:$R$1004,0))),"")</f>
        <v/>
      </c>
      <c r="D782" s="58">
        <f>IFERROR(INDEX(Firms!$P$5:$P$1004,MATCH(778,Firms!$R$5:$R$1004,0))&amp;"","")</f>
        <v/>
      </c>
      <c r="E782" s="58">
        <f>IFERROR(INDEX(Firms!$C$5:$C$1004,MATCH(778,Firms!$R$5:$R$1004,0))&amp;"","")</f>
        <v/>
      </c>
      <c r="F782" s="57">
        <f>IFERROR(INDEX(Firms!$L$5:$L$1004,MATCH(778,Firms!$R$5:$R$1004,0))&amp;"","")</f>
        <v/>
      </c>
      <c r="G782" s="57">
        <f>IFERROR(INDEX(Firms!$M$5:$M$1004,MATCH(778,Firms!$R$5:$R$1004,0))&amp;"","")</f>
        <v/>
      </c>
      <c r="H782" s="58">
        <f>IFERROR(INDEX(Firms!$Q$5:$Q$1004,MATCH(778,Firms!$R$5:$R$1004,0))&amp;"","")</f>
        <v/>
      </c>
    </row>
    <row r="783">
      <c r="A783" s="57">
        <f>IF(B783="","",779)</f>
        <v/>
      </c>
      <c r="B783" s="58">
        <f>IFERROR(INDEX(Firms!$A$5:$A$1004,MATCH(779,Firms!$R$5:$R$1004,0))&amp;"","")</f>
        <v/>
      </c>
      <c r="C783" s="59">
        <f>IFERROR(IF(INDEX(Firms!$O$5:$O$1004,MATCH(779,Firms!$R$5:$R$1004,0))="","",INDEX(Firms!$O$5:$O$1004,MATCH(779,Firms!$R$5:$R$1004,0))),"")</f>
        <v/>
      </c>
      <c r="D783" s="58">
        <f>IFERROR(INDEX(Firms!$P$5:$P$1004,MATCH(779,Firms!$R$5:$R$1004,0))&amp;"","")</f>
        <v/>
      </c>
      <c r="E783" s="58">
        <f>IFERROR(INDEX(Firms!$C$5:$C$1004,MATCH(779,Firms!$R$5:$R$1004,0))&amp;"","")</f>
        <v/>
      </c>
      <c r="F783" s="57">
        <f>IFERROR(INDEX(Firms!$L$5:$L$1004,MATCH(779,Firms!$R$5:$R$1004,0))&amp;"","")</f>
        <v/>
      </c>
      <c r="G783" s="57">
        <f>IFERROR(INDEX(Firms!$M$5:$M$1004,MATCH(779,Firms!$R$5:$R$1004,0))&amp;"","")</f>
        <v/>
      </c>
      <c r="H783" s="58">
        <f>IFERROR(INDEX(Firms!$Q$5:$Q$1004,MATCH(779,Firms!$R$5:$R$1004,0))&amp;"","")</f>
        <v/>
      </c>
    </row>
    <row r="784">
      <c r="A784" s="57">
        <f>IF(B784="","",780)</f>
        <v/>
      </c>
      <c r="B784" s="58">
        <f>IFERROR(INDEX(Firms!$A$5:$A$1004,MATCH(780,Firms!$R$5:$R$1004,0))&amp;"","")</f>
        <v/>
      </c>
      <c r="C784" s="59">
        <f>IFERROR(IF(INDEX(Firms!$O$5:$O$1004,MATCH(780,Firms!$R$5:$R$1004,0))="","",INDEX(Firms!$O$5:$O$1004,MATCH(780,Firms!$R$5:$R$1004,0))),"")</f>
        <v/>
      </c>
      <c r="D784" s="58">
        <f>IFERROR(INDEX(Firms!$P$5:$P$1004,MATCH(780,Firms!$R$5:$R$1004,0))&amp;"","")</f>
        <v/>
      </c>
      <c r="E784" s="58">
        <f>IFERROR(INDEX(Firms!$C$5:$C$1004,MATCH(780,Firms!$R$5:$R$1004,0))&amp;"","")</f>
        <v/>
      </c>
      <c r="F784" s="57">
        <f>IFERROR(INDEX(Firms!$L$5:$L$1004,MATCH(780,Firms!$R$5:$R$1004,0))&amp;"","")</f>
        <v/>
      </c>
      <c r="G784" s="57">
        <f>IFERROR(INDEX(Firms!$M$5:$M$1004,MATCH(780,Firms!$R$5:$R$1004,0))&amp;"","")</f>
        <v/>
      </c>
      <c r="H784" s="58">
        <f>IFERROR(INDEX(Firms!$Q$5:$Q$1004,MATCH(780,Firms!$R$5:$R$1004,0))&amp;"","")</f>
        <v/>
      </c>
    </row>
    <row r="785">
      <c r="A785" s="57">
        <f>IF(B785="","",781)</f>
        <v/>
      </c>
      <c r="B785" s="58">
        <f>IFERROR(INDEX(Firms!$A$5:$A$1004,MATCH(781,Firms!$R$5:$R$1004,0))&amp;"","")</f>
        <v/>
      </c>
      <c r="C785" s="59">
        <f>IFERROR(IF(INDEX(Firms!$O$5:$O$1004,MATCH(781,Firms!$R$5:$R$1004,0))="","",INDEX(Firms!$O$5:$O$1004,MATCH(781,Firms!$R$5:$R$1004,0))),"")</f>
        <v/>
      </c>
      <c r="D785" s="58">
        <f>IFERROR(INDEX(Firms!$P$5:$P$1004,MATCH(781,Firms!$R$5:$R$1004,0))&amp;"","")</f>
        <v/>
      </c>
      <c r="E785" s="58">
        <f>IFERROR(INDEX(Firms!$C$5:$C$1004,MATCH(781,Firms!$R$5:$R$1004,0))&amp;"","")</f>
        <v/>
      </c>
      <c r="F785" s="57">
        <f>IFERROR(INDEX(Firms!$L$5:$L$1004,MATCH(781,Firms!$R$5:$R$1004,0))&amp;"","")</f>
        <v/>
      </c>
      <c r="G785" s="57">
        <f>IFERROR(INDEX(Firms!$M$5:$M$1004,MATCH(781,Firms!$R$5:$R$1004,0))&amp;"","")</f>
        <v/>
      </c>
      <c r="H785" s="58">
        <f>IFERROR(INDEX(Firms!$Q$5:$Q$1004,MATCH(781,Firms!$R$5:$R$1004,0))&amp;"","")</f>
        <v/>
      </c>
    </row>
    <row r="786">
      <c r="A786" s="57">
        <f>IF(B786="","",782)</f>
        <v/>
      </c>
      <c r="B786" s="58">
        <f>IFERROR(INDEX(Firms!$A$5:$A$1004,MATCH(782,Firms!$R$5:$R$1004,0))&amp;"","")</f>
        <v/>
      </c>
      <c r="C786" s="59">
        <f>IFERROR(IF(INDEX(Firms!$O$5:$O$1004,MATCH(782,Firms!$R$5:$R$1004,0))="","",INDEX(Firms!$O$5:$O$1004,MATCH(782,Firms!$R$5:$R$1004,0))),"")</f>
        <v/>
      </c>
      <c r="D786" s="58">
        <f>IFERROR(INDEX(Firms!$P$5:$P$1004,MATCH(782,Firms!$R$5:$R$1004,0))&amp;"","")</f>
        <v/>
      </c>
      <c r="E786" s="58">
        <f>IFERROR(INDEX(Firms!$C$5:$C$1004,MATCH(782,Firms!$R$5:$R$1004,0))&amp;"","")</f>
        <v/>
      </c>
      <c r="F786" s="57">
        <f>IFERROR(INDEX(Firms!$L$5:$L$1004,MATCH(782,Firms!$R$5:$R$1004,0))&amp;"","")</f>
        <v/>
      </c>
      <c r="G786" s="57">
        <f>IFERROR(INDEX(Firms!$M$5:$M$1004,MATCH(782,Firms!$R$5:$R$1004,0))&amp;"","")</f>
        <v/>
      </c>
      <c r="H786" s="58">
        <f>IFERROR(INDEX(Firms!$Q$5:$Q$1004,MATCH(782,Firms!$R$5:$R$1004,0))&amp;"","")</f>
        <v/>
      </c>
    </row>
    <row r="787">
      <c r="A787" s="57">
        <f>IF(B787="","",783)</f>
        <v/>
      </c>
      <c r="B787" s="58">
        <f>IFERROR(INDEX(Firms!$A$5:$A$1004,MATCH(783,Firms!$R$5:$R$1004,0))&amp;"","")</f>
        <v/>
      </c>
      <c r="C787" s="59">
        <f>IFERROR(IF(INDEX(Firms!$O$5:$O$1004,MATCH(783,Firms!$R$5:$R$1004,0))="","",INDEX(Firms!$O$5:$O$1004,MATCH(783,Firms!$R$5:$R$1004,0))),"")</f>
        <v/>
      </c>
      <c r="D787" s="58">
        <f>IFERROR(INDEX(Firms!$P$5:$P$1004,MATCH(783,Firms!$R$5:$R$1004,0))&amp;"","")</f>
        <v/>
      </c>
      <c r="E787" s="58">
        <f>IFERROR(INDEX(Firms!$C$5:$C$1004,MATCH(783,Firms!$R$5:$R$1004,0))&amp;"","")</f>
        <v/>
      </c>
      <c r="F787" s="57">
        <f>IFERROR(INDEX(Firms!$L$5:$L$1004,MATCH(783,Firms!$R$5:$R$1004,0))&amp;"","")</f>
        <v/>
      </c>
      <c r="G787" s="57">
        <f>IFERROR(INDEX(Firms!$M$5:$M$1004,MATCH(783,Firms!$R$5:$R$1004,0))&amp;"","")</f>
        <v/>
      </c>
      <c r="H787" s="58">
        <f>IFERROR(INDEX(Firms!$Q$5:$Q$1004,MATCH(783,Firms!$R$5:$R$1004,0))&amp;"","")</f>
        <v/>
      </c>
    </row>
    <row r="788">
      <c r="A788" s="57">
        <f>IF(B788="","",784)</f>
        <v/>
      </c>
      <c r="B788" s="58">
        <f>IFERROR(INDEX(Firms!$A$5:$A$1004,MATCH(784,Firms!$R$5:$R$1004,0))&amp;"","")</f>
        <v/>
      </c>
      <c r="C788" s="59">
        <f>IFERROR(IF(INDEX(Firms!$O$5:$O$1004,MATCH(784,Firms!$R$5:$R$1004,0))="","",INDEX(Firms!$O$5:$O$1004,MATCH(784,Firms!$R$5:$R$1004,0))),"")</f>
        <v/>
      </c>
      <c r="D788" s="58">
        <f>IFERROR(INDEX(Firms!$P$5:$P$1004,MATCH(784,Firms!$R$5:$R$1004,0))&amp;"","")</f>
        <v/>
      </c>
      <c r="E788" s="58">
        <f>IFERROR(INDEX(Firms!$C$5:$C$1004,MATCH(784,Firms!$R$5:$R$1004,0))&amp;"","")</f>
        <v/>
      </c>
      <c r="F788" s="57">
        <f>IFERROR(INDEX(Firms!$L$5:$L$1004,MATCH(784,Firms!$R$5:$R$1004,0))&amp;"","")</f>
        <v/>
      </c>
      <c r="G788" s="57">
        <f>IFERROR(INDEX(Firms!$M$5:$M$1004,MATCH(784,Firms!$R$5:$R$1004,0))&amp;"","")</f>
        <v/>
      </c>
      <c r="H788" s="58">
        <f>IFERROR(INDEX(Firms!$Q$5:$Q$1004,MATCH(784,Firms!$R$5:$R$1004,0))&amp;"","")</f>
        <v/>
      </c>
    </row>
    <row r="789">
      <c r="A789" s="57">
        <f>IF(B789="","",785)</f>
        <v/>
      </c>
      <c r="B789" s="58">
        <f>IFERROR(INDEX(Firms!$A$5:$A$1004,MATCH(785,Firms!$R$5:$R$1004,0))&amp;"","")</f>
        <v/>
      </c>
      <c r="C789" s="59">
        <f>IFERROR(IF(INDEX(Firms!$O$5:$O$1004,MATCH(785,Firms!$R$5:$R$1004,0))="","",INDEX(Firms!$O$5:$O$1004,MATCH(785,Firms!$R$5:$R$1004,0))),"")</f>
        <v/>
      </c>
      <c r="D789" s="58">
        <f>IFERROR(INDEX(Firms!$P$5:$P$1004,MATCH(785,Firms!$R$5:$R$1004,0))&amp;"","")</f>
        <v/>
      </c>
      <c r="E789" s="58">
        <f>IFERROR(INDEX(Firms!$C$5:$C$1004,MATCH(785,Firms!$R$5:$R$1004,0))&amp;"","")</f>
        <v/>
      </c>
      <c r="F789" s="57">
        <f>IFERROR(INDEX(Firms!$L$5:$L$1004,MATCH(785,Firms!$R$5:$R$1004,0))&amp;"","")</f>
        <v/>
      </c>
      <c r="G789" s="57">
        <f>IFERROR(INDEX(Firms!$M$5:$M$1004,MATCH(785,Firms!$R$5:$R$1004,0))&amp;"","")</f>
        <v/>
      </c>
      <c r="H789" s="58">
        <f>IFERROR(INDEX(Firms!$Q$5:$Q$1004,MATCH(785,Firms!$R$5:$R$1004,0))&amp;"","")</f>
        <v/>
      </c>
    </row>
    <row r="790">
      <c r="A790" s="57">
        <f>IF(B790="","",786)</f>
        <v/>
      </c>
      <c r="B790" s="58">
        <f>IFERROR(INDEX(Firms!$A$5:$A$1004,MATCH(786,Firms!$R$5:$R$1004,0))&amp;"","")</f>
        <v/>
      </c>
      <c r="C790" s="59">
        <f>IFERROR(IF(INDEX(Firms!$O$5:$O$1004,MATCH(786,Firms!$R$5:$R$1004,0))="","",INDEX(Firms!$O$5:$O$1004,MATCH(786,Firms!$R$5:$R$1004,0))),"")</f>
        <v/>
      </c>
      <c r="D790" s="58">
        <f>IFERROR(INDEX(Firms!$P$5:$P$1004,MATCH(786,Firms!$R$5:$R$1004,0))&amp;"","")</f>
        <v/>
      </c>
      <c r="E790" s="58">
        <f>IFERROR(INDEX(Firms!$C$5:$C$1004,MATCH(786,Firms!$R$5:$R$1004,0))&amp;"","")</f>
        <v/>
      </c>
      <c r="F790" s="57">
        <f>IFERROR(INDEX(Firms!$L$5:$L$1004,MATCH(786,Firms!$R$5:$R$1004,0))&amp;"","")</f>
        <v/>
      </c>
      <c r="G790" s="57">
        <f>IFERROR(INDEX(Firms!$M$5:$M$1004,MATCH(786,Firms!$R$5:$R$1004,0))&amp;"","")</f>
        <v/>
      </c>
      <c r="H790" s="58">
        <f>IFERROR(INDEX(Firms!$Q$5:$Q$1004,MATCH(786,Firms!$R$5:$R$1004,0))&amp;"","")</f>
        <v/>
      </c>
    </row>
    <row r="791">
      <c r="A791" s="57">
        <f>IF(B791="","",787)</f>
        <v/>
      </c>
      <c r="B791" s="58">
        <f>IFERROR(INDEX(Firms!$A$5:$A$1004,MATCH(787,Firms!$R$5:$R$1004,0))&amp;"","")</f>
        <v/>
      </c>
      <c r="C791" s="59">
        <f>IFERROR(IF(INDEX(Firms!$O$5:$O$1004,MATCH(787,Firms!$R$5:$R$1004,0))="","",INDEX(Firms!$O$5:$O$1004,MATCH(787,Firms!$R$5:$R$1004,0))),"")</f>
        <v/>
      </c>
      <c r="D791" s="58">
        <f>IFERROR(INDEX(Firms!$P$5:$P$1004,MATCH(787,Firms!$R$5:$R$1004,0))&amp;"","")</f>
        <v/>
      </c>
      <c r="E791" s="58">
        <f>IFERROR(INDEX(Firms!$C$5:$C$1004,MATCH(787,Firms!$R$5:$R$1004,0))&amp;"","")</f>
        <v/>
      </c>
      <c r="F791" s="57">
        <f>IFERROR(INDEX(Firms!$L$5:$L$1004,MATCH(787,Firms!$R$5:$R$1004,0))&amp;"","")</f>
        <v/>
      </c>
      <c r="G791" s="57">
        <f>IFERROR(INDEX(Firms!$M$5:$M$1004,MATCH(787,Firms!$R$5:$R$1004,0))&amp;"","")</f>
        <v/>
      </c>
      <c r="H791" s="58">
        <f>IFERROR(INDEX(Firms!$Q$5:$Q$1004,MATCH(787,Firms!$R$5:$R$1004,0))&amp;"","")</f>
        <v/>
      </c>
    </row>
    <row r="792">
      <c r="A792" s="57">
        <f>IF(B792="","",788)</f>
        <v/>
      </c>
      <c r="B792" s="58">
        <f>IFERROR(INDEX(Firms!$A$5:$A$1004,MATCH(788,Firms!$R$5:$R$1004,0))&amp;"","")</f>
        <v/>
      </c>
      <c r="C792" s="59">
        <f>IFERROR(IF(INDEX(Firms!$O$5:$O$1004,MATCH(788,Firms!$R$5:$R$1004,0))="","",INDEX(Firms!$O$5:$O$1004,MATCH(788,Firms!$R$5:$R$1004,0))),"")</f>
        <v/>
      </c>
      <c r="D792" s="58">
        <f>IFERROR(INDEX(Firms!$P$5:$P$1004,MATCH(788,Firms!$R$5:$R$1004,0))&amp;"","")</f>
        <v/>
      </c>
      <c r="E792" s="58">
        <f>IFERROR(INDEX(Firms!$C$5:$C$1004,MATCH(788,Firms!$R$5:$R$1004,0))&amp;"","")</f>
        <v/>
      </c>
      <c r="F792" s="57">
        <f>IFERROR(INDEX(Firms!$L$5:$L$1004,MATCH(788,Firms!$R$5:$R$1004,0))&amp;"","")</f>
        <v/>
      </c>
      <c r="G792" s="57">
        <f>IFERROR(INDEX(Firms!$M$5:$M$1004,MATCH(788,Firms!$R$5:$R$1004,0))&amp;"","")</f>
        <v/>
      </c>
      <c r="H792" s="58">
        <f>IFERROR(INDEX(Firms!$Q$5:$Q$1004,MATCH(788,Firms!$R$5:$R$1004,0))&amp;"","")</f>
        <v/>
      </c>
    </row>
    <row r="793">
      <c r="A793" s="57">
        <f>IF(B793="","",789)</f>
        <v/>
      </c>
      <c r="B793" s="58">
        <f>IFERROR(INDEX(Firms!$A$5:$A$1004,MATCH(789,Firms!$R$5:$R$1004,0))&amp;"","")</f>
        <v/>
      </c>
      <c r="C793" s="59">
        <f>IFERROR(IF(INDEX(Firms!$O$5:$O$1004,MATCH(789,Firms!$R$5:$R$1004,0))="","",INDEX(Firms!$O$5:$O$1004,MATCH(789,Firms!$R$5:$R$1004,0))),"")</f>
        <v/>
      </c>
      <c r="D793" s="58">
        <f>IFERROR(INDEX(Firms!$P$5:$P$1004,MATCH(789,Firms!$R$5:$R$1004,0))&amp;"","")</f>
        <v/>
      </c>
      <c r="E793" s="58">
        <f>IFERROR(INDEX(Firms!$C$5:$C$1004,MATCH(789,Firms!$R$5:$R$1004,0))&amp;"","")</f>
        <v/>
      </c>
      <c r="F793" s="57">
        <f>IFERROR(INDEX(Firms!$L$5:$L$1004,MATCH(789,Firms!$R$5:$R$1004,0))&amp;"","")</f>
        <v/>
      </c>
      <c r="G793" s="57">
        <f>IFERROR(INDEX(Firms!$M$5:$M$1004,MATCH(789,Firms!$R$5:$R$1004,0))&amp;"","")</f>
        <v/>
      </c>
      <c r="H793" s="58">
        <f>IFERROR(INDEX(Firms!$Q$5:$Q$1004,MATCH(789,Firms!$R$5:$R$1004,0))&amp;"","")</f>
        <v/>
      </c>
    </row>
    <row r="794">
      <c r="A794" s="57">
        <f>IF(B794="","",790)</f>
        <v/>
      </c>
      <c r="B794" s="58">
        <f>IFERROR(INDEX(Firms!$A$5:$A$1004,MATCH(790,Firms!$R$5:$R$1004,0))&amp;"","")</f>
        <v/>
      </c>
      <c r="C794" s="59">
        <f>IFERROR(IF(INDEX(Firms!$O$5:$O$1004,MATCH(790,Firms!$R$5:$R$1004,0))="","",INDEX(Firms!$O$5:$O$1004,MATCH(790,Firms!$R$5:$R$1004,0))),"")</f>
        <v/>
      </c>
      <c r="D794" s="58">
        <f>IFERROR(INDEX(Firms!$P$5:$P$1004,MATCH(790,Firms!$R$5:$R$1004,0))&amp;"","")</f>
        <v/>
      </c>
      <c r="E794" s="58">
        <f>IFERROR(INDEX(Firms!$C$5:$C$1004,MATCH(790,Firms!$R$5:$R$1004,0))&amp;"","")</f>
        <v/>
      </c>
      <c r="F794" s="57">
        <f>IFERROR(INDEX(Firms!$L$5:$L$1004,MATCH(790,Firms!$R$5:$R$1004,0))&amp;"","")</f>
        <v/>
      </c>
      <c r="G794" s="57">
        <f>IFERROR(INDEX(Firms!$M$5:$M$1004,MATCH(790,Firms!$R$5:$R$1004,0))&amp;"","")</f>
        <v/>
      </c>
      <c r="H794" s="58">
        <f>IFERROR(INDEX(Firms!$Q$5:$Q$1004,MATCH(790,Firms!$R$5:$R$1004,0))&amp;"","")</f>
        <v/>
      </c>
    </row>
    <row r="795">
      <c r="A795" s="57">
        <f>IF(B795="","",791)</f>
        <v/>
      </c>
      <c r="B795" s="58">
        <f>IFERROR(INDEX(Firms!$A$5:$A$1004,MATCH(791,Firms!$R$5:$R$1004,0))&amp;"","")</f>
        <v/>
      </c>
      <c r="C795" s="59">
        <f>IFERROR(IF(INDEX(Firms!$O$5:$O$1004,MATCH(791,Firms!$R$5:$R$1004,0))="","",INDEX(Firms!$O$5:$O$1004,MATCH(791,Firms!$R$5:$R$1004,0))),"")</f>
        <v/>
      </c>
      <c r="D795" s="58">
        <f>IFERROR(INDEX(Firms!$P$5:$P$1004,MATCH(791,Firms!$R$5:$R$1004,0))&amp;"","")</f>
        <v/>
      </c>
      <c r="E795" s="58">
        <f>IFERROR(INDEX(Firms!$C$5:$C$1004,MATCH(791,Firms!$R$5:$R$1004,0))&amp;"","")</f>
        <v/>
      </c>
      <c r="F795" s="57">
        <f>IFERROR(INDEX(Firms!$L$5:$L$1004,MATCH(791,Firms!$R$5:$R$1004,0))&amp;"","")</f>
        <v/>
      </c>
      <c r="G795" s="57">
        <f>IFERROR(INDEX(Firms!$M$5:$M$1004,MATCH(791,Firms!$R$5:$R$1004,0))&amp;"","")</f>
        <v/>
      </c>
      <c r="H795" s="58">
        <f>IFERROR(INDEX(Firms!$Q$5:$Q$1004,MATCH(791,Firms!$R$5:$R$1004,0))&amp;"","")</f>
        <v/>
      </c>
    </row>
    <row r="796">
      <c r="A796" s="57">
        <f>IF(B796="","",792)</f>
        <v/>
      </c>
      <c r="B796" s="58">
        <f>IFERROR(INDEX(Firms!$A$5:$A$1004,MATCH(792,Firms!$R$5:$R$1004,0))&amp;"","")</f>
        <v/>
      </c>
      <c r="C796" s="59">
        <f>IFERROR(IF(INDEX(Firms!$O$5:$O$1004,MATCH(792,Firms!$R$5:$R$1004,0))="","",INDEX(Firms!$O$5:$O$1004,MATCH(792,Firms!$R$5:$R$1004,0))),"")</f>
        <v/>
      </c>
      <c r="D796" s="58">
        <f>IFERROR(INDEX(Firms!$P$5:$P$1004,MATCH(792,Firms!$R$5:$R$1004,0))&amp;"","")</f>
        <v/>
      </c>
      <c r="E796" s="58">
        <f>IFERROR(INDEX(Firms!$C$5:$C$1004,MATCH(792,Firms!$R$5:$R$1004,0))&amp;"","")</f>
        <v/>
      </c>
      <c r="F796" s="57">
        <f>IFERROR(INDEX(Firms!$L$5:$L$1004,MATCH(792,Firms!$R$5:$R$1004,0))&amp;"","")</f>
        <v/>
      </c>
      <c r="G796" s="57">
        <f>IFERROR(INDEX(Firms!$M$5:$M$1004,MATCH(792,Firms!$R$5:$R$1004,0))&amp;"","")</f>
        <v/>
      </c>
      <c r="H796" s="58">
        <f>IFERROR(INDEX(Firms!$Q$5:$Q$1004,MATCH(792,Firms!$R$5:$R$1004,0))&amp;"","")</f>
        <v/>
      </c>
    </row>
    <row r="797">
      <c r="A797" s="57">
        <f>IF(B797="","",793)</f>
        <v/>
      </c>
      <c r="B797" s="58">
        <f>IFERROR(INDEX(Firms!$A$5:$A$1004,MATCH(793,Firms!$R$5:$R$1004,0))&amp;"","")</f>
        <v/>
      </c>
      <c r="C797" s="59">
        <f>IFERROR(IF(INDEX(Firms!$O$5:$O$1004,MATCH(793,Firms!$R$5:$R$1004,0))="","",INDEX(Firms!$O$5:$O$1004,MATCH(793,Firms!$R$5:$R$1004,0))),"")</f>
        <v/>
      </c>
      <c r="D797" s="58">
        <f>IFERROR(INDEX(Firms!$P$5:$P$1004,MATCH(793,Firms!$R$5:$R$1004,0))&amp;"","")</f>
        <v/>
      </c>
      <c r="E797" s="58">
        <f>IFERROR(INDEX(Firms!$C$5:$C$1004,MATCH(793,Firms!$R$5:$R$1004,0))&amp;"","")</f>
        <v/>
      </c>
      <c r="F797" s="57">
        <f>IFERROR(INDEX(Firms!$L$5:$L$1004,MATCH(793,Firms!$R$5:$R$1004,0))&amp;"","")</f>
        <v/>
      </c>
      <c r="G797" s="57">
        <f>IFERROR(INDEX(Firms!$M$5:$M$1004,MATCH(793,Firms!$R$5:$R$1004,0))&amp;"","")</f>
        <v/>
      </c>
      <c r="H797" s="58">
        <f>IFERROR(INDEX(Firms!$Q$5:$Q$1004,MATCH(793,Firms!$R$5:$R$1004,0))&amp;"","")</f>
        <v/>
      </c>
    </row>
    <row r="798">
      <c r="A798" s="57">
        <f>IF(B798="","",794)</f>
        <v/>
      </c>
      <c r="B798" s="58">
        <f>IFERROR(INDEX(Firms!$A$5:$A$1004,MATCH(794,Firms!$R$5:$R$1004,0))&amp;"","")</f>
        <v/>
      </c>
      <c r="C798" s="59">
        <f>IFERROR(IF(INDEX(Firms!$O$5:$O$1004,MATCH(794,Firms!$R$5:$R$1004,0))="","",INDEX(Firms!$O$5:$O$1004,MATCH(794,Firms!$R$5:$R$1004,0))),"")</f>
        <v/>
      </c>
      <c r="D798" s="58">
        <f>IFERROR(INDEX(Firms!$P$5:$P$1004,MATCH(794,Firms!$R$5:$R$1004,0))&amp;"","")</f>
        <v/>
      </c>
      <c r="E798" s="58">
        <f>IFERROR(INDEX(Firms!$C$5:$C$1004,MATCH(794,Firms!$R$5:$R$1004,0))&amp;"","")</f>
        <v/>
      </c>
      <c r="F798" s="57">
        <f>IFERROR(INDEX(Firms!$L$5:$L$1004,MATCH(794,Firms!$R$5:$R$1004,0))&amp;"","")</f>
        <v/>
      </c>
      <c r="G798" s="57">
        <f>IFERROR(INDEX(Firms!$M$5:$M$1004,MATCH(794,Firms!$R$5:$R$1004,0))&amp;"","")</f>
        <v/>
      </c>
      <c r="H798" s="58">
        <f>IFERROR(INDEX(Firms!$Q$5:$Q$1004,MATCH(794,Firms!$R$5:$R$1004,0))&amp;"","")</f>
        <v/>
      </c>
    </row>
    <row r="799">
      <c r="A799" s="57">
        <f>IF(B799="","",795)</f>
        <v/>
      </c>
      <c r="B799" s="58">
        <f>IFERROR(INDEX(Firms!$A$5:$A$1004,MATCH(795,Firms!$R$5:$R$1004,0))&amp;"","")</f>
        <v/>
      </c>
      <c r="C799" s="59">
        <f>IFERROR(IF(INDEX(Firms!$O$5:$O$1004,MATCH(795,Firms!$R$5:$R$1004,0))="","",INDEX(Firms!$O$5:$O$1004,MATCH(795,Firms!$R$5:$R$1004,0))),"")</f>
        <v/>
      </c>
      <c r="D799" s="58">
        <f>IFERROR(INDEX(Firms!$P$5:$P$1004,MATCH(795,Firms!$R$5:$R$1004,0))&amp;"","")</f>
        <v/>
      </c>
      <c r="E799" s="58">
        <f>IFERROR(INDEX(Firms!$C$5:$C$1004,MATCH(795,Firms!$R$5:$R$1004,0))&amp;"","")</f>
        <v/>
      </c>
      <c r="F799" s="57">
        <f>IFERROR(INDEX(Firms!$L$5:$L$1004,MATCH(795,Firms!$R$5:$R$1004,0))&amp;"","")</f>
        <v/>
      </c>
      <c r="G799" s="57">
        <f>IFERROR(INDEX(Firms!$M$5:$M$1004,MATCH(795,Firms!$R$5:$R$1004,0))&amp;"","")</f>
        <v/>
      </c>
      <c r="H799" s="58">
        <f>IFERROR(INDEX(Firms!$Q$5:$Q$1004,MATCH(795,Firms!$R$5:$R$1004,0))&amp;"","")</f>
        <v/>
      </c>
    </row>
    <row r="800">
      <c r="A800" s="57">
        <f>IF(B800="","",796)</f>
        <v/>
      </c>
      <c r="B800" s="58">
        <f>IFERROR(INDEX(Firms!$A$5:$A$1004,MATCH(796,Firms!$R$5:$R$1004,0))&amp;"","")</f>
        <v/>
      </c>
      <c r="C800" s="59">
        <f>IFERROR(IF(INDEX(Firms!$O$5:$O$1004,MATCH(796,Firms!$R$5:$R$1004,0))="","",INDEX(Firms!$O$5:$O$1004,MATCH(796,Firms!$R$5:$R$1004,0))),"")</f>
        <v/>
      </c>
      <c r="D800" s="58">
        <f>IFERROR(INDEX(Firms!$P$5:$P$1004,MATCH(796,Firms!$R$5:$R$1004,0))&amp;"","")</f>
        <v/>
      </c>
      <c r="E800" s="58">
        <f>IFERROR(INDEX(Firms!$C$5:$C$1004,MATCH(796,Firms!$R$5:$R$1004,0))&amp;"","")</f>
        <v/>
      </c>
      <c r="F800" s="57">
        <f>IFERROR(INDEX(Firms!$L$5:$L$1004,MATCH(796,Firms!$R$5:$R$1004,0))&amp;"","")</f>
        <v/>
      </c>
      <c r="G800" s="57">
        <f>IFERROR(INDEX(Firms!$M$5:$M$1004,MATCH(796,Firms!$R$5:$R$1004,0))&amp;"","")</f>
        <v/>
      </c>
      <c r="H800" s="58">
        <f>IFERROR(INDEX(Firms!$Q$5:$Q$1004,MATCH(796,Firms!$R$5:$R$1004,0))&amp;"","")</f>
        <v/>
      </c>
    </row>
    <row r="801">
      <c r="A801" s="57">
        <f>IF(B801="","",797)</f>
        <v/>
      </c>
      <c r="B801" s="58">
        <f>IFERROR(INDEX(Firms!$A$5:$A$1004,MATCH(797,Firms!$R$5:$R$1004,0))&amp;"","")</f>
        <v/>
      </c>
      <c r="C801" s="59">
        <f>IFERROR(IF(INDEX(Firms!$O$5:$O$1004,MATCH(797,Firms!$R$5:$R$1004,0))="","",INDEX(Firms!$O$5:$O$1004,MATCH(797,Firms!$R$5:$R$1004,0))),"")</f>
        <v/>
      </c>
      <c r="D801" s="58">
        <f>IFERROR(INDEX(Firms!$P$5:$P$1004,MATCH(797,Firms!$R$5:$R$1004,0))&amp;"","")</f>
        <v/>
      </c>
      <c r="E801" s="58">
        <f>IFERROR(INDEX(Firms!$C$5:$C$1004,MATCH(797,Firms!$R$5:$R$1004,0))&amp;"","")</f>
        <v/>
      </c>
      <c r="F801" s="57">
        <f>IFERROR(INDEX(Firms!$L$5:$L$1004,MATCH(797,Firms!$R$5:$R$1004,0))&amp;"","")</f>
        <v/>
      </c>
      <c r="G801" s="57">
        <f>IFERROR(INDEX(Firms!$M$5:$M$1004,MATCH(797,Firms!$R$5:$R$1004,0))&amp;"","")</f>
        <v/>
      </c>
      <c r="H801" s="58">
        <f>IFERROR(INDEX(Firms!$Q$5:$Q$1004,MATCH(797,Firms!$R$5:$R$1004,0))&amp;"","")</f>
        <v/>
      </c>
    </row>
    <row r="802">
      <c r="A802" s="57">
        <f>IF(B802="","",798)</f>
        <v/>
      </c>
      <c r="B802" s="58">
        <f>IFERROR(INDEX(Firms!$A$5:$A$1004,MATCH(798,Firms!$R$5:$R$1004,0))&amp;"","")</f>
        <v/>
      </c>
      <c r="C802" s="59">
        <f>IFERROR(IF(INDEX(Firms!$O$5:$O$1004,MATCH(798,Firms!$R$5:$R$1004,0))="","",INDEX(Firms!$O$5:$O$1004,MATCH(798,Firms!$R$5:$R$1004,0))),"")</f>
        <v/>
      </c>
      <c r="D802" s="58">
        <f>IFERROR(INDEX(Firms!$P$5:$P$1004,MATCH(798,Firms!$R$5:$R$1004,0))&amp;"","")</f>
        <v/>
      </c>
      <c r="E802" s="58">
        <f>IFERROR(INDEX(Firms!$C$5:$C$1004,MATCH(798,Firms!$R$5:$R$1004,0))&amp;"","")</f>
        <v/>
      </c>
      <c r="F802" s="57">
        <f>IFERROR(INDEX(Firms!$L$5:$L$1004,MATCH(798,Firms!$R$5:$R$1004,0))&amp;"","")</f>
        <v/>
      </c>
      <c r="G802" s="57">
        <f>IFERROR(INDEX(Firms!$M$5:$M$1004,MATCH(798,Firms!$R$5:$R$1004,0))&amp;"","")</f>
        <v/>
      </c>
      <c r="H802" s="58">
        <f>IFERROR(INDEX(Firms!$Q$5:$Q$1004,MATCH(798,Firms!$R$5:$R$1004,0))&amp;"","")</f>
        <v/>
      </c>
    </row>
    <row r="803">
      <c r="A803" s="57">
        <f>IF(B803="","",799)</f>
        <v/>
      </c>
      <c r="B803" s="58">
        <f>IFERROR(INDEX(Firms!$A$5:$A$1004,MATCH(799,Firms!$R$5:$R$1004,0))&amp;"","")</f>
        <v/>
      </c>
      <c r="C803" s="59">
        <f>IFERROR(IF(INDEX(Firms!$O$5:$O$1004,MATCH(799,Firms!$R$5:$R$1004,0))="","",INDEX(Firms!$O$5:$O$1004,MATCH(799,Firms!$R$5:$R$1004,0))),"")</f>
        <v/>
      </c>
      <c r="D803" s="58">
        <f>IFERROR(INDEX(Firms!$P$5:$P$1004,MATCH(799,Firms!$R$5:$R$1004,0))&amp;"","")</f>
        <v/>
      </c>
      <c r="E803" s="58">
        <f>IFERROR(INDEX(Firms!$C$5:$C$1004,MATCH(799,Firms!$R$5:$R$1004,0))&amp;"","")</f>
        <v/>
      </c>
      <c r="F803" s="57">
        <f>IFERROR(INDEX(Firms!$L$5:$L$1004,MATCH(799,Firms!$R$5:$R$1004,0))&amp;"","")</f>
        <v/>
      </c>
      <c r="G803" s="57">
        <f>IFERROR(INDEX(Firms!$M$5:$M$1004,MATCH(799,Firms!$R$5:$R$1004,0))&amp;"","")</f>
        <v/>
      </c>
      <c r="H803" s="58">
        <f>IFERROR(INDEX(Firms!$Q$5:$Q$1004,MATCH(799,Firms!$R$5:$R$1004,0))&amp;"","")</f>
        <v/>
      </c>
    </row>
    <row r="804">
      <c r="A804" s="57">
        <f>IF(B804="","",800)</f>
        <v/>
      </c>
      <c r="B804" s="58">
        <f>IFERROR(INDEX(Firms!$A$5:$A$1004,MATCH(800,Firms!$R$5:$R$1004,0))&amp;"","")</f>
        <v/>
      </c>
      <c r="C804" s="59">
        <f>IFERROR(IF(INDEX(Firms!$O$5:$O$1004,MATCH(800,Firms!$R$5:$R$1004,0))="","",INDEX(Firms!$O$5:$O$1004,MATCH(800,Firms!$R$5:$R$1004,0))),"")</f>
        <v/>
      </c>
      <c r="D804" s="58">
        <f>IFERROR(INDEX(Firms!$P$5:$P$1004,MATCH(800,Firms!$R$5:$R$1004,0))&amp;"","")</f>
        <v/>
      </c>
      <c r="E804" s="58">
        <f>IFERROR(INDEX(Firms!$C$5:$C$1004,MATCH(800,Firms!$R$5:$R$1004,0))&amp;"","")</f>
        <v/>
      </c>
      <c r="F804" s="57">
        <f>IFERROR(INDEX(Firms!$L$5:$L$1004,MATCH(800,Firms!$R$5:$R$1004,0))&amp;"","")</f>
        <v/>
      </c>
      <c r="G804" s="57">
        <f>IFERROR(INDEX(Firms!$M$5:$M$1004,MATCH(800,Firms!$R$5:$R$1004,0))&amp;"","")</f>
        <v/>
      </c>
      <c r="H804" s="58">
        <f>IFERROR(INDEX(Firms!$Q$5:$Q$1004,MATCH(800,Firms!$R$5:$R$1004,0))&amp;"","")</f>
        <v/>
      </c>
    </row>
    <row r="805">
      <c r="A805" s="57">
        <f>IF(B805="","",801)</f>
        <v/>
      </c>
      <c r="B805" s="58">
        <f>IFERROR(INDEX(Firms!$A$5:$A$1004,MATCH(801,Firms!$R$5:$R$1004,0))&amp;"","")</f>
        <v/>
      </c>
      <c r="C805" s="59">
        <f>IFERROR(IF(INDEX(Firms!$O$5:$O$1004,MATCH(801,Firms!$R$5:$R$1004,0))="","",INDEX(Firms!$O$5:$O$1004,MATCH(801,Firms!$R$5:$R$1004,0))),"")</f>
        <v/>
      </c>
      <c r="D805" s="58">
        <f>IFERROR(INDEX(Firms!$P$5:$P$1004,MATCH(801,Firms!$R$5:$R$1004,0))&amp;"","")</f>
        <v/>
      </c>
      <c r="E805" s="58">
        <f>IFERROR(INDEX(Firms!$C$5:$C$1004,MATCH(801,Firms!$R$5:$R$1004,0))&amp;"","")</f>
        <v/>
      </c>
      <c r="F805" s="57">
        <f>IFERROR(INDEX(Firms!$L$5:$L$1004,MATCH(801,Firms!$R$5:$R$1004,0))&amp;"","")</f>
        <v/>
      </c>
      <c r="G805" s="57">
        <f>IFERROR(INDEX(Firms!$M$5:$M$1004,MATCH(801,Firms!$R$5:$R$1004,0))&amp;"","")</f>
        <v/>
      </c>
      <c r="H805" s="58">
        <f>IFERROR(INDEX(Firms!$Q$5:$Q$1004,MATCH(801,Firms!$R$5:$R$1004,0))&amp;"","")</f>
        <v/>
      </c>
    </row>
    <row r="806">
      <c r="A806" s="57">
        <f>IF(B806="","",802)</f>
        <v/>
      </c>
      <c r="B806" s="58">
        <f>IFERROR(INDEX(Firms!$A$5:$A$1004,MATCH(802,Firms!$R$5:$R$1004,0))&amp;"","")</f>
        <v/>
      </c>
      <c r="C806" s="59">
        <f>IFERROR(IF(INDEX(Firms!$O$5:$O$1004,MATCH(802,Firms!$R$5:$R$1004,0))="","",INDEX(Firms!$O$5:$O$1004,MATCH(802,Firms!$R$5:$R$1004,0))),"")</f>
        <v/>
      </c>
      <c r="D806" s="58">
        <f>IFERROR(INDEX(Firms!$P$5:$P$1004,MATCH(802,Firms!$R$5:$R$1004,0))&amp;"","")</f>
        <v/>
      </c>
      <c r="E806" s="58">
        <f>IFERROR(INDEX(Firms!$C$5:$C$1004,MATCH(802,Firms!$R$5:$R$1004,0))&amp;"","")</f>
        <v/>
      </c>
      <c r="F806" s="57">
        <f>IFERROR(INDEX(Firms!$L$5:$L$1004,MATCH(802,Firms!$R$5:$R$1004,0))&amp;"","")</f>
        <v/>
      </c>
      <c r="G806" s="57">
        <f>IFERROR(INDEX(Firms!$M$5:$M$1004,MATCH(802,Firms!$R$5:$R$1004,0))&amp;"","")</f>
        <v/>
      </c>
      <c r="H806" s="58">
        <f>IFERROR(INDEX(Firms!$Q$5:$Q$1004,MATCH(802,Firms!$R$5:$R$1004,0))&amp;"","")</f>
        <v/>
      </c>
    </row>
    <row r="807">
      <c r="A807" s="57">
        <f>IF(B807="","",803)</f>
        <v/>
      </c>
      <c r="B807" s="58">
        <f>IFERROR(INDEX(Firms!$A$5:$A$1004,MATCH(803,Firms!$R$5:$R$1004,0))&amp;"","")</f>
        <v/>
      </c>
      <c r="C807" s="59">
        <f>IFERROR(IF(INDEX(Firms!$O$5:$O$1004,MATCH(803,Firms!$R$5:$R$1004,0))="","",INDEX(Firms!$O$5:$O$1004,MATCH(803,Firms!$R$5:$R$1004,0))),"")</f>
        <v/>
      </c>
      <c r="D807" s="58">
        <f>IFERROR(INDEX(Firms!$P$5:$P$1004,MATCH(803,Firms!$R$5:$R$1004,0))&amp;"","")</f>
        <v/>
      </c>
      <c r="E807" s="58">
        <f>IFERROR(INDEX(Firms!$C$5:$C$1004,MATCH(803,Firms!$R$5:$R$1004,0))&amp;"","")</f>
        <v/>
      </c>
      <c r="F807" s="57">
        <f>IFERROR(INDEX(Firms!$L$5:$L$1004,MATCH(803,Firms!$R$5:$R$1004,0))&amp;"","")</f>
        <v/>
      </c>
      <c r="G807" s="57">
        <f>IFERROR(INDEX(Firms!$M$5:$M$1004,MATCH(803,Firms!$R$5:$R$1004,0))&amp;"","")</f>
        <v/>
      </c>
      <c r="H807" s="58">
        <f>IFERROR(INDEX(Firms!$Q$5:$Q$1004,MATCH(803,Firms!$R$5:$R$1004,0))&amp;"","")</f>
        <v/>
      </c>
    </row>
    <row r="808">
      <c r="A808" s="57">
        <f>IF(B808="","",804)</f>
        <v/>
      </c>
      <c r="B808" s="58">
        <f>IFERROR(INDEX(Firms!$A$5:$A$1004,MATCH(804,Firms!$R$5:$R$1004,0))&amp;"","")</f>
        <v/>
      </c>
      <c r="C808" s="59">
        <f>IFERROR(IF(INDEX(Firms!$O$5:$O$1004,MATCH(804,Firms!$R$5:$R$1004,0))="","",INDEX(Firms!$O$5:$O$1004,MATCH(804,Firms!$R$5:$R$1004,0))),"")</f>
        <v/>
      </c>
      <c r="D808" s="58">
        <f>IFERROR(INDEX(Firms!$P$5:$P$1004,MATCH(804,Firms!$R$5:$R$1004,0))&amp;"","")</f>
        <v/>
      </c>
      <c r="E808" s="58">
        <f>IFERROR(INDEX(Firms!$C$5:$C$1004,MATCH(804,Firms!$R$5:$R$1004,0))&amp;"","")</f>
        <v/>
      </c>
      <c r="F808" s="57">
        <f>IFERROR(INDEX(Firms!$L$5:$L$1004,MATCH(804,Firms!$R$5:$R$1004,0))&amp;"","")</f>
        <v/>
      </c>
      <c r="G808" s="57">
        <f>IFERROR(INDEX(Firms!$M$5:$M$1004,MATCH(804,Firms!$R$5:$R$1004,0))&amp;"","")</f>
        <v/>
      </c>
      <c r="H808" s="58">
        <f>IFERROR(INDEX(Firms!$Q$5:$Q$1004,MATCH(804,Firms!$R$5:$R$1004,0))&amp;"","")</f>
        <v/>
      </c>
    </row>
    <row r="809">
      <c r="A809" s="57">
        <f>IF(B809="","",805)</f>
        <v/>
      </c>
      <c r="B809" s="58">
        <f>IFERROR(INDEX(Firms!$A$5:$A$1004,MATCH(805,Firms!$R$5:$R$1004,0))&amp;"","")</f>
        <v/>
      </c>
      <c r="C809" s="59">
        <f>IFERROR(IF(INDEX(Firms!$O$5:$O$1004,MATCH(805,Firms!$R$5:$R$1004,0))="","",INDEX(Firms!$O$5:$O$1004,MATCH(805,Firms!$R$5:$R$1004,0))),"")</f>
        <v/>
      </c>
      <c r="D809" s="58">
        <f>IFERROR(INDEX(Firms!$P$5:$P$1004,MATCH(805,Firms!$R$5:$R$1004,0))&amp;"","")</f>
        <v/>
      </c>
      <c r="E809" s="58">
        <f>IFERROR(INDEX(Firms!$C$5:$C$1004,MATCH(805,Firms!$R$5:$R$1004,0))&amp;"","")</f>
        <v/>
      </c>
      <c r="F809" s="57">
        <f>IFERROR(INDEX(Firms!$L$5:$L$1004,MATCH(805,Firms!$R$5:$R$1004,0))&amp;"","")</f>
        <v/>
      </c>
      <c r="G809" s="57">
        <f>IFERROR(INDEX(Firms!$M$5:$M$1004,MATCH(805,Firms!$R$5:$R$1004,0))&amp;"","")</f>
        <v/>
      </c>
      <c r="H809" s="58">
        <f>IFERROR(INDEX(Firms!$Q$5:$Q$1004,MATCH(805,Firms!$R$5:$R$1004,0))&amp;"","")</f>
        <v/>
      </c>
    </row>
    <row r="810">
      <c r="A810" s="57">
        <f>IF(B810="","",806)</f>
        <v/>
      </c>
      <c r="B810" s="58">
        <f>IFERROR(INDEX(Firms!$A$5:$A$1004,MATCH(806,Firms!$R$5:$R$1004,0))&amp;"","")</f>
        <v/>
      </c>
      <c r="C810" s="59">
        <f>IFERROR(IF(INDEX(Firms!$O$5:$O$1004,MATCH(806,Firms!$R$5:$R$1004,0))="","",INDEX(Firms!$O$5:$O$1004,MATCH(806,Firms!$R$5:$R$1004,0))),"")</f>
        <v/>
      </c>
      <c r="D810" s="58">
        <f>IFERROR(INDEX(Firms!$P$5:$P$1004,MATCH(806,Firms!$R$5:$R$1004,0))&amp;"","")</f>
        <v/>
      </c>
      <c r="E810" s="58">
        <f>IFERROR(INDEX(Firms!$C$5:$C$1004,MATCH(806,Firms!$R$5:$R$1004,0))&amp;"","")</f>
        <v/>
      </c>
      <c r="F810" s="57">
        <f>IFERROR(INDEX(Firms!$L$5:$L$1004,MATCH(806,Firms!$R$5:$R$1004,0))&amp;"","")</f>
        <v/>
      </c>
      <c r="G810" s="57">
        <f>IFERROR(INDEX(Firms!$M$5:$M$1004,MATCH(806,Firms!$R$5:$R$1004,0))&amp;"","")</f>
        <v/>
      </c>
      <c r="H810" s="58">
        <f>IFERROR(INDEX(Firms!$Q$5:$Q$1004,MATCH(806,Firms!$R$5:$R$1004,0))&amp;"","")</f>
        <v/>
      </c>
    </row>
    <row r="811">
      <c r="A811" s="57">
        <f>IF(B811="","",807)</f>
        <v/>
      </c>
      <c r="B811" s="58">
        <f>IFERROR(INDEX(Firms!$A$5:$A$1004,MATCH(807,Firms!$R$5:$R$1004,0))&amp;"","")</f>
        <v/>
      </c>
      <c r="C811" s="59">
        <f>IFERROR(IF(INDEX(Firms!$O$5:$O$1004,MATCH(807,Firms!$R$5:$R$1004,0))="","",INDEX(Firms!$O$5:$O$1004,MATCH(807,Firms!$R$5:$R$1004,0))),"")</f>
        <v/>
      </c>
      <c r="D811" s="58">
        <f>IFERROR(INDEX(Firms!$P$5:$P$1004,MATCH(807,Firms!$R$5:$R$1004,0))&amp;"","")</f>
        <v/>
      </c>
      <c r="E811" s="58">
        <f>IFERROR(INDEX(Firms!$C$5:$C$1004,MATCH(807,Firms!$R$5:$R$1004,0))&amp;"","")</f>
        <v/>
      </c>
      <c r="F811" s="57">
        <f>IFERROR(INDEX(Firms!$L$5:$L$1004,MATCH(807,Firms!$R$5:$R$1004,0))&amp;"","")</f>
        <v/>
      </c>
      <c r="G811" s="57">
        <f>IFERROR(INDEX(Firms!$M$5:$M$1004,MATCH(807,Firms!$R$5:$R$1004,0))&amp;"","")</f>
        <v/>
      </c>
      <c r="H811" s="58">
        <f>IFERROR(INDEX(Firms!$Q$5:$Q$1004,MATCH(807,Firms!$R$5:$R$1004,0))&amp;"","")</f>
        <v/>
      </c>
    </row>
    <row r="812">
      <c r="A812" s="57">
        <f>IF(B812="","",808)</f>
        <v/>
      </c>
      <c r="B812" s="58">
        <f>IFERROR(INDEX(Firms!$A$5:$A$1004,MATCH(808,Firms!$R$5:$R$1004,0))&amp;"","")</f>
        <v/>
      </c>
      <c r="C812" s="59">
        <f>IFERROR(IF(INDEX(Firms!$O$5:$O$1004,MATCH(808,Firms!$R$5:$R$1004,0))="","",INDEX(Firms!$O$5:$O$1004,MATCH(808,Firms!$R$5:$R$1004,0))),"")</f>
        <v/>
      </c>
      <c r="D812" s="58">
        <f>IFERROR(INDEX(Firms!$P$5:$P$1004,MATCH(808,Firms!$R$5:$R$1004,0))&amp;"","")</f>
        <v/>
      </c>
      <c r="E812" s="58">
        <f>IFERROR(INDEX(Firms!$C$5:$C$1004,MATCH(808,Firms!$R$5:$R$1004,0))&amp;"","")</f>
        <v/>
      </c>
      <c r="F812" s="57">
        <f>IFERROR(INDEX(Firms!$L$5:$L$1004,MATCH(808,Firms!$R$5:$R$1004,0))&amp;"","")</f>
        <v/>
      </c>
      <c r="G812" s="57">
        <f>IFERROR(INDEX(Firms!$M$5:$M$1004,MATCH(808,Firms!$R$5:$R$1004,0))&amp;"","")</f>
        <v/>
      </c>
      <c r="H812" s="58">
        <f>IFERROR(INDEX(Firms!$Q$5:$Q$1004,MATCH(808,Firms!$R$5:$R$1004,0))&amp;"","")</f>
        <v/>
      </c>
    </row>
    <row r="813">
      <c r="A813" s="57">
        <f>IF(B813="","",809)</f>
        <v/>
      </c>
      <c r="B813" s="58">
        <f>IFERROR(INDEX(Firms!$A$5:$A$1004,MATCH(809,Firms!$R$5:$R$1004,0))&amp;"","")</f>
        <v/>
      </c>
      <c r="C813" s="59">
        <f>IFERROR(IF(INDEX(Firms!$O$5:$O$1004,MATCH(809,Firms!$R$5:$R$1004,0))="","",INDEX(Firms!$O$5:$O$1004,MATCH(809,Firms!$R$5:$R$1004,0))),"")</f>
        <v/>
      </c>
      <c r="D813" s="58">
        <f>IFERROR(INDEX(Firms!$P$5:$P$1004,MATCH(809,Firms!$R$5:$R$1004,0))&amp;"","")</f>
        <v/>
      </c>
      <c r="E813" s="58">
        <f>IFERROR(INDEX(Firms!$C$5:$C$1004,MATCH(809,Firms!$R$5:$R$1004,0))&amp;"","")</f>
        <v/>
      </c>
      <c r="F813" s="57">
        <f>IFERROR(INDEX(Firms!$L$5:$L$1004,MATCH(809,Firms!$R$5:$R$1004,0))&amp;"","")</f>
        <v/>
      </c>
      <c r="G813" s="57">
        <f>IFERROR(INDEX(Firms!$M$5:$M$1004,MATCH(809,Firms!$R$5:$R$1004,0))&amp;"","")</f>
        <v/>
      </c>
      <c r="H813" s="58">
        <f>IFERROR(INDEX(Firms!$Q$5:$Q$1004,MATCH(809,Firms!$R$5:$R$1004,0))&amp;"","")</f>
        <v/>
      </c>
    </row>
    <row r="814">
      <c r="A814" s="57">
        <f>IF(B814="","",810)</f>
        <v/>
      </c>
      <c r="B814" s="58">
        <f>IFERROR(INDEX(Firms!$A$5:$A$1004,MATCH(810,Firms!$R$5:$R$1004,0))&amp;"","")</f>
        <v/>
      </c>
      <c r="C814" s="59">
        <f>IFERROR(IF(INDEX(Firms!$O$5:$O$1004,MATCH(810,Firms!$R$5:$R$1004,0))="","",INDEX(Firms!$O$5:$O$1004,MATCH(810,Firms!$R$5:$R$1004,0))),"")</f>
        <v/>
      </c>
      <c r="D814" s="58">
        <f>IFERROR(INDEX(Firms!$P$5:$P$1004,MATCH(810,Firms!$R$5:$R$1004,0))&amp;"","")</f>
        <v/>
      </c>
      <c r="E814" s="58">
        <f>IFERROR(INDEX(Firms!$C$5:$C$1004,MATCH(810,Firms!$R$5:$R$1004,0))&amp;"","")</f>
        <v/>
      </c>
      <c r="F814" s="57">
        <f>IFERROR(INDEX(Firms!$L$5:$L$1004,MATCH(810,Firms!$R$5:$R$1004,0))&amp;"","")</f>
        <v/>
      </c>
      <c r="G814" s="57">
        <f>IFERROR(INDEX(Firms!$M$5:$M$1004,MATCH(810,Firms!$R$5:$R$1004,0))&amp;"","")</f>
        <v/>
      </c>
      <c r="H814" s="58">
        <f>IFERROR(INDEX(Firms!$Q$5:$Q$1004,MATCH(810,Firms!$R$5:$R$1004,0))&amp;"","")</f>
        <v/>
      </c>
    </row>
    <row r="815">
      <c r="A815" s="57">
        <f>IF(B815="","",811)</f>
        <v/>
      </c>
      <c r="B815" s="58">
        <f>IFERROR(INDEX(Firms!$A$5:$A$1004,MATCH(811,Firms!$R$5:$R$1004,0))&amp;"","")</f>
        <v/>
      </c>
      <c r="C815" s="59">
        <f>IFERROR(IF(INDEX(Firms!$O$5:$O$1004,MATCH(811,Firms!$R$5:$R$1004,0))="","",INDEX(Firms!$O$5:$O$1004,MATCH(811,Firms!$R$5:$R$1004,0))),"")</f>
        <v/>
      </c>
      <c r="D815" s="58">
        <f>IFERROR(INDEX(Firms!$P$5:$P$1004,MATCH(811,Firms!$R$5:$R$1004,0))&amp;"","")</f>
        <v/>
      </c>
      <c r="E815" s="58">
        <f>IFERROR(INDEX(Firms!$C$5:$C$1004,MATCH(811,Firms!$R$5:$R$1004,0))&amp;"","")</f>
        <v/>
      </c>
      <c r="F815" s="57">
        <f>IFERROR(INDEX(Firms!$L$5:$L$1004,MATCH(811,Firms!$R$5:$R$1004,0))&amp;"","")</f>
        <v/>
      </c>
      <c r="G815" s="57">
        <f>IFERROR(INDEX(Firms!$M$5:$M$1004,MATCH(811,Firms!$R$5:$R$1004,0))&amp;"","")</f>
        <v/>
      </c>
      <c r="H815" s="58">
        <f>IFERROR(INDEX(Firms!$Q$5:$Q$1004,MATCH(811,Firms!$R$5:$R$1004,0))&amp;"","")</f>
        <v/>
      </c>
    </row>
    <row r="816">
      <c r="A816" s="57">
        <f>IF(B816="","",812)</f>
        <v/>
      </c>
      <c r="B816" s="58">
        <f>IFERROR(INDEX(Firms!$A$5:$A$1004,MATCH(812,Firms!$R$5:$R$1004,0))&amp;"","")</f>
        <v/>
      </c>
      <c r="C816" s="59">
        <f>IFERROR(IF(INDEX(Firms!$O$5:$O$1004,MATCH(812,Firms!$R$5:$R$1004,0))="","",INDEX(Firms!$O$5:$O$1004,MATCH(812,Firms!$R$5:$R$1004,0))),"")</f>
        <v/>
      </c>
      <c r="D816" s="58">
        <f>IFERROR(INDEX(Firms!$P$5:$P$1004,MATCH(812,Firms!$R$5:$R$1004,0))&amp;"","")</f>
        <v/>
      </c>
      <c r="E816" s="58">
        <f>IFERROR(INDEX(Firms!$C$5:$C$1004,MATCH(812,Firms!$R$5:$R$1004,0))&amp;"","")</f>
        <v/>
      </c>
      <c r="F816" s="57">
        <f>IFERROR(INDEX(Firms!$L$5:$L$1004,MATCH(812,Firms!$R$5:$R$1004,0))&amp;"","")</f>
        <v/>
      </c>
      <c r="G816" s="57">
        <f>IFERROR(INDEX(Firms!$M$5:$M$1004,MATCH(812,Firms!$R$5:$R$1004,0))&amp;"","")</f>
        <v/>
      </c>
      <c r="H816" s="58">
        <f>IFERROR(INDEX(Firms!$Q$5:$Q$1004,MATCH(812,Firms!$R$5:$R$1004,0))&amp;"","")</f>
        <v/>
      </c>
    </row>
    <row r="817">
      <c r="A817" s="57">
        <f>IF(B817="","",813)</f>
        <v/>
      </c>
      <c r="B817" s="58">
        <f>IFERROR(INDEX(Firms!$A$5:$A$1004,MATCH(813,Firms!$R$5:$R$1004,0))&amp;"","")</f>
        <v/>
      </c>
      <c r="C817" s="59">
        <f>IFERROR(IF(INDEX(Firms!$O$5:$O$1004,MATCH(813,Firms!$R$5:$R$1004,0))="","",INDEX(Firms!$O$5:$O$1004,MATCH(813,Firms!$R$5:$R$1004,0))),"")</f>
        <v/>
      </c>
      <c r="D817" s="58">
        <f>IFERROR(INDEX(Firms!$P$5:$P$1004,MATCH(813,Firms!$R$5:$R$1004,0))&amp;"","")</f>
        <v/>
      </c>
      <c r="E817" s="58">
        <f>IFERROR(INDEX(Firms!$C$5:$C$1004,MATCH(813,Firms!$R$5:$R$1004,0))&amp;"","")</f>
        <v/>
      </c>
      <c r="F817" s="57">
        <f>IFERROR(INDEX(Firms!$L$5:$L$1004,MATCH(813,Firms!$R$5:$R$1004,0))&amp;"","")</f>
        <v/>
      </c>
      <c r="G817" s="57">
        <f>IFERROR(INDEX(Firms!$M$5:$M$1004,MATCH(813,Firms!$R$5:$R$1004,0))&amp;"","")</f>
        <v/>
      </c>
      <c r="H817" s="58">
        <f>IFERROR(INDEX(Firms!$Q$5:$Q$1004,MATCH(813,Firms!$R$5:$R$1004,0))&amp;"","")</f>
        <v/>
      </c>
    </row>
    <row r="818">
      <c r="A818" s="57">
        <f>IF(B818="","",814)</f>
        <v/>
      </c>
      <c r="B818" s="58">
        <f>IFERROR(INDEX(Firms!$A$5:$A$1004,MATCH(814,Firms!$R$5:$R$1004,0))&amp;"","")</f>
        <v/>
      </c>
      <c r="C818" s="59">
        <f>IFERROR(IF(INDEX(Firms!$O$5:$O$1004,MATCH(814,Firms!$R$5:$R$1004,0))="","",INDEX(Firms!$O$5:$O$1004,MATCH(814,Firms!$R$5:$R$1004,0))),"")</f>
        <v/>
      </c>
      <c r="D818" s="58">
        <f>IFERROR(INDEX(Firms!$P$5:$P$1004,MATCH(814,Firms!$R$5:$R$1004,0))&amp;"","")</f>
        <v/>
      </c>
      <c r="E818" s="58">
        <f>IFERROR(INDEX(Firms!$C$5:$C$1004,MATCH(814,Firms!$R$5:$R$1004,0))&amp;"","")</f>
        <v/>
      </c>
      <c r="F818" s="57">
        <f>IFERROR(INDEX(Firms!$L$5:$L$1004,MATCH(814,Firms!$R$5:$R$1004,0))&amp;"","")</f>
        <v/>
      </c>
      <c r="G818" s="57">
        <f>IFERROR(INDEX(Firms!$M$5:$M$1004,MATCH(814,Firms!$R$5:$R$1004,0))&amp;"","")</f>
        <v/>
      </c>
      <c r="H818" s="58">
        <f>IFERROR(INDEX(Firms!$Q$5:$Q$1004,MATCH(814,Firms!$R$5:$R$1004,0))&amp;"","")</f>
        <v/>
      </c>
    </row>
    <row r="819">
      <c r="A819" s="57">
        <f>IF(B819="","",815)</f>
        <v/>
      </c>
      <c r="B819" s="58">
        <f>IFERROR(INDEX(Firms!$A$5:$A$1004,MATCH(815,Firms!$R$5:$R$1004,0))&amp;"","")</f>
        <v/>
      </c>
      <c r="C819" s="59">
        <f>IFERROR(IF(INDEX(Firms!$O$5:$O$1004,MATCH(815,Firms!$R$5:$R$1004,0))="","",INDEX(Firms!$O$5:$O$1004,MATCH(815,Firms!$R$5:$R$1004,0))),"")</f>
        <v/>
      </c>
      <c r="D819" s="58">
        <f>IFERROR(INDEX(Firms!$P$5:$P$1004,MATCH(815,Firms!$R$5:$R$1004,0))&amp;"","")</f>
        <v/>
      </c>
      <c r="E819" s="58">
        <f>IFERROR(INDEX(Firms!$C$5:$C$1004,MATCH(815,Firms!$R$5:$R$1004,0))&amp;"","")</f>
        <v/>
      </c>
      <c r="F819" s="57">
        <f>IFERROR(INDEX(Firms!$L$5:$L$1004,MATCH(815,Firms!$R$5:$R$1004,0))&amp;"","")</f>
        <v/>
      </c>
      <c r="G819" s="57">
        <f>IFERROR(INDEX(Firms!$M$5:$M$1004,MATCH(815,Firms!$R$5:$R$1004,0))&amp;"","")</f>
        <v/>
      </c>
      <c r="H819" s="58">
        <f>IFERROR(INDEX(Firms!$Q$5:$Q$1004,MATCH(815,Firms!$R$5:$R$1004,0))&amp;"","")</f>
        <v/>
      </c>
    </row>
    <row r="820">
      <c r="A820" s="57">
        <f>IF(B820="","",816)</f>
        <v/>
      </c>
      <c r="B820" s="58">
        <f>IFERROR(INDEX(Firms!$A$5:$A$1004,MATCH(816,Firms!$R$5:$R$1004,0))&amp;"","")</f>
        <v/>
      </c>
      <c r="C820" s="59">
        <f>IFERROR(IF(INDEX(Firms!$O$5:$O$1004,MATCH(816,Firms!$R$5:$R$1004,0))="","",INDEX(Firms!$O$5:$O$1004,MATCH(816,Firms!$R$5:$R$1004,0))),"")</f>
        <v/>
      </c>
      <c r="D820" s="58">
        <f>IFERROR(INDEX(Firms!$P$5:$P$1004,MATCH(816,Firms!$R$5:$R$1004,0))&amp;"","")</f>
        <v/>
      </c>
      <c r="E820" s="58">
        <f>IFERROR(INDEX(Firms!$C$5:$C$1004,MATCH(816,Firms!$R$5:$R$1004,0))&amp;"","")</f>
        <v/>
      </c>
      <c r="F820" s="57">
        <f>IFERROR(INDEX(Firms!$L$5:$L$1004,MATCH(816,Firms!$R$5:$R$1004,0))&amp;"","")</f>
        <v/>
      </c>
      <c r="G820" s="57">
        <f>IFERROR(INDEX(Firms!$M$5:$M$1004,MATCH(816,Firms!$R$5:$R$1004,0))&amp;"","")</f>
        <v/>
      </c>
      <c r="H820" s="58">
        <f>IFERROR(INDEX(Firms!$Q$5:$Q$1004,MATCH(816,Firms!$R$5:$R$1004,0))&amp;"","")</f>
        <v/>
      </c>
    </row>
    <row r="821">
      <c r="A821" s="57">
        <f>IF(B821="","",817)</f>
        <v/>
      </c>
      <c r="B821" s="58">
        <f>IFERROR(INDEX(Firms!$A$5:$A$1004,MATCH(817,Firms!$R$5:$R$1004,0))&amp;"","")</f>
        <v/>
      </c>
      <c r="C821" s="59">
        <f>IFERROR(IF(INDEX(Firms!$O$5:$O$1004,MATCH(817,Firms!$R$5:$R$1004,0))="","",INDEX(Firms!$O$5:$O$1004,MATCH(817,Firms!$R$5:$R$1004,0))),"")</f>
        <v/>
      </c>
      <c r="D821" s="58">
        <f>IFERROR(INDEX(Firms!$P$5:$P$1004,MATCH(817,Firms!$R$5:$R$1004,0))&amp;"","")</f>
        <v/>
      </c>
      <c r="E821" s="58">
        <f>IFERROR(INDEX(Firms!$C$5:$C$1004,MATCH(817,Firms!$R$5:$R$1004,0))&amp;"","")</f>
        <v/>
      </c>
      <c r="F821" s="57">
        <f>IFERROR(INDEX(Firms!$L$5:$L$1004,MATCH(817,Firms!$R$5:$R$1004,0))&amp;"","")</f>
        <v/>
      </c>
      <c r="G821" s="57">
        <f>IFERROR(INDEX(Firms!$M$5:$M$1004,MATCH(817,Firms!$R$5:$R$1004,0))&amp;"","")</f>
        <v/>
      </c>
      <c r="H821" s="58">
        <f>IFERROR(INDEX(Firms!$Q$5:$Q$1004,MATCH(817,Firms!$R$5:$R$1004,0))&amp;"","")</f>
        <v/>
      </c>
    </row>
    <row r="822">
      <c r="A822" s="57">
        <f>IF(B822="","",818)</f>
        <v/>
      </c>
      <c r="B822" s="58">
        <f>IFERROR(INDEX(Firms!$A$5:$A$1004,MATCH(818,Firms!$R$5:$R$1004,0))&amp;"","")</f>
        <v/>
      </c>
      <c r="C822" s="59">
        <f>IFERROR(IF(INDEX(Firms!$O$5:$O$1004,MATCH(818,Firms!$R$5:$R$1004,0))="","",INDEX(Firms!$O$5:$O$1004,MATCH(818,Firms!$R$5:$R$1004,0))),"")</f>
        <v/>
      </c>
      <c r="D822" s="58">
        <f>IFERROR(INDEX(Firms!$P$5:$P$1004,MATCH(818,Firms!$R$5:$R$1004,0))&amp;"","")</f>
        <v/>
      </c>
      <c r="E822" s="58">
        <f>IFERROR(INDEX(Firms!$C$5:$C$1004,MATCH(818,Firms!$R$5:$R$1004,0))&amp;"","")</f>
        <v/>
      </c>
      <c r="F822" s="57">
        <f>IFERROR(INDEX(Firms!$L$5:$L$1004,MATCH(818,Firms!$R$5:$R$1004,0))&amp;"","")</f>
        <v/>
      </c>
      <c r="G822" s="57">
        <f>IFERROR(INDEX(Firms!$M$5:$M$1004,MATCH(818,Firms!$R$5:$R$1004,0))&amp;"","")</f>
        <v/>
      </c>
      <c r="H822" s="58">
        <f>IFERROR(INDEX(Firms!$Q$5:$Q$1004,MATCH(818,Firms!$R$5:$R$1004,0))&amp;"","")</f>
        <v/>
      </c>
    </row>
    <row r="823">
      <c r="A823" s="57">
        <f>IF(B823="","",819)</f>
        <v/>
      </c>
      <c r="B823" s="58">
        <f>IFERROR(INDEX(Firms!$A$5:$A$1004,MATCH(819,Firms!$R$5:$R$1004,0))&amp;"","")</f>
        <v/>
      </c>
      <c r="C823" s="59">
        <f>IFERROR(IF(INDEX(Firms!$O$5:$O$1004,MATCH(819,Firms!$R$5:$R$1004,0))="","",INDEX(Firms!$O$5:$O$1004,MATCH(819,Firms!$R$5:$R$1004,0))),"")</f>
        <v/>
      </c>
      <c r="D823" s="58">
        <f>IFERROR(INDEX(Firms!$P$5:$P$1004,MATCH(819,Firms!$R$5:$R$1004,0))&amp;"","")</f>
        <v/>
      </c>
      <c r="E823" s="58">
        <f>IFERROR(INDEX(Firms!$C$5:$C$1004,MATCH(819,Firms!$R$5:$R$1004,0))&amp;"","")</f>
        <v/>
      </c>
      <c r="F823" s="57">
        <f>IFERROR(INDEX(Firms!$L$5:$L$1004,MATCH(819,Firms!$R$5:$R$1004,0))&amp;"","")</f>
        <v/>
      </c>
      <c r="G823" s="57">
        <f>IFERROR(INDEX(Firms!$M$5:$M$1004,MATCH(819,Firms!$R$5:$R$1004,0))&amp;"","")</f>
        <v/>
      </c>
      <c r="H823" s="58">
        <f>IFERROR(INDEX(Firms!$Q$5:$Q$1004,MATCH(819,Firms!$R$5:$R$1004,0))&amp;"","")</f>
        <v/>
      </c>
    </row>
    <row r="824">
      <c r="A824" s="57">
        <f>IF(B824="","",820)</f>
        <v/>
      </c>
      <c r="B824" s="58">
        <f>IFERROR(INDEX(Firms!$A$5:$A$1004,MATCH(820,Firms!$R$5:$R$1004,0))&amp;"","")</f>
        <v/>
      </c>
      <c r="C824" s="59">
        <f>IFERROR(IF(INDEX(Firms!$O$5:$O$1004,MATCH(820,Firms!$R$5:$R$1004,0))="","",INDEX(Firms!$O$5:$O$1004,MATCH(820,Firms!$R$5:$R$1004,0))),"")</f>
        <v/>
      </c>
      <c r="D824" s="58">
        <f>IFERROR(INDEX(Firms!$P$5:$P$1004,MATCH(820,Firms!$R$5:$R$1004,0))&amp;"","")</f>
        <v/>
      </c>
      <c r="E824" s="58">
        <f>IFERROR(INDEX(Firms!$C$5:$C$1004,MATCH(820,Firms!$R$5:$R$1004,0))&amp;"","")</f>
        <v/>
      </c>
      <c r="F824" s="57">
        <f>IFERROR(INDEX(Firms!$L$5:$L$1004,MATCH(820,Firms!$R$5:$R$1004,0))&amp;"","")</f>
        <v/>
      </c>
      <c r="G824" s="57">
        <f>IFERROR(INDEX(Firms!$M$5:$M$1004,MATCH(820,Firms!$R$5:$R$1004,0))&amp;"","")</f>
        <v/>
      </c>
      <c r="H824" s="58">
        <f>IFERROR(INDEX(Firms!$Q$5:$Q$1004,MATCH(820,Firms!$R$5:$R$1004,0))&amp;"","")</f>
        <v/>
      </c>
    </row>
    <row r="825">
      <c r="A825" s="57">
        <f>IF(B825="","",821)</f>
        <v/>
      </c>
      <c r="B825" s="58">
        <f>IFERROR(INDEX(Firms!$A$5:$A$1004,MATCH(821,Firms!$R$5:$R$1004,0))&amp;"","")</f>
        <v/>
      </c>
      <c r="C825" s="59">
        <f>IFERROR(IF(INDEX(Firms!$O$5:$O$1004,MATCH(821,Firms!$R$5:$R$1004,0))="","",INDEX(Firms!$O$5:$O$1004,MATCH(821,Firms!$R$5:$R$1004,0))),"")</f>
        <v/>
      </c>
      <c r="D825" s="58">
        <f>IFERROR(INDEX(Firms!$P$5:$P$1004,MATCH(821,Firms!$R$5:$R$1004,0))&amp;"","")</f>
        <v/>
      </c>
      <c r="E825" s="58">
        <f>IFERROR(INDEX(Firms!$C$5:$C$1004,MATCH(821,Firms!$R$5:$R$1004,0))&amp;"","")</f>
        <v/>
      </c>
      <c r="F825" s="57">
        <f>IFERROR(INDEX(Firms!$L$5:$L$1004,MATCH(821,Firms!$R$5:$R$1004,0))&amp;"","")</f>
        <v/>
      </c>
      <c r="G825" s="57">
        <f>IFERROR(INDEX(Firms!$M$5:$M$1004,MATCH(821,Firms!$R$5:$R$1004,0))&amp;"","")</f>
        <v/>
      </c>
      <c r="H825" s="58">
        <f>IFERROR(INDEX(Firms!$Q$5:$Q$1004,MATCH(821,Firms!$R$5:$R$1004,0))&amp;"","")</f>
        <v/>
      </c>
    </row>
    <row r="826">
      <c r="A826" s="57">
        <f>IF(B826="","",822)</f>
        <v/>
      </c>
      <c r="B826" s="58">
        <f>IFERROR(INDEX(Firms!$A$5:$A$1004,MATCH(822,Firms!$R$5:$R$1004,0))&amp;"","")</f>
        <v/>
      </c>
      <c r="C826" s="59">
        <f>IFERROR(IF(INDEX(Firms!$O$5:$O$1004,MATCH(822,Firms!$R$5:$R$1004,0))="","",INDEX(Firms!$O$5:$O$1004,MATCH(822,Firms!$R$5:$R$1004,0))),"")</f>
        <v/>
      </c>
      <c r="D826" s="58">
        <f>IFERROR(INDEX(Firms!$P$5:$P$1004,MATCH(822,Firms!$R$5:$R$1004,0))&amp;"","")</f>
        <v/>
      </c>
      <c r="E826" s="58">
        <f>IFERROR(INDEX(Firms!$C$5:$C$1004,MATCH(822,Firms!$R$5:$R$1004,0))&amp;"","")</f>
        <v/>
      </c>
      <c r="F826" s="57">
        <f>IFERROR(INDEX(Firms!$L$5:$L$1004,MATCH(822,Firms!$R$5:$R$1004,0))&amp;"","")</f>
        <v/>
      </c>
      <c r="G826" s="57">
        <f>IFERROR(INDEX(Firms!$M$5:$M$1004,MATCH(822,Firms!$R$5:$R$1004,0))&amp;"","")</f>
        <v/>
      </c>
      <c r="H826" s="58">
        <f>IFERROR(INDEX(Firms!$Q$5:$Q$1004,MATCH(822,Firms!$R$5:$R$1004,0))&amp;"","")</f>
        <v/>
      </c>
    </row>
    <row r="827">
      <c r="A827" s="57">
        <f>IF(B827="","",823)</f>
        <v/>
      </c>
      <c r="B827" s="58">
        <f>IFERROR(INDEX(Firms!$A$5:$A$1004,MATCH(823,Firms!$R$5:$R$1004,0))&amp;"","")</f>
        <v/>
      </c>
      <c r="C827" s="59">
        <f>IFERROR(IF(INDEX(Firms!$O$5:$O$1004,MATCH(823,Firms!$R$5:$R$1004,0))="","",INDEX(Firms!$O$5:$O$1004,MATCH(823,Firms!$R$5:$R$1004,0))),"")</f>
        <v/>
      </c>
      <c r="D827" s="58">
        <f>IFERROR(INDEX(Firms!$P$5:$P$1004,MATCH(823,Firms!$R$5:$R$1004,0))&amp;"","")</f>
        <v/>
      </c>
      <c r="E827" s="58">
        <f>IFERROR(INDEX(Firms!$C$5:$C$1004,MATCH(823,Firms!$R$5:$R$1004,0))&amp;"","")</f>
        <v/>
      </c>
      <c r="F827" s="57">
        <f>IFERROR(INDEX(Firms!$L$5:$L$1004,MATCH(823,Firms!$R$5:$R$1004,0))&amp;"","")</f>
        <v/>
      </c>
      <c r="G827" s="57">
        <f>IFERROR(INDEX(Firms!$M$5:$M$1004,MATCH(823,Firms!$R$5:$R$1004,0))&amp;"","")</f>
        <v/>
      </c>
      <c r="H827" s="58">
        <f>IFERROR(INDEX(Firms!$Q$5:$Q$1004,MATCH(823,Firms!$R$5:$R$1004,0))&amp;"","")</f>
        <v/>
      </c>
    </row>
    <row r="828">
      <c r="A828" s="57">
        <f>IF(B828="","",824)</f>
        <v/>
      </c>
      <c r="B828" s="58">
        <f>IFERROR(INDEX(Firms!$A$5:$A$1004,MATCH(824,Firms!$R$5:$R$1004,0))&amp;"","")</f>
        <v/>
      </c>
      <c r="C828" s="59">
        <f>IFERROR(IF(INDEX(Firms!$O$5:$O$1004,MATCH(824,Firms!$R$5:$R$1004,0))="","",INDEX(Firms!$O$5:$O$1004,MATCH(824,Firms!$R$5:$R$1004,0))),"")</f>
        <v/>
      </c>
      <c r="D828" s="58">
        <f>IFERROR(INDEX(Firms!$P$5:$P$1004,MATCH(824,Firms!$R$5:$R$1004,0))&amp;"","")</f>
        <v/>
      </c>
      <c r="E828" s="58">
        <f>IFERROR(INDEX(Firms!$C$5:$C$1004,MATCH(824,Firms!$R$5:$R$1004,0))&amp;"","")</f>
        <v/>
      </c>
      <c r="F828" s="57">
        <f>IFERROR(INDEX(Firms!$L$5:$L$1004,MATCH(824,Firms!$R$5:$R$1004,0))&amp;"","")</f>
        <v/>
      </c>
      <c r="G828" s="57">
        <f>IFERROR(INDEX(Firms!$M$5:$M$1004,MATCH(824,Firms!$R$5:$R$1004,0))&amp;"","")</f>
        <v/>
      </c>
      <c r="H828" s="58">
        <f>IFERROR(INDEX(Firms!$Q$5:$Q$1004,MATCH(824,Firms!$R$5:$R$1004,0))&amp;"","")</f>
        <v/>
      </c>
    </row>
    <row r="829">
      <c r="A829" s="57">
        <f>IF(B829="","",825)</f>
        <v/>
      </c>
      <c r="B829" s="58">
        <f>IFERROR(INDEX(Firms!$A$5:$A$1004,MATCH(825,Firms!$R$5:$R$1004,0))&amp;"","")</f>
        <v/>
      </c>
      <c r="C829" s="59">
        <f>IFERROR(IF(INDEX(Firms!$O$5:$O$1004,MATCH(825,Firms!$R$5:$R$1004,0))="","",INDEX(Firms!$O$5:$O$1004,MATCH(825,Firms!$R$5:$R$1004,0))),"")</f>
        <v/>
      </c>
      <c r="D829" s="58">
        <f>IFERROR(INDEX(Firms!$P$5:$P$1004,MATCH(825,Firms!$R$5:$R$1004,0))&amp;"","")</f>
        <v/>
      </c>
      <c r="E829" s="58">
        <f>IFERROR(INDEX(Firms!$C$5:$C$1004,MATCH(825,Firms!$R$5:$R$1004,0))&amp;"","")</f>
        <v/>
      </c>
      <c r="F829" s="57">
        <f>IFERROR(INDEX(Firms!$L$5:$L$1004,MATCH(825,Firms!$R$5:$R$1004,0))&amp;"","")</f>
        <v/>
      </c>
      <c r="G829" s="57">
        <f>IFERROR(INDEX(Firms!$M$5:$M$1004,MATCH(825,Firms!$R$5:$R$1004,0))&amp;"","")</f>
        <v/>
      </c>
      <c r="H829" s="58">
        <f>IFERROR(INDEX(Firms!$Q$5:$Q$1004,MATCH(825,Firms!$R$5:$R$1004,0))&amp;"","")</f>
        <v/>
      </c>
    </row>
    <row r="830">
      <c r="A830" s="57">
        <f>IF(B830="","",826)</f>
        <v/>
      </c>
      <c r="B830" s="58">
        <f>IFERROR(INDEX(Firms!$A$5:$A$1004,MATCH(826,Firms!$R$5:$R$1004,0))&amp;"","")</f>
        <v/>
      </c>
      <c r="C830" s="59">
        <f>IFERROR(IF(INDEX(Firms!$O$5:$O$1004,MATCH(826,Firms!$R$5:$R$1004,0))="","",INDEX(Firms!$O$5:$O$1004,MATCH(826,Firms!$R$5:$R$1004,0))),"")</f>
        <v/>
      </c>
      <c r="D830" s="58">
        <f>IFERROR(INDEX(Firms!$P$5:$P$1004,MATCH(826,Firms!$R$5:$R$1004,0))&amp;"","")</f>
        <v/>
      </c>
      <c r="E830" s="58">
        <f>IFERROR(INDEX(Firms!$C$5:$C$1004,MATCH(826,Firms!$R$5:$R$1004,0))&amp;"","")</f>
        <v/>
      </c>
      <c r="F830" s="57">
        <f>IFERROR(INDEX(Firms!$L$5:$L$1004,MATCH(826,Firms!$R$5:$R$1004,0))&amp;"","")</f>
        <v/>
      </c>
      <c r="G830" s="57">
        <f>IFERROR(INDEX(Firms!$M$5:$M$1004,MATCH(826,Firms!$R$5:$R$1004,0))&amp;"","")</f>
        <v/>
      </c>
      <c r="H830" s="58">
        <f>IFERROR(INDEX(Firms!$Q$5:$Q$1004,MATCH(826,Firms!$R$5:$R$1004,0))&amp;"","")</f>
        <v/>
      </c>
    </row>
    <row r="831">
      <c r="A831" s="57">
        <f>IF(B831="","",827)</f>
        <v/>
      </c>
      <c r="B831" s="58">
        <f>IFERROR(INDEX(Firms!$A$5:$A$1004,MATCH(827,Firms!$R$5:$R$1004,0))&amp;"","")</f>
        <v/>
      </c>
      <c r="C831" s="59">
        <f>IFERROR(IF(INDEX(Firms!$O$5:$O$1004,MATCH(827,Firms!$R$5:$R$1004,0))="","",INDEX(Firms!$O$5:$O$1004,MATCH(827,Firms!$R$5:$R$1004,0))),"")</f>
        <v/>
      </c>
      <c r="D831" s="58">
        <f>IFERROR(INDEX(Firms!$P$5:$P$1004,MATCH(827,Firms!$R$5:$R$1004,0))&amp;"","")</f>
        <v/>
      </c>
      <c r="E831" s="58">
        <f>IFERROR(INDEX(Firms!$C$5:$C$1004,MATCH(827,Firms!$R$5:$R$1004,0))&amp;"","")</f>
        <v/>
      </c>
      <c r="F831" s="57">
        <f>IFERROR(INDEX(Firms!$L$5:$L$1004,MATCH(827,Firms!$R$5:$R$1004,0))&amp;"","")</f>
        <v/>
      </c>
      <c r="G831" s="57">
        <f>IFERROR(INDEX(Firms!$M$5:$M$1004,MATCH(827,Firms!$R$5:$R$1004,0))&amp;"","")</f>
        <v/>
      </c>
      <c r="H831" s="58">
        <f>IFERROR(INDEX(Firms!$Q$5:$Q$1004,MATCH(827,Firms!$R$5:$R$1004,0))&amp;"","")</f>
        <v/>
      </c>
    </row>
    <row r="832">
      <c r="A832" s="57">
        <f>IF(B832="","",828)</f>
        <v/>
      </c>
      <c r="B832" s="58">
        <f>IFERROR(INDEX(Firms!$A$5:$A$1004,MATCH(828,Firms!$R$5:$R$1004,0))&amp;"","")</f>
        <v/>
      </c>
      <c r="C832" s="59">
        <f>IFERROR(IF(INDEX(Firms!$O$5:$O$1004,MATCH(828,Firms!$R$5:$R$1004,0))="","",INDEX(Firms!$O$5:$O$1004,MATCH(828,Firms!$R$5:$R$1004,0))),"")</f>
        <v/>
      </c>
      <c r="D832" s="58">
        <f>IFERROR(INDEX(Firms!$P$5:$P$1004,MATCH(828,Firms!$R$5:$R$1004,0))&amp;"","")</f>
        <v/>
      </c>
      <c r="E832" s="58">
        <f>IFERROR(INDEX(Firms!$C$5:$C$1004,MATCH(828,Firms!$R$5:$R$1004,0))&amp;"","")</f>
        <v/>
      </c>
      <c r="F832" s="57">
        <f>IFERROR(INDEX(Firms!$L$5:$L$1004,MATCH(828,Firms!$R$5:$R$1004,0))&amp;"","")</f>
        <v/>
      </c>
      <c r="G832" s="57">
        <f>IFERROR(INDEX(Firms!$M$5:$M$1004,MATCH(828,Firms!$R$5:$R$1004,0))&amp;"","")</f>
        <v/>
      </c>
      <c r="H832" s="58">
        <f>IFERROR(INDEX(Firms!$Q$5:$Q$1004,MATCH(828,Firms!$R$5:$R$1004,0))&amp;"","")</f>
        <v/>
      </c>
    </row>
    <row r="833">
      <c r="A833" s="57">
        <f>IF(B833="","",829)</f>
        <v/>
      </c>
      <c r="B833" s="58">
        <f>IFERROR(INDEX(Firms!$A$5:$A$1004,MATCH(829,Firms!$R$5:$R$1004,0))&amp;"","")</f>
        <v/>
      </c>
      <c r="C833" s="59">
        <f>IFERROR(IF(INDEX(Firms!$O$5:$O$1004,MATCH(829,Firms!$R$5:$R$1004,0))="","",INDEX(Firms!$O$5:$O$1004,MATCH(829,Firms!$R$5:$R$1004,0))),"")</f>
        <v/>
      </c>
      <c r="D833" s="58">
        <f>IFERROR(INDEX(Firms!$P$5:$P$1004,MATCH(829,Firms!$R$5:$R$1004,0))&amp;"","")</f>
        <v/>
      </c>
      <c r="E833" s="58">
        <f>IFERROR(INDEX(Firms!$C$5:$C$1004,MATCH(829,Firms!$R$5:$R$1004,0))&amp;"","")</f>
        <v/>
      </c>
      <c r="F833" s="57">
        <f>IFERROR(INDEX(Firms!$L$5:$L$1004,MATCH(829,Firms!$R$5:$R$1004,0))&amp;"","")</f>
        <v/>
      </c>
      <c r="G833" s="57">
        <f>IFERROR(INDEX(Firms!$M$5:$M$1004,MATCH(829,Firms!$R$5:$R$1004,0))&amp;"","")</f>
        <v/>
      </c>
      <c r="H833" s="58">
        <f>IFERROR(INDEX(Firms!$Q$5:$Q$1004,MATCH(829,Firms!$R$5:$R$1004,0))&amp;"","")</f>
        <v/>
      </c>
    </row>
    <row r="834">
      <c r="A834" s="57">
        <f>IF(B834="","",830)</f>
        <v/>
      </c>
      <c r="B834" s="58">
        <f>IFERROR(INDEX(Firms!$A$5:$A$1004,MATCH(830,Firms!$R$5:$R$1004,0))&amp;"","")</f>
        <v/>
      </c>
      <c r="C834" s="59">
        <f>IFERROR(IF(INDEX(Firms!$O$5:$O$1004,MATCH(830,Firms!$R$5:$R$1004,0))="","",INDEX(Firms!$O$5:$O$1004,MATCH(830,Firms!$R$5:$R$1004,0))),"")</f>
        <v/>
      </c>
      <c r="D834" s="58">
        <f>IFERROR(INDEX(Firms!$P$5:$P$1004,MATCH(830,Firms!$R$5:$R$1004,0))&amp;"","")</f>
        <v/>
      </c>
      <c r="E834" s="58">
        <f>IFERROR(INDEX(Firms!$C$5:$C$1004,MATCH(830,Firms!$R$5:$R$1004,0))&amp;"","")</f>
        <v/>
      </c>
      <c r="F834" s="57">
        <f>IFERROR(INDEX(Firms!$L$5:$L$1004,MATCH(830,Firms!$R$5:$R$1004,0))&amp;"","")</f>
        <v/>
      </c>
      <c r="G834" s="57">
        <f>IFERROR(INDEX(Firms!$M$5:$M$1004,MATCH(830,Firms!$R$5:$R$1004,0))&amp;"","")</f>
        <v/>
      </c>
      <c r="H834" s="58">
        <f>IFERROR(INDEX(Firms!$Q$5:$Q$1004,MATCH(830,Firms!$R$5:$R$1004,0))&amp;"","")</f>
        <v/>
      </c>
    </row>
    <row r="835">
      <c r="A835" s="57">
        <f>IF(B835="","",831)</f>
        <v/>
      </c>
      <c r="B835" s="58">
        <f>IFERROR(INDEX(Firms!$A$5:$A$1004,MATCH(831,Firms!$R$5:$R$1004,0))&amp;"","")</f>
        <v/>
      </c>
      <c r="C835" s="59">
        <f>IFERROR(IF(INDEX(Firms!$O$5:$O$1004,MATCH(831,Firms!$R$5:$R$1004,0))="","",INDEX(Firms!$O$5:$O$1004,MATCH(831,Firms!$R$5:$R$1004,0))),"")</f>
        <v/>
      </c>
      <c r="D835" s="58">
        <f>IFERROR(INDEX(Firms!$P$5:$P$1004,MATCH(831,Firms!$R$5:$R$1004,0))&amp;"","")</f>
        <v/>
      </c>
      <c r="E835" s="58">
        <f>IFERROR(INDEX(Firms!$C$5:$C$1004,MATCH(831,Firms!$R$5:$R$1004,0))&amp;"","")</f>
        <v/>
      </c>
      <c r="F835" s="57">
        <f>IFERROR(INDEX(Firms!$L$5:$L$1004,MATCH(831,Firms!$R$5:$R$1004,0))&amp;"","")</f>
        <v/>
      </c>
      <c r="G835" s="57">
        <f>IFERROR(INDEX(Firms!$M$5:$M$1004,MATCH(831,Firms!$R$5:$R$1004,0))&amp;"","")</f>
        <v/>
      </c>
      <c r="H835" s="58">
        <f>IFERROR(INDEX(Firms!$Q$5:$Q$1004,MATCH(831,Firms!$R$5:$R$1004,0))&amp;"","")</f>
        <v/>
      </c>
    </row>
    <row r="836">
      <c r="A836" s="57">
        <f>IF(B836="","",832)</f>
        <v/>
      </c>
      <c r="B836" s="58">
        <f>IFERROR(INDEX(Firms!$A$5:$A$1004,MATCH(832,Firms!$R$5:$R$1004,0))&amp;"","")</f>
        <v/>
      </c>
      <c r="C836" s="59">
        <f>IFERROR(IF(INDEX(Firms!$O$5:$O$1004,MATCH(832,Firms!$R$5:$R$1004,0))="","",INDEX(Firms!$O$5:$O$1004,MATCH(832,Firms!$R$5:$R$1004,0))),"")</f>
        <v/>
      </c>
      <c r="D836" s="58">
        <f>IFERROR(INDEX(Firms!$P$5:$P$1004,MATCH(832,Firms!$R$5:$R$1004,0))&amp;"","")</f>
        <v/>
      </c>
      <c r="E836" s="58">
        <f>IFERROR(INDEX(Firms!$C$5:$C$1004,MATCH(832,Firms!$R$5:$R$1004,0))&amp;"","")</f>
        <v/>
      </c>
      <c r="F836" s="57">
        <f>IFERROR(INDEX(Firms!$L$5:$L$1004,MATCH(832,Firms!$R$5:$R$1004,0))&amp;"","")</f>
        <v/>
      </c>
      <c r="G836" s="57">
        <f>IFERROR(INDEX(Firms!$M$5:$M$1004,MATCH(832,Firms!$R$5:$R$1004,0))&amp;"","")</f>
        <v/>
      </c>
      <c r="H836" s="58">
        <f>IFERROR(INDEX(Firms!$Q$5:$Q$1004,MATCH(832,Firms!$R$5:$R$1004,0))&amp;"","")</f>
        <v/>
      </c>
    </row>
    <row r="837">
      <c r="A837" s="57">
        <f>IF(B837="","",833)</f>
        <v/>
      </c>
      <c r="B837" s="58">
        <f>IFERROR(INDEX(Firms!$A$5:$A$1004,MATCH(833,Firms!$R$5:$R$1004,0))&amp;"","")</f>
        <v/>
      </c>
      <c r="C837" s="59">
        <f>IFERROR(IF(INDEX(Firms!$O$5:$O$1004,MATCH(833,Firms!$R$5:$R$1004,0))="","",INDEX(Firms!$O$5:$O$1004,MATCH(833,Firms!$R$5:$R$1004,0))),"")</f>
        <v/>
      </c>
      <c r="D837" s="58">
        <f>IFERROR(INDEX(Firms!$P$5:$P$1004,MATCH(833,Firms!$R$5:$R$1004,0))&amp;"","")</f>
        <v/>
      </c>
      <c r="E837" s="58">
        <f>IFERROR(INDEX(Firms!$C$5:$C$1004,MATCH(833,Firms!$R$5:$R$1004,0))&amp;"","")</f>
        <v/>
      </c>
      <c r="F837" s="57">
        <f>IFERROR(INDEX(Firms!$L$5:$L$1004,MATCH(833,Firms!$R$5:$R$1004,0))&amp;"","")</f>
        <v/>
      </c>
      <c r="G837" s="57">
        <f>IFERROR(INDEX(Firms!$M$5:$M$1004,MATCH(833,Firms!$R$5:$R$1004,0))&amp;"","")</f>
        <v/>
      </c>
      <c r="H837" s="58">
        <f>IFERROR(INDEX(Firms!$Q$5:$Q$1004,MATCH(833,Firms!$R$5:$R$1004,0))&amp;"","")</f>
        <v/>
      </c>
    </row>
    <row r="838">
      <c r="A838" s="57">
        <f>IF(B838="","",834)</f>
        <v/>
      </c>
      <c r="B838" s="58">
        <f>IFERROR(INDEX(Firms!$A$5:$A$1004,MATCH(834,Firms!$R$5:$R$1004,0))&amp;"","")</f>
        <v/>
      </c>
      <c r="C838" s="59">
        <f>IFERROR(IF(INDEX(Firms!$O$5:$O$1004,MATCH(834,Firms!$R$5:$R$1004,0))="","",INDEX(Firms!$O$5:$O$1004,MATCH(834,Firms!$R$5:$R$1004,0))),"")</f>
        <v/>
      </c>
      <c r="D838" s="58">
        <f>IFERROR(INDEX(Firms!$P$5:$P$1004,MATCH(834,Firms!$R$5:$R$1004,0))&amp;"","")</f>
        <v/>
      </c>
      <c r="E838" s="58">
        <f>IFERROR(INDEX(Firms!$C$5:$C$1004,MATCH(834,Firms!$R$5:$R$1004,0))&amp;"","")</f>
        <v/>
      </c>
      <c r="F838" s="57">
        <f>IFERROR(INDEX(Firms!$L$5:$L$1004,MATCH(834,Firms!$R$5:$R$1004,0))&amp;"","")</f>
        <v/>
      </c>
      <c r="G838" s="57">
        <f>IFERROR(INDEX(Firms!$M$5:$M$1004,MATCH(834,Firms!$R$5:$R$1004,0))&amp;"","")</f>
        <v/>
      </c>
      <c r="H838" s="58">
        <f>IFERROR(INDEX(Firms!$Q$5:$Q$1004,MATCH(834,Firms!$R$5:$R$1004,0))&amp;"","")</f>
        <v/>
      </c>
    </row>
    <row r="839">
      <c r="A839" s="57">
        <f>IF(B839="","",835)</f>
        <v/>
      </c>
      <c r="B839" s="58">
        <f>IFERROR(INDEX(Firms!$A$5:$A$1004,MATCH(835,Firms!$R$5:$R$1004,0))&amp;"","")</f>
        <v/>
      </c>
      <c r="C839" s="59">
        <f>IFERROR(IF(INDEX(Firms!$O$5:$O$1004,MATCH(835,Firms!$R$5:$R$1004,0))="","",INDEX(Firms!$O$5:$O$1004,MATCH(835,Firms!$R$5:$R$1004,0))),"")</f>
        <v/>
      </c>
      <c r="D839" s="58">
        <f>IFERROR(INDEX(Firms!$P$5:$P$1004,MATCH(835,Firms!$R$5:$R$1004,0))&amp;"","")</f>
        <v/>
      </c>
      <c r="E839" s="58">
        <f>IFERROR(INDEX(Firms!$C$5:$C$1004,MATCH(835,Firms!$R$5:$R$1004,0))&amp;"","")</f>
        <v/>
      </c>
      <c r="F839" s="57">
        <f>IFERROR(INDEX(Firms!$L$5:$L$1004,MATCH(835,Firms!$R$5:$R$1004,0))&amp;"","")</f>
        <v/>
      </c>
      <c r="G839" s="57">
        <f>IFERROR(INDEX(Firms!$M$5:$M$1004,MATCH(835,Firms!$R$5:$R$1004,0))&amp;"","")</f>
        <v/>
      </c>
      <c r="H839" s="58">
        <f>IFERROR(INDEX(Firms!$Q$5:$Q$1004,MATCH(835,Firms!$R$5:$R$1004,0))&amp;"","")</f>
        <v/>
      </c>
    </row>
    <row r="840">
      <c r="A840" s="57">
        <f>IF(B840="","",836)</f>
        <v/>
      </c>
      <c r="B840" s="58">
        <f>IFERROR(INDEX(Firms!$A$5:$A$1004,MATCH(836,Firms!$R$5:$R$1004,0))&amp;"","")</f>
        <v/>
      </c>
      <c r="C840" s="59">
        <f>IFERROR(IF(INDEX(Firms!$O$5:$O$1004,MATCH(836,Firms!$R$5:$R$1004,0))="","",INDEX(Firms!$O$5:$O$1004,MATCH(836,Firms!$R$5:$R$1004,0))),"")</f>
        <v/>
      </c>
      <c r="D840" s="58">
        <f>IFERROR(INDEX(Firms!$P$5:$P$1004,MATCH(836,Firms!$R$5:$R$1004,0))&amp;"","")</f>
        <v/>
      </c>
      <c r="E840" s="58">
        <f>IFERROR(INDEX(Firms!$C$5:$C$1004,MATCH(836,Firms!$R$5:$R$1004,0))&amp;"","")</f>
        <v/>
      </c>
      <c r="F840" s="57">
        <f>IFERROR(INDEX(Firms!$L$5:$L$1004,MATCH(836,Firms!$R$5:$R$1004,0))&amp;"","")</f>
        <v/>
      </c>
      <c r="G840" s="57">
        <f>IFERROR(INDEX(Firms!$M$5:$M$1004,MATCH(836,Firms!$R$5:$R$1004,0))&amp;"","")</f>
        <v/>
      </c>
      <c r="H840" s="58">
        <f>IFERROR(INDEX(Firms!$Q$5:$Q$1004,MATCH(836,Firms!$R$5:$R$1004,0))&amp;"","")</f>
        <v/>
      </c>
    </row>
    <row r="841">
      <c r="A841" s="57">
        <f>IF(B841="","",837)</f>
        <v/>
      </c>
      <c r="B841" s="58">
        <f>IFERROR(INDEX(Firms!$A$5:$A$1004,MATCH(837,Firms!$R$5:$R$1004,0))&amp;"","")</f>
        <v/>
      </c>
      <c r="C841" s="59">
        <f>IFERROR(IF(INDEX(Firms!$O$5:$O$1004,MATCH(837,Firms!$R$5:$R$1004,0))="","",INDEX(Firms!$O$5:$O$1004,MATCH(837,Firms!$R$5:$R$1004,0))),"")</f>
        <v/>
      </c>
      <c r="D841" s="58">
        <f>IFERROR(INDEX(Firms!$P$5:$P$1004,MATCH(837,Firms!$R$5:$R$1004,0))&amp;"","")</f>
        <v/>
      </c>
      <c r="E841" s="58">
        <f>IFERROR(INDEX(Firms!$C$5:$C$1004,MATCH(837,Firms!$R$5:$R$1004,0))&amp;"","")</f>
        <v/>
      </c>
      <c r="F841" s="57">
        <f>IFERROR(INDEX(Firms!$L$5:$L$1004,MATCH(837,Firms!$R$5:$R$1004,0))&amp;"","")</f>
        <v/>
      </c>
      <c r="G841" s="57">
        <f>IFERROR(INDEX(Firms!$M$5:$M$1004,MATCH(837,Firms!$R$5:$R$1004,0))&amp;"","")</f>
        <v/>
      </c>
      <c r="H841" s="58">
        <f>IFERROR(INDEX(Firms!$Q$5:$Q$1004,MATCH(837,Firms!$R$5:$R$1004,0))&amp;"","")</f>
        <v/>
      </c>
    </row>
    <row r="842">
      <c r="A842" s="57">
        <f>IF(B842="","",838)</f>
        <v/>
      </c>
      <c r="B842" s="58">
        <f>IFERROR(INDEX(Firms!$A$5:$A$1004,MATCH(838,Firms!$R$5:$R$1004,0))&amp;"","")</f>
        <v/>
      </c>
      <c r="C842" s="59">
        <f>IFERROR(IF(INDEX(Firms!$O$5:$O$1004,MATCH(838,Firms!$R$5:$R$1004,0))="","",INDEX(Firms!$O$5:$O$1004,MATCH(838,Firms!$R$5:$R$1004,0))),"")</f>
        <v/>
      </c>
      <c r="D842" s="58">
        <f>IFERROR(INDEX(Firms!$P$5:$P$1004,MATCH(838,Firms!$R$5:$R$1004,0))&amp;"","")</f>
        <v/>
      </c>
      <c r="E842" s="58">
        <f>IFERROR(INDEX(Firms!$C$5:$C$1004,MATCH(838,Firms!$R$5:$R$1004,0))&amp;"","")</f>
        <v/>
      </c>
      <c r="F842" s="57">
        <f>IFERROR(INDEX(Firms!$L$5:$L$1004,MATCH(838,Firms!$R$5:$R$1004,0))&amp;"","")</f>
        <v/>
      </c>
      <c r="G842" s="57">
        <f>IFERROR(INDEX(Firms!$M$5:$M$1004,MATCH(838,Firms!$R$5:$R$1004,0))&amp;"","")</f>
        <v/>
      </c>
      <c r="H842" s="58">
        <f>IFERROR(INDEX(Firms!$Q$5:$Q$1004,MATCH(838,Firms!$R$5:$R$1004,0))&amp;"","")</f>
        <v/>
      </c>
    </row>
    <row r="843">
      <c r="A843" s="57">
        <f>IF(B843="","",839)</f>
        <v/>
      </c>
      <c r="B843" s="58">
        <f>IFERROR(INDEX(Firms!$A$5:$A$1004,MATCH(839,Firms!$R$5:$R$1004,0))&amp;"","")</f>
        <v/>
      </c>
      <c r="C843" s="59">
        <f>IFERROR(IF(INDEX(Firms!$O$5:$O$1004,MATCH(839,Firms!$R$5:$R$1004,0))="","",INDEX(Firms!$O$5:$O$1004,MATCH(839,Firms!$R$5:$R$1004,0))),"")</f>
        <v/>
      </c>
      <c r="D843" s="58">
        <f>IFERROR(INDEX(Firms!$P$5:$P$1004,MATCH(839,Firms!$R$5:$R$1004,0))&amp;"","")</f>
        <v/>
      </c>
      <c r="E843" s="58">
        <f>IFERROR(INDEX(Firms!$C$5:$C$1004,MATCH(839,Firms!$R$5:$R$1004,0))&amp;"","")</f>
        <v/>
      </c>
      <c r="F843" s="57">
        <f>IFERROR(INDEX(Firms!$L$5:$L$1004,MATCH(839,Firms!$R$5:$R$1004,0))&amp;"","")</f>
        <v/>
      </c>
      <c r="G843" s="57">
        <f>IFERROR(INDEX(Firms!$M$5:$M$1004,MATCH(839,Firms!$R$5:$R$1004,0))&amp;"","")</f>
        <v/>
      </c>
      <c r="H843" s="58">
        <f>IFERROR(INDEX(Firms!$Q$5:$Q$1004,MATCH(839,Firms!$R$5:$R$1004,0))&amp;"","")</f>
        <v/>
      </c>
    </row>
    <row r="844">
      <c r="A844" s="57">
        <f>IF(B844="","",840)</f>
        <v/>
      </c>
      <c r="B844" s="58">
        <f>IFERROR(INDEX(Firms!$A$5:$A$1004,MATCH(840,Firms!$R$5:$R$1004,0))&amp;"","")</f>
        <v/>
      </c>
      <c r="C844" s="59">
        <f>IFERROR(IF(INDEX(Firms!$O$5:$O$1004,MATCH(840,Firms!$R$5:$R$1004,0))="","",INDEX(Firms!$O$5:$O$1004,MATCH(840,Firms!$R$5:$R$1004,0))),"")</f>
        <v/>
      </c>
      <c r="D844" s="58">
        <f>IFERROR(INDEX(Firms!$P$5:$P$1004,MATCH(840,Firms!$R$5:$R$1004,0))&amp;"","")</f>
        <v/>
      </c>
      <c r="E844" s="58">
        <f>IFERROR(INDEX(Firms!$C$5:$C$1004,MATCH(840,Firms!$R$5:$R$1004,0))&amp;"","")</f>
        <v/>
      </c>
      <c r="F844" s="57">
        <f>IFERROR(INDEX(Firms!$L$5:$L$1004,MATCH(840,Firms!$R$5:$R$1004,0))&amp;"","")</f>
        <v/>
      </c>
      <c r="G844" s="57">
        <f>IFERROR(INDEX(Firms!$M$5:$M$1004,MATCH(840,Firms!$R$5:$R$1004,0))&amp;"","")</f>
        <v/>
      </c>
      <c r="H844" s="58">
        <f>IFERROR(INDEX(Firms!$Q$5:$Q$1004,MATCH(840,Firms!$R$5:$R$1004,0))&amp;"","")</f>
        <v/>
      </c>
    </row>
    <row r="845">
      <c r="A845" s="57">
        <f>IF(B845="","",841)</f>
        <v/>
      </c>
      <c r="B845" s="58">
        <f>IFERROR(INDEX(Firms!$A$5:$A$1004,MATCH(841,Firms!$R$5:$R$1004,0))&amp;"","")</f>
        <v/>
      </c>
      <c r="C845" s="59">
        <f>IFERROR(IF(INDEX(Firms!$O$5:$O$1004,MATCH(841,Firms!$R$5:$R$1004,0))="","",INDEX(Firms!$O$5:$O$1004,MATCH(841,Firms!$R$5:$R$1004,0))),"")</f>
        <v/>
      </c>
      <c r="D845" s="58">
        <f>IFERROR(INDEX(Firms!$P$5:$P$1004,MATCH(841,Firms!$R$5:$R$1004,0))&amp;"","")</f>
        <v/>
      </c>
      <c r="E845" s="58">
        <f>IFERROR(INDEX(Firms!$C$5:$C$1004,MATCH(841,Firms!$R$5:$R$1004,0))&amp;"","")</f>
        <v/>
      </c>
      <c r="F845" s="57">
        <f>IFERROR(INDEX(Firms!$L$5:$L$1004,MATCH(841,Firms!$R$5:$R$1004,0))&amp;"","")</f>
        <v/>
      </c>
      <c r="G845" s="57">
        <f>IFERROR(INDEX(Firms!$M$5:$M$1004,MATCH(841,Firms!$R$5:$R$1004,0))&amp;"","")</f>
        <v/>
      </c>
      <c r="H845" s="58">
        <f>IFERROR(INDEX(Firms!$Q$5:$Q$1004,MATCH(841,Firms!$R$5:$R$1004,0))&amp;"","")</f>
        <v/>
      </c>
    </row>
    <row r="846">
      <c r="A846" s="57">
        <f>IF(B846="","",842)</f>
        <v/>
      </c>
      <c r="B846" s="58">
        <f>IFERROR(INDEX(Firms!$A$5:$A$1004,MATCH(842,Firms!$R$5:$R$1004,0))&amp;"","")</f>
        <v/>
      </c>
      <c r="C846" s="59">
        <f>IFERROR(IF(INDEX(Firms!$O$5:$O$1004,MATCH(842,Firms!$R$5:$R$1004,0))="","",INDEX(Firms!$O$5:$O$1004,MATCH(842,Firms!$R$5:$R$1004,0))),"")</f>
        <v/>
      </c>
      <c r="D846" s="58">
        <f>IFERROR(INDEX(Firms!$P$5:$P$1004,MATCH(842,Firms!$R$5:$R$1004,0))&amp;"","")</f>
        <v/>
      </c>
      <c r="E846" s="58">
        <f>IFERROR(INDEX(Firms!$C$5:$C$1004,MATCH(842,Firms!$R$5:$R$1004,0))&amp;"","")</f>
        <v/>
      </c>
      <c r="F846" s="57">
        <f>IFERROR(INDEX(Firms!$L$5:$L$1004,MATCH(842,Firms!$R$5:$R$1004,0))&amp;"","")</f>
        <v/>
      </c>
      <c r="G846" s="57">
        <f>IFERROR(INDEX(Firms!$M$5:$M$1004,MATCH(842,Firms!$R$5:$R$1004,0))&amp;"","")</f>
        <v/>
      </c>
      <c r="H846" s="58">
        <f>IFERROR(INDEX(Firms!$Q$5:$Q$1004,MATCH(842,Firms!$R$5:$R$1004,0))&amp;"","")</f>
        <v/>
      </c>
    </row>
    <row r="847">
      <c r="A847" s="57">
        <f>IF(B847="","",843)</f>
        <v/>
      </c>
      <c r="B847" s="58">
        <f>IFERROR(INDEX(Firms!$A$5:$A$1004,MATCH(843,Firms!$R$5:$R$1004,0))&amp;"","")</f>
        <v/>
      </c>
      <c r="C847" s="59">
        <f>IFERROR(IF(INDEX(Firms!$O$5:$O$1004,MATCH(843,Firms!$R$5:$R$1004,0))="","",INDEX(Firms!$O$5:$O$1004,MATCH(843,Firms!$R$5:$R$1004,0))),"")</f>
        <v/>
      </c>
      <c r="D847" s="58">
        <f>IFERROR(INDEX(Firms!$P$5:$P$1004,MATCH(843,Firms!$R$5:$R$1004,0))&amp;"","")</f>
        <v/>
      </c>
      <c r="E847" s="58">
        <f>IFERROR(INDEX(Firms!$C$5:$C$1004,MATCH(843,Firms!$R$5:$R$1004,0))&amp;"","")</f>
        <v/>
      </c>
      <c r="F847" s="57">
        <f>IFERROR(INDEX(Firms!$L$5:$L$1004,MATCH(843,Firms!$R$5:$R$1004,0))&amp;"","")</f>
        <v/>
      </c>
      <c r="G847" s="57">
        <f>IFERROR(INDEX(Firms!$M$5:$M$1004,MATCH(843,Firms!$R$5:$R$1004,0))&amp;"","")</f>
        <v/>
      </c>
      <c r="H847" s="58">
        <f>IFERROR(INDEX(Firms!$Q$5:$Q$1004,MATCH(843,Firms!$R$5:$R$1004,0))&amp;"","")</f>
        <v/>
      </c>
    </row>
    <row r="848">
      <c r="A848" s="57">
        <f>IF(B848="","",844)</f>
        <v/>
      </c>
      <c r="B848" s="58">
        <f>IFERROR(INDEX(Firms!$A$5:$A$1004,MATCH(844,Firms!$R$5:$R$1004,0))&amp;"","")</f>
        <v/>
      </c>
      <c r="C848" s="59">
        <f>IFERROR(IF(INDEX(Firms!$O$5:$O$1004,MATCH(844,Firms!$R$5:$R$1004,0))="","",INDEX(Firms!$O$5:$O$1004,MATCH(844,Firms!$R$5:$R$1004,0))),"")</f>
        <v/>
      </c>
      <c r="D848" s="58">
        <f>IFERROR(INDEX(Firms!$P$5:$P$1004,MATCH(844,Firms!$R$5:$R$1004,0))&amp;"","")</f>
        <v/>
      </c>
      <c r="E848" s="58">
        <f>IFERROR(INDEX(Firms!$C$5:$C$1004,MATCH(844,Firms!$R$5:$R$1004,0))&amp;"","")</f>
        <v/>
      </c>
      <c r="F848" s="57">
        <f>IFERROR(INDEX(Firms!$L$5:$L$1004,MATCH(844,Firms!$R$5:$R$1004,0))&amp;"","")</f>
        <v/>
      </c>
      <c r="G848" s="57">
        <f>IFERROR(INDEX(Firms!$M$5:$M$1004,MATCH(844,Firms!$R$5:$R$1004,0))&amp;"","")</f>
        <v/>
      </c>
      <c r="H848" s="58">
        <f>IFERROR(INDEX(Firms!$Q$5:$Q$1004,MATCH(844,Firms!$R$5:$R$1004,0))&amp;"","")</f>
        <v/>
      </c>
    </row>
    <row r="849">
      <c r="A849" s="57">
        <f>IF(B849="","",845)</f>
        <v/>
      </c>
      <c r="B849" s="58">
        <f>IFERROR(INDEX(Firms!$A$5:$A$1004,MATCH(845,Firms!$R$5:$R$1004,0))&amp;"","")</f>
        <v/>
      </c>
      <c r="C849" s="59">
        <f>IFERROR(IF(INDEX(Firms!$O$5:$O$1004,MATCH(845,Firms!$R$5:$R$1004,0))="","",INDEX(Firms!$O$5:$O$1004,MATCH(845,Firms!$R$5:$R$1004,0))),"")</f>
        <v/>
      </c>
      <c r="D849" s="58">
        <f>IFERROR(INDEX(Firms!$P$5:$P$1004,MATCH(845,Firms!$R$5:$R$1004,0))&amp;"","")</f>
        <v/>
      </c>
      <c r="E849" s="58">
        <f>IFERROR(INDEX(Firms!$C$5:$C$1004,MATCH(845,Firms!$R$5:$R$1004,0))&amp;"","")</f>
        <v/>
      </c>
      <c r="F849" s="57">
        <f>IFERROR(INDEX(Firms!$L$5:$L$1004,MATCH(845,Firms!$R$5:$R$1004,0))&amp;"","")</f>
        <v/>
      </c>
      <c r="G849" s="57">
        <f>IFERROR(INDEX(Firms!$M$5:$M$1004,MATCH(845,Firms!$R$5:$R$1004,0))&amp;"","")</f>
        <v/>
      </c>
      <c r="H849" s="58">
        <f>IFERROR(INDEX(Firms!$Q$5:$Q$1004,MATCH(845,Firms!$R$5:$R$1004,0))&amp;"","")</f>
        <v/>
      </c>
    </row>
    <row r="850">
      <c r="A850" s="57">
        <f>IF(B850="","",846)</f>
        <v/>
      </c>
      <c r="B850" s="58">
        <f>IFERROR(INDEX(Firms!$A$5:$A$1004,MATCH(846,Firms!$R$5:$R$1004,0))&amp;"","")</f>
        <v/>
      </c>
      <c r="C850" s="59">
        <f>IFERROR(IF(INDEX(Firms!$O$5:$O$1004,MATCH(846,Firms!$R$5:$R$1004,0))="","",INDEX(Firms!$O$5:$O$1004,MATCH(846,Firms!$R$5:$R$1004,0))),"")</f>
        <v/>
      </c>
      <c r="D850" s="58">
        <f>IFERROR(INDEX(Firms!$P$5:$P$1004,MATCH(846,Firms!$R$5:$R$1004,0))&amp;"","")</f>
        <v/>
      </c>
      <c r="E850" s="58">
        <f>IFERROR(INDEX(Firms!$C$5:$C$1004,MATCH(846,Firms!$R$5:$R$1004,0))&amp;"","")</f>
        <v/>
      </c>
      <c r="F850" s="57">
        <f>IFERROR(INDEX(Firms!$L$5:$L$1004,MATCH(846,Firms!$R$5:$R$1004,0))&amp;"","")</f>
        <v/>
      </c>
      <c r="G850" s="57">
        <f>IFERROR(INDEX(Firms!$M$5:$M$1004,MATCH(846,Firms!$R$5:$R$1004,0))&amp;"","")</f>
        <v/>
      </c>
      <c r="H850" s="58">
        <f>IFERROR(INDEX(Firms!$Q$5:$Q$1004,MATCH(846,Firms!$R$5:$R$1004,0))&amp;"","")</f>
        <v/>
      </c>
    </row>
    <row r="851">
      <c r="A851" s="57">
        <f>IF(B851="","",847)</f>
        <v/>
      </c>
      <c r="B851" s="58">
        <f>IFERROR(INDEX(Firms!$A$5:$A$1004,MATCH(847,Firms!$R$5:$R$1004,0))&amp;"","")</f>
        <v/>
      </c>
      <c r="C851" s="59">
        <f>IFERROR(IF(INDEX(Firms!$O$5:$O$1004,MATCH(847,Firms!$R$5:$R$1004,0))="","",INDEX(Firms!$O$5:$O$1004,MATCH(847,Firms!$R$5:$R$1004,0))),"")</f>
        <v/>
      </c>
      <c r="D851" s="58">
        <f>IFERROR(INDEX(Firms!$P$5:$P$1004,MATCH(847,Firms!$R$5:$R$1004,0))&amp;"","")</f>
        <v/>
      </c>
      <c r="E851" s="58">
        <f>IFERROR(INDEX(Firms!$C$5:$C$1004,MATCH(847,Firms!$R$5:$R$1004,0))&amp;"","")</f>
        <v/>
      </c>
      <c r="F851" s="57">
        <f>IFERROR(INDEX(Firms!$L$5:$L$1004,MATCH(847,Firms!$R$5:$R$1004,0))&amp;"","")</f>
        <v/>
      </c>
      <c r="G851" s="57">
        <f>IFERROR(INDEX(Firms!$M$5:$M$1004,MATCH(847,Firms!$R$5:$R$1004,0))&amp;"","")</f>
        <v/>
      </c>
      <c r="H851" s="58">
        <f>IFERROR(INDEX(Firms!$Q$5:$Q$1004,MATCH(847,Firms!$R$5:$R$1004,0))&amp;"","")</f>
        <v/>
      </c>
    </row>
    <row r="852">
      <c r="A852" s="57">
        <f>IF(B852="","",848)</f>
        <v/>
      </c>
      <c r="B852" s="58">
        <f>IFERROR(INDEX(Firms!$A$5:$A$1004,MATCH(848,Firms!$R$5:$R$1004,0))&amp;"","")</f>
        <v/>
      </c>
      <c r="C852" s="59">
        <f>IFERROR(IF(INDEX(Firms!$O$5:$O$1004,MATCH(848,Firms!$R$5:$R$1004,0))="","",INDEX(Firms!$O$5:$O$1004,MATCH(848,Firms!$R$5:$R$1004,0))),"")</f>
        <v/>
      </c>
      <c r="D852" s="58">
        <f>IFERROR(INDEX(Firms!$P$5:$P$1004,MATCH(848,Firms!$R$5:$R$1004,0))&amp;"","")</f>
        <v/>
      </c>
      <c r="E852" s="58">
        <f>IFERROR(INDEX(Firms!$C$5:$C$1004,MATCH(848,Firms!$R$5:$R$1004,0))&amp;"","")</f>
        <v/>
      </c>
      <c r="F852" s="57">
        <f>IFERROR(INDEX(Firms!$L$5:$L$1004,MATCH(848,Firms!$R$5:$R$1004,0))&amp;"","")</f>
        <v/>
      </c>
      <c r="G852" s="57">
        <f>IFERROR(INDEX(Firms!$M$5:$M$1004,MATCH(848,Firms!$R$5:$R$1004,0))&amp;"","")</f>
        <v/>
      </c>
      <c r="H852" s="58">
        <f>IFERROR(INDEX(Firms!$Q$5:$Q$1004,MATCH(848,Firms!$R$5:$R$1004,0))&amp;"","")</f>
        <v/>
      </c>
    </row>
    <row r="853">
      <c r="A853" s="57">
        <f>IF(B853="","",849)</f>
        <v/>
      </c>
      <c r="B853" s="58">
        <f>IFERROR(INDEX(Firms!$A$5:$A$1004,MATCH(849,Firms!$R$5:$R$1004,0))&amp;"","")</f>
        <v/>
      </c>
      <c r="C853" s="59">
        <f>IFERROR(IF(INDEX(Firms!$O$5:$O$1004,MATCH(849,Firms!$R$5:$R$1004,0))="","",INDEX(Firms!$O$5:$O$1004,MATCH(849,Firms!$R$5:$R$1004,0))),"")</f>
        <v/>
      </c>
      <c r="D853" s="58">
        <f>IFERROR(INDEX(Firms!$P$5:$P$1004,MATCH(849,Firms!$R$5:$R$1004,0))&amp;"","")</f>
        <v/>
      </c>
      <c r="E853" s="58">
        <f>IFERROR(INDEX(Firms!$C$5:$C$1004,MATCH(849,Firms!$R$5:$R$1004,0))&amp;"","")</f>
        <v/>
      </c>
      <c r="F853" s="57">
        <f>IFERROR(INDEX(Firms!$L$5:$L$1004,MATCH(849,Firms!$R$5:$R$1004,0))&amp;"","")</f>
        <v/>
      </c>
      <c r="G853" s="57">
        <f>IFERROR(INDEX(Firms!$M$5:$M$1004,MATCH(849,Firms!$R$5:$R$1004,0))&amp;"","")</f>
        <v/>
      </c>
      <c r="H853" s="58">
        <f>IFERROR(INDEX(Firms!$Q$5:$Q$1004,MATCH(849,Firms!$R$5:$R$1004,0))&amp;"","")</f>
        <v/>
      </c>
    </row>
    <row r="854">
      <c r="A854" s="57">
        <f>IF(B854="","",850)</f>
        <v/>
      </c>
      <c r="B854" s="58">
        <f>IFERROR(INDEX(Firms!$A$5:$A$1004,MATCH(850,Firms!$R$5:$R$1004,0))&amp;"","")</f>
        <v/>
      </c>
      <c r="C854" s="59">
        <f>IFERROR(IF(INDEX(Firms!$O$5:$O$1004,MATCH(850,Firms!$R$5:$R$1004,0))="","",INDEX(Firms!$O$5:$O$1004,MATCH(850,Firms!$R$5:$R$1004,0))),"")</f>
        <v/>
      </c>
      <c r="D854" s="58">
        <f>IFERROR(INDEX(Firms!$P$5:$P$1004,MATCH(850,Firms!$R$5:$R$1004,0))&amp;"","")</f>
        <v/>
      </c>
      <c r="E854" s="58">
        <f>IFERROR(INDEX(Firms!$C$5:$C$1004,MATCH(850,Firms!$R$5:$R$1004,0))&amp;"","")</f>
        <v/>
      </c>
      <c r="F854" s="57">
        <f>IFERROR(INDEX(Firms!$L$5:$L$1004,MATCH(850,Firms!$R$5:$R$1004,0))&amp;"","")</f>
        <v/>
      </c>
      <c r="G854" s="57">
        <f>IFERROR(INDEX(Firms!$M$5:$M$1004,MATCH(850,Firms!$R$5:$R$1004,0))&amp;"","")</f>
        <v/>
      </c>
      <c r="H854" s="58">
        <f>IFERROR(INDEX(Firms!$Q$5:$Q$1004,MATCH(850,Firms!$R$5:$R$1004,0))&amp;"","")</f>
        <v/>
      </c>
    </row>
    <row r="855">
      <c r="A855" s="57">
        <f>IF(B855="","",851)</f>
        <v/>
      </c>
      <c r="B855" s="58">
        <f>IFERROR(INDEX(Firms!$A$5:$A$1004,MATCH(851,Firms!$R$5:$R$1004,0))&amp;"","")</f>
        <v/>
      </c>
      <c r="C855" s="59">
        <f>IFERROR(IF(INDEX(Firms!$O$5:$O$1004,MATCH(851,Firms!$R$5:$R$1004,0))="","",INDEX(Firms!$O$5:$O$1004,MATCH(851,Firms!$R$5:$R$1004,0))),"")</f>
        <v/>
      </c>
      <c r="D855" s="58">
        <f>IFERROR(INDEX(Firms!$P$5:$P$1004,MATCH(851,Firms!$R$5:$R$1004,0))&amp;"","")</f>
        <v/>
      </c>
      <c r="E855" s="58">
        <f>IFERROR(INDEX(Firms!$C$5:$C$1004,MATCH(851,Firms!$R$5:$R$1004,0))&amp;"","")</f>
        <v/>
      </c>
      <c r="F855" s="57">
        <f>IFERROR(INDEX(Firms!$L$5:$L$1004,MATCH(851,Firms!$R$5:$R$1004,0))&amp;"","")</f>
        <v/>
      </c>
      <c r="G855" s="57">
        <f>IFERROR(INDEX(Firms!$M$5:$M$1004,MATCH(851,Firms!$R$5:$R$1004,0))&amp;"","")</f>
        <v/>
      </c>
      <c r="H855" s="58">
        <f>IFERROR(INDEX(Firms!$Q$5:$Q$1004,MATCH(851,Firms!$R$5:$R$1004,0))&amp;"","")</f>
        <v/>
      </c>
    </row>
    <row r="856">
      <c r="A856" s="57">
        <f>IF(B856="","",852)</f>
        <v/>
      </c>
      <c r="B856" s="58">
        <f>IFERROR(INDEX(Firms!$A$5:$A$1004,MATCH(852,Firms!$R$5:$R$1004,0))&amp;"","")</f>
        <v/>
      </c>
      <c r="C856" s="59">
        <f>IFERROR(IF(INDEX(Firms!$O$5:$O$1004,MATCH(852,Firms!$R$5:$R$1004,0))="","",INDEX(Firms!$O$5:$O$1004,MATCH(852,Firms!$R$5:$R$1004,0))),"")</f>
        <v/>
      </c>
      <c r="D856" s="58">
        <f>IFERROR(INDEX(Firms!$P$5:$P$1004,MATCH(852,Firms!$R$5:$R$1004,0))&amp;"","")</f>
        <v/>
      </c>
      <c r="E856" s="58">
        <f>IFERROR(INDEX(Firms!$C$5:$C$1004,MATCH(852,Firms!$R$5:$R$1004,0))&amp;"","")</f>
        <v/>
      </c>
      <c r="F856" s="57">
        <f>IFERROR(INDEX(Firms!$L$5:$L$1004,MATCH(852,Firms!$R$5:$R$1004,0))&amp;"","")</f>
        <v/>
      </c>
      <c r="G856" s="57">
        <f>IFERROR(INDEX(Firms!$M$5:$M$1004,MATCH(852,Firms!$R$5:$R$1004,0))&amp;"","")</f>
        <v/>
      </c>
      <c r="H856" s="58">
        <f>IFERROR(INDEX(Firms!$Q$5:$Q$1004,MATCH(852,Firms!$R$5:$R$1004,0))&amp;"","")</f>
        <v/>
      </c>
    </row>
    <row r="857">
      <c r="A857" s="57">
        <f>IF(B857="","",853)</f>
        <v/>
      </c>
      <c r="B857" s="58">
        <f>IFERROR(INDEX(Firms!$A$5:$A$1004,MATCH(853,Firms!$R$5:$R$1004,0))&amp;"","")</f>
        <v/>
      </c>
      <c r="C857" s="59">
        <f>IFERROR(IF(INDEX(Firms!$O$5:$O$1004,MATCH(853,Firms!$R$5:$R$1004,0))="","",INDEX(Firms!$O$5:$O$1004,MATCH(853,Firms!$R$5:$R$1004,0))),"")</f>
        <v/>
      </c>
      <c r="D857" s="58">
        <f>IFERROR(INDEX(Firms!$P$5:$P$1004,MATCH(853,Firms!$R$5:$R$1004,0))&amp;"","")</f>
        <v/>
      </c>
      <c r="E857" s="58">
        <f>IFERROR(INDEX(Firms!$C$5:$C$1004,MATCH(853,Firms!$R$5:$R$1004,0))&amp;"","")</f>
        <v/>
      </c>
      <c r="F857" s="57">
        <f>IFERROR(INDEX(Firms!$L$5:$L$1004,MATCH(853,Firms!$R$5:$R$1004,0))&amp;"","")</f>
        <v/>
      </c>
      <c r="G857" s="57">
        <f>IFERROR(INDEX(Firms!$M$5:$M$1004,MATCH(853,Firms!$R$5:$R$1004,0))&amp;"","")</f>
        <v/>
      </c>
      <c r="H857" s="58">
        <f>IFERROR(INDEX(Firms!$Q$5:$Q$1004,MATCH(853,Firms!$R$5:$R$1004,0))&amp;"","")</f>
        <v/>
      </c>
    </row>
    <row r="858">
      <c r="A858" s="57">
        <f>IF(B858="","",854)</f>
        <v/>
      </c>
      <c r="B858" s="58">
        <f>IFERROR(INDEX(Firms!$A$5:$A$1004,MATCH(854,Firms!$R$5:$R$1004,0))&amp;"","")</f>
        <v/>
      </c>
      <c r="C858" s="59">
        <f>IFERROR(IF(INDEX(Firms!$O$5:$O$1004,MATCH(854,Firms!$R$5:$R$1004,0))="","",INDEX(Firms!$O$5:$O$1004,MATCH(854,Firms!$R$5:$R$1004,0))),"")</f>
        <v/>
      </c>
      <c r="D858" s="58">
        <f>IFERROR(INDEX(Firms!$P$5:$P$1004,MATCH(854,Firms!$R$5:$R$1004,0))&amp;"","")</f>
        <v/>
      </c>
      <c r="E858" s="58">
        <f>IFERROR(INDEX(Firms!$C$5:$C$1004,MATCH(854,Firms!$R$5:$R$1004,0))&amp;"","")</f>
        <v/>
      </c>
      <c r="F858" s="57">
        <f>IFERROR(INDEX(Firms!$L$5:$L$1004,MATCH(854,Firms!$R$5:$R$1004,0))&amp;"","")</f>
        <v/>
      </c>
      <c r="G858" s="57">
        <f>IFERROR(INDEX(Firms!$M$5:$M$1004,MATCH(854,Firms!$R$5:$R$1004,0))&amp;"","")</f>
        <v/>
      </c>
      <c r="H858" s="58">
        <f>IFERROR(INDEX(Firms!$Q$5:$Q$1004,MATCH(854,Firms!$R$5:$R$1004,0))&amp;"","")</f>
        <v/>
      </c>
    </row>
    <row r="859">
      <c r="A859" s="57">
        <f>IF(B859="","",855)</f>
        <v/>
      </c>
      <c r="B859" s="58">
        <f>IFERROR(INDEX(Firms!$A$5:$A$1004,MATCH(855,Firms!$R$5:$R$1004,0))&amp;"","")</f>
        <v/>
      </c>
      <c r="C859" s="59">
        <f>IFERROR(IF(INDEX(Firms!$O$5:$O$1004,MATCH(855,Firms!$R$5:$R$1004,0))="","",INDEX(Firms!$O$5:$O$1004,MATCH(855,Firms!$R$5:$R$1004,0))),"")</f>
        <v/>
      </c>
      <c r="D859" s="58">
        <f>IFERROR(INDEX(Firms!$P$5:$P$1004,MATCH(855,Firms!$R$5:$R$1004,0))&amp;"","")</f>
        <v/>
      </c>
      <c r="E859" s="58">
        <f>IFERROR(INDEX(Firms!$C$5:$C$1004,MATCH(855,Firms!$R$5:$R$1004,0))&amp;"","")</f>
        <v/>
      </c>
      <c r="F859" s="57">
        <f>IFERROR(INDEX(Firms!$L$5:$L$1004,MATCH(855,Firms!$R$5:$R$1004,0))&amp;"","")</f>
        <v/>
      </c>
      <c r="G859" s="57">
        <f>IFERROR(INDEX(Firms!$M$5:$M$1004,MATCH(855,Firms!$R$5:$R$1004,0))&amp;"","")</f>
        <v/>
      </c>
      <c r="H859" s="58">
        <f>IFERROR(INDEX(Firms!$Q$5:$Q$1004,MATCH(855,Firms!$R$5:$R$1004,0))&amp;"","")</f>
        <v/>
      </c>
    </row>
    <row r="860">
      <c r="A860" s="57">
        <f>IF(B860="","",856)</f>
        <v/>
      </c>
      <c r="B860" s="58">
        <f>IFERROR(INDEX(Firms!$A$5:$A$1004,MATCH(856,Firms!$R$5:$R$1004,0))&amp;"","")</f>
        <v/>
      </c>
      <c r="C860" s="59">
        <f>IFERROR(IF(INDEX(Firms!$O$5:$O$1004,MATCH(856,Firms!$R$5:$R$1004,0))="","",INDEX(Firms!$O$5:$O$1004,MATCH(856,Firms!$R$5:$R$1004,0))),"")</f>
        <v/>
      </c>
      <c r="D860" s="58">
        <f>IFERROR(INDEX(Firms!$P$5:$P$1004,MATCH(856,Firms!$R$5:$R$1004,0))&amp;"","")</f>
        <v/>
      </c>
      <c r="E860" s="58">
        <f>IFERROR(INDEX(Firms!$C$5:$C$1004,MATCH(856,Firms!$R$5:$R$1004,0))&amp;"","")</f>
        <v/>
      </c>
      <c r="F860" s="57">
        <f>IFERROR(INDEX(Firms!$L$5:$L$1004,MATCH(856,Firms!$R$5:$R$1004,0))&amp;"","")</f>
        <v/>
      </c>
      <c r="G860" s="57">
        <f>IFERROR(INDEX(Firms!$M$5:$M$1004,MATCH(856,Firms!$R$5:$R$1004,0))&amp;"","")</f>
        <v/>
      </c>
      <c r="H860" s="58">
        <f>IFERROR(INDEX(Firms!$Q$5:$Q$1004,MATCH(856,Firms!$R$5:$R$1004,0))&amp;"","")</f>
        <v/>
      </c>
    </row>
    <row r="861">
      <c r="A861" s="57">
        <f>IF(B861="","",857)</f>
        <v/>
      </c>
      <c r="B861" s="58">
        <f>IFERROR(INDEX(Firms!$A$5:$A$1004,MATCH(857,Firms!$R$5:$R$1004,0))&amp;"","")</f>
        <v/>
      </c>
      <c r="C861" s="59">
        <f>IFERROR(IF(INDEX(Firms!$O$5:$O$1004,MATCH(857,Firms!$R$5:$R$1004,0))="","",INDEX(Firms!$O$5:$O$1004,MATCH(857,Firms!$R$5:$R$1004,0))),"")</f>
        <v/>
      </c>
      <c r="D861" s="58">
        <f>IFERROR(INDEX(Firms!$P$5:$P$1004,MATCH(857,Firms!$R$5:$R$1004,0))&amp;"","")</f>
        <v/>
      </c>
      <c r="E861" s="58">
        <f>IFERROR(INDEX(Firms!$C$5:$C$1004,MATCH(857,Firms!$R$5:$R$1004,0))&amp;"","")</f>
        <v/>
      </c>
      <c r="F861" s="57">
        <f>IFERROR(INDEX(Firms!$L$5:$L$1004,MATCH(857,Firms!$R$5:$R$1004,0))&amp;"","")</f>
        <v/>
      </c>
      <c r="G861" s="57">
        <f>IFERROR(INDEX(Firms!$M$5:$M$1004,MATCH(857,Firms!$R$5:$R$1004,0))&amp;"","")</f>
        <v/>
      </c>
      <c r="H861" s="58">
        <f>IFERROR(INDEX(Firms!$Q$5:$Q$1004,MATCH(857,Firms!$R$5:$R$1004,0))&amp;"","")</f>
        <v/>
      </c>
    </row>
    <row r="862">
      <c r="A862" s="57">
        <f>IF(B862="","",858)</f>
        <v/>
      </c>
      <c r="B862" s="58">
        <f>IFERROR(INDEX(Firms!$A$5:$A$1004,MATCH(858,Firms!$R$5:$R$1004,0))&amp;"","")</f>
        <v/>
      </c>
      <c r="C862" s="59">
        <f>IFERROR(IF(INDEX(Firms!$O$5:$O$1004,MATCH(858,Firms!$R$5:$R$1004,0))="","",INDEX(Firms!$O$5:$O$1004,MATCH(858,Firms!$R$5:$R$1004,0))),"")</f>
        <v/>
      </c>
      <c r="D862" s="58">
        <f>IFERROR(INDEX(Firms!$P$5:$P$1004,MATCH(858,Firms!$R$5:$R$1004,0))&amp;"","")</f>
        <v/>
      </c>
      <c r="E862" s="58">
        <f>IFERROR(INDEX(Firms!$C$5:$C$1004,MATCH(858,Firms!$R$5:$R$1004,0))&amp;"","")</f>
        <v/>
      </c>
      <c r="F862" s="57">
        <f>IFERROR(INDEX(Firms!$L$5:$L$1004,MATCH(858,Firms!$R$5:$R$1004,0))&amp;"","")</f>
        <v/>
      </c>
      <c r="G862" s="57">
        <f>IFERROR(INDEX(Firms!$M$5:$M$1004,MATCH(858,Firms!$R$5:$R$1004,0))&amp;"","")</f>
        <v/>
      </c>
      <c r="H862" s="58">
        <f>IFERROR(INDEX(Firms!$Q$5:$Q$1004,MATCH(858,Firms!$R$5:$R$1004,0))&amp;"","")</f>
        <v/>
      </c>
    </row>
    <row r="863">
      <c r="A863" s="57">
        <f>IF(B863="","",859)</f>
        <v/>
      </c>
      <c r="B863" s="58">
        <f>IFERROR(INDEX(Firms!$A$5:$A$1004,MATCH(859,Firms!$R$5:$R$1004,0))&amp;"","")</f>
        <v/>
      </c>
      <c r="C863" s="59">
        <f>IFERROR(IF(INDEX(Firms!$O$5:$O$1004,MATCH(859,Firms!$R$5:$R$1004,0))="","",INDEX(Firms!$O$5:$O$1004,MATCH(859,Firms!$R$5:$R$1004,0))),"")</f>
        <v/>
      </c>
      <c r="D863" s="58">
        <f>IFERROR(INDEX(Firms!$P$5:$P$1004,MATCH(859,Firms!$R$5:$R$1004,0))&amp;"","")</f>
        <v/>
      </c>
      <c r="E863" s="58">
        <f>IFERROR(INDEX(Firms!$C$5:$C$1004,MATCH(859,Firms!$R$5:$R$1004,0))&amp;"","")</f>
        <v/>
      </c>
      <c r="F863" s="57">
        <f>IFERROR(INDEX(Firms!$L$5:$L$1004,MATCH(859,Firms!$R$5:$R$1004,0))&amp;"","")</f>
        <v/>
      </c>
      <c r="G863" s="57">
        <f>IFERROR(INDEX(Firms!$M$5:$M$1004,MATCH(859,Firms!$R$5:$R$1004,0))&amp;"","")</f>
        <v/>
      </c>
      <c r="H863" s="58">
        <f>IFERROR(INDEX(Firms!$Q$5:$Q$1004,MATCH(859,Firms!$R$5:$R$1004,0))&amp;"","")</f>
        <v/>
      </c>
    </row>
    <row r="864">
      <c r="A864" s="57">
        <f>IF(B864="","",860)</f>
        <v/>
      </c>
      <c r="B864" s="58">
        <f>IFERROR(INDEX(Firms!$A$5:$A$1004,MATCH(860,Firms!$R$5:$R$1004,0))&amp;"","")</f>
        <v/>
      </c>
      <c r="C864" s="59">
        <f>IFERROR(IF(INDEX(Firms!$O$5:$O$1004,MATCH(860,Firms!$R$5:$R$1004,0))="","",INDEX(Firms!$O$5:$O$1004,MATCH(860,Firms!$R$5:$R$1004,0))),"")</f>
        <v/>
      </c>
      <c r="D864" s="58">
        <f>IFERROR(INDEX(Firms!$P$5:$P$1004,MATCH(860,Firms!$R$5:$R$1004,0))&amp;"","")</f>
        <v/>
      </c>
      <c r="E864" s="58">
        <f>IFERROR(INDEX(Firms!$C$5:$C$1004,MATCH(860,Firms!$R$5:$R$1004,0))&amp;"","")</f>
        <v/>
      </c>
      <c r="F864" s="57">
        <f>IFERROR(INDEX(Firms!$L$5:$L$1004,MATCH(860,Firms!$R$5:$R$1004,0))&amp;"","")</f>
        <v/>
      </c>
      <c r="G864" s="57">
        <f>IFERROR(INDEX(Firms!$M$5:$M$1004,MATCH(860,Firms!$R$5:$R$1004,0))&amp;"","")</f>
        <v/>
      </c>
      <c r="H864" s="58">
        <f>IFERROR(INDEX(Firms!$Q$5:$Q$1004,MATCH(860,Firms!$R$5:$R$1004,0))&amp;"","")</f>
        <v/>
      </c>
    </row>
    <row r="865">
      <c r="A865" s="57">
        <f>IF(B865="","",861)</f>
        <v/>
      </c>
      <c r="B865" s="58">
        <f>IFERROR(INDEX(Firms!$A$5:$A$1004,MATCH(861,Firms!$R$5:$R$1004,0))&amp;"","")</f>
        <v/>
      </c>
      <c r="C865" s="59">
        <f>IFERROR(IF(INDEX(Firms!$O$5:$O$1004,MATCH(861,Firms!$R$5:$R$1004,0))="","",INDEX(Firms!$O$5:$O$1004,MATCH(861,Firms!$R$5:$R$1004,0))),"")</f>
        <v/>
      </c>
      <c r="D865" s="58">
        <f>IFERROR(INDEX(Firms!$P$5:$P$1004,MATCH(861,Firms!$R$5:$R$1004,0))&amp;"","")</f>
        <v/>
      </c>
      <c r="E865" s="58">
        <f>IFERROR(INDEX(Firms!$C$5:$C$1004,MATCH(861,Firms!$R$5:$R$1004,0))&amp;"","")</f>
        <v/>
      </c>
      <c r="F865" s="57">
        <f>IFERROR(INDEX(Firms!$L$5:$L$1004,MATCH(861,Firms!$R$5:$R$1004,0))&amp;"","")</f>
        <v/>
      </c>
      <c r="G865" s="57">
        <f>IFERROR(INDEX(Firms!$M$5:$M$1004,MATCH(861,Firms!$R$5:$R$1004,0))&amp;"","")</f>
        <v/>
      </c>
      <c r="H865" s="58">
        <f>IFERROR(INDEX(Firms!$Q$5:$Q$1004,MATCH(861,Firms!$R$5:$R$1004,0))&amp;"","")</f>
        <v/>
      </c>
    </row>
    <row r="866">
      <c r="A866" s="57">
        <f>IF(B866="","",862)</f>
        <v/>
      </c>
      <c r="B866" s="58">
        <f>IFERROR(INDEX(Firms!$A$5:$A$1004,MATCH(862,Firms!$R$5:$R$1004,0))&amp;"","")</f>
        <v/>
      </c>
      <c r="C866" s="59">
        <f>IFERROR(IF(INDEX(Firms!$O$5:$O$1004,MATCH(862,Firms!$R$5:$R$1004,0))="","",INDEX(Firms!$O$5:$O$1004,MATCH(862,Firms!$R$5:$R$1004,0))),"")</f>
        <v/>
      </c>
      <c r="D866" s="58">
        <f>IFERROR(INDEX(Firms!$P$5:$P$1004,MATCH(862,Firms!$R$5:$R$1004,0))&amp;"","")</f>
        <v/>
      </c>
      <c r="E866" s="58">
        <f>IFERROR(INDEX(Firms!$C$5:$C$1004,MATCH(862,Firms!$R$5:$R$1004,0))&amp;"","")</f>
        <v/>
      </c>
      <c r="F866" s="57">
        <f>IFERROR(INDEX(Firms!$L$5:$L$1004,MATCH(862,Firms!$R$5:$R$1004,0))&amp;"","")</f>
        <v/>
      </c>
      <c r="G866" s="57">
        <f>IFERROR(INDEX(Firms!$M$5:$M$1004,MATCH(862,Firms!$R$5:$R$1004,0))&amp;"","")</f>
        <v/>
      </c>
      <c r="H866" s="58">
        <f>IFERROR(INDEX(Firms!$Q$5:$Q$1004,MATCH(862,Firms!$R$5:$R$1004,0))&amp;"","")</f>
        <v/>
      </c>
    </row>
    <row r="867">
      <c r="A867" s="57">
        <f>IF(B867="","",863)</f>
        <v/>
      </c>
      <c r="B867" s="58">
        <f>IFERROR(INDEX(Firms!$A$5:$A$1004,MATCH(863,Firms!$R$5:$R$1004,0))&amp;"","")</f>
        <v/>
      </c>
      <c r="C867" s="59">
        <f>IFERROR(IF(INDEX(Firms!$O$5:$O$1004,MATCH(863,Firms!$R$5:$R$1004,0))="","",INDEX(Firms!$O$5:$O$1004,MATCH(863,Firms!$R$5:$R$1004,0))),"")</f>
        <v/>
      </c>
      <c r="D867" s="58">
        <f>IFERROR(INDEX(Firms!$P$5:$P$1004,MATCH(863,Firms!$R$5:$R$1004,0))&amp;"","")</f>
        <v/>
      </c>
      <c r="E867" s="58">
        <f>IFERROR(INDEX(Firms!$C$5:$C$1004,MATCH(863,Firms!$R$5:$R$1004,0))&amp;"","")</f>
        <v/>
      </c>
      <c r="F867" s="57">
        <f>IFERROR(INDEX(Firms!$L$5:$L$1004,MATCH(863,Firms!$R$5:$R$1004,0))&amp;"","")</f>
        <v/>
      </c>
      <c r="G867" s="57">
        <f>IFERROR(INDEX(Firms!$M$5:$M$1004,MATCH(863,Firms!$R$5:$R$1004,0))&amp;"","")</f>
        <v/>
      </c>
      <c r="H867" s="58">
        <f>IFERROR(INDEX(Firms!$Q$5:$Q$1004,MATCH(863,Firms!$R$5:$R$1004,0))&amp;"","")</f>
        <v/>
      </c>
    </row>
    <row r="868">
      <c r="A868" s="57">
        <f>IF(B868="","",864)</f>
        <v/>
      </c>
      <c r="B868" s="58">
        <f>IFERROR(INDEX(Firms!$A$5:$A$1004,MATCH(864,Firms!$R$5:$R$1004,0))&amp;"","")</f>
        <v/>
      </c>
      <c r="C868" s="59">
        <f>IFERROR(IF(INDEX(Firms!$O$5:$O$1004,MATCH(864,Firms!$R$5:$R$1004,0))="","",INDEX(Firms!$O$5:$O$1004,MATCH(864,Firms!$R$5:$R$1004,0))),"")</f>
        <v/>
      </c>
      <c r="D868" s="58">
        <f>IFERROR(INDEX(Firms!$P$5:$P$1004,MATCH(864,Firms!$R$5:$R$1004,0))&amp;"","")</f>
        <v/>
      </c>
      <c r="E868" s="58">
        <f>IFERROR(INDEX(Firms!$C$5:$C$1004,MATCH(864,Firms!$R$5:$R$1004,0))&amp;"","")</f>
        <v/>
      </c>
      <c r="F868" s="57">
        <f>IFERROR(INDEX(Firms!$L$5:$L$1004,MATCH(864,Firms!$R$5:$R$1004,0))&amp;"","")</f>
        <v/>
      </c>
      <c r="G868" s="57">
        <f>IFERROR(INDEX(Firms!$M$5:$M$1004,MATCH(864,Firms!$R$5:$R$1004,0))&amp;"","")</f>
        <v/>
      </c>
      <c r="H868" s="58">
        <f>IFERROR(INDEX(Firms!$Q$5:$Q$1004,MATCH(864,Firms!$R$5:$R$1004,0))&amp;"","")</f>
        <v/>
      </c>
    </row>
    <row r="869">
      <c r="A869" s="57">
        <f>IF(B869="","",865)</f>
        <v/>
      </c>
      <c r="B869" s="58">
        <f>IFERROR(INDEX(Firms!$A$5:$A$1004,MATCH(865,Firms!$R$5:$R$1004,0))&amp;"","")</f>
        <v/>
      </c>
      <c r="C869" s="59">
        <f>IFERROR(IF(INDEX(Firms!$O$5:$O$1004,MATCH(865,Firms!$R$5:$R$1004,0))="","",INDEX(Firms!$O$5:$O$1004,MATCH(865,Firms!$R$5:$R$1004,0))),"")</f>
        <v/>
      </c>
      <c r="D869" s="58">
        <f>IFERROR(INDEX(Firms!$P$5:$P$1004,MATCH(865,Firms!$R$5:$R$1004,0))&amp;"","")</f>
        <v/>
      </c>
      <c r="E869" s="58">
        <f>IFERROR(INDEX(Firms!$C$5:$C$1004,MATCH(865,Firms!$R$5:$R$1004,0))&amp;"","")</f>
        <v/>
      </c>
      <c r="F869" s="57">
        <f>IFERROR(INDEX(Firms!$L$5:$L$1004,MATCH(865,Firms!$R$5:$R$1004,0))&amp;"","")</f>
        <v/>
      </c>
      <c r="G869" s="57">
        <f>IFERROR(INDEX(Firms!$M$5:$M$1004,MATCH(865,Firms!$R$5:$R$1004,0))&amp;"","")</f>
        <v/>
      </c>
      <c r="H869" s="58">
        <f>IFERROR(INDEX(Firms!$Q$5:$Q$1004,MATCH(865,Firms!$R$5:$R$1004,0))&amp;"","")</f>
        <v/>
      </c>
    </row>
    <row r="870">
      <c r="A870" s="57">
        <f>IF(B870="","",866)</f>
        <v/>
      </c>
      <c r="B870" s="58">
        <f>IFERROR(INDEX(Firms!$A$5:$A$1004,MATCH(866,Firms!$R$5:$R$1004,0))&amp;"","")</f>
        <v/>
      </c>
      <c r="C870" s="59">
        <f>IFERROR(IF(INDEX(Firms!$O$5:$O$1004,MATCH(866,Firms!$R$5:$R$1004,0))="","",INDEX(Firms!$O$5:$O$1004,MATCH(866,Firms!$R$5:$R$1004,0))),"")</f>
        <v/>
      </c>
      <c r="D870" s="58">
        <f>IFERROR(INDEX(Firms!$P$5:$P$1004,MATCH(866,Firms!$R$5:$R$1004,0))&amp;"","")</f>
        <v/>
      </c>
      <c r="E870" s="58">
        <f>IFERROR(INDEX(Firms!$C$5:$C$1004,MATCH(866,Firms!$R$5:$R$1004,0))&amp;"","")</f>
        <v/>
      </c>
      <c r="F870" s="57">
        <f>IFERROR(INDEX(Firms!$L$5:$L$1004,MATCH(866,Firms!$R$5:$R$1004,0))&amp;"","")</f>
        <v/>
      </c>
      <c r="G870" s="57">
        <f>IFERROR(INDEX(Firms!$M$5:$M$1004,MATCH(866,Firms!$R$5:$R$1004,0))&amp;"","")</f>
        <v/>
      </c>
      <c r="H870" s="58">
        <f>IFERROR(INDEX(Firms!$Q$5:$Q$1004,MATCH(866,Firms!$R$5:$R$1004,0))&amp;"","")</f>
        <v/>
      </c>
    </row>
    <row r="871">
      <c r="A871" s="57">
        <f>IF(B871="","",867)</f>
        <v/>
      </c>
      <c r="B871" s="58">
        <f>IFERROR(INDEX(Firms!$A$5:$A$1004,MATCH(867,Firms!$R$5:$R$1004,0))&amp;"","")</f>
        <v/>
      </c>
      <c r="C871" s="59">
        <f>IFERROR(IF(INDEX(Firms!$O$5:$O$1004,MATCH(867,Firms!$R$5:$R$1004,0))="","",INDEX(Firms!$O$5:$O$1004,MATCH(867,Firms!$R$5:$R$1004,0))),"")</f>
        <v/>
      </c>
      <c r="D871" s="58">
        <f>IFERROR(INDEX(Firms!$P$5:$P$1004,MATCH(867,Firms!$R$5:$R$1004,0))&amp;"","")</f>
        <v/>
      </c>
      <c r="E871" s="58">
        <f>IFERROR(INDEX(Firms!$C$5:$C$1004,MATCH(867,Firms!$R$5:$R$1004,0))&amp;"","")</f>
        <v/>
      </c>
      <c r="F871" s="57">
        <f>IFERROR(INDEX(Firms!$L$5:$L$1004,MATCH(867,Firms!$R$5:$R$1004,0))&amp;"","")</f>
        <v/>
      </c>
      <c r="G871" s="57">
        <f>IFERROR(INDEX(Firms!$M$5:$M$1004,MATCH(867,Firms!$R$5:$R$1004,0))&amp;"","")</f>
        <v/>
      </c>
      <c r="H871" s="58">
        <f>IFERROR(INDEX(Firms!$Q$5:$Q$1004,MATCH(867,Firms!$R$5:$R$1004,0))&amp;"","")</f>
        <v/>
      </c>
    </row>
    <row r="872">
      <c r="A872" s="57">
        <f>IF(B872="","",868)</f>
        <v/>
      </c>
      <c r="B872" s="58">
        <f>IFERROR(INDEX(Firms!$A$5:$A$1004,MATCH(868,Firms!$R$5:$R$1004,0))&amp;"","")</f>
        <v/>
      </c>
      <c r="C872" s="59">
        <f>IFERROR(IF(INDEX(Firms!$O$5:$O$1004,MATCH(868,Firms!$R$5:$R$1004,0))="","",INDEX(Firms!$O$5:$O$1004,MATCH(868,Firms!$R$5:$R$1004,0))),"")</f>
        <v/>
      </c>
      <c r="D872" s="58">
        <f>IFERROR(INDEX(Firms!$P$5:$P$1004,MATCH(868,Firms!$R$5:$R$1004,0))&amp;"","")</f>
        <v/>
      </c>
      <c r="E872" s="58">
        <f>IFERROR(INDEX(Firms!$C$5:$C$1004,MATCH(868,Firms!$R$5:$R$1004,0))&amp;"","")</f>
        <v/>
      </c>
      <c r="F872" s="57">
        <f>IFERROR(INDEX(Firms!$L$5:$L$1004,MATCH(868,Firms!$R$5:$R$1004,0))&amp;"","")</f>
        <v/>
      </c>
      <c r="G872" s="57">
        <f>IFERROR(INDEX(Firms!$M$5:$M$1004,MATCH(868,Firms!$R$5:$R$1004,0))&amp;"","")</f>
        <v/>
      </c>
      <c r="H872" s="58">
        <f>IFERROR(INDEX(Firms!$Q$5:$Q$1004,MATCH(868,Firms!$R$5:$R$1004,0))&amp;"","")</f>
        <v/>
      </c>
    </row>
    <row r="873">
      <c r="A873" s="57">
        <f>IF(B873="","",869)</f>
        <v/>
      </c>
      <c r="B873" s="58">
        <f>IFERROR(INDEX(Firms!$A$5:$A$1004,MATCH(869,Firms!$R$5:$R$1004,0))&amp;"","")</f>
        <v/>
      </c>
      <c r="C873" s="59">
        <f>IFERROR(IF(INDEX(Firms!$O$5:$O$1004,MATCH(869,Firms!$R$5:$R$1004,0))="","",INDEX(Firms!$O$5:$O$1004,MATCH(869,Firms!$R$5:$R$1004,0))),"")</f>
        <v/>
      </c>
      <c r="D873" s="58">
        <f>IFERROR(INDEX(Firms!$P$5:$P$1004,MATCH(869,Firms!$R$5:$R$1004,0))&amp;"","")</f>
        <v/>
      </c>
      <c r="E873" s="58">
        <f>IFERROR(INDEX(Firms!$C$5:$C$1004,MATCH(869,Firms!$R$5:$R$1004,0))&amp;"","")</f>
        <v/>
      </c>
      <c r="F873" s="57">
        <f>IFERROR(INDEX(Firms!$L$5:$L$1004,MATCH(869,Firms!$R$5:$R$1004,0))&amp;"","")</f>
        <v/>
      </c>
      <c r="G873" s="57">
        <f>IFERROR(INDEX(Firms!$M$5:$M$1004,MATCH(869,Firms!$R$5:$R$1004,0))&amp;"","")</f>
        <v/>
      </c>
      <c r="H873" s="58">
        <f>IFERROR(INDEX(Firms!$Q$5:$Q$1004,MATCH(869,Firms!$R$5:$R$1004,0))&amp;"","")</f>
        <v/>
      </c>
    </row>
    <row r="874">
      <c r="A874" s="57">
        <f>IF(B874="","",870)</f>
        <v/>
      </c>
      <c r="B874" s="58">
        <f>IFERROR(INDEX(Firms!$A$5:$A$1004,MATCH(870,Firms!$R$5:$R$1004,0))&amp;"","")</f>
        <v/>
      </c>
      <c r="C874" s="59">
        <f>IFERROR(IF(INDEX(Firms!$O$5:$O$1004,MATCH(870,Firms!$R$5:$R$1004,0))="","",INDEX(Firms!$O$5:$O$1004,MATCH(870,Firms!$R$5:$R$1004,0))),"")</f>
        <v/>
      </c>
      <c r="D874" s="58">
        <f>IFERROR(INDEX(Firms!$P$5:$P$1004,MATCH(870,Firms!$R$5:$R$1004,0))&amp;"","")</f>
        <v/>
      </c>
      <c r="E874" s="58">
        <f>IFERROR(INDEX(Firms!$C$5:$C$1004,MATCH(870,Firms!$R$5:$R$1004,0))&amp;"","")</f>
        <v/>
      </c>
      <c r="F874" s="57">
        <f>IFERROR(INDEX(Firms!$L$5:$L$1004,MATCH(870,Firms!$R$5:$R$1004,0))&amp;"","")</f>
        <v/>
      </c>
      <c r="G874" s="57">
        <f>IFERROR(INDEX(Firms!$M$5:$M$1004,MATCH(870,Firms!$R$5:$R$1004,0))&amp;"","")</f>
        <v/>
      </c>
      <c r="H874" s="58">
        <f>IFERROR(INDEX(Firms!$Q$5:$Q$1004,MATCH(870,Firms!$R$5:$R$1004,0))&amp;"","")</f>
        <v/>
      </c>
    </row>
    <row r="875">
      <c r="A875" s="57">
        <f>IF(B875="","",871)</f>
        <v/>
      </c>
      <c r="B875" s="58">
        <f>IFERROR(INDEX(Firms!$A$5:$A$1004,MATCH(871,Firms!$R$5:$R$1004,0))&amp;"","")</f>
        <v/>
      </c>
      <c r="C875" s="59">
        <f>IFERROR(IF(INDEX(Firms!$O$5:$O$1004,MATCH(871,Firms!$R$5:$R$1004,0))="","",INDEX(Firms!$O$5:$O$1004,MATCH(871,Firms!$R$5:$R$1004,0))),"")</f>
        <v/>
      </c>
      <c r="D875" s="58">
        <f>IFERROR(INDEX(Firms!$P$5:$P$1004,MATCH(871,Firms!$R$5:$R$1004,0))&amp;"","")</f>
        <v/>
      </c>
      <c r="E875" s="58">
        <f>IFERROR(INDEX(Firms!$C$5:$C$1004,MATCH(871,Firms!$R$5:$R$1004,0))&amp;"","")</f>
        <v/>
      </c>
      <c r="F875" s="57">
        <f>IFERROR(INDEX(Firms!$L$5:$L$1004,MATCH(871,Firms!$R$5:$R$1004,0))&amp;"","")</f>
        <v/>
      </c>
      <c r="G875" s="57">
        <f>IFERROR(INDEX(Firms!$M$5:$M$1004,MATCH(871,Firms!$R$5:$R$1004,0))&amp;"","")</f>
        <v/>
      </c>
      <c r="H875" s="58">
        <f>IFERROR(INDEX(Firms!$Q$5:$Q$1004,MATCH(871,Firms!$R$5:$R$1004,0))&amp;"","")</f>
        <v/>
      </c>
    </row>
    <row r="876">
      <c r="A876" s="57">
        <f>IF(B876="","",872)</f>
        <v/>
      </c>
      <c r="B876" s="58">
        <f>IFERROR(INDEX(Firms!$A$5:$A$1004,MATCH(872,Firms!$R$5:$R$1004,0))&amp;"","")</f>
        <v/>
      </c>
      <c r="C876" s="59">
        <f>IFERROR(IF(INDEX(Firms!$O$5:$O$1004,MATCH(872,Firms!$R$5:$R$1004,0))="","",INDEX(Firms!$O$5:$O$1004,MATCH(872,Firms!$R$5:$R$1004,0))),"")</f>
        <v/>
      </c>
      <c r="D876" s="58">
        <f>IFERROR(INDEX(Firms!$P$5:$P$1004,MATCH(872,Firms!$R$5:$R$1004,0))&amp;"","")</f>
        <v/>
      </c>
      <c r="E876" s="58">
        <f>IFERROR(INDEX(Firms!$C$5:$C$1004,MATCH(872,Firms!$R$5:$R$1004,0))&amp;"","")</f>
        <v/>
      </c>
      <c r="F876" s="57">
        <f>IFERROR(INDEX(Firms!$L$5:$L$1004,MATCH(872,Firms!$R$5:$R$1004,0))&amp;"","")</f>
        <v/>
      </c>
      <c r="G876" s="57">
        <f>IFERROR(INDEX(Firms!$M$5:$M$1004,MATCH(872,Firms!$R$5:$R$1004,0))&amp;"","")</f>
        <v/>
      </c>
      <c r="H876" s="58">
        <f>IFERROR(INDEX(Firms!$Q$5:$Q$1004,MATCH(872,Firms!$R$5:$R$1004,0))&amp;"","")</f>
        <v/>
      </c>
    </row>
    <row r="877">
      <c r="A877" s="57">
        <f>IF(B877="","",873)</f>
        <v/>
      </c>
      <c r="B877" s="58">
        <f>IFERROR(INDEX(Firms!$A$5:$A$1004,MATCH(873,Firms!$R$5:$R$1004,0))&amp;"","")</f>
        <v/>
      </c>
      <c r="C877" s="59">
        <f>IFERROR(IF(INDEX(Firms!$O$5:$O$1004,MATCH(873,Firms!$R$5:$R$1004,0))="","",INDEX(Firms!$O$5:$O$1004,MATCH(873,Firms!$R$5:$R$1004,0))),"")</f>
        <v/>
      </c>
      <c r="D877" s="58">
        <f>IFERROR(INDEX(Firms!$P$5:$P$1004,MATCH(873,Firms!$R$5:$R$1004,0))&amp;"","")</f>
        <v/>
      </c>
      <c r="E877" s="58">
        <f>IFERROR(INDEX(Firms!$C$5:$C$1004,MATCH(873,Firms!$R$5:$R$1004,0))&amp;"","")</f>
        <v/>
      </c>
      <c r="F877" s="57">
        <f>IFERROR(INDEX(Firms!$L$5:$L$1004,MATCH(873,Firms!$R$5:$R$1004,0))&amp;"","")</f>
        <v/>
      </c>
      <c r="G877" s="57">
        <f>IFERROR(INDEX(Firms!$M$5:$M$1004,MATCH(873,Firms!$R$5:$R$1004,0))&amp;"","")</f>
        <v/>
      </c>
      <c r="H877" s="58">
        <f>IFERROR(INDEX(Firms!$Q$5:$Q$1004,MATCH(873,Firms!$R$5:$R$1004,0))&amp;"","")</f>
        <v/>
      </c>
    </row>
    <row r="878">
      <c r="A878" s="57">
        <f>IF(B878="","",874)</f>
        <v/>
      </c>
      <c r="B878" s="58">
        <f>IFERROR(INDEX(Firms!$A$5:$A$1004,MATCH(874,Firms!$R$5:$R$1004,0))&amp;"","")</f>
        <v/>
      </c>
      <c r="C878" s="59">
        <f>IFERROR(IF(INDEX(Firms!$O$5:$O$1004,MATCH(874,Firms!$R$5:$R$1004,0))="","",INDEX(Firms!$O$5:$O$1004,MATCH(874,Firms!$R$5:$R$1004,0))),"")</f>
        <v/>
      </c>
      <c r="D878" s="58">
        <f>IFERROR(INDEX(Firms!$P$5:$P$1004,MATCH(874,Firms!$R$5:$R$1004,0))&amp;"","")</f>
        <v/>
      </c>
      <c r="E878" s="58">
        <f>IFERROR(INDEX(Firms!$C$5:$C$1004,MATCH(874,Firms!$R$5:$R$1004,0))&amp;"","")</f>
        <v/>
      </c>
      <c r="F878" s="57">
        <f>IFERROR(INDEX(Firms!$L$5:$L$1004,MATCH(874,Firms!$R$5:$R$1004,0))&amp;"","")</f>
        <v/>
      </c>
      <c r="G878" s="57">
        <f>IFERROR(INDEX(Firms!$M$5:$M$1004,MATCH(874,Firms!$R$5:$R$1004,0))&amp;"","")</f>
        <v/>
      </c>
      <c r="H878" s="58">
        <f>IFERROR(INDEX(Firms!$Q$5:$Q$1004,MATCH(874,Firms!$R$5:$R$1004,0))&amp;"","")</f>
        <v/>
      </c>
    </row>
    <row r="879">
      <c r="A879" s="57">
        <f>IF(B879="","",875)</f>
        <v/>
      </c>
      <c r="B879" s="58">
        <f>IFERROR(INDEX(Firms!$A$5:$A$1004,MATCH(875,Firms!$R$5:$R$1004,0))&amp;"","")</f>
        <v/>
      </c>
      <c r="C879" s="59">
        <f>IFERROR(IF(INDEX(Firms!$O$5:$O$1004,MATCH(875,Firms!$R$5:$R$1004,0))="","",INDEX(Firms!$O$5:$O$1004,MATCH(875,Firms!$R$5:$R$1004,0))),"")</f>
        <v/>
      </c>
      <c r="D879" s="58">
        <f>IFERROR(INDEX(Firms!$P$5:$P$1004,MATCH(875,Firms!$R$5:$R$1004,0))&amp;"","")</f>
        <v/>
      </c>
      <c r="E879" s="58">
        <f>IFERROR(INDEX(Firms!$C$5:$C$1004,MATCH(875,Firms!$R$5:$R$1004,0))&amp;"","")</f>
        <v/>
      </c>
      <c r="F879" s="57">
        <f>IFERROR(INDEX(Firms!$L$5:$L$1004,MATCH(875,Firms!$R$5:$R$1004,0))&amp;"","")</f>
        <v/>
      </c>
      <c r="G879" s="57">
        <f>IFERROR(INDEX(Firms!$M$5:$M$1004,MATCH(875,Firms!$R$5:$R$1004,0))&amp;"","")</f>
        <v/>
      </c>
      <c r="H879" s="58">
        <f>IFERROR(INDEX(Firms!$Q$5:$Q$1004,MATCH(875,Firms!$R$5:$R$1004,0))&amp;"","")</f>
        <v/>
      </c>
    </row>
    <row r="880">
      <c r="A880" s="57">
        <f>IF(B880="","",876)</f>
        <v/>
      </c>
      <c r="B880" s="58">
        <f>IFERROR(INDEX(Firms!$A$5:$A$1004,MATCH(876,Firms!$R$5:$R$1004,0))&amp;"","")</f>
        <v/>
      </c>
      <c r="C880" s="59">
        <f>IFERROR(IF(INDEX(Firms!$O$5:$O$1004,MATCH(876,Firms!$R$5:$R$1004,0))="","",INDEX(Firms!$O$5:$O$1004,MATCH(876,Firms!$R$5:$R$1004,0))),"")</f>
        <v/>
      </c>
      <c r="D880" s="58">
        <f>IFERROR(INDEX(Firms!$P$5:$P$1004,MATCH(876,Firms!$R$5:$R$1004,0))&amp;"","")</f>
        <v/>
      </c>
      <c r="E880" s="58">
        <f>IFERROR(INDEX(Firms!$C$5:$C$1004,MATCH(876,Firms!$R$5:$R$1004,0))&amp;"","")</f>
        <v/>
      </c>
      <c r="F880" s="57">
        <f>IFERROR(INDEX(Firms!$L$5:$L$1004,MATCH(876,Firms!$R$5:$R$1004,0))&amp;"","")</f>
        <v/>
      </c>
      <c r="G880" s="57">
        <f>IFERROR(INDEX(Firms!$M$5:$M$1004,MATCH(876,Firms!$R$5:$R$1004,0))&amp;"","")</f>
        <v/>
      </c>
      <c r="H880" s="58">
        <f>IFERROR(INDEX(Firms!$Q$5:$Q$1004,MATCH(876,Firms!$R$5:$R$1004,0))&amp;"","")</f>
        <v/>
      </c>
    </row>
    <row r="881">
      <c r="A881" s="57">
        <f>IF(B881="","",877)</f>
        <v/>
      </c>
      <c r="B881" s="58">
        <f>IFERROR(INDEX(Firms!$A$5:$A$1004,MATCH(877,Firms!$R$5:$R$1004,0))&amp;"","")</f>
        <v/>
      </c>
      <c r="C881" s="59">
        <f>IFERROR(IF(INDEX(Firms!$O$5:$O$1004,MATCH(877,Firms!$R$5:$R$1004,0))="","",INDEX(Firms!$O$5:$O$1004,MATCH(877,Firms!$R$5:$R$1004,0))),"")</f>
        <v/>
      </c>
      <c r="D881" s="58">
        <f>IFERROR(INDEX(Firms!$P$5:$P$1004,MATCH(877,Firms!$R$5:$R$1004,0))&amp;"","")</f>
        <v/>
      </c>
      <c r="E881" s="58">
        <f>IFERROR(INDEX(Firms!$C$5:$C$1004,MATCH(877,Firms!$R$5:$R$1004,0))&amp;"","")</f>
        <v/>
      </c>
      <c r="F881" s="57">
        <f>IFERROR(INDEX(Firms!$L$5:$L$1004,MATCH(877,Firms!$R$5:$R$1004,0))&amp;"","")</f>
        <v/>
      </c>
      <c r="G881" s="57">
        <f>IFERROR(INDEX(Firms!$M$5:$M$1004,MATCH(877,Firms!$R$5:$R$1004,0))&amp;"","")</f>
        <v/>
      </c>
      <c r="H881" s="58">
        <f>IFERROR(INDEX(Firms!$Q$5:$Q$1004,MATCH(877,Firms!$R$5:$R$1004,0))&amp;"","")</f>
        <v/>
      </c>
    </row>
    <row r="882">
      <c r="A882" s="57">
        <f>IF(B882="","",878)</f>
        <v/>
      </c>
      <c r="B882" s="58">
        <f>IFERROR(INDEX(Firms!$A$5:$A$1004,MATCH(878,Firms!$R$5:$R$1004,0))&amp;"","")</f>
        <v/>
      </c>
      <c r="C882" s="59">
        <f>IFERROR(IF(INDEX(Firms!$O$5:$O$1004,MATCH(878,Firms!$R$5:$R$1004,0))="","",INDEX(Firms!$O$5:$O$1004,MATCH(878,Firms!$R$5:$R$1004,0))),"")</f>
        <v/>
      </c>
      <c r="D882" s="58">
        <f>IFERROR(INDEX(Firms!$P$5:$P$1004,MATCH(878,Firms!$R$5:$R$1004,0))&amp;"","")</f>
        <v/>
      </c>
      <c r="E882" s="58">
        <f>IFERROR(INDEX(Firms!$C$5:$C$1004,MATCH(878,Firms!$R$5:$R$1004,0))&amp;"","")</f>
        <v/>
      </c>
      <c r="F882" s="57">
        <f>IFERROR(INDEX(Firms!$L$5:$L$1004,MATCH(878,Firms!$R$5:$R$1004,0))&amp;"","")</f>
        <v/>
      </c>
      <c r="G882" s="57">
        <f>IFERROR(INDEX(Firms!$M$5:$M$1004,MATCH(878,Firms!$R$5:$R$1004,0))&amp;"","")</f>
        <v/>
      </c>
      <c r="H882" s="58">
        <f>IFERROR(INDEX(Firms!$Q$5:$Q$1004,MATCH(878,Firms!$R$5:$R$1004,0))&amp;"","")</f>
        <v/>
      </c>
    </row>
    <row r="883">
      <c r="A883" s="57">
        <f>IF(B883="","",879)</f>
        <v/>
      </c>
      <c r="B883" s="58">
        <f>IFERROR(INDEX(Firms!$A$5:$A$1004,MATCH(879,Firms!$R$5:$R$1004,0))&amp;"","")</f>
        <v/>
      </c>
      <c r="C883" s="59">
        <f>IFERROR(IF(INDEX(Firms!$O$5:$O$1004,MATCH(879,Firms!$R$5:$R$1004,0))="","",INDEX(Firms!$O$5:$O$1004,MATCH(879,Firms!$R$5:$R$1004,0))),"")</f>
        <v/>
      </c>
      <c r="D883" s="58">
        <f>IFERROR(INDEX(Firms!$P$5:$P$1004,MATCH(879,Firms!$R$5:$R$1004,0))&amp;"","")</f>
        <v/>
      </c>
      <c r="E883" s="58">
        <f>IFERROR(INDEX(Firms!$C$5:$C$1004,MATCH(879,Firms!$R$5:$R$1004,0))&amp;"","")</f>
        <v/>
      </c>
      <c r="F883" s="57">
        <f>IFERROR(INDEX(Firms!$L$5:$L$1004,MATCH(879,Firms!$R$5:$R$1004,0))&amp;"","")</f>
        <v/>
      </c>
      <c r="G883" s="57">
        <f>IFERROR(INDEX(Firms!$M$5:$M$1004,MATCH(879,Firms!$R$5:$R$1004,0))&amp;"","")</f>
        <v/>
      </c>
      <c r="H883" s="58">
        <f>IFERROR(INDEX(Firms!$Q$5:$Q$1004,MATCH(879,Firms!$R$5:$R$1004,0))&amp;"","")</f>
        <v/>
      </c>
    </row>
    <row r="884">
      <c r="A884" s="57">
        <f>IF(B884="","",880)</f>
        <v/>
      </c>
      <c r="B884" s="58">
        <f>IFERROR(INDEX(Firms!$A$5:$A$1004,MATCH(880,Firms!$R$5:$R$1004,0))&amp;"","")</f>
        <v/>
      </c>
      <c r="C884" s="59">
        <f>IFERROR(IF(INDEX(Firms!$O$5:$O$1004,MATCH(880,Firms!$R$5:$R$1004,0))="","",INDEX(Firms!$O$5:$O$1004,MATCH(880,Firms!$R$5:$R$1004,0))),"")</f>
        <v/>
      </c>
      <c r="D884" s="58">
        <f>IFERROR(INDEX(Firms!$P$5:$P$1004,MATCH(880,Firms!$R$5:$R$1004,0))&amp;"","")</f>
        <v/>
      </c>
      <c r="E884" s="58">
        <f>IFERROR(INDEX(Firms!$C$5:$C$1004,MATCH(880,Firms!$R$5:$R$1004,0))&amp;"","")</f>
        <v/>
      </c>
      <c r="F884" s="57">
        <f>IFERROR(INDEX(Firms!$L$5:$L$1004,MATCH(880,Firms!$R$5:$R$1004,0))&amp;"","")</f>
        <v/>
      </c>
      <c r="G884" s="57">
        <f>IFERROR(INDEX(Firms!$M$5:$M$1004,MATCH(880,Firms!$R$5:$R$1004,0))&amp;"","")</f>
        <v/>
      </c>
      <c r="H884" s="58">
        <f>IFERROR(INDEX(Firms!$Q$5:$Q$1004,MATCH(880,Firms!$R$5:$R$1004,0))&amp;"","")</f>
        <v/>
      </c>
    </row>
    <row r="885">
      <c r="A885" s="57">
        <f>IF(B885="","",881)</f>
        <v/>
      </c>
      <c r="B885" s="58">
        <f>IFERROR(INDEX(Firms!$A$5:$A$1004,MATCH(881,Firms!$R$5:$R$1004,0))&amp;"","")</f>
        <v/>
      </c>
      <c r="C885" s="59">
        <f>IFERROR(IF(INDEX(Firms!$O$5:$O$1004,MATCH(881,Firms!$R$5:$R$1004,0))="","",INDEX(Firms!$O$5:$O$1004,MATCH(881,Firms!$R$5:$R$1004,0))),"")</f>
        <v/>
      </c>
      <c r="D885" s="58">
        <f>IFERROR(INDEX(Firms!$P$5:$P$1004,MATCH(881,Firms!$R$5:$R$1004,0))&amp;"","")</f>
        <v/>
      </c>
      <c r="E885" s="58">
        <f>IFERROR(INDEX(Firms!$C$5:$C$1004,MATCH(881,Firms!$R$5:$R$1004,0))&amp;"","")</f>
        <v/>
      </c>
      <c r="F885" s="57">
        <f>IFERROR(INDEX(Firms!$L$5:$L$1004,MATCH(881,Firms!$R$5:$R$1004,0))&amp;"","")</f>
        <v/>
      </c>
      <c r="G885" s="57">
        <f>IFERROR(INDEX(Firms!$M$5:$M$1004,MATCH(881,Firms!$R$5:$R$1004,0))&amp;"","")</f>
        <v/>
      </c>
      <c r="H885" s="58">
        <f>IFERROR(INDEX(Firms!$Q$5:$Q$1004,MATCH(881,Firms!$R$5:$R$1004,0))&amp;"","")</f>
        <v/>
      </c>
    </row>
    <row r="886">
      <c r="A886" s="57">
        <f>IF(B886="","",882)</f>
        <v/>
      </c>
      <c r="B886" s="58">
        <f>IFERROR(INDEX(Firms!$A$5:$A$1004,MATCH(882,Firms!$R$5:$R$1004,0))&amp;"","")</f>
        <v/>
      </c>
      <c r="C886" s="59">
        <f>IFERROR(IF(INDEX(Firms!$O$5:$O$1004,MATCH(882,Firms!$R$5:$R$1004,0))="","",INDEX(Firms!$O$5:$O$1004,MATCH(882,Firms!$R$5:$R$1004,0))),"")</f>
        <v/>
      </c>
      <c r="D886" s="58">
        <f>IFERROR(INDEX(Firms!$P$5:$P$1004,MATCH(882,Firms!$R$5:$R$1004,0))&amp;"","")</f>
        <v/>
      </c>
      <c r="E886" s="58">
        <f>IFERROR(INDEX(Firms!$C$5:$C$1004,MATCH(882,Firms!$R$5:$R$1004,0))&amp;"","")</f>
        <v/>
      </c>
      <c r="F886" s="57">
        <f>IFERROR(INDEX(Firms!$L$5:$L$1004,MATCH(882,Firms!$R$5:$R$1004,0))&amp;"","")</f>
        <v/>
      </c>
      <c r="G886" s="57">
        <f>IFERROR(INDEX(Firms!$M$5:$M$1004,MATCH(882,Firms!$R$5:$R$1004,0))&amp;"","")</f>
        <v/>
      </c>
      <c r="H886" s="58">
        <f>IFERROR(INDEX(Firms!$Q$5:$Q$1004,MATCH(882,Firms!$R$5:$R$1004,0))&amp;"","")</f>
        <v/>
      </c>
    </row>
    <row r="887">
      <c r="A887" s="57">
        <f>IF(B887="","",883)</f>
        <v/>
      </c>
      <c r="B887" s="58">
        <f>IFERROR(INDEX(Firms!$A$5:$A$1004,MATCH(883,Firms!$R$5:$R$1004,0))&amp;"","")</f>
        <v/>
      </c>
      <c r="C887" s="59">
        <f>IFERROR(IF(INDEX(Firms!$O$5:$O$1004,MATCH(883,Firms!$R$5:$R$1004,0))="","",INDEX(Firms!$O$5:$O$1004,MATCH(883,Firms!$R$5:$R$1004,0))),"")</f>
        <v/>
      </c>
      <c r="D887" s="58">
        <f>IFERROR(INDEX(Firms!$P$5:$P$1004,MATCH(883,Firms!$R$5:$R$1004,0))&amp;"","")</f>
        <v/>
      </c>
      <c r="E887" s="58">
        <f>IFERROR(INDEX(Firms!$C$5:$C$1004,MATCH(883,Firms!$R$5:$R$1004,0))&amp;"","")</f>
        <v/>
      </c>
      <c r="F887" s="57">
        <f>IFERROR(INDEX(Firms!$L$5:$L$1004,MATCH(883,Firms!$R$5:$R$1004,0))&amp;"","")</f>
        <v/>
      </c>
      <c r="G887" s="57">
        <f>IFERROR(INDEX(Firms!$M$5:$M$1004,MATCH(883,Firms!$R$5:$R$1004,0))&amp;"","")</f>
        <v/>
      </c>
      <c r="H887" s="58">
        <f>IFERROR(INDEX(Firms!$Q$5:$Q$1004,MATCH(883,Firms!$R$5:$R$1004,0))&amp;"","")</f>
        <v/>
      </c>
    </row>
    <row r="888">
      <c r="A888" s="57">
        <f>IF(B888="","",884)</f>
        <v/>
      </c>
      <c r="B888" s="58">
        <f>IFERROR(INDEX(Firms!$A$5:$A$1004,MATCH(884,Firms!$R$5:$R$1004,0))&amp;"","")</f>
        <v/>
      </c>
      <c r="C888" s="59">
        <f>IFERROR(IF(INDEX(Firms!$O$5:$O$1004,MATCH(884,Firms!$R$5:$R$1004,0))="","",INDEX(Firms!$O$5:$O$1004,MATCH(884,Firms!$R$5:$R$1004,0))),"")</f>
        <v/>
      </c>
      <c r="D888" s="58">
        <f>IFERROR(INDEX(Firms!$P$5:$P$1004,MATCH(884,Firms!$R$5:$R$1004,0))&amp;"","")</f>
        <v/>
      </c>
      <c r="E888" s="58">
        <f>IFERROR(INDEX(Firms!$C$5:$C$1004,MATCH(884,Firms!$R$5:$R$1004,0))&amp;"","")</f>
        <v/>
      </c>
      <c r="F888" s="57">
        <f>IFERROR(INDEX(Firms!$L$5:$L$1004,MATCH(884,Firms!$R$5:$R$1004,0))&amp;"","")</f>
        <v/>
      </c>
      <c r="G888" s="57">
        <f>IFERROR(INDEX(Firms!$M$5:$M$1004,MATCH(884,Firms!$R$5:$R$1004,0))&amp;"","")</f>
        <v/>
      </c>
      <c r="H888" s="58">
        <f>IFERROR(INDEX(Firms!$Q$5:$Q$1004,MATCH(884,Firms!$R$5:$R$1004,0))&amp;"","")</f>
        <v/>
      </c>
    </row>
    <row r="889">
      <c r="A889" s="57">
        <f>IF(B889="","",885)</f>
        <v/>
      </c>
      <c r="B889" s="58">
        <f>IFERROR(INDEX(Firms!$A$5:$A$1004,MATCH(885,Firms!$R$5:$R$1004,0))&amp;"","")</f>
        <v/>
      </c>
      <c r="C889" s="59">
        <f>IFERROR(IF(INDEX(Firms!$O$5:$O$1004,MATCH(885,Firms!$R$5:$R$1004,0))="","",INDEX(Firms!$O$5:$O$1004,MATCH(885,Firms!$R$5:$R$1004,0))),"")</f>
        <v/>
      </c>
      <c r="D889" s="58">
        <f>IFERROR(INDEX(Firms!$P$5:$P$1004,MATCH(885,Firms!$R$5:$R$1004,0))&amp;"","")</f>
        <v/>
      </c>
      <c r="E889" s="58">
        <f>IFERROR(INDEX(Firms!$C$5:$C$1004,MATCH(885,Firms!$R$5:$R$1004,0))&amp;"","")</f>
        <v/>
      </c>
      <c r="F889" s="57">
        <f>IFERROR(INDEX(Firms!$L$5:$L$1004,MATCH(885,Firms!$R$5:$R$1004,0))&amp;"","")</f>
        <v/>
      </c>
      <c r="G889" s="57">
        <f>IFERROR(INDEX(Firms!$M$5:$M$1004,MATCH(885,Firms!$R$5:$R$1004,0))&amp;"","")</f>
        <v/>
      </c>
      <c r="H889" s="58">
        <f>IFERROR(INDEX(Firms!$Q$5:$Q$1004,MATCH(885,Firms!$R$5:$R$1004,0))&amp;"","")</f>
        <v/>
      </c>
    </row>
    <row r="890">
      <c r="A890" s="57">
        <f>IF(B890="","",886)</f>
        <v/>
      </c>
      <c r="B890" s="58">
        <f>IFERROR(INDEX(Firms!$A$5:$A$1004,MATCH(886,Firms!$R$5:$R$1004,0))&amp;"","")</f>
        <v/>
      </c>
      <c r="C890" s="59">
        <f>IFERROR(IF(INDEX(Firms!$O$5:$O$1004,MATCH(886,Firms!$R$5:$R$1004,0))="","",INDEX(Firms!$O$5:$O$1004,MATCH(886,Firms!$R$5:$R$1004,0))),"")</f>
        <v/>
      </c>
      <c r="D890" s="58">
        <f>IFERROR(INDEX(Firms!$P$5:$P$1004,MATCH(886,Firms!$R$5:$R$1004,0))&amp;"","")</f>
        <v/>
      </c>
      <c r="E890" s="58">
        <f>IFERROR(INDEX(Firms!$C$5:$C$1004,MATCH(886,Firms!$R$5:$R$1004,0))&amp;"","")</f>
        <v/>
      </c>
      <c r="F890" s="57">
        <f>IFERROR(INDEX(Firms!$L$5:$L$1004,MATCH(886,Firms!$R$5:$R$1004,0))&amp;"","")</f>
        <v/>
      </c>
      <c r="G890" s="57">
        <f>IFERROR(INDEX(Firms!$M$5:$M$1004,MATCH(886,Firms!$R$5:$R$1004,0))&amp;"","")</f>
        <v/>
      </c>
      <c r="H890" s="58">
        <f>IFERROR(INDEX(Firms!$Q$5:$Q$1004,MATCH(886,Firms!$R$5:$R$1004,0))&amp;"","")</f>
        <v/>
      </c>
    </row>
    <row r="891">
      <c r="A891" s="57">
        <f>IF(B891="","",887)</f>
        <v/>
      </c>
      <c r="B891" s="58">
        <f>IFERROR(INDEX(Firms!$A$5:$A$1004,MATCH(887,Firms!$R$5:$R$1004,0))&amp;"","")</f>
        <v/>
      </c>
      <c r="C891" s="59">
        <f>IFERROR(IF(INDEX(Firms!$O$5:$O$1004,MATCH(887,Firms!$R$5:$R$1004,0))="","",INDEX(Firms!$O$5:$O$1004,MATCH(887,Firms!$R$5:$R$1004,0))),"")</f>
        <v/>
      </c>
      <c r="D891" s="58">
        <f>IFERROR(INDEX(Firms!$P$5:$P$1004,MATCH(887,Firms!$R$5:$R$1004,0))&amp;"","")</f>
        <v/>
      </c>
      <c r="E891" s="58">
        <f>IFERROR(INDEX(Firms!$C$5:$C$1004,MATCH(887,Firms!$R$5:$R$1004,0))&amp;"","")</f>
        <v/>
      </c>
      <c r="F891" s="57">
        <f>IFERROR(INDEX(Firms!$L$5:$L$1004,MATCH(887,Firms!$R$5:$R$1004,0))&amp;"","")</f>
        <v/>
      </c>
      <c r="G891" s="57">
        <f>IFERROR(INDEX(Firms!$M$5:$M$1004,MATCH(887,Firms!$R$5:$R$1004,0))&amp;"","")</f>
        <v/>
      </c>
      <c r="H891" s="58">
        <f>IFERROR(INDEX(Firms!$Q$5:$Q$1004,MATCH(887,Firms!$R$5:$R$1004,0))&amp;"","")</f>
        <v/>
      </c>
    </row>
    <row r="892">
      <c r="A892" s="57">
        <f>IF(B892="","",888)</f>
        <v/>
      </c>
      <c r="B892" s="58">
        <f>IFERROR(INDEX(Firms!$A$5:$A$1004,MATCH(888,Firms!$R$5:$R$1004,0))&amp;"","")</f>
        <v/>
      </c>
      <c r="C892" s="59">
        <f>IFERROR(IF(INDEX(Firms!$O$5:$O$1004,MATCH(888,Firms!$R$5:$R$1004,0))="","",INDEX(Firms!$O$5:$O$1004,MATCH(888,Firms!$R$5:$R$1004,0))),"")</f>
        <v/>
      </c>
      <c r="D892" s="58">
        <f>IFERROR(INDEX(Firms!$P$5:$P$1004,MATCH(888,Firms!$R$5:$R$1004,0))&amp;"","")</f>
        <v/>
      </c>
      <c r="E892" s="58">
        <f>IFERROR(INDEX(Firms!$C$5:$C$1004,MATCH(888,Firms!$R$5:$R$1004,0))&amp;"","")</f>
        <v/>
      </c>
      <c r="F892" s="57">
        <f>IFERROR(INDEX(Firms!$L$5:$L$1004,MATCH(888,Firms!$R$5:$R$1004,0))&amp;"","")</f>
        <v/>
      </c>
      <c r="G892" s="57">
        <f>IFERROR(INDEX(Firms!$M$5:$M$1004,MATCH(888,Firms!$R$5:$R$1004,0))&amp;"","")</f>
        <v/>
      </c>
      <c r="H892" s="58">
        <f>IFERROR(INDEX(Firms!$Q$5:$Q$1004,MATCH(888,Firms!$R$5:$R$1004,0))&amp;"","")</f>
        <v/>
      </c>
    </row>
    <row r="893">
      <c r="A893" s="57">
        <f>IF(B893="","",889)</f>
        <v/>
      </c>
      <c r="B893" s="58">
        <f>IFERROR(INDEX(Firms!$A$5:$A$1004,MATCH(889,Firms!$R$5:$R$1004,0))&amp;"","")</f>
        <v/>
      </c>
      <c r="C893" s="59">
        <f>IFERROR(IF(INDEX(Firms!$O$5:$O$1004,MATCH(889,Firms!$R$5:$R$1004,0))="","",INDEX(Firms!$O$5:$O$1004,MATCH(889,Firms!$R$5:$R$1004,0))),"")</f>
        <v/>
      </c>
      <c r="D893" s="58">
        <f>IFERROR(INDEX(Firms!$P$5:$P$1004,MATCH(889,Firms!$R$5:$R$1004,0))&amp;"","")</f>
        <v/>
      </c>
      <c r="E893" s="58">
        <f>IFERROR(INDEX(Firms!$C$5:$C$1004,MATCH(889,Firms!$R$5:$R$1004,0))&amp;"","")</f>
        <v/>
      </c>
      <c r="F893" s="57">
        <f>IFERROR(INDEX(Firms!$L$5:$L$1004,MATCH(889,Firms!$R$5:$R$1004,0))&amp;"","")</f>
        <v/>
      </c>
      <c r="G893" s="57">
        <f>IFERROR(INDEX(Firms!$M$5:$M$1004,MATCH(889,Firms!$R$5:$R$1004,0))&amp;"","")</f>
        <v/>
      </c>
      <c r="H893" s="58">
        <f>IFERROR(INDEX(Firms!$Q$5:$Q$1004,MATCH(889,Firms!$R$5:$R$1004,0))&amp;"","")</f>
        <v/>
      </c>
    </row>
    <row r="894">
      <c r="A894" s="57">
        <f>IF(B894="","",890)</f>
        <v/>
      </c>
      <c r="B894" s="58">
        <f>IFERROR(INDEX(Firms!$A$5:$A$1004,MATCH(890,Firms!$R$5:$R$1004,0))&amp;"","")</f>
        <v/>
      </c>
      <c r="C894" s="59">
        <f>IFERROR(IF(INDEX(Firms!$O$5:$O$1004,MATCH(890,Firms!$R$5:$R$1004,0))="","",INDEX(Firms!$O$5:$O$1004,MATCH(890,Firms!$R$5:$R$1004,0))),"")</f>
        <v/>
      </c>
      <c r="D894" s="58">
        <f>IFERROR(INDEX(Firms!$P$5:$P$1004,MATCH(890,Firms!$R$5:$R$1004,0))&amp;"","")</f>
        <v/>
      </c>
      <c r="E894" s="58">
        <f>IFERROR(INDEX(Firms!$C$5:$C$1004,MATCH(890,Firms!$R$5:$R$1004,0))&amp;"","")</f>
        <v/>
      </c>
      <c r="F894" s="57">
        <f>IFERROR(INDEX(Firms!$L$5:$L$1004,MATCH(890,Firms!$R$5:$R$1004,0))&amp;"","")</f>
        <v/>
      </c>
      <c r="G894" s="57">
        <f>IFERROR(INDEX(Firms!$M$5:$M$1004,MATCH(890,Firms!$R$5:$R$1004,0))&amp;"","")</f>
        <v/>
      </c>
      <c r="H894" s="58">
        <f>IFERROR(INDEX(Firms!$Q$5:$Q$1004,MATCH(890,Firms!$R$5:$R$1004,0))&amp;"","")</f>
        <v/>
      </c>
    </row>
    <row r="895">
      <c r="A895" s="57">
        <f>IF(B895="","",891)</f>
        <v/>
      </c>
      <c r="B895" s="58">
        <f>IFERROR(INDEX(Firms!$A$5:$A$1004,MATCH(891,Firms!$R$5:$R$1004,0))&amp;"","")</f>
        <v/>
      </c>
      <c r="C895" s="59">
        <f>IFERROR(IF(INDEX(Firms!$O$5:$O$1004,MATCH(891,Firms!$R$5:$R$1004,0))="","",INDEX(Firms!$O$5:$O$1004,MATCH(891,Firms!$R$5:$R$1004,0))),"")</f>
        <v/>
      </c>
      <c r="D895" s="58">
        <f>IFERROR(INDEX(Firms!$P$5:$P$1004,MATCH(891,Firms!$R$5:$R$1004,0))&amp;"","")</f>
        <v/>
      </c>
      <c r="E895" s="58">
        <f>IFERROR(INDEX(Firms!$C$5:$C$1004,MATCH(891,Firms!$R$5:$R$1004,0))&amp;"","")</f>
        <v/>
      </c>
      <c r="F895" s="57">
        <f>IFERROR(INDEX(Firms!$L$5:$L$1004,MATCH(891,Firms!$R$5:$R$1004,0))&amp;"","")</f>
        <v/>
      </c>
      <c r="G895" s="57">
        <f>IFERROR(INDEX(Firms!$M$5:$M$1004,MATCH(891,Firms!$R$5:$R$1004,0))&amp;"","")</f>
        <v/>
      </c>
      <c r="H895" s="58">
        <f>IFERROR(INDEX(Firms!$Q$5:$Q$1004,MATCH(891,Firms!$R$5:$R$1004,0))&amp;"","")</f>
        <v/>
      </c>
    </row>
    <row r="896">
      <c r="A896" s="57">
        <f>IF(B896="","",892)</f>
        <v/>
      </c>
      <c r="B896" s="58">
        <f>IFERROR(INDEX(Firms!$A$5:$A$1004,MATCH(892,Firms!$R$5:$R$1004,0))&amp;"","")</f>
        <v/>
      </c>
      <c r="C896" s="59">
        <f>IFERROR(IF(INDEX(Firms!$O$5:$O$1004,MATCH(892,Firms!$R$5:$R$1004,0))="","",INDEX(Firms!$O$5:$O$1004,MATCH(892,Firms!$R$5:$R$1004,0))),"")</f>
        <v/>
      </c>
      <c r="D896" s="58">
        <f>IFERROR(INDEX(Firms!$P$5:$P$1004,MATCH(892,Firms!$R$5:$R$1004,0))&amp;"","")</f>
        <v/>
      </c>
      <c r="E896" s="58">
        <f>IFERROR(INDEX(Firms!$C$5:$C$1004,MATCH(892,Firms!$R$5:$R$1004,0))&amp;"","")</f>
        <v/>
      </c>
      <c r="F896" s="57">
        <f>IFERROR(INDEX(Firms!$L$5:$L$1004,MATCH(892,Firms!$R$5:$R$1004,0))&amp;"","")</f>
        <v/>
      </c>
      <c r="G896" s="57">
        <f>IFERROR(INDEX(Firms!$M$5:$M$1004,MATCH(892,Firms!$R$5:$R$1004,0))&amp;"","")</f>
        <v/>
      </c>
      <c r="H896" s="58">
        <f>IFERROR(INDEX(Firms!$Q$5:$Q$1004,MATCH(892,Firms!$R$5:$R$1004,0))&amp;"","")</f>
        <v/>
      </c>
    </row>
    <row r="897">
      <c r="A897" s="57">
        <f>IF(B897="","",893)</f>
        <v/>
      </c>
      <c r="B897" s="58">
        <f>IFERROR(INDEX(Firms!$A$5:$A$1004,MATCH(893,Firms!$R$5:$R$1004,0))&amp;"","")</f>
        <v/>
      </c>
      <c r="C897" s="59">
        <f>IFERROR(IF(INDEX(Firms!$O$5:$O$1004,MATCH(893,Firms!$R$5:$R$1004,0))="","",INDEX(Firms!$O$5:$O$1004,MATCH(893,Firms!$R$5:$R$1004,0))),"")</f>
        <v/>
      </c>
      <c r="D897" s="58">
        <f>IFERROR(INDEX(Firms!$P$5:$P$1004,MATCH(893,Firms!$R$5:$R$1004,0))&amp;"","")</f>
        <v/>
      </c>
      <c r="E897" s="58">
        <f>IFERROR(INDEX(Firms!$C$5:$C$1004,MATCH(893,Firms!$R$5:$R$1004,0))&amp;"","")</f>
        <v/>
      </c>
      <c r="F897" s="57">
        <f>IFERROR(INDEX(Firms!$L$5:$L$1004,MATCH(893,Firms!$R$5:$R$1004,0))&amp;"","")</f>
        <v/>
      </c>
      <c r="G897" s="57">
        <f>IFERROR(INDEX(Firms!$M$5:$M$1004,MATCH(893,Firms!$R$5:$R$1004,0))&amp;"","")</f>
        <v/>
      </c>
      <c r="H897" s="58">
        <f>IFERROR(INDEX(Firms!$Q$5:$Q$1004,MATCH(893,Firms!$R$5:$R$1004,0))&amp;"","")</f>
        <v/>
      </c>
    </row>
    <row r="898">
      <c r="A898" s="57">
        <f>IF(B898="","",894)</f>
        <v/>
      </c>
      <c r="B898" s="58">
        <f>IFERROR(INDEX(Firms!$A$5:$A$1004,MATCH(894,Firms!$R$5:$R$1004,0))&amp;"","")</f>
        <v/>
      </c>
      <c r="C898" s="59">
        <f>IFERROR(IF(INDEX(Firms!$O$5:$O$1004,MATCH(894,Firms!$R$5:$R$1004,0))="","",INDEX(Firms!$O$5:$O$1004,MATCH(894,Firms!$R$5:$R$1004,0))),"")</f>
        <v/>
      </c>
      <c r="D898" s="58">
        <f>IFERROR(INDEX(Firms!$P$5:$P$1004,MATCH(894,Firms!$R$5:$R$1004,0))&amp;"","")</f>
        <v/>
      </c>
      <c r="E898" s="58">
        <f>IFERROR(INDEX(Firms!$C$5:$C$1004,MATCH(894,Firms!$R$5:$R$1004,0))&amp;"","")</f>
        <v/>
      </c>
      <c r="F898" s="57">
        <f>IFERROR(INDEX(Firms!$L$5:$L$1004,MATCH(894,Firms!$R$5:$R$1004,0))&amp;"","")</f>
        <v/>
      </c>
      <c r="G898" s="57">
        <f>IFERROR(INDEX(Firms!$M$5:$M$1004,MATCH(894,Firms!$R$5:$R$1004,0))&amp;"","")</f>
        <v/>
      </c>
      <c r="H898" s="58">
        <f>IFERROR(INDEX(Firms!$Q$5:$Q$1004,MATCH(894,Firms!$R$5:$R$1004,0))&amp;"","")</f>
        <v/>
      </c>
    </row>
    <row r="899">
      <c r="A899" s="57">
        <f>IF(B899="","",895)</f>
        <v/>
      </c>
      <c r="B899" s="58">
        <f>IFERROR(INDEX(Firms!$A$5:$A$1004,MATCH(895,Firms!$R$5:$R$1004,0))&amp;"","")</f>
        <v/>
      </c>
      <c r="C899" s="59">
        <f>IFERROR(IF(INDEX(Firms!$O$5:$O$1004,MATCH(895,Firms!$R$5:$R$1004,0))="","",INDEX(Firms!$O$5:$O$1004,MATCH(895,Firms!$R$5:$R$1004,0))),"")</f>
        <v/>
      </c>
      <c r="D899" s="58">
        <f>IFERROR(INDEX(Firms!$P$5:$P$1004,MATCH(895,Firms!$R$5:$R$1004,0))&amp;"","")</f>
        <v/>
      </c>
      <c r="E899" s="58">
        <f>IFERROR(INDEX(Firms!$C$5:$C$1004,MATCH(895,Firms!$R$5:$R$1004,0))&amp;"","")</f>
        <v/>
      </c>
      <c r="F899" s="57">
        <f>IFERROR(INDEX(Firms!$L$5:$L$1004,MATCH(895,Firms!$R$5:$R$1004,0))&amp;"","")</f>
        <v/>
      </c>
      <c r="G899" s="57">
        <f>IFERROR(INDEX(Firms!$M$5:$M$1004,MATCH(895,Firms!$R$5:$R$1004,0))&amp;"","")</f>
        <v/>
      </c>
      <c r="H899" s="58">
        <f>IFERROR(INDEX(Firms!$Q$5:$Q$1004,MATCH(895,Firms!$R$5:$R$1004,0))&amp;"","")</f>
        <v/>
      </c>
    </row>
    <row r="900">
      <c r="A900" s="57">
        <f>IF(B900="","",896)</f>
        <v/>
      </c>
      <c r="B900" s="58">
        <f>IFERROR(INDEX(Firms!$A$5:$A$1004,MATCH(896,Firms!$R$5:$R$1004,0))&amp;"","")</f>
        <v/>
      </c>
      <c r="C900" s="59">
        <f>IFERROR(IF(INDEX(Firms!$O$5:$O$1004,MATCH(896,Firms!$R$5:$R$1004,0))="","",INDEX(Firms!$O$5:$O$1004,MATCH(896,Firms!$R$5:$R$1004,0))),"")</f>
        <v/>
      </c>
      <c r="D900" s="58">
        <f>IFERROR(INDEX(Firms!$P$5:$P$1004,MATCH(896,Firms!$R$5:$R$1004,0))&amp;"","")</f>
        <v/>
      </c>
      <c r="E900" s="58">
        <f>IFERROR(INDEX(Firms!$C$5:$C$1004,MATCH(896,Firms!$R$5:$R$1004,0))&amp;"","")</f>
        <v/>
      </c>
      <c r="F900" s="57">
        <f>IFERROR(INDEX(Firms!$L$5:$L$1004,MATCH(896,Firms!$R$5:$R$1004,0))&amp;"","")</f>
        <v/>
      </c>
      <c r="G900" s="57">
        <f>IFERROR(INDEX(Firms!$M$5:$M$1004,MATCH(896,Firms!$R$5:$R$1004,0))&amp;"","")</f>
        <v/>
      </c>
      <c r="H900" s="58">
        <f>IFERROR(INDEX(Firms!$Q$5:$Q$1004,MATCH(896,Firms!$R$5:$R$1004,0))&amp;"","")</f>
        <v/>
      </c>
    </row>
    <row r="901">
      <c r="A901" s="57">
        <f>IF(B901="","",897)</f>
        <v/>
      </c>
      <c r="B901" s="58">
        <f>IFERROR(INDEX(Firms!$A$5:$A$1004,MATCH(897,Firms!$R$5:$R$1004,0))&amp;"","")</f>
        <v/>
      </c>
      <c r="C901" s="59">
        <f>IFERROR(IF(INDEX(Firms!$O$5:$O$1004,MATCH(897,Firms!$R$5:$R$1004,0))="","",INDEX(Firms!$O$5:$O$1004,MATCH(897,Firms!$R$5:$R$1004,0))),"")</f>
        <v/>
      </c>
      <c r="D901" s="58">
        <f>IFERROR(INDEX(Firms!$P$5:$P$1004,MATCH(897,Firms!$R$5:$R$1004,0))&amp;"","")</f>
        <v/>
      </c>
      <c r="E901" s="58">
        <f>IFERROR(INDEX(Firms!$C$5:$C$1004,MATCH(897,Firms!$R$5:$R$1004,0))&amp;"","")</f>
        <v/>
      </c>
      <c r="F901" s="57">
        <f>IFERROR(INDEX(Firms!$L$5:$L$1004,MATCH(897,Firms!$R$5:$R$1004,0))&amp;"","")</f>
        <v/>
      </c>
      <c r="G901" s="57">
        <f>IFERROR(INDEX(Firms!$M$5:$M$1004,MATCH(897,Firms!$R$5:$R$1004,0))&amp;"","")</f>
        <v/>
      </c>
      <c r="H901" s="58">
        <f>IFERROR(INDEX(Firms!$Q$5:$Q$1004,MATCH(897,Firms!$R$5:$R$1004,0))&amp;"","")</f>
        <v/>
      </c>
    </row>
    <row r="902">
      <c r="A902" s="57">
        <f>IF(B902="","",898)</f>
        <v/>
      </c>
      <c r="B902" s="58">
        <f>IFERROR(INDEX(Firms!$A$5:$A$1004,MATCH(898,Firms!$R$5:$R$1004,0))&amp;"","")</f>
        <v/>
      </c>
      <c r="C902" s="59">
        <f>IFERROR(IF(INDEX(Firms!$O$5:$O$1004,MATCH(898,Firms!$R$5:$R$1004,0))="","",INDEX(Firms!$O$5:$O$1004,MATCH(898,Firms!$R$5:$R$1004,0))),"")</f>
        <v/>
      </c>
      <c r="D902" s="58">
        <f>IFERROR(INDEX(Firms!$P$5:$P$1004,MATCH(898,Firms!$R$5:$R$1004,0))&amp;"","")</f>
        <v/>
      </c>
      <c r="E902" s="58">
        <f>IFERROR(INDEX(Firms!$C$5:$C$1004,MATCH(898,Firms!$R$5:$R$1004,0))&amp;"","")</f>
        <v/>
      </c>
      <c r="F902" s="57">
        <f>IFERROR(INDEX(Firms!$L$5:$L$1004,MATCH(898,Firms!$R$5:$R$1004,0))&amp;"","")</f>
        <v/>
      </c>
      <c r="G902" s="57">
        <f>IFERROR(INDEX(Firms!$M$5:$M$1004,MATCH(898,Firms!$R$5:$R$1004,0))&amp;"","")</f>
        <v/>
      </c>
      <c r="H902" s="58">
        <f>IFERROR(INDEX(Firms!$Q$5:$Q$1004,MATCH(898,Firms!$R$5:$R$1004,0))&amp;"","")</f>
        <v/>
      </c>
    </row>
    <row r="903">
      <c r="A903" s="57">
        <f>IF(B903="","",899)</f>
        <v/>
      </c>
      <c r="B903" s="58">
        <f>IFERROR(INDEX(Firms!$A$5:$A$1004,MATCH(899,Firms!$R$5:$R$1004,0))&amp;"","")</f>
        <v/>
      </c>
      <c r="C903" s="59">
        <f>IFERROR(IF(INDEX(Firms!$O$5:$O$1004,MATCH(899,Firms!$R$5:$R$1004,0))="","",INDEX(Firms!$O$5:$O$1004,MATCH(899,Firms!$R$5:$R$1004,0))),"")</f>
        <v/>
      </c>
      <c r="D903" s="58">
        <f>IFERROR(INDEX(Firms!$P$5:$P$1004,MATCH(899,Firms!$R$5:$R$1004,0))&amp;"","")</f>
        <v/>
      </c>
      <c r="E903" s="58">
        <f>IFERROR(INDEX(Firms!$C$5:$C$1004,MATCH(899,Firms!$R$5:$R$1004,0))&amp;"","")</f>
        <v/>
      </c>
      <c r="F903" s="57">
        <f>IFERROR(INDEX(Firms!$L$5:$L$1004,MATCH(899,Firms!$R$5:$R$1004,0))&amp;"","")</f>
        <v/>
      </c>
      <c r="G903" s="57">
        <f>IFERROR(INDEX(Firms!$M$5:$M$1004,MATCH(899,Firms!$R$5:$R$1004,0))&amp;"","")</f>
        <v/>
      </c>
      <c r="H903" s="58">
        <f>IFERROR(INDEX(Firms!$Q$5:$Q$1004,MATCH(899,Firms!$R$5:$R$1004,0))&amp;"","")</f>
        <v/>
      </c>
    </row>
    <row r="904">
      <c r="A904" s="57">
        <f>IF(B904="","",900)</f>
        <v/>
      </c>
      <c r="B904" s="58">
        <f>IFERROR(INDEX(Firms!$A$5:$A$1004,MATCH(900,Firms!$R$5:$R$1004,0))&amp;"","")</f>
        <v/>
      </c>
      <c r="C904" s="59">
        <f>IFERROR(IF(INDEX(Firms!$O$5:$O$1004,MATCH(900,Firms!$R$5:$R$1004,0))="","",INDEX(Firms!$O$5:$O$1004,MATCH(900,Firms!$R$5:$R$1004,0))),"")</f>
        <v/>
      </c>
      <c r="D904" s="58">
        <f>IFERROR(INDEX(Firms!$P$5:$P$1004,MATCH(900,Firms!$R$5:$R$1004,0))&amp;"","")</f>
        <v/>
      </c>
      <c r="E904" s="58">
        <f>IFERROR(INDEX(Firms!$C$5:$C$1004,MATCH(900,Firms!$R$5:$R$1004,0))&amp;"","")</f>
        <v/>
      </c>
      <c r="F904" s="57">
        <f>IFERROR(INDEX(Firms!$L$5:$L$1004,MATCH(900,Firms!$R$5:$R$1004,0))&amp;"","")</f>
        <v/>
      </c>
      <c r="G904" s="57">
        <f>IFERROR(INDEX(Firms!$M$5:$M$1004,MATCH(900,Firms!$R$5:$R$1004,0))&amp;"","")</f>
        <v/>
      </c>
      <c r="H904" s="58">
        <f>IFERROR(INDEX(Firms!$Q$5:$Q$1004,MATCH(900,Firms!$R$5:$R$1004,0))&amp;"","")</f>
        <v/>
      </c>
    </row>
    <row r="905">
      <c r="A905" s="57">
        <f>IF(B905="","",901)</f>
        <v/>
      </c>
      <c r="B905" s="58">
        <f>IFERROR(INDEX(Firms!$A$5:$A$1004,MATCH(901,Firms!$R$5:$R$1004,0))&amp;"","")</f>
        <v/>
      </c>
      <c r="C905" s="59">
        <f>IFERROR(IF(INDEX(Firms!$O$5:$O$1004,MATCH(901,Firms!$R$5:$R$1004,0))="","",INDEX(Firms!$O$5:$O$1004,MATCH(901,Firms!$R$5:$R$1004,0))),"")</f>
        <v/>
      </c>
      <c r="D905" s="58">
        <f>IFERROR(INDEX(Firms!$P$5:$P$1004,MATCH(901,Firms!$R$5:$R$1004,0))&amp;"","")</f>
        <v/>
      </c>
      <c r="E905" s="58">
        <f>IFERROR(INDEX(Firms!$C$5:$C$1004,MATCH(901,Firms!$R$5:$R$1004,0))&amp;"","")</f>
        <v/>
      </c>
      <c r="F905" s="57">
        <f>IFERROR(INDEX(Firms!$L$5:$L$1004,MATCH(901,Firms!$R$5:$R$1004,0))&amp;"","")</f>
        <v/>
      </c>
      <c r="G905" s="57">
        <f>IFERROR(INDEX(Firms!$M$5:$M$1004,MATCH(901,Firms!$R$5:$R$1004,0))&amp;"","")</f>
        <v/>
      </c>
      <c r="H905" s="58">
        <f>IFERROR(INDEX(Firms!$Q$5:$Q$1004,MATCH(901,Firms!$R$5:$R$1004,0))&amp;"","")</f>
        <v/>
      </c>
    </row>
    <row r="906">
      <c r="A906" s="57">
        <f>IF(B906="","",902)</f>
        <v/>
      </c>
      <c r="B906" s="58">
        <f>IFERROR(INDEX(Firms!$A$5:$A$1004,MATCH(902,Firms!$R$5:$R$1004,0))&amp;"","")</f>
        <v/>
      </c>
      <c r="C906" s="59">
        <f>IFERROR(IF(INDEX(Firms!$O$5:$O$1004,MATCH(902,Firms!$R$5:$R$1004,0))="","",INDEX(Firms!$O$5:$O$1004,MATCH(902,Firms!$R$5:$R$1004,0))),"")</f>
        <v/>
      </c>
      <c r="D906" s="58">
        <f>IFERROR(INDEX(Firms!$P$5:$P$1004,MATCH(902,Firms!$R$5:$R$1004,0))&amp;"","")</f>
        <v/>
      </c>
      <c r="E906" s="58">
        <f>IFERROR(INDEX(Firms!$C$5:$C$1004,MATCH(902,Firms!$R$5:$R$1004,0))&amp;"","")</f>
        <v/>
      </c>
      <c r="F906" s="57">
        <f>IFERROR(INDEX(Firms!$L$5:$L$1004,MATCH(902,Firms!$R$5:$R$1004,0))&amp;"","")</f>
        <v/>
      </c>
      <c r="G906" s="57">
        <f>IFERROR(INDEX(Firms!$M$5:$M$1004,MATCH(902,Firms!$R$5:$R$1004,0))&amp;"","")</f>
        <v/>
      </c>
      <c r="H906" s="58">
        <f>IFERROR(INDEX(Firms!$Q$5:$Q$1004,MATCH(902,Firms!$R$5:$R$1004,0))&amp;"","")</f>
        <v/>
      </c>
    </row>
    <row r="907">
      <c r="A907" s="57">
        <f>IF(B907="","",903)</f>
        <v/>
      </c>
      <c r="B907" s="58">
        <f>IFERROR(INDEX(Firms!$A$5:$A$1004,MATCH(903,Firms!$R$5:$R$1004,0))&amp;"","")</f>
        <v/>
      </c>
      <c r="C907" s="59">
        <f>IFERROR(IF(INDEX(Firms!$O$5:$O$1004,MATCH(903,Firms!$R$5:$R$1004,0))="","",INDEX(Firms!$O$5:$O$1004,MATCH(903,Firms!$R$5:$R$1004,0))),"")</f>
        <v/>
      </c>
      <c r="D907" s="58">
        <f>IFERROR(INDEX(Firms!$P$5:$P$1004,MATCH(903,Firms!$R$5:$R$1004,0))&amp;"","")</f>
        <v/>
      </c>
      <c r="E907" s="58">
        <f>IFERROR(INDEX(Firms!$C$5:$C$1004,MATCH(903,Firms!$R$5:$R$1004,0))&amp;"","")</f>
        <v/>
      </c>
      <c r="F907" s="57">
        <f>IFERROR(INDEX(Firms!$L$5:$L$1004,MATCH(903,Firms!$R$5:$R$1004,0))&amp;"","")</f>
        <v/>
      </c>
      <c r="G907" s="57">
        <f>IFERROR(INDEX(Firms!$M$5:$M$1004,MATCH(903,Firms!$R$5:$R$1004,0))&amp;"","")</f>
        <v/>
      </c>
      <c r="H907" s="58">
        <f>IFERROR(INDEX(Firms!$Q$5:$Q$1004,MATCH(903,Firms!$R$5:$R$1004,0))&amp;"","")</f>
        <v/>
      </c>
    </row>
    <row r="908">
      <c r="A908" s="57">
        <f>IF(B908="","",904)</f>
        <v/>
      </c>
      <c r="B908" s="58">
        <f>IFERROR(INDEX(Firms!$A$5:$A$1004,MATCH(904,Firms!$R$5:$R$1004,0))&amp;"","")</f>
        <v/>
      </c>
      <c r="C908" s="59">
        <f>IFERROR(IF(INDEX(Firms!$O$5:$O$1004,MATCH(904,Firms!$R$5:$R$1004,0))="","",INDEX(Firms!$O$5:$O$1004,MATCH(904,Firms!$R$5:$R$1004,0))),"")</f>
        <v/>
      </c>
      <c r="D908" s="58">
        <f>IFERROR(INDEX(Firms!$P$5:$P$1004,MATCH(904,Firms!$R$5:$R$1004,0))&amp;"","")</f>
        <v/>
      </c>
      <c r="E908" s="58">
        <f>IFERROR(INDEX(Firms!$C$5:$C$1004,MATCH(904,Firms!$R$5:$R$1004,0))&amp;"","")</f>
        <v/>
      </c>
      <c r="F908" s="57">
        <f>IFERROR(INDEX(Firms!$L$5:$L$1004,MATCH(904,Firms!$R$5:$R$1004,0))&amp;"","")</f>
        <v/>
      </c>
      <c r="G908" s="57">
        <f>IFERROR(INDEX(Firms!$M$5:$M$1004,MATCH(904,Firms!$R$5:$R$1004,0))&amp;"","")</f>
        <v/>
      </c>
      <c r="H908" s="58">
        <f>IFERROR(INDEX(Firms!$Q$5:$Q$1004,MATCH(904,Firms!$R$5:$R$1004,0))&amp;"","")</f>
        <v/>
      </c>
    </row>
    <row r="909">
      <c r="A909" s="57">
        <f>IF(B909="","",905)</f>
        <v/>
      </c>
      <c r="B909" s="58">
        <f>IFERROR(INDEX(Firms!$A$5:$A$1004,MATCH(905,Firms!$R$5:$R$1004,0))&amp;"","")</f>
        <v/>
      </c>
      <c r="C909" s="59">
        <f>IFERROR(IF(INDEX(Firms!$O$5:$O$1004,MATCH(905,Firms!$R$5:$R$1004,0))="","",INDEX(Firms!$O$5:$O$1004,MATCH(905,Firms!$R$5:$R$1004,0))),"")</f>
        <v/>
      </c>
      <c r="D909" s="58">
        <f>IFERROR(INDEX(Firms!$P$5:$P$1004,MATCH(905,Firms!$R$5:$R$1004,0))&amp;"","")</f>
        <v/>
      </c>
      <c r="E909" s="58">
        <f>IFERROR(INDEX(Firms!$C$5:$C$1004,MATCH(905,Firms!$R$5:$R$1004,0))&amp;"","")</f>
        <v/>
      </c>
      <c r="F909" s="57">
        <f>IFERROR(INDEX(Firms!$L$5:$L$1004,MATCH(905,Firms!$R$5:$R$1004,0))&amp;"","")</f>
        <v/>
      </c>
      <c r="G909" s="57">
        <f>IFERROR(INDEX(Firms!$M$5:$M$1004,MATCH(905,Firms!$R$5:$R$1004,0))&amp;"","")</f>
        <v/>
      </c>
      <c r="H909" s="58">
        <f>IFERROR(INDEX(Firms!$Q$5:$Q$1004,MATCH(905,Firms!$R$5:$R$1004,0))&amp;"","")</f>
        <v/>
      </c>
    </row>
    <row r="910">
      <c r="A910" s="57">
        <f>IF(B910="","",906)</f>
        <v/>
      </c>
      <c r="B910" s="58">
        <f>IFERROR(INDEX(Firms!$A$5:$A$1004,MATCH(906,Firms!$R$5:$R$1004,0))&amp;"","")</f>
        <v/>
      </c>
      <c r="C910" s="59">
        <f>IFERROR(IF(INDEX(Firms!$O$5:$O$1004,MATCH(906,Firms!$R$5:$R$1004,0))="","",INDEX(Firms!$O$5:$O$1004,MATCH(906,Firms!$R$5:$R$1004,0))),"")</f>
        <v/>
      </c>
      <c r="D910" s="58">
        <f>IFERROR(INDEX(Firms!$P$5:$P$1004,MATCH(906,Firms!$R$5:$R$1004,0))&amp;"","")</f>
        <v/>
      </c>
      <c r="E910" s="58">
        <f>IFERROR(INDEX(Firms!$C$5:$C$1004,MATCH(906,Firms!$R$5:$R$1004,0))&amp;"","")</f>
        <v/>
      </c>
      <c r="F910" s="57">
        <f>IFERROR(INDEX(Firms!$L$5:$L$1004,MATCH(906,Firms!$R$5:$R$1004,0))&amp;"","")</f>
        <v/>
      </c>
      <c r="G910" s="57">
        <f>IFERROR(INDEX(Firms!$M$5:$M$1004,MATCH(906,Firms!$R$5:$R$1004,0))&amp;"","")</f>
        <v/>
      </c>
      <c r="H910" s="58">
        <f>IFERROR(INDEX(Firms!$Q$5:$Q$1004,MATCH(906,Firms!$R$5:$R$1004,0))&amp;"","")</f>
        <v/>
      </c>
    </row>
    <row r="911">
      <c r="A911" s="57">
        <f>IF(B911="","",907)</f>
        <v/>
      </c>
      <c r="B911" s="58">
        <f>IFERROR(INDEX(Firms!$A$5:$A$1004,MATCH(907,Firms!$R$5:$R$1004,0))&amp;"","")</f>
        <v/>
      </c>
      <c r="C911" s="59">
        <f>IFERROR(IF(INDEX(Firms!$O$5:$O$1004,MATCH(907,Firms!$R$5:$R$1004,0))="","",INDEX(Firms!$O$5:$O$1004,MATCH(907,Firms!$R$5:$R$1004,0))),"")</f>
        <v/>
      </c>
      <c r="D911" s="58">
        <f>IFERROR(INDEX(Firms!$P$5:$P$1004,MATCH(907,Firms!$R$5:$R$1004,0))&amp;"","")</f>
        <v/>
      </c>
      <c r="E911" s="58">
        <f>IFERROR(INDEX(Firms!$C$5:$C$1004,MATCH(907,Firms!$R$5:$R$1004,0))&amp;"","")</f>
        <v/>
      </c>
      <c r="F911" s="57">
        <f>IFERROR(INDEX(Firms!$L$5:$L$1004,MATCH(907,Firms!$R$5:$R$1004,0))&amp;"","")</f>
        <v/>
      </c>
      <c r="G911" s="57">
        <f>IFERROR(INDEX(Firms!$M$5:$M$1004,MATCH(907,Firms!$R$5:$R$1004,0))&amp;"","")</f>
        <v/>
      </c>
      <c r="H911" s="58">
        <f>IFERROR(INDEX(Firms!$Q$5:$Q$1004,MATCH(907,Firms!$R$5:$R$1004,0))&amp;"","")</f>
        <v/>
      </c>
    </row>
    <row r="912">
      <c r="A912" s="57">
        <f>IF(B912="","",908)</f>
        <v/>
      </c>
      <c r="B912" s="58">
        <f>IFERROR(INDEX(Firms!$A$5:$A$1004,MATCH(908,Firms!$R$5:$R$1004,0))&amp;"","")</f>
        <v/>
      </c>
      <c r="C912" s="59">
        <f>IFERROR(IF(INDEX(Firms!$O$5:$O$1004,MATCH(908,Firms!$R$5:$R$1004,0))="","",INDEX(Firms!$O$5:$O$1004,MATCH(908,Firms!$R$5:$R$1004,0))),"")</f>
        <v/>
      </c>
      <c r="D912" s="58">
        <f>IFERROR(INDEX(Firms!$P$5:$P$1004,MATCH(908,Firms!$R$5:$R$1004,0))&amp;"","")</f>
        <v/>
      </c>
      <c r="E912" s="58">
        <f>IFERROR(INDEX(Firms!$C$5:$C$1004,MATCH(908,Firms!$R$5:$R$1004,0))&amp;"","")</f>
        <v/>
      </c>
      <c r="F912" s="57">
        <f>IFERROR(INDEX(Firms!$L$5:$L$1004,MATCH(908,Firms!$R$5:$R$1004,0))&amp;"","")</f>
        <v/>
      </c>
      <c r="G912" s="57">
        <f>IFERROR(INDEX(Firms!$M$5:$M$1004,MATCH(908,Firms!$R$5:$R$1004,0))&amp;"","")</f>
        <v/>
      </c>
      <c r="H912" s="58">
        <f>IFERROR(INDEX(Firms!$Q$5:$Q$1004,MATCH(908,Firms!$R$5:$R$1004,0))&amp;"","")</f>
        <v/>
      </c>
    </row>
    <row r="913">
      <c r="A913" s="57">
        <f>IF(B913="","",909)</f>
        <v/>
      </c>
      <c r="B913" s="58">
        <f>IFERROR(INDEX(Firms!$A$5:$A$1004,MATCH(909,Firms!$R$5:$R$1004,0))&amp;"","")</f>
        <v/>
      </c>
      <c r="C913" s="59">
        <f>IFERROR(IF(INDEX(Firms!$O$5:$O$1004,MATCH(909,Firms!$R$5:$R$1004,0))="","",INDEX(Firms!$O$5:$O$1004,MATCH(909,Firms!$R$5:$R$1004,0))),"")</f>
        <v/>
      </c>
      <c r="D913" s="58">
        <f>IFERROR(INDEX(Firms!$P$5:$P$1004,MATCH(909,Firms!$R$5:$R$1004,0))&amp;"","")</f>
        <v/>
      </c>
      <c r="E913" s="58">
        <f>IFERROR(INDEX(Firms!$C$5:$C$1004,MATCH(909,Firms!$R$5:$R$1004,0))&amp;"","")</f>
        <v/>
      </c>
      <c r="F913" s="57">
        <f>IFERROR(INDEX(Firms!$L$5:$L$1004,MATCH(909,Firms!$R$5:$R$1004,0))&amp;"","")</f>
        <v/>
      </c>
      <c r="G913" s="57">
        <f>IFERROR(INDEX(Firms!$M$5:$M$1004,MATCH(909,Firms!$R$5:$R$1004,0))&amp;"","")</f>
        <v/>
      </c>
      <c r="H913" s="58">
        <f>IFERROR(INDEX(Firms!$Q$5:$Q$1004,MATCH(909,Firms!$R$5:$R$1004,0))&amp;"","")</f>
        <v/>
      </c>
    </row>
    <row r="914">
      <c r="A914" s="57">
        <f>IF(B914="","",910)</f>
        <v/>
      </c>
      <c r="B914" s="58">
        <f>IFERROR(INDEX(Firms!$A$5:$A$1004,MATCH(910,Firms!$R$5:$R$1004,0))&amp;"","")</f>
        <v/>
      </c>
      <c r="C914" s="59">
        <f>IFERROR(IF(INDEX(Firms!$O$5:$O$1004,MATCH(910,Firms!$R$5:$R$1004,0))="","",INDEX(Firms!$O$5:$O$1004,MATCH(910,Firms!$R$5:$R$1004,0))),"")</f>
        <v/>
      </c>
      <c r="D914" s="58">
        <f>IFERROR(INDEX(Firms!$P$5:$P$1004,MATCH(910,Firms!$R$5:$R$1004,0))&amp;"","")</f>
        <v/>
      </c>
      <c r="E914" s="58">
        <f>IFERROR(INDEX(Firms!$C$5:$C$1004,MATCH(910,Firms!$R$5:$R$1004,0))&amp;"","")</f>
        <v/>
      </c>
      <c r="F914" s="57">
        <f>IFERROR(INDEX(Firms!$L$5:$L$1004,MATCH(910,Firms!$R$5:$R$1004,0))&amp;"","")</f>
        <v/>
      </c>
      <c r="G914" s="57">
        <f>IFERROR(INDEX(Firms!$M$5:$M$1004,MATCH(910,Firms!$R$5:$R$1004,0))&amp;"","")</f>
        <v/>
      </c>
      <c r="H914" s="58">
        <f>IFERROR(INDEX(Firms!$Q$5:$Q$1004,MATCH(910,Firms!$R$5:$R$1004,0))&amp;"","")</f>
        <v/>
      </c>
    </row>
    <row r="915">
      <c r="A915" s="57">
        <f>IF(B915="","",911)</f>
        <v/>
      </c>
      <c r="B915" s="58">
        <f>IFERROR(INDEX(Firms!$A$5:$A$1004,MATCH(911,Firms!$R$5:$R$1004,0))&amp;"","")</f>
        <v/>
      </c>
      <c r="C915" s="59">
        <f>IFERROR(IF(INDEX(Firms!$O$5:$O$1004,MATCH(911,Firms!$R$5:$R$1004,0))="","",INDEX(Firms!$O$5:$O$1004,MATCH(911,Firms!$R$5:$R$1004,0))),"")</f>
        <v/>
      </c>
      <c r="D915" s="58">
        <f>IFERROR(INDEX(Firms!$P$5:$P$1004,MATCH(911,Firms!$R$5:$R$1004,0))&amp;"","")</f>
        <v/>
      </c>
      <c r="E915" s="58">
        <f>IFERROR(INDEX(Firms!$C$5:$C$1004,MATCH(911,Firms!$R$5:$R$1004,0))&amp;"","")</f>
        <v/>
      </c>
      <c r="F915" s="57">
        <f>IFERROR(INDEX(Firms!$L$5:$L$1004,MATCH(911,Firms!$R$5:$R$1004,0))&amp;"","")</f>
        <v/>
      </c>
      <c r="G915" s="57">
        <f>IFERROR(INDEX(Firms!$M$5:$M$1004,MATCH(911,Firms!$R$5:$R$1004,0))&amp;"","")</f>
        <v/>
      </c>
      <c r="H915" s="58">
        <f>IFERROR(INDEX(Firms!$Q$5:$Q$1004,MATCH(911,Firms!$R$5:$R$1004,0))&amp;"","")</f>
        <v/>
      </c>
    </row>
    <row r="916">
      <c r="A916" s="57">
        <f>IF(B916="","",912)</f>
        <v/>
      </c>
      <c r="B916" s="58">
        <f>IFERROR(INDEX(Firms!$A$5:$A$1004,MATCH(912,Firms!$R$5:$R$1004,0))&amp;"","")</f>
        <v/>
      </c>
      <c r="C916" s="59">
        <f>IFERROR(IF(INDEX(Firms!$O$5:$O$1004,MATCH(912,Firms!$R$5:$R$1004,0))="","",INDEX(Firms!$O$5:$O$1004,MATCH(912,Firms!$R$5:$R$1004,0))),"")</f>
        <v/>
      </c>
      <c r="D916" s="58">
        <f>IFERROR(INDEX(Firms!$P$5:$P$1004,MATCH(912,Firms!$R$5:$R$1004,0))&amp;"","")</f>
        <v/>
      </c>
      <c r="E916" s="58">
        <f>IFERROR(INDEX(Firms!$C$5:$C$1004,MATCH(912,Firms!$R$5:$R$1004,0))&amp;"","")</f>
        <v/>
      </c>
      <c r="F916" s="57">
        <f>IFERROR(INDEX(Firms!$L$5:$L$1004,MATCH(912,Firms!$R$5:$R$1004,0))&amp;"","")</f>
        <v/>
      </c>
      <c r="G916" s="57">
        <f>IFERROR(INDEX(Firms!$M$5:$M$1004,MATCH(912,Firms!$R$5:$R$1004,0))&amp;"","")</f>
        <v/>
      </c>
      <c r="H916" s="58">
        <f>IFERROR(INDEX(Firms!$Q$5:$Q$1004,MATCH(912,Firms!$R$5:$R$1004,0))&amp;"","")</f>
        <v/>
      </c>
    </row>
    <row r="917">
      <c r="A917" s="57">
        <f>IF(B917="","",913)</f>
        <v/>
      </c>
      <c r="B917" s="58">
        <f>IFERROR(INDEX(Firms!$A$5:$A$1004,MATCH(913,Firms!$R$5:$R$1004,0))&amp;"","")</f>
        <v/>
      </c>
      <c r="C917" s="59">
        <f>IFERROR(IF(INDEX(Firms!$O$5:$O$1004,MATCH(913,Firms!$R$5:$R$1004,0))="","",INDEX(Firms!$O$5:$O$1004,MATCH(913,Firms!$R$5:$R$1004,0))),"")</f>
        <v/>
      </c>
      <c r="D917" s="58">
        <f>IFERROR(INDEX(Firms!$P$5:$P$1004,MATCH(913,Firms!$R$5:$R$1004,0))&amp;"","")</f>
        <v/>
      </c>
      <c r="E917" s="58">
        <f>IFERROR(INDEX(Firms!$C$5:$C$1004,MATCH(913,Firms!$R$5:$R$1004,0))&amp;"","")</f>
        <v/>
      </c>
      <c r="F917" s="57">
        <f>IFERROR(INDEX(Firms!$L$5:$L$1004,MATCH(913,Firms!$R$5:$R$1004,0))&amp;"","")</f>
        <v/>
      </c>
      <c r="G917" s="57">
        <f>IFERROR(INDEX(Firms!$M$5:$M$1004,MATCH(913,Firms!$R$5:$R$1004,0))&amp;"","")</f>
        <v/>
      </c>
      <c r="H917" s="58">
        <f>IFERROR(INDEX(Firms!$Q$5:$Q$1004,MATCH(913,Firms!$R$5:$R$1004,0))&amp;"","")</f>
        <v/>
      </c>
    </row>
    <row r="918">
      <c r="A918" s="57">
        <f>IF(B918="","",914)</f>
        <v/>
      </c>
      <c r="B918" s="58">
        <f>IFERROR(INDEX(Firms!$A$5:$A$1004,MATCH(914,Firms!$R$5:$R$1004,0))&amp;"","")</f>
        <v/>
      </c>
      <c r="C918" s="59">
        <f>IFERROR(IF(INDEX(Firms!$O$5:$O$1004,MATCH(914,Firms!$R$5:$R$1004,0))="","",INDEX(Firms!$O$5:$O$1004,MATCH(914,Firms!$R$5:$R$1004,0))),"")</f>
        <v/>
      </c>
      <c r="D918" s="58">
        <f>IFERROR(INDEX(Firms!$P$5:$P$1004,MATCH(914,Firms!$R$5:$R$1004,0))&amp;"","")</f>
        <v/>
      </c>
      <c r="E918" s="58">
        <f>IFERROR(INDEX(Firms!$C$5:$C$1004,MATCH(914,Firms!$R$5:$R$1004,0))&amp;"","")</f>
        <v/>
      </c>
      <c r="F918" s="57">
        <f>IFERROR(INDEX(Firms!$L$5:$L$1004,MATCH(914,Firms!$R$5:$R$1004,0))&amp;"","")</f>
        <v/>
      </c>
      <c r="G918" s="57">
        <f>IFERROR(INDEX(Firms!$M$5:$M$1004,MATCH(914,Firms!$R$5:$R$1004,0))&amp;"","")</f>
        <v/>
      </c>
      <c r="H918" s="58">
        <f>IFERROR(INDEX(Firms!$Q$5:$Q$1004,MATCH(914,Firms!$R$5:$R$1004,0))&amp;"","")</f>
        <v/>
      </c>
    </row>
    <row r="919">
      <c r="A919" s="57">
        <f>IF(B919="","",915)</f>
        <v/>
      </c>
      <c r="B919" s="58">
        <f>IFERROR(INDEX(Firms!$A$5:$A$1004,MATCH(915,Firms!$R$5:$R$1004,0))&amp;"","")</f>
        <v/>
      </c>
      <c r="C919" s="59">
        <f>IFERROR(IF(INDEX(Firms!$O$5:$O$1004,MATCH(915,Firms!$R$5:$R$1004,0))="","",INDEX(Firms!$O$5:$O$1004,MATCH(915,Firms!$R$5:$R$1004,0))),"")</f>
        <v/>
      </c>
      <c r="D919" s="58">
        <f>IFERROR(INDEX(Firms!$P$5:$P$1004,MATCH(915,Firms!$R$5:$R$1004,0))&amp;"","")</f>
        <v/>
      </c>
      <c r="E919" s="58">
        <f>IFERROR(INDEX(Firms!$C$5:$C$1004,MATCH(915,Firms!$R$5:$R$1004,0))&amp;"","")</f>
        <v/>
      </c>
      <c r="F919" s="57">
        <f>IFERROR(INDEX(Firms!$L$5:$L$1004,MATCH(915,Firms!$R$5:$R$1004,0))&amp;"","")</f>
        <v/>
      </c>
      <c r="G919" s="57">
        <f>IFERROR(INDEX(Firms!$M$5:$M$1004,MATCH(915,Firms!$R$5:$R$1004,0))&amp;"","")</f>
        <v/>
      </c>
      <c r="H919" s="58">
        <f>IFERROR(INDEX(Firms!$Q$5:$Q$1004,MATCH(915,Firms!$R$5:$R$1004,0))&amp;"","")</f>
        <v/>
      </c>
    </row>
    <row r="920">
      <c r="A920" s="57">
        <f>IF(B920="","",916)</f>
        <v/>
      </c>
      <c r="B920" s="58">
        <f>IFERROR(INDEX(Firms!$A$5:$A$1004,MATCH(916,Firms!$R$5:$R$1004,0))&amp;"","")</f>
        <v/>
      </c>
      <c r="C920" s="59">
        <f>IFERROR(IF(INDEX(Firms!$O$5:$O$1004,MATCH(916,Firms!$R$5:$R$1004,0))="","",INDEX(Firms!$O$5:$O$1004,MATCH(916,Firms!$R$5:$R$1004,0))),"")</f>
        <v/>
      </c>
      <c r="D920" s="58">
        <f>IFERROR(INDEX(Firms!$P$5:$P$1004,MATCH(916,Firms!$R$5:$R$1004,0))&amp;"","")</f>
        <v/>
      </c>
      <c r="E920" s="58">
        <f>IFERROR(INDEX(Firms!$C$5:$C$1004,MATCH(916,Firms!$R$5:$R$1004,0))&amp;"","")</f>
        <v/>
      </c>
      <c r="F920" s="57">
        <f>IFERROR(INDEX(Firms!$L$5:$L$1004,MATCH(916,Firms!$R$5:$R$1004,0))&amp;"","")</f>
        <v/>
      </c>
      <c r="G920" s="57">
        <f>IFERROR(INDEX(Firms!$M$5:$M$1004,MATCH(916,Firms!$R$5:$R$1004,0))&amp;"","")</f>
        <v/>
      </c>
      <c r="H920" s="58">
        <f>IFERROR(INDEX(Firms!$Q$5:$Q$1004,MATCH(916,Firms!$R$5:$R$1004,0))&amp;"","")</f>
        <v/>
      </c>
    </row>
    <row r="921">
      <c r="A921" s="57">
        <f>IF(B921="","",917)</f>
        <v/>
      </c>
      <c r="B921" s="58">
        <f>IFERROR(INDEX(Firms!$A$5:$A$1004,MATCH(917,Firms!$R$5:$R$1004,0))&amp;"","")</f>
        <v/>
      </c>
      <c r="C921" s="59">
        <f>IFERROR(IF(INDEX(Firms!$O$5:$O$1004,MATCH(917,Firms!$R$5:$R$1004,0))="","",INDEX(Firms!$O$5:$O$1004,MATCH(917,Firms!$R$5:$R$1004,0))),"")</f>
        <v/>
      </c>
      <c r="D921" s="58">
        <f>IFERROR(INDEX(Firms!$P$5:$P$1004,MATCH(917,Firms!$R$5:$R$1004,0))&amp;"","")</f>
        <v/>
      </c>
      <c r="E921" s="58">
        <f>IFERROR(INDEX(Firms!$C$5:$C$1004,MATCH(917,Firms!$R$5:$R$1004,0))&amp;"","")</f>
        <v/>
      </c>
      <c r="F921" s="57">
        <f>IFERROR(INDEX(Firms!$L$5:$L$1004,MATCH(917,Firms!$R$5:$R$1004,0))&amp;"","")</f>
        <v/>
      </c>
      <c r="G921" s="57">
        <f>IFERROR(INDEX(Firms!$M$5:$M$1004,MATCH(917,Firms!$R$5:$R$1004,0))&amp;"","")</f>
        <v/>
      </c>
      <c r="H921" s="58">
        <f>IFERROR(INDEX(Firms!$Q$5:$Q$1004,MATCH(917,Firms!$R$5:$R$1004,0))&amp;"","")</f>
        <v/>
      </c>
    </row>
    <row r="922">
      <c r="A922" s="57">
        <f>IF(B922="","",918)</f>
        <v/>
      </c>
      <c r="B922" s="58">
        <f>IFERROR(INDEX(Firms!$A$5:$A$1004,MATCH(918,Firms!$R$5:$R$1004,0))&amp;"","")</f>
        <v/>
      </c>
      <c r="C922" s="59">
        <f>IFERROR(IF(INDEX(Firms!$O$5:$O$1004,MATCH(918,Firms!$R$5:$R$1004,0))="","",INDEX(Firms!$O$5:$O$1004,MATCH(918,Firms!$R$5:$R$1004,0))),"")</f>
        <v/>
      </c>
      <c r="D922" s="58">
        <f>IFERROR(INDEX(Firms!$P$5:$P$1004,MATCH(918,Firms!$R$5:$R$1004,0))&amp;"","")</f>
        <v/>
      </c>
      <c r="E922" s="58">
        <f>IFERROR(INDEX(Firms!$C$5:$C$1004,MATCH(918,Firms!$R$5:$R$1004,0))&amp;"","")</f>
        <v/>
      </c>
      <c r="F922" s="57">
        <f>IFERROR(INDEX(Firms!$L$5:$L$1004,MATCH(918,Firms!$R$5:$R$1004,0))&amp;"","")</f>
        <v/>
      </c>
      <c r="G922" s="57">
        <f>IFERROR(INDEX(Firms!$M$5:$M$1004,MATCH(918,Firms!$R$5:$R$1004,0))&amp;"","")</f>
        <v/>
      </c>
      <c r="H922" s="58">
        <f>IFERROR(INDEX(Firms!$Q$5:$Q$1004,MATCH(918,Firms!$R$5:$R$1004,0))&amp;"","")</f>
        <v/>
      </c>
    </row>
    <row r="923">
      <c r="A923" s="57">
        <f>IF(B923="","",919)</f>
        <v/>
      </c>
      <c r="B923" s="58">
        <f>IFERROR(INDEX(Firms!$A$5:$A$1004,MATCH(919,Firms!$R$5:$R$1004,0))&amp;"","")</f>
        <v/>
      </c>
      <c r="C923" s="59">
        <f>IFERROR(IF(INDEX(Firms!$O$5:$O$1004,MATCH(919,Firms!$R$5:$R$1004,0))="","",INDEX(Firms!$O$5:$O$1004,MATCH(919,Firms!$R$5:$R$1004,0))),"")</f>
        <v/>
      </c>
      <c r="D923" s="58">
        <f>IFERROR(INDEX(Firms!$P$5:$P$1004,MATCH(919,Firms!$R$5:$R$1004,0))&amp;"","")</f>
        <v/>
      </c>
      <c r="E923" s="58">
        <f>IFERROR(INDEX(Firms!$C$5:$C$1004,MATCH(919,Firms!$R$5:$R$1004,0))&amp;"","")</f>
        <v/>
      </c>
      <c r="F923" s="57">
        <f>IFERROR(INDEX(Firms!$L$5:$L$1004,MATCH(919,Firms!$R$5:$R$1004,0))&amp;"","")</f>
        <v/>
      </c>
      <c r="G923" s="57">
        <f>IFERROR(INDEX(Firms!$M$5:$M$1004,MATCH(919,Firms!$R$5:$R$1004,0))&amp;"","")</f>
        <v/>
      </c>
      <c r="H923" s="58">
        <f>IFERROR(INDEX(Firms!$Q$5:$Q$1004,MATCH(919,Firms!$R$5:$R$1004,0))&amp;"","")</f>
        <v/>
      </c>
    </row>
    <row r="924">
      <c r="A924" s="57">
        <f>IF(B924="","",920)</f>
        <v/>
      </c>
      <c r="B924" s="58">
        <f>IFERROR(INDEX(Firms!$A$5:$A$1004,MATCH(920,Firms!$R$5:$R$1004,0))&amp;"","")</f>
        <v/>
      </c>
      <c r="C924" s="59">
        <f>IFERROR(IF(INDEX(Firms!$O$5:$O$1004,MATCH(920,Firms!$R$5:$R$1004,0))="","",INDEX(Firms!$O$5:$O$1004,MATCH(920,Firms!$R$5:$R$1004,0))),"")</f>
        <v/>
      </c>
      <c r="D924" s="58">
        <f>IFERROR(INDEX(Firms!$P$5:$P$1004,MATCH(920,Firms!$R$5:$R$1004,0))&amp;"","")</f>
        <v/>
      </c>
      <c r="E924" s="58">
        <f>IFERROR(INDEX(Firms!$C$5:$C$1004,MATCH(920,Firms!$R$5:$R$1004,0))&amp;"","")</f>
        <v/>
      </c>
      <c r="F924" s="57">
        <f>IFERROR(INDEX(Firms!$L$5:$L$1004,MATCH(920,Firms!$R$5:$R$1004,0))&amp;"","")</f>
        <v/>
      </c>
      <c r="G924" s="57">
        <f>IFERROR(INDEX(Firms!$M$5:$M$1004,MATCH(920,Firms!$R$5:$R$1004,0))&amp;"","")</f>
        <v/>
      </c>
      <c r="H924" s="58">
        <f>IFERROR(INDEX(Firms!$Q$5:$Q$1004,MATCH(920,Firms!$R$5:$R$1004,0))&amp;"","")</f>
        <v/>
      </c>
    </row>
    <row r="925">
      <c r="A925" s="57">
        <f>IF(B925="","",921)</f>
        <v/>
      </c>
      <c r="B925" s="58">
        <f>IFERROR(INDEX(Firms!$A$5:$A$1004,MATCH(921,Firms!$R$5:$R$1004,0))&amp;"","")</f>
        <v/>
      </c>
      <c r="C925" s="59">
        <f>IFERROR(IF(INDEX(Firms!$O$5:$O$1004,MATCH(921,Firms!$R$5:$R$1004,0))="","",INDEX(Firms!$O$5:$O$1004,MATCH(921,Firms!$R$5:$R$1004,0))),"")</f>
        <v/>
      </c>
      <c r="D925" s="58">
        <f>IFERROR(INDEX(Firms!$P$5:$P$1004,MATCH(921,Firms!$R$5:$R$1004,0))&amp;"","")</f>
        <v/>
      </c>
      <c r="E925" s="58">
        <f>IFERROR(INDEX(Firms!$C$5:$C$1004,MATCH(921,Firms!$R$5:$R$1004,0))&amp;"","")</f>
        <v/>
      </c>
      <c r="F925" s="57">
        <f>IFERROR(INDEX(Firms!$L$5:$L$1004,MATCH(921,Firms!$R$5:$R$1004,0))&amp;"","")</f>
        <v/>
      </c>
      <c r="G925" s="57">
        <f>IFERROR(INDEX(Firms!$M$5:$M$1004,MATCH(921,Firms!$R$5:$R$1004,0))&amp;"","")</f>
        <v/>
      </c>
      <c r="H925" s="58">
        <f>IFERROR(INDEX(Firms!$Q$5:$Q$1004,MATCH(921,Firms!$R$5:$R$1004,0))&amp;"","")</f>
        <v/>
      </c>
    </row>
    <row r="926">
      <c r="A926" s="57">
        <f>IF(B926="","",922)</f>
        <v/>
      </c>
      <c r="B926" s="58">
        <f>IFERROR(INDEX(Firms!$A$5:$A$1004,MATCH(922,Firms!$R$5:$R$1004,0))&amp;"","")</f>
        <v/>
      </c>
      <c r="C926" s="59">
        <f>IFERROR(IF(INDEX(Firms!$O$5:$O$1004,MATCH(922,Firms!$R$5:$R$1004,0))="","",INDEX(Firms!$O$5:$O$1004,MATCH(922,Firms!$R$5:$R$1004,0))),"")</f>
        <v/>
      </c>
      <c r="D926" s="58">
        <f>IFERROR(INDEX(Firms!$P$5:$P$1004,MATCH(922,Firms!$R$5:$R$1004,0))&amp;"","")</f>
        <v/>
      </c>
      <c r="E926" s="58">
        <f>IFERROR(INDEX(Firms!$C$5:$C$1004,MATCH(922,Firms!$R$5:$R$1004,0))&amp;"","")</f>
        <v/>
      </c>
      <c r="F926" s="57">
        <f>IFERROR(INDEX(Firms!$L$5:$L$1004,MATCH(922,Firms!$R$5:$R$1004,0))&amp;"","")</f>
        <v/>
      </c>
      <c r="G926" s="57">
        <f>IFERROR(INDEX(Firms!$M$5:$M$1004,MATCH(922,Firms!$R$5:$R$1004,0))&amp;"","")</f>
        <v/>
      </c>
      <c r="H926" s="58">
        <f>IFERROR(INDEX(Firms!$Q$5:$Q$1004,MATCH(922,Firms!$R$5:$R$1004,0))&amp;"","")</f>
        <v/>
      </c>
    </row>
    <row r="927">
      <c r="A927" s="57">
        <f>IF(B927="","",923)</f>
        <v/>
      </c>
      <c r="B927" s="58">
        <f>IFERROR(INDEX(Firms!$A$5:$A$1004,MATCH(923,Firms!$R$5:$R$1004,0))&amp;"","")</f>
        <v/>
      </c>
      <c r="C927" s="59">
        <f>IFERROR(IF(INDEX(Firms!$O$5:$O$1004,MATCH(923,Firms!$R$5:$R$1004,0))="","",INDEX(Firms!$O$5:$O$1004,MATCH(923,Firms!$R$5:$R$1004,0))),"")</f>
        <v/>
      </c>
      <c r="D927" s="58">
        <f>IFERROR(INDEX(Firms!$P$5:$P$1004,MATCH(923,Firms!$R$5:$R$1004,0))&amp;"","")</f>
        <v/>
      </c>
      <c r="E927" s="58">
        <f>IFERROR(INDEX(Firms!$C$5:$C$1004,MATCH(923,Firms!$R$5:$R$1004,0))&amp;"","")</f>
        <v/>
      </c>
      <c r="F927" s="57">
        <f>IFERROR(INDEX(Firms!$L$5:$L$1004,MATCH(923,Firms!$R$5:$R$1004,0))&amp;"","")</f>
        <v/>
      </c>
      <c r="G927" s="57">
        <f>IFERROR(INDEX(Firms!$M$5:$M$1004,MATCH(923,Firms!$R$5:$R$1004,0))&amp;"","")</f>
        <v/>
      </c>
      <c r="H927" s="58">
        <f>IFERROR(INDEX(Firms!$Q$5:$Q$1004,MATCH(923,Firms!$R$5:$R$1004,0))&amp;"","")</f>
        <v/>
      </c>
    </row>
    <row r="928">
      <c r="A928" s="57">
        <f>IF(B928="","",924)</f>
        <v/>
      </c>
      <c r="B928" s="58">
        <f>IFERROR(INDEX(Firms!$A$5:$A$1004,MATCH(924,Firms!$R$5:$R$1004,0))&amp;"","")</f>
        <v/>
      </c>
      <c r="C928" s="59">
        <f>IFERROR(IF(INDEX(Firms!$O$5:$O$1004,MATCH(924,Firms!$R$5:$R$1004,0))="","",INDEX(Firms!$O$5:$O$1004,MATCH(924,Firms!$R$5:$R$1004,0))),"")</f>
        <v/>
      </c>
      <c r="D928" s="58">
        <f>IFERROR(INDEX(Firms!$P$5:$P$1004,MATCH(924,Firms!$R$5:$R$1004,0))&amp;"","")</f>
        <v/>
      </c>
      <c r="E928" s="58">
        <f>IFERROR(INDEX(Firms!$C$5:$C$1004,MATCH(924,Firms!$R$5:$R$1004,0))&amp;"","")</f>
        <v/>
      </c>
      <c r="F928" s="57">
        <f>IFERROR(INDEX(Firms!$L$5:$L$1004,MATCH(924,Firms!$R$5:$R$1004,0))&amp;"","")</f>
        <v/>
      </c>
      <c r="G928" s="57">
        <f>IFERROR(INDEX(Firms!$M$5:$M$1004,MATCH(924,Firms!$R$5:$R$1004,0))&amp;"","")</f>
        <v/>
      </c>
      <c r="H928" s="58">
        <f>IFERROR(INDEX(Firms!$Q$5:$Q$1004,MATCH(924,Firms!$R$5:$R$1004,0))&amp;"","")</f>
        <v/>
      </c>
    </row>
    <row r="929">
      <c r="A929" s="57">
        <f>IF(B929="","",925)</f>
        <v/>
      </c>
      <c r="B929" s="58">
        <f>IFERROR(INDEX(Firms!$A$5:$A$1004,MATCH(925,Firms!$R$5:$R$1004,0))&amp;"","")</f>
        <v/>
      </c>
      <c r="C929" s="59">
        <f>IFERROR(IF(INDEX(Firms!$O$5:$O$1004,MATCH(925,Firms!$R$5:$R$1004,0))="","",INDEX(Firms!$O$5:$O$1004,MATCH(925,Firms!$R$5:$R$1004,0))),"")</f>
        <v/>
      </c>
      <c r="D929" s="58">
        <f>IFERROR(INDEX(Firms!$P$5:$P$1004,MATCH(925,Firms!$R$5:$R$1004,0))&amp;"","")</f>
        <v/>
      </c>
      <c r="E929" s="58">
        <f>IFERROR(INDEX(Firms!$C$5:$C$1004,MATCH(925,Firms!$R$5:$R$1004,0))&amp;"","")</f>
        <v/>
      </c>
      <c r="F929" s="57">
        <f>IFERROR(INDEX(Firms!$L$5:$L$1004,MATCH(925,Firms!$R$5:$R$1004,0))&amp;"","")</f>
        <v/>
      </c>
      <c r="G929" s="57">
        <f>IFERROR(INDEX(Firms!$M$5:$M$1004,MATCH(925,Firms!$R$5:$R$1004,0))&amp;"","")</f>
        <v/>
      </c>
      <c r="H929" s="58">
        <f>IFERROR(INDEX(Firms!$Q$5:$Q$1004,MATCH(925,Firms!$R$5:$R$1004,0))&amp;"","")</f>
        <v/>
      </c>
    </row>
    <row r="930">
      <c r="A930" s="57">
        <f>IF(B930="","",926)</f>
        <v/>
      </c>
      <c r="B930" s="58">
        <f>IFERROR(INDEX(Firms!$A$5:$A$1004,MATCH(926,Firms!$R$5:$R$1004,0))&amp;"","")</f>
        <v/>
      </c>
      <c r="C930" s="59">
        <f>IFERROR(IF(INDEX(Firms!$O$5:$O$1004,MATCH(926,Firms!$R$5:$R$1004,0))="","",INDEX(Firms!$O$5:$O$1004,MATCH(926,Firms!$R$5:$R$1004,0))),"")</f>
        <v/>
      </c>
      <c r="D930" s="58">
        <f>IFERROR(INDEX(Firms!$P$5:$P$1004,MATCH(926,Firms!$R$5:$R$1004,0))&amp;"","")</f>
        <v/>
      </c>
      <c r="E930" s="58">
        <f>IFERROR(INDEX(Firms!$C$5:$C$1004,MATCH(926,Firms!$R$5:$R$1004,0))&amp;"","")</f>
        <v/>
      </c>
      <c r="F930" s="57">
        <f>IFERROR(INDEX(Firms!$L$5:$L$1004,MATCH(926,Firms!$R$5:$R$1004,0))&amp;"","")</f>
        <v/>
      </c>
      <c r="G930" s="57">
        <f>IFERROR(INDEX(Firms!$M$5:$M$1004,MATCH(926,Firms!$R$5:$R$1004,0))&amp;"","")</f>
        <v/>
      </c>
      <c r="H930" s="58">
        <f>IFERROR(INDEX(Firms!$Q$5:$Q$1004,MATCH(926,Firms!$R$5:$R$1004,0))&amp;"","")</f>
        <v/>
      </c>
    </row>
    <row r="931">
      <c r="A931" s="57">
        <f>IF(B931="","",927)</f>
        <v/>
      </c>
      <c r="B931" s="58">
        <f>IFERROR(INDEX(Firms!$A$5:$A$1004,MATCH(927,Firms!$R$5:$R$1004,0))&amp;"","")</f>
        <v/>
      </c>
      <c r="C931" s="59">
        <f>IFERROR(IF(INDEX(Firms!$O$5:$O$1004,MATCH(927,Firms!$R$5:$R$1004,0))="","",INDEX(Firms!$O$5:$O$1004,MATCH(927,Firms!$R$5:$R$1004,0))),"")</f>
        <v/>
      </c>
      <c r="D931" s="58">
        <f>IFERROR(INDEX(Firms!$P$5:$P$1004,MATCH(927,Firms!$R$5:$R$1004,0))&amp;"","")</f>
        <v/>
      </c>
      <c r="E931" s="58">
        <f>IFERROR(INDEX(Firms!$C$5:$C$1004,MATCH(927,Firms!$R$5:$R$1004,0))&amp;"","")</f>
        <v/>
      </c>
      <c r="F931" s="57">
        <f>IFERROR(INDEX(Firms!$L$5:$L$1004,MATCH(927,Firms!$R$5:$R$1004,0))&amp;"","")</f>
        <v/>
      </c>
      <c r="G931" s="57">
        <f>IFERROR(INDEX(Firms!$M$5:$M$1004,MATCH(927,Firms!$R$5:$R$1004,0))&amp;"","")</f>
        <v/>
      </c>
      <c r="H931" s="58">
        <f>IFERROR(INDEX(Firms!$Q$5:$Q$1004,MATCH(927,Firms!$R$5:$R$1004,0))&amp;"","")</f>
        <v/>
      </c>
    </row>
    <row r="932">
      <c r="A932" s="57">
        <f>IF(B932="","",928)</f>
        <v/>
      </c>
      <c r="B932" s="58">
        <f>IFERROR(INDEX(Firms!$A$5:$A$1004,MATCH(928,Firms!$R$5:$R$1004,0))&amp;"","")</f>
        <v/>
      </c>
      <c r="C932" s="59">
        <f>IFERROR(IF(INDEX(Firms!$O$5:$O$1004,MATCH(928,Firms!$R$5:$R$1004,0))="","",INDEX(Firms!$O$5:$O$1004,MATCH(928,Firms!$R$5:$R$1004,0))),"")</f>
        <v/>
      </c>
      <c r="D932" s="58">
        <f>IFERROR(INDEX(Firms!$P$5:$P$1004,MATCH(928,Firms!$R$5:$R$1004,0))&amp;"","")</f>
        <v/>
      </c>
      <c r="E932" s="58">
        <f>IFERROR(INDEX(Firms!$C$5:$C$1004,MATCH(928,Firms!$R$5:$R$1004,0))&amp;"","")</f>
        <v/>
      </c>
      <c r="F932" s="57">
        <f>IFERROR(INDEX(Firms!$L$5:$L$1004,MATCH(928,Firms!$R$5:$R$1004,0))&amp;"","")</f>
        <v/>
      </c>
      <c r="G932" s="57">
        <f>IFERROR(INDEX(Firms!$M$5:$M$1004,MATCH(928,Firms!$R$5:$R$1004,0))&amp;"","")</f>
        <v/>
      </c>
      <c r="H932" s="58">
        <f>IFERROR(INDEX(Firms!$Q$5:$Q$1004,MATCH(928,Firms!$R$5:$R$1004,0))&amp;"","")</f>
        <v/>
      </c>
    </row>
    <row r="933">
      <c r="A933" s="57">
        <f>IF(B933="","",929)</f>
        <v/>
      </c>
      <c r="B933" s="58">
        <f>IFERROR(INDEX(Firms!$A$5:$A$1004,MATCH(929,Firms!$R$5:$R$1004,0))&amp;"","")</f>
        <v/>
      </c>
      <c r="C933" s="59">
        <f>IFERROR(IF(INDEX(Firms!$O$5:$O$1004,MATCH(929,Firms!$R$5:$R$1004,0))="","",INDEX(Firms!$O$5:$O$1004,MATCH(929,Firms!$R$5:$R$1004,0))),"")</f>
        <v/>
      </c>
      <c r="D933" s="58">
        <f>IFERROR(INDEX(Firms!$P$5:$P$1004,MATCH(929,Firms!$R$5:$R$1004,0))&amp;"","")</f>
        <v/>
      </c>
      <c r="E933" s="58">
        <f>IFERROR(INDEX(Firms!$C$5:$C$1004,MATCH(929,Firms!$R$5:$R$1004,0))&amp;"","")</f>
        <v/>
      </c>
      <c r="F933" s="57">
        <f>IFERROR(INDEX(Firms!$L$5:$L$1004,MATCH(929,Firms!$R$5:$R$1004,0))&amp;"","")</f>
        <v/>
      </c>
      <c r="G933" s="57">
        <f>IFERROR(INDEX(Firms!$M$5:$M$1004,MATCH(929,Firms!$R$5:$R$1004,0))&amp;"","")</f>
        <v/>
      </c>
      <c r="H933" s="58">
        <f>IFERROR(INDEX(Firms!$Q$5:$Q$1004,MATCH(929,Firms!$R$5:$R$1004,0))&amp;"","")</f>
        <v/>
      </c>
    </row>
    <row r="934">
      <c r="A934" s="57">
        <f>IF(B934="","",930)</f>
        <v/>
      </c>
      <c r="B934" s="58">
        <f>IFERROR(INDEX(Firms!$A$5:$A$1004,MATCH(930,Firms!$R$5:$R$1004,0))&amp;"","")</f>
        <v/>
      </c>
      <c r="C934" s="59">
        <f>IFERROR(IF(INDEX(Firms!$O$5:$O$1004,MATCH(930,Firms!$R$5:$R$1004,0))="","",INDEX(Firms!$O$5:$O$1004,MATCH(930,Firms!$R$5:$R$1004,0))),"")</f>
        <v/>
      </c>
      <c r="D934" s="58">
        <f>IFERROR(INDEX(Firms!$P$5:$P$1004,MATCH(930,Firms!$R$5:$R$1004,0))&amp;"","")</f>
        <v/>
      </c>
      <c r="E934" s="58">
        <f>IFERROR(INDEX(Firms!$C$5:$C$1004,MATCH(930,Firms!$R$5:$R$1004,0))&amp;"","")</f>
        <v/>
      </c>
      <c r="F934" s="57">
        <f>IFERROR(INDEX(Firms!$L$5:$L$1004,MATCH(930,Firms!$R$5:$R$1004,0))&amp;"","")</f>
        <v/>
      </c>
      <c r="G934" s="57">
        <f>IFERROR(INDEX(Firms!$M$5:$M$1004,MATCH(930,Firms!$R$5:$R$1004,0))&amp;"","")</f>
        <v/>
      </c>
      <c r="H934" s="58">
        <f>IFERROR(INDEX(Firms!$Q$5:$Q$1004,MATCH(930,Firms!$R$5:$R$1004,0))&amp;"","")</f>
        <v/>
      </c>
    </row>
    <row r="935">
      <c r="A935" s="57">
        <f>IF(B935="","",931)</f>
        <v/>
      </c>
      <c r="B935" s="58">
        <f>IFERROR(INDEX(Firms!$A$5:$A$1004,MATCH(931,Firms!$R$5:$R$1004,0))&amp;"","")</f>
        <v/>
      </c>
      <c r="C935" s="59">
        <f>IFERROR(IF(INDEX(Firms!$O$5:$O$1004,MATCH(931,Firms!$R$5:$R$1004,0))="","",INDEX(Firms!$O$5:$O$1004,MATCH(931,Firms!$R$5:$R$1004,0))),"")</f>
        <v/>
      </c>
      <c r="D935" s="58">
        <f>IFERROR(INDEX(Firms!$P$5:$P$1004,MATCH(931,Firms!$R$5:$R$1004,0))&amp;"","")</f>
        <v/>
      </c>
      <c r="E935" s="58">
        <f>IFERROR(INDEX(Firms!$C$5:$C$1004,MATCH(931,Firms!$R$5:$R$1004,0))&amp;"","")</f>
        <v/>
      </c>
      <c r="F935" s="57">
        <f>IFERROR(INDEX(Firms!$L$5:$L$1004,MATCH(931,Firms!$R$5:$R$1004,0))&amp;"","")</f>
        <v/>
      </c>
      <c r="G935" s="57">
        <f>IFERROR(INDEX(Firms!$M$5:$M$1004,MATCH(931,Firms!$R$5:$R$1004,0))&amp;"","")</f>
        <v/>
      </c>
      <c r="H935" s="58">
        <f>IFERROR(INDEX(Firms!$Q$5:$Q$1004,MATCH(931,Firms!$R$5:$R$1004,0))&amp;"","")</f>
        <v/>
      </c>
    </row>
    <row r="936">
      <c r="A936" s="57">
        <f>IF(B936="","",932)</f>
        <v/>
      </c>
      <c r="B936" s="58">
        <f>IFERROR(INDEX(Firms!$A$5:$A$1004,MATCH(932,Firms!$R$5:$R$1004,0))&amp;"","")</f>
        <v/>
      </c>
      <c r="C936" s="59">
        <f>IFERROR(IF(INDEX(Firms!$O$5:$O$1004,MATCH(932,Firms!$R$5:$R$1004,0))="","",INDEX(Firms!$O$5:$O$1004,MATCH(932,Firms!$R$5:$R$1004,0))),"")</f>
        <v/>
      </c>
      <c r="D936" s="58">
        <f>IFERROR(INDEX(Firms!$P$5:$P$1004,MATCH(932,Firms!$R$5:$R$1004,0))&amp;"","")</f>
        <v/>
      </c>
      <c r="E936" s="58">
        <f>IFERROR(INDEX(Firms!$C$5:$C$1004,MATCH(932,Firms!$R$5:$R$1004,0))&amp;"","")</f>
        <v/>
      </c>
      <c r="F936" s="57">
        <f>IFERROR(INDEX(Firms!$L$5:$L$1004,MATCH(932,Firms!$R$5:$R$1004,0))&amp;"","")</f>
        <v/>
      </c>
      <c r="G936" s="57">
        <f>IFERROR(INDEX(Firms!$M$5:$M$1004,MATCH(932,Firms!$R$5:$R$1004,0))&amp;"","")</f>
        <v/>
      </c>
      <c r="H936" s="58">
        <f>IFERROR(INDEX(Firms!$Q$5:$Q$1004,MATCH(932,Firms!$R$5:$R$1004,0))&amp;"","")</f>
        <v/>
      </c>
    </row>
    <row r="937">
      <c r="A937" s="57">
        <f>IF(B937="","",933)</f>
        <v/>
      </c>
      <c r="B937" s="58">
        <f>IFERROR(INDEX(Firms!$A$5:$A$1004,MATCH(933,Firms!$R$5:$R$1004,0))&amp;"","")</f>
        <v/>
      </c>
      <c r="C937" s="59">
        <f>IFERROR(IF(INDEX(Firms!$O$5:$O$1004,MATCH(933,Firms!$R$5:$R$1004,0))="","",INDEX(Firms!$O$5:$O$1004,MATCH(933,Firms!$R$5:$R$1004,0))),"")</f>
        <v/>
      </c>
      <c r="D937" s="58">
        <f>IFERROR(INDEX(Firms!$P$5:$P$1004,MATCH(933,Firms!$R$5:$R$1004,0))&amp;"","")</f>
        <v/>
      </c>
      <c r="E937" s="58">
        <f>IFERROR(INDEX(Firms!$C$5:$C$1004,MATCH(933,Firms!$R$5:$R$1004,0))&amp;"","")</f>
        <v/>
      </c>
      <c r="F937" s="57">
        <f>IFERROR(INDEX(Firms!$L$5:$L$1004,MATCH(933,Firms!$R$5:$R$1004,0))&amp;"","")</f>
        <v/>
      </c>
      <c r="G937" s="57">
        <f>IFERROR(INDEX(Firms!$M$5:$M$1004,MATCH(933,Firms!$R$5:$R$1004,0))&amp;"","")</f>
        <v/>
      </c>
      <c r="H937" s="58">
        <f>IFERROR(INDEX(Firms!$Q$5:$Q$1004,MATCH(933,Firms!$R$5:$R$1004,0))&amp;"","")</f>
        <v/>
      </c>
    </row>
    <row r="938">
      <c r="A938" s="57">
        <f>IF(B938="","",934)</f>
        <v/>
      </c>
      <c r="B938" s="58">
        <f>IFERROR(INDEX(Firms!$A$5:$A$1004,MATCH(934,Firms!$R$5:$R$1004,0))&amp;"","")</f>
        <v/>
      </c>
      <c r="C938" s="59">
        <f>IFERROR(IF(INDEX(Firms!$O$5:$O$1004,MATCH(934,Firms!$R$5:$R$1004,0))="","",INDEX(Firms!$O$5:$O$1004,MATCH(934,Firms!$R$5:$R$1004,0))),"")</f>
        <v/>
      </c>
      <c r="D938" s="58">
        <f>IFERROR(INDEX(Firms!$P$5:$P$1004,MATCH(934,Firms!$R$5:$R$1004,0))&amp;"","")</f>
        <v/>
      </c>
      <c r="E938" s="58">
        <f>IFERROR(INDEX(Firms!$C$5:$C$1004,MATCH(934,Firms!$R$5:$R$1004,0))&amp;"","")</f>
        <v/>
      </c>
      <c r="F938" s="57">
        <f>IFERROR(INDEX(Firms!$L$5:$L$1004,MATCH(934,Firms!$R$5:$R$1004,0))&amp;"","")</f>
        <v/>
      </c>
      <c r="G938" s="57">
        <f>IFERROR(INDEX(Firms!$M$5:$M$1004,MATCH(934,Firms!$R$5:$R$1004,0))&amp;"","")</f>
        <v/>
      </c>
      <c r="H938" s="58">
        <f>IFERROR(INDEX(Firms!$Q$5:$Q$1004,MATCH(934,Firms!$R$5:$R$1004,0))&amp;"","")</f>
        <v/>
      </c>
    </row>
    <row r="939">
      <c r="A939" s="57">
        <f>IF(B939="","",935)</f>
        <v/>
      </c>
      <c r="B939" s="58">
        <f>IFERROR(INDEX(Firms!$A$5:$A$1004,MATCH(935,Firms!$R$5:$R$1004,0))&amp;"","")</f>
        <v/>
      </c>
      <c r="C939" s="59">
        <f>IFERROR(IF(INDEX(Firms!$O$5:$O$1004,MATCH(935,Firms!$R$5:$R$1004,0))="","",INDEX(Firms!$O$5:$O$1004,MATCH(935,Firms!$R$5:$R$1004,0))),"")</f>
        <v/>
      </c>
      <c r="D939" s="58">
        <f>IFERROR(INDEX(Firms!$P$5:$P$1004,MATCH(935,Firms!$R$5:$R$1004,0))&amp;"","")</f>
        <v/>
      </c>
      <c r="E939" s="58">
        <f>IFERROR(INDEX(Firms!$C$5:$C$1004,MATCH(935,Firms!$R$5:$R$1004,0))&amp;"","")</f>
        <v/>
      </c>
      <c r="F939" s="57">
        <f>IFERROR(INDEX(Firms!$L$5:$L$1004,MATCH(935,Firms!$R$5:$R$1004,0))&amp;"","")</f>
        <v/>
      </c>
      <c r="G939" s="57">
        <f>IFERROR(INDEX(Firms!$M$5:$M$1004,MATCH(935,Firms!$R$5:$R$1004,0))&amp;"","")</f>
        <v/>
      </c>
      <c r="H939" s="58">
        <f>IFERROR(INDEX(Firms!$Q$5:$Q$1004,MATCH(935,Firms!$R$5:$R$1004,0))&amp;"","")</f>
        <v/>
      </c>
    </row>
    <row r="940">
      <c r="A940" s="57">
        <f>IF(B940="","",936)</f>
        <v/>
      </c>
      <c r="B940" s="58">
        <f>IFERROR(INDEX(Firms!$A$5:$A$1004,MATCH(936,Firms!$R$5:$R$1004,0))&amp;"","")</f>
        <v/>
      </c>
      <c r="C940" s="59">
        <f>IFERROR(IF(INDEX(Firms!$O$5:$O$1004,MATCH(936,Firms!$R$5:$R$1004,0))="","",INDEX(Firms!$O$5:$O$1004,MATCH(936,Firms!$R$5:$R$1004,0))),"")</f>
        <v/>
      </c>
      <c r="D940" s="58">
        <f>IFERROR(INDEX(Firms!$P$5:$P$1004,MATCH(936,Firms!$R$5:$R$1004,0))&amp;"","")</f>
        <v/>
      </c>
      <c r="E940" s="58">
        <f>IFERROR(INDEX(Firms!$C$5:$C$1004,MATCH(936,Firms!$R$5:$R$1004,0))&amp;"","")</f>
        <v/>
      </c>
      <c r="F940" s="57">
        <f>IFERROR(INDEX(Firms!$L$5:$L$1004,MATCH(936,Firms!$R$5:$R$1004,0))&amp;"","")</f>
        <v/>
      </c>
      <c r="G940" s="57">
        <f>IFERROR(INDEX(Firms!$M$5:$M$1004,MATCH(936,Firms!$R$5:$R$1004,0))&amp;"","")</f>
        <v/>
      </c>
      <c r="H940" s="58">
        <f>IFERROR(INDEX(Firms!$Q$5:$Q$1004,MATCH(936,Firms!$R$5:$R$1004,0))&amp;"","")</f>
        <v/>
      </c>
    </row>
    <row r="941">
      <c r="A941" s="57">
        <f>IF(B941="","",937)</f>
        <v/>
      </c>
      <c r="B941" s="58">
        <f>IFERROR(INDEX(Firms!$A$5:$A$1004,MATCH(937,Firms!$R$5:$R$1004,0))&amp;"","")</f>
        <v/>
      </c>
      <c r="C941" s="59">
        <f>IFERROR(IF(INDEX(Firms!$O$5:$O$1004,MATCH(937,Firms!$R$5:$R$1004,0))="","",INDEX(Firms!$O$5:$O$1004,MATCH(937,Firms!$R$5:$R$1004,0))),"")</f>
        <v/>
      </c>
      <c r="D941" s="58">
        <f>IFERROR(INDEX(Firms!$P$5:$P$1004,MATCH(937,Firms!$R$5:$R$1004,0))&amp;"","")</f>
        <v/>
      </c>
      <c r="E941" s="58">
        <f>IFERROR(INDEX(Firms!$C$5:$C$1004,MATCH(937,Firms!$R$5:$R$1004,0))&amp;"","")</f>
        <v/>
      </c>
      <c r="F941" s="57">
        <f>IFERROR(INDEX(Firms!$L$5:$L$1004,MATCH(937,Firms!$R$5:$R$1004,0))&amp;"","")</f>
        <v/>
      </c>
      <c r="G941" s="57">
        <f>IFERROR(INDEX(Firms!$M$5:$M$1004,MATCH(937,Firms!$R$5:$R$1004,0))&amp;"","")</f>
        <v/>
      </c>
      <c r="H941" s="58">
        <f>IFERROR(INDEX(Firms!$Q$5:$Q$1004,MATCH(937,Firms!$R$5:$R$1004,0))&amp;"","")</f>
        <v/>
      </c>
    </row>
    <row r="942">
      <c r="A942" s="57">
        <f>IF(B942="","",938)</f>
        <v/>
      </c>
      <c r="B942" s="58">
        <f>IFERROR(INDEX(Firms!$A$5:$A$1004,MATCH(938,Firms!$R$5:$R$1004,0))&amp;"","")</f>
        <v/>
      </c>
      <c r="C942" s="59">
        <f>IFERROR(IF(INDEX(Firms!$O$5:$O$1004,MATCH(938,Firms!$R$5:$R$1004,0))="","",INDEX(Firms!$O$5:$O$1004,MATCH(938,Firms!$R$5:$R$1004,0))),"")</f>
        <v/>
      </c>
      <c r="D942" s="58">
        <f>IFERROR(INDEX(Firms!$P$5:$P$1004,MATCH(938,Firms!$R$5:$R$1004,0))&amp;"","")</f>
        <v/>
      </c>
      <c r="E942" s="58">
        <f>IFERROR(INDEX(Firms!$C$5:$C$1004,MATCH(938,Firms!$R$5:$R$1004,0))&amp;"","")</f>
        <v/>
      </c>
      <c r="F942" s="57">
        <f>IFERROR(INDEX(Firms!$L$5:$L$1004,MATCH(938,Firms!$R$5:$R$1004,0))&amp;"","")</f>
        <v/>
      </c>
      <c r="G942" s="57">
        <f>IFERROR(INDEX(Firms!$M$5:$M$1004,MATCH(938,Firms!$R$5:$R$1004,0))&amp;"","")</f>
        <v/>
      </c>
      <c r="H942" s="58">
        <f>IFERROR(INDEX(Firms!$Q$5:$Q$1004,MATCH(938,Firms!$R$5:$R$1004,0))&amp;"","")</f>
        <v/>
      </c>
    </row>
    <row r="943">
      <c r="A943" s="57">
        <f>IF(B943="","",939)</f>
        <v/>
      </c>
      <c r="B943" s="58">
        <f>IFERROR(INDEX(Firms!$A$5:$A$1004,MATCH(939,Firms!$R$5:$R$1004,0))&amp;"","")</f>
        <v/>
      </c>
      <c r="C943" s="59">
        <f>IFERROR(IF(INDEX(Firms!$O$5:$O$1004,MATCH(939,Firms!$R$5:$R$1004,0))="","",INDEX(Firms!$O$5:$O$1004,MATCH(939,Firms!$R$5:$R$1004,0))),"")</f>
        <v/>
      </c>
      <c r="D943" s="58">
        <f>IFERROR(INDEX(Firms!$P$5:$P$1004,MATCH(939,Firms!$R$5:$R$1004,0))&amp;"","")</f>
        <v/>
      </c>
      <c r="E943" s="58">
        <f>IFERROR(INDEX(Firms!$C$5:$C$1004,MATCH(939,Firms!$R$5:$R$1004,0))&amp;"","")</f>
        <v/>
      </c>
      <c r="F943" s="57">
        <f>IFERROR(INDEX(Firms!$L$5:$L$1004,MATCH(939,Firms!$R$5:$R$1004,0))&amp;"","")</f>
        <v/>
      </c>
      <c r="G943" s="57">
        <f>IFERROR(INDEX(Firms!$M$5:$M$1004,MATCH(939,Firms!$R$5:$R$1004,0))&amp;"","")</f>
        <v/>
      </c>
      <c r="H943" s="58">
        <f>IFERROR(INDEX(Firms!$Q$5:$Q$1004,MATCH(939,Firms!$R$5:$R$1004,0))&amp;"","")</f>
        <v/>
      </c>
    </row>
    <row r="944">
      <c r="A944" s="57">
        <f>IF(B944="","",940)</f>
        <v/>
      </c>
      <c r="B944" s="58">
        <f>IFERROR(INDEX(Firms!$A$5:$A$1004,MATCH(940,Firms!$R$5:$R$1004,0))&amp;"","")</f>
        <v/>
      </c>
      <c r="C944" s="59">
        <f>IFERROR(IF(INDEX(Firms!$O$5:$O$1004,MATCH(940,Firms!$R$5:$R$1004,0))="","",INDEX(Firms!$O$5:$O$1004,MATCH(940,Firms!$R$5:$R$1004,0))),"")</f>
        <v/>
      </c>
      <c r="D944" s="58">
        <f>IFERROR(INDEX(Firms!$P$5:$P$1004,MATCH(940,Firms!$R$5:$R$1004,0))&amp;"","")</f>
        <v/>
      </c>
      <c r="E944" s="58">
        <f>IFERROR(INDEX(Firms!$C$5:$C$1004,MATCH(940,Firms!$R$5:$R$1004,0))&amp;"","")</f>
        <v/>
      </c>
      <c r="F944" s="57">
        <f>IFERROR(INDEX(Firms!$L$5:$L$1004,MATCH(940,Firms!$R$5:$R$1004,0))&amp;"","")</f>
        <v/>
      </c>
      <c r="G944" s="57">
        <f>IFERROR(INDEX(Firms!$M$5:$M$1004,MATCH(940,Firms!$R$5:$R$1004,0))&amp;"","")</f>
        <v/>
      </c>
      <c r="H944" s="58">
        <f>IFERROR(INDEX(Firms!$Q$5:$Q$1004,MATCH(940,Firms!$R$5:$R$1004,0))&amp;"","")</f>
        <v/>
      </c>
    </row>
    <row r="945">
      <c r="A945" s="57">
        <f>IF(B945="","",941)</f>
        <v/>
      </c>
      <c r="B945" s="58">
        <f>IFERROR(INDEX(Firms!$A$5:$A$1004,MATCH(941,Firms!$R$5:$R$1004,0))&amp;"","")</f>
        <v/>
      </c>
      <c r="C945" s="59">
        <f>IFERROR(IF(INDEX(Firms!$O$5:$O$1004,MATCH(941,Firms!$R$5:$R$1004,0))="","",INDEX(Firms!$O$5:$O$1004,MATCH(941,Firms!$R$5:$R$1004,0))),"")</f>
        <v/>
      </c>
      <c r="D945" s="58">
        <f>IFERROR(INDEX(Firms!$P$5:$P$1004,MATCH(941,Firms!$R$5:$R$1004,0))&amp;"","")</f>
        <v/>
      </c>
      <c r="E945" s="58">
        <f>IFERROR(INDEX(Firms!$C$5:$C$1004,MATCH(941,Firms!$R$5:$R$1004,0))&amp;"","")</f>
        <v/>
      </c>
      <c r="F945" s="57">
        <f>IFERROR(INDEX(Firms!$L$5:$L$1004,MATCH(941,Firms!$R$5:$R$1004,0))&amp;"","")</f>
        <v/>
      </c>
      <c r="G945" s="57">
        <f>IFERROR(INDEX(Firms!$M$5:$M$1004,MATCH(941,Firms!$R$5:$R$1004,0))&amp;"","")</f>
        <v/>
      </c>
      <c r="H945" s="58">
        <f>IFERROR(INDEX(Firms!$Q$5:$Q$1004,MATCH(941,Firms!$R$5:$R$1004,0))&amp;"","")</f>
        <v/>
      </c>
    </row>
    <row r="946">
      <c r="A946" s="57">
        <f>IF(B946="","",942)</f>
        <v/>
      </c>
      <c r="B946" s="58">
        <f>IFERROR(INDEX(Firms!$A$5:$A$1004,MATCH(942,Firms!$R$5:$R$1004,0))&amp;"","")</f>
        <v/>
      </c>
      <c r="C946" s="59">
        <f>IFERROR(IF(INDEX(Firms!$O$5:$O$1004,MATCH(942,Firms!$R$5:$R$1004,0))="","",INDEX(Firms!$O$5:$O$1004,MATCH(942,Firms!$R$5:$R$1004,0))),"")</f>
        <v/>
      </c>
      <c r="D946" s="58">
        <f>IFERROR(INDEX(Firms!$P$5:$P$1004,MATCH(942,Firms!$R$5:$R$1004,0))&amp;"","")</f>
        <v/>
      </c>
      <c r="E946" s="58">
        <f>IFERROR(INDEX(Firms!$C$5:$C$1004,MATCH(942,Firms!$R$5:$R$1004,0))&amp;"","")</f>
        <v/>
      </c>
      <c r="F946" s="57">
        <f>IFERROR(INDEX(Firms!$L$5:$L$1004,MATCH(942,Firms!$R$5:$R$1004,0))&amp;"","")</f>
        <v/>
      </c>
      <c r="G946" s="57">
        <f>IFERROR(INDEX(Firms!$M$5:$M$1004,MATCH(942,Firms!$R$5:$R$1004,0))&amp;"","")</f>
        <v/>
      </c>
      <c r="H946" s="58">
        <f>IFERROR(INDEX(Firms!$Q$5:$Q$1004,MATCH(942,Firms!$R$5:$R$1004,0))&amp;"","")</f>
        <v/>
      </c>
    </row>
    <row r="947">
      <c r="A947" s="57">
        <f>IF(B947="","",943)</f>
        <v/>
      </c>
      <c r="B947" s="58">
        <f>IFERROR(INDEX(Firms!$A$5:$A$1004,MATCH(943,Firms!$R$5:$R$1004,0))&amp;"","")</f>
        <v/>
      </c>
      <c r="C947" s="59">
        <f>IFERROR(IF(INDEX(Firms!$O$5:$O$1004,MATCH(943,Firms!$R$5:$R$1004,0))="","",INDEX(Firms!$O$5:$O$1004,MATCH(943,Firms!$R$5:$R$1004,0))),"")</f>
        <v/>
      </c>
      <c r="D947" s="58">
        <f>IFERROR(INDEX(Firms!$P$5:$P$1004,MATCH(943,Firms!$R$5:$R$1004,0))&amp;"","")</f>
        <v/>
      </c>
      <c r="E947" s="58">
        <f>IFERROR(INDEX(Firms!$C$5:$C$1004,MATCH(943,Firms!$R$5:$R$1004,0))&amp;"","")</f>
        <v/>
      </c>
      <c r="F947" s="57">
        <f>IFERROR(INDEX(Firms!$L$5:$L$1004,MATCH(943,Firms!$R$5:$R$1004,0))&amp;"","")</f>
        <v/>
      </c>
      <c r="G947" s="57">
        <f>IFERROR(INDEX(Firms!$M$5:$M$1004,MATCH(943,Firms!$R$5:$R$1004,0))&amp;"","")</f>
        <v/>
      </c>
      <c r="H947" s="58">
        <f>IFERROR(INDEX(Firms!$Q$5:$Q$1004,MATCH(943,Firms!$R$5:$R$1004,0))&amp;"","")</f>
        <v/>
      </c>
    </row>
    <row r="948">
      <c r="A948" s="57">
        <f>IF(B948="","",944)</f>
        <v/>
      </c>
      <c r="B948" s="58">
        <f>IFERROR(INDEX(Firms!$A$5:$A$1004,MATCH(944,Firms!$R$5:$R$1004,0))&amp;"","")</f>
        <v/>
      </c>
      <c r="C948" s="59">
        <f>IFERROR(IF(INDEX(Firms!$O$5:$O$1004,MATCH(944,Firms!$R$5:$R$1004,0))="","",INDEX(Firms!$O$5:$O$1004,MATCH(944,Firms!$R$5:$R$1004,0))),"")</f>
        <v/>
      </c>
      <c r="D948" s="58">
        <f>IFERROR(INDEX(Firms!$P$5:$P$1004,MATCH(944,Firms!$R$5:$R$1004,0))&amp;"","")</f>
        <v/>
      </c>
      <c r="E948" s="58">
        <f>IFERROR(INDEX(Firms!$C$5:$C$1004,MATCH(944,Firms!$R$5:$R$1004,0))&amp;"","")</f>
        <v/>
      </c>
      <c r="F948" s="57">
        <f>IFERROR(INDEX(Firms!$L$5:$L$1004,MATCH(944,Firms!$R$5:$R$1004,0))&amp;"","")</f>
        <v/>
      </c>
      <c r="G948" s="57">
        <f>IFERROR(INDEX(Firms!$M$5:$M$1004,MATCH(944,Firms!$R$5:$R$1004,0))&amp;"","")</f>
        <v/>
      </c>
      <c r="H948" s="58">
        <f>IFERROR(INDEX(Firms!$Q$5:$Q$1004,MATCH(944,Firms!$R$5:$R$1004,0))&amp;"","")</f>
        <v/>
      </c>
    </row>
    <row r="949">
      <c r="A949" s="57">
        <f>IF(B949="","",945)</f>
        <v/>
      </c>
      <c r="B949" s="58">
        <f>IFERROR(INDEX(Firms!$A$5:$A$1004,MATCH(945,Firms!$R$5:$R$1004,0))&amp;"","")</f>
        <v/>
      </c>
      <c r="C949" s="59">
        <f>IFERROR(IF(INDEX(Firms!$O$5:$O$1004,MATCH(945,Firms!$R$5:$R$1004,0))="","",INDEX(Firms!$O$5:$O$1004,MATCH(945,Firms!$R$5:$R$1004,0))),"")</f>
        <v/>
      </c>
      <c r="D949" s="58">
        <f>IFERROR(INDEX(Firms!$P$5:$P$1004,MATCH(945,Firms!$R$5:$R$1004,0))&amp;"","")</f>
        <v/>
      </c>
      <c r="E949" s="58">
        <f>IFERROR(INDEX(Firms!$C$5:$C$1004,MATCH(945,Firms!$R$5:$R$1004,0))&amp;"","")</f>
        <v/>
      </c>
      <c r="F949" s="57">
        <f>IFERROR(INDEX(Firms!$L$5:$L$1004,MATCH(945,Firms!$R$5:$R$1004,0))&amp;"","")</f>
        <v/>
      </c>
      <c r="G949" s="57">
        <f>IFERROR(INDEX(Firms!$M$5:$M$1004,MATCH(945,Firms!$R$5:$R$1004,0))&amp;"","")</f>
        <v/>
      </c>
      <c r="H949" s="58">
        <f>IFERROR(INDEX(Firms!$Q$5:$Q$1004,MATCH(945,Firms!$R$5:$R$1004,0))&amp;"","")</f>
        <v/>
      </c>
    </row>
    <row r="950">
      <c r="A950" s="57">
        <f>IF(B950="","",946)</f>
        <v/>
      </c>
      <c r="B950" s="58">
        <f>IFERROR(INDEX(Firms!$A$5:$A$1004,MATCH(946,Firms!$R$5:$R$1004,0))&amp;"","")</f>
        <v/>
      </c>
      <c r="C950" s="59">
        <f>IFERROR(IF(INDEX(Firms!$O$5:$O$1004,MATCH(946,Firms!$R$5:$R$1004,0))="","",INDEX(Firms!$O$5:$O$1004,MATCH(946,Firms!$R$5:$R$1004,0))),"")</f>
        <v/>
      </c>
      <c r="D950" s="58">
        <f>IFERROR(INDEX(Firms!$P$5:$P$1004,MATCH(946,Firms!$R$5:$R$1004,0))&amp;"","")</f>
        <v/>
      </c>
      <c r="E950" s="58">
        <f>IFERROR(INDEX(Firms!$C$5:$C$1004,MATCH(946,Firms!$R$5:$R$1004,0))&amp;"","")</f>
        <v/>
      </c>
      <c r="F950" s="57">
        <f>IFERROR(INDEX(Firms!$L$5:$L$1004,MATCH(946,Firms!$R$5:$R$1004,0))&amp;"","")</f>
        <v/>
      </c>
      <c r="G950" s="57">
        <f>IFERROR(INDEX(Firms!$M$5:$M$1004,MATCH(946,Firms!$R$5:$R$1004,0))&amp;"","")</f>
        <v/>
      </c>
      <c r="H950" s="58">
        <f>IFERROR(INDEX(Firms!$Q$5:$Q$1004,MATCH(946,Firms!$R$5:$R$1004,0))&amp;"","")</f>
        <v/>
      </c>
    </row>
    <row r="951">
      <c r="A951" s="57">
        <f>IF(B951="","",947)</f>
        <v/>
      </c>
      <c r="B951" s="58">
        <f>IFERROR(INDEX(Firms!$A$5:$A$1004,MATCH(947,Firms!$R$5:$R$1004,0))&amp;"","")</f>
        <v/>
      </c>
      <c r="C951" s="59">
        <f>IFERROR(IF(INDEX(Firms!$O$5:$O$1004,MATCH(947,Firms!$R$5:$R$1004,0))="","",INDEX(Firms!$O$5:$O$1004,MATCH(947,Firms!$R$5:$R$1004,0))),"")</f>
        <v/>
      </c>
      <c r="D951" s="58">
        <f>IFERROR(INDEX(Firms!$P$5:$P$1004,MATCH(947,Firms!$R$5:$R$1004,0))&amp;"","")</f>
        <v/>
      </c>
      <c r="E951" s="58">
        <f>IFERROR(INDEX(Firms!$C$5:$C$1004,MATCH(947,Firms!$R$5:$R$1004,0))&amp;"","")</f>
        <v/>
      </c>
      <c r="F951" s="57">
        <f>IFERROR(INDEX(Firms!$L$5:$L$1004,MATCH(947,Firms!$R$5:$R$1004,0))&amp;"","")</f>
        <v/>
      </c>
      <c r="G951" s="57">
        <f>IFERROR(INDEX(Firms!$M$5:$M$1004,MATCH(947,Firms!$R$5:$R$1004,0))&amp;"","")</f>
        <v/>
      </c>
      <c r="H951" s="58">
        <f>IFERROR(INDEX(Firms!$Q$5:$Q$1004,MATCH(947,Firms!$R$5:$R$1004,0))&amp;"","")</f>
        <v/>
      </c>
    </row>
    <row r="952">
      <c r="A952" s="57">
        <f>IF(B952="","",948)</f>
        <v/>
      </c>
      <c r="B952" s="58">
        <f>IFERROR(INDEX(Firms!$A$5:$A$1004,MATCH(948,Firms!$R$5:$R$1004,0))&amp;"","")</f>
        <v/>
      </c>
      <c r="C952" s="59">
        <f>IFERROR(IF(INDEX(Firms!$O$5:$O$1004,MATCH(948,Firms!$R$5:$R$1004,0))="","",INDEX(Firms!$O$5:$O$1004,MATCH(948,Firms!$R$5:$R$1004,0))),"")</f>
        <v/>
      </c>
      <c r="D952" s="58">
        <f>IFERROR(INDEX(Firms!$P$5:$P$1004,MATCH(948,Firms!$R$5:$R$1004,0))&amp;"","")</f>
        <v/>
      </c>
      <c r="E952" s="58">
        <f>IFERROR(INDEX(Firms!$C$5:$C$1004,MATCH(948,Firms!$R$5:$R$1004,0))&amp;"","")</f>
        <v/>
      </c>
      <c r="F952" s="57">
        <f>IFERROR(INDEX(Firms!$L$5:$L$1004,MATCH(948,Firms!$R$5:$R$1004,0))&amp;"","")</f>
        <v/>
      </c>
      <c r="G952" s="57">
        <f>IFERROR(INDEX(Firms!$M$5:$M$1004,MATCH(948,Firms!$R$5:$R$1004,0))&amp;"","")</f>
        <v/>
      </c>
      <c r="H952" s="58">
        <f>IFERROR(INDEX(Firms!$Q$5:$Q$1004,MATCH(948,Firms!$R$5:$R$1004,0))&amp;"","")</f>
        <v/>
      </c>
    </row>
    <row r="953">
      <c r="A953" s="57">
        <f>IF(B953="","",949)</f>
        <v/>
      </c>
      <c r="B953" s="58">
        <f>IFERROR(INDEX(Firms!$A$5:$A$1004,MATCH(949,Firms!$R$5:$R$1004,0))&amp;"","")</f>
        <v/>
      </c>
      <c r="C953" s="59">
        <f>IFERROR(IF(INDEX(Firms!$O$5:$O$1004,MATCH(949,Firms!$R$5:$R$1004,0))="","",INDEX(Firms!$O$5:$O$1004,MATCH(949,Firms!$R$5:$R$1004,0))),"")</f>
        <v/>
      </c>
      <c r="D953" s="58">
        <f>IFERROR(INDEX(Firms!$P$5:$P$1004,MATCH(949,Firms!$R$5:$R$1004,0))&amp;"","")</f>
        <v/>
      </c>
      <c r="E953" s="58">
        <f>IFERROR(INDEX(Firms!$C$5:$C$1004,MATCH(949,Firms!$R$5:$R$1004,0))&amp;"","")</f>
        <v/>
      </c>
      <c r="F953" s="57">
        <f>IFERROR(INDEX(Firms!$L$5:$L$1004,MATCH(949,Firms!$R$5:$R$1004,0))&amp;"","")</f>
        <v/>
      </c>
      <c r="G953" s="57">
        <f>IFERROR(INDEX(Firms!$M$5:$M$1004,MATCH(949,Firms!$R$5:$R$1004,0))&amp;"","")</f>
        <v/>
      </c>
      <c r="H953" s="58">
        <f>IFERROR(INDEX(Firms!$Q$5:$Q$1004,MATCH(949,Firms!$R$5:$R$1004,0))&amp;"","")</f>
        <v/>
      </c>
    </row>
    <row r="954">
      <c r="A954" s="57">
        <f>IF(B954="","",950)</f>
        <v/>
      </c>
      <c r="B954" s="58">
        <f>IFERROR(INDEX(Firms!$A$5:$A$1004,MATCH(950,Firms!$R$5:$R$1004,0))&amp;"","")</f>
        <v/>
      </c>
      <c r="C954" s="59">
        <f>IFERROR(IF(INDEX(Firms!$O$5:$O$1004,MATCH(950,Firms!$R$5:$R$1004,0))="","",INDEX(Firms!$O$5:$O$1004,MATCH(950,Firms!$R$5:$R$1004,0))),"")</f>
        <v/>
      </c>
      <c r="D954" s="58">
        <f>IFERROR(INDEX(Firms!$P$5:$P$1004,MATCH(950,Firms!$R$5:$R$1004,0))&amp;"","")</f>
        <v/>
      </c>
      <c r="E954" s="58">
        <f>IFERROR(INDEX(Firms!$C$5:$C$1004,MATCH(950,Firms!$R$5:$R$1004,0))&amp;"","")</f>
        <v/>
      </c>
      <c r="F954" s="57">
        <f>IFERROR(INDEX(Firms!$L$5:$L$1004,MATCH(950,Firms!$R$5:$R$1004,0))&amp;"","")</f>
        <v/>
      </c>
      <c r="G954" s="57">
        <f>IFERROR(INDEX(Firms!$M$5:$M$1004,MATCH(950,Firms!$R$5:$R$1004,0))&amp;"","")</f>
        <v/>
      </c>
      <c r="H954" s="58">
        <f>IFERROR(INDEX(Firms!$Q$5:$Q$1004,MATCH(950,Firms!$R$5:$R$1004,0))&amp;"","")</f>
        <v/>
      </c>
    </row>
    <row r="955">
      <c r="A955" s="57">
        <f>IF(B955="","",951)</f>
        <v/>
      </c>
      <c r="B955" s="58">
        <f>IFERROR(INDEX(Firms!$A$5:$A$1004,MATCH(951,Firms!$R$5:$R$1004,0))&amp;"","")</f>
        <v/>
      </c>
      <c r="C955" s="59">
        <f>IFERROR(IF(INDEX(Firms!$O$5:$O$1004,MATCH(951,Firms!$R$5:$R$1004,0))="","",INDEX(Firms!$O$5:$O$1004,MATCH(951,Firms!$R$5:$R$1004,0))),"")</f>
        <v/>
      </c>
      <c r="D955" s="58">
        <f>IFERROR(INDEX(Firms!$P$5:$P$1004,MATCH(951,Firms!$R$5:$R$1004,0))&amp;"","")</f>
        <v/>
      </c>
      <c r="E955" s="58">
        <f>IFERROR(INDEX(Firms!$C$5:$C$1004,MATCH(951,Firms!$R$5:$R$1004,0))&amp;"","")</f>
        <v/>
      </c>
      <c r="F955" s="57">
        <f>IFERROR(INDEX(Firms!$L$5:$L$1004,MATCH(951,Firms!$R$5:$R$1004,0))&amp;"","")</f>
        <v/>
      </c>
      <c r="G955" s="57">
        <f>IFERROR(INDEX(Firms!$M$5:$M$1004,MATCH(951,Firms!$R$5:$R$1004,0))&amp;"","")</f>
        <v/>
      </c>
      <c r="H955" s="58">
        <f>IFERROR(INDEX(Firms!$Q$5:$Q$1004,MATCH(951,Firms!$R$5:$R$1004,0))&amp;"","")</f>
        <v/>
      </c>
    </row>
    <row r="956">
      <c r="A956" s="57">
        <f>IF(B956="","",952)</f>
        <v/>
      </c>
      <c r="B956" s="58">
        <f>IFERROR(INDEX(Firms!$A$5:$A$1004,MATCH(952,Firms!$R$5:$R$1004,0))&amp;"","")</f>
        <v/>
      </c>
      <c r="C956" s="59">
        <f>IFERROR(IF(INDEX(Firms!$O$5:$O$1004,MATCH(952,Firms!$R$5:$R$1004,0))="","",INDEX(Firms!$O$5:$O$1004,MATCH(952,Firms!$R$5:$R$1004,0))),"")</f>
        <v/>
      </c>
      <c r="D956" s="58">
        <f>IFERROR(INDEX(Firms!$P$5:$P$1004,MATCH(952,Firms!$R$5:$R$1004,0))&amp;"","")</f>
        <v/>
      </c>
      <c r="E956" s="58">
        <f>IFERROR(INDEX(Firms!$C$5:$C$1004,MATCH(952,Firms!$R$5:$R$1004,0))&amp;"","")</f>
        <v/>
      </c>
      <c r="F956" s="57">
        <f>IFERROR(INDEX(Firms!$L$5:$L$1004,MATCH(952,Firms!$R$5:$R$1004,0))&amp;"","")</f>
        <v/>
      </c>
      <c r="G956" s="57">
        <f>IFERROR(INDEX(Firms!$M$5:$M$1004,MATCH(952,Firms!$R$5:$R$1004,0))&amp;"","")</f>
        <v/>
      </c>
      <c r="H956" s="58">
        <f>IFERROR(INDEX(Firms!$Q$5:$Q$1004,MATCH(952,Firms!$R$5:$R$1004,0))&amp;"","")</f>
        <v/>
      </c>
    </row>
    <row r="957">
      <c r="A957" s="57">
        <f>IF(B957="","",953)</f>
        <v/>
      </c>
      <c r="B957" s="58">
        <f>IFERROR(INDEX(Firms!$A$5:$A$1004,MATCH(953,Firms!$R$5:$R$1004,0))&amp;"","")</f>
        <v/>
      </c>
      <c r="C957" s="59">
        <f>IFERROR(IF(INDEX(Firms!$O$5:$O$1004,MATCH(953,Firms!$R$5:$R$1004,0))="","",INDEX(Firms!$O$5:$O$1004,MATCH(953,Firms!$R$5:$R$1004,0))),"")</f>
        <v/>
      </c>
      <c r="D957" s="58">
        <f>IFERROR(INDEX(Firms!$P$5:$P$1004,MATCH(953,Firms!$R$5:$R$1004,0))&amp;"","")</f>
        <v/>
      </c>
      <c r="E957" s="58">
        <f>IFERROR(INDEX(Firms!$C$5:$C$1004,MATCH(953,Firms!$R$5:$R$1004,0))&amp;"","")</f>
        <v/>
      </c>
      <c r="F957" s="57">
        <f>IFERROR(INDEX(Firms!$L$5:$L$1004,MATCH(953,Firms!$R$5:$R$1004,0))&amp;"","")</f>
        <v/>
      </c>
      <c r="G957" s="57">
        <f>IFERROR(INDEX(Firms!$M$5:$M$1004,MATCH(953,Firms!$R$5:$R$1004,0))&amp;"","")</f>
        <v/>
      </c>
      <c r="H957" s="58">
        <f>IFERROR(INDEX(Firms!$Q$5:$Q$1004,MATCH(953,Firms!$R$5:$R$1004,0))&amp;"","")</f>
        <v/>
      </c>
    </row>
    <row r="958">
      <c r="A958" s="57">
        <f>IF(B958="","",954)</f>
        <v/>
      </c>
      <c r="B958" s="58">
        <f>IFERROR(INDEX(Firms!$A$5:$A$1004,MATCH(954,Firms!$R$5:$R$1004,0))&amp;"","")</f>
        <v/>
      </c>
      <c r="C958" s="59">
        <f>IFERROR(IF(INDEX(Firms!$O$5:$O$1004,MATCH(954,Firms!$R$5:$R$1004,0))="","",INDEX(Firms!$O$5:$O$1004,MATCH(954,Firms!$R$5:$R$1004,0))),"")</f>
        <v/>
      </c>
      <c r="D958" s="58">
        <f>IFERROR(INDEX(Firms!$P$5:$P$1004,MATCH(954,Firms!$R$5:$R$1004,0))&amp;"","")</f>
        <v/>
      </c>
      <c r="E958" s="58">
        <f>IFERROR(INDEX(Firms!$C$5:$C$1004,MATCH(954,Firms!$R$5:$R$1004,0))&amp;"","")</f>
        <v/>
      </c>
      <c r="F958" s="57">
        <f>IFERROR(INDEX(Firms!$L$5:$L$1004,MATCH(954,Firms!$R$5:$R$1004,0))&amp;"","")</f>
        <v/>
      </c>
      <c r="G958" s="57">
        <f>IFERROR(INDEX(Firms!$M$5:$M$1004,MATCH(954,Firms!$R$5:$R$1004,0))&amp;"","")</f>
        <v/>
      </c>
      <c r="H958" s="58">
        <f>IFERROR(INDEX(Firms!$Q$5:$Q$1004,MATCH(954,Firms!$R$5:$R$1004,0))&amp;"","")</f>
        <v/>
      </c>
    </row>
    <row r="959">
      <c r="A959" s="57">
        <f>IF(B959="","",955)</f>
        <v/>
      </c>
      <c r="B959" s="58">
        <f>IFERROR(INDEX(Firms!$A$5:$A$1004,MATCH(955,Firms!$R$5:$R$1004,0))&amp;"","")</f>
        <v/>
      </c>
      <c r="C959" s="59">
        <f>IFERROR(IF(INDEX(Firms!$O$5:$O$1004,MATCH(955,Firms!$R$5:$R$1004,0))="","",INDEX(Firms!$O$5:$O$1004,MATCH(955,Firms!$R$5:$R$1004,0))),"")</f>
        <v/>
      </c>
      <c r="D959" s="58">
        <f>IFERROR(INDEX(Firms!$P$5:$P$1004,MATCH(955,Firms!$R$5:$R$1004,0))&amp;"","")</f>
        <v/>
      </c>
      <c r="E959" s="58">
        <f>IFERROR(INDEX(Firms!$C$5:$C$1004,MATCH(955,Firms!$R$5:$R$1004,0))&amp;"","")</f>
        <v/>
      </c>
      <c r="F959" s="57">
        <f>IFERROR(INDEX(Firms!$L$5:$L$1004,MATCH(955,Firms!$R$5:$R$1004,0))&amp;"","")</f>
        <v/>
      </c>
      <c r="G959" s="57">
        <f>IFERROR(INDEX(Firms!$M$5:$M$1004,MATCH(955,Firms!$R$5:$R$1004,0))&amp;"","")</f>
        <v/>
      </c>
      <c r="H959" s="58">
        <f>IFERROR(INDEX(Firms!$Q$5:$Q$1004,MATCH(955,Firms!$R$5:$R$1004,0))&amp;"","")</f>
        <v/>
      </c>
    </row>
    <row r="960">
      <c r="A960" s="57">
        <f>IF(B960="","",956)</f>
        <v/>
      </c>
      <c r="B960" s="58">
        <f>IFERROR(INDEX(Firms!$A$5:$A$1004,MATCH(956,Firms!$R$5:$R$1004,0))&amp;"","")</f>
        <v/>
      </c>
      <c r="C960" s="59">
        <f>IFERROR(IF(INDEX(Firms!$O$5:$O$1004,MATCH(956,Firms!$R$5:$R$1004,0))="","",INDEX(Firms!$O$5:$O$1004,MATCH(956,Firms!$R$5:$R$1004,0))),"")</f>
        <v/>
      </c>
      <c r="D960" s="58">
        <f>IFERROR(INDEX(Firms!$P$5:$P$1004,MATCH(956,Firms!$R$5:$R$1004,0))&amp;"","")</f>
        <v/>
      </c>
      <c r="E960" s="58">
        <f>IFERROR(INDEX(Firms!$C$5:$C$1004,MATCH(956,Firms!$R$5:$R$1004,0))&amp;"","")</f>
        <v/>
      </c>
      <c r="F960" s="57">
        <f>IFERROR(INDEX(Firms!$L$5:$L$1004,MATCH(956,Firms!$R$5:$R$1004,0))&amp;"","")</f>
        <v/>
      </c>
      <c r="G960" s="57">
        <f>IFERROR(INDEX(Firms!$M$5:$M$1004,MATCH(956,Firms!$R$5:$R$1004,0))&amp;"","")</f>
        <v/>
      </c>
      <c r="H960" s="58">
        <f>IFERROR(INDEX(Firms!$Q$5:$Q$1004,MATCH(956,Firms!$R$5:$R$1004,0))&amp;"","")</f>
        <v/>
      </c>
    </row>
    <row r="961">
      <c r="A961" s="57">
        <f>IF(B961="","",957)</f>
        <v/>
      </c>
      <c r="B961" s="58">
        <f>IFERROR(INDEX(Firms!$A$5:$A$1004,MATCH(957,Firms!$R$5:$R$1004,0))&amp;"","")</f>
        <v/>
      </c>
      <c r="C961" s="59">
        <f>IFERROR(IF(INDEX(Firms!$O$5:$O$1004,MATCH(957,Firms!$R$5:$R$1004,0))="","",INDEX(Firms!$O$5:$O$1004,MATCH(957,Firms!$R$5:$R$1004,0))),"")</f>
        <v/>
      </c>
      <c r="D961" s="58">
        <f>IFERROR(INDEX(Firms!$P$5:$P$1004,MATCH(957,Firms!$R$5:$R$1004,0))&amp;"","")</f>
        <v/>
      </c>
      <c r="E961" s="58">
        <f>IFERROR(INDEX(Firms!$C$5:$C$1004,MATCH(957,Firms!$R$5:$R$1004,0))&amp;"","")</f>
        <v/>
      </c>
      <c r="F961" s="57">
        <f>IFERROR(INDEX(Firms!$L$5:$L$1004,MATCH(957,Firms!$R$5:$R$1004,0))&amp;"","")</f>
        <v/>
      </c>
      <c r="G961" s="57">
        <f>IFERROR(INDEX(Firms!$M$5:$M$1004,MATCH(957,Firms!$R$5:$R$1004,0))&amp;"","")</f>
        <v/>
      </c>
      <c r="H961" s="58">
        <f>IFERROR(INDEX(Firms!$Q$5:$Q$1004,MATCH(957,Firms!$R$5:$R$1004,0))&amp;"","")</f>
        <v/>
      </c>
    </row>
    <row r="962">
      <c r="A962" s="57">
        <f>IF(B962="","",958)</f>
        <v/>
      </c>
      <c r="B962" s="58">
        <f>IFERROR(INDEX(Firms!$A$5:$A$1004,MATCH(958,Firms!$R$5:$R$1004,0))&amp;"","")</f>
        <v/>
      </c>
      <c r="C962" s="59">
        <f>IFERROR(IF(INDEX(Firms!$O$5:$O$1004,MATCH(958,Firms!$R$5:$R$1004,0))="","",INDEX(Firms!$O$5:$O$1004,MATCH(958,Firms!$R$5:$R$1004,0))),"")</f>
        <v/>
      </c>
      <c r="D962" s="58">
        <f>IFERROR(INDEX(Firms!$P$5:$P$1004,MATCH(958,Firms!$R$5:$R$1004,0))&amp;"","")</f>
        <v/>
      </c>
      <c r="E962" s="58">
        <f>IFERROR(INDEX(Firms!$C$5:$C$1004,MATCH(958,Firms!$R$5:$R$1004,0))&amp;"","")</f>
        <v/>
      </c>
      <c r="F962" s="57">
        <f>IFERROR(INDEX(Firms!$L$5:$L$1004,MATCH(958,Firms!$R$5:$R$1004,0))&amp;"","")</f>
        <v/>
      </c>
      <c r="G962" s="57">
        <f>IFERROR(INDEX(Firms!$M$5:$M$1004,MATCH(958,Firms!$R$5:$R$1004,0))&amp;"","")</f>
        <v/>
      </c>
      <c r="H962" s="58">
        <f>IFERROR(INDEX(Firms!$Q$5:$Q$1004,MATCH(958,Firms!$R$5:$R$1004,0))&amp;"","")</f>
        <v/>
      </c>
    </row>
    <row r="963">
      <c r="A963" s="57">
        <f>IF(B963="","",959)</f>
        <v/>
      </c>
      <c r="B963" s="58">
        <f>IFERROR(INDEX(Firms!$A$5:$A$1004,MATCH(959,Firms!$R$5:$R$1004,0))&amp;"","")</f>
        <v/>
      </c>
      <c r="C963" s="59">
        <f>IFERROR(IF(INDEX(Firms!$O$5:$O$1004,MATCH(959,Firms!$R$5:$R$1004,0))="","",INDEX(Firms!$O$5:$O$1004,MATCH(959,Firms!$R$5:$R$1004,0))),"")</f>
        <v/>
      </c>
      <c r="D963" s="58">
        <f>IFERROR(INDEX(Firms!$P$5:$P$1004,MATCH(959,Firms!$R$5:$R$1004,0))&amp;"","")</f>
        <v/>
      </c>
      <c r="E963" s="58">
        <f>IFERROR(INDEX(Firms!$C$5:$C$1004,MATCH(959,Firms!$R$5:$R$1004,0))&amp;"","")</f>
        <v/>
      </c>
      <c r="F963" s="57">
        <f>IFERROR(INDEX(Firms!$L$5:$L$1004,MATCH(959,Firms!$R$5:$R$1004,0))&amp;"","")</f>
        <v/>
      </c>
      <c r="G963" s="57">
        <f>IFERROR(INDEX(Firms!$M$5:$M$1004,MATCH(959,Firms!$R$5:$R$1004,0))&amp;"","")</f>
        <v/>
      </c>
      <c r="H963" s="58">
        <f>IFERROR(INDEX(Firms!$Q$5:$Q$1004,MATCH(959,Firms!$R$5:$R$1004,0))&amp;"","")</f>
        <v/>
      </c>
    </row>
    <row r="964">
      <c r="A964" s="57">
        <f>IF(B964="","",960)</f>
        <v/>
      </c>
      <c r="B964" s="58">
        <f>IFERROR(INDEX(Firms!$A$5:$A$1004,MATCH(960,Firms!$R$5:$R$1004,0))&amp;"","")</f>
        <v/>
      </c>
      <c r="C964" s="59">
        <f>IFERROR(IF(INDEX(Firms!$O$5:$O$1004,MATCH(960,Firms!$R$5:$R$1004,0))="","",INDEX(Firms!$O$5:$O$1004,MATCH(960,Firms!$R$5:$R$1004,0))),"")</f>
        <v/>
      </c>
      <c r="D964" s="58">
        <f>IFERROR(INDEX(Firms!$P$5:$P$1004,MATCH(960,Firms!$R$5:$R$1004,0))&amp;"","")</f>
        <v/>
      </c>
      <c r="E964" s="58">
        <f>IFERROR(INDEX(Firms!$C$5:$C$1004,MATCH(960,Firms!$R$5:$R$1004,0))&amp;"","")</f>
        <v/>
      </c>
      <c r="F964" s="57">
        <f>IFERROR(INDEX(Firms!$L$5:$L$1004,MATCH(960,Firms!$R$5:$R$1004,0))&amp;"","")</f>
        <v/>
      </c>
      <c r="G964" s="57">
        <f>IFERROR(INDEX(Firms!$M$5:$M$1004,MATCH(960,Firms!$R$5:$R$1004,0))&amp;"","")</f>
        <v/>
      </c>
      <c r="H964" s="58">
        <f>IFERROR(INDEX(Firms!$Q$5:$Q$1004,MATCH(960,Firms!$R$5:$R$1004,0))&amp;"","")</f>
        <v/>
      </c>
    </row>
    <row r="965">
      <c r="A965" s="57">
        <f>IF(B965="","",961)</f>
        <v/>
      </c>
      <c r="B965" s="58">
        <f>IFERROR(INDEX(Firms!$A$5:$A$1004,MATCH(961,Firms!$R$5:$R$1004,0))&amp;"","")</f>
        <v/>
      </c>
      <c r="C965" s="59">
        <f>IFERROR(IF(INDEX(Firms!$O$5:$O$1004,MATCH(961,Firms!$R$5:$R$1004,0))="","",INDEX(Firms!$O$5:$O$1004,MATCH(961,Firms!$R$5:$R$1004,0))),"")</f>
        <v/>
      </c>
      <c r="D965" s="58">
        <f>IFERROR(INDEX(Firms!$P$5:$P$1004,MATCH(961,Firms!$R$5:$R$1004,0))&amp;"","")</f>
        <v/>
      </c>
      <c r="E965" s="58">
        <f>IFERROR(INDEX(Firms!$C$5:$C$1004,MATCH(961,Firms!$R$5:$R$1004,0))&amp;"","")</f>
        <v/>
      </c>
      <c r="F965" s="57">
        <f>IFERROR(INDEX(Firms!$L$5:$L$1004,MATCH(961,Firms!$R$5:$R$1004,0))&amp;"","")</f>
        <v/>
      </c>
      <c r="G965" s="57">
        <f>IFERROR(INDEX(Firms!$M$5:$M$1004,MATCH(961,Firms!$R$5:$R$1004,0))&amp;"","")</f>
        <v/>
      </c>
      <c r="H965" s="58">
        <f>IFERROR(INDEX(Firms!$Q$5:$Q$1004,MATCH(961,Firms!$R$5:$R$1004,0))&amp;"","")</f>
        <v/>
      </c>
    </row>
    <row r="966">
      <c r="A966" s="57">
        <f>IF(B966="","",962)</f>
        <v/>
      </c>
      <c r="B966" s="58">
        <f>IFERROR(INDEX(Firms!$A$5:$A$1004,MATCH(962,Firms!$R$5:$R$1004,0))&amp;"","")</f>
        <v/>
      </c>
      <c r="C966" s="59">
        <f>IFERROR(IF(INDEX(Firms!$O$5:$O$1004,MATCH(962,Firms!$R$5:$R$1004,0))="","",INDEX(Firms!$O$5:$O$1004,MATCH(962,Firms!$R$5:$R$1004,0))),"")</f>
        <v/>
      </c>
      <c r="D966" s="58">
        <f>IFERROR(INDEX(Firms!$P$5:$P$1004,MATCH(962,Firms!$R$5:$R$1004,0))&amp;"","")</f>
        <v/>
      </c>
      <c r="E966" s="58">
        <f>IFERROR(INDEX(Firms!$C$5:$C$1004,MATCH(962,Firms!$R$5:$R$1004,0))&amp;"","")</f>
        <v/>
      </c>
      <c r="F966" s="57">
        <f>IFERROR(INDEX(Firms!$L$5:$L$1004,MATCH(962,Firms!$R$5:$R$1004,0))&amp;"","")</f>
        <v/>
      </c>
      <c r="G966" s="57">
        <f>IFERROR(INDEX(Firms!$M$5:$M$1004,MATCH(962,Firms!$R$5:$R$1004,0))&amp;"","")</f>
        <v/>
      </c>
      <c r="H966" s="58">
        <f>IFERROR(INDEX(Firms!$Q$5:$Q$1004,MATCH(962,Firms!$R$5:$R$1004,0))&amp;"","")</f>
        <v/>
      </c>
    </row>
    <row r="967">
      <c r="A967" s="57">
        <f>IF(B967="","",963)</f>
        <v/>
      </c>
      <c r="B967" s="58">
        <f>IFERROR(INDEX(Firms!$A$5:$A$1004,MATCH(963,Firms!$R$5:$R$1004,0))&amp;"","")</f>
        <v/>
      </c>
      <c r="C967" s="59">
        <f>IFERROR(IF(INDEX(Firms!$O$5:$O$1004,MATCH(963,Firms!$R$5:$R$1004,0))="","",INDEX(Firms!$O$5:$O$1004,MATCH(963,Firms!$R$5:$R$1004,0))),"")</f>
        <v/>
      </c>
      <c r="D967" s="58">
        <f>IFERROR(INDEX(Firms!$P$5:$P$1004,MATCH(963,Firms!$R$5:$R$1004,0))&amp;"","")</f>
        <v/>
      </c>
      <c r="E967" s="58">
        <f>IFERROR(INDEX(Firms!$C$5:$C$1004,MATCH(963,Firms!$R$5:$R$1004,0))&amp;"","")</f>
        <v/>
      </c>
      <c r="F967" s="57">
        <f>IFERROR(INDEX(Firms!$L$5:$L$1004,MATCH(963,Firms!$R$5:$R$1004,0))&amp;"","")</f>
        <v/>
      </c>
      <c r="G967" s="57">
        <f>IFERROR(INDEX(Firms!$M$5:$M$1004,MATCH(963,Firms!$R$5:$R$1004,0))&amp;"","")</f>
        <v/>
      </c>
      <c r="H967" s="58">
        <f>IFERROR(INDEX(Firms!$Q$5:$Q$1004,MATCH(963,Firms!$R$5:$R$1004,0))&amp;"","")</f>
        <v/>
      </c>
    </row>
    <row r="968">
      <c r="A968" s="57">
        <f>IF(B968="","",964)</f>
        <v/>
      </c>
      <c r="B968" s="58">
        <f>IFERROR(INDEX(Firms!$A$5:$A$1004,MATCH(964,Firms!$R$5:$R$1004,0))&amp;"","")</f>
        <v/>
      </c>
      <c r="C968" s="59">
        <f>IFERROR(IF(INDEX(Firms!$O$5:$O$1004,MATCH(964,Firms!$R$5:$R$1004,0))="","",INDEX(Firms!$O$5:$O$1004,MATCH(964,Firms!$R$5:$R$1004,0))),"")</f>
        <v/>
      </c>
      <c r="D968" s="58">
        <f>IFERROR(INDEX(Firms!$P$5:$P$1004,MATCH(964,Firms!$R$5:$R$1004,0))&amp;"","")</f>
        <v/>
      </c>
      <c r="E968" s="58">
        <f>IFERROR(INDEX(Firms!$C$5:$C$1004,MATCH(964,Firms!$R$5:$R$1004,0))&amp;"","")</f>
        <v/>
      </c>
      <c r="F968" s="57">
        <f>IFERROR(INDEX(Firms!$L$5:$L$1004,MATCH(964,Firms!$R$5:$R$1004,0))&amp;"","")</f>
        <v/>
      </c>
      <c r="G968" s="57">
        <f>IFERROR(INDEX(Firms!$M$5:$M$1004,MATCH(964,Firms!$R$5:$R$1004,0))&amp;"","")</f>
        <v/>
      </c>
      <c r="H968" s="58">
        <f>IFERROR(INDEX(Firms!$Q$5:$Q$1004,MATCH(964,Firms!$R$5:$R$1004,0))&amp;"","")</f>
        <v/>
      </c>
    </row>
    <row r="969">
      <c r="A969" s="57">
        <f>IF(B969="","",965)</f>
        <v/>
      </c>
      <c r="B969" s="58">
        <f>IFERROR(INDEX(Firms!$A$5:$A$1004,MATCH(965,Firms!$R$5:$R$1004,0))&amp;"","")</f>
        <v/>
      </c>
      <c r="C969" s="59">
        <f>IFERROR(IF(INDEX(Firms!$O$5:$O$1004,MATCH(965,Firms!$R$5:$R$1004,0))="","",INDEX(Firms!$O$5:$O$1004,MATCH(965,Firms!$R$5:$R$1004,0))),"")</f>
        <v/>
      </c>
      <c r="D969" s="58">
        <f>IFERROR(INDEX(Firms!$P$5:$P$1004,MATCH(965,Firms!$R$5:$R$1004,0))&amp;"","")</f>
        <v/>
      </c>
      <c r="E969" s="58">
        <f>IFERROR(INDEX(Firms!$C$5:$C$1004,MATCH(965,Firms!$R$5:$R$1004,0))&amp;"","")</f>
        <v/>
      </c>
      <c r="F969" s="57">
        <f>IFERROR(INDEX(Firms!$L$5:$L$1004,MATCH(965,Firms!$R$5:$R$1004,0))&amp;"","")</f>
        <v/>
      </c>
      <c r="G969" s="57">
        <f>IFERROR(INDEX(Firms!$M$5:$M$1004,MATCH(965,Firms!$R$5:$R$1004,0))&amp;"","")</f>
        <v/>
      </c>
      <c r="H969" s="58">
        <f>IFERROR(INDEX(Firms!$Q$5:$Q$1004,MATCH(965,Firms!$R$5:$R$1004,0))&amp;"","")</f>
        <v/>
      </c>
    </row>
    <row r="970">
      <c r="A970" s="57">
        <f>IF(B970="","",966)</f>
        <v/>
      </c>
      <c r="B970" s="58">
        <f>IFERROR(INDEX(Firms!$A$5:$A$1004,MATCH(966,Firms!$R$5:$R$1004,0))&amp;"","")</f>
        <v/>
      </c>
      <c r="C970" s="59">
        <f>IFERROR(IF(INDEX(Firms!$O$5:$O$1004,MATCH(966,Firms!$R$5:$R$1004,0))="","",INDEX(Firms!$O$5:$O$1004,MATCH(966,Firms!$R$5:$R$1004,0))),"")</f>
        <v/>
      </c>
      <c r="D970" s="58">
        <f>IFERROR(INDEX(Firms!$P$5:$P$1004,MATCH(966,Firms!$R$5:$R$1004,0))&amp;"","")</f>
        <v/>
      </c>
      <c r="E970" s="58">
        <f>IFERROR(INDEX(Firms!$C$5:$C$1004,MATCH(966,Firms!$R$5:$R$1004,0))&amp;"","")</f>
        <v/>
      </c>
      <c r="F970" s="57">
        <f>IFERROR(INDEX(Firms!$L$5:$L$1004,MATCH(966,Firms!$R$5:$R$1004,0))&amp;"","")</f>
        <v/>
      </c>
      <c r="G970" s="57">
        <f>IFERROR(INDEX(Firms!$M$5:$M$1004,MATCH(966,Firms!$R$5:$R$1004,0))&amp;"","")</f>
        <v/>
      </c>
      <c r="H970" s="58">
        <f>IFERROR(INDEX(Firms!$Q$5:$Q$1004,MATCH(966,Firms!$R$5:$R$1004,0))&amp;"","")</f>
        <v/>
      </c>
    </row>
    <row r="971">
      <c r="A971" s="57">
        <f>IF(B971="","",967)</f>
        <v/>
      </c>
      <c r="B971" s="58">
        <f>IFERROR(INDEX(Firms!$A$5:$A$1004,MATCH(967,Firms!$R$5:$R$1004,0))&amp;"","")</f>
        <v/>
      </c>
      <c r="C971" s="59">
        <f>IFERROR(IF(INDEX(Firms!$O$5:$O$1004,MATCH(967,Firms!$R$5:$R$1004,0))="","",INDEX(Firms!$O$5:$O$1004,MATCH(967,Firms!$R$5:$R$1004,0))),"")</f>
        <v/>
      </c>
      <c r="D971" s="58">
        <f>IFERROR(INDEX(Firms!$P$5:$P$1004,MATCH(967,Firms!$R$5:$R$1004,0))&amp;"","")</f>
        <v/>
      </c>
      <c r="E971" s="58">
        <f>IFERROR(INDEX(Firms!$C$5:$C$1004,MATCH(967,Firms!$R$5:$R$1004,0))&amp;"","")</f>
        <v/>
      </c>
      <c r="F971" s="57">
        <f>IFERROR(INDEX(Firms!$L$5:$L$1004,MATCH(967,Firms!$R$5:$R$1004,0))&amp;"","")</f>
        <v/>
      </c>
      <c r="G971" s="57">
        <f>IFERROR(INDEX(Firms!$M$5:$M$1004,MATCH(967,Firms!$R$5:$R$1004,0))&amp;"","")</f>
        <v/>
      </c>
      <c r="H971" s="58">
        <f>IFERROR(INDEX(Firms!$Q$5:$Q$1004,MATCH(967,Firms!$R$5:$R$1004,0))&amp;"","")</f>
        <v/>
      </c>
    </row>
    <row r="972">
      <c r="A972" s="57">
        <f>IF(B972="","",968)</f>
        <v/>
      </c>
      <c r="B972" s="58">
        <f>IFERROR(INDEX(Firms!$A$5:$A$1004,MATCH(968,Firms!$R$5:$R$1004,0))&amp;"","")</f>
        <v/>
      </c>
      <c r="C972" s="59">
        <f>IFERROR(IF(INDEX(Firms!$O$5:$O$1004,MATCH(968,Firms!$R$5:$R$1004,0))="","",INDEX(Firms!$O$5:$O$1004,MATCH(968,Firms!$R$5:$R$1004,0))),"")</f>
        <v/>
      </c>
      <c r="D972" s="58">
        <f>IFERROR(INDEX(Firms!$P$5:$P$1004,MATCH(968,Firms!$R$5:$R$1004,0))&amp;"","")</f>
        <v/>
      </c>
      <c r="E972" s="58">
        <f>IFERROR(INDEX(Firms!$C$5:$C$1004,MATCH(968,Firms!$R$5:$R$1004,0))&amp;"","")</f>
        <v/>
      </c>
      <c r="F972" s="57">
        <f>IFERROR(INDEX(Firms!$L$5:$L$1004,MATCH(968,Firms!$R$5:$R$1004,0))&amp;"","")</f>
        <v/>
      </c>
      <c r="G972" s="57">
        <f>IFERROR(INDEX(Firms!$M$5:$M$1004,MATCH(968,Firms!$R$5:$R$1004,0))&amp;"","")</f>
        <v/>
      </c>
      <c r="H972" s="58">
        <f>IFERROR(INDEX(Firms!$Q$5:$Q$1004,MATCH(968,Firms!$R$5:$R$1004,0))&amp;"","")</f>
        <v/>
      </c>
    </row>
    <row r="973">
      <c r="A973" s="57">
        <f>IF(B973="","",969)</f>
        <v/>
      </c>
      <c r="B973" s="58">
        <f>IFERROR(INDEX(Firms!$A$5:$A$1004,MATCH(969,Firms!$R$5:$R$1004,0))&amp;"","")</f>
        <v/>
      </c>
      <c r="C973" s="59">
        <f>IFERROR(IF(INDEX(Firms!$O$5:$O$1004,MATCH(969,Firms!$R$5:$R$1004,0))="","",INDEX(Firms!$O$5:$O$1004,MATCH(969,Firms!$R$5:$R$1004,0))),"")</f>
        <v/>
      </c>
      <c r="D973" s="58">
        <f>IFERROR(INDEX(Firms!$P$5:$P$1004,MATCH(969,Firms!$R$5:$R$1004,0))&amp;"","")</f>
        <v/>
      </c>
      <c r="E973" s="58">
        <f>IFERROR(INDEX(Firms!$C$5:$C$1004,MATCH(969,Firms!$R$5:$R$1004,0))&amp;"","")</f>
        <v/>
      </c>
      <c r="F973" s="57">
        <f>IFERROR(INDEX(Firms!$L$5:$L$1004,MATCH(969,Firms!$R$5:$R$1004,0))&amp;"","")</f>
        <v/>
      </c>
      <c r="G973" s="57">
        <f>IFERROR(INDEX(Firms!$M$5:$M$1004,MATCH(969,Firms!$R$5:$R$1004,0))&amp;"","")</f>
        <v/>
      </c>
      <c r="H973" s="58">
        <f>IFERROR(INDEX(Firms!$Q$5:$Q$1004,MATCH(969,Firms!$R$5:$R$1004,0))&amp;"","")</f>
        <v/>
      </c>
    </row>
    <row r="974">
      <c r="A974" s="57">
        <f>IF(B974="","",970)</f>
        <v/>
      </c>
      <c r="B974" s="58">
        <f>IFERROR(INDEX(Firms!$A$5:$A$1004,MATCH(970,Firms!$R$5:$R$1004,0))&amp;"","")</f>
        <v/>
      </c>
      <c r="C974" s="59">
        <f>IFERROR(IF(INDEX(Firms!$O$5:$O$1004,MATCH(970,Firms!$R$5:$R$1004,0))="","",INDEX(Firms!$O$5:$O$1004,MATCH(970,Firms!$R$5:$R$1004,0))),"")</f>
        <v/>
      </c>
      <c r="D974" s="58">
        <f>IFERROR(INDEX(Firms!$P$5:$P$1004,MATCH(970,Firms!$R$5:$R$1004,0))&amp;"","")</f>
        <v/>
      </c>
      <c r="E974" s="58">
        <f>IFERROR(INDEX(Firms!$C$5:$C$1004,MATCH(970,Firms!$R$5:$R$1004,0))&amp;"","")</f>
        <v/>
      </c>
      <c r="F974" s="57">
        <f>IFERROR(INDEX(Firms!$L$5:$L$1004,MATCH(970,Firms!$R$5:$R$1004,0))&amp;"","")</f>
        <v/>
      </c>
      <c r="G974" s="57">
        <f>IFERROR(INDEX(Firms!$M$5:$M$1004,MATCH(970,Firms!$R$5:$R$1004,0))&amp;"","")</f>
        <v/>
      </c>
      <c r="H974" s="58">
        <f>IFERROR(INDEX(Firms!$Q$5:$Q$1004,MATCH(970,Firms!$R$5:$R$1004,0))&amp;"","")</f>
        <v/>
      </c>
    </row>
    <row r="975">
      <c r="A975" s="57">
        <f>IF(B975="","",971)</f>
        <v/>
      </c>
      <c r="B975" s="58">
        <f>IFERROR(INDEX(Firms!$A$5:$A$1004,MATCH(971,Firms!$R$5:$R$1004,0))&amp;"","")</f>
        <v/>
      </c>
      <c r="C975" s="59">
        <f>IFERROR(IF(INDEX(Firms!$O$5:$O$1004,MATCH(971,Firms!$R$5:$R$1004,0))="","",INDEX(Firms!$O$5:$O$1004,MATCH(971,Firms!$R$5:$R$1004,0))),"")</f>
        <v/>
      </c>
      <c r="D975" s="58">
        <f>IFERROR(INDEX(Firms!$P$5:$P$1004,MATCH(971,Firms!$R$5:$R$1004,0))&amp;"","")</f>
        <v/>
      </c>
      <c r="E975" s="58">
        <f>IFERROR(INDEX(Firms!$C$5:$C$1004,MATCH(971,Firms!$R$5:$R$1004,0))&amp;"","")</f>
        <v/>
      </c>
      <c r="F975" s="57">
        <f>IFERROR(INDEX(Firms!$L$5:$L$1004,MATCH(971,Firms!$R$5:$R$1004,0))&amp;"","")</f>
        <v/>
      </c>
      <c r="G975" s="57">
        <f>IFERROR(INDEX(Firms!$M$5:$M$1004,MATCH(971,Firms!$R$5:$R$1004,0))&amp;"","")</f>
        <v/>
      </c>
      <c r="H975" s="58">
        <f>IFERROR(INDEX(Firms!$Q$5:$Q$1004,MATCH(971,Firms!$R$5:$R$1004,0))&amp;"","")</f>
        <v/>
      </c>
    </row>
    <row r="976">
      <c r="A976" s="57">
        <f>IF(B976="","",972)</f>
        <v/>
      </c>
      <c r="B976" s="58">
        <f>IFERROR(INDEX(Firms!$A$5:$A$1004,MATCH(972,Firms!$R$5:$R$1004,0))&amp;"","")</f>
        <v/>
      </c>
      <c r="C976" s="59">
        <f>IFERROR(IF(INDEX(Firms!$O$5:$O$1004,MATCH(972,Firms!$R$5:$R$1004,0))="","",INDEX(Firms!$O$5:$O$1004,MATCH(972,Firms!$R$5:$R$1004,0))),"")</f>
        <v/>
      </c>
      <c r="D976" s="58">
        <f>IFERROR(INDEX(Firms!$P$5:$P$1004,MATCH(972,Firms!$R$5:$R$1004,0))&amp;"","")</f>
        <v/>
      </c>
      <c r="E976" s="58">
        <f>IFERROR(INDEX(Firms!$C$5:$C$1004,MATCH(972,Firms!$R$5:$R$1004,0))&amp;"","")</f>
        <v/>
      </c>
      <c r="F976" s="57">
        <f>IFERROR(INDEX(Firms!$L$5:$L$1004,MATCH(972,Firms!$R$5:$R$1004,0))&amp;"","")</f>
        <v/>
      </c>
      <c r="G976" s="57">
        <f>IFERROR(INDEX(Firms!$M$5:$M$1004,MATCH(972,Firms!$R$5:$R$1004,0))&amp;"","")</f>
        <v/>
      </c>
      <c r="H976" s="58">
        <f>IFERROR(INDEX(Firms!$Q$5:$Q$1004,MATCH(972,Firms!$R$5:$R$1004,0))&amp;"","")</f>
        <v/>
      </c>
    </row>
    <row r="977">
      <c r="A977" s="57">
        <f>IF(B977="","",973)</f>
        <v/>
      </c>
      <c r="B977" s="58">
        <f>IFERROR(INDEX(Firms!$A$5:$A$1004,MATCH(973,Firms!$R$5:$R$1004,0))&amp;"","")</f>
        <v/>
      </c>
      <c r="C977" s="59">
        <f>IFERROR(IF(INDEX(Firms!$O$5:$O$1004,MATCH(973,Firms!$R$5:$R$1004,0))="","",INDEX(Firms!$O$5:$O$1004,MATCH(973,Firms!$R$5:$R$1004,0))),"")</f>
        <v/>
      </c>
      <c r="D977" s="58">
        <f>IFERROR(INDEX(Firms!$P$5:$P$1004,MATCH(973,Firms!$R$5:$R$1004,0))&amp;"","")</f>
        <v/>
      </c>
      <c r="E977" s="58">
        <f>IFERROR(INDEX(Firms!$C$5:$C$1004,MATCH(973,Firms!$R$5:$R$1004,0))&amp;"","")</f>
        <v/>
      </c>
      <c r="F977" s="57">
        <f>IFERROR(INDEX(Firms!$L$5:$L$1004,MATCH(973,Firms!$R$5:$R$1004,0))&amp;"","")</f>
        <v/>
      </c>
      <c r="G977" s="57">
        <f>IFERROR(INDEX(Firms!$M$5:$M$1004,MATCH(973,Firms!$R$5:$R$1004,0))&amp;"","")</f>
        <v/>
      </c>
      <c r="H977" s="58">
        <f>IFERROR(INDEX(Firms!$Q$5:$Q$1004,MATCH(973,Firms!$R$5:$R$1004,0))&amp;"","")</f>
        <v/>
      </c>
    </row>
    <row r="978">
      <c r="A978" s="57">
        <f>IF(B978="","",974)</f>
        <v/>
      </c>
      <c r="B978" s="58">
        <f>IFERROR(INDEX(Firms!$A$5:$A$1004,MATCH(974,Firms!$R$5:$R$1004,0))&amp;"","")</f>
        <v/>
      </c>
      <c r="C978" s="59">
        <f>IFERROR(IF(INDEX(Firms!$O$5:$O$1004,MATCH(974,Firms!$R$5:$R$1004,0))="","",INDEX(Firms!$O$5:$O$1004,MATCH(974,Firms!$R$5:$R$1004,0))),"")</f>
        <v/>
      </c>
      <c r="D978" s="58">
        <f>IFERROR(INDEX(Firms!$P$5:$P$1004,MATCH(974,Firms!$R$5:$R$1004,0))&amp;"","")</f>
        <v/>
      </c>
      <c r="E978" s="58">
        <f>IFERROR(INDEX(Firms!$C$5:$C$1004,MATCH(974,Firms!$R$5:$R$1004,0))&amp;"","")</f>
        <v/>
      </c>
      <c r="F978" s="57">
        <f>IFERROR(INDEX(Firms!$L$5:$L$1004,MATCH(974,Firms!$R$5:$R$1004,0))&amp;"","")</f>
        <v/>
      </c>
      <c r="G978" s="57">
        <f>IFERROR(INDEX(Firms!$M$5:$M$1004,MATCH(974,Firms!$R$5:$R$1004,0))&amp;"","")</f>
        <v/>
      </c>
      <c r="H978" s="58">
        <f>IFERROR(INDEX(Firms!$Q$5:$Q$1004,MATCH(974,Firms!$R$5:$R$1004,0))&amp;"","")</f>
        <v/>
      </c>
    </row>
    <row r="979">
      <c r="A979" s="57">
        <f>IF(B979="","",975)</f>
        <v/>
      </c>
      <c r="B979" s="58">
        <f>IFERROR(INDEX(Firms!$A$5:$A$1004,MATCH(975,Firms!$R$5:$R$1004,0))&amp;"","")</f>
        <v/>
      </c>
      <c r="C979" s="59">
        <f>IFERROR(IF(INDEX(Firms!$O$5:$O$1004,MATCH(975,Firms!$R$5:$R$1004,0))="","",INDEX(Firms!$O$5:$O$1004,MATCH(975,Firms!$R$5:$R$1004,0))),"")</f>
        <v/>
      </c>
      <c r="D979" s="58">
        <f>IFERROR(INDEX(Firms!$P$5:$P$1004,MATCH(975,Firms!$R$5:$R$1004,0))&amp;"","")</f>
        <v/>
      </c>
      <c r="E979" s="58">
        <f>IFERROR(INDEX(Firms!$C$5:$C$1004,MATCH(975,Firms!$R$5:$R$1004,0))&amp;"","")</f>
        <v/>
      </c>
      <c r="F979" s="57">
        <f>IFERROR(INDEX(Firms!$L$5:$L$1004,MATCH(975,Firms!$R$5:$R$1004,0))&amp;"","")</f>
        <v/>
      </c>
      <c r="G979" s="57">
        <f>IFERROR(INDEX(Firms!$M$5:$M$1004,MATCH(975,Firms!$R$5:$R$1004,0))&amp;"","")</f>
        <v/>
      </c>
      <c r="H979" s="58">
        <f>IFERROR(INDEX(Firms!$Q$5:$Q$1004,MATCH(975,Firms!$R$5:$R$1004,0))&amp;"","")</f>
        <v/>
      </c>
    </row>
    <row r="980">
      <c r="A980" s="57">
        <f>IF(B980="","",976)</f>
        <v/>
      </c>
      <c r="B980" s="58">
        <f>IFERROR(INDEX(Firms!$A$5:$A$1004,MATCH(976,Firms!$R$5:$R$1004,0))&amp;"","")</f>
        <v/>
      </c>
      <c r="C980" s="59">
        <f>IFERROR(IF(INDEX(Firms!$O$5:$O$1004,MATCH(976,Firms!$R$5:$R$1004,0))="","",INDEX(Firms!$O$5:$O$1004,MATCH(976,Firms!$R$5:$R$1004,0))),"")</f>
        <v/>
      </c>
      <c r="D980" s="58">
        <f>IFERROR(INDEX(Firms!$P$5:$P$1004,MATCH(976,Firms!$R$5:$R$1004,0))&amp;"","")</f>
        <v/>
      </c>
      <c r="E980" s="58">
        <f>IFERROR(INDEX(Firms!$C$5:$C$1004,MATCH(976,Firms!$R$5:$R$1004,0))&amp;"","")</f>
        <v/>
      </c>
      <c r="F980" s="57">
        <f>IFERROR(INDEX(Firms!$L$5:$L$1004,MATCH(976,Firms!$R$5:$R$1004,0))&amp;"","")</f>
        <v/>
      </c>
      <c r="G980" s="57">
        <f>IFERROR(INDEX(Firms!$M$5:$M$1004,MATCH(976,Firms!$R$5:$R$1004,0))&amp;"","")</f>
        <v/>
      </c>
      <c r="H980" s="58">
        <f>IFERROR(INDEX(Firms!$Q$5:$Q$1004,MATCH(976,Firms!$R$5:$R$1004,0))&amp;"","")</f>
        <v/>
      </c>
    </row>
    <row r="981">
      <c r="A981" s="57">
        <f>IF(B981="","",977)</f>
        <v/>
      </c>
      <c r="B981" s="58">
        <f>IFERROR(INDEX(Firms!$A$5:$A$1004,MATCH(977,Firms!$R$5:$R$1004,0))&amp;"","")</f>
        <v/>
      </c>
      <c r="C981" s="59">
        <f>IFERROR(IF(INDEX(Firms!$O$5:$O$1004,MATCH(977,Firms!$R$5:$R$1004,0))="","",INDEX(Firms!$O$5:$O$1004,MATCH(977,Firms!$R$5:$R$1004,0))),"")</f>
        <v/>
      </c>
      <c r="D981" s="58">
        <f>IFERROR(INDEX(Firms!$P$5:$P$1004,MATCH(977,Firms!$R$5:$R$1004,0))&amp;"","")</f>
        <v/>
      </c>
      <c r="E981" s="58">
        <f>IFERROR(INDEX(Firms!$C$5:$C$1004,MATCH(977,Firms!$R$5:$R$1004,0))&amp;"","")</f>
        <v/>
      </c>
      <c r="F981" s="57">
        <f>IFERROR(INDEX(Firms!$L$5:$L$1004,MATCH(977,Firms!$R$5:$R$1004,0))&amp;"","")</f>
        <v/>
      </c>
      <c r="G981" s="57">
        <f>IFERROR(INDEX(Firms!$M$5:$M$1004,MATCH(977,Firms!$R$5:$R$1004,0))&amp;"","")</f>
        <v/>
      </c>
      <c r="H981" s="58">
        <f>IFERROR(INDEX(Firms!$Q$5:$Q$1004,MATCH(977,Firms!$R$5:$R$1004,0))&amp;"","")</f>
        <v/>
      </c>
    </row>
    <row r="982">
      <c r="A982" s="57">
        <f>IF(B982="","",978)</f>
        <v/>
      </c>
      <c r="B982" s="58">
        <f>IFERROR(INDEX(Firms!$A$5:$A$1004,MATCH(978,Firms!$R$5:$R$1004,0))&amp;"","")</f>
        <v/>
      </c>
      <c r="C982" s="59">
        <f>IFERROR(IF(INDEX(Firms!$O$5:$O$1004,MATCH(978,Firms!$R$5:$R$1004,0))="","",INDEX(Firms!$O$5:$O$1004,MATCH(978,Firms!$R$5:$R$1004,0))),"")</f>
        <v/>
      </c>
      <c r="D982" s="58">
        <f>IFERROR(INDEX(Firms!$P$5:$P$1004,MATCH(978,Firms!$R$5:$R$1004,0))&amp;"","")</f>
        <v/>
      </c>
      <c r="E982" s="58">
        <f>IFERROR(INDEX(Firms!$C$5:$C$1004,MATCH(978,Firms!$R$5:$R$1004,0))&amp;"","")</f>
        <v/>
      </c>
      <c r="F982" s="57">
        <f>IFERROR(INDEX(Firms!$L$5:$L$1004,MATCH(978,Firms!$R$5:$R$1004,0))&amp;"","")</f>
        <v/>
      </c>
      <c r="G982" s="57">
        <f>IFERROR(INDEX(Firms!$M$5:$M$1004,MATCH(978,Firms!$R$5:$R$1004,0))&amp;"","")</f>
        <v/>
      </c>
      <c r="H982" s="58">
        <f>IFERROR(INDEX(Firms!$Q$5:$Q$1004,MATCH(978,Firms!$R$5:$R$1004,0))&amp;"","")</f>
        <v/>
      </c>
    </row>
    <row r="983">
      <c r="A983" s="57">
        <f>IF(B983="","",979)</f>
        <v/>
      </c>
      <c r="B983" s="58">
        <f>IFERROR(INDEX(Firms!$A$5:$A$1004,MATCH(979,Firms!$R$5:$R$1004,0))&amp;"","")</f>
        <v/>
      </c>
      <c r="C983" s="59">
        <f>IFERROR(IF(INDEX(Firms!$O$5:$O$1004,MATCH(979,Firms!$R$5:$R$1004,0))="","",INDEX(Firms!$O$5:$O$1004,MATCH(979,Firms!$R$5:$R$1004,0))),"")</f>
        <v/>
      </c>
      <c r="D983" s="58">
        <f>IFERROR(INDEX(Firms!$P$5:$P$1004,MATCH(979,Firms!$R$5:$R$1004,0))&amp;"","")</f>
        <v/>
      </c>
      <c r="E983" s="58">
        <f>IFERROR(INDEX(Firms!$C$5:$C$1004,MATCH(979,Firms!$R$5:$R$1004,0))&amp;"","")</f>
        <v/>
      </c>
      <c r="F983" s="57">
        <f>IFERROR(INDEX(Firms!$L$5:$L$1004,MATCH(979,Firms!$R$5:$R$1004,0))&amp;"","")</f>
        <v/>
      </c>
      <c r="G983" s="57">
        <f>IFERROR(INDEX(Firms!$M$5:$M$1004,MATCH(979,Firms!$R$5:$R$1004,0))&amp;"","")</f>
        <v/>
      </c>
      <c r="H983" s="58">
        <f>IFERROR(INDEX(Firms!$Q$5:$Q$1004,MATCH(979,Firms!$R$5:$R$1004,0))&amp;"","")</f>
        <v/>
      </c>
    </row>
    <row r="984">
      <c r="A984" s="57">
        <f>IF(B984="","",980)</f>
        <v/>
      </c>
      <c r="B984" s="58">
        <f>IFERROR(INDEX(Firms!$A$5:$A$1004,MATCH(980,Firms!$R$5:$R$1004,0))&amp;"","")</f>
        <v/>
      </c>
      <c r="C984" s="59">
        <f>IFERROR(IF(INDEX(Firms!$O$5:$O$1004,MATCH(980,Firms!$R$5:$R$1004,0))="","",INDEX(Firms!$O$5:$O$1004,MATCH(980,Firms!$R$5:$R$1004,0))),"")</f>
        <v/>
      </c>
      <c r="D984" s="58">
        <f>IFERROR(INDEX(Firms!$P$5:$P$1004,MATCH(980,Firms!$R$5:$R$1004,0))&amp;"","")</f>
        <v/>
      </c>
      <c r="E984" s="58">
        <f>IFERROR(INDEX(Firms!$C$5:$C$1004,MATCH(980,Firms!$R$5:$R$1004,0))&amp;"","")</f>
        <v/>
      </c>
      <c r="F984" s="57">
        <f>IFERROR(INDEX(Firms!$L$5:$L$1004,MATCH(980,Firms!$R$5:$R$1004,0))&amp;"","")</f>
        <v/>
      </c>
      <c r="G984" s="57">
        <f>IFERROR(INDEX(Firms!$M$5:$M$1004,MATCH(980,Firms!$R$5:$R$1004,0))&amp;"","")</f>
        <v/>
      </c>
      <c r="H984" s="58">
        <f>IFERROR(INDEX(Firms!$Q$5:$Q$1004,MATCH(980,Firms!$R$5:$R$1004,0))&amp;"","")</f>
        <v/>
      </c>
    </row>
    <row r="985">
      <c r="A985" s="57">
        <f>IF(B985="","",981)</f>
        <v/>
      </c>
      <c r="B985" s="58">
        <f>IFERROR(INDEX(Firms!$A$5:$A$1004,MATCH(981,Firms!$R$5:$R$1004,0))&amp;"","")</f>
        <v/>
      </c>
      <c r="C985" s="59">
        <f>IFERROR(IF(INDEX(Firms!$O$5:$O$1004,MATCH(981,Firms!$R$5:$R$1004,0))="","",INDEX(Firms!$O$5:$O$1004,MATCH(981,Firms!$R$5:$R$1004,0))),"")</f>
        <v/>
      </c>
      <c r="D985" s="58">
        <f>IFERROR(INDEX(Firms!$P$5:$P$1004,MATCH(981,Firms!$R$5:$R$1004,0))&amp;"","")</f>
        <v/>
      </c>
      <c r="E985" s="58">
        <f>IFERROR(INDEX(Firms!$C$5:$C$1004,MATCH(981,Firms!$R$5:$R$1004,0))&amp;"","")</f>
        <v/>
      </c>
      <c r="F985" s="57">
        <f>IFERROR(INDEX(Firms!$L$5:$L$1004,MATCH(981,Firms!$R$5:$R$1004,0))&amp;"","")</f>
        <v/>
      </c>
      <c r="G985" s="57">
        <f>IFERROR(INDEX(Firms!$M$5:$M$1004,MATCH(981,Firms!$R$5:$R$1004,0))&amp;"","")</f>
        <v/>
      </c>
      <c r="H985" s="58">
        <f>IFERROR(INDEX(Firms!$Q$5:$Q$1004,MATCH(981,Firms!$R$5:$R$1004,0))&amp;"","")</f>
        <v/>
      </c>
    </row>
    <row r="986">
      <c r="A986" s="57">
        <f>IF(B986="","",982)</f>
        <v/>
      </c>
      <c r="B986" s="58">
        <f>IFERROR(INDEX(Firms!$A$5:$A$1004,MATCH(982,Firms!$R$5:$R$1004,0))&amp;"","")</f>
        <v/>
      </c>
      <c r="C986" s="59">
        <f>IFERROR(IF(INDEX(Firms!$O$5:$O$1004,MATCH(982,Firms!$R$5:$R$1004,0))="","",INDEX(Firms!$O$5:$O$1004,MATCH(982,Firms!$R$5:$R$1004,0))),"")</f>
        <v/>
      </c>
      <c r="D986" s="58">
        <f>IFERROR(INDEX(Firms!$P$5:$P$1004,MATCH(982,Firms!$R$5:$R$1004,0))&amp;"","")</f>
        <v/>
      </c>
      <c r="E986" s="58">
        <f>IFERROR(INDEX(Firms!$C$5:$C$1004,MATCH(982,Firms!$R$5:$R$1004,0))&amp;"","")</f>
        <v/>
      </c>
      <c r="F986" s="57">
        <f>IFERROR(INDEX(Firms!$L$5:$L$1004,MATCH(982,Firms!$R$5:$R$1004,0))&amp;"","")</f>
        <v/>
      </c>
      <c r="G986" s="57">
        <f>IFERROR(INDEX(Firms!$M$5:$M$1004,MATCH(982,Firms!$R$5:$R$1004,0))&amp;"","")</f>
        <v/>
      </c>
      <c r="H986" s="58">
        <f>IFERROR(INDEX(Firms!$Q$5:$Q$1004,MATCH(982,Firms!$R$5:$R$1004,0))&amp;"","")</f>
        <v/>
      </c>
    </row>
    <row r="987">
      <c r="A987" s="57">
        <f>IF(B987="","",983)</f>
        <v/>
      </c>
      <c r="B987" s="58">
        <f>IFERROR(INDEX(Firms!$A$5:$A$1004,MATCH(983,Firms!$R$5:$R$1004,0))&amp;"","")</f>
        <v/>
      </c>
      <c r="C987" s="59">
        <f>IFERROR(IF(INDEX(Firms!$O$5:$O$1004,MATCH(983,Firms!$R$5:$R$1004,0))="","",INDEX(Firms!$O$5:$O$1004,MATCH(983,Firms!$R$5:$R$1004,0))),"")</f>
        <v/>
      </c>
      <c r="D987" s="58">
        <f>IFERROR(INDEX(Firms!$P$5:$P$1004,MATCH(983,Firms!$R$5:$R$1004,0))&amp;"","")</f>
        <v/>
      </c>
      <c r="E987" s="58">
        <f>IFERROR(INDEX(Firms!$C$5:$C$1004,MATCH(983,Firms!$R$5:$R$1004,0))&amp;"","")</f>
        <v/>
      </c>
      <c r="F987" s="57">
        <f>IFERROR(INDEX(Firms!$L$5:$L$1004,MATCH(983,Firms!$R$5:$R$1004,0))&amp;"","")</f>
        <v/>
      </c>
      <c r="G987" s="57">
        <f>IFERROR(INDEX(Firms!$M$5:$M$1004,MATCH(983,Firms!$R$5:$R$1004,0))&amp;"","")</f>
        <v/>
      </c>
      <c r="H987" s="58">
        <f>IFERROR(INDEX(Firms!$Q$5:$Q$1004,MATCH(983,Firms!$R$5:$R$1004,0))&amp;"","")</f>
        <v/>
      </c>
    </row>
    <row r="988">
      <c r="A988" s="57">
        <f>IF(B988="","",984)</f>
        <v/>
      </c>
      <c r="B988" s="58">
        <f>IFERROR(INDEX(Firms!$A$5:$A$1004,MATCH(984,Firms!$R$5:$R$1004,0))&amp;"","")</f>
        <v/>
      </c>
      <c r="C988" s="59">
        <f>IFERROR(IF(INDEX(Firms!$O$5:$O$1004,MATCH(984,Firms!$R$5:$R$1004,0))="","",INDEX(Firms!$O$5:$O$1004,MATCH(984,Firms!$R$5:$R$1004,0))),"")</f>
        <v/>
      </c>
      <c r="D988" s="58">
        <f>IFERROR(INDEX(Firms!$P$5:$P$1004,MATCH(984,Firms!$R$5:$R$1004,0))&amp;"","")</f>
        <v/>
      </c>
      <c r="E988" s="58">
        <f>IFERROR(INDEX(Firms!$C$5:$C$1004,MATCH(984,Firms!$R$5:$R$1004,0))&amp;"","")</f>
        <v/>
      </c>
      <c r="F988" s="57">
        <f>IFERROR(INDEX(Firms!$L$5:$L$1004,MATCH(984,Firms!$R$5:$R$1004,0))&amp;"","")</f>
        <v/>
      </c>
      <c r="G988" s="57">
        <f>IFERROR(INDEX(Firms!$M$5:$M$1004,MATCH(984,Firms!$R$5:$R$1004,0))&amp;"","")</f>
        <v/>
      </c>
      <c r="H988" s="58">
        <f>IFERROR(INDEX(Firms!$Q$5:$Q$1004,MATCH(984,Firms!$R$5:$R$1004,0))&amp;"","")</f>
        <v/>
      </c>
    </row>
    <row r="989">
      <c r="A989" s="57">
        <f>IF(B989="","",985)</f>
        <v/>
      </c>
      <c r="B989" s="58">
        <f>IFERROR(INDEX(Firms!$A$5:$A$1004,MATCH(985,Firms!$R$5:$R$1004,0))&amp;"","")</f>
        <v/>
      </c>
      <c r="C989" s="59">
        <f>IFERROR(IF(INDEX(Firms!$O$5:$O$1004,MATCH(985,Firms!$R$5:$R$1004,0))="","",INDEX(Firms!$O$5:$O$1004,MATCH(985,Firms!$R$5:$R$1004,0))),"")</f>
        <v/>
      </c>
      <c r="D989" s="58">
        <f>IFERROR(INDEX(Firms!$P$5:$P$1004,MATCH(985,Firms!$R$5:$R$1004,0))&amp;"","")</f>
        <v/>
      </c>
      <c r="E989" s="58">
        <f>IFERROR(INDEX(Firms!$C$5:$C$1004,MATCH(985,Firms!$R$5:$R$1004,0))&amp;"","")</f>
        <v/>
      </c>
      <c r="F989" s="57">
        <f>IFERROR(INDEX(Firms!$L$5:$L$1004,MATCH(985,Firms!$R$5:$R$1004,0))&amp;"","")</f>
        <v/>
      </c>
      <c r="G989" s="57">
        <f>IFERROR(INDEX(Firms!$M$5:$M$1004,MATCH(985,Firms!$R$5:$R$1004,0))&amp;"","")</f>
        <v/>
      </c>
      <c r="H989" s="58">
        <f>IFERROR(INDEX(Firms!$Q$5:$Q$1004,MATCH(985,Firms!$R$5:$R$1004,0))&amp;"","")</f>
        <v/>
      </c>
    </row>
    <row r="990">
      <c r="A990" s="57">
        <f>IF(B990="","",986)</f>
        <v/>
      </c>
      <c r="B990" s="58">
        <f>IFERROR(INDEX(Firms!$A$5:$A$1004,MATCH(986,Firms!$R$5:$R$1004,0))&amp;"","")</f>
        <v/>
      </c>
      <c r="C990" s="59">
        <f>IFERROR(IF(INDEX(Firms!$O$5:$O$1004,MATCH(986,Firms!$R$5:$R$1004,0))="","",INDEX(Firms!$O$5:$O$1004,MATCH(986,Firms!$R$5:$R$1004,0))),"")</f>
        <v/>
      </c>
      <c r="D990" s="58">
        <f>IFERROR(INDEX(Firms!$P$5:$P$1004,MATCH(986,Firms!$R$5:$R$1004,0))&amp;"","")</f>
        <v/>
      </c>
      <c r="E990" s="58">
        <f>IFERROR(INDEX(Firms!$C$5:$C$1004,MATCH(986,Firms!$R$5:$R$1004,0))&amp;"","")</f>
        <v/>
      </c>
      <c r="F990" s="57">
        <f>IFERROR(INDEX(Firms!$L$5:$L$1004,MATCH(986,Firms!$R$5:$R$1004,0))&amp;"","")</f>
        <v/>
      </c>
      <c r="G990" s="57">
        <f>IFERROR(INDEX(Firms!$M$5:$M$1004,MATCH(986,Firms!$R$5:$R$1004,0))&amp;"","")</f>
        <v/>
      </c>
      <c r="H990" s="58">
        <f>IFERROR(INDEX(Firms!$Q$5:$Q$1004,MATCH(986,Firms!$R$5:$R$1004,0))&amp;"","")</f>
        <v/>
      </c>
    </row>
    <row r="991">
      <c r="A991" s="57">
        <f>IF(B991="","",987)</f>
        <v/>
      </c>
      <c r="B991" s="58">
        <f>IFERROR(INDEX(Firms!$A$5:$A$1004,MATCH(987,Firms!$R$5:$R$1004,0))&amp;"","")</f>
        <v/>
      </c>
      <c r="C991" s="59">
        <f>IFERROR(IF(INDEX(Firms!$O$5:$O$1004,MATCH(987,Firms!$R$5:$R$1004,0))="","",INDEX(Firms!$O$5:$O$1004,MATCH(987,Firms!$R$5:$R$1004,0))),"")</f>
        <v/>
      </c>
      <c r="D991" s="58">
        <f>IFERROR(INDEX(Firms!$P$5:$P$1004,MATCH(987,Firms!$R$5:$R$1004,0))&amp;"","")</f>
        <v/>
      </c>
      <c r="E991" s="58">
        <f>IFERROR(INDEX(Firms!$C$5:$C$1004,MATCH(987,Firms!$R$5:$R$1004,0))&amp;"","")</f>
        <v/>
      </c>
      <c r="F991" s="57">
        <f>IFERROR(INDEX(Firms!$L$5:$L$1004,MATCH(987,Firms!$R$5:$R$1004,0))&amp;"","")</f>
        <v/>
      </c>
      <c r="G991" s="57">
        <f>IFERROR(INDEX(Firms!$M$5:$M$1004,MATCH(987,Firms!$R$5:$R$1004,0))&amp;"","")</f>
        <v/>
      </c>
      <c r="H991" s="58">
        <f>IFERROR(INDEX(Firms!$Q$5:$Q$1004,MATCH(987,Firms!$R$5:$R$1004,0))&amp;"","")</f>
        <v/>
      </c>
    </row>
    <row r="992">
      <c r="A992" s="57">
        <f>IF(B992="","",988)</f>
        <v/>
      </c>
      <c r="B992" s="58">
        <f>IFERROR(INDEX(Firms!$A$5:$A$1004,MATCH(988,Firms!$R$5:$R$1004,0))&amp;"","")</f>
        <v/>
      </c>
      <c r="C992" s="59">
        <f>IFERROR(IF(INDEX(Firms!$O$5:$O$1004,MATCH(988,Firms!$R$5:$R$1004,0))="","",INDEX(Firms!$O$5:$O$1004,MATCH(988,Firms!$R$5:$R$1004,0))),"")</f>
        <v/>
      </c>
      <c r="D992" s="58">
        <f>IFERROR(INDEX(Firms!$P$5:$P$1004,MATCH(988,Firms!$R$5:$R$1004,0))&amp;"","")</f>
        <v/>
      </c>
      <c r="E992" s="58">
        <f>IFERROR(INDEX(Firms!$C$5:$C$1004,MATCH(988,Firms!$R$5:$R$1004,0))&amp;"","")</f>
        <v/>
      </c>
      <c r="F992" s="57">
        <f>IFERROR(INDEX(Firms!$L$5:$L$1004,MATCH(988,Firms!$R$5:$R$1004,0))&amp;"","")</f>
        <v/>
      </c>
      <c r="G992" s="57">
        <f>IFERROR(INDEX(Firms!$M$5:$M$1004,MATCH(988,Firms!$R$5:$R$1004,0))&amp;"","")</f>
        <v/>
      </c>
      <c r="H992" s="58">
        <f>IFERROR(INDEX(Firms!$Q$5:$Q$1004,MATCH(988,Firms!$R$5:$R$1004,0))&amp;"","")</f>
        <v/>
      </c>
    </row>
    <row r="993">
      <c r="A993" s="57">
        <f>IF(B993="","",989)</f>
        <v/>
      </c>
      <c r="B993" s="58">
        <f>IFERROR(INDEX(Firms!$A$5:$A$1004,MATCH(989,Firms!$R$5:$R$1004,0))&amp;"","")</f>
        <v/>
      </c>
      <c r="C993" s="59">
        <f>IFERROR(IF(INDEX(Firms!$O$5:$O$1004,MATCH(989,Firms!$R$5:$R$1004,0))="","",INDEX(Firms!$O$5:$O$1004,MATCH(989,Firms!$R$5:$R$1004,0))),"")</f>
        <v/>
      </c>
      <c r="D993" s="58">
        <f>IFERROR(INDEX(Firms!$P$5:$P$1004,MATCH(989,Firms!$R$5:$R$1004,0))&amp;"","")</f>
        <v/>
      </c>
      <c r="E993" s="58">
        <f>IFERROR(INDEX(Firms!$C$5:$C$1004,MATCH(989,Firms!$R$5:$R$1004,0))&amp;"","")</f>
        <v/>
      </c>
      <c r="F993" s="57">
        <f>IFERROR(INDEX(Firms!$L$5:$L$1004,MATCH(989,Firms!$R$5:$R$1004,0))&amp;"","")</f>
        <v/>
      </c>
      <c r="G993" s="57">
        <f>IFERROR(INDEX(Firms!$M$5:$M$1004,MATCH(989,Firms!$R$5:$R$1004,0))&amp;"","")</f>
        <v/>
      </c>
      <c r="H993" s="58">
        <f>IFERROR(INDEX(Firms!$Q$5:$Q$1004,MATCH(989,Firms!$R$5:$R$1004,0))&amp;"","")</f>
        <v/>
      </c>
    </row>
    <row r="994">
      <c r="A994" s="57">
        <f>IF(B994="","",990)</f>
        <v/>
      </c>
      <c r="B994" s="58">
        <f>IFERROR(INDEX(Firms!$A$5:$A$1004,MATCH(990,Firms!$R$5:$R$1004,0))&amp;"","")</f>
        <v/>
      </c>
      <c r="C994" s="59">
        <f>IFERROR(IF(INDEX(Firms!$O$5:$O$1004,MATCH(990,Firms!$R$5:$R$1004,0))="","",INDEX(Firms!$O$5:$O$1004,MATCH(990,Firms!$R$5:$R$1004,0))),"")</f>
        <v/>
      </c>
      <c r="D994" s="58">
        <f>IFERROR(INDEX(Firms!$P$5:$P$1004,MATCH(990,Firms!$R$5:$R$1004,0))&amp;"","")</f>
        <v/>
      </c>
      <c r="E994" s="58">
        <f>IFERROR(INDEX(Firms!$C$5:$C$1004,MATCH(990,Firms!$R$5:$R$1004,0))&amp;"","")</f>
        <v/>
      </c>
      <c r="F994" s="57">
        <f>IFERROR(INDEX(Firms!$L$5:$L$1004,MATCH(990,Firms!$R$5:$R$1004,0))&amp;"","")</f>
        <v/>
      </c>
      <c r="G994" s="57">
        <f>IFERROR(INDEX(Firms!$M$5:$M$1004,MATCH(990,Firms!$R$5:$R$1004,0))&amp;"","")</f>
        <v/>
      </c>
      <c r="H994" s="58">
        <f>IFERROR(INDEX(Firms!$Q$5:$Q$1004,MATCH(990,Firms!$R$5:$R$1004,0))&amp;"","")</f>
        <v/>
      </c>
    </row>
    <row r="995">
      <c r="A995" s="57">
        <f>IF(B995="","",991)</f>
        <v/>
      </c>
      <c r="B995" s="58">
        <f>IFERROR(INDEX(Firms!$A$5:$A$1004,MATCH(991,Firms!$R$5:$R$1004,0))&amp;"","")</f>
        <v/>
      </c>
      <c r="C995" s="59">
        <f>IFERROR(IF(INDEX(Firms!$O$5:$O$1004,MATCH(991,Firms!$R$5:$R$1004,0))="","",INDEX(Firms!$O$5:$O$1004,MATCH(991,Firms!$R$5:$R$1004,0))),"")</f>
        <v/>
      </c>
      <c r="D995" s="58">
        <f>IFERROR(INDEX(Firms!$P$5:$P$1004,MATCH(991,Firms!$R$5:$R$1004,0))&amp;"","")</f>
        <v/>
      </c>
      <c r="E995" s="58">
        <f>IFERROR(INDEX(Firms!$C$5:$C$1004,MATCH(991,Firms!$R$5:$R$1004,0))&amp;"","")</f>
        <v/>
      </c>
      <c r="F995" s="57">
        <f>IFERROR(INDEX(Firms!$L$5:$L$1004,MATCH(991,Firms!$R$5:$R$1004,0))&amp;"","")</f>
        <v/>
      </c>
      <c r="G995" s="57">
        <f>IFERROR(INDEX(Firms!$M$5:$M$1004,MATCH(991,Firms!$R$5:$R$1004,0))&amp;"","")</f>
        <v/>
      </c>
      <c r="H995" s="58">
        <f>IFERROR(INDEX(Firms!$Q$5:$Q$1004,MATCH(991,Firms!$R$5:$R$1004,0))&amp;"","")</f>
        <v/>
      </c>
    </row>
    <row r="996">
      <c r="A996" s="57">
        <f>IF(B996="","",992)</f>
        <v/>
      </c>
      <c r="B996" s="58">
        <f>IFERROR(INDEX(Firms!$A$5:$A$1004,MATCH(992,Firms!$R$5:$R$1004,0))&amp;"","")</f>
        <v/>
      </c>
      <c r="C996" s="59">
        <f>IFERROR(IF(INDEX(Firms!$O$5:$O$1004,MATCH(992,Firms!$R$5:$R$1004,0))="","",INDEX(Firms!$O$5:$O$1004,MATCH(992,Firms!$R$5:$R$1004,0))),"")</f>
        <v/>
      </c>
      <c r="D996" s="58">
        <f>IFERROR(INDEX(Firms!$P$5:$P$1004,MATCH(992,Firms!$R$5:$R$1004,0))&amp;"","")</f>
        <v/>
      </c>
      <c r="E996" s="58">
        <f>IFERROR(INDEX(Firms!$C$5:$C$1004,MATCH(992,Firms!$R$5:$R$1004,0))&amp;"","")</f>
        <v/>
      </c>
      <c r="F996" s="57">
        <f>IFERROR(INDEX(Firms!$L$5:$L$1004,MATCH(992,Firms!$R$5:$R$1004,0))&amp;"","")</f>
        <v/>
      </c>
      <c r="G996" s="57">
        <f>IFERROR(INDEX(Firms!$M$5:$M$1004,MATCH(992,Firms!$R$5:$R$1004,0))&amp;"","")</f>
        <v/>
      </c>
      <c r="H996" s="58">
        <f>IFERROR(INDEX(Firms!$Q$5:$Q$1004,MATCH(992,Firms!$R$5:$R$1004,0))&amp;"","")</f>
        <v/>
      </c>
    </row>
    <row r="997">
      <c r="A997" s="57">
        <f>IF(B997="","",993)</f>
        <v/>
      </c>
      <c r="B997" s="58">
        <f>IFERROR(INDEX(Firms!$A$5:$A$1004,MATCH(993,Firms!$R$5:$R$1004,0))&amp;"","")</f>
        <v/>
      </c>
      <c r="C997" s="59">
        <f>IFERROR(IF(INDEX(Firms!$O$5:$O$1004,MATCH(993,Firms!$R$5:$R$1004,0))="","",INDEX(Firms!$O$5:$O$1004,MATCH(993,Firms!$R$5:$R$1004,0))),"")</f>
        <v/>
      </c>
      <c r="D997" s="58">
        <f>IFERROR(INDEX(Firms!$P$5:$P$1004,MATCH(993,Firms!$R$5:$R$1004,0))&amp;"","")</f>
        <v/>
      </c>
      <c r="E997" s="58">
        <f>IFERROR(INDEX(Firms!$C$5:$C$1004,MATCH(993,Firms!$R$5:$R$1004,0))&amp;"","")</f>
        <v/>
      </c>
      <c r="F997" s="57">
        <f>IFERROR(INDEX(Firms!$L$5:$L$1004,MATCH(993,Firms!$R$5:$R$1004,0))&amp;"","")</f>
        <v/>
      </c>
      <c r="G997" s="57">
        <f>IFERROR(INDEX(Firms!$M$5:$M$1004,MATCH(993,Firms!$R$5:$R$1004,0))&amp;"","")</f>
        <v/>
      </c>
      <c r="H997" s="58">
        <f>IFERROR(INDEX(Firms!$Q$5:$Q$1004,MATCH(993,Firms!$R$5:$R$1004,0))&amp;"","")</f>
        <v/>
      </c>
    </row>
    <row r="998">
      <c r="A998" s="57">
        <f>IF(B998="","",994)</f>
        <v/>
      </c>
      <c r="B998" s="58">
        <f>IFERROR(INDEX(Firms!$A$5:$A$1004,MATCH(994,Firms!$R$5:$R$1004,0))&amp;"","")</f>
        <v/>
      </c>
      <c r="C998" s="59">
        <f>IFERROR(IF(INDEX(Firms!$O$5:$O$1004,MATCH(994,Firms!$R$5:$R$1004,0))="","",INDEX(Firms!$O$5:$O$1004,MATCH(994,Firms!$R$5:$R$1004,0))),"")</f>
        <v/>
      </c>
      <c r="D998" s="58">
        <f>IFERROR(INDEX(Firms!$P$5:$P$1004,MATCH(994,Firms!$R$5:$R$1004,0))&amp;"","")</f>
        <v/>
      </c>
      <c r="E998" s="58">
        <f>IFERROR(INDEX(Firms!$C$5:$C$1004,MATCH(994,Firms!$R$5:$R$1004,0))&amp;"","")</f>
        <v/>
      </c>
      <c r="F998" s="57">
        <f>IFERROR(INDEX(Firms!$L$5:$L$1004,MATCH(994,Firms!$R$5:$R$1004,0))&amp;"","")</f>
        <v/>
      </c>
      <c r="G998" s="57">
        <f>IFERROR(INDEX(Firms!$M$5:$M$1004,MATCH(994,Firms!$R$5:$R$1004,0))&amp;"","")</f>
        <v/>
      </c>
      <c r="H998" s="58">
        <f>IFERROR(INDEX(Firms!$Q$5:$Q$1004,MATCH(994,Firms!$R$5:$R$1004,0))&amp;"","")</f>
        <v/>
      </c>
    </row>
    <row r="999">
      <c r="A999" s="57">
        <f>IF(B999="","",995)</f>
        <v/>
      </c>
      <c r="B999" s="58">
        <f>IFERROR(INDEX(Firms!$A$5:$A$1004,MATCH(995,Firms!$R$5:$R$1004,0))&amp;"","")</f>
        <v/>
      </c>
      <c r="C999" s="59">
        <f>IFERROR(IF(INDEX(Firms!$O$5:$O$1004,MATCH(995,Firms!$R$5:$R$1004,0))="","",INDEX(Firms!$O$5:$O$1004,MATCH(995,Firms!$R$5:$R$1004,0))),"")</f>
        <v/>
      </c>
      <c r="D999" s="58">
        <f>IFERROR(INDEX(Firms!$P$5:$P$1004,MATCH(995,Firms!$R$5:$R$1004,0))&amp;"","")</f>
        <v/>
      </c>
      <c r="E999" s="58">
        <f>IFERROR(INDEX(Firms!$C$5:$C$1004,MATCH(995,Firms!$R$5:$R$1004,0))&amp;"","")</f>
        <v/>
      </c>
      <c r="F999" s="57">
        <f>IFERROR(INDEX(Firms!$L$5:$L$1004,MATCH(995,Firms!$R$5:$R$1004,0))&amp;"","")</f>
        <v/>
      </c>
      <c r="G999" s="57">
        <f>IFERROR(INDEX(Firms!$M$5:$M$1004,MATCH(995,Firms!$R$5:$R$1004,0))&amp;"","")</f>
        <v/>
      </c>
      <c r="H999" s="58">
        <f>IFERROR(INDEX(Firms!$Q$5:$Q$1004,MATCH(995,Firms!$R$5:$R$1004,0))&amp;"","")</f>
        <v/>
      </c>
    </row>
    <row r="1000">
      <c r="A1000" s="57">
        <f>IF(B1000="","",996)</f>
        <v/>
      </c>
      <c r="B1000" s="58">
        <f>IFERROR(INDEX(Firms!$A$5:$A$1004,MATCH(996,Firms!$R$5:$R$1004,0))&amp;"","")</f>
        <v/>
      </c>
      <c r="C1000" s="59">
        <f>IFERROR(IF(INDEX(Firms!$O$5:$O$1004,MATCH(996,Firms!$R$5:$R$1004,0))="","",INDEX(Firms!$O$5:$O$1004,MATCH(996,Firms!$R$5:$R$1004,0))),"")</f>
        <v/>
      </c>
      <c r="D1000" s="58">
        <f>IFERROR(INDEX(Firms!$P$5:$P$1004,MATCH(996,Firms!$R$5:$R$1004,0))&amp;"","")</f>
        <v/>
      </c>
      <c r="E1000" s="58">
        <f>IFERROR(INDEX(Firms!$C$5:$C$1004,MATCH(996,Firms!$R$5:$R$1004,0))&amp;"","")</f>
        <v/>
      </c>
      <c r="F1000" s="57">
        <f>IFERROR(INDEX(Firms!$L$5:$L$1004,MATCH(996,Firms!$R$5:$R$1004,0))&amp;"","")</f>
        <v/>
      </c>
      <c r="G1000" s="57">
        <f>IFERROR(INDEX(Firms!$M$5:$M$1004,MATCH(996,Firms!$R$5:$R$1004,0))&amp;"","")</f>
        <v/>
      </c>
      <c r="H1000" s="58">
        <f>IFERROR(INDEX(Firms!$Q$5:$Q$1004,MATCH(996,Firms!$R$5:$R$1004,0))&amp;"","")</f>
        <v/>
      </c>
    </row>
    <row r="1001">
      <c r="A1001" s="57">
        <f>IF(B1001="","",997)</f>
        <v/>
      </c>
      <c r="B1001" s="58">
        <f>IFERROR(INDEX(Firms!$A$5:$A$1004,MATCH(997,Firms!$R$5:$R$1004,0))&amp;"","")</f>
        <v/>
      </c>
      <c r="C1001" s="59">
        <f>IFERROR(IF(INDEX(Firms!$O$5:$O$1004,MATCH(997,Firms!$R$5:$R$1004,0))="","",INDEX(Firms!$O$5:$O$1004,MATCH(997,Firms!$R$5:$R$1004,0))),"")</f>
        <v/>
      </c>
      <c r="D1001" s="58">
        <f>IFERROR(INDEX(Firms!$P$5:$P$1004,MATCH(997,Firms!$R$5:$R$1004,0))&amp;"","")</f>
        <v/>
      </c>
      <c r="E1001" s="58">
        <f>IFERROR(INDEX(Firms!$C$5:$C$1004,MATCH(997,Firms!$R$5:$R$1004,0))&amp;"","")</f>
        <v/>
      </c>
      <c r="F1001" s="57">
        <f>IFERROR(INDEX(Firms!$L$5:$L$1004,MATCH(997,Firms!$R$5:$R$1004,0))&amp;"","")</f>
        <v/>
      </c>
      <c r="G1001" s="57">
        <f>IFERROR(INDEX(Firms!$M$5:$M$1004,MATCH(997,Firms!$R$5:$R$1004,0))&amp;"","")</f>
        <v/>
      </c>
      <c r="H1001" s="58">
        <f>IFERROR(INDEX(Firms!$Q$5:$Q$1004,MATCH(997,Firms!$R$5:$R$1004,0))&amp;"","")</f>
        <v/>
      </c>
    </row>
    <row r="1002">
      <c r="A1002" s="57">
        <f>IF(B1002="","",998)</f>
        <v/>
      </c>
      <c r="B1002" s="58">
        <f>IFERROR(INDEX(Firms!$A$5:$A$1004,MATCH(998,Firms!$R$5:$R$1004,0))&amp;"","")</f>
        <v/>
      </c>
      <c r="C1002" s="59">
        <f>IFERROR(IF(INDEX(Firms!$O$5:$O$1004,MATCH(998,Firms!$R$5:$R$1004,0))="","",INDEX(Firms!$O$5:$O$1004,MATCH(998,Firms!$R$5:$R$1004,0))),"")</f>
        <v/>
      </c>
      <c r="D1002" s="58">
        <f>IFERROR(INDEX(Firms!$P$5:$P$1004,MATCH(998,Firms!$R$5:$R$1004,0))&amp;"","")</f>
        <v/>
      </c>
      <c r="E1002" s="58">
        <f>IFERROR(INDEX(Firms!$C$5:$C$1004,MATCH(998,Firms!$R$5:$R$1004,0))&amp;"","")</f>
        <v/>
      </c>
      <c r="F1002" s="57">
        <f>IFERROR(INDEX(Firms!$L$5:$L$1004,MATCH(998,Firms!$R$5:$R$1004,0))&amp;"","")</f>
        <v/>
      </c>
      <c r="G1002" s="57">
        <f>IFERROR(INDEX(Firms!$M$5:$M$1004,MATCH(998,Firms!$R$5:$R$1004,0))&amp;"","")</f>
        <v/>
      </c>
      <c r="H1002" s="58">
        <f>IFERROR(INDEX(Firms!$Q$5:$Q$1004,MATCH(998,Firms!$R$5:$R$1004,0))&amp;"","")</f>
        <v/>
      </c>
    </row>
    <row r="1003">
      <c r="A1003" s="57">
        <f>IF(B1003="","",999)</f>
        <v/>
      </c>
      <c r="B1003" s="58">
        <f>IFERROR(INDEX(Firms!$A$5:$A$1004,MATCH(999,Firms!$R$5:$R$1004,0))&amp;"","")</f>
        <v/>
      </c>
      <c r="C1003" s="59">
        <f>IFERROR(IF(INDEX(Firms!$O$5:$O$1004,MATCH(999,Firms!$R$5:$R$1004,0))="","",INDEX(Firms!$O$5:$O$1004,MATCH(999,Firms!$R$5:$R$1004,0))),"")</f>
        <v/>
      </c>
      <c r="D1003" s="58">
        <f>IFERROR(INDEX(Firms!$P$5:$P$1004,MATCH(999,Firms!$R$5:$R$1004,0))&amp;"","")</f>
        <v/>
      </c>
      <c r="E1003" s="58">
        <f>IFERROR(INDEX(Firms!$C$5:$C$1004,MATCH(999,Firms!$R$5:$R$1004,0))&amp;"","")</f>
        <v/>
      </c>
      <c r="F1003" s="57">
        <f>IFERROR(INDEX(Firms!$L$5:$L$1004,MATCH(999,Firms!$R$5:$R$1004,0))&amp;"","")</f>
        <v/>
      </c>
      <c r="G1003" s="57">
        <f>IFERROR(INDEX(Firms!$M$5:$M$1004,MATCH(999,Firms!$R$5:$R$1004,0))&amp;"","")</f>
        <v/>
      </c>
      <c r="H1003" s="58">
        <f>IFERROR(INDEX(Firms!$Q$5:$Q$1004,MATCH(999,Firms!$R$5:$R$1004,0))&amp;"","")</f>
        <v/>
      </c>
    </row>
    <row r="1004">
      <c r="A1004" s="57">
        <f>IF(B1004="","",1000)</f>
        <v/>
      </c>
      <c r="B1004" s="58">
        <f>IFERROR(INDEX(Firms!$A$5:$A$1004,MATCH(1000,Firms!$R$5:$R$1004,0))&amp;"","")</f>
        <v/>
      </c>
      <c r="C1004" s="59">
        <f>IFERROR(IF(INDEX(Firms!$O$5:$O$1004,MATCH(1000,Firms!$R$5:$R$1004,0))="","",INDEX(Firms!$O$5:$O$1004,MATCH(1000,Firms!$R$5:$R$1004,0))),"")</f>
        <v/>
      </c>
      <c r="D1004" s="58">
        <f>IFERROR(INDEX(Firms!$P$5:$P$1004,MATCH(1000,Firms!$R$5:$R$1004,0))&amp;"","")</f>
        <v/>
      </c>
      <c r="E1004" s="58">
        <f>IFERROR(INDEX(Firms!$C$5:$C$1004,MATCH(1000,Firms!$R$5:$R$1004,0))&amp;"","")</f>
        <v/>
      </c>
      <c r="F1004" s="57">
        <f>IFERROR(INDEX(Firms!$L$5:$L$1004,MATCH(1000,Firms!$R$5:$R$1004,0))&amp;"","")</f>
        <v/>
      </c>
      <c r="G1004" s="57">
        <f>IFERROR(INDEX(Firms!$M$5:$M$1004,MATCH(1000,Firms!$R$5:$R$1004,0))&amp;"","")</f>
        <v/>
      </c>
      <c r="H1004" s="58">
        <f>IFERROR(INDEX(Firms!$Q$5:$Q$1004,MATCH(1000,Firms!$R$5:$R$1004,0))&amp;"","")</f>
        <v/>
      </c>
    </row>
  </sheetData>
  <conditionalFormatting sqref="A5:H1004">
    <cfRule type="expression" priority="1" dxfId="8">
      <formula>$B5&lt;&gt;""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F7D58B"/>
    <outlinePr summaryBelow="1" summaryRight="1"/>
    <pageSetUpPr fitToPage="1"/>
  </sheetPr>
  <dimension ref="A1:M1024"/>
  <sheetViews>
    <sheetView showGridLines="0" zoomScale="100" workbookViewId="0">
      <pane xSplit="1" ySplit="24" topLeftCell="B2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6" customWidth="1" min="14" max="14"/>
    <col width="6" customWidth="1" min="15" max="15"/>
  </cols>
  <sheetData>
    <row r="1" ht="34" customHeight="1">
      <c r="A1" s="47" t="inlineStr">
        <is>
          <t>Summary — Reporting Snapshot</t>
        </is>
      </c>
    </row>
    <row r="2" ht="22" customHeight="1">
      <c r="A2" s="48" t="inlineStr">
        <is>
          <t>Fully automatic. Updates whenever the Firms or AFA Rates tabs change.</t>
        </is>
      </c>
    </row>
    <row r="4">
      <c r="A4" s="3" t="inlineStr">
        <is>
          <t>KEY COUNTS</t>
        </is>
      </c>
      <c r="D4" s="3" t="inlineStr">
        <is>
          <t>FIRMS BY AFA TYPE</t>
        </is>
      </c>
      <c r="I4" s="3" t="inlineStr">
        <is>
          <t>CYBER STATUS</t>
        </is>
      </c>
    </row>
    <row r="5" ht="24" customHeight="1">
      <c r="A5" s="6" t="inlineStr">
        <is>
          <t>Total Firms</t>
        </is>
      </c>
      <c r="B5" s="60">
        <f>COUNTA(Firms!$A$5:$A$1004)</f>
        <v/>
      </c>
      <c r="D5" s="49" t="inlineStr">
        <is>
          <t>AFA Type</t>
        </is>
      </c>
      <c r="E5" s="49" t="n"/>
      <c r="F5" s="49" t="inlineStr">
        <is>
          <t># Firms</t>
        </is>
      </c>
      <c r="G5" s="49" t="inlineStr">
        <is>
          <t># Active</t>
        </is>
      </c>
      <c r="I5" s="49" t="inlineStr">
        <is>
          <t>Cyber Status</t>
        </is>
      </c>
      <c r="J5" s="49" t="n"/>
      <c r="K5" s="49" t="inlineStr">
        <is>
          <t># Firms</t>
        </is>
      </c>
    </row>
    <row r="6" ht="24" customHeight="1">
      <c r="A6" s="61" t="inlineStr">
        <is>
          <t>Active Firms</t>
        </is>
      </c>
      <c r="B6" s="62">
        <f>COUNTIFS(Firms!$A$5:$A$1004,"&lt;&gt;",Firms!$B$5:$B$1004,"Active")</f>
        <v/>
      </c>
      <c r="D6" s="63">
        <f>IF(INDEX(AFA_Types_All,1)="","",INDEX(AFA_Types_All,1))</f>
        <v/>
      </c>
      <c r="F6" s="57">
        <f>IF(D6="","",COUNTIFS('AFA Rates'!$B$5:$B$1004,D6,'AFA Rates'!$A$5:$A$1004,"&lt;&gt;"))</f>
        <v/>
      </c>
      <c r="G6" s="57">
        <f>IF(D6="","",COUNTIFS('AFA Rates'!$B$5:$B$1004,D6,'AFA Rates'!$M$5:$M$1004,"Active"))</f>
        <v/>
      </c>
      <c r="I6" s="64">
        <f>IF(INDEX(Lists!$C$5:$C$19,1)="","",INDEX(Lists!$C$5:$C$19,1))</f>
        <v/>
      </c>
      <c r="K6" s="57">
        <f>IF(I6="","",COUNTIFS(Firms!$L$5:$L$1004,I6,Firms!$A$5:$A$1004,"&lt;&gt;"))</f>
        <v/>
      </c>
    </row>
    <row r="7" ht="24" customHeight="1">
      <c r="A7" s="65" t="inlineStr">
        <is>
          <t>Paused (Do Not Use)</t>
        </is>
      </c>
      <c r="B7" s="66">
        <f>COUNTIFS(Firms!$A$5:$A$1004,"&lt;&gt;",Firms!$B$5:$B$1004,"Paused")</f>
        <v/>
      </c>
      <c r="D7" s="63">
        <f>IF(INDEX(AFA_Types_All,2)="","",INDEX(AFA_Types_All,2))</f>
        <v/>
      </c>
      <c r="F7" s="57">
        <f>IF(D7="","",COUNTIFS('AFA Rates'!$B$5:$B$1004,D7,'AFA Rates'!$A$5:$A$1004,"&lt;&gt;"))</f>
        <v/>
      </c>
      <c r="G7" s="57">
        <f>IF(D7="","",COUNTIFS('AFA Rates'!$B$5:$B$1004,D7,'AFA Rates'!$M$5:$M$1004,"Active"))</f>
        <v/>
      </c>
      <c r="I7" s="64">
        <f>IF(INDEX(Lists!$C$5:$C$19,2)="","",INDEX(Lists!$C$5:$C$19,2))</f>
        <v/>
      </c>
      <c r="K7" s="57">
        <f>IF(I7="","",COUNTIFS(Firms!$L$5:$L$1004,I7,Firms!$A$5:$A$1004,"&lt;&gt;"))</f>
        <v/>
      </c>
    </row>
    <row r="8" ht="24" customHeight="1">
      <c r="A8" s="67" t="inlineStr">
        <is>
          <t>Firms with an AFA</t>
        </is>
      </c>
      <c r="B8" s="68">
        <f>COUNTIF(Firms!$M$5:$M$1004,"Yes")</f>
        <v/>
      </c>
      <c r="D8" s="63">
        <f>IF(INDEX(AFA_Types_All,3)="","",INDEX(AFA_Types_All,3))</f>
        <v/>
      </c>
      <c r="F8" s="57">
        <f>IF(D8="","",COUNTIFS('AFA Rates'!$B$5:$B$1004,D8,'AFA Rates'!$A$5:$A$1004,"&lt;&gt;"))</f>
        <v/>
      </c>
      <c r="G8" s="57">
        <f>IF(D8="","",COUNTIFS('AFA Rates'!$B$5:$B$1004,D8,'AFA Rates'!$M$5:$M$1004,"Active"))</f>
        <v/>
      </c>
      <c r="I8" s="64">
        <f>IF(INDEX(Lists!$C$5:$C$19,3)="","",INDEX(Lists!$C$5:$C$19,3))</f>
        <v/>
      </c>
      <c r="K8" s="57">
        <f>IF(I8="","",COUNTIFS(Firms!$L$5:$L$1004,I8,Firms!$A$5:$A$1004,"&lt;&gt;"))</f>
        <v/>
      </c>
    </row>
    <row r="9" ht="24" customHeight="1">
      <c r="A9" s="67" t="inlineStr">
        <is>
          <t>Active Firms with an AFA</t>
        </is>
      </c>
      <c r="B9" s="68">
        <f>COUNTIFS(Firms!$M$5:$M$1004,"Yes",Firms!$B$5:$B$1004,"Active")</f>
        <v/>
      </c>
      <c r="D9" s="63">
        <f>IF(INDEX(AFA_Types_All,4)="","",INDEX(AFA_Types_All,4))</f>
        <v/>
      </c>
      <c r="F9" s="57">
        <f>IF(D9="","",COUNTIFS('AFA Rates'!$B$5:$B$1004,D9,'AFA Rates'!$A$5:$A$1004,"&lt;&gt;"))</f>
        <v/>
      </c>
      <c r="G9" s="57">
        <f>IF(D9="","",COUNTIFS('AFA Rates'!$B$5:$B$1004,D9,'AFA Rates'!$M$5:$M$1004,"Active"))</f>
        <v/>
      </c>
      <c r="I9" s="64">
        <f>IF(INDEX(Lists!$C$5:$C$19,4)="","",INDEX(Lists!$C$5:$C$19,4))</f>
        <v/>
      </c>
      <c r="K9" s="57">
        <f>IF(I9="","",COUNTIFS(Firms!$L$5:$L$1004,I9,Firms!$A$5:$A$1004,"&lt;&gt;"))</f>
        <v/>
      </c>
    </row>
    <row r="10" ht="24" customHeight="1">
      <c r="A10" s="69" t="inlineStr">
        <is>
          <t>Firms without an AFA</t>
        </is>
      </c>
      <c r="B10" s="70">
        <f>COUNTIF(Firms!$M$5:$M$1004,"No")</f>
        <v/>
      </c>
      <c r="D10" s="63">
        <f>IF(INDEX(AFA_Types_All,5)="","",INDEX(AFA_Types_All,5))</f>
        <v/>
      </c>
      <c r="F10" s="57">
        <f>IF(D10="","",COUNTIFS('AFA Rates'!$B$5:$B$1004,D10,'AFA Rates'!$A$5:$A$1004,"&lt;&gt;"))</f>
        <v/>
      </c>
      <c r="G10" s="57">
        <f>IF(D10="","",COUNTIFS('AFA Rates'!$B$5:$B$1004,D10,'AFA Rates'!$M$5:$M$1004,"Active"))</f>
        <v/>
      </c>
      <c r="I10" s="64">
        <f>IF(INDEX(Lists!$C$5:$C$19,5)="","",INDEX(Lists!$C$5:$C$19,5))</f>
        <v/>
      </c>
      <c r="K10" s="57">
        <f>IF(I10="","",COUNTIFS(Firms!$L$5:$L$1004,I10,Firms!$A$5:$A$1004,"&lt;&gt;"))</f>
        <v/>
      </c>
    </row>
    <row r="11">
      <c r="D11" s="63">
        <f>IF(INDEX(AFA_Types_All,6)="","",INDEX(AFA_Types_All,6))</f>
        <v/>
      </c>
      <c r="F11" s="57">
        <f>IF(D11="","",COUNTIFS('AFA Rates'!$B$5:$B$1004,D11,'AFA Rates'!$A$5:$A$1004,"&lt;&gt;"))</f>
        <v/>
      </c>
      <c r="G11" s="57">
        <f>IF(D11="","",COUNTIFS('AFA Rates'!$B$5:$B$1004,D11,'AFA Rates'!$M$5:$M$1004,"Active"))</f>
        <v/>
      </c>
      <c r="I11" s="64">
        <f>IF(INDEX(Lists!$C$5:$C$19,6)="","",INDEX(Lists!$C$5:$C$19,6))</f>
        <v/>
      </c>
      <c r="K11" s="57">
        <f>IF(I11="","",COUNTIFS(Firms!$L$5:$L$1004,I11,Firms!$A$5:$A$1004,"&lt;&gt;"))</f>
        <v/>
      </c>
    </row>
    <row r="12">
      <c r="D12" s="63">
        <f>IF(INDEX(AFA_Types_All,7)="","",INDEX(AFA_Types_All,7))</f>
        <v/>
      </c>
      <c r="F12" s="57">
        <f>IF(D12="","",COUNTIFS('AFA Rates'!$B$5:$B$1004,D12,'AFA Rates'!$A$5:$A$1004,"&lt;&gt;"))</f>
        <v/>
      </c>
      <c r="G12" s="57">
        <f>IF(D12="","",COUNTIFS('AFA Rates'!$B$5:$B$1004,D12,'AFA Rates'!$M$5:$M$1004,"Active"))</f>
        <v/>
      </c>
      <c r="I12" s="64">
        <f>IF(INDEX(Lists!$C$5:$C$19,7)="","",INDEX(Lists!$C$5:$C$19,7))</f>
        <v/>
      </c>
      <c r="K12" s="57">
        <f>IF(I12="","",COUNTIFS(Firms!$L$5:$L$1004,I12,Firms!$A$5:$A$1004,"&lt;&gt;"))</f>
        <v/>
      </c>
    </row>
    <row r="13">
      <c r="D13" s="63">
        <f>IF(INDEX(AFA_Types_All,8)="","",INDEX(AFA_Types_All,8))</f>
        <v/>
      </c>
      <c r="F13" s="57">
        <f>IF(D13="","",COUNTIFS('AFA Rates'!$B$5:$B$1004,D13,'AFA Rates'!$A$5:$A$1004,"&lt;&gt;"))</f>
        <v/>
      </c>
      <c r="G13" s="57">
        <f>IF(D13="","",COUNTIFS('AFA Rates'!$B$5:$B$1004,D13,'AFA Rates'!$M$5:$M$1004,"Active"))</f>
        <v/>
      </c>
      <c r="I13" s="64">
        <f>IF(INDEX(Lists!$C$5:$C$19,8)="","",INDEX(Lists!$C$5:$C$19,8))</f>
        <v/>
      </c>
      <c r="K13" s="57">
        <f>IF(I13="","",COUNTIFS(Firms!$L$5:$L$1004,I13,Firms!$A$5:$A$1004,"&lt;&gt;"))</f>
        <v/>
      </c>
    </row>
    <row r="14">
      <c r="D14" s="63">
        <f>IF(INDEX(AFA_Types_All,9)="","",INDEX(AFA_Types_All,9))</f>
        <v/>
      </c>
      <c r="F14" s="57">
        <f>IF(D14="","",COUNTIFS('AFA Rates'!$B$5:$B$1004,D14,'AFA Rates'!$A$5:$A$1004,"&lt;&gt;"))</f>
        <v/>
      </c>
      <c r="G14" s="57">
        <f>IF(D14="","",COUNTIFS('AFA Rates'!$B$5:$B$1004,D14,'AFA Rates'!$M$5:$M$1004,"Active"))</f>
        <v/>
      </c>
      <c r="I14" s="71" t="inlineStr">
        <is>
          <t>Not entered</t>
        </is>
      </c>
      <c r="K14" s="57">
        <f>COUNTIFS(Firms!$A$5:$A$1004,"&lt;&gt;",Firms!$L$5:$L$1004,"")</f>
        <v/>
      </c>
    </row>
    <row r="15">
      <c r="D15" s="63">
        <f>IF(INDEX(AFA_Types_All,10)="","",INDEX(AFA_Types_All,10))</f>
        <v/>
      </c>
      <c r="F15" s="57">
        <f>IF(D15="","",COUNTIFS('AFA Rates'!$B$5:$B$1004,D15,'AFA Rates'!$A$5:$A$1004,"&lt;&gt;"))</f>
        <v/>
      </c>
      <c r="G15" s="57">
        <f>IF(D15="","",COUNTIFS('AFA Rates'!$B$5:$B$1004,D15,'AFA Rates'!$M$5:$M$1004,"Active"))</f>
        <v/>
      </c>
    </row>
    <row r="16">
      <c r="D16" s="63">
        <f>IF(INDEX(AFA_Types_All,11)="","",INDEX(AFA_Types_All,11))</f>
        <v/>
      </c>
      <c r="F16" s="57">
        <f>IF(D16="","",COUNTIFS('AFA Rates'!$B$5:$B$1004,D16,'AFA Rates'!$A$5:$A$1004,"&lt;&gt;"))</f>
        <v/>
      </c>
      <c r="G16" s="57">
        <f>IF(D16="","",COUNTIFS('AFA Rates'!$B$5:$B$1004,D16,'AFA Rates'!$M$5:$M$1004,"Active"))</f>
        <v/>
      </c>
    </row>
    <row r="17">
      <c r="D17" s="63">
        <f>IF(INDEX(AFA_Types_All,12)="","",INDEX(AFA_Types_All,12))</f>
        <v/>
      </c>
      <c r="F17" s="57">
        <f>IF(D17="","",COUNTIFS('AFA Rates'!$B$5:$B$1004,D17,'AFA Rates'!$A$5:$A$1004,"&lt;&gt;"))</f>
        <v/>
      </c>
      <c r="G17" s="57">
        <f>IF(D17="","",COUNTIFS('AFA Rates'!$B$5:$B$1004,D17,'AFA Rates'!$M$5:$M$1004,"Active"))</f>
        <v/>
      </c>
    </row>
    <row r="18">
      <c r="D18" s="63">
        <f>IF(INDEX(AFA_Types_All,13)="","",INDEX(AFA_Types_All,13))</f>
        <v/>
      </c>
      <c r="F18" s="57">
        <f>IF(D18="","",COUNTIFS('AFA Rates'!$B$5:$B$1004,D18,'AFA Rates'!$A$5:$A$1004,"&lt;&gt;"))</f>
        <v/>
      </c>
      <c r="G18" s="57">
        <f>IF(D18="","",COUNTIFS('AFA Rates'!$B$5:$B$1004,D18,'AFA Rates'!$M$5:$M$1004,"Active"))</f>
        <v/>
      </c>
    </row>
    <row r="19">
      <c r="D19" s="63">
        <f>IF(INDEX(AFA_Types_All,14)="","",INDEX(AFA_Types_All,14))</f>
        <v/>
      </c>
      <c r="F19" s="57">
        <f>IF(D19="","",COUNTIFS('AFA Rates'!$B$5:$B$1004,D19,'AFA Rates'!$A$5:$A$1004,"&lt;&gt;"))</f>
        <v/>
      </c>
      <c r="G19" s="57">
        <f>IF(D19="","",COUNTIFS('AFA Rates'!$B$5:$B$1004,D19,'AFA Rates'!$M$5:$M$1004,"Active"))</f>
        <v/>
      </c>
    </row>
    <row r="20">
      <c r="D20" s="63">
        <f>IF(INDEX(AFA_Types_All,15)="","",INDEX(AFA_Types_All,15))</f>
        <v/>
      </c>
      <c r="F20" s="57">
        <f>IF(D20="","",COUNTIFS('AFA Rates'!$B$5:$B$1004,D20,'AFA Rates'!$A$5:$A$1004,"&lt;&gt;"))</f>
        <v/>
      </c>
      <c r="G20" s="57">
        <f>IF(D20="","",COUNTIFS('AFA Rates'!$B$5:$B$1004,D20,'AFA Rates'!$M$5:$M$1004,"Active"))</f>
        <v/>
      </c>
    </row>
    <row r="22">
      <c r="A22" s="17">
        <f>"Report as of "&amp;TEXT(TODAY(),"mmmm d, yyyy")</f>
        <v/>
      </c>
    </row>
    <row r="23">
      <c r="A23" s="3" t="inlineStr">
        <is>
          <t>FIRMS WITH AFAs  (✓ = AFA on file for that type)</t>
        </is>
      </c>
    </row>
    <row r="24" ht="40" customHeight="1">
      <c r="A24" s="72" t="inlineStr">
        <is>
          <t>Firm Name</t>
        </is>
      </c>
      <c r="B24" s="72" t="inlineStr">
        <is>
          <t>Status</t>
        </is>
      </c>
      <c r="C24" s="72" t="inlineStr">
        <is>
          <t># AFA Types</t>
        </is>
      </c>
      <c r="D24" s="72">
        <f>IF(INDEX(AFA_Types_All,1)="","",INDEX(AFA_Types_All,1))</f>
        <v/>
      </c>
      <c r="E24" s="72">
        <f>IF(INDEX(AFA_Types_All,2)="","",INDEX(AFA_Types_All,2))</f>
        <v/>
      </c>
      <c r="F24" s="72">
        <f>IF(INDEX(AFA_Types_All,3)="","",INDEX(AFA_Types_All,3))</f>
        <v/>
      </c>
      <c r="G24" s="72">
        <f>IF(INDEX(AFA_Types_All,4)="","",INDEX(AFA_Types_All,4))</f>
        <v/>
      </c>
      <c r="H24" s="72">
        <f>IF(INDEX(AFA_Types_All,5)="","",INDEX(AFA_Types_All,5))</f>
        <v/>
      </c>
      <c r="I24" s="72">
        <f>IF(INDEX(AFA_Types_All,6)="","",INDEX(AFA_Types_All,6))</f>
        <v/>
      </c>
      <c r="J24" s="72">
        <f>IF(INDEX(AFA_Types_All,7)="","",INDEX(AFA_Types_All,7))</f>
        <v/>
      </c>
      <c r="K24" s="72">
        <f>IF(INDEX(AFA_Types_All,8)="","",INDEX(AFA_Types_All,8))</f>
        <v/>
      </c>
      <c r="L24" s="72">
        <f>IF(INDEX(AFA_Types_All,9)="","",INDEX(AFA_Types_All,9))</f>
        <v/>
      </c>
      <c r="M24" s="72">
        <f>IF(INDEX(AFA_Types_All,10)="","",INDEX(AFA_Types_All,10))</f>
        <v/>
      </c>
    </row>
    <row r="25">
      <c r="A25" s="63">
        <f>IFERROR(INDEX(Firms!$A$5:$A$1004,MATCH(1,Firms!$S$5:$S$1004,0)),"")</f>
        <v/>
      </c>
      <c r="B25" s="57">
        <f>IF($A25="","",INDEX(Firms!$B$5:$B$1004,MATCH(1,Firms!$S$5:$S$1004,0)))</f>
        <v/>
      </c>
      <c r="C25" s="57">
        <f>IF($A25="","",COUNTIF('AFA Rates'!$A$5:$A$1004,$A25))</f>
        <v/>
      </c>
      <c r="D25" s="57">
        <f>IF(OR($A25="",D$24=""),"",IF(COUNTIFS('AFA Rates'!$A$5:$A$1004,$A25,'AFA Rates'!$B$5:$B$1004,D$24)&gt;0,"✓",""))</f>
        <v/>
      </c>
      <c r="E25" s="57">
        <f>IF(OR($A25="",E$24=""),"",IF(COUNTIFS('AFA Rates'!$A$5:$A$1004,$A25,'AFA Rates'!$B$5:$B$1004,E$24)&gt;0,"✓",""))</f>
        <v/>
      </c>
      <c r="F25" s="57">
        <f>IF(OR($A25="",F$24=""),"",IF(COUNTIFS('AFA Rates'!$A$5:$A$1004,$A25,'AFA Rates'!$B$5:$B$1004,F$24)&gt;0,"✓",""))</f>
        <v/>
      </c>
      <c r="G25" s="57">
        <f>IF(OR($A25="",G$24=""),"",IF(COUNTIFS('AFA Rates'!$A$5:$A$1004,$A25,'AFA Rates'!$B$5:$B$1004,G$24)&gt;0,"✓",""))</f>
        <v/>
      </c>
      <c r="H25" s="57">
        <f>IF(OR($A25="",H$24=""),"",IF(COUNTIFS('AFA Rates'!$A$5:$A$1004,$A25,'AFA Rates'!$B$5:$B$1004,H$24)&gt;0,"✓",""))</f>
        <v/>
      </c>
      <c r="I25" s="57">
        <f>IF(OR($A25="",I$24=""),"",IF(COUNTIFS('AFA Rates'!$A$5:$A$1004,$A25,'AFA Rates'!$B$5:$B$1004,I$24)&gt;0,"✓",""))</f>
        <v/>
      </c>
      <c r="J25" s="57">
        <f>IF(OR($A25="",J$24=""),"",IF(COUNTIFS('AFA Rates'!$A$5:$A$1004,$A25,'AFA Rates'!$B$5:$B$1004,J$24)&gt;0,"✓",""))</f>
        <v/>
      </c>
      <c r="K25" s="57">
        <f>IF(OR($A25="",K$24=""),"",IF(COUNTIFS('AFA Rates'!$A$5:$A$1004,$A25,'AFA Rates'!$B$5:$B$1004,K$24)&gt;0,"✓",""))</f>
        <v/>
      </c>
      <c r="L25" s="57">
        <f>IF(OR($A25="",L$24=""),"",IF(COUNTIFS('AFA Rates'!$A$5:$A$1004,$A25,'AFA Rates'!$B$5:$B$1004,L$24)&gt;0,"✓",""))</f>
        <v/>
      </c>
      <c r="M25" s="57">
        <f>IF(OR($A25="",M$24=""),"",IF(COUNTIFS('AFA Rates'!$A$5:$A$1004,$A25,'AFA Rates'!$B$5:$B$1004,M$24)&gt;0,"✓",""))</f>
        <v/>
      </c>
    </row>
    <row r="26">
      <c r="A26" s="63">
        <f>IFERROR(INDEX(Firms!$A$5:$A$1004,MATCH(2,Firms!$S$5:$S$1004,0)),"")</f>
        <v/>
      </c>
      <c r="B26" s="57">
        <f>IF($A26="","",INDEX(Firms!$B$5:$B$1004,MATCH(2,Firms!$S$5:$S$1004,0)))</f>
        <v/>
      </c>
      <c r="C26" s="57">
        <f>IF($A26="","",COUNTIF('AFA Rates'!$A$5:$A$1004,$A26))</f>
        <v/>
      </c>
      <c r="D26" s="57">
        <f>IF(OR($A26="",D$24=""),"",IF(COUNTIFS('AFA Rates'!$A$5:$A$1004,$A26,'AFA Rates'!$B$5:$B$1004,D$24)&gt;0,"✓",""))</f>
        <v/>
      </c>
      <c r="E26" s="57">
        <f>IF(OR($A26="",E$24=""),"",IF(COUNTIFS('AFA Rates'!$A$5:$A$1004,$A26,'AFA Rates'!$B$5:$B$1004,E$24)&gt;0,"✓",""))</f>
        <v/>
      </c>
      <c r="F26" s="57">
        <f>IF(OR($A26="",F$24=""),"",IF(COUNTIFS('AFA Rates'!$A$5:$A$1004,$A26,'AFA Rates'!$B$5:$B$1004,F$24)&gt;0,"✓",""))</f>
        <v/>
      </c>
      <c r="G26" s="57">
        <f>IF(OR($A26="",G$24=""),"",IF(COUNTIFS('AFA Rates'!$A$5:$A$1004,$A26,'AFA Rates'!$B$5:$B$1004,G$24)&gt;0,"✓",""))</f>
        <v/>
      </c>
      <c r="H26" s="57">
        <f>IF(OR($A26="",H$24=""),"",IF(COUNTIFS('AFA Rates'!$A$5:$A$1004,$A26,'AFA Rates'!$B$5:$B$1004,H$24)&gt;0,"✓",""))</f>
        <v/>
      </c>
      <c r="I26" s="57">
        <f>IF(OR($A26="",I$24=""),"",IF(COUNTIFS('AFA Rates'!$A$5:$A$1004,$A26,'AFA Rates'!$B$5:$B$1004,I$24)&gt;0,"✓",""))</f>
        <v/>
      </c>
      <c r="J26" s="57">
        <f>IF(OR($A26="",J$24=""),"",IF(COUNTIFS('AFA Rates'!$A$5:$A$1004,$A26,'AFA Rates'!$B$5:$B$1004,J$24)&gt;0,"✓",""))</f>
        <v/>
      </c>
      <c r="K26" s="57">
        <f>IF(OR($A26="",K$24=""),"",IF(COUNTIFS('AFA Rates'!$A$5:$A$1004,$A26,'AFA Rates'!$B$5:$B$1004,K$24)&gt;0,"✓",""))</f>
        <v/>
      </c>
      <c r="L26" s="57">
        <f>IF(OR($A26="",L$24=""),"",IF(COUNTIFS('AFA Rates'!$A$5:$A$1004,$A26,'AFA Rates'!$B$5:$B$1004,L$24)&gt;0,"✓",""))</f>
        <v/>
      </c>
      <c r="M26" s="57">
        <f>IF(OR($A26="",M$24=""),"",IF(COUNTIFS('AFA Rates'!$A$5:$A$1004,$A26,'AFA Rates'!$B$5:$B$1004,M$24)&gt;0,"✓",""))</f>
        <v/>
      </c>
    </row>
    <row r="27">
      <c r="A27" s="63">
        <f>IFERROR(INDEX(Firms!$A$5:$A$1004,MATCH(3,Firms!$S$5:$S$1004,0)),"")</f>
        <v/>
      </c>
      <c r="B27" s="57">
        <f>IF($A27="","",INDEX(Firms!$B$5:$B$1004,MATCH(3,Firms!$S$5:$S$1004,0)))</f>
        <v/>
      </c>
      <c r="C27" s="57">
        <f>IF($A27="","",COUNTIF('AFA Rates'!$A$5:$A$1004,$A27))</f>
        <v/>
      </c>
      <c r="D27" s="57">
        <f>IF(OR($A27="",D$24=""),"",IF(COUNTIFS('AFA Rates'!$A$5:$A$1004,$A27,'AFA Rates'!$B$5:$B$1004,D$24)&gt;0,"✓",""))</f>
        <v/>
      </c>
      <c r="E27" s="57">
        <f>IF(OR($A27="",E$24=""),"",IF(COUNTIFS('AFA Rates'!$A$5:$A$1004,$A27,'AFA Rates'!$B$5:$B$1004,E$24)&gt;0,"✓",""))</f>
        <v/>
      </c>
      <c r="F27" s="57">
        <f>IF(OR($A27="",F$24=""),"",IF(COUNTIFS('AFA Rates'!$A$5:$A$1004,$A27,'AFA Rates'!$B$5:$B$1004,F$24)&gt;0,"✓",""))</f>
        <v/>
      </c>
      <c r="G27" s="57">
        <f>IF(OR($A27="",G$24=""),"",IF(COUNTIFS('AFA Rates'!$A$5:$A$1004,$A27,'AFA Rates'!$B$5:$B$1004,G$24)&gt;0,"✓",""))</f>
        <v/>
      </c>
      <c r="H27" s="57">
        <f>IF(OR($A27="",H$24=""),"",IF(COUNTIFS('AFA Rates'!$A$5:$A$1004,$A27,'AFA Rates'!$B$5:$B$1004,H$24)&gt;0,"✓",""))</f>
        <v/>
      </c>
      <c r="I27" s="57">
        <f>IF(OR($A27="",I$24=""),"",IF(COUNTIFS('AFA Rates'!$A$5:$A$1004,$A27,'AFA Rates'!$B$5:$B$1004,I$24)&gt;0,"✓",""))</f>
        <v/>
      </c>
      <c r="J27" s="57">
        <f>IF(OR($A27="",J$24=""),"",IF(COUNTIFS('AFA Rates'!$A$5:$A$1004,$A27,'AFA Rates'!$B$5:$B$1004,J$24)&gt;0,"✓",""))</f>
        <v/>
      </c>
      <c r="K27" s="57">
        <f>IF(OR($A27="",K$24=""),"",IF(COUNTIFS('AFA Rates'!$A$5:$A$1004,$A27,'AFA Rates'!$B$5:$B$1004,K$24)&gt;0,"✓",""))</f>
        <v/>
      </c>
      <c r="L27" s="57">
        <f>IF(OR($A27="",L$24=""),"",IF(COUNTIFS('AFA Rates'!$A$5:$A$1004,$A27,'AFA Rates'!$B$5:$B$1004,L$24)&gt;0,"✓",""))</f>
        <v/>
      </c>
      <c r="M27" s="57">
        <f>IF(OR($A27="",M$24=""),"",IF(COUNTIFS('AFA Rates'!$A$5:$A$1004,$A27,'AFA Rates'!$B$5:$B$1004,M$24)&gt;0,"✓",""))</f>
        <v/>
      </c>
    </row>
    <row r="28">
      <c r="A28" s="63">
        <f>IFERROR(INDEX(Firms!$A$5:$A$1004,MATCH(4,Firms!$S$5:$S$1004,0)),"")</f>
        <v/>
      </c>
      <c r="B28" s="57">
        <f>IF($A28="","",INDEX(Firms!$B$5:$B$1004,MATCH(4,Firms!$S$5:$S$1004,0)))</f>
        <v/>
      </c>
      <c r="C28" s="57">
        <f>IF($A28="","",COUNTIF('AFA Rates'!$A$5:$A$1004,$A28))</f>
        <v/>
      </c>
      <c r="D28" s="57">
        <f>IF(OR($A28="",D$24=""),"",IF(COUNTIFS('AFA Rates'!$A$5:$A$1004,$A28,'AFA Rates'!$B$5:$B$1004,D$24)&gt;0,"✓",""))</f>
        <v/>
      </c>
      <c r="E28" s="57">
        <f>IF(OR($A28="",E$24=""),"",IF(COUNTIFS('AFA Rates'!$A$5:$A$1004,$A28,'AFA Rates'!$B$5:$B$1004,E$24)&gt;0,"✓",""))</f>
        <v/>
      </c>
      <c r="F28" s="57">
        <f>IF(OR($A28="",F$24=""),"",IF(COUNTIFS('AFA Rates'!$A$5:$A$1004,$A28,'AFA Rates'!$B$5:$B$1004,F$24)&gt;0,"✓",""))</f>
        <v/>
      </c>
      <c r="G28" s="57">
        <f>IF(OR($A28="",G$24=""),"",IF(COUNTIFS('AFA Rates'!$A$5:$A$1004,$A28,'AFA Rates'!$B$5:$B$1004,G$24)&gt;0,"✓",""))</f>
        <v/>
      </c>
      <c r="H28" s="57">
        <f>IF(OR($A28="",H$24=""),"",IF(COUNTIFS('AFA Rates'!$A$5:$A$1004,$A28,'AFA Rates'!$B$5:$B$1004,H$24)&gt;0,"✓",""))</f>
        <v/>
      </c>
      <c r="I28" s="57">
        <f>IF(OR($A28="",I$24=""),"",IF(COUNTIFS('AFA Rates'!$A$5:$A$1004,$A28,'AFA Rates'!$B$5:$B$1004,I$24)&gt;0,"✓",""))</f>
        <v/>
      </c>
      <c r="J28" s="57">
        <f>IF(OR($A28="",J$24=""),"",IF(COUNTIFS('AFA Rates'!$A$5:$A$1004,$A28,'AFA Rates'!$B$5:$B$1004,J$24)&gt;0,"✓",""))</f>
        <v/>
      </c>
      <c r="K28" s="57">
        <f>IF(OR($A28="",K$24=""),"",IF(COUNTIFS('AFA Rates'!$A$5:$A$1004,$A28,'AFA Rates'!$B$5:$B$1004,K$24)&gt;0,"✓",""))</f>
        <v/>
      </c>
      <c r="L28" s="57">
        <f>IF(OR($A28="",L$24=""),"",IF(COUNTIFS('AFA Rates'!$A$5:$A$1004,$A28,'AFA Rates'!$B$5:$B$1004,L$24)&gt;0,"✓",""))</f>
        <v/>
      </c>
      <c r="M28" s="57">
        <f>IF(OR($A28="",M$24=""),"",IF(COUNTIFS('AFA Rates'!$A$5:$A$1004,$A28,'AFA Rates'!$B$5:$B$1004,M$24)&gt;0,"✓",""))</f>
        <v/>
      </c>
    </row>
    <row r="29">
      <c r="A29" s="63">
        <f>IFERROR(INDEX(Firms!$A$5:$A$1004,MATCH(5,Firms!$S$5:$S$1004,0)),"")</f>
        <v/>
      </c>
      <c r="B29" s="57">
        <f>IF($A29="","",INDEX(Firms!$B$5:$B$1004,MATCH(5,Firms!$S$5:$S$1004,0)))</f>
        <v/>
      </c>
      <c r="C29" s="57">
        <f>IF($A29="","",COUNTIF('AFA Rates'!$A$5:$A$1004,$A29))</f>
        <v/>
      </c>
      <c r="D29" s="57">
        <f>IF(OR($A29="",D$24=""),"",IF(COUNTIFS('AFA Rates'!$A$5:$A$1004,$A29,'AFA Rates'!$B$5:$B$1004,D$24)&gt;0,"✓",""))</f>
        <v/>
      </c>
      <c r="E29" s="57">
        <f>IF(OR($A29="",E$24=""),"",IF(COUNTIFS('AFA Rates'!$A$5:$A$1004,$A29,'AFA Rates'!$B$5:$B$1004,E$24)&gt;0,"✓",""))</f>
        <v/>
      </c>
      <c r="F29" s="57">
        <f>IF(OR($A29="",F$24=""),"",IF(COUNTIFS('AFA Rates'!$A$5:$A$1004,$A29,'AFA Rates'!$B$5:$B$1004,F$24)&gt;0,"✓",""))</f>
        <v/>
      </c>
      <c r="G29" s="57">
        <f>IF(OR($A29="",G$24=""),"",IF(COUNTIFS('AFA Rates'!$A$5:$A$1004,$A29,'AFA Rates'!$B$5:$B$1004,G$24)&gt;0,"✓",""))</f>
        <v/>
      </c>
      <c r="H29" s="57">
        <f>IF(OR($A29="",H$24=""),"",IF(COUNTIFS('AFA Rates'!$A$5:$A$1004,$A29,'AFA Rates'!$B$5:$B$1004,H$24)&gt;0,"✓",""))</f>
        <v/>
      </c>
      <c r="I29" s="57">
        <f>IF(OR($A29="",I$24=""),"",IF(COUNTIFS('AFA Rates'!$A$5:$A$1004,$A29,'AFA Rates'!$B$5:$B$1004,I$24)&gt;0,"✓",""))</f>
        <v/>
      </c>
      <c r="J29" s="57">
        <f>IF(OR($A29="",J$24=""),"",IF(COUNTIFS('AFA Rates'!$A$5:$A$1004,$A29,'AFA Rates'!$B$5:$B$1004,J$24)&gt;0,"✓",""))</f>
        <v/>
      </c>
      <c r="K29" s="57">
        <f>IF(OR($A29="",K$24=""),"",IF(COUNTIFS('AFA Rates'!$A$5:$A$1004,$A29,'AFA Rates'!$B$5:$B$1004,K$24)&gt;0,"✓",""))</f>
        <v/>
      </c>
      <c r="L29" s="57">
        <f>IF(OR($A29="",L$24=""),"",IF(COUNTIFS('AFA Rates'!$A$5:$A$1004,$A29,'AFA Rates'!$B$5:$B$1004,L$24)&gt;0,"✓",""))</f>
        <v/>
      </c>
      <c r="M29" s="57">
        <f>IF(OR($A29="",M$24=""),"",IF(COUNTIFS('AFA Rates'!$A$5:$A$1004,$A29,'AFA Rates'!$B$5:$B$1004,M$24)&gt;0,"✓",""))</f>
        <v/>
      </c>
    </row>
    <row r="30">
      <c r="A30" s="63">
        <f>IFERROR(INDEX(Firms!$A$5:$A$1004,MATCH(6,Firms!$S$5:$S$1004,0)),"")</f>
        <v/>
      </c>
      <c r="B30" s="57">
        <f>IF($A30="","",INDEX(Firms!$B$5:$B$1004,MATCH(6,Firms!$S$5:$S$1004,0)))</f>
        <v/>
      </c>
      <c r="C30" s="57">
        <f>IF($A30="","",COUNTIF('AFA Rates'!$A$5:$A$1004,$A30))</f>
        <v/>
      </c>
      <c r="D30" s="57">
        <f>IF(OR($A30="",D$24=""),"",IF(COUNTIFS('AFA Rates'!$A$5:$A$1004,$A30,'AFA Rates'!$B$5:$B$1004,D$24)&gt;0,"✓",""))</f>
        <v/>
      </c>
      <c r="E30" s="57">
        <f>IF(OR($A30="",E$24=""),"",IF(COUNTIFS('AFA Rates'!$A$5:$A$1004,$A30,'AFA Rates'!$B$5:$B$1004,E$24)&gt;0,"✓",""))</f>
        <v/>
      </c>
      <c r="F30" s="57">
        <f>IF(OR($A30="",F$24=""),"",IF(COUNTIFS('AFA Rates'!$A$5:$A$1004,$A30,'AFA Rates'!$B$5:$B$1004,F$24)&gt;0,"✓",""))</f>
        <v/>
      </c>
      <c r="G30" s="57">
        <f>IF(OR($A30="",G$24=""),"",IF(COUNTIFS('AFA Rates'!$A$5:$A$1004,$A30,'AFA Rates'!$B$5:$B$1004,G$24)&gt;0,"✓",""))</f>
        <v/>
      </c>
      <c r="H30" s="57">
        <f>IF(OR($A30="",H$24=""),"",IF(COUNTIFS('AFA Rates'!$A$5:$A$1004,$A30,'AFA Rates'!$B$5:$B$1004,H$24)&gt;0,"✓",""))</f>
        <v/>
      </c>
      <c r="I30" s="57">
        <f>IF(OR($A30="",I$24=""),"",IF(COUNTIFS('AFA Rates'!$A$5:$A$1004,$A30,'AFA Rates'!$B$5:$B$1004,I$24)&gt;0,"✓",""))</f>
        <v/>
      </c>
      <c r="J30" s="57">
        <f>IF(OR($A30="",J$24=""),"",IF(COUNTIFS('AFA Rates'!$A$5:$A$1004,$A30,'AFA Rates'!$B$5:$B$1004,J$24)&gt;0,"✓",""))</f>
        <v/>
      </c>
      <c r="K30" s="57">
        <f>IF(OR($A30="",K$24=""),"",IF(COUNTIFS('AFA Rates'!$A$5:$A$1004,$A30,'AFA Rates'!$B$5:$B$1004,K$24)&gt;0,"✓",""))</f>
        <v/>
      </c>
      <c r="L30" s="57">
        <f>IF(OR($A30="",L$24=""),"",IF(COUNTIFS('AFA Rates'!$A$5:$A$1004,$A30,'AFA Rates'!$B$5:$B$1004,L$24)&gt;0,"✓",""))</f>
        <v/>
      </c>
      <c r="M30" s="57">
        <f>IF(OR($A30="",M$24=""),"",IF(COUNTIFS('AFA Rates'!$A$5:$A$1004,$A30,'AFA Rates'!$B$5:$B$1004,M$24)&gt;0,"✓",""))</f>
        <v/>
      </c>
    </row>
    <row r="31">
      <c r="A31" s="63">
        <f>IFERROR(INDEX(Firms!$A$5:$A$1004,MATCH(7,Firms!$S$5:$S$1004,0)),"")</f>
        <v/>
      </c>
      <c r="B31" s="57">
        <f>IF($A31="","",INDEX(Firms!$B$5:$B$1004,MATCH(7,Firms!$S$5:$S$1004,0)))</f>
        <v/>
      </c>
      <c r="C31" s="57">
        <f>IF($A31="","",COUNTIF('AFA Rates'!$A$5:$A$1004,$A31))</f>
        <v/>
      </c>
      <c r="D31" s="57">
        <f>IF(OR($A31="",D$24=""),"",IF(COUNTIFS('AFA Rates'!$A$5:$A$1004,$A31,'AFA Rates'!$B$5:$B$1004,D$24)&gt;0,"✓",""))</f>
        <v/>
      </c>
      <c r="E31" s="57">
        <f>IF(OR($A31="",E$24=""),"",IF(COUNTIFS('AFA Rates'!$A$5:$A$1004,$A31,'AFA Rates'!$B$5:$B$1004,E$24)&gt;0,"✓",""))</f>
        <v/>
      </c>
      <c r="F31" s="57">
        <f>IF(OR($A31="",F$24=""),"",IF(COUNTIFS('AFA Rates'!$A$5:$A$1004,$A31,'AFA Rates'!$B$5:$B$1004,F$24)&gt;0,"✓",""))</f>
        <v/>
      </c>
      <c r="G31" s="57">
        <f>IF(OR($A31="",G$24=""),"",IF(COUNTIFS('AFA Rates'!$A$5:$A$1004,$A31,'AFA Rates'!$B$5:$B$1004,G$24)&gt;0,"✓",""))</f>
        <v/>
      </c>
      <c r="H31" s="57">
        <f>IF(OR($A31="",H$24=""),"",IF(COUNTIFS('AFA Rates'!$A$5:$A$1004,$A31,'AFA Rates'!$B$5:$B$1004,H$24)&gt;0,"✓",""))</f>
        <v/>
      </c>
      <c r="I31" s="57">
        <f>IF(OR($A31="",I$24=""),"",IF(COUNTIFS('AFA Rates'!$A$5:$A$1004,$A31,'AFA Rates'!$B$5:$B$1004,I$24)&gt;0,"✓",""))</f>
        <v/>
      </c>
      <c r="J31" s="57">
        <f>IF(OR($A31="",J$24=""),"",IF(COUNTIFS('AFA Rates'!$A$5:$A$1004,$A31,'AFA Rates'!$B$5:$B$1004,J$24)&gt;0,"✓",""))</f>
        <v/>
      </c>
      <c r="K31" s="57">
        <f>IF(OR($A31="",K$24=""),"",IF(COUNTIFS('AFA Rates'!$A$5:$A$1004,$A31,'AFA Rates'!$B$5:$B$1004,K$24)&gt;0,"✓",""))</f>
        <v/>
      </c>
      <c r="L31" s="57">
        <f>IF(OR($A31="",L$24=""),"",IF(COUNTIFS('AFA Rates'!$A$5:$A$1004,$A31,'AFA Rates'!$B$5:$B$1004,L$24)&gt;0,"✓",""))</f>
        <v/>
      </c>
      <c r="M31" s="57">
        <f>IF(OR($A31="",M$24=""),"",IF(COUNTIFS('AFA Rates'!$A$5:$A$1004,$A31,'AFA Rates'!$B$5:$B$1004,M$24)&gt;0,"✓",""))</f>
        <v/>
      </c>
    </row>
    <row r="32">
      <c r="A32" s="63">
        <f>IFERROR(INDEX(Firms!$A$5:$A$1004,MATCH(8,Firms!$S$5:$S$1004,0)),"")</f>
        <v/>
      </c>
      <c r="B32" s="57">
        <f>IF($A32="","",INDEX(Firms!$B$5:$B$1004,MATCH(8,Firms!$S$5:$S$1004,0)))</f>
        <v/>
      </c>
      <c r="C32" s="57">
        <f>IF($A32="","",COUNTIF('AFA Rates'!$A$5:$A$1004,$A32))</f>
        <v/>
      </c>
      <c r="D32" s="57">
        <f>IF(OR($A32="",D$24=""),"",IF(COUNTIFS('AFA Rates'!$A$5:$A$1004,$A32,'AFA Rates'!$B$5:$B$1004,D$24)&gt;0,"✓",""))</f>
        <v/>
      </c>
      <c r="E32" s="57">
        <f>IF(OR($A32="",E$24=""),"",IF(COUNTIFS('AFA Rates'!$A$5:$A$1004,$A32,'AFA Rates'!$B$5:$B$1004,E$24)&gt;0,"✓",""))</f>
        <v/>
      </c>
      <c r="F32" s="57">
        <f>IF(OR($A32="",F$24=""),"",IF(COUNTIFS('AFA Rates'!$A$5:$A$1004,$A32,'AFA Rates'!$B$5:$B$1004,F$24)&gt;0,"✓",""))</f>
        <v/>
      </c>
      <c r="G32" s="57">
        <f>IF(OR($A32="",G$24=""),"",IF(COUNTIFS('AFA Rates'!$A$5:$A$1004,$A32,'AFA Rates'!$B$5:$B$1004,G$24)&gt;0,"✓",""))</f>
        <v/>
      </c>
      <c r="H32" s="57">
        <f>IF(OR($A32="",H$24=""),"",IF(COUNTIFS('AFA Rates'!$A$5:$A$1004,$A32,'AFA Rates'!$B$5:$B$1004,H$24)&gt;0,"✓",""))</f>
        <v/>
      </c>
      <c r="I32" s="57">
        <f>IF(OR($A32="",I$24=""),"",IF(COUNTIFS('AFA Rates'!$A$5:$A$1004,$A32,'AFA Rates'!$B$5:$B$1004,I$24)&gt;0,"✓",""))</f>
        <v/>
      </c>
      <c r="J32" s="57">
        <f>IF(OR($A32="",J$24=""),"",IF(COUNTIFS('AFA Rates'!$A$5:$A$1004,$A32,'AFA Rates'!$B$5:$B$1004,J$24)&gt;0,"✓",""))</f>
        <v/>
      </c>
      <c r="K32" s="57">
        <f>IF(OR($A32="",K$24=""),"",IF(COUNTIFS('AFA Rates'!$A$5:$A$1004,$A32,'AFA Rates'!$B$5:$B$1004,K$24)&gt;0,"✓",""))</f>
        <v/>
      </c>
      <c r="L32" s="57">
        <f>IF(OR($A32="",L$24=""),"",IF(COUNTIFS('AFA Rates'!$A$5:$A$1004,$A32,'AFA Rates'!$B$5:$B$1004,L$24)&gt;0,"✓",""))</f>
        <v/>
      </c>
      <c r="M32" s="57">
        <f>IF(OR($A32="",M$24=""),"",IF(COUNTIFS('AFA Rates'!$A$5:$A$1004,$A32,'AFA Rates'!$B$5:$B$1004,M$24)&gt;0,"✓",""))</f>
        <v/>
      </c>
    </row>
    <row r="33">
      <c r="A33" s="63">
        <f>IFERROR(INDEX(Firms!$A$5:$A$1004,MATCH(9,Firms!$S$5:$S$1004,0)),"")</f>
        <v/>
      </c>
      <c r="B33" s="57">
        <f>IF($A33="","",INDEX(Firms!$B$5:$B$1004,MATCH(9,Firms!$S$5:$S$1004,0)))</f>
        <v/>
      </c>
      <c r="C33" s="57">
        <f>IF($A33="","",COUNTIF('AFA Rates'!$A$5:$A$1004,$A33))</f>
        <v/>
      </c>
      <c r="D33" s="57">
        <f>IF(OR($A33="",D$24=""),"",IF(COUNTIFS('AFA Rates'!$A$5:$A$1004,$A33,'AFA Rates'!$B$5:$B$1004,D$24)&gt;0,"✓",""))</f>
        <v/>
      </c>
      <c r="E33" s="57">
        <f>IF(OR($A33="",E$24=""),"",IF(COUNTIFS('AFA Rates'!$A$5:$A$1004,$A33,'AFA Rates'!$B$5:$B$1004,E$24)&gt;0,"✓",""))</f>
        <v/>
      </c>
      <c r="F33" s="57">
        <f>IF(OR($A33="",F$24=""),"",IF(COUNTIFS('AFA Rates'!$A$5:$A$1004,$A33,'AFA Rates'!$B$5:$B$1004,F$24)&gt;0,"✓",""))</f>
        <v/>
      </c>
      <c r="G33" s="57">
        <f>IF(OR($A33="",G$24=""),"",IF(COUNTIFS('AFA Rates'!$A$5:$A$1004,$A33,'AFA Rates'!$B$5:$B$1004,G$24)&gt;0,"✓",""))</f>
        <v/>
      </c>
      <c r="H33" s="57">
        <f>IF(OR($A33="",H$24=""),"",IF(COUNTIFS('AFA Rates'!$A$5:$A$1004,$A33,'AFA Rates'!$B$5:$B$1004,H$24)&gt;0,"✓",""))</f>
        <v/>
      </c>
      <c r="I33" s="57">
        <f>IF(OR($A33="",I$24=""),"",IF(COUNTIFS('AFA Rates'!$A$5:$A$1004,$A33,'AFA Rates'!$B$5:$B$1004,I$24)&gt;0,"✓",""))</f>
        <v/>
      </c>
      <c r="J33" s="57">
        <f>IF(OR($A33="",J$24=""),"",IF(COUNTIFS('AFA Rates'!$A$5:$A$1004,$A33,'AFA Rates'!$B$5:$B$1004,J$24)&gt;0,"✓",""))</f>
        <v/>
      </c>
      <c r="K33" s="57">
        <f>IF(OR($A33="",K$24=""),"",IF(COUNTIFS('AFA Rates'!$A$5:$A$1004,$A33,'AFA Rates'!$B$5:$B$1004,K$24)&gt;0,"✓",""))</f>
        <v/>
      </c>
      <c r="L33" s="57">
        <f>IF(OR($A33="",L$24=""),"",IF(COUNTIFS('AFA Rates'!$A$5:$A$1004,$A33,'AFA Rates'!$B$5:$B$1004,L$24)&gt;0,"✓",""))</f>
        <v/>
      </c>
      <c r="M33" s="57">
        <f>IF(OR($A33="",M$24=""),"",IF(COUNTIFS('AFA Rates'!$A$5:$A$1004,$A33,'AFA Rates'!$B$5:$B$1004,M$24)&gt;0,"✓",""))</f>
        <v/>
      </c>
    </row>
    <row r="34">
      <c r="A34" s="63">
        <f>IFERROR(INDEX(Firms!$A$5:$A$1004,MATCH(10,Firms!$S$5:$S$1004,0)),"")</f>
        <v/>
      </c>
      <c r="B34" s="57">
        <f>IF($A34="","",INDEX(Firms!$B$5:$B$1004,MATCH(10,Firms!$S$5:$S$1004,0)))</f>
        <v/>
      </c>
      <c r="C34" s="57">
        <f>IF($A34="","",COUNTIF('AFA Rates'!$A$5:$A$1004,$A34))</f>
        <v/>
      </c>
      <c r="D34" s="57">
        <f>IF(OR($A34="",D$24=""),"",IF(COUNTIFS('AFA Rates'!$A$5:$A$1004,$A34,'AFA Rates'!$B$5:$B$1004,D$24)&gt;0,"✓",""))</f>
        <v/>
      </c>
      <c r="E34" s="57">
        <f>IF(OR($A34="",E$24=""),"",IF(COUNTIFS('AFA Rates'!$A$5:$A$1004,$A34,'AFA Rates'!$B$5:$B$1004,E$24)&gt;0,"✓",""))</f>
        <v/>
      </c>
      <c r="F34" s="57">
        <f>IF(OR($A34="",F$24=""),"",IF(COUNTIFS('AFA Rates'!$A$5:$A$1004,$A34,'AFA Rates'!$B$5:$B$1004,F$24)&gt;0,"✓",""))</f>
        <v/>
      </c>
      <c r="G34" s="57">
        <f>IF(OR($A34="",G$24=""),"",IF(COUNTIFS('AFA Rates'!$A$5:$A$1004,$A34,'AFA Rates'!$B$5:$B$1004,G$24)&gt;0,"✓",""))</f>
        <v/>
      </c>
      <c r="H34" s="57">
        <f>IF(OR($A34="",H$24=""),"",IF(COUNTIFS('AFA Rates'!$A$5:$A$1004,$A34,'AFA Rates'!$B$5:$B$1004,H$24)&gt;0,"✓",""))</f>
        <v/>
      </c>
      <c r="I34" s="57">
        <f>IF(OR($A34="",I$24=""),"",IF(COUNTIFS('AFA Rates'!$A$5:$A$1004,$A34,'AFA Rates'!$B$5:$B$1004,I$24)&gt;0,"✓",""))</f>
        <v/>
      </c>
      <c r="J34" s="57">
        <f>IF(OR($A34="",J$24=""),"",IF(COUNTIFS('AFA Rates'!$A$5:$A$1004,$A34,'AFA Rates'!$B$5:$B$1004,J$24)&gt;0,"✓",""))</f>
        <v/>
      </c>
      <c r="K34" s="57">
        <f>IF(OR($A34="",K$24=""),"",IF(COUNTIFS('AFA Rates'!$A$5:$A$1004,$A34,'AFA Rates'!$B$5:$B$1004,K$24)&gt;0,"✓",""))</f>
        <v/>
      </c>
      <c r="L34" s="57">
        <f>IF(OR($A34="",L$24=""),"",IF(COUNTIFS('AFA Rates'!$A$5:$A$1004,$A34,'AFA Rates'!$B$5:$B$1004,L$24)&gt;0,"✓",""))</f>
        <v/>
      </c>
      <c r="M34" s="57">
        <f>IF(OR($A34="",M$24=""),"",IF(COUNTIFS('AFA Rates'!$A$5:$A$1004,$A34,'AFA Rates'!$B$5:$B$1004,M$24)&gt;0,"✓",""))</f>
        <v/>
      </c>
    </row>
    <row r="35">
      <c r="A35" s="63">
        <f>IFERROR(INDEX(Firms!$A$5:$A$1004,MATCH(11,Firms!$S$5:$S$1004,0)),"")</f>
        <v/>
      </c>
      <c r="B35" s="57">
        <f>IF($A35="","",INDEX(Firms!$B$5:$B$1004,MATCH(11,Firms!$S$5:$S$1004,0)))</f>
        <v/>
      </c>
      <c r="C35" s="57">
        <f>IF($A35="","",COUNTIF('AFA Rates'!$A$5:$A$1004,$A35))</f>
        <v/>
      </c>
      <c r="D35" s="57">
        <f>IF(OR($A35="",D$24=""),"",IF(COUNTIFS('AFA Rates'!$A$5:$A$1004,$A35,'AFA Rates'!$B$5:$B$1004,D$24)&gt;0,"✓",""))</f>
        <v/>
      </c>
      <c r="E35" s="57">
        <f>IF(OR($A35="",E$24=""),"",IF(COUNTIFS('AFA Rates'!$A$5:$A$1004,$A35,'AFA Rates'!$B$5:$B$1004,E$24)&gt;0,"✓",""))</f>
        <v/>
      </c>
      <c r="F35" s="57">
        <f>IF(OR($A35="",F$24=""),"",IF(COUNTIFS('AFA Rates'!$A$5:$A$1004,$A35,'AFA Rates'!$B$5:$B$1004,F$24)&gt;0,"✓",""))</f>
        <v/>
      </c>
      <c r="G35" s="57">
        <f>IF(OR($A35="",G$24=""),"",IF(COUNTIFS('AFA Rates'!$A$5:$A$1004,$A35,'AFA Rates'!$B$5:$B$1004,G$24)&gt;0,"✓",""))</f>
        <v/>
      </c>
      <c r="H35" s="57">
        <f>IF(OR($A35="",H$24=""),"",IF(COUNTIFS('AFA Rates'!$A$5:$A$1004,$A35,'AFA Rates'!$B$5:$B$1004,H$24)&gt;0,"✓",""))</f>
        <v/>
      </c>
      <c r="I35" s="57">
        <f>IF(OR($A35="",I$24=""),"",IF(COUNTIFS('AFA Rates'!$A$5:$A$1004,$A35,'AFA Rates'!$B$5:$B$1004,I$24)&gt;0,"✓",""))</f>
        <v/>
      </c>
      <c r="J35" s="57">
        <f>IF(OR($A35="",J$24=""),"",IF(COUNTIFS('AFA Rates'!$A$5:$A$1004,$A35,'AFA Rates'!$B$5:$B$1004,J$24)&gt;0,"✓",""))</f>
        <v/>
      </c>
      <c r="K35" s="57">
        <f>IF(OR($A35="",K$24=""),"",IF(COUNTIFS('AFA Rates'!$A$5:$A$1004,$A35,'AFA Rates'!$B$5:$B$1004,K$24)&gt;0,"✓",""))</f>
        <v/>
      </c>
      <c r="L35" s="57">
        <f>IF(OR($A35="",L$24=""),"",IF(COUNTIFS('AFA Rates'!$A$5:$A$1004,$A35,'AFA Rates'!$B$5:$B$1004,L$24)&gt;0,"✓",""))</f>
        <v/>
      </c>
      <c r="M35" s="57">
        <f>IF(OR($A35="",M$24=""),"",IF(COUNTIFS('AFA Rates'!$A$5:$A$1004,$A35,'AFA Rates'!$B$5:$B$1004,M$24)&gt;0,"✓",""))</f>
        <v/>
      </c>
    </row>
    <row r="36">
      <c r="A36" s="63">
        <f>IFERROR(INDEX(Firms!$A$5:$A$1004,MATCH(12,Firms!$S$5:$S$1004,0)),"")</f>
        <v/>
      </c>
      <c r="B36" s="57">
        <f>IF($A36="","",INDEX(Firms!$B$5:$B$1004,MATCH(12,Firms!$S$5:$S$1004,0)))</f>
        <v/>
      </c>
      <c r="C36" s="57">
        <f>IF($A36="","",COUNTIF('AFA Rates'!$A$5:$A$1004,$A36))</f>
        <v/>
      </c>
      <c r="D36" s="57">
        <f>IF(OR($A36="",D$24=""),"",IF(COUNTIFS('AFA Rates'!$A$5:$A$1004,$A36,'AFA Rates'!$B$5:$B$1004,D$24)&gt;0,"✓",""))</f>
        <v/>
      </c>
      <c r="E36" s="57">
        <f>IF(OR($A36="",E$24=""),"",IF(COUNTIFS('AFA Rates'!$A$5:$A$1004,$A36,'AFA Rates'!$B$5:$B$1004,E$24)&gt;0,"✓",""))</f>
        <v/>
      </c>
      <c r="F36" s="57">
        <f>IF(OR($A36="",F$24=""),"",IF(COUNTIFS('AFA Rates'!$A$5:$A$1004,$A36,'AFA Rates'!$B$5:$B$1004,F$24)&gt;0,"✓",""))</f>
        <v/>
      </c>
      <c r="G36" s="57">
        <f>IF(OR($A36="",G$24=""),"",IF(COUNTIFS('AFA Rates'!$A$5:$A$1004,$A36,'AFA Rates'!$B$5:$B$1004,G$24)&gt;0,"✓",""))</f>
        <v/>
      </c>
      <c r="H36" s="57">
        <f>IF(OR($A36="",H$24=""),"",IF(COUNTIFS('AFA Rates'!$A$5:$A$1004,$A36,'AFA Rates'!$B$5:$B$1004,H$24)&gt;0,"✓",""))</f>
        <v/>
      </c>
      <c r="I36" s="57">
        <f>IF(OR($A36="",I$24=""),"",IF(COUNTIFS('AFA Rates'!$A$5:$A$1004,$A36,'AFA Rates'!$B$5:$B$1004,I$24)&gt;0,"✓",""))</f>
        <v/>
      </c>
      <c r="J36" s="57">
        <f>IF(OR($A36="",J$24=""),"",IF(COUNTIFS('AFA Rates'!$A$5:$A$1004,$A36,'AFA Rates'!$B$5:$B$1004,J$24)&gt;0,"✓",""))</f>
        <v/>
      </c>
      <c r="K36" s="57">
        <f>IF(OR($A36="",K$24=""),"",IF(COUNTIFS('AFA Rates'!$A$5:$A$1004,$A36,'AFA Rates'!$B$5:$B$1004,K$24)&gt;0,"✓",""))</f>
        <v/>
      </c>
      <c r="L36" s="57">
        <f>IF(OR($A36="",L$24=""),"",IF(COUNTIFS('AFA Rates'!$A$5:$A$1004,$A36,'AFA Rates'!$B$5:$B$1004,L$24)&gt;0,"✓",""))</f>
        <v/>
      </c>
      <c r="M36" s="57">
        <f>IF(OR($A36="",M$24=""),"",IF(COUNTIFS('AFA Rates'!$A$5:$A$1004,$A36,'AFA Rates'!$B$5:$B$1004,M$24)&gt;0,"✓",""))</f>
        <v/>
      </c>
    </row>
    <row r="37">
      <c r="A37" s="63">
        <f>IFERROR(INDEX(Firms!$A$5:$A$1004,MATCH(13,Firms!$S$5:$S$1004,0)),"")</f>
        <v/>
      </c>
      <c r="B37" s="57">
        <f>IF($A37="","",INDEX(Firms!$B$5:$B$1004,MATCH(13,Firms!$S$5:$S$1004,0)))</f>
        <v/>
      </c>
      <c r="C37" s="57">
        <f>IF($A37="","",COUNTIF('AFA Rates'!$A$5:$A$1004,$A37))</f>
        <v/>
      </c>
      <c r="D37" s="57">
        <f>IF(OR($A37="",D$24=""),"",IF(COUNTIFS('AFA Rates'!$A$5:$A$1004,$A37,'AFA Rates'!$B$5:$B$1004,D$24)&gt;0,"✓",""))</f>
        <v/>
      </c>
      <c r="E37" s="57">
        <f>IF(OR($A37="",E$24=""),"",IF(COUNTIFS('AFA Rates'!$A$5:$A$1004,$A37,'AFA Rates'!$B$5:$B$1004,E$24)&gt;0,"✓",""))</f>
        <v/>
      </c>
      <c r="F37" s="57">
        <f>IF(OR($A37="",F$24=""),"",IF(COUNTIFS('AFA Rates'!$A$5:$A$1004,$A37,'AFA Rates'!$B$5:$B$1004,F$24)&gt;0,"✓",""))</f>
        <v/>
      </c>
      <c r="G37" s="57">
        <f>IF(OR($A37="",G$24=""),"",IF(COUNTIFS('AFA Rates'!$A$5:$A$1004,$A37,'AFA Rates'!$B$5:$B$1004,G$24)&gt;0,"✓",""))</f>
        <v/>
      </c>
      <c r="H37" s="57">
        <f>IF(OR($A37="",H$24=""),"",IF(COUNTIFS('AFA Rates'!$A$5:$A$1004,$A37,'AFA Rates'!$B$5:$B$1004,H$24)&gt;0,"✓",""))</f>
        <v/>
      </c>
      <c r="I37" s="57">
        <f>IF(OR($A37="",I$24=""),"",IF(COUNTIFS('AFA Rates'!$A$5:$A$1004,$A37,'AFA Rates'!$B$5:$B$1004,I$24)&gt;0,"✓",""))</f>
        <v/>
      </c>
      <c r="J37" s="57">
        <f>IF(OR($A37="",J$24=""),"",IF(COUNTIFS('AFA Rates'!$A$5:$A$1004,$A37,'AFA Rates'!$B$5:$B$1004,J$24)&gt;0,"✓",""))</f>
        <v/>
      </c>
      <c r="K37" s="57">
        <f>IF(OR($A37="",K$24=""),"",IF(COUNTIFS('AFA Rates'!$A$5:$A$1004,$A37,'AFA Rates'!$B$5:$B$1004,K$24)&gt;0,"✓",""))</f>
        <v/>
      </c>
      <c r="L37" s="57">
        <f>IF(OR($A37="",L$24=""),"",IF(COUNTIFS('AFA Rates'!$A$5:$A$1004,$A37,'AFA Rates'!$B$5:$B$1004,L$24)&gt;0,"✓",""))</f>
        <v/>
      </c>
      <c r="M37" s="57">
        <f>IF(OR($A37="",M$24=""),"",IF(COUNTIFS('AFA Rates'!$A$5:$A$1004,$A37,'AFA Rates'!$B$5:$B$1004,M$24)&gt;0,"✓",""))</f>
        <v/>
      </c>
    </row>
    <row r="38">
      <c r="A38" s="63">
        <f>IFERROR(INDEX(Firms!$A$5:$A$1004,MATCH(14,Firms!$S$5:$S$1004,0)),"")</f>
        <v/>
      </c>
      <c r="B38" s="57">
        <f>IF($A38="","",INDEX(Firms!$B$5:$B$1004,MATCH(14,Firms!$S$5:$S$1004,0)))</f>
        <v/>
      </c>
      <c r="C38" s="57">
        <f>IF($A38="","",COUNTIF('AFA Rates'!$A$5:$A$1004,$A38))</f>
        <v/>
      </c>
      <c r="D38" s="57">
        <f>IF(OR($A38="",D$24=""),"",IF(COUNTIFS('AFA Rates'!$A$5:$A$1004,$A38,'AFA Rates'!$B$5:$B$1004,D$24)&gt;0,"✓",""))</f>
        <v/>
      </c>
      <c r="E38" s="57">
        <f>IF(OR($A38="",E$24=""),"",IF(COUNTIFS('AFA Rates'!$A$5:$A$1004,$A38,'AFA Rates'!$B$5:$B$1004,E$24)&gt;0,"✓",""))</f>
        <v/>
      </c>
      <c r="F38" s="57">
        <f>IF(OR($A38="",F$24=""),"",IF(COUNTIFS('AFA Rates'!$A$5:$A$1004,$A38,'AFA Rates'!$B$5:$B$1004,F$24)&gt;0,"✓",""))</f>
        <v/>
      </c>
      <c r="G38" s="57">
        <f>IF(OR($A38="",G$24=""),"",IF(COUNTIFS('AFA Rates'!$A$5:$A$1004,$A38,'AFA Rates'!$B$5:$B$1004,G$24)&gt;0,"✓",""))</f>
        <v/>
      </c>
      <c r="H38" s="57">
        <f>IF(OR($A38="",H$24=""),"",IF(COUNTIFS('AFA Rates'!$A$5:$A$1004,$A38,'AFA Rates'!$B$5:$B$1004,H$24)&gt;0,"✓",""))</f>
        <v/>
      </c>
      <c r="I38" s="57">
        <f>IF(OR($A38="",I$24=""),"",IF(COUNTIFS('AFA Rates'!$A$5:$A$1004,$A38,'AFA Rates'!$B$5:$B$1004,I$24)&gt;0,"✓",""))</f>
        <v/>
      </c>
      <c r="J38" s="57">
        <f>IF(OR($A38="",J$24=""),"",IF(COUNTIFS('AFA Rates'!$A$5:$A$1004,$A38,'AFA Rates'!$B$5:$B$1004,J$24)&gt;0,"✓",""))</f>
        <v/>
      </c>
      <c r="K38" s="57">
        <f>IF(OR($A38="",K$24=""),"",IF(COUNTIFS('AFA Rates'!$A$5:$A$1004,$A38,'AFA Rates'!$B$5:$B$1004,K$24)&gt;0,"✓",""))</f>
        <v/>
      </c>
      <c r="L38" s="57">
        <f>IF(OR($A38="",L$24=""),"",IF(COUNTIFS('AFA Rates'!$A$5:$A$1004,$A38,'AFA Rates'!$B$5:$B$1004,L$24)&gt;0,"✓",""))</f>
        <v/>
      </c>
      <c r="M38" s="57">
        <f>IF(OR($A38="",M$24=""),"",IF(COUNTIFS('AFA Rates'!$A$5:$A$1004,$A38,'AFA Rates'!$B$5:$B$1004,M$24)&gt;0,"✓",""))</f>
        <v/>
      </c>
    </row>
    <row r="39">
      <c r="A39" s="63">
        <f>IFERROR(INDEX(Firms!$A$5:$A$1004,MATCH(15,Firms!$S$5:$S$1004,0)),"")</f>
        <v/>
      </c>
      <c r="B39" s="57">
        <f>IF($A39="","",INDEX(Firms!$B$5:$B$1004,MATCH(15,Firms!$S$5:$S$1004,0)))</f>
        <v/>
      </c>
      <c r="C39" s="57">
        <f>IF($A39="","",COUNTIF('AFA Rates'!$A$5:$A$1004,$A39))</f>
        <v/>
      </c>
      <c r="D39" s="57">
        <f>IF(OR($A39="",D$24=""),"",IF(COUNTIFS('AFA Rates'!$A$5:$A$1004,$A39,'AFA Rates'!$B$5:$B$1004,D$24)&gt;0,"✓",""))</f>
        <v/>
      </c>
      <c r="E39" s="57">
        <f>IF(OR($A39="",E$24=""),"",IF(COUNTIFS('AFA Rates'!$A$5:$A$1004,$A39,'AFA Rates'!$B$5:$B$1004,E$24)&gt;0,"✓",""))</f>
        <v/>
      </c>
      <c r="F39" s="57">
        <f>IF(OR($A39="",F$24=""),"",IF(COUNTIFS('AFA Rates'!$A$5:$A$1004,$A39,'AFA Rates'!$B$5:$B$1004,F$24)&gt;0,"✓",""))</f>
        <v/>
      </c>
      <c r="G39" s="57">
        <f>IF(OR($A39="",G$24=""),"",IF(COUNTIFS('AFA Rates'!$A$5:$A$1004,$A39,'AFA Rates'!$B$5:$B$1004,G$24)&gt;0,"✓",""))</f>
        <v/>
      </c>
      <c r="H39" s="57">
        <f>IF(OR($A39="",H$24=""),"",IF(COUNTIFS('AFA Rates'!$A$5:$A$1004,$A39,'AFA Rates'!$B$5:$B$1004,H$24)&gt;0,"✓",""))</f>
        <v/>
      </c>
      <c r="I39" s="57">
        <f>IF(OR($A39="",I$24=""),"",IF(COUNTIFS('AFA Rates'!$A$5:$A$1004,$A39,'AFA Rates'!$B$5:$B$1004,I$24)&gt;0,"✓",""))</f>
        <v/>
      </c>
      <c r="J39" s="57">
        <f>IF(OR($A39="",J$24=""),"",IF(COUNTIFS('AFA Rates'!$A$5:$A$1004,$A39,'AFA Rates'!$B$5:$B$1004,J$24)&gt;0,"✓",""))</f>
        <v/>
      </c>
      <c r="K39" s="57">
        <f>IF(OR($A39="",K$24=""),"",IF(COUNTIFS('AFA Rates'!$A$5:$A$1004,$A39,'AFA Rates'!$B$5:$B$1004,K$24)&gt;0,"✓",""))</f>
        <v/>
      </c>
      <c r="L39" s="57">
        <f>IF(OR($A39="",L$24=""),"",IF(COUNTIFS('AFA Rates'!$A$5:$A$1004,$A39,'AFA Rates'!$B$5:$B$1004,L$24)&gt;0,"✓",""))</f>
        <v/>
      </c>
      <c r="M39" s="57">
        <f>IF(OR($A39="",M$24=""),"",IF(COUNTIFS('AFA Rates'!$A$5:$A$1004,$A39,'AFA Rates'!$B$5:$B$1004,M$24)&gt;0,"✓",""))</f>
        <v/>
      </c>
    </row>
    <row r="40">
      <c r="A40" s="63">
        <f>IFERROR(INDEX(Firms!$A$5:$A$1004,MATCH(16,Firms!$S$5:$S$1004,0)),"")</f>
        <v/>
      </c>
      <c r="B40" s="57">
        <f>IF($A40="","",INDEX(Firms!$B$5:$B$1004,MATCH(16,Firms!$S$5:$S$1004,0)))</f>
        <v/>
      </c>
      <c r="C40" s="57">
        <f>IF($A40="","",COUNTIF('AFA Rates'!$A$5:$A$1004,$A40))</f>
        <v/>
      </c>
      <c r="D40" s="57">
        <f>IF(OR($A40="",D$24=""),"",IF(COUNTIFS('AFA Rates'!$A$5:$A$1004,$A40,'AFA Rates'!$B$5:$B$1004,D$24)&gt;0,"✓",""))</f>
        <v/>
      </c>
      <c r="E40" s="57">
        <f>IF(OR($A40="",E$24=""),"",IF(COUNTIFS('AFA Rates'!$A$5:$A$1004,$A40,'AFA Rates'!$B$5:$B$1004,E$24)&gt;0,"✓",""))</f>
        <v/>
      </c>
      <c r="F40" s="57">
        <f>IF(OR($A40="",F$24=""),"",IF(COUNTIFS('AFA Rates'!$A$5:$A$1004,$A40,'AFA Rates'!$B$5:$B$1004,F$24)&gt;0,"✓",""))</f>
        <v/>
      </c>
      <c r="G40" s="57">
        <f>IF(OR($A40="",G$24=""),"",IF(COUNTIFS('AFA Rates'!$A$5:$A$1004,$A40,'AFA Rates'!$B$5:$B$1004,G$24)&gt;0,"✓",""))</f>
        <v/>
      </c>
      <c r="H40" s="57">
        <f>IF(OR($A40="",H$24=""),"",IF(COUNTIFS('AFA Rates'!$A$5:$A$1004,$A40,'AFA Rates'!$B$5:$B$1004,H$24)&gt;0,"✓",""))</f>
        <v/>
      </c>
      <c r="I40" s="57">
        <f>IF(OR($A40="",I$24=""),"",IF(COUNTIFS('AFA Rates'!$A$5:$A$1004,$A40,'AFA Rates'!$B$5:$B$1004,I$24)&gt;0,"✓",""))</f>
        <v/>
      </c>
      <c r="J40" s="57">
        <f>IF(OR($A40="",J$24=""),"",IF(COUNTIFS('AFA Rates'!$A$5:$A$1004,$A40,'AFA Rates'!$B$5:$B$1004,J$24)&gt;0,"✓",""))</f>
        <v/>
      </c>
      <c r="K40" s="57">
        <f>IF(OR($A40="",K$24=""),"",IF(COUNTIFS('AFA Rates'!$A$5:$A$1004,$A40,'AFA Rates'!$B$5:$B$1004,K$24)&gt;0,"✓",""))</f>
        <v/>
      </c>
      <c r="L40" s="57">
        <f>IF(OR($A40="",L$24=""),"",IF(COUNTIFS('AFA Rates'!$A$5:$A$1004,$A40,'AFA Rates'!$B$5:$B$1004,L$24)&gt;0,"✓",""))</f>
        <v/>
      </c>
      <c r="M40" s="57">
        <f>IF(OR($A40="",M$24=""),"",IF(COUNTIFS('AFA Rates'!$A$5:$A$1004,$A40,'AFA Rates'!$B$5:$B$1004,M$24)&gt;0,"✓",""))</f>
        <v/>
      </c>
    </row>
    <row r="41">
      <c r="A41" s="63">
        <f>IFERROR(INDEX(Firms!$A$5:$A$1004,MATCH(17,Firms!$S$5:$S$1004,0)),"")</f>
        <v/>
      </c>
      <c r="B41" s="57">
        <f>IF($A41="","",INDEX(Firms!$B$5:$B$1004,MATCH(17,Firms!$S$5:$S$1004,0)))</f>
        <v/>
      </c>
      <c r="C41" s="57">
        <f>IF($A41="","",COUNTIF('AFA Rates'!$A$5:$A$1004,$A41))</f>
        <v/>
      </c>
      <c r="D41" s="57">
        <f>IF(OR($A41="",D$24=""),"",IF(COUNTIFS('AFA Rates'!$A$5:$A$1004,$A41,'AFA Rates'!$B$5:$B$1004,D$24)&gt;0,"✓",""))</f>
        <v/>
      </c>
      <c r="E41" s="57">
        <f>IF(OR($A41="",E$24=""),"",IF(COUNTIFS('AFA Rates'!$A$5:$A$1004,$A41,'AFA Rates'!$B$5:$B$1004,E$24)&gt;0,"✓",""))</f>
        <v/>
      </c>
      <c r="F41" s="57">
        <f>IF(OR($A41="",F$24=""),"",IF(COUNTIFS('AFA Rates'!$A$5:$A$1004,$A41,'AFA Rates'!$B$5:$B$1004,F$24)&gt;0,"✓",""))</f>
        <v/>
      </c>
      <c r="G41" s="57">
        <f>IF(OR($A41="",G$24=""),"",IF(COUNTIFS('AFA Rates'!$A$5:$A$1004,$A41,'AFA Rates'!$B$5:$B$1004,G$24)&gt;0,"✓",""))</f>
        <v/>
      </c>
      <c r="H41" s="57">
        <f>IF(OR($A41="",H$24=""),"",IF(COUNTIFS('AFA Rates'!$A$5:$A$1004,$A41,'AFA Rates'!$B$5:$B$1004,H$24)&gt;0,"✓",""))</f>
        <v/>
      </c>
      <c r="I41" s="57">
        <f>IF(OR($A41="",I$24=""),"",IF(COUNTIFS('AFA Rates'!$A$5:$A$1004,$A41,'AFA Rates'!$B$5:$B$1004,I$24)&gt;0,"✓",""))</f>
        <v/>
      </c>
      <c r="J41" s="57">
        <f>IF(OR($A41="",J$24=""),"",IF(COUNTIFS('AFA Rates'!$A$5:$A$1004,$A41,'AFA Rates'!$B$5:$B$1004,J$24)&gt;0,"✓",""))</f>
        <v/>
      </c>
      <c r="K41" s="57">
        <f>IF(OR($A41="",K$24=""),"",IF(COUNTIFS('AFA Rates'!$A$5:$A$1004,$A41,'AFA Rates'!$B$5:$B$1004,K$24)&gt;0,"✓",""))</f>
        <v/>
      </c>
      <c r="L41" s="57">
        <f>IF(OR($A41="",L$24=""),"",IF(COUNTIFS('AFA Rates'!$A$5:$A$1004,$A41,'AFA Rates'!$B$5:$B$1004,L$24)&gt;0,"✓",""))</f>
        <v/>
      </c>
      <c r="M41" s="57">
        <f>IF(OR($A41="",M$24=""),"",IF(COUNTIFS('AFA Rates'!$A$5:$A$1004,$A41,'AFA Rates'!$B$5:$B$1004,M$24)&gt;0,"✓",""))</f>
        <v/>
      </c>
    </row>
    <row r="42">
      <c r="A42" s="63">
        <f>IFERROR(INDEX(Firms!$A$5:$A$1004,MATCH(18,Firms!$S$5:$S$1004,0)),"")</f>
        <v/>
      </c>
      <c r="B42" s="57">
        <f>IF($A42="","",INDEX(Firms!$B$5:$B$1004,MATCH(18,Firms!$S$5:$S$1004,0)))</f>
        <v/>
      </c>
      <c r="C42" s="57">
        <f>IF($A42="","",COUNTIF('AFA Rates'!$A$5:$A$1004,$A42))</f>
        <v/>
      </c>
      <c r="D42" s="57">
        <f>IF(OR($A42="",D$24=""),"",IF(COUNTIFS('AFA Rates'!$A$5:$A$1004,$A42,'AFA Rates'!$B$5:$B$1004,D$24)&gt;0,"✓",""))</f>
        <v/>
      </c>
      <c r="E42" s="57">
        <f>IF(OR($A42="",E$24=""),"",IF(COUNTIFS('AFA Rates'!$A$5:$A$1004,$A42,'AFA Rates'!$B$5:$B$1004,E$24)&gt;0,"✓",""))</f>
        <v/>
      </c>
      <c r="F42" s="57">
        <f>IF(OR($A42="",F$24=""),"",IF(COUNTIFS('AFA Rates'!$A$5:$A$1004,$A42,'AFA Rates'!$B$5:$B$1004,F$24)&gt;0,"✓",""))</f>
        <v/>
      </c>
      <c r="G42" s="57">
        <f>IF(OR($A42="",G$24=""),"",IF(COUNTIFS('AFA Rates'!$A$5:$A$1004,$A42,'AFA Rates'!$B$5:$B$1004,G$24)&gt;0,"✓",""))</f>
        <v/>
      </c>
      <c r="H42" s="57">
        <f>IF(OR($A42="",H$24=""),"",IF(COUNTIFS('AFA Rates'!$A$5:$A$1004,$A42,'AFA Rates'!$B$5:$B$1004,H$24)&gt;0,"✓",""))</f>
        <v/>
      </c>
      <c r="I42" s="57">
        <f>IF(OR($A42="",I$24=""),"",IF(COUNTIFS('AFA Rates'!$A$5:$A$1004,$A42,'AFA Rates'!$B$5:$B$1004,I$24)&gt;0,"✓",""))</f>
        <v/>
      </c>
      <c r="J42" s="57">
        <f>IF(OR($A42="",J$24=""),"",IF(COUNTIFS('AFA Rates'!$A$5:$A$1004,$A42,'AFA Rates'!$B$5:$B$1004,J$24)&gt;0,"✓",""))</f>
        <v/>
      </c>
      <c r="K42" s="57">
        <f>IF(OR($A42="",K$24=""),"",IF(COUNTIFS('AFA Rates'!$A$5:$A$1004,$A42,'AFA Rates'!$B$5:$B$1004,K$24)&gt;0,"✓",""))</f>
        <v/>
      </c>
      <c r="L42" s="57">
        <f>IF(OR($A42="",L$24=""),"",IF(COUNTIFS('AFA Rates'!$A$5:$A$1004,$A42,'AFA Rates'!$B$5:$B$1004,L$24)&gt;0,"✓",""))</f>
        <v/>
      </c>
      <c r="M42" s="57">
        <f>IF(OR($A42="",M$24=""),"",IF(COUNTIFS('AFA Rates'!$A$5:$A$1004,$A42,'AFA Rates'!$B$5:$B$1004,M$24)&gt;0,"✓",""))</f>
        <v/>
      </c>
    </row>
    <row r="43">
      <c r="A43" s="63">
        <f>IFERROR(INDEX(Firms!$A$5:$A$1004,MATCH(19,Firms!$S$5:$S$1004,0)),"")</f>
        <v/>
      </c>
      <c r="B43" s="57">
        <f>IF($A43="","",INDEX(Firms!$B$5:$B$1004,MATCH(19,Firms!$S$5:$S$1004,0)))</f>
        <v/>
      </c>
      <c r="C43" s="57">
        <f>IF($A43="","",COUNTIF('AFA Rates'!$A$5:$A$1004,$A43))</f>
        <v/>
      </c>
      <c r="D43" s="57">
        <f>IF(OR($A43="",D$24=""),"",IF(COUNTIFS('AFA Rates'!$A$5:$A$1004,$A43,'AFA Rates'!$B$5:$B$1004,D$24)&gt;0,"✓",""))</f>
        <v/>
      </c>
      <c r="E43" s="57">
        <f>IF(OR($A43="",E$24=""),"",IF(COUNTIFS('AFA Rates'!$A$5:$A$1004,$A43,'AFA Rates'!$B$5:$B$1004,E$24)&gt;0,"✓",""))</f>
        <v/>
      </c>
      <c r="F43" s="57">
        <f>IF(OR($A43="",F$24=""),"",IF(COUNTIFS('AFA Rates'!$A$5:$A$1004,$A43,'AFA Rates'!$B$5:$B$1004,F$24)&gt;0,"✓",""))</f>
        <v/>
      </c>
      <c r="G43" s="57">
        <f>IF(OR($A43="",G$24=""),"",IF(COUNTIFS('AFA Rates'!$A$5:$A$1004,$A43,'AFA Rates'!$B$5:$B$1004,G$24)&gt;0,"✓",""))</f>
        <v/>
      </c>
      <c r="H43" s="57">
        <f>IF(OR($A43="",H$24=""),"",IF(COUNTIFS('AFA Rates'!$A$5:$A$1004,$A43,'AFA Rates'!$B$5:$B$1004,H$24)&gt;0,"✓",""))</f>
        <v/>
      </c>
      <c r="I43" s="57">
        <f>IF(OR($A43="",I$24=""),"",IF(COUNTIFS('AFA Rates'!$A$5:$A$1004,$A43,'AFA Rates'!$B$5:$B$1004,I$24)&gt;0,"✓",""))</f>
        <v/>
      </c>
      <c r="J43" s="57">
        <f>IF(OR($A43="",J$24=""),"",IF(COUNTIFS('AFA Rates'!$A$5:$A$1004,$A43,'AFA Rates'!$B$5:$B$1004,J$24)&gt;0,"✓",""))</f>
        <v/>
      </c>
      <c r="K43" s="57">
        <f>IF(OR($A43="",K$24=""),"",IF(COUNTIFS('AFA Rates'!$A$5:$A$1004,$A43,'AFA Rates'!$B$5:$B$1004,K$24)&gt;0,"✓",""))</f>
        <v/>
      </c>
      <c r="L43" s="57">
        <f>IF(OR($A43="",L$24=""),"",IF(COUNTIFS('AFA Rates'!$A$5:$A$1004,$A43,'AFA Rates'!$B$5:$B$1004,L$24)&gt;0,"✓",""))</f>
        <v/>
      </c>
      <c r="M43" s="57">
        <f>IF(OR($A43="",M$24=""),"",IF(COUNTIFS('AFA Rates'!$A$5:$A$1004,$A43,'AFA Rates'!$B$5:$B$1004,M$24)&gt;0,"✓",""))</f>
        <v/>
      </c>
    </row>
    <row r="44">
      <c r="A44" s="63">
        <f>IFERROR(INDEX(Firms!$A$5:$A$1004,MATCH(20,Firms!$S$5:$S$1004,0)),"")</f>
        <v/>
      </c>
      <c r="B44" s="57">
        <f>IF($A44="","",INDEX(Firms!$B$5:$B$1004,MATCH(20,Firms!$S$5:$S$1004,0)))</f>
        <v/>
      </c>
      <c r="C44" s="57">
        <f>IF($A44="","",COUNTIF('AFA Rates'!$A$5:$A$1004,$A44))</f>
        <v/>
      </c>
      <c r="D44" s="57">
        <f>IF(OR($A44="",D$24=""),"",IF(COUNTIFS('AFA Rates'!$A$5:$A$1004,$A44,'AFA Rates'!$B$5:$B$1004,D$24)&gt;0,"✓",""))</f>
        <v/>
      </c>
      <c r="E44" s="57">
        <f>IF(OR($A44="",E$24=""),"",IF(COUNTIFS('AFA Rates'!$A$5:$A$1004,$A44,'AFA Rates'!$B$5:$B$1004,E$24)&gt;0,"✓",""))</f>
        <v/>
      </c>
      <c r="F44" s="57">
        <f>IF(OR($A44="",F$24=""),"",IF(COUNTIFS('AFA Rates'!$A$5:$A$1004,$A44,'AFA Rates'!$B$5:$B$1004,F$24)&gt;0,"✓",""))</f>
        <v/>
      </c>
      <c r="G44" s="57">
        <f>IF(OR($A44="",G$24=""),"",IF(COUNTIFS('AFA Rates'!$A$5:$A$1004,$A44,'AFA Rates'!$B$5:$B$1004,G$24)&gt;0,"✓",""))</f>
        <v/>
      </c>
      <c r="H44" s="57">
        <f>IF(OR($A44="",H$24=""),"",IF(COUNTIFS('AFA Rates'!$A$5:$A$1004,$A44,'AFA Rates'!$B$5:$B$1004,H$24)&gt;0,"✓",""))</f>
        <v/>
      </c>
      <c r="I44" s="57">
        <f>IF(OR($A44="",I$24=""),"",IF(COUNTIFS('AFA Rates'!$A$5:$A$1004,$A44,'AFA Rates'!$B$5:$B$1004,I$24)&gt;0,"✓",""))</f>
        <v/>
      </c>
      <c r="J44" s="57">
        <f>IF(OR($A44="",J$24=""),"",IF(COUNTIFS('AFA Rates'!$A$5:$A$1004,$A44,'AFA Rates'!$B$5:$B$1004,J$24)&gt;0,"✓",""))</f>
        <v/>
      </c>
      <c r="K44" s="57">
        <f>IF(OR($A44="",K$24=""),"",IF(COUNTIFS('AFA Rates'!$A$5:$A$1004,$A44,'AFA Rates'!$B$5:$B$1004,K$24)&gt;0,"✓",""))</f>
        <v/>
      </c>
      <c r="L44" s="57">
        <f>IF(OR($A44="",L$24=""),"",IF(COUNTIFS('AFA Rates'!$A$5:$A$1004,$A44,'AFA Rates'!$B$5:$B$1004,L$24)&gt;0,"✓",""))</f>
        <v/>
      </c>
      <c r="M44" s="57">
        <f>IF(OR($A44="",M$24=""),"",IF(COUNTIFS('AFA Rates'!$A$5:$A$1004,$A44,'AFA Rates'!$B$5:$B$1004,M$24)&gt;0,"✓",""))</f>
        <v/>
      </c>
    </row>
    <row r="45">
      <c r="A45" s="63">
        <f>IFERROR(INDEX(Firms!$A$5:$A$1004,MATCH(21,Firms!$S$5:$S$1004,0)),"")</f>
        <v/>
      </c>
      <c r="B45" s="57">
        <f>IF($A45="","",INDEX(Firms!$B$5:$B$1004,MATCH(21,Firms!$S$5:$S$1004,0)))</f>
        <v/>
      </c>
      <c r="C45" s="57">
        <f>IF($A45="","",COUNTIF('AFA Rates'!$A$5:$A$1004,$A45))</f>
        <v/>
      </c>
      <c r="D45" s="57">
        <f>IF(OR($A45="",D$24=""),"",IF(COUNTIFS('AFA Rates'!$A$5:$A$1004,$A45,'AFA Rates'!$B$5:$B$1004,D$24)&gt;0,"✓",""))</f>
        <v/>
      </c>
      <c r="E45" s="57">
        <f>IF(OR($A45="",E$24=""),"",IF(COUNTIFS('AFA Rates'!$A$5:$A$1004,$A45,'AFA Rates'!$B$5:$B$1004,E$24)&gt;0,"✓",""))</f>
        <v/>
      </c>
      <c r="F45" s="57">
        <f>IF(OR($A45="",F$24=""),"",IF(COUNTIFS('AFA Rates'!$A$5:$A$1004,$A45,'AFA Rates'!$B$5:$B$1004,F$24)&gt;0,"✓",""))</f>
        <v/>
      </c>
      <c r="G45" s="57">
        <f>IF(OR($A45="",G$24=""),"",IF(COUNTIFS('AFA Rates'!$A$5:$A$1004,$A45,'AFA Rates'!$B$5:$B$1004,G$24)&gt;0,"✓",""))</f>
        <v/>
      </c>
      <c r="H45" s="57">
        <f>IF(OR($A45="",H$24=""),"",IF(COUNTIFS('AFA Rates'!$A$5:$A$1004,$A45,'AFA Rates'!$B$5:$B$1004,H$24)&gt;0,"✓",""))</f>
        <v/>
      </c>
      <c r="I45" s="57">
        <f>IF(OR($A45="",I$24=""),"",IF(COUNTIFS('AFA Rates'!$A$5:$A$1004,$A45,'AFA Rates'!$B$5:$B$1004,I$24)&gt;0,"✓",""))</f>
        <v/>
      </c>
      <c r="J45" s="57">
        <f>IF(OR($A45="",J$24=""),"",IF(COUNTIFS('AFA Rates'!$A$5:$A$1004,$A45,'AFA Rates'!$B$5:$B$1004,J$24)&gt;0,"✓",""))</f>
        <v/>
      </c>
      <c r="K45" s="57">
        <f>IF(OR($A45="",K$24=""),"",IF(COUNTIFS('AFA Rates'!$A$5:$A$1004,$A45,'AFA Rates'!$B$5:$B$1004,K$24)&gt;0,"✓",""))</f>
        <v/>
      </c>
      <c r="L45" s="57">
        <f>IF(OR($A45="",L$24=""),"",IF(COUNTIFS('AFA Rates'!$A$5:$A$1004,$A45,'AFA Rates'!$B$5:$B$1004,L$24)&gt;0,"✓",""))</f>
        <v/>
      </c>
      <c r="M45" s="57">
        <f>IF(OR($A45="",M$24=""),"",IF(COUNTIFS('AFA Rates'!$A$5:$A$1004,$A45,'AFA Rates'!$B$5:$B$1004,M$24)&gt;0,"✓",""))</f>
        <v/>
      </c>
    </row>
    <row r="46">
      <c r="A46" s="63">
        <f>IFERROR(INDEX(Firms!$A$5:$A$1004,MATCH(22,Firms!$S$5:$S$1004,0)),"")</f>
        <v/>
      </c>
      <c r="B46" s="57">
        <f>IF($A46="","",INDEX(Firms!$B$5:$B$1004,MATCH(22,Firms!$S$5:$S$1004,0)))</f>
        <v/>
      </c>
      <c r="C46" s="57">
        <f>IF($A46="","",COUNTIF('AFA Rates'!$A$5:$A$1004,$A46))</f>
        <v/>
      </c>
      <c r="D46" s="57">
        <f>IF(OR($A46="",D$24=""),"",IF(COUNTIFS('AFA Rates'!$A$5:$A$1004,$A46,'AFA Rates'!$B$5:$B$1004,D$24)&gt;0,"✓",""))</f>
        <v/>
      </c>
      <c r="E46" s="57">
        <f>IF(OR($A46="",E$24=""),"",IF(COUNTIFS('AFA Rates'!$A$5:$A$1004,$A46,'AFA Rates'!$B$5:$B$1004,E$24)&gt;0,"✓",""))</f>
        <v/>
      </c>
      <c r="F46" s="57">
        <f>IF(OR($A46="",F$24=""),"",IF(COUNTIFS('AFA Rates'!$A$5:$A$1004,$A46,'AFA Rates'!$B$5:$B$1004,F$24)&gt;0,"✓",""))</f>
        <v/>
      </c>
      <c r="G46" s="57">
        <f>IF(OR($A46="",G$24=""),"",IF(COUNTIFS('AFA Rates'!$A$5:$A$1004,$A46,'AFA Rates'!$B$5:$B$1004,G$24)&gt;0,"✓",""))</f>
        <v/>
      </c>
      <c r="H46" s="57">
        <f>IF(OR($A46="",H$24=""),"",IF(COUNTIFS('AFA Rates'!$A$5:$A$1004,$A46,'AFA Rates'!$B$5:$B$1004,H$24)&gt;0,"✓",""))</f>
        <v/>
      </c>
      <c r="I46" s="57">
        <f>IF(OR($A46="",I$24=""),"",IF(COUNTIFS('AFA Rates'!$A$5:$A$1004,$A46,'AFA Rates'!$B$5:$B$1004,I$24)&gt;0,"✓",""))</f>
        <v/>
      </c>
      <c r="J46" s="57">
        <f>IF(OR($A46="",J$24=""),"",IF(COUNTIFS('AFA Rates'!$A$5:$A$1004,$A46,'AFA Rates'!$B$5:$B$1004,J$24)&gt;0,"✓",""))</f>
        <v/>
      </c>
      <c r="K46" s="57">
        <f>IF(OR($A46="",K$24=""),"",IF(COUNTIFS('AFA Rates'!$A$5:$A$1004,$A46,'AFA Rates'!$B$5:$B$1004,K$24)&gt;0,"✓",""))</f>
        <v/>
      </c>
      <c r="L46" s="57">
        <f>IF(OR($A46="",L$24=""),"",IF(COUNTIFS('AFA Rates'!$A$5:$A$1004,$A46,'AFA Rates'!$B$5:$B$1004,L$24)&gt;0,"✓",""))</f>
        <v/>
      </c>
      <c r="M46" s="57">
        <f>IF(OR($A46="",M$24=""),"",IF(COUNTIFS('AFA Rates'!$A$5:$A$1004,$A46,'AFA Rates'!$B$5:$B$1004,M$24)&gt;0,"✓",""))</f>
        <v/>
      </c>
    </row>
    <row r="47">
      <c r="A47" s="63">
        <f>IFERROR(INDEX(Firms!$A$5:$A$1004,MATCH(23,Firms!$S$5:$S$1004,0)),"")</f>
        <v/>
      </c>
      <c r="B47" s="57">
        <f>IF($A47="","",INDEX(Firms!$B$5:$B$1004,MATCH(23,Firms!$S$5:$S$1004,0)))</f>
        <v/>
      </c>
      <c r="C47" s="57">
        <f>IF($A47="","",COUNTIF('AFA Rates'!$A$5:$A$1004,$A47))</f>
        <v/>
      </c>
      <c r="D47" s="57">
        <f>IF(OR($A47="",D$24=""),"",IF(COUNTIFS('AFA Rates'!$A$5:$A$1004,$A47,'AFA Rates'!$B$5:$B$1004,D$24)&gt;0,"✓",""))</f>
        <v/>
      </c>
      <c r="E47" s="57">
        <f>IF(OR($A47="",E$24=""),"",IF(COUNTIFS('AFA Rates'!$A$5:$A$1004,$A47,'AFA Rates'!$B$5:$B$1004,E$24)&gt;0,"✓",""))</f>
        <v/>
      </c>
      <c r="F47" s="57">
        <f>IF(OR($A47="",F$24=""),"",IF(COUNTIFS('AFA Rates'!$A$5:$A$1004,$A47,'AFA Rates'!$B$5:$B$1004,F$24)&gt;0,"✓",""))</f>
        <v/>
      </c>
      <c r="G47" s="57">
        <f>IF(OR($A47="",G$24=""),"",IF(COUNTIFS('AFA Rates'!$A$5:$A$1004,$A47,'AFA Rates'!$B$5:$B$1004,G$24)&gt;0,"✓",""))</f>
        <v/>
      </c>
      <c r="H47" s="57">
        <f>IF(OR($A47="",H$24=""),"",IF(COUNTIFS('AFA Rates'!$A$5:$A$1004,$A47,'AFA Rates'!$B$5:$B$1004,H$24)&gt;0,"✓",""))</f>
        <v/>
      </c>
      <c r="I47" s="57">
        <f>IF(OR($A47="",I$24=""),"",IF(COUNTIFS('AFA Rates'!$A$5:$A$1004,$A47,'AFA Rates'!$B$5:$B$1004,I$24)&gt;0,"✓",""))</f>
        <v/>
      </c>
      <c r="J47" s="57">
        <f>IF(OR($A47="",J$24=""),"",IF(COUNTIFS('AFA Rates'!$A$5:$A$1004,$A47,'AFA Rates'!$B$5:$B$1004,J$24)&gt;0,"✓",""))</f>
        <v/>
      </c>
      <c r="K47" s="57">
        <f>IF(OR($A47="",K$24=""),"",IF(COUNTIFS('AFA Rates'!$A$5:$A$1004,$A47,'AFA Rates'!$B$5:$B$1004,K$24)&gt;0,"✓",""))</f>
        <v/>
      </c>
      <c r="L47" s="57">
        <f>IF(OR($A47="",L$24=""),"",IF(COUNTIFS('AFA Rates'!$A$5:$A$1004,$A47,'AFA Rates'!$B$5:$B$1004,L$24)&gt;0,"✓",""))</f>
        <v/>
      </c>
      <c r="M47" s="57">
        <f>IF(OR($A47="",M$24=""),"",IF(COUNTIFS('AFA Rates'!$A$5:$A$1004,$A47,'AFA Rates'!$B$5:$B$1004,M$24)&gt;0,"✓",""))</f>
        <v/>
      </c>
    </row>
    <row r="48">
      <c r="A48" s="63">
        <f>IFERROR(INDEX(Firms!$A$5:$A$1004,MATCH(24,Firms!$S$5:$S$1004,0)),"")</f>
        <v/>
      </c>
      <c r="B48" s="57">
        <f>IF($A48="","",INDEX(Firms!$B$5:$B$1004,MATCH(24,Firms!$S$5:$S$1004,0)))</f>
        <v/>
      </c>
      <c r="C48" s="57">
        <f>IF($A48="","",COUNTIF('AFA Rates'!$A$5:$A$1004,$A48))</f>
        <v/>
      </c>
      <c r="D48" s="57">
        <f>IF(OR($A48="",D$24=""),"",IF(COUNTIFS('AFA Rates'!$A$5:$A$1004,$A48,'AFA Rates'!$B$5:$B$1004,D$24)&gt;0,"✓",""))</f>
        <v/>
      </c>
      <c r="E48" s="57">
        <f>IF(OR($A48="",E$24=""),"",IF(COUNTIFS('AFA Rates'!$A$5:$A$1004,$A48,'AFA Rates'!$B$5:$B$1004,E$24)&gt;0,"✓",""))</f>
        <v/>
      </c>
      <c r="F48" s="57">
        <f>IF(OR($A48="",F$24=""),"",IF(COUNTIFS('AFA Rates'!$A$5:$A$1004,$A48,'AFA Rates'!$B$5:$B$1004,F$24)&gt;0,"✓",""))</f>
        <v/>
      </c>
      <c r="G48" s="57">
        <f>IF(OR($A48="",G$24=""),"",IF(COUNTIFS('AFA Rates'!$A$5:$A$1004,$A48,'AFA Rates'!$B$5:$B$1004,G$24)&gt;0,"✓",""))</f>
        <v/>
      </c>
      <c r="H48" s="57">
        <f>IF(OR($A48="",H$24=""),"",IF(COUNTIFS('AFA Rates'!$A$5:$A$1004,$A48,'AFA Rates'!$B$5:$B$1004,H$24)&gt;0,"✓",""))</f>
        <v/>
      </c>
      <c r="I48" s="57">
        <f>IF(OR($A48="",I$24=""),"",IF(COUNTIFS('AFA Rates'!$A$5:$A$1004,$A48,'AFA Rates'!$B$5:$B$1004,I$24)&gt;0,"✓",""))</f>
        <v/>
      </c>
      <c r="J48" s="57">
        <f>IF(OR($A48="",J$24=""),"",IF(COUNTIFS('AFA Rates'!$A$5:$A$1004,$A48,'AFA Rates'!$B$5:$B$1004,J$24)&gt;0,"✓",""))</f>
        <v/>
      </c>
      <c r="K48" s="57">
        <f>IF(OR($A48="",K$24=""),"",IF(COUNTIFS('AFA Rates'!$A$5:$A$1004,$A48,'AFA Rates'!$B$5:$B$1004,K$24)&gt;0,"✓",""))</f>
        <v/>
      </c>
      <c r="L48" s="57">
        <f>IF(OR($A48="",L$24=""),"",IF(COUNTIFS('AFA Rates'!$A$5:$A$1004,$A48,'AFA Rates'!$B$5:$B$1004,L$24)&gt;0,"✓",""))</f>
        <v/>
      </c>
      <c r="M48" s="57">
        <f>IF(OR($A48="",M$24=""),"",IF(COUNTIFS('AFA Rates'!$A$5:$A$1004,$A48,'AFA Rates'!$B$5:$B$1004,M$24)&gt;0,"✓",""))</f>
        <v/>
      </c>
    </row>
    <row r="49">
      <c r="A49" s="63">
        <f>IFERROR(INDEX(Firms!$A$5:$A$1004,MATCH(25,Firms!$S$5:$S$1004,0)),"")</f>
        <v/>
      </c>
      <c r="B49" s="57">
        <f>IF($A49="","",INDEX(Firms!$B$5:$B$1004,MATCH(25,Firms!$S$5:$S$1004,0)))</f>
        <v/>
      </c>
      <c r="C49" s="57">
        <f>IF($A49="","",COUNTIF('AFA Rates'!$A$5:$A$1004,$A49))</f>
        <v/>
      </c>
      <c r="D49" s="57">
        <f>IF(OR($A49="",D$24=""),"",IF(COUNTIFS('AFA Rates'!$A$5:$A$1004,$A49,'AFA Rates'!$B$5:$B$1004,D$24)&gt;0,"✓",""))</f>
        <v/>
      </c>
      <c r="E49" s="57">
        <f>IF(OR($A49="",E$24=""),"",IF(COUNTIFS('AFA Rates'!$A$5:$A$1004,$A49,'AFA Rates'!$B$5:$B$1004,E$24)&gt;0,"✓",""))</f>
        <v/>
      </c>
      <c r="F49" s="57">
        <f>IF(OR($A49="",F$24=""),"",IF(COUNTIFS('AFA Rates'!$A$5:$A$1004,$A49,'AFA Rates'!$B$5:$B$1004,F$24)&gt;0,"✓",""))</f>
        <v/>
      </c>
      <c r="G49" s="57">
        <f>IF(OR($A49="",G$24=""),"",IF(COUNTIFS('AFA Rates'!$A$5:$A$1004,$A49,'AFA Rates'!$B$5:$B$1004,G$24)&gt;0,"✓",""))</f>
        <v/>
      </c>
      <c r="H49" s="57">
        <f>IF(OR($A49="",H$24=""),"",IF(COUNTIFS('AFA Rates'!$A$5:$A$1004,$A49,'AFA Rates'!$B$5:$B$1004,H$24)&gt;0,"✓",""))</f>
        <v/>
      </c>
      <c r="I49" s="57">
        <f>IF(OR($A49="",I$24=""),"",IF(COUNTIFS('AFA Rates'!$A$5:$A$1004,$A49,'AFA Rates'!$B$5:$B$1004,I$24)&gt;0,"✓",""))</f>
        <v/>
      </c>
      <c r="J49" s="57">
        <f>IF(OR($A49="",J$24=""),"",IF(COUNTIFS('AFA Rates'!$A$5:$A$1004,$A49,'AFA Rates'!$B$5:$B$1004,J$24)&gt;0,"✓",""))</f>
        <v/>
      </c>
      <c r="K49" s="57">
        <f>IF(OR($A49="",K$24=""),"",IF(COUNTIFS('AFA Rates'!$A$5:$A$1004,$A49,'AFA Rates'!$B$5:$B$1004,K$24)&gt;0,"✓",""))</f>
        <v/>
      </c>
      <c r="L49" s="57">
        <f>IF(OR($A49="",L$24=""),"",IF(COUNTIFS('AFA Rates'!$A$5:$A$1004,$A49,'AFA Rates'!$B$5:$B$1004,L$24)&gt;0,"✓",""))</f>
        <v/>
      </c>
      <c r="M49" s="57">
        <f>IF(OR($A49="",M$24=""),"",IF(COUNTIFS('AFA Rates'!$A$5:$A$1004,$A49,'AFA Rates'!$B$5:$B$1004,M$24)&gt;0,"✓",""))</f>
        <v/>
      </c>
    </row>
    <row r="50">
      <c r="A50" s="63">
        <f>IFERROR(INDEX(Firms!$A$5:$A$1004,MATCH(26,Firms!$S$5:$S$1004,0)),"")</f>
        <v/>
      </c>
      <c r="B50" s="57">
        <f>IF($A50="","",INDEX(Firms!$B$5:$B$1004,MATCH(26,Firms!$S$5:$S$1004,0)))</f>
        <v/>
      </c>
      <c r="C50" s="57">
        <f>IF($A50="","",COUNTIF('AFA Rates'!$A$5:$A$1004,$A50))</f>
        <v/>
      </c>
      <c r="D50" s="57">
        <f>IF(OR($A50="",D$24=""),"",IF(COUNTIFS('AFA Rates'!$A$5:$A$1004,$A50,'AFA Rates'!$B$5:$B$1004,D$24)&gt;0,"✓",""))</f>
        <v/>
      </c>
      <c r="E50" s="57">
        <f>IF(OR($A50="",E$24=""),"",IF(COUNTIFS('AFA Rates'!$A$5:$A$1004,$A50,'AFA Rates'!$B$5:$B$1004,E$24)&gt;0,"✓",""))</f>
        <v/>
      </c>
      <c r="F50" s="57">
        <f>IF(OR($A50="",F$24=""),"",IF(COUNTIFS('AFA Rates'!$A$5:$A$1004,$A50,'AFA Rates'!$B$5:$B$1004,F$24)&gt;0,"✓",""))</f>
        <v/>
      </c>
      <c r="G50" s="57">
        <f>IF(OR($A50="",G$24=""),"",IF(COUNTIFS('AFA Rates'!$A$5:$A$1004,$A50,'AFA Rates'!$B$5:$B$1004,G$24)&gt;0,"✓",""))</f>
        <v/>
      </c>
      <c r="H50" s="57">
        <f>IF(OR($A50="",H$24=""),"",IF(COUNTIFS('AFA Rates'!$A$5:$A$1004,$A50,'AFA Rates'!$B$5:$B$1004,H$24)&gt;0,"✓",""))</f>
        <v/>
      </c>
      <c r="I50" s="57">
        <f>IF(OR($A50="",I$24=""),"",IF(COUNTIFS('AFA Rates'!$A$5:$A$1004,$A50,'AFA Rates'!$B$5:$B$1004,I$24)&gt;0,"✓",""))</f>
        <v/>
      </c>
      <c r="J50" s="57">
        <f>IF(OR($A50="",J$24=""),"",IF(COUNTIFS('AFA Rates'!$A$5:$A$1004,$A50,'AFA Rates'!$B$5:$B$1004,J$24)&gt;0,"✓",""))</f>
        <v/>
      </c>
      <c r="K50" s="57">
        <f>IF(OR($A50="",K$24=""),"",IF(COUNTIFS('AFA Rates'!$A$5:$A$1004,$A50,'AFA Rates'!$B$5:$B$1004,K$24)&gt;0,"✓",""))</f>
        <v/>
      </c>
      <c r="L50" s="57">
        <f>IF(OR($A50="",L$24=""),"",IF(COUNTIFS('AFA Rates'!$A$5:$A$1004,$A50,'AFA Rates'!$B$5:$B$1004,L$24)&gt;0,"✓",""))</f>
        <v/>
      </c>
      <c r="M50" s="57">
        <f>IF(OR($A50="",M$24=""),"",IF(COUNTIFS('AFA Rates'!$A$5:$A$1004,$A50,'AFA Rates'!$B$5:$B$1004,M$24)&gt;0,"✓",""))</f>
        <v/>
      </c>
    </row>
    <row r="51">
      <c r="A51" s="63">
        <f>IFERROR(INDEX(Firms!$A$5:$A$1004,MATCH(27,Firms!$S$5:$S$1004,0)),"")</f>
        <v/>
      </c>
      <c r="B51" s="57">
        <f>IF($A51="","",INDEX(Firms!$B$5:$B$1004,MATCH(27,Firms!$S$5:$S$1004,0)))</f>
        <v/>
      </c>
      <c r="C51" s="57">
        <f>IF($A51="","",COUNTIF('AFA Rates'!$A$5:$A$1004,$A51))</f>
        <v/>
      </c>
      <c r="D51" s="57">
        <f>IF(OR($A51="",D$24=""),"",IF(COUNTIFS('AFA Rates'!$A$5:$A$1004,$A51,'AFA Rates'!$B$5:$B$1004,D$24)&gt;0,"✓",""))</f>
        <v/>
      </c>
      <c r="E51" s="57">
        <f>IF(OR($A51="",E$24=""),"",IF(COUNTIFS('AFA Rates'!$A$5:$A$1004,$A51,'AFA Rates'!$B$5:$B$1004,E$24)&gt;0,"✓",""))</f>
        <v/>
      </c>
      <c r="F51" s="57">
        <f>IF(OR($A51="",F$24=""),"",IF(COUNTIFS('AFA Rates'!$A$5:$A$1004,$A51,'AFA Rates'!$B$5:$B$1004,F$24)&gt;0,"✓",""))</f>
        <v/>
      </c>
      <c r="G51" s="57">
        <f>IF(OR($A51="",G$24=""),"",IF(COUNTIFS('AFA Rates'!$A$5:$A$1004,$A51,'AFA Rates'!$B$5:$B$1004,G$24)&gt;0,"✓",""))</f>
        <v/>
      </c>
      <c r="H51" s="57">
        <f>IF(OR($A51="",H$24=""),"",IF(COUNTIFS('AFA Rates'!$A$5:$A$1004,$A51,'AFA Rates'!$B$5:$B$1004,H$24)&gt;0,"✓",""))</f>
        <v/>
      </c>
      <c r="I51" s="57">
        <f>IF(OR($A51="",I$24=""),"",IF(COUNTIFS('AFA Rates'!$A$5:$A$1004,$A51,'AFA Rates'!$B$5:$B$1004,I$24)&gt;0,"✓",""))</f>
        <v/>
      </c>
      <c r="J51" s="57">
        <f>IF(OR($A51="",J$24=""),"",IF(COUNTIFS('AFA Rates'!$A$5:$A$1004,$A51,'AFA Rates'!$B$5:$B$1004,J$24)&gt;0,"✓",""))</f>
        <v/>
      </c>
      <c r="K51" s="57">
        <f>IF(OR($A51="",K$24=""),"",IF(COUNTIFS('AFA Rates'!$A$5:$A$1004,$A51,'AFA Rates'!$B$5:$B$1004,K$24)&gt;0,"✓",""))</f>
        <v/>
      </c>
      <c r="L51" s="57">
        <f>IF(OR($A51="",L$24=""),"",IF(COUNTIFS('AFA Rates'!$A$5:$A$1004,$A51,'AFA Rates'!$B$5:$B$1004,L$24)&gt;0,"✓",""))</f>
        <v/>
      </c>
      <c r="M51" s="57">
        <f>IF(OR($A51="",M$24=""),"",IF(COUNTIFS('AFA Rates'!$A$5:$A$1004,$A51,'AFA Rates'!$B$5:$B$1004,M$24)&gt;0,"✓",""))</f>
        <v/>
      </c>
    </row>
    <row r="52">
      <c r="A52" s="63">
        <f>IFERROR(INDEX(Firms!$A$5:$A$1004,MATCH(28,Firms!$S$5:$S$1004,0)),"")</f>
        <v/>
      </c>
      <c r="B52" s="57">
        <f>IF($A52="","",INDEX(Firms!$B$5:$B$1004,MATCH(28,Firms!$S$5:$S$1004,0)))</f>
        <v/>
      </c>
      <c r="C52" s="57">
        <f>IF($A52="","",COUNTIF('AFA Rates'!$A$5:$A$1004,$A52))</f>
        <v/>
      </c>
      <c r="D52" s="57">
        <f>IF(OR($A52="",D$24=""),"",IF(COUNTIFS('AFA Rates'!$A$5:$A$1004,$A52,'AFA Rates'!$B$5:$B$1004,D$24)&gt;0,"✓",""))</f>
        <v/>
      </c>
      <c r="E52" s="57">
        <f>IF(OR($A52="",E$24=""),"",IF(COUNTIFS('AFA Rates'!$A$5:$A$1004,$A52,'AFA Rates'!$B$5:$B$1004,E$24)&gt;0,"✓",""))</f>
        <v/>
      </c>
      <c r="F52" s="57">
        <f>IF(OR($A52="",F$24=""),"",IF(COUNTIFS('AFA Rates'!$A$5:$A$1004,$A52,'AFA Rates'!$B$5:$B$1004,F$24)&gt;0,"✓",""))</f>
        <v/>
      </c>
      <c r="G52" s="57">
        <f>IF(OR($A52="",G$24=""),"",IF(COUNTIFS('AFA Rates'!$A$5:$A$1004,$A52,'AFA Rates'!$B$5:$B$1004,G$24)&gt;0,"✓",""))</f>
        <v/>
      </c>
      <c r="H52" s="57">
        <f>IF(OR($A52="",H$24=""),"",IF(COUNTIFS('AFA Rates'!$A$5:$A$1004,$A52,'AFA Rates'!$B$5:$B$1004,H$24)&gt;0,"✓",""))</f>
        <v/>
      </c>
      <c r="I52" s="57">
        <f>IF(OR($A52="",I$24=""),"",IF(COUNTIFS('AFA Rates'!$A$5:$A$1004,$A52,'AFA Rates'!$B$5:$B$1004,I$24)&gt;0,"✓",""))</f>
        <v/>
      </c>
      <c r="J52" s="57">
        <f>IF(OR($A52="",J$24=""),"",IF(COUNTIFS('AFA Rates'!$A$5:$A$1004,$A52,'AFA Rates'!$B$5:$B$1004,J$24)&gt;0,"✓",""))</f>
        <v/>
      </c>
      <c r="K52" s="57">
        <f>IF(OR($A52="",K$24=""),"",IF(COUNTIFS('AFA Rates'!$A$5:$A$1004,$A52,'AFA Rates'!$B$5:$B$1004,K$24)&gt;0,"✓",""))</f>
        <v/>
      </c>
      <c r="L52" s="57">
        <f>IF(OR($A52="",L$24=""),"",IF(COUNTIFS('AFA Rates'!$A$5:$A$1004,$A52,'AFA Rates'!$B$5:$B$1004,L$24)&gt;0,"✓",""))</f>
        <v/>
      </c>
      <c r="M52" s="57">
        <f>IF(OR($A52="",M$24=""),"",IF(COUNTIFS('AFA Rates'!$A$5:$A$1004,$A52,'AFA Rates'!$B$5:$B$1004,M$24)&gt;0,"✓",""))</f>
        <v/>
      </c>
    </row>
    <row r="53">
      <c r="A53" s="63">
        <f>IFERROR(INDEX(Firms!$A$5:$A$1004,MATCH(29,Firms!$S$5:$S$1004,0)),"")</f>
        <v/>
      </c>
      <c r="B53" s="57">
        <f>IF($A53="","",INDEX(Firms!$B$5:$B$1004,MATCH(29,Firms!$S$5:$S$1004,0)))</f>
        <v/>
      </c>
      <c r="C53" s="57">
        <f>IF($A53="","",COUNTIF('AFA Rates'!$A$5:$A$1004,$A53))</f>
        <v/>
      </c>
      <c r="D53" s="57">
        <f>IF(OR($A53="",D$24=""),"",IF(COUNTIFS('AFA Rates'!$A$5:$A$1004,$A53,'AFA Rates'!$B$5:$B$1004,D$24)&gt;0,"✓",""))</f>
        <v/>
      </c>
      <c r="E53" s="57">
        <f>IF(OR($A53="",E$24=""),"",IF(COUNTIFS('AFA Rates'!$A$5:$A$1004,$A53,'AFA Rates'!$B$5:$B$1004,E$24)&gt;0,"✓",""))</f>
        <v/>
      </c>
      <c r="F53" s="57">
        <f>IF(OR($A53="",F$24=""),"",IF(COUNTIFS('AFA Rates'!$A$5:$A$1004,$A53,'AFA Rates'!$B$5:$B$1004,F$24)&gt;0,"✓",""))</f>
        <v/>
      </c>
      <c r="G53" s="57">
        <f>IF(OR($A53="",G$24=""),"",IF(COUNTIFS('AFA Rates'!$A$5:$A$1004,$A53,'AFA Rates'!$B$5:$B$1004,G$24)&gt;0,"✓",""))</f>
        <v/>
      </c>
      <c r="H53" s="57">
        <f>IF(OR($A53="",H$24=""),"",IF(COUNTIFS('AFA Rates'!$A$5:$A$1004,$A53,'AFA Rates'!$B$5:$B$1004,H$24)&gt;0,"✓",""))</f>
        <v/>
      </c>
      <c r="I53" s="57">
        <f>IF(OR($A53="",I$24=""),"",IF(COUNTIFS('AFA Rates'!$A$5:$A$1004,$A53,'AFA Rates'!$B$5:$B$1004,I$24)&gt;0,"✓",""))</f>
        <v/>
      </c>
      <c r="J53" s="57">
        <f>IF(OR($A53="",J$24=""),"",IF(COUNTIFS('AFA Rates'!$A$5:$A$1004,$A53,'AFA Rates'!$B$5:$B$1004,J$24)&gt;0,"✓",""))</f>
        <v/>
      </c>
      <c r="K53" s="57">
        <f>IF(OR($A53="",K$24=""),"",IF(COUNTIFS('AFA Rates'!$A$5:$A$1004,$A53,'AFA Rates'!$B$5:$B$1004,K$24)&gt;0,"✓",""))</f>
        <v/>
      </c>
      <c r="L53" s="57">
        <f>IF(OR($A53="",L$24=""),"",IF(COUNTIFS('AFA Rates'!$A$5:$A$1004,$A53,'AFA Rates'!$B$5:$B$1004,L$24)&gt;0,"✓",""))</f>
        <v/>
      </c>
      <c r="M53" s="57">
        <f>IF(OR($A53="",M$24=""),"",IF(COUNTIFS('AFA Rates'!$A$5:$A$1004,$A53,'AFA Rates'!$B$5:$B$1004,M$24)&gt;0,"✓",""))</f>
        <v/>
      </c>
    </row>
    <row r="54">
      <c r="A54" s="63">
        <f>IFERROR(INDEX(Firms!$A$5:$A$1004,MATCH(30,Firms!$S$5:$S$1004,0)),"")</f>
        <v/>
      </c>
      <c r="B54" s="57">
        <f>IF($A54="","",INDEX(Firms!$B$5:$B$1004,MATCH(30,Firms!$S$5:$S$1004,0)))</f>
        <v/>
      </c>
      <c r="C54" s="57">
        <f>IF($A54="","",COUNTIF('AFA Rates'!$A$5:$A$1004,$A54))</f>
        <v/>
      </c>
      <c r="D54" s="57">
        <f>IF(OR($A54="",D$24=""),"",IF(COUNTIFS('AFA Rates'!$A$5:$A$1004,$A54,'AFA Rates'!$B$5:$B$1004,D$24)&gt;0,"✓",""))</f>
        <v/>
      </c>
      <c r="E54" s="57">
        <f>IF(OR($A54="",E$24=""),"",IF(COUNTIFS('AFA Rates'!$A$5:$A$1004,$A54,'AFA Rates'!$B$5:$B$1004,E$24)&gt;0,"✓",""))</f>
        <v/>
      </c>
      <c r="F54" s="57">
        <f>IF(OR($A54="",F$24=""),"",IF(COUNTIFS('AFA Rates'!$A$5:$A$1004,$A54,'AFA Rates'!$B$5:$B$1004,F$24)&gt;0,"✓",""))</f>
        <v/>
      </c>
      <c r="G54" s="57">
        <f>IF(OR($A54="",G$24=""),"",IF(COUNTIFS('AFA Rates'!$A$5:$A$1004,$A54,'AFA Rates'!$B$5:$B$1004,G$24)&gt;0,"✓",""))</f>
        <v/>
      </c>
      <c r="H54" s="57">
        <f>IF(OR($A54="",H$24=""),"",IF(COUNTIFS('AFA Rates'!$A$5:$A$1004,$A54,'AFA Rates'!$B$5:$B$1004,H$24)&gt;0,"✓",""))</f>
        <v/>
      </c>
      <c r="I54" s="57">
        <f>IF(OR($A54="",I$24=""),"",IF(COUNTIFS('AFA Rates'!$A$5:$A$1004,$A54,'AFA Rates'!$B$5:$B$1004,I$24)&gt;0,"✓",""))</f>
        <v/>
      </c>
      <c r="J54" s="57">
        <f>IF(OR($A54="",J$24=""),"",IF(COUNTIFS('AFA Rates'!$A$5:$A$1004,$A54,'AFA Rates'!$B$5:$B$1004,J$24)&gt;0,"✓",""))</f>
        <v/>
      </c>
      <c r="K54" s="57">
        <f>IF(OR($A54="",K$24=""),"",IF(COUNTIFS('AFA Rates'!$A$5:$A$1004,$A54,'AFA Rates'!$B$5:$B$1004,K$24)&gt;0,"✓",""))</f>
        <v/>
      </c>
      <c r="L54" s="57">
        <f>IF(OR($A54="",L$24=""),"",IF(COUNTIFS('AFA Rates'!$A$5:$A$1004,$A54,'AFA Rates'!$B$5:$B$1004,L$24)&gt;0,"✓",""))</f>
        <v/>
      </c>
      <c r="M54" s="57">
        <f>IF(OR($A54="",M$24=""),"",IF(COUNTIFS('AFA Rates'!$A$5:$A$1004,$A54,'AFA Rates'!$B$5:$B$1004,M$24)&gt;0,"✓",""))</f>
        <v/>
      </c>
    </row>
    <row r="55">
      <c r="A55" s="63">
        <f>IFERROR(INDEX(Firms!$A$5:$A$1004,MATCH(31,Firms!$S$5:$S$1004,0)),"")</f>
        <v/>
      </c>
      <c r="B55" s="57">
        <f>IF($A55="","",INDEX(Firms!$B$5:$B$1004,MATCH(31,Firms!$S$5:$S$1004,0)))</f>
        <v/>
      </c>
      <c r="C55" s="57">
        <f>IF($A55="","",COUNTIF('AFA Rates'!$A$5:$A$1004,$A55))</f>
        <v/>
      </c>
      <c r="D55" s="57">
        <f>IF(OR($A55="",D$24=""),"",IF(COUNTIFS('AFA Rates'!$A$5:$A$1004,$A55,'AFA Rates'!$B$5:$B$1004,D$24)&gt;0,"✓",""))</f>
        <v/>
      </c>
      <c r="E55" s="57">
        <f>IF(OR($A55="",E$24=""),"",IF(COUNTIFS('AFA Rates'!$A$5:$A$1004,$A55,'AFA Rates'!$B$5:$B$1004,E$24)&gt;0,"✓",""))</f>
        <v/>
      </c>
      <c r="F55" s="57">
        <f>IF(OR($A55="",F$24=""),"",IF(COUNTIFS('AFA Rates'!$A$5:$A$1004,$A55,'AFA Rates'!$B$5:$B$1004,F$24)&gt;0,"✓",""))</f>
        <v/>
      </c>
      <c r="G55" s="57">
        <f>IF(OR($A55="",G$24=""),"",IF(COUNTIFS('AFA Rates'!$A$5:$A$1004,$A55,'AFA Rates'!$B$5:$B$1004,G$24)&gt;0,"✓",""))</f>
        <v/>
      </c>
      <c r="H55" s="57">
        <f>IF(OR($A55="",H$24=""),"",IF(COUNTIFS('AFA Rates'!$A$5:$A$1004,$A55,'AFA Rates'!$B$5:$B$1004,H$24)&gt;0,"✓",""))</f>
        <v/>
      </c>
      <c r="I55" s="57">
        <f>IF(OR($A55="",I$24=""),"",IF(COUNTIFS('AFA Rates'!$A$5:$A$1004,$A55,'AFA Rates'!$B$5:$B$1004,I$24)&gt;0,"✓",""))</f>
        <v/>
      </c>
      <c r="J55" s="57">
        <f>IF(OR($A55="",J$24=""),"",IF(COUNTIFS('AFA Rates'!$A$5:$A$1004,$A55,'AFA Rates'!$B$5:$B$1004,J$24)&gt;0,"✓",""))</f>
        <v/>
      </c>
      <c r="K55" s="57">
        <f>IF(OR($A55="",K$24=""),"",IF(COUNTIFS('AFA Rates'!$A$5:$A$1004,$A55,'AFA Rates'!$B$5:$B$1004,K$24)&gt;0,"✓",""))</f>
        <v/>
      </c>
      <c r="L55" s="57">
        <f>IF(OR($A55="",L$24=""),"",IF(COUNTIFS('AFA Rates'!$A$5:$A$1004,$A55,'AFA Rates'!$B$5:$B$1004,L$24)&gt;0,"✓",""))</f>
        <v/>
      </c>
      <c r="M55" s="57">
        <f>IF(OR($A55="",M$24=""),"",IF(COUNTIFS('AFA Rates'!$A$5:$A$1004,$A55,'AFA Rates'!$B$5:$B$1004,M$24)&gt;0,"✓",""))</f>
        <v/>
      </c>
    </row>
    <row r="56">
      <c r="A56" s="63">
        <f>IFERROR(INDEX(Firms!$A$5:$A$1004,MATCH(32,Firms!$S$5:$S$1004,0)),"")</f>
        <v/>
      </c>
      <c r="B56" s="57">
        <f>IF($A56="","",INDEX(Firms!$B$5:$B$1004,MATCH(32,Firms!$S$5:$S$1004,0)))</f>
        <v/>
      </c>
      <c r="C56" s="57">
        <f>IF($A56="","",COUNTIF('AFA Rates'!$A$5:$A$1004,$A56))</f>
        <v/>
      </c>
      <c r="D56" s="57">
        <f>IF(OR($A56="",D$24=""),"",IF(COUNTIFS('AFA Rates'!$A$5:$A$1004,$A56,'AFA Rates'!$B$5:$B$1004,D$24)&gt;0,"✓",""))</f>
        <v/>
      </c>
      <c r="E56" s="57">
        <f>IF(OR($A56="",E$24=""),"",IF(COUNTIFS('AFA Rates'!$A$5:$A$1004,$A56,'AFA Rates'!$B$5:$B$1004,E$24)&gt;0,"✓",""))</f>
        <v/>
      </c>
      <c r="F56" s="57">
        <f>IF(OR($A56="",F$24=""),"",IF(COUNTIFS('AFA Rates'!$A$5:$A$1004,$A56,'AFA Rates'!$B$5:$B$1004,F$24)&gt;0,"✓",""))</f>
        <v/>
      </c>
      <c r="G56" s="57">
        <f>IF(OR($A56="",G$24=""),"",IF(COUNTIFS('AFA Rates'!$A$5:$A$1004,$A56,'AFA Rates'!$B$5:$B$1004,G$24)&gt;0,"✓",""))</f>
        <v/>
      </c>
      <c r="H56" s="57">
        <f>IF(OR($A56="",H$24=""),"",IF(COUNTIFS('AFA Rates'!$A$5:$A$1004,$A56,'AFA Rates'!$B$5:$B$1004,H$24)&gt;0,"✓",""))</f>
        <v/>
      </c>
      <c r="I56" s="57">
        <f>IF(OR($A56="",I$24=""),"",IF(COUNTIFS('AFA Rates'!$A$5:$A$1004,$A56,'AFA Rates'!$B$5:$B$1004,I$24)&gt;0,"✓",""))</f>
        <v/>
      </c>
      <c r="J56" s="57">
        <f>IF(OR($A56="",J$24=""),"",IF(COUNTIFS('AFA Rates'!$A$5:$A$1004,$A56,'AFA Rates'!$B$5:$B$1004,J$24)&gt;0,"✓",""))</f>
        <v/>
      </c>
      <c r="K56" s="57">
        <f>IF(OR($A56="",K$24=""),"",IF(COUNTIFS('AFA Rates'!$A$5:$A$1004,$A56,'AFA Rates'!$B$5:$B$1004,K$24)&gt;0,"✓",""))</f>
        <v/>
      </c>
      <c r="L56" s="57">
        <f>IF(OR($A56="",L$24=""),"",IF(COUNTIFS('AFA Rates'!$A$5:$A$1004,$A56,'AFA Rates'!$B$5:$B$1004,L$24)&gt;0,"✓",""))</f>
        <v/>
      </c>
      <c r="M56" s="57">
        <f>IF(OR($A56="",M$24=""),"",IF(COUNTIFS('AFA Rates'!$A$5:$A$1004,$A56,'AFA Rates'!$B$5:$B$1004,M$24)&gt;0,"✓",""))</f>
        <v/>
      </c>
    </row>
    <row r="57">
      <c r="A57" s="63">
        <f>IFERROR(INDEX(Firms!$A$5:$A$1004,MATCH(33,Firms!$S$5:$S$1004,0)),"")</f>
        <v/>
      </c>
      <c r="B57" s="57">
        <f>IF($A57="","",INDEX(Firms!$B$5:$B$1004,MATCH(33,Firms!$S$5:$S$1004,0)))</f>
        <v/>
      </c>
      <c r="C57" s="57">
        <f>IF($A57="","",COUNTIF('AFA Rates'!$A$5:$A$1004,$A57))</f>
        <v/>
      </c>
      <c r="D57" s="57">
        <f>IF(OR($A57="",D$24=""),"",IF(COUNTIFS('AFA Rates'!$A$5:$A$1004,$A57,'AFA Rates'!$B$5:$B$1004,D$24)&gt;0,"✓",""))</f>
        <v/>
      </c>
      <c r="E57" s="57">
        <f>IF(OR($A57="",E$24=""),"",IF(COUNTIFS('AFA Rates'!$A$5:$A$1004,$A57,'AFA Rates'!$B$5:$B$1004,E$24)&gt;0,"✓",""))</f>
        <v/>
      </c>
      <c r="F57" s="57">
        <f>IF(OR($A57="",F$24=""),"",IF(COUNTIFS('AFA Rates'!$A$5:$A$1004,$A57,'AFA Rates'!$B$5:$B$1004,F$24)&gt;0,"✓",""))</f>
        <v/>
      </c>
      <c r="G57" s="57">
        <f>IF(OR($A57="",G$24=""),"",IF(COUNTIFS('AFA Rates'!$A$5:$A$1004,$A57,'AFA Rates'!$B$5:$B$1004,G$24)&gt;0,"✓",""))</f>
        <v/>
      </c>
      <c r="H57" s="57">
        <f>IF(OR($A57="",H$24=""),"",IF(COUNTIFS('AFA Rates'!$A$5:$A$1004,$A57,'AFA Rates'!$B$5:$B$1004,H$24)&gt;0,"✓",""))</f>
        <v/>
      </c>
      <c r="I57" s="57">
        <f>IF(OR($A57="",I$24=""),"",IF(COUNTIFS('AFA Rates'!$A$5:$A$1004,$A57,'AFA Rates'!$B$5:$B$1004,I$24)&gt;0,"✓",""))</f>
        <v/>
      </c>
      <c r="J57" s="57">
        <f>IF(OR($A57="",J$24=""),"",IF(COUNTIFS('AFA Rates'!$A$5:$A$1004,$A57,'AFA Rates'!$B$5:$B$1004,J$24)&gt;0,"✓",""))</f>
        <v/>
      </c>
      <c r="K57" s="57">
        <f>IF(OR($A57="",K$24=""),"",IF(COUNTIFS('AFA Rates'!$A$5:$A$1004,$A57,'AFA Rates'!$B$5:$B$1004,K$24)&gt;0,"✓",""))</f>
        <v/>
      </c>
      <c r="L57" s="57">
        <f>IF(OR($A57="",L$24=""),"",IF(COUNTIFS('AFA Rates'!$A$5:$A$1004,$A57,'AFA Rates'!$B$5:$B$1004,L$24)&gt;0,"✓",""))</f>
        <v/>
      </c>
      <c r="M57" s="57">
        <f>IF(OR($A57="",M$24=""),"",IF(COUNTIFS('AFA Rates'!$A$5:$A$1004,$A57,'AFA Rates'!$B$5:$B$1004,M$24)&gt;0,"✓",""))</f>
        <v/>
      </c>
    </row>
    <row r="58">
      <c r="A58" s="63">
        <f>IFERROR(INDEX(Firms!$A$5:$A$1004,MATCH(34,Firms!$S$5:$S$1004,0)),"")</f>
        <v/>
      </c>
      <c r="B58" s="57">
        <f>IF($A58="","",INDEX(Firms!$B$5:$B$1004,MATCH(34,Firms!$S$5:$S$1004,0)))</f>
        <v/>
      </c>
      <c r="C58" s="57">
        <f>IF($A58="","",COUNTIF('AFA Rates'!$A$5:$A$1004,$A58))</f>
        <v/>
      </c>
      <c r="D58" s="57">
        <f>IF(OR($A58="",D$24=""),"",IF(COUNTIFS('AFA Rates'!$A$5:$A$1004,$A58,'AFA Rates'!$B$5:$B$1004,D$24)&gt;0,"✓",""))</f>
        <v/>
      </c>
      <c r="E58" s="57">
        <f>IF(OR($A58="",E$24=""),"",IF(COUNTIFS('AFA Rates'!$A$5:$A$1004,$A58,'AFA Rates'!$B$5:$B$1004,E$24)&gt;0,"✓",""))</f>
        <v/>
      </c>
      <c r="F58" s="57">
        <f>IF(OR($A58="",F$24=""),"",IF(COUNTIFS('AFA Rates'!$A$5:$A$1004,$A58,'AFA Rates'!$B$5:$B$1004,F$24)&gt;0,"✓",""))</f>
        <v/>
      </c>
      <c r="G58" s="57">
        <f>IF(OR($A58="",G$24=""),"",IF(COUNTIFS('AFA Rates'!$A$5:$A$1004,$A58,'AFA Rates'!$B$5:$B$1004,G$24)&gt;0,"✓",""))</f>
        <v/>
      </c>
      <c r="H58" s="57">
        <f>IF(OR($A58="",H$24=""),"",IF(COUNTIFS('AFA Rates'!$A$5:$A$1004,$A58,'AFA Rates'!$B$5:$B$1004,H$24)&gt;0,"✓",""))</f>
        <v/>
      </c>
      <c r="I58" s="57">
        <f>IF(OR($A58="",I$24=""),"",IF(COUNTIFS('AFA Rates'!$A$5:$A$1004,$A58,'AFA Rates'!$B$5:$B$1004,I$24)&gt;0,"✓",""))</f>
        <v/>
      </c>
      <c r="J58" s="57">
        <f>IF(OR($A58="",J$24=""),"",IF(COUNTIFS('AFA Rates'!$A$5:$A$1004,$A58,'AFA Rates'!$B$5:$B$1004,J$24)&gt;0,"✓",""))</f>
        <v/>
      </c>
      <c r="K58" s="57">
        <f>IF(OR($A58="",K$24=""),"",IF(COUNTIFS('AFA Rates'!$A$5:$A$1004,$A58,'AFA Rates'!$B$5:$B$1004,K$24)&gt;0,"✓",""))</f>
        <v/>
      </c>
      <c r="L58" s="57">
        <f>IF(OR($A58="",L$24=""),"",IF(COUNTIFS('AFA Rates'!$A$5:$A$1004,$A58,'AFA Rates'!$B$5:$B$1004,L$24)&gt;0,"✓",""))</f>
        <v/>
      </c>
      <c r="M58" s="57">
        <f>IF(OR($A58="",M$24=""),"",IF(COUNTIFS('AFA Rates'!$A$5:$A$1004,$A58,'AFA Rates'!$B$5:$B$1004,M$24)&gt;0,"✓",""))</f>
        <v/>
      </c>
    </row>
    <row r="59">
      <c r="A59" s="63">
        <f>IFERROR(INDEX(Firms!$A$5:$A$1004,MATCH(35,Firms!$S$5:$S$1004,0)),"")</f>
        <v/>
      </c>
      <c r="B59" s="57">
        <f>IF($A59="","",INDEX(Firms!$B$5:$B$1004,MATCH(35,Firms!$S$5:$S$1004,0)))</f>
        <v/>
      </c>
      <c r="C59" s="57">
        <f>IF($A59="","",COUNTIF('AFA Rates'!$A$5:$A$1004,$A59))</f>
        <v/>
      </c>
      <c r="D59" s="57">
        <f>IF(OR($A59="",D$24=""),"",IF(COUNTIFS('AFA Rates'!$A$5:$A$1004,$A59,'AFA Rates'!$B$5:$B$1004,D$24)&gt;0,"✓",""))</f>
        <v/>
      </c>
      <c r="E59" s="57">
        <f>IF(OR($A59="",E$24=""),"",IF(COUNTIFS('AFA Rates'!$A$5:$A$1004,$A59,'AFA Rates'!$B$5:$B$1004,E$24)&gt;0,"✓",""))</f>
        <v/>
      </c>
      <c r="F59" s="57">
        <f>IF(OR($A59="",F$24=""),"",IF(COUNTIFS('AFA Rates'!$A$5:$A$1004,$A59,'AFA Rates'!$B$5:$B$1004,F$24)&gt;0,"✓",""))</f>
        <v/>
      </c>
      <c r="G59" s="57">
        <f>IF(OR($A59="",G$24=""),"",IF(COUNTIFS('AFA Rates'!$A$5:$A$1004,$A59,'AFA Rates'!$B$5:$B$1004,G$24)&gt;0,"✓",""))</f>
        <v/>
      </c>
      <c r="H59" s="57">
        <f>IF(OR($A59="",H$24=""),"",IF(COUNTIFS('AFA Rates'!$A$5:$A$1004,$A59,'AFA Rates'!$B$5:$B$1004,H$24)&gt;0,"✓",""))</f>
        <v/>
      </c>
      <c r="I59" s="57">
        <f>IF(OR($A59="",I$24=""),"",IF(COUNTIFS('AFA Rates'!$A$5:$A$1004,$A59,'AFA Rates'!$B$5:$B$1004,I$24)&gt;0,"✓",""))</f>
        <v/>
      </c>
      <c r="J59" s="57">
        <f>IF(OR($A59="",J$24=""),"",IF(COUNTIFS('AFA Rates'!$A$5:$A$1004,$A59,'AFA Rates'!$B$5:$B$1004,J$24)&gt;0,"✓",""))</f>
        <v/>
      </c>
      <c r="K59" s="57">
        <f>IF(OR($A59="",K$24=""),"",IF(COUNTIFS('AFA Rates'!$A$5:$A$1004,$A59,'AFA Rates'!$B$5:$B$1004,K$24)&gt;0,"✓",""))</f>
        <v/>
      </c>
      <c r="L59" s="57">
        <f>IF(OR($A59="",L$24=""),"",IF(COUNTIFS('AFA Rates'!$A$5:$A$1004,$A59,'AFA Rates'!$B$5:$B$1004,L$24)&gt;0,"✓",""))</f>
        <v/>
      </c>
      <c r="M59" s="57">
        <f>IF(OR($A59="",M$24=""),"",IF(COUNTIFS('AFA Rates'!$A$5:$A$1004,$A59,'AFA Rates'!$B$5:$B$1004,M$24)&gt;0,"✓",""))</f>
        <v/>
      </c>
    </row>
    <row r="60">
      <c r="A60" s="63">
        <f>IFERROR(INDEX(Firms!$A$5:$A$1004,MATCH(36,Firms!$S$5:$S$1004,0)),"")</f>
        <v/>
      </c>
      <c r="B60" s="57">
        <f>IF($A60="","",INDEX(Firms!$B$5:$B$1004,MATCH(36,Firms!$S$5:$S$1004,0)))</f>
        <v/>
      </c>
      <c r="C60" s="57">
        <f>IF($A60="","",COUNTIF('AFA Rates'!$A$5:$A$1004,$A60))</f>
        <v/>
      </c>
      <c r="D60" s="57">
        <f>IF(OR($A60="",D$24=""),"",IF(COUNTIFS('AFA Rates'!$A$5:$A$1004,$A60,'AFA Rates'!$B$5:$B$1004,D$24)&gt;0,"✓",""))</f>
        <v/>
      </c>
      <c r="E60" s="57">
        <f>IF(OR($A60="",E$24=""),"",IF(COUNTIFS('AFA Rates'!$A$5:$A$1004,$A60,'AFA Rates'!$B$5:$B$1004,E$24)&gt;0,"✓",""))</f>
        <v/>
      </c>
      <c r="F60" s="57">
        <f>IF(OR($A60="",F$24=""),"",IF(COUNTIFS('AFA Rates'!$A$5:$A$1004,$A60,'AFA Rates'!$B$5:$B$1004,F$24)&gt;0,"✓",""))</f>
        <v/>
      </c>
      <c r="G60" s="57">
        <f>IF(OR($A60="",G$24=""),"",IF(COUNTIFS('AFA Rates'!$A$5:$A$1004,$A60,'AFA Rates'!$B$5:$B$1004,G$24)&gt;0,"✓",""))</f>
        <v/>
      </c>
      <c r="H60" s="57">
        <f>IF(OR($A60="",H$24=""),"",IF(COUNTIFS('AFA Rates'!$A$5:$A$1004,$A60,'AFA Rates'!$B$5:$B$1004,H$24)&gt;0,"✓",""))</f>
        <v/>
      </c>
      <c r="I60" s="57">
        <f>IF(OR($A60="",I$24=""),"",IF(COUNTIFS('AFA Rates'!$A$5:$A$1004,$A60,'AFA Rates'!$B$5:$B$1004,I$24)&gt;0,"✓",""))</f>
        <v/>
      </c>
      <c r="J60" s="57">
        <f>IF(OR($A60="",J$24=""),"",IF(COUNTIFS('AFA Rates'!$A$5:$A$1004,$A60,'AFA Rates'!$B$5:$B$1004,J$24)&gt;0,"✓",""))</f>
        <v/>
      </c>
      <c r="K60" s="57">
        <f>IF(OR($A60="",K$24=""),"",IF(COUNTIFS('AFA Rates'!$A$5:$A$1004,$A60,'AFA Rates'!$B$5:$B$1004,K$24)&gt;0,"✓",""))</f>
        <v/>
      </c>
      <c r="L60" s="57">
        <f>IF(OR($A60="",L$24=""),"",IF(COUNTIFS('AFA Rates'!$A$5:$A$1004,$A60,'AFA Rates'!$B$5:$B$1004,L$24)&gt;0,"✓",""))</f>
        <v/>
      </c>
      <c r="M60" s="57">
        <f>IF(OR($A60="",M$24=""),"",IF(COUNTIFS('AFA Rates'!$A$5:$A$1004,$A60,'AFA Rates'!$B$5:$B$1004,M$24)&gt;0,"✓",""))</f>
        <v/>
      </c>
    </row>
    <row r="61">
      <c r="A61" s="63">
        <f>IFERROR(INDEX(Firms!$A$5:$A$1004,MATCH(37,Firms!$S$5:$S$1004,0)),"")</f>
        <v/>
      </c>
      <c r="B61" s="57">
        <f>IF($A61="","",INDEX(Firms!$B$5:$B$1004,MATCH(37,Firms!$S$5:$S$1004,0)))</f>
        <v/>
      </c>
      <c r="C61" s="57">
        <f>IF($A61="","",COUNTIF('AFA Rates'!$A$5:$A$1004,$A61))</f>
        <v/>
      </c>
      <c r="D61" s="57">
        <f>IF(OR($A61="",D$24=""),"",IF(COUNTIFS('AFA Rates'!$A$5:$A$1004,$A61,'AFA Rates'!$B$5:$B$1004,D$24)&gt;0,"✓",""))</f>
        <v/>
      </c>
      <c r="E61" s="57">
        <f>IF(OR($A61="",E$24=""),"",IF(COUNTIFS('AFA Rates'!$A$5:$A$1004,$A61,'AFA Rates'!$B$5:$B$1004,E$24)&gt;0,"✓",""))</f>
        <v/>
      </c>
      <c r="F61" s="57">
        <f>IF(OR($A61="",F$24=""),"",IF(COUNTIFS('AFA Rates'!$A$5:$A$1004,$A61,'AFA Rates'!$B$5:$B$1004,F$24)&gt;0,"✓",""))</f>
        <v/>
      </c>
      <c r="G61" s="57">
        <f>IF(OR($A61="",G$24=""),"",IF(COUNTIFS('AFA Rates'!$A$5:$A$1004,$A61,'AFA Rates'!$B$5:$B$1004,G$24)&gt;0,"✓",""))</f>
        <v/>
      </c>
      <c r="H61" s="57">
        <f>IF(OR($A61="",H$24=""),"",IF(COUNTIFS('AFA Rates'!$A$5:$A$1004,$A61,'AFA Rates'!$B$5:$B$1004,H$24)&gt;0,"✓",""))</f>
        <v/>
      </c>
      <c r="I61" s="57">
        <f>IF(OR($A61="",I$24=""),"",IF(COUNTIFS('AFA Rates'!$A$5:$A$1004,$A61,'AFA Rates'!$B$5:$B$1004,I$24)&gt;0,"✓",""))</f>
        <v/>
      </c>
      <c r="J61" s="57">
        <f>IF(OR($A61="",J$24=""),"",IF(COUNTIFS('AFA Rates'!$A$5:$A$1004,$A61,'AFA Rates'!$B$5:$B$1004,J$24)&gt;0,"✓",""))</f>
        <v/>
      </c>
      <c r="K61" s="57">
        <f>IF(OR($A61="",K$24=""),"",IF(COUNTIFS('AFA Rates'!$A$5:$A$1004,$A61,'AFA Rates'!$B$5:$B$1004,K$24)&gt;0,"✓",""))</f>
        <v/>
      </c>
      <c r="L61" s="57">
        <f>IF(OR($A61="",L$24=""),"",IF(COUNTIFS('AFA Rates'!$A$5:$A$1004,$A61,'AFA Rates'!$B$5:$B$1004,L$24)&gt;0,"✓",""))</f>
        <v/>
      </c>
      <c r="M61" s="57">
        <f>IF(OR($A61="",M$24=""),"",IF(COUNTIFS('AFA Rates'!$A$5:$A$1004,$A61,'AFA Rates'!$B$5:$B$1004,M$24)&gt;0,"✓",""))</f>
        <v/>
      </c>
    </row>
    <row r="62">
      <c r="A62" s="63">
        <f>IFERROR(INDEX(Firms!$A$5:$A$1004,MATCH(38,Firms!$S$5:$S$1004,0)),"")</f>
        <v/>
      </c>
      <c r="B62" s="57">
        <f>IF($A62="","",INDEX(Firms!$B$5:$B$1004,MATCH(38,Firms!$S$5:$S$1004,0)))</f>
        <v/>
      </c>
      <c r="C62" s="57">
        <f>IF($A62="","",COUNTIF('AFA Rates'!$A$5:$A$1004,$A62))</f>
        <v/>
      </c>
      <c r="D62" s="57">
        <f>IF(OR($A62="",D$24=""),"",IF(COUNTIFS('AFA Rates'!$A$5:$A$1004,$A62,'AFA Rates'!$B$5:$B$1004,D$24)&gt;0,"✓",""))</f>
        <v/>
      </c>
      <c r="E62" s="57">
        <f>IF(OR($A62="",E$24=""),"",IF(COUNTIFS('AFA Rates'!$A$5:$A$1004,$A62,'AFA Rates'!$B$5:$B$1004,E$24)&gt;0,"✓",""))</f>
        <v/>
      </c>
      <c r="F62" s="57">
        <f>IF(OR($A62="",F$24=""),"",IF(COUNTIFS('AFA Rates'!$A$5:$A$1004,$A62,'AFA Rates'!$B$5:$B$1004,F$24)&gt;0,"✓",""))</f>
        <v/>
      </c>
      <c r="G62" s="57">
        <f>IF(OR($A62="",G$24=""),"",IF(COUNTIFS('AFA Rates'!$A$5:$A$1004,$A62,'AFA Rates'!$B$5:$B$1004,G$24)&gt;0,"✓",""))</f>
        <v/>
      </c>
      <c r="H62" s="57">
        <f>IF(OR($A62="",H$24=""),"",IF(COUNTIFS('AFA Rates'!$A$5:$A$1004,$A62,'AFA Rates'!$B$5:$B$1004,H$24)&gt;0,"✓",""))</f>
        <v/>
      </c>
      <c r="I62" s="57">
        <f>IF(OR($A62="",I$24=""),"",IF(COUNTIFS('AFA Rates'!$A$5:$A$1004,$A62,'AFA Rates'!$B$5:$B$1004,I$24)&gt;0,"✓",""))</f>
        <v/>
      </c>
      <c r="J62" s="57">
        <f>IF(OR($A62="",J$24=""),"",IF(COUNTIFS('AFA Rates'!$A$5:$A$1004,$A62,'AFA Rates'!$B$5:$B$1004,J$24)&gt;0,"✓",""))</f>
        <v/>
      </c>
      <c r="K62" s="57">
        <f>IF(OR($A62="",K$24=""),"",IF(COUNTIFS('AFA Rates'!$A$5:$A$1004,$A62,'AFA Rates'!$B$5:$B$1004,K$24)&gt;0,"✓",""))</f>
        <v/>
      </c>
      <c r="L62" s="57">
        <f>IF(OR($A62="",L$24=""),"",IF(COUNTIFS('AFA Rates'!$A$5:$A$1004,$A62,'AFA Rates'!$B$5:$B$1004,L$24)&gt;0,"✓",""))</f>
        <v/>
      </c>
      <c r="M62" s="57">
        <f>IF(OR($A62="",M$24=""),"",IF(COUNTIFS('AFA Rates'!$A$5:$A$1004,$A62,'AFA Rates'!$B$5:$B$1004,M$24)&gt;0,"✓",""))</f>
        <v/>
      </c>
    </row>
    <row r="63">
      <c r="A63" s="63">
        <f>IFERROR(INDEX(Firms!$A$5:$A$1004,MATCH(39,Firms!$S$5:$S$1004,0)),"")</f>
        <v/>
      </c>
      <c r="B63" s="57">
        <f>IF($A63="","",INDEX(Firms!$B$5:$B$1004,MATCH(39,Firms!$S$5:$S$1004,0)))</f>
        <v/>
      </c>
      <c r="C63" s="57">
        <f>IF($A63="","",COUNTIF('AFA Rates'!$A$5:$A$1004,$A63))</f>
        <v/>
      </c>
      <c r="D63" s="57">
        <f>IF(OR($A63="",D$24=""),"",IF(COUNTIFS('AFA Rates'!$A$5:$A$1004,$A63,'AFA Rates'!$B$5:$B$1004,D$24)&gt;0,"✓",""))</f>
        <v/>
      </c>
      <c r="E63" s="57">
        <f>IF(OR($A63="",E$24=""),"",IF(COUNTIFS('AFA Rates'!$A$5:$A$1004,$A63,'AFA Rates'!$B$5:$B$1004,E$24)&gt;0,"✓",""))</f>
        <v/>
      </c>
      <c r="F63" s="57">
        <f>IF(OR($A63="",F$24=""),"",IF(COUNTIFS('AFA Rates'!$A$5:$A$1004,$A63,'AFA Rates'!$B$5:$B$1004,F$24)&gt;0,"✓",""))</f>
        <v/>
      </c>
      <c r="G63" s="57">
        <f>IF(OR($A63="",G$24=""),"",IF(COUNTIFS('AFA Rates'!$A$5:$A$1004,$A63,'AFA Rates'!$B$5:$B$1004,G$24)&gt;0,"✓",""))</f>
        <v/>
      </c>
      <c r="H63" s="57">
        <f>IF(OR($A63="",H$24=""),"",IF(COUNTIFS('AFA Rates'!$A$5:$A$1004,$A63,'AFA Rates'!$B$5:$B$1004,H$24)&gt;0,"✓",""))</f>
        <v/>
      </c>
      <c r="I63" s="57">
        <f>IF(OR($A63="",I$24=""),"",IF(COUNTIFS('AFA Rates'!$A$5:$A$1004,$A63,'AFA Rates'!$B$5:$B$1004,I$24)&gt;0,"✓",""))</f>
        <v/>
      </c>
      <c r="J63" s="57">
        <f>IF(OR($A63="",J$24=""),"",IF(COUNTIFS('AFA Rates'!$A$5:$A$1004,$A63,'AFA Rates'!$B$5:$B$1004,J$24)&gt;0,"✓",""))</f>
        <v/>
      </c>
      <c r="K63" s="57">
        <f>IF(OR($A63="",K$24=""),"",IF(COUNTIFS('AFA Rates'!$A$5:$A$1004,$A63,'AFA Rates'!$B$5:$B$1004,K$24)&gt;0,"✓",""))</f>
        <v/>
      </c>
      <c r="L63" s="57">
        <f>IF(OR($A63="",L$24=""),"",IF(COUNTIFS('AFA Rates'!$A$5:$A$1004,$A63,'AFA Rates'!$B$5:$B$1004,L$24)&gt;0,"✓",""))</f>
        <v/>
      </c>
      <c r="M63" s="57">
        <f>IF(OR($A63="",M$24=""),"",IF(COUNTIFS('AFA Rates'!$A$5:$A$1004,$A63,'AFA Rates'!$B$5:$B$1004,M$24)&gt;0,"✓",""))</f>
        <v/>
      </c>
    </row>
    <row r="64">
      <c r="A64" s="63">
        <f>IFERROR(INDEX(Firms!$A$5:$A$1004,MATCH(40,Firms!$S$5:$S$1004,0)),"")</f>
        <v/>
      </c>
      <c r="B64" s="57">
        <f>IF($A64="","",INDEX(Firms!$B$5:$B$1004,MATCH(40,Firms!$S$5:$S$1004,0)))</f>
        <v/>
      </c>
      <c r="C64" s="57">
        <f>IF($A64="","",COUNTIF('AFA Rates'!$A$5:$A$1004,$A64))</f>
        <v/>
      </c>
      <c r="D64" s="57">
        <f>IF(OR($A64="",D$24=""),"",IF(COUNTIFS('AFA Rates'!$A$5:$A$1004,$A64,'AFA Rates'!$B$5:$B$1004,D$24)&gt;0,"✓",""))</f>
        <v/>
      </c>
      <c r="E64" s="57">
        <f>IF(OR($A64="",E$24=""),"",IF(COUNTIFS('AFA Rates'!$A$5:$A$1004,$A64,'AFA Rates'!$B$5:$B$1004,E$24)&gt;0,"✓",""))</f>
        <v/>
      </c>
      <c r="F64" s="57">
        <f>IF(OR($A64="",F$24=""),"",IF(COUNTIFS('AFA Rates'!$A$5:$A$1004,$A64,'AFA Rates'!$B$5:$B$1004,F$24)&gt;0,"✓",""))</f>
        <v/>
      </c>
      <c r="G64" s="57">
        <f>IF(OR($A64="",G$24=""),"",IF(COUNTIFS('AFA Rates'!$A$5:$A$1004,$A64,'AFA Rates'!$B$5:$B$1004,G$24)&gt;0,"✓",""))</f>
        <v/>
      </c>
      <c r="H64" s="57">
        <f>IF(OR($A64="",H$24=""),"",IF(COUNTIFS('AFA Rates'!$A$5:$A$1004,$A64,'AFA Rates'!$B$5:$B$1004,H$24)&gt;0,"✓",""))</f>
        <v/>
      </c>
      <c r="I64" s="57">
        <f>IF(OR($A64="",I$24=""),"",IF(COUNTIFS('AFA Rates'!$A$5:$A$1004,$A64,'AFA Rates'!$B$5:$B$1004,I$24)&gt;0,"✓",""))</f>
        <v/>
      </c>
      <c r="J64" s="57">
        <f>IF(OR($A64="",J$24=""),"",IF(COUNTIFS('AFA Rates'!$A$5:$A$1004,$A64,'AFA Rates'!$B$5:$B$1004,J$24)&gt;0,"✓",""))</f>
        <v/>
      </c>
      <c r="K64" s="57">
        <f>IF(OR($A64="",K$24=""),"",IF(COUNTIFS('AFA Rates'!$A$5:$A$1004,$A64,'AFA Rates'!$B$5:$B$1004,K$24)&gt;0,"✓",""))</f>
        <v/>
      </c>
      <c r="L64" s="57">
        <f>IF(OR($A64="",L$24=""),"",IF(COUNTIFS('AFA Rates'!$A$5:$A$1004,$A64,'AFA Rates'!$B$5:$B$1004,L$24)&gt;0,"✓",""))</f>
        <v/>
      </c>
      <c r="M64" s="57">
        <f>IF(OR($A64="",M$24=""),"",IF(COUNTIFS('AFA Rates'!$A$5:$A$1004,$A64,'AFA Rates'!$B$5:$B$1004,M$24)&gt;0,"✓",""))</f>
        <v/>
      </c>
    </row>
    <row r="65">
      <c r="A65" s="63">
        <f>IFERROR(INDEX(Firms!$A$5:$A$1004,MATCH(41,Firms!$S$5:$S$1004,0)),"")</f>
        <v/>
      </c>
      <c r="B65" s="57">
        <f>IF($A65="","",INDEX(Firms!$B$5:$B$1004,MATCH(41,Firms!$S$5:$S$1004,0)))</f>
        <v/>
      </c>
      <c r="C65" s="57">
        <f>IF($A65="","",COUNTIF('AFA Rates'!$A$5:$A$1004,$A65))</f>
        <v/>
      </c>
      <c r="D65" s="57">
        <f>IF(OR($A65="",D$24=""),"",IF(COUNTIFS('AFA Rates'!$A$5:$A$1004,$A65,'AFA Rates'!$B$5:$B$1004,D$24)&gt;0,"✓",""))</f>
        <v/>
      </c>
      <c r="E65" s="57">
        <f>IF(OR($A65="",E$24=""),"",IF(COUNTIFS('AFA Rates'!$A$5:$A$1004,$A65,'AFA Rates'!$B$5:$B$1004,E$24)&gt;0,"✓",""))</f>
        <v/>
      </c>
      <c r="F65" s="57">
        <f>IF(OR($A65="",F$24=""),"",IF(COUNTIFS('AFA Rates'!$A$5:$A$1004,$A65,'AFA Rates'!$B$5:$B$1004,F$24)&gt;0,"✓",""))</f>
        <v/>
      </c>
      <c r="G65" s="57">
        <f>IF(OR($A65="",G$24=""),"",IF(COUNTIFS('AFA Rates'!$A$5:$A$1004,$A65,'AFA Rates'!$B$5:$B$1004,G$24)&gt;0,"✓",""))</f>
        <v/>
      </c>
      <c r="H65" s="57">
        <f>IF(OR($A65="",H$24=""),"",IF(COUNTIFS('AFA Rates'!$A$5:$A$1004,$A65,'AFA Rates'!$B$5:$B$1004,H$24)&gt;0,"✓",""))</f>
        <v/>
      </c>
      <c r="I65" s="57">
        <f>IF(OR($A65="",I$24=""),"",IF(COUNTIFS('AFA Rates'!$A$5:$A$1004,$A65,'AFA Rates'!$B$5:$B$1004,I$24)&gt;0,"✓",""))</f>
        <v/>
      </c>
      <c r="J65" s="57">
        <f>IF(OR($A65="",J$24=""),"",IF(COUNTIFS('AFA Rates'!$A$5:$A$1004,$A65,'AFA Rates'!$B$5:$B$1004,J$24)&gt;0,"✓",""))</f>
        <v/>
      </c>
      <c r="K65" s="57">
        <f>IF(OR($A65="",K$24=""),"",IF(COUNTIFS('AFA Rates'!$A$5:$A$1004,$A65,'AFA Rates'!$B$5:$B$1004,K$24)&gt;0,"✓",""))</f>
        <v/>
      </c>
      <c r="L65" s="57">
        <f>IF(OR($A65="",L$24=""),"",IF(COUNTIFS('AFA Rates'!$A$5:$A$1004,$A65,'AFA Rates'!$B$5:$B$1004,L$24)&gt;0,"✓",""))</f>
        <v/>
      </c>
      <c r="M65" s="57">
        <f>IF(OR($A65="",M$24=""),"",IF(COUNTIFS('AFA Rates'!$A$5:$A$1004,$A65,'AFA Rates'!$B$5:$B$1004,M$24)&gt;0,"✓",""))</f>
        <v/>
      </c>
    </row>
    <row r="66">
      <c r="A66" s="63">
        <f>IFERROR(INDEX(Firms!$A$5:$A$1004,MATCH(42,Firms!$S$5:$S$1004,0)),"")</f>
        <v/>
      </c>
      <c r="B66" s="57">
        <f>IF($A66="","",INDEX(Firms!$B$5:$B$1004,MATCH(42,Firms!$S$5:$S$1004,0)))</f>
        <v/>
      </c>
      <c r="C66" s="57">
        <f>IF($A66="","",COUNTIF('AFA Rates'!$A$5:$A$1004,$A66))</f>
        <v/>
      </c>
      <c r="D66" s="57">
        <f>IF(OR($A66="",D$24=""),"",IF(COUNTIFS('AFA Rates'!$A$5:$A$1004,$A66,'AFA Rates'!$B$5:$B$1004,D$24)&gt;0,"✓",""))</f>
        <v/>
      </c>
      <c r="E66" s="57">
        <f>IF(OR($A66="",E$24=""),"",IF(COUNTIFS('AFA Rates'!$A$5:$A$1004,$A66,'AFA Rates'!$B$5:$B$1004,E$24)&gt;0,"✓",""))</f>
        <v/>
      </c>
      <c r="F66" s="57">
        <f>IF(OR($A66="",F$24=""),"",IF(COUNTIFS('AFA Rates'!$A$5:$A$1004,$A66,'AFA Rates'!$B$5:$B$1004,F$24)&gt;0,"✓",""))</f>
        <v/>
      </c>
      <c r="G66" s="57">
        <f>IF(OR($A66="",G$24=""),"",IF(COUNTIFS('AFA Rates'!$A$5:$A$1004,$A66,'AFA Rates'!$B$5:$B$1004,G$24)&gt;0,"✓",""))</f>
        <v/>
      </c>
      <c r="H66" s="57">
        <f>IF(OR($A66="",H$24=""),"",IF(COUNTIFS('AFA Rates'!$A$5:$A$1004,$A66,'AFA Rates'!$B$5:$B$1004,H$24)&gt;0,"✓",""))</f>
        <v/>
      </c>
      <c r="I66" s="57">
        <f>IF(OR($A66="",I$24=""),"",IF(COUNTIFS('AFA Rates'!$A$5:$A$1004,$A66,'AFA Rates'!$B$5:$B$1004,I$24)&gt;0,"✓",""))</f>
        <v/>
      </c>
      <c r="J66" s="57">
        <f>IF(OR($A66="",J$24=""),"",IF(COUNTIFS('AFA Rates'!$A$5:$A$1004,$A66,'AFA Rates'!$B$5:$B$1004,J$24)&gt;0,"✓",""))</f>
        <v/>
      </c>
      <c r="K66" s="57">
        <f>IF(OR($A66="",K$24=""),"",IF(COUNTIFS('AFA Rates'!$A$5:$A$1004,$A66,'AFA Rates'!$B$5:$B$1004,K$24)&gt;0,"✓",""))</f>
        <v/>
      </c>
      <c r="L66" s="57">
        <f>IF(OR($A66="",L$24=""),"",IF(COUNTIFS('AFA Rates'!$A$5:$A$1004,$A66,'AFA Rates'!$B$5:$B$1004,L$24)&gt;0,"✓",""))</f>
        <v/>
      </c>
      <c r="M66" s="57">
        <f>IF(OR($A66="",M$24=""),"",IF(COUNTIFS('AFA Rates'!$A$5:$A$1004,$A66,'AFA Rates'!$B$5:$B$1004,M$24)&gt;0,"✓",""))</f>
        <v/>
      </c>
    </row>
    <row r="67">
      <c r="A67" s="63">
        <f>IFERROR(INDEX(Firms!$A$5:$A$1004,MATCH(43,Firms!$S$5:$S$1004,0)),"")</f>
        <v/>
      </c>
      <c r="B67" s="57">
        <f>IF($A67="","",INDEX(Firms!$B$5:$B$1004,MATCH(43,Firms!$S$5:$S$1004,0)))</f>
        <v/>
      </c>
      <c r="C67" s="57">
        <f>IF($A67="","",COUNTIF('AFA Rates'!$A$5:$A$1004,$A67))</f>
        <v/>
      </c>
      <c r="D67" s="57">
        <f>IF(OR($A67="",D$24=""),"",IF(COUNTIFS('AFA Rates'!$A$5:$A$1004,$A67,'AFA Rates'!$B$5:$B$1004,D$24)&gt;0,"✓",""))</f>
        <v/>
      </c>
      <c r="E67" s="57">
        <f>IF(OR($A67="",E$24=""),"",IF(COUNTIFS('AFA Rates'!$A$5:$A$1004,$A67,'AFA Rates'!$B$5:$B$1004,E$24)&gt;0,"✓",""))</f>
        <v/>
      </c>
      <c r="F67" s="57">
        <f>IF(OR($A67="",F$24=""),"",IF(COUNTIFS('AFA Rates'!$A$5:$A$1004,$A67,'AFA Rates'!$B$5:$B$1004,F$24)&gt;0,"✓",""))</f>
        <v/>
      </c>
      <c r="G67" s="57">
        <f>IF(OR($A67="",G$24=""),"",IF(COUNTIFS('AFA Rates'!$A$5:$A$1004,$A67,'AFA Rates'!$B$5:$B$1004,G$24)&gt;0,"✓",""))</f>
        <v/>
      </c>
      <c r="H67" s="57">
        <f>IF(OR($A67="",H$24=""),"",IF(COUNTIFS('AFA Rates'!$A$5:$A$1004,$A67,'AFA Rates'!$B$5:$B$1004,H$24)&gt;0,"✓",""))</f>
        <v/>
      </c>
      <c r="I67" s="57">
        <f>IF(OR($A67="",I$24=""),"",IF(COUNTIFS('AFA Rates'!$A$5:$A$1004,$A67,'AFA Rates'!$B$5:$B$1004,I$24)&gt;0,"✓",""))</f>
        <v/>
      </c>
      <c r="J67" s="57">
        <f>IF(OR($A67="",J$24=""),"",IF(COUNTIFS('AFA Rates'!$A$5:$A$1004,$A67,'AFA Rates'!$B$5:$B$1004,J$24)&gt;0,"✓",""))</f>
        <v/>
      </c>
      <c r="K67" s="57">
        <f>IF(OR($A67="",K$24=""),"",IF(COUNTIFS('AFA Rates'!$A$5:$A$1004,$A67,'AFA Rates'!$B$5:$B$1004,K$24)&gt;0,"✓",""))</f>
        <v/>
      </c>
      <c r="L67" s="57">
        <f>IF(OR($A67="",L$24=""),"",IF(COUNTIFS('AFA Rates'!$A$5:$A$1004,$A67,'AFA Rates'!$B$5:$B$1004,L$24)&gt;0,"✓",""))</f>
        <v/>
      </c>
      <c r="M67" s="57">
        <f>IF(OR($A67="",M$24=""),"",IF(COUNTIFS('AFA Rates'!$A$5:$A$1004,$A67,'AFA Rates'!$B$5:$B$1004,M$24)&gt;0,"✓",""))</f>
        <v/>
      </c>
    </row>
    <row r="68">
      <c r="A68" s="63">
        <f>IFERROR(INDEX(Firms!$A$5:$A$1004,MATCH(44,Firms!$S$5:$S$1004,0)),"")</f>
        <v/>
      </c>
      <c r="B68" s="57">
        <f>IF($A68="","",INDEX(Firms!$B$5:$B$1004,MATCH(44,Firms!$S$5:$S$1004,0)))</f>
        <v/>
      </c>
      <c r="C68" s="57">
        <f>IF($A68="","",COUNTIF('AFA Rates'!$A$5:$A$1004,$A68))</f>
        <v/>
      </c>
      <c r="D68" s="57">
        <f>IF(OR($A68="",D$24=""),"",IF(COUNTIFS('AFA Rates'!$A$5:$A$1004,$A68,'AFA Rates'!$B$5:$B$1004,D$24)&gt;0,"✓",""))</f>
        <v/>
      </c>
      <c r="E68" s="57">
        <f>IF(OR($A68="",E$24=""),"",IF(COUNTIFS('AFA Rates'!$A$5:$A$1004,$A68,'AFA Rates'!$B$5:$B$1004,E$24)&gt;0,"✓",""))</f>
        <v/>
      </c>
      <c r="F68" s="57">
        <f>IF(OR($A68="",F$24=""),"",IF(COUNTIFS('AFA Rates'!$A$5:$A$1004,$A68,'AFA Rates'!$B$5:$B$1004,F$24)&gt;0,"✓",""))</f>
        <v/>
      </c>
      <c r="G68" s="57">
        <f>IF(OR($A68="",G$24=""),"",IF(COUNTIFS('AFA Rates'!$A$5:$A$1004,$A68,'AFA Rates'!$B$5:$B$1004,G$24)&gt;0,"✓",""))</f>
        <v/>
      </c>
      <c r="H68" s="57">
        <f>IF(OR($A68="",H$24=""),"",IF(COUNTIFS('AFA Rates'!$A$5:$A$1004,$A68,'AFA Rates'!$B$5:$B$1004,H$24)&gt;0,"✓",""))</f>
        <v/>
      </c>
      <c r="I68" s="57">
        <f>IF(OR($A68="",I$24=""),"",IF(COUNTIFS('AFA Rates'!$A$5:$A$1004,$A68,'AFA Rates'!$B$5:$B$1004,I$24)&gt;0,"✓",""))</f>
        <v/>
      </c>
      <c r="J68" s="57">
        <f>IF(OR($A68="",J$24=""),"",IF(COUNTIFS('AFA Rates'!$A$5:$A$1004,$A68,'AFA Rates'!$B$5:$B$1004,J$24)&gt;0,"✓",""))</f>
        <v/>
      </c>
      <c r="K68" s="57">
        <f>IF(OR($A68="",K$24=""),"",IF(COUNTIFS('AFA Rates'!$A$5:$A$1004,$A68,'AFA Rates'!$B$5:$B$1004,K$24)&gt;0,"✓",""))</f>
        <v/>
      </c>
      <c r="L68" s="57">
        <f>IF(OR($A68="",L$24=""),"",IF(COUNTIFS('AFA Rates'!$A$5:$A$1004,$A68,'AFA Rates'!$B$5:$B$1004,L$24)&gt;0,"✓",""))</f>
        <v/>
      </c>
      <c r="M68" s="57">
        <f>IF(OR($A68="",M$24=""),"",IF(COUNTIFS('AFA Rates'!$A$5:$A$1004,$A68,'AFA Rates'!$B$5:$B$1004,M$24)&gt;0,"✓",""))</f>
        <v/>
      </c>
    </row>
    <row r="69">
      <c r="A69" s="63">
        <f>IFERROR(INDEX(Firms!$A$5:$A$1004,MATCH(45,Firms!$S$5:$S$1004,0)),"")</f>
        <v/>
      </c>
      <c r="B69" s="57">
        <f>IF($A69="","",INDEX(Firms!$B$5:$B$1004,MATCH(45,Firms!$S$5:$S$1004,0)))</f>
        <v/>
      </c>
      <c r="C69" s="57">
        <f>IF($A69="","",COUNTIF('AFA Rates'!$A$5:$A$1004,$A69))</f>
        <v/>
      </c>
      <c r="D69" s="57">
        <f>IF(OR($A69="",D$24=""),"",IF(COUNTIFS('AFA Rates'!$A$5:$A$1004,$A69,'AFA Rates'!$B$5:$B$1004,D$24)&gt;0,"✓",""))</f>
        <v/>
      </c>
      <c r="E69" s="57">
        <f>IF(OR($A69="",E$24=""),"",IF(COUNTIFS('AFA Rates'!$A$5:$A$1004,$A69,'AFA Rates'!$B$5:$B$1004,E$24)&gt;0,"✓",""))</f>
        <v/>
      </c>
      <c r="F69" s="57">
        <f>IF(OR($A69="",F$24=""),"",IF(COUNTIFS('AFA Rates'!$A$5:$A$1004,$A69,'AFA Rates'!$B$5:$B$1004,F$24)&gt;0,"✓",""))</f>
        <v/>
      </c>
      <c r="G69" s="57">
        <f>IF(OR($A69="",G$24=""),"",IF(COUNTIFS('AFA Rates'!$A$5:$A$1004,$A69,'AFA Rates'!$B$5:$B$1004,G$24)&gt;0,"✓",""))</f>
        <v/>
      </c>
      <c r="H69" s="57">
        <f>IF(OR($A69="",H$24=""),"",IF(COUNTIFS('AFA Rates'!$A$5:$A$1004,$A69,'AFA Rates'!$B$5:$B$1004,H$24)&gt;0,"✓",""))</f>
        <v/>
      </c>
      <c r="I69" s="57">
        <f>IF(OR($A69="",I$24=""),"",IF(COUNTIFS('AFA Rates'!$A$5:$A$1004,$A69,'AFA Rates'!$B$5:$B$1004,I$24)&gt;0,"✓",""))</f>
        <v/>
      </c>
      <c r="J69" s="57">
        <f>IF(OR($A69="",J$24=""),"",IF(COUNTIFS('AFA Rates'!$A$5:$A$1004,$A69,'AFA Rates'!$B$5:$B$1004,J$24)&gt;0,"✓",""))</f>
        <v/>
      </c>
      <c r="K69" s="57">
        <f>IF(OR($A69="",K$24=""),"",IF(COUNTIFS('AFA Rates'!$A$5:$A$1004,$A69,'AFA Rates'!$B$5:$B$1004,K$24)&gt;0,"✓",""))</f>
        <v/>
      </c>
      <c r="L69" s="57">
        <f>IF(OR($A69="",L$24=""),"",IF(COUNTIFS('AFA Rates'!$A$5:$A$1004,$A69,'AFA Rates'!$B$5:$B$1004,L$24)&gt;0,"✓",""))</f>
        <v/>
      </c>
      <c r="M69" s="57">
        <f>IF(OR($A69="",M$24=""),"",IF(COUNTIFS('AFA Rates'!$A$5:$A$1004,$A69,'AFA Rates'!$B$5:$B$1004,M$24)&gt;0,"✓",""))</f>
        <v/>
      </c>
    </row>
    <row r="70">
      <c r="A70" s="63">
        <f>IFERROR(INDEX(Firms!$A$5:$A$1004,MATCH(46,Firms!$S$5:$S$1004,0)),"")</f>
        <v/>
      </c>
      <c r="B70" s="57">
        <f>IF($A70="","",INDEX(Firms!$B$5:$B$1004,MATCH(46,Firms!$S$5:$S$1004,0)))</f>
        <v/>
      </c>
      <c r="C70" s="57">
        <f>IF($A70="","",COUNTIF('AFA Rates'!$A$5:$A$1004,$A70))</f>
        <v/>
      </c>
      <c r="D70" s="57">
        <f>IF(OR($A70="",D$24=""),"",IF(COUNTIFS('AFA Rates'!$A$5:$A$1004,$A70,'AFA Rates'!$B$5:$B$1004,D$24)&gt;0,"✓",""))</f>
        <v/>
      </c>
      <c r="E70" s="57">
        <f>IF(OR($A70="",E$24=""),"",IF(COUNTIFS('AFA Rates'!$A$5:$A$1004,$A70,'AFA Rates'!$B$5:$B$1004,E$24)&gt;0,"✓",""))</f>
        <v/>
      </c>
      <c r="F70" s="57">
        <f>IF(OR($A70="",F$24=""),"",IF(COUNTIFS('AFA Rates'!$A$5:$A$1004,$A70,'AFA Rates'!$B$5:$B$1004,F$24)&gt;0,"✓",""))</f>
        <v/>
      </c>
      <c r="G70" s="57">
        <f>IF(OR($A70="",G$24=""),"",IF(COUNTIFS('AFA Rates'!$A$5:$A$1004,$A70,'AFA Rates'!$B$5:$B$1004,G$24)&gt;0,"✓",""))</f>
        <v/>
      </c>
      <c r="H70" s="57">
        <f>IF(OR($A70="",H$24=""),"",IF(COUNTIFS('AFA Rates'!$A$5:$A$1004,$A70,'AFA Rates'!$B$5:$B$1004,H$24)&gt;0,"✓",""))</f>
        <v/>
      </c>
      <c r="I70" s="57">
        <f>IF(OR($A70="",I$24=""),"",IF(COUNTIFS('AFA Rates'!$A$5:$A$1004,$A70,'AFA Rates'!$B$5:$B$1004,I$24)&gt;0,"✓",""))</f>
        <v/>
      </c>
      <c r="J70" s="57">
        <f>IF(OR($A70="",J$24=""),"",IF(COUNTIFS('AFA Rates'!$A$5:$A$1004,$A70,'AFA Rates'!$B$5:$B$1004,J$24)&gt;0,"✓",""))</f>
        <v/>
      </c>
      <c r="K70" s="57">
        <f>IF(OR($A70="",K$24=""),"",IF(COUNTIFS('AFA Rates'!$A$5:$A$1004,$A70,'AFA Rates'!$B$5:$B$1004,K$24)&gt;0,"✓",""))</f>
        <v/>
      </c>
      <c r="L70" s="57">
        <f>IF(OR($A70="",L$24=""),"",IF(COUNTIFS('AFA Rates'!$A$5:$A$1004,$A70,'AFA Rates'!$B$5:$B$1004,L$24)&gt;0,"✓",""))</f>
        <v/>
      </c>
      <c r="M70" s="57">
        <f>IF(OR($A70="",M$24=""),"",IF(COUNTIFS('AFA Rates'!$A$5:$A$1004,$A70,'AFA Rates'!$B$5:$B$1004,M$24)&gt;0,"✓",""))</f>
        <v/>
      </c>
    </row>
    <row r="71">
      <c r="A71" s="63">
        <f>IFERROR(INDEX(Firms!$A$5:$A$1004,MATCH(47,Firms!$S$5:$S$1004,0)),"")</f>
        <v/>
      </c>
      <c r="B71" s="57">
        <f>IF($A71="","",INDEX(Firms!$B$5:$B$1004,MATCH(47,Firms!$S$5:$S$1004,0)))</f>
        <v/>
      </c>
      <c r="C71" s="57">
        <f>IF($A71="","",COUNTIF('AFA Rates'!$A$5:$A$1004,$A71))</f>
        <v/>
      </c>
      <c r="D71" s="57">
        <f>IF(OR($A71="",D$24=""),"",IF(COUNTIFS('AFA Rates'!$A$5:$A$1004,$A71,'AFA Rates'!$B$5:$B$1004,D$24)&gt;0,"✓",""))</f>
        <v/>
      </c>
      <c r="E71" s="57">
        <f>IF(OR($A71="",E$24=""),"",IF(COUNTIFS('AFA Rates'!$A$5:$A$1004,$A71,'AFA Rates'!$B$5:$B$1004,E$24)&gt;0,"✓",""))</f>
        <v/>
      </c>
      <c r="F71" s="57">
        <f>IF(OR($A71="",F$24=""),"",IF(COUNTIFS('AFA Rates'!$A$5:$A$1004,$A71,'AFA Rates'!$B$5:$B$1004,F$24)&gt;0,"✓",""))</f>
        <v/>
      </c>
      <c r="G71" s="57">
        <f>IF(OR($A71="",G$24=""),"",IF(COUNTIFS('AFA Rates'!$A$5:$A$1004,$A71,'AFA Rates'!$B$5:$B$1004,G$24)&gt;0,"✓",""))</f>
        <v/>
      </c>
      <c r="H71" s="57">
        <f>IF(OR($A71="",H$24=""),"",IF(COUNTIFS('AFA Rates'!$A$5:$A$1004,$A71,'AFA Rates'!$B$5:$B$1004,H$24)&gt;0,"✓",""))</f>
        <v/>
      </c>
      <c r="I71" s="57">
        <f>IF(OR($A71="",I$24=""),"",IF(COUNTIFS('AFA Rates'!$A$5:$A$1004,$A71,'AFA Rates'!$B$5:$B$1004,I$24)&gt;0,"✓",""))</f>
        <v/>
      </c>
      <c r="J71" s="57">
        <f>IF(OR($A71="",J$24=""),"",IF(COUNTIFS('AFA Rates'!$A$5:$A$1004,$A71,'AFA Rates'!$B$5:$B$1004,J$24)&gt;0,"✓",""))</f>
        <v/>
      </c>
      <c r="K71" s="57">
        <f>IF(OR($A71="",K$24=""),"",IF(COUNTIFS('AFA Rates'!$A$5:$A$1004,$A71,'AFA Rates'!$B$5:$B$1004,K$24)&gt;0,"✓",""))</f>
        <v/>
      </c>
      <c r="L71" s="57">
        <f>IF(OR($A71="",L$24=""),"",IF(COUNTIFS('AFA Rates'!$A$5:$A$1004,$A71,'AFA Rates'!$B$5:$B$1004,L$24)&gt;0,"✓",""))</f>
        <v/>
      </c>
      <c r="M71" s="57">
        <f>IF(OR($A71="",M$24=""),"",IF(COUNTIFS('AFA Rates'!$A$5:$A$1004,$A71,'AFA Rates'!$B$5:$B$1004,M$24)&gt;0,"✓",""))</f>
        <v/>
      </c>
    </row>
    <row r="72">
      <c r="A72" s="63">
        <f>IFERROR(INDEX(Firms!$A$5:$A$1004,MATCH(48,Firms!$S$5:$S$1004,0)),"")</f>
        <v/>
      </c>
      <c r="B72" s="57">
        <f>IF($A72="","",INDEX(Firms!$B$5:$B$1004,MATCH(48,Firms!$S$5:$S$1004,0)))</f>
        <v/>
      </c>
      <c r="C72" s="57">
        <f>IF($A72="","",COUNTIF('AFA Rates'!$A$5:$A$1004,$A72))</f>
        <v/>
      </c>
      <c r="D72" s="57">
        <f>IF(OR($A72="",D$24=""),"",IF(COUNTIFS('AFA Rates'!$A$5:$A$1004,$A72,'AFA Rates'!$B$5:$B$1004,D$24)&gt;0,"✓",""))</f>
        <v/>
      </c>
      <c r="E72" s="57">
        <f>IF(OR($A72="",E$24=""),"",IF(COUNTIFS('AFA Rates'!$A$5:$A$1004,$A72,'AFA Rates'!$B$5:$B$1004,E$24)&gt;0,"✓",""))</f>
        <v/>
      </c>
      <c r="F72" s="57">
        <f>IF(OR($A72="",F$24=""),"",IF(COUNTIFS('AFA Rates'!$A$5:$A$1004,$A72,'AFA Rates'!$B$5:$B$1004,F$24)&gt;0,"✓",""))</f>
        <v/>
      </c>
      <c r="G72" s="57">
        <f>IF(OR($A72="",G$24=""),"",IF(COUNTIFS('AFA Rates'!$A$5:$A$1004,$A72,'AFA Rates'!$B$5:$B$1004,G$24)&gt;0,"✓",""))</f>
        <v/>
      </c>
      <c r="H72" s="57">
        <f>IF(OR($A72="",H$24=""),"",IF(COUNTIFS('AFA Rates'!$A$5:$A$1004,$A72,'AFA Rates'!$B$5:$B$1004,H$24)&gt;0,"✓",""))</f>
        <v/>
      </c>
      <c r="I72" s="57">
        <f>IF(OR($A72="",I$24=""),"",IF(COUNTIFS('AFA Rates'!$A$5:$A$1004,$A72,'AFA Rates'!$B$5:$B$1004,I$24)&gt;0,"✓",""))</f>
        <v/>
      </c>
      <c r="J72" s="57">
        <f>IF(OR($A72="",J$24=""),"",IF(COUNTIFS('AFA Rates'!$A$5:$A$1004,$A72,'AFA Rates'!$B$5:$B$1004,J$24)&gt;0,"✓",""))</f>
        <v/>
      </c>
      <c r="K72" s="57">
        <f>IF(OR($A72="",K$24=""),"",IF(COUNTIFS('AFA Rates'!$A$5:$A$1004,$A72,'AFA Rates'!$B$5:$B$1004,K$24)&gt;0,"✓",""))</f>
        <v/>
      </c>
      <c r="L72" s="57">
        <f>IF(OR($A72="",L$24=""),"",IF(COUNTIFS('AFA Rates'!$A$5:$A$1004,$A72,'AFA Rates'!$B$5:$B$1004,L$24)&gt;0,"✓",""))</f>
        <v/>
      </c>
      <c r="M72" s="57">
        <f>IF(OR($A72="",M$24=""),"",IF(COUNTIFS('AFA Rates'!$A$5:$A$1004,$A72,'AFA Rates'!$B$5:$B$1004,M$24)&gt;0,"✓",""))</f>
        <v/>
      </c>
    </row>
    <row r="73">
      <c r="A73" s="63">
        <f>IFERROR(INDEX(Firms!$A$5:$A$1004,MATCH(49,Firms!$S$5:$S$1004,0)),"")</f>
        <v/>
      </c>
      <c r="B73" s="57">
        <f>IF($A73="","",INDEX(Firms!$B$5:$B$1004,MATCH(49,Firms!$S$5:$S$1004,0)))</f>
        <v/>
      </c>
      <c r="C73" s="57">
        <f>IF($A73="","",COUNTIF('AFA Rates'!$A$5:$A$1004,$A73))</f>
        <v/>
      </c>
      <c r="D73" s="57">
        <f>IF(OR($A73="",D$24=""),"",IF(COUNTIFS('AFA Rates'!$A$5:$A$1004,$A73,'AFA Rates'!$B$5:$B$1004,D$24)&gt;0,"✓",""))</f>
        <v/>
      </c>
      <c r="E73" s="57">
        <f>IF(OR($A73="",E$24=""),"",IF(COUNTIFS('AFA Rates'!$A$5:$A$1004,$A73,'AFA Rates'!$B$5:$B$1004,E$24)&gt;0,"✓",""))</f>
        <v/>
      </c>
      <c r="F73" s="57">
        <f>IF(OR($A73="",F$24=""),"",IF(COUNTIFS('AFA Rates'!$A$5:$A$1004,$A73,'AFA Rates'!$B$5:$B$1004,F$24)&gt;0,"✓",""))</f>
        <v/>
      </c>
      <c r="G73" s="57">
        <f>IF(OR($A73="",G$24=""),"",IF(COUNTIFS('AFA Rates'!$A$5:$A$1004,$A73,'AFA Rates'!$B$5:$B$1004,G$24)&gt;0,"✓",""))</f>
        <v/>
      </c>
      <c r="H73" s="57">
        <f>IF(OR($A73="",H$24=""),"",IF(COUNTIFS('AFA Rates'!$A$5:$A$1004,$A73,'AFA Rates'!$B$5:$B$1004,H$24)&gt;0,"✓",""))</f>
        <v/>
      </c>
      <c r="I73" s="57">
        <f>IF(OR($A73="",I$24=""),"",IF(COUNTIFS('AFA Rates'!$A$5:$A$1004,$A73,'AFA Rates'!$B$5:$B$1004,I$24)&gt;0,"✓",""))</f>
        <v/>
      </c>
      <c r="J73" s="57">
        <f>IF(OR($A73="",J$24=""),"",IF(COUNTIFS('AFA Rates'!$A$5:$A$1004,$A73,'AFA Rates'!$B$5:$B$1004,J$24)&gt;0,"✓",""))</f>
        <v/>
      </c>
      <c r="K73" s="57">
        <f>IF(OR($A73="",K$24=""),"",IF(COUNTIFS('AFA Rates'!$A$5:$A$1004,$A73,'AFA Rates'!$B$5:$B$1004,K$24)&gt;0,"✓",""))</f>
        <v/>
      </c>
      <c r="L73" s="57">
        <f>IF(OR($A73="",L$24=""),"",IF(COUNTIFS('AFA Rates'!$A$5:$A$1004,$A73,'AFA Rates'!$B$5:$B$1004,L$24)&gt;0,"✓",""))</f>
        <v/>
      </c>
      <c r="M73" s="57">
        <f>IF(OR($A73="",M$24=""),"",IF(COUNTIFS('AFA Rates'!$A$5:$A$1004,$A73,'AFA Rates'!$B$5:$B$1004,M$24)&gt;0,"✓",""))</f>
        <v/>
      </c>
    </row>
    <row r="74">
      <c r="A74" s="63">
        <f>IFERROR(INDEX(Firms!$A$5:$A$1004,MATCH(50,Firms!$S$5:$S$1004,0)),"")</f>
        <v/>
      </c>
      <c r="B74" s="57">
        <f>IF($A74="","",INDEX(Firms!$B$5:$B$1004,MATCH(50,Firms!$S$5:$S$1004,0)))</f>
        <v/>
      </c>
      <c r="C74" s="57">
        <f>IF($A74="","",COUNTIF('AFA Rates'!$A$5:$A$1004,$A74))</f>
        <v/>
      </c>
      <c r="D74" s="57">
        <f>IF(OR($A74="",D$24=""),"",IF(COUNTIFS('AFA Rates'!$A$5:$A$1004,$A74,'AFA Rates'!$B$5:$B$1004,D$24)&gt;0,"✓",""))</f>
        <v/>
      </c>
      <c r="E74" s="57">
        <f>IF(OR($A74="",E$24=""),"",IF(COUNTIFS('AFA Rates'!$A$5:$A$1004,$A74,'AFA Rates'!$B$5:$B$1004,E$24)&gt;0,"✓",""))</f>
        <v/>
      </c>
      <c r="F74" s="57">
        <f>IF(OR($A74="",F$24=""),"",IF(COUNTIFS('AFA Rates'!$A$5:$A$1004,$A74,'AFA Rates'!$B$5:$B$1004,F$24)&gt;0,"✓",""))</f>
        <v/>
      </c>
      <c r="G74" s="57">
        <f>IF(OR($A74="",G$24=""),"",IF(COUNTIFS('AFA Rates'!$A$5:$A$1004,$A74,'AFA Rates'!$B$5:$B$1004,G$24)&gt;0,"✓",""))</f>
        <v/>
      </c>
      <c r="H74" s="57">
        <f>IF(OR($A74="",H$24=""),"",IF(COUNTIFS('AFA Rates'!$A$5:$A$1004,$A74,'AFA Rates'!$B$5:$B$1004,H$24)&gt;0,"✓",""))</f>
        <v/>
      </c>
      <c r="I74" s="57">
        <f>IF(OR($A74="",I$24=""),"",IF(COUNTIFS('AFA Rates'!$A$5:$A$1004,$A74,'AFA Rates'!$B$5:$B$1004,I$24)&gt;0,"✓",""))</f>
        <v/>
      </c>
      <c r="J74" s="57">
        <f>IF(OR($A74="",J$24=""),"",IF(COUNTIFS('AFA Rates'!$A$5:$A$1004,$A74,'AFA Rates'!$B$5:$B$1004,J$24)&gt;0,"✓",""))</f>
        <v/>
      </c>
      <c r="K74" s="57">
        <f>IF(OR($A74="",K$24=""),"",IF(COUNTIFS('AFA Rates'!$A$5:$A$1004,$A74,'AFA Rates'!$B$5:$B$1004,K$24)&gt;0,"✓",""))</f>
        <v/>
      </c>
      <c r="L74" s="57">
        <f>IF(OR($A74="",L$24=""),"",IF(COUNTIFS('AFA Rates'!$A$5:$A$1004,$A74,'AFA Rates'!$B$5:$B$1004,L$24)&gt;0,"✓",""))</f>
        <v/>
      </c>
      <c r="M74" s="57">
        <f>IF(OR($A74="",M$24=""),"",IF(COUNTIFS('AFA Rates'!$A$5:$A$1004,$A74,'AFA Rates'!$B$5:$B$1004,M$24)&gt;0,"✓",""))</f>
        <v/>
      </c>
    </row>
    <row r="75">
      <c r="A75" s="63">
        <f>IFERROR(INDEX(Firms!$A$5:$A$1004,MATCH(51,Firms!$S$5:$S$1004,0)),"")</f>
        <v/>
      </c>
      <c r="B75" s="57">
        <f>IF($A75="","",INDEX(Firms!$B$5:$B$1004,MATCH(51,Firms!$S$5:$S$1004,0)))</f>
        <v/>
      </c>
      <c r="C75" s="57">
        <f>IF($A75="","",COUNTIF('AFA Rates'!$A$5:$A$1004,$A75))</f>
        <v/>
      </c>
      <c r="D75" s="57">
        <f>IF(OR($A75="",D$24=""),"",IF(COUNTIFS('AFA Rates'!$A$5:$A$1004,$A75,'AFA Rates'!$B$5:$B$1004,D$24)&gt;0,"✓",""))</f>
        <v/>
      </c>
      <c r="E75" s="57">
        <f>IF(OR($A75="",E$24=""),"",IF(COUNTIFS('AFA Rates'!$A$5:$A$1004,$A75,'AFA Rates'!$B$5:$B$1004,E$24)&gt;0,"✓",""))</f>
        <v/>
      </c>
      <c r="F75" s="57">
        <f>IF(OR($A75="",F$24=""),"",IF(COUNTIFS('AFA Rates'!$A$5:$A$1004,$A75,'AFA Rates'!$B$5:$B$1004,F$24)&gt;0,"✓",""))</f>
        <v/>
      </c>
      <c r="G75" s="57">
        <f>IF(OR($A75="",G$24=""),"",IF(COUNTIFS('AFA Rates'!$A$5:$A$1004,$A75,'AFA Rates'!$B$5:$B$1004,G$24)&gt;0,"✓",""))</f>
        <v/>
      </c>
      <c r="H75" s="57">
        <f>IF(OR($A75="",H$24=""),"",IF(COUNTIFS('AFA Rates'!$A$5:$A$1004,$A75,'AFA Rates'!$B$5:$B$1004,H$24)&gt;0,"✓",""))</f>
        <v/>
      </c>
      <c r="I75" s="57">
        <f>IF(OR($A75="",I$24=""),"",IF(COUNTIFS('AFA Rates'!$A$5:$A$1004,$A75,'AFA Rates'!$B$5:$B$1004,I$24)&gt;0,"✓",""))</f>
        <v/>
      </c>
      <c r="J75" s="57">
        <f>IF(OR($A75="",J$24=""),"",IF(COUNTIFS('AFA Rates'!$A$5:$A$1004,$A75,'AFA Rates'!$B$5:$B$1004,J$24)&gt;0,"✓",""))</f>
        <v/>
      </c>
      <c r="K75" s="57">
        <f>IF(OR($A75="",K$24=""),"",IF(COUNTIFS('AFA Rates'!$A$5:$A$1004,$A75,'AFA Rates'!$B$5:$B$1004,K$24)&gt;0,"✓",""))</f>
        <v/>
      </c>
      <c r="L75" s="57">
        <f>IF(OR($A75="",L$24=""),"",IF(COUNTIFS('AFA Rates'!$A$5:$A$1004,$A75,'AFA Rates'!$B$5:$B$1004,L$24)&gt;0,"✓",""))</f>
        <v/>
      </c>
      <c r="M75" s="57">
        <f>IF(OR($A75="",M$24=""),"",IF(COUNTIFS('AFA Rates'!$A$5:$A$1004,$A75,'AFA Rates'!$B$5:$B$1004,M$24)&gt;0,"✓",""))</f>
        <v/>
      </c>
    </row>
    <row r="76">
      <c r="A76" s="63">
        <f>IFERROR(INDEX(Firms!$A$5:$A$1004,MATCH(52,Firms!$S$5:$S$1004,0)),"")</f>
        <v/>
      </c>
      <c r="B76" s="57">
        <f>IF($A76="","",INDEX(Firms!$B$5:$B$1004,MATCH(52,Firms!$S$5:$S$1004,0)))</f>
        <v/>
      </c>
      <c r="C76" s="57">
        <f>IF($A76="","",COUNTIF('AFA Rates'!$A$5:$A$1004,$A76))</f>
        <v/>
      </c>
      <c r="D76" s="57">
        <f>IF(OR($A76="",D$24=""),"",IF(COUNTIFS('AFA Rates'!$A$5:$A$1004,$A76,'AFA Rates'!$B$5:$B$1004,D$24)&gt;0,"✓",""))</f>
        <v/>
      </c>
      <c r="E76" s="57">
        <f>IF(OR($A76="",E$24=""),"",IF(COUNTIFS('AFA Rates'!$A$5:$A$1004,$A76,'AFA Rates'!$B$5:$B$1004,E$24)&gt;0,"✓",""))</f>
        <v/>
      </c>
      <c r="F76" s="57">
        <f>IF(OR($A76="",F$24=""),"",IF(COUNTIFS('AFA Rates'!$A$5:$A$1004,$A76,'AFA Rates'!$B$5:$B$1004,F$24)&gt;0,"✓",""))</f>
        <v/>
      </c>
      <c r="G76" s="57">
        <f>IF(OR($A76="",G$24=""),"",IF(COUNTIFS('AFA Rates'!$A$5:$A$1004,$A76,'AFA Rates'!$B$5:$B$1004,G$24)&gt;0,"✓",""))</f>
        <v/>
      </c>
      <c r="H76" s="57">
        <f>IF(OR($A76="",H$24=""),"",IF(COUNTIFS('AFA Rates'!$A$5:$A$1004,$A76,'AFA Rates'!$B$5:$B$1004,H$24)&gt;0,"✓",""))</f>
        <v/>
      </c>
      <c r="I76" s="57">
        <f>IF(OR($A76="",I$24=""),"",IF(COUNTIFS('AFA Rates'!$A$5:$A$1004,$A76,'AFA Rates'!$B$5:$B$1004,I$24)&gt;0,"✓",""))</f>
        <v/>
      </c>
      <c r="J76" s="57">
        <f>IF(OR($A76="",J$24=""),"",IF(COUNTIFS('AFA Rates'!$A$5:$A$1004,$A76,'AFA Rates'!$B$5:$B$1004,J$24)&gt;0,"✓",""))</f>
        <v/>
      </c>
      <c r="K76" s="57">
        <f>IF(OR($A76="",K$24=""),"",IF(COUNTIFS('AFA Rates'!$A$5:$A$1004,$A76,'AFA Rates'!$B$5:$B$1004,K$24)&gt;0,"✓",""))</f>
        <v/>
      </c>
      <c r="L76" s="57">
        <f>IF(OR($A76="",L$24=""),"",IF(COUNTIFS('AFA Rates'!$A$5:$A$1004,$A76,'AFA Rates'!$B$5:$B$1004,L$24)&gt;0,"✓",""))</f>
        <v/>
      </c>
      <c r="M76" s="57">
        <f>IF(OR($A76="",M$24=""),"",IF(COUNTIFS('AFA Rates'!$A$5:$A$1004,$A76,'AFA Rates'!$B$5:$B$1004,M$24)&gt;0,"✓",""))</f>
        <v/>
      </c>
    </row>
    <row r="77">
      <c r="A77" s="63">
        <f>IFERROR(INDEX(Firms!$A$5:$A$1004,MATCH(53,Firms!$S$5:$S$1004,0)),"")</f>
        <v/>
      </c>
      <c r="B77" s="57">
        <f>IF($A77="","",INDEX(Firms!$B$5:$B$1004,MATCH(53,Firms!$S$5:$S$1004,0)))</f>
        <v/>
      </c>
      <c r="C77" s="57">
        <f>IF($A77="","",COUNTIF('AFA Rates'!$A$5:$A$1004,$A77))</f>
        <v/>
      </c>
      <c r="D77" s="57">
        <f>IF(OR($A77="",D$24=""),"",IF(COUNTIFS('AFA Rates'!$A$5:$A$1004,$A77,'AFA Rates'!$B$5:$B$1004,D$24)&gt;0,"✓",""))</f>
        <v/>
      </c>
      <c r="E77" s="57">
        <f>IF(OR($A77="",E$24=""),"",IF(COUNTIFS('AFA Rates'!$A$5:$A$1004,$A77,'AFA Rates'!$B$5:$B$1004,E$24)&gt;0,"✓",""))</f>
        <v/>
      </c>
      <c r="F77" s="57">
        <f>IF(OR($A77="",F$24=""),"",IF(COUNTIFS('AFA Rates'!$A$5:$A$1004,$A77,'AFA Rates'!$B$5:$B$1004,F$24)&gt;0,"✓",""))</f>
        <v/>
      </c>
      <c r="G77" s="57">
        <f>IF(OR($A77="",G$24=""),"",IF(COUNTIFS('AFA Rates'!$A$5:$A$1004,$A77,'AFA Rates'!$B$5:$B$1004,G$24)&gt;0,"✓",""))</f>
        <v/>
      </c>
      <c r="H77" s="57">
        <f>IF(OR($A77="",H$24=""),"",IF(COUNTIFS('AFA Rates'!$A$5:$A$1004,$A77,'AFA Rates'!$B$5:$B$1004,H$24)&gt;0,"✓",""))</f>
        <v/>
      </c>
      <c r="I77" s="57">
        <f>IF(OR($A77="",I$24=""),"",IF(COUNTIFS('AFA Rates'!$A$5:$A$1004,$A77,'AFA Rates'!$B$5:$B$1004,I$24)&gt;0,"✓",""))</f>
        <v/>
      </c>
      <c r="J77" s="57">
        <f>IF(OR($A77="",J$24=""),"",IF(COUNTIFS('AFA Rates'!$A$5:$A$1004,$A77,'AFA Rates'!$B$5:$B$1004,J$24)&gt;0,"✓",""))</f>
        <v/>
      </c>
      <c r="K77" s="57">
        <f>IF(OR($A77="",K$24=""),"",IF(COUNTIFS('AFA Rates'!$A$5:$A$1004,$A77,'AFA Rates'!$B$5:$B$1004,K$24)&gt;0,"✓",""))</f>
        <v/>
      </c>
      <c r="L77" s="57">
        <f>IF(OR($A77="",L$24=""),"",IF(COUNTIFS('AFA Rates'!$A$5:$A$1004,$A77,'AFA Rates'!$B$5:$B$1004,L$24)&gt;0,"✓",""))</f>
        <v/>
      </c>
      <c r="M77" s="57">
        <f>IF(OR($A77="",M$24=""),"",IF(COUNTIFS('AFA Rates'!$A$5:$A$1004,$A77,'AFA Rates'!$B$5:$B$1004,M$24)&gt;0,"✓",""))</f>
        <v/>
      </c>
    </row>
    <row r="78">
      <c r="A78" s="63">
        <f>IFERROR(INDEX(Firms!$A$5:$A$1004,MATCH(54,Firms!$S$5:$S$1004,0)),"")</f>
        <v/>
      </c>
      <c r="B78" s="57">
        <f>IF($A78="","",INDEX(Firms!$B$5:$B$1004,MATCH(54,Firms!$S$5:$S$1004,0)))</f>
        <v/>
      </c>
      <c r="C78" s="57">
        <f>IF($A78="","",COUNTIF('AFA Rates'!$A$5:$A$1004,$A78))</f>
        <v/>
      </c>
      <c r="D78" s="57">
        <f>IF(OR($A78="",D$24=""),"",IF(COUNTIFS('AFA Rates'!$A$5:$A$1004,$A78,'AFA Rates'!$B$5:$B$1004,D$24)&gt;0,"✓",""))</f>
        <v/>
      </c>
      <c r="E78" s="57">
        <f>IF(OR($A78="",E$24=""),"",IF(COUNTIFS('AFA Rates'!$A$5:$A$1004,$A78,'AFA Rates'!$B$5:$B$1004,E$24)&gt;0,"✓",""))</f>
        <v/>
      </c>
      <c r="F78" s="57">
        <f>IF(OR($A78="",F$24=""),"",IF(COUNTIFS('AFA Rates'!$A$5:$A$1004,$A78,'AFA Rates'!$B$5:$B$1004,F$24)&gt;0,"✓",""))</f>
        <v/>
      </c>
      <c r="G78" s="57">
        <f>IF(OR($A78="",G$24=""),"",IF(COUNTIFS('AFA Rates'!$A$5:$A$1004,$A78,'AFA Rates'!$B$5:$B$1004,G$24)&gt;0,"✓",""))</f>
        <v/>
      </c>
      <c r="H78" s="57">
        <f>IF(OR($A78="",H$24=""),"",IF(COUNTIFS('AFA Rates'!$A$5:$A$1004,$A78,'AFA Rates'!$B$5:$B$1004,H$24)&gt;0,"✓",""))</f>
        <v/>
      </c>
      <c r="I78" s="57">
        <f>IF(OR($A78="",I$24=""),"",IF(COUNTIFS('AFA Rates'!$A$5:$A$1004,$A78,'AFA Rates'!$B$5:$B$1004,I$24)&gt;0,"✓",""))</f>
        <v/>
      </c>
      <c r="J78" s="57">
        <f>IF(OR($A78="",J$24=""),"",IF(COUNTIFS('AFA Rates'!$A$5:$A$1004,$A78,'AFA Rates'!$B$5:$B$1004,J$24)&gt;0,"✓",""))</f>
        <v/>
      </c>
      <c r="K78" s="57">
        <f>IF(OR($A78="",K$24=""),"",IF(COUNTIFS('AFA Rates'!$A$5:$A$1004,$A78,'AFA Rates'!$B$5:$B$1004,K$24)&gt;0,"✓",""))</f>
        <v/>
      </c>
      <c r="L78" s="57">
        <f>IF(OR($A78="",L$24=""),"",IF(COUNTIFS('AFA Rates'!$A$5:$A$1004,$A78,'AFA Rates'!$B$5:$B$1004,L$24)&gt;0,"✓",""))</f>
        <v/>
      </c>
      <c r="M78" s="57">
        <f>IF(OR($A78="",M$24=""),"",IF(COUNTIFS('AFA Rates'!$A$5:$A$1004,$A78,'AFA Rates'!$B$5:$B$1004,M$24)&gt;0,"✓",""))</f>
        <v/>
      </c>
    </row>
    <row r="79">
      <c r="A79" s="63">
        <f>IFERROR(INDEX(Firms!$A$5:$A$1004,MATCH(55,Firms!$S$5:$S$1004,0)),"")</f>
        <v/>
      </c>
      <c r="B79" s="57">
        <f>IF($A79="","",INDEX(Firms!$B$5:$B$1004,MATCH(55,Firms!$S$5:$S$1004,0)))</f>
        <v/>
      </c>
      <c r="C79" s="57">
        <f>IF($A79="","",COUNTIF('AFA Rates'!$A$5:$A$1004,$A79))</f>
        <v/>
      </c>
      <c r="D79" s="57">
        <f>IF(OR($A79="",D$24=""),"",IF(COUNTIFS('AFA Rates'!$A$5:$A$1004,$A79,'AFA Rates'!$B$5:$B$1004,D$24)&gt;0,"✓",""))</f>
        <v/>
      </c>
      <c r="E79" s="57">
        <f>IF(OR($A79="",E$24=""),"",IF(COUNTIFS('AFA Rates'!$A$5:$A$1004,$A79,'AFA Rates'!$B$5:$B$1004,E$24)&gt;0,"✓",""))</f>
        <v/>
      </c>
      <c r="F79" s="57">
        <f>IF(OR($A79="",F$24=""),"",IF(COUNTIFS('AFA Rates'!$A$5:$A$1004,$A79,'AFA Rates'!$B$5:$B$1004,F$24)&gt;0,"✓",""))</f>
        <v/>
      </c>
      <c r="G79" s="57">
        <f>IF(OR($A79="",G$24=""),"",IF(COUNTIFS('AFA Rates'!$A$5:$A$1004,$A79,'AFA Rates'!$B$5:$B$1004,G$24)&gt;0,"✓",""))</f>
        <v/>
      </c>
      <c r="H79" s="57">
        <f>IF(OR($A79="",H$24=""),"",IF(COUNTIFS('AFA Rates'!$A$5:$A$1004,$A79,'AFA Rates'!$B$5:$B$1004,H$24)&gt;0,"✓",""))</f>
        <v/>
      </c>
      <c r="I79" s="57">
        <f>IF(OR($A79="",I$24=""),"",IF(COUNTIFS('AFA Rates'!$A$5:$A$1004,$A79,'AFA Rates'!$B$5:$B$1004,I$24)&gt;0,"✓",""))</f>
        <v/>
      </c>
      <c r="J79" s="57">
        <f>IF(OR($A79="",J$24=""),"",IF(COUNTIFS('AFA Rates'!$A$5:$A$1004,$A79,'AFA Rates'!$B$5:$B$1004,J$24)&gt;0,"✓",""))</f>
        <v/>
      </c>
      <c r="K79" s="57">
        <f>IF(OR($A79="",K$24=""),"",IF(COUNTIFS('AFA Rates'!$A$5:$A$1004,$A79,'AFA Rates'!$B$5:$B$1004,K$24)&gt;0,"✓",""))</f>
        <v/>
      </c>
      <c r="L79" s="57">
        <f>IF(OR($A79="",L$24=""),"",IF(COUNTIFS('AFA Rates'!$A$5:$A$1004,$A79,'AFA Rates'!$B$5:$B$1004,L$24)&gt;0,"✓",""))</f>
        <v/>
      </c>
      <c r="M79" s="57">
        <f>IF(OR($A79="",M$24=""),"",IF(COUNTIFS('AFA Rates'!$A$5:$A$1004,$A79,'AFA Rates'!$B$5:$B$1004,M$24)&gt;0,"✓",""))</f>
        <v/>
      </c>
    </row>
    <row r="80">
      <c r="A80" s="63">
        <f>IFERROR(INDEX(Firms!$A$5:$A$1004,MATCH(56,Firms!$S$5:$S$1004,0)),"")</f>
        <v/>
      </c>
      <c r="B80" s="57">
        <f>IF($A80="","",INDEX(Firms!$B$5:$B$1004,MATCH(56,Firms!$S$5:$S$1004,0)))</f>
        <v/>
      </c>
      <c r="C80" s="57">
        <f>IF($A80="","",COUNTIF('AFA Rates'!$A$5:$A$1004,$A80))</f>
        <v/>
      </c>
      <c r="D80" s="57">
        <f>IF(OR($A80="",D$24=""),"",IF(COUNTIFS('AFA Rates'!$A$5:$A$1004,$A80,'AFA Rates'!$B$5:$B$1004,D$24)&gt;0,"✓",""))</f>
        <v/>
      </c>
      <c r="E80" s="57">
        <f>IF(OR($A80="",E$24=""),"",IF(COUNTIFS('AFA Rates'!$A$5:$A$1004,$A80,'AFA Rates'!$B$5:$B$1004,E$24)&gt;0,"✓",""))</f>
        <v/>
      </c>
      <c r="F80" s="57">
        <f>IF(OR($A80="",F$24=""),"",IF(COUNTIFS('AFA Rates'!$A$5:$A$1004,$A80,'AFA Rates'!$B$5:$B$1004,F$24)&gt;0,"✓",""))</f>
        <v/>
      </c>
      <c r="G80" s="57">
        <f>IF(OR($A80="",G$24=""),"",IF(COUNTIFS('AFA Rates'!$A$5:$A$1004,$A80,'AFA Rates'!$B$5:$B$1004,G$24)&gt;0,"✓",""))</f>
        <v/>
      </c>
      <c r="H80" s="57">
        <f>IF(OR($A80="",H$24=""),"",IF(COUNTIFS('AFA Rates'!$A$5:$A$1004,$A80,'AFA Rates'!$B$5:$B$1004,H$24)&gt;0,"✓",""))</f>
        <v/>
      </c>
      <c r="I80" s="57">
        <f>IF(OR($A80="",I$24=""),"",IF(COUNTIFS('AFA Rates'!$A$5:$A$1004,$A80,'AFA Rates'!$B$5:$B$1004,I$24)&gt;0,"✓",""))</f>
        <v/>
      </c>
      <c r="J80" s="57">
        <f>IF(OR($A80="",J$24=""),"",IF(COUNTIFS('AFA Rates'!$A$5:$A$1004,$A80,'AFA Rates'!$B$5:$B$1004,J$24)&gt;0,"✓",""))</f>
        <v/>
      </c>
      <c r="K80" s="57">
        <f>IF(OR($A80="",K$24=""),"",IF(COUNTIFS('AFA Rates'!$A$5:$A$1004,$A80,'AFA Rates'!$B$5:$B$1004,K$24)&gt;0,"✓",""))</f>
        <v/>
      </c>
      <c r="L80" s="57">
        <f>IF(OR($A80="",L$24=""),"",IF(COUNTIFS('AFA Rates'!$A$5:$A$1004,$A80,'AFA Rates'!$B$5:$B$1004,L$24)&gt;0,"✓",""))</f>
        <v/>
      </c>
      <c r="M80" s="57">
        <f>IF(OR($A80="",M$24=""),"",IF(COUNTIFS('AFA Rates'!$A$5:$A$1004,$A80,'AFA Rates'!$B$5:$B$1004,M$24)&gt;0,"✓",""))</f>
        <v/>
      </c>
    </row>
    <row r="81">
      <c r="A81" s="63">
        <f>IFERROR(INDEX(Firms!$A$5:$A$1004,MATCH(57,Firms!$S$5:$S$1004,0)),"")</f>
        <v/>
      </c>
      <c r="B81" s="57">
        <f>IF($A81="","",INDEX(Firms!$B$5:$B$1004,MATCH(57,Firms!$S$5:$S$1004,0)))</f>
        <v/>
      </c>
      <c r="C81" s="57">
        <f>IF($A81="","",COUNTIF('AFA Rates'!$A$5:$A$1004,$A81))</f>
        <v/>
      </c>
      <c r="D81" s="57">
        <f>IF(OR($A81="",D$24=""),"",IF(COUNTIFS('AFA Rates'!$A$5:$A$1004,$A81,'AFA Rates'!$B$5:$B$1004,D$24)&gt;0,"✓",""))</f>
        <v/>
      </c>
      <c r="E81" s="57">
        <f>IF(OR($A81="",E$24=""),"",IF(COUNTIFS('AFA Rates'!$A$5:$A$1004,$A81,'AFA Rates'!$B$5:$B$1004,E$24)&gt;0,"✓",""))</f>
        <v/>
      </c>
      <c r="F81" s="57">
        <f>IF(OR($A81="",F$24=""),"",IF(COUNTIFS('AFA Rates'!$A$5:$A$1004,$A81,'AFA Rates'!$B$5:$B$1004,F$24)&gt;0,"✓",""))</f>
        <v/>
      </c>
      <c r="G81" s="57">
        <f>IF(OR($A81="",G$24=""),"",IF(COUNTIFS('AFA Rates'!$A$5:$A$1004,$A81,'AFA Rates'!$B$5:$B$1004,G$24)&gt;0,"✓",""))</f>
        <v/>
      </c>
      <c r="H81" s="57">
        <f>IF(OR($A81="",H$24=""),"",IF(COUNTIFS('AFA Rates'!$A$5:$A$1004,$A81,'AFA Rates'!$B$5:$B$1004,H$24)&gt;0,"✓",""))</f>
        <v/>
      </c>
      <c r="I81" s="57">
        <f>IF(OR($A81="",I$24=""),"",IF(COUNTIFS('AFA Rates'!$A$5:$A$1004,$A81,'AFA Rates'!$B$5:$B$1004,I$24)&gt;0,"✓",""))</f>
        <v/>
      </c>
      <c r="J81" s="57">
        <f>IF(OR($A81="",J$24=""),"",IF(COUNTIFS('AFA Rates'!$A$5:$A$1004,$A81,'AFA Rates'!$B$5:$B$1004,J$24)&gt;0,"✓",""))</f>
        <v/>
      </c>
      <c r="K81" s="57">
        <f>IF(OR($A81="",K$24=""),"",IF(COUNTIFS('AFA Rates'!$A$5:$A$1004,$A81,'AFA Rates'!$B$5:$B$1004,K$24)&gt;0,"✓",""))</f>
        <v/>
      </c>
      <c r="L81" s="57">
        <f>IF(OR($A81="",L$24=""),"",IF(COUNTIFS('AFA Rates'!$A$5:$A$1004,$A81,'AFA Rates'!$B$5:$B$1004,L$24)&gt;0,"✓",""))</f>
        <v/>
      </c>
      <c r="M81" s="57">
        <f>IF(OR($A81="",M$24=""),"",IF(COUNTIFS('AFA Rates'!$A$5:$A$1004,$A81,'AFA Rates'!$B$5:$B$1004,M$24)&gt;0,"✓",""))</f>
        <v/>
      </c>
    </row>
    <row r="82">
      <c r="A82" s="63">
        <f>IFERROR(INDEX(Firms!$A$5:$A$1004,MATCH(58,Firms!$S$5:$S$1004,0)),"")</f>
        <v/>
      </c>
      <c r="B82" s="57">
        <f>IF($A82="","",INDEX(Firms!$B$5:$B$1004,MATCH(58,Firms!$S$5:$S$1004,0)))</f>
        <v/>
      </c>
      <c r="C82" s="57">
        <f>IF($A82="","",COUNTIF('AFA Rates'!$A$5:$A$1004,$A82))</f>
        <v/>
      </c>
      <c r="D82" s="57">
        <f>IF(OR($A82="",D$24=""),"",IF(COUNTIFS('AFA Rates'!$A$5:$A$1004,$A82,'AFA Rates'!$B$5:$B$1004,D$24)&gt;0,"✓",""))</f>
        <v/>
      </c>
      <c r="E82" s="57">
        <f>IF(OR($A82="",E$24=""),"",IF(COUNTIFS('AFA Rates'!$A$5:$A$1004,$A82,'AFA Rates'!$B$5:$B$1004,E$24)&gt;0,"✓",""))</f>
        <v/>
      </c>
      <c r="F82" s="57">
        <f>IF(OR($A82="",F$24=""),"",IF(COUNTIFS('AFA Rates'!$A$5:$A$1004,$A82,'AFA Rates'!$B$5:$B$1004,F$24)&gt;0,"✓",""))</f>
        <v/>
      </c>
      <c r="G82" s="57">
        <f>IF(OR($A82="",G$24=""),"",IF(COUNTIFS('AFA Rates'!$A$5:$A$1004,$A82,'AFA Rates'!$B$5:$B$1004,G$24)&gt;0,"✓",""))</f>
        <v/>
      </c>
      <c r="H82" s="57">
        <f>IF(OR($A82="",H$24=""),"",IF(COUNTIFS('AFA Rates'!$A$5:$A$1004,$A82,'AFA Rates'!$B$5:$B$1004,H$24)&gt;0,"✓",""))</f>
        <v/>
      </c>
      <c r="I82" s="57">
        <f>IF(OR($A82="",I$24=""),"",IF(COUNTIFS('AFA Rates'!$A$5:$A$1004,$A82,'AFA Rates'!$B$5:$B$1004,I$24)&gt;0,"✓",""))</f>
        <v/>
      </c>
      <c r="J82" s="57">
        <f>IF(OR($A82="",J$24=""),"",IF(COUNTIFS('AFA Rates'!$A$5:$A$1004,$A82,'AFA Rates'!$B$5:$B$1004,J$24)&gt;0,"✓",""))</f>
        <v/>
      </c>
      <c r="K82" s="57">
        <f>IF(OR($A82="",K$24=""),"",IF(COUNTIFS('AFA Rates'!$A$5:$A$1004,$A82,'AFA Rates'!$B$5:$B$1004,K$24)&gt;0,"✓",""))</f>
        <v/>
      </c>
      <c r="L82" s="57">
        <f>IF(OR($A82="",L$24=""),"",IF(COUNTIFS('AFA Rates'!$A$5:$A$1004,$A82,'AFA Rates'!$B$5:$B$1004,L$24)&gt;0,"✓",""))</f>
        <v/>
      </c>
      <c r="M82" s="57">
        <f>IF(OR($A82="",M$24=""),"",IF(COUNTIFS('AFA Rates'!$A$5:$A$1004,$A82,'AFA Rates'!$B$5:$B$1004,M$24)&gt;0,"✓",""))</f>
        <v/>
      </c>
    </row>
    <row r="83">
      <c r="A83" s="63">
        <f>IFERROR(INDEX(Firms!$A$5:$A$1004,MATCH(59,Firms!$S$5:$S$1004,0)),"")</f>
        <v/>
      </c>
      <c r="B83" s="57">
        <f>IF($A83="","",INDEX(Firms!$B$5:$B$1004,MATCH(59,Firms!$S$5:$S$1004,0)))</f>
        <v/>
      </c>
      <c r="C83" s="57">
        <f>IF($A83="","",COUNTIF('AFA Rates'!$A$5:$A$1004,$A83))</f>
        <v/>
      </c>
      <c r="D83" s="57">
        <f>IF(OR($A83="",D$24=""),"",IF(COUNTIFS('AFA Rates'!$A$5:$A$1004,$A83,'AFA Rates'!$B$5:$B$1004,D$24)&gt;0,"✓",""))</f>
        <v/>
      </c>
      <c r="E83" s="57">
        <f>IF(OR($A83="",E$24=""),"",IF(COUNTIFS('AFA Rates'!$A$5:$A$1004,$A83,'AFA Rates'!$B$5:$B$1004,E$24)&gt;0,"✓",""))</f>
        <v/>
      </c>
      <c r="F83" s="57">
        <f>IF(OR($A83="",F$24=""),"",IF(COUNTIFS('AFA Rates'!$A$5:$A$1004,$A83,'AFA Rates'!$B$5:$B$1004,F$24)&gt;0,"✓",""))</f>
        <v/>
      </c>
      <c r="G83" s="57">
        <f>IF(OR($A83="",G$24=""),"",IF(COUNTIFS('AFA Rates'!$A$5:$A$1004,$A83,'AFA Rates'!$B$5:$B$1004,G$24)&gt;0,"✓",""))</f>
        <v/>
      </c>
      <c r="H83" s="57">
        <f>IF(OR($A83="",H$24=""),"",IF(COUNTIFS('AFA Rates'!$A$5:$A$1004,$A83,'AFA Rates'!$B$5:$B$1004,H$24)&gt;0,"✓",""))</f>
        <v/>
      </c>
      <c r="I83" s="57">
        <f>IF(OR($A83="",I$24=""),"",IF(COUNTIFS('AFA Rates'!$A$5:$A$1004,$A83,'AFA Rates'!$B$5:$B$1004,I$24)&gt;0,"✓",""))</f>
        <v/>
      </c>
      <c r="J83" s="57">
        <f>IF(OR($A83="",J$24=""),"",IF(COUNTIFS('AFA Rates'!$A$5:$A$1004,$A83,'AFA Rates'!$B$5:$B$1004,J$24)&gt;0,"✓",""))</f>
        <v/>
      </c>
      <c r="K83" s="57">
        <f>IF(OR($A83="",K$24=""),"",IF(COUNTIFS('AFA Rates'!$A$5:$A$1004,$A83,'AFA Rates'!$B$5:$B$1004,K$24)&gt;0,"✓",""))</f>
        <v/>
      </c>
      <c r="L83" s="57">
        <f>IF(OR($A83="",L$24=""),"",IF(COUNTIFS('AFA Rates'!$A$5:$A$1004,$A83,'AFA Rates'!$B$5:$B$1004,L$24)&gt;0,"✓",""))</f>
        <v/>
      </c>
      <c r="M83" s="57">
        <f>IF(OR($A83="",M$24=""),"",IF(COUNTIFS('AFA Rates'!$A$5:$A$1004,$A83,'AFA Rates'!$B$5:$B$1004,M$24)&gt;0,"✓",""))</f>
        <v/>
      </c>
    </row>
    <row r="84">
      <c r="A84" s="63">
        <f>IFERROR(INDEX(Firms!$A$5:$A$1004,MATCH(60,Firms!$S$5:$S$1004,0)),"")</f>
        <v/>
      </c>
      <c r="B84" s="57">
        <f>IF($A84="","",INDEX(Firms!$B$5:$B$1004,MATCH(60,Firms!$S$5:$S$1004,0)))</f>
        <v/>
      </c>
      <c r="C84" s="57">
        <f>IF($A84="","",COUNTIF('AFA Rates'!$A$5:$A$1004,$A84))</f>
        <v/>
      </c>
      <c r="D84" s="57">
        <f>IF(OR($A84="",D$24=""),"",IF(COUNTIFS('AFA Rates'!$A$5:$A$1004,$A84,'AFA Rates'!$B$5:$B$1004,D$24)&gt;0,"✓",""))</f>
        <v/>
      </c>
      <c r="E84" s="57">
        <f>IF(OR($A84="",E$24=""),"",IF(COUNTIFS('AFA Rates'!$A$5:$A$1004,$A84,'AFA Rates'!$B$5:$B$1004,E$24)&gt;0,"✓",""))</f>
        <v/>
      </c>
      <c r="F84" s="57">
        <f>IF(OR($A84="",F$24=""),"",IF(COUNTIFS('AFA Rates'!$A$5:$A$1004,$A84,'AFA Rates'!$B$5:$B$1004,F$24)&gt;0,"✓",""))</f>
        <v/>
      </c>
      <c r="G84" s="57">
        <f>IF(OR($A84="",G$24=""),"",IF(COUNTIFS('AFA Rates'!$A$5:$A$1004,$A84,'AFA Rates'!$B$5:$B$1004,G$24)&gt;0,"✓",""))</f>
        <v/>
      </c>
      <c r="H84" s="57">
        <f>IF(OR($A84="",H$24=""),"",IF(COUNTIFS('AFA Rates'!$A$5:$A$1004,$A84,'AFA Rates'!$B$5:$B$1004,H$24)&gt;0,"✓",""))</f>
        <v/>
      </c>
      <c r="I84" s="57">
        <f>IF(OR($A84="",I$24=""),"",IF(COUNTIFS('AFA Rates'!$A$5:$A$1004,$A84,'AFA Rates'!$B$5:$B$1004,I$24)&gt;0,"✓",""))</f>
        <v/>
      </c>
      <c r="J84" s="57">
        <f>IF(OR($A84="",J$24=""),"",IF(COUNTIFS('AFA Rates'!$A$5:$A$1004,$A84,'AFA Rates'!$B$5:$B$1004,J$24)&gt;0,"✓",""))</f>
        <v/>
      </c>
      <c r="K84" s="57">
        <f>IF(OR($A84="",K$24=""),"",IF(COUNTIFS('AFA Rates'!$A$5:$A$1004,$A84,'AFA Rates'!$B$5:$B$1004,K$24)&gt;0,"✓",""))</f>
        <v/>
      </c>
      <c r="L84" s="57">
        <f>IF(OR($A84="",L$24=""),"",IF(COUNTIFS('AFA Rates'!$A$5:$A$1004,$A84,'AFA Rates'!$B$5:$B$1004,L$24)&gt;0,"✓",""))</f>
        <v/>
      </c>
      <c r="M84" s="57">
        <f>IF(OR($A84="",M$24=""),"",IF(COUNTIFS('AFA Rates'!$A$5:$A$1004,$A84,'AFA Rates'!$B$5:$B$1004,M$24)&gt;0,"✓",""))</f>
        <v/>
      </c>
    </row>
    <row r="85">
      <c r="A85" s="63">
        <f>IFERROR(INDEX(Firms!$A$5:$A$1004,MATCH(61,Firms!$S$5:$S$1004,0)),"")</f>
        <v/>
      </c>
      <c r="B85" s="57">
        <f>IF($A85="","",INDEX(Firms!$B$5:$B$1004,MATCH(61,Firms!$S$5:$S$1004,0)))</f>
        <v/>
      </c>
      <c r="C85" s="57">
        <f>IF($A85="","",COUNTIF('AFA Rates'!$A$5:$A$1004,$A85))</f>
        <v/>
      </c>
      <c r="D85" s="57">
        <f>IF(OR($A85="",D$24=""),"",IF(COUNTIFS('AFA Rates'!$A$5:$A$1004,$A85,'AFA Rates'!$B$5:$B$1004,D$24)&gt;0,"✓",""))</f>
        <v/>
      </c>
      <c r="E85" s="57">
        <f>IF(OR($A85="",E$24=""),"",IF(COUNTIFS('AFA Rates'!$A$5:$A$1004,$A85,'AFA Rates'!$B$5:$B$1004,E$24)&gt;0,"✓",""))</f>
        <v/>
      </c>
      <c r="F85" s="57">
        <f>IF(OR($A85="",F$24=""),"",IF(COUNTIFS('AFA Rates'!$A$5:$A$1004,$A85,'AFA Rates'!$B$5:$B$1004,F$24)&gt;0,"✓",""))</f>
        <v/>
      </c>
      <c r="G85" s="57">
        <f>IF(OR($A85="",G$24=""),"",IF(COUNTIFS('AFA Rates'!$A$5:$A$1004,$A85,'AFA Rates'!$B$5:$B$1004,G$24)&gt;0,"✓",""))</f>
        <v/>
      </c>
      <c r="H85" s="57">
        <f>IF(OR($A85="",H$24=""),"",IF(COUNTIFS('AFA Rates'!$A$5:$A$1004,$A85,'AFA Rates'!$B$5:$B$1004,H$24)&gt;0,"✓",""))</f>
        <v/>
      </c>
      <c r="I85" s="57">
        <f>IF(OR($A85="",I$24=""),"",IF(COUNTIFS('AFA Rates'!$A$5:$A$1004,$A85,'AFA Rates'!$B$5:$B$1004,I$24)&gt;0,"✓",""))</f>
        <v/>
      </c>
      <c r="J85" s="57">
        <f>IF(OR($A85="",J$24=""),"",IF(COUNTIFS('AFA Rates'!$A$5:$A$1004,$A85,'AFA Rates'!$B$5:$B$1004,J$24)&gt;0,"✓",""))</f>
        <v/>
      </c>
      <c r="K85" s="57">
        <f>IF(OR($A85="",K$24=""),"",IF(COUNTIFS('AFA Rates'!$A$5:$A$1004,$A85,'AFA Rates'!$B$5:$B$1004,K$24)&gt;0,"✓",""))</f>
        <v/>
      </c>
      <c r="L85" s="57">
        <f>IF(OR($A85="",L$24=""),"",IF(COUNTIFS('AFA Rates'!$A$5:$A$1004,$A85,'AFA Rates'!$B$5:$B$1004,L$24)&gt;0,"✓",""))</f>
        <v/>
      </c>
      <c r="M85" s="57">
        <f>IF(OR($A85="",M$24=""),"",IF(COUNTIFS('AFA Rates'!$A$5:$A$1004,$A85,'AFA Rates'!$B$5:$B$1004,M$24)&gt;0,"✓",""))</f>
        <v/>
      </c>
    </row>
    <row r="86">
      <c r="A86" s="63">
        <f>IFERROR(INDEX(Firms!$A$5:$A$1004,MATCH(62,Firms!$S$5:$S$1004,0)),"")</f>
        <v/>
      </c>
      <c r="B86" s="57">
        <f>IF($A86="","",INDEX(Firms!$B$5:$B$1004,MATCH(62,Firms!$S$5:$S$1004,0)))</f>
        <v/>
      </c>
      <c r="C86" s="57">
        <f>IF($A86="","",COUNTIF('AFA Rates'!$A$5:$A$1004,$A86))</f>
        <v/>
      </c>
      <c r="D86" s="57">
        <f>IF(OR($A86="",D$24=""),"",IF(COUNTIFS('AFA Rates'!$A$5:$A$1004,$A86,'AFA Rates'!$B$5:$B$1004,D$24)&gt;0,"✓",""))</f>
        <v/>
      </c>
      <c r="E86" s="57">
        <f>IF(OR($A86="",E$24=""),"",IF(COUNTIFS('AFA Rates'!$A$5:$A$1004,$A86,'AFA Rates'!$B$5:$B$1004,E$24)&gt;0,"✓",""))</f>
        <v/>
      </c>
      <c r="F86" s="57">
        <f>IF(OR($A86="",F$24=""),"",IF(COUNTIFS('AFA Rates'!$A$5:$A$1004,$A86,'AFA Rates'!$B$5:$B$1004,F$24)&gt;0,"✓",""))</f>
        <v/>
      </c>
      <c r="G86" s="57">
        <f>IF(OR($A86="",G$24=""),"",IF(COUNTIFS('AFA Rates'!$A$5:$A$1004,$A86,'AFA Rates'!$B$5:$B$1004,G$24)&gt;0,"✓",""))</f>
        <v/>
      </c>
      <c r="H86" s="57">
        <f>IF(OR($A86="",H$24=""),"",IF(COUNTIFS('AFA Rates'!$A$5:$A$1004,$A86,'AFA Rates'!$B$5:$B$1004,H$24)&gt;0,"✓",""))</f>
        <v/>
      </c>
      <c r="I86" s="57">
        <f>IF(OR($A86="",I$24=""),"",IF(COUNTIFS('AFA Rates'!$A$5:$A$1004,$A86,'AFA Rates'!$B$5:$B$1004,I$24)&gt;0,"✓",""))</f>
        <v/>
      </c>
      <c r="J86" s="57">
        <f>IF(OR($A86="",J$24=""),"",IF(COUNTIFS('AFA Rates'!$A$5:$A$1004,$A86,'AFA Rates'!$B$5:$B$1004,J$24)&gt;0,"✓",""))</f>
        <v/>
      </c>
      <c r="K86" s="57">
        <f>IF(OR($A86="",K$24=""),"",IF(COUNTIFS('AFA Rates'!$A$5:$A$1004,$A86,'AFA Rates'!$B$5:$B$1004,K$24)&gt;0,"✓",""))</f>
        <v/>
      </c>
      <c r="L86" s="57">
        <f>IF(OR($A86="",L$24=""),"",IF(COUNTIFS('AFA Rates'!$A$5:$A$1004,$A86,'AFA Rates'!$B$5:$B$1004,L$24)&gt;0,"✓",""))</f>
        <v/>
      </c>
      <c r="M86" s="57">
        <f>IF(OR($A86="",M$24=""),"",IF(COUNTIFS('AFA Rates'!$A$5:$A$1004,$A86,'AFA Rates'!$B$5:$B$1004,M$24)&gt;0,"✓",""))</f>
        <v/>
      </c>
    </row>
    <row r="87">
      <c r="A87" s="63">
        <f>IFERROR(INDEX(Firms!$A$5:$A$1004,MATCH(63,Firms!$S$5:$S$1004,0)),"")</f>
        <v/>
      </c>
      <c r="B87" s="57">
        <f>IF($A87="","",INDEX(Firms!$B$5:$B$1004,MATCH(63,Firms!$S$5:$S$1004,0)))</f>
        <v/>
      </c>
      <c r="C87" s="57">
        <f>IF($A87="","",COUNTIF('AFA Rates'!$A$5:$A$1004,$A87))</f>
        <v/>
      </c>
      <c r="D87" s="57">
        <f>IF(OR($A87="",D$24=""),"",IF(COUNTIFS('AFA Rates'!$A$5:$A$1004,$A87,'AFA Rates'!$B$5:$B$1004,D$24)&gt;0,"✓",""))</f>
        <v/>
      </c>
      <c r="E87" s="57">
        <f>IF(OR($A87="",E$24=""),"",IF(COUNTIFS('AFA Rates'!$A$5:$A$1004,$A87,'AFA Rates'!$B$5:$B$1004,E$24)&gt;0,"✓",""))</f>
        <v/>
      </c>
      <c r="F87" s="57">
        <f>IF(OR($A87="",F$24=""),"",IF(COUNTIFS('AFA Rates'!$A$5:$A$1004,$A87,'AFA Rates'!$B$5:$B$1004,F$24)&gt;0,"✓",""))</f>
        <v/>
      </c>
      <c r="G87" s="57">
        <f>IF(OR($A87="",G$24=""),"",IF(COUNTIFS('AFA Rates'!$A$5:$A$1004,$A87,'AFA Rates'!$B$5:$B$1004,G$24)&gt;0,"✓",""))</f>
        <v/>
      </c>
      <c r="H87" s="57">
        <f>IF(OR($A87="",H$24=""),"",IF(COUNTIFS('AFA Rates'!$A$5:$A$1004,$A87,'AFA Rates'!$B$5:$B$1004,H$24)&gt;0,"✓",""))</f>
        <v/>
      </c>
      <c r="I87" s="57">
        <f>IF(OR($A87="",I$24=""),"",IF(COUNTIFS('AFA Rates'!$A$5:$A$1004,$A87,'AFA Rates'!$B$5:$B$1004,I$24)&gt;0,"✓",""))</f>
        <v/>
      </c>
      <c r="J87" s="57">
        <f>IF(OR($A87="",J$24=""),"",IF(COUNTIFS('AFA Rates'!$A$5:$A$1004,$A87,'AFA Rates'!$B$5:$B$1004,J$24)&gt;0,"✓",""))</f>
        <v/>
      </c>
      <c r="K87" s="57">
        <f>IF(OR($A87="",K$24=""),"",IF(COUNTIFS('AFA Rates'!$A$5:$A$1004,$A87,'AFA Rates'!$B$5:$B$1004,K$24)&gt;0,"✓",""))</f>
        <v/>
      </c>
      <c r="L87" s="57">
        <f>IF(OR($A87="",L$24=""),"",IF(COUNTIFS('AFA Rates'!$A$5:$A$1004,$A87,'AFA Rates'!$B$5:$B$1004,L$24)&gt;0,"✓",""))</f>
        <v/>
      </c>
      <c r="M87" s="57">
        <f>IF(OR($A87="",M$24=""),"",IF(COUNTIFS('AFA Rates'!$A$5:$A$1004,$A87,'AFA Rates'!$B$5:$B$1004,M$24)&gt;0,"✓",""))</f>
        <v/>
      </c>
    </row>
    <row r="88">
      <c r="A88" s="63">
        <f>IFERROR(INDEX(Firms!$A$5:$A$1004,MATCH(64,Firms!$S$5:$S$1004,0)),"")</f>
        <v/>
      </c>
      <c r="B88" s="57">
        <f>IF($A88="","",INDEX(Firms!$B$5:$B$1004,MATCH(64,Firms!$S$5:$S$1004,0)))</f>
        <v/>
      </c>
      <c r="C88" s="57">
        <f>IF($A88="","",COUNTIF('AFA Rates'!$A$5:$A$1004,$A88))</f>
        <v/>
      </c>
      <c r="D88" s="57">
        <f>IF(OR($A88="",D$24=""),"",IF(COUNTIFS('AFA Rates'!$A$5:$A$1004,$A88,'AFA Rates'!$B$5:$B$1004,D$24)&gt;0,"✓",""))</f>
        <v/>
      </c>
      <c r="E88" s="57">
        <f>IF(OR($A88="",E$24=""),"",IF(COUNTIFS('AFA Rates'!$A$5:$A$1004,$A88,'AFA Rates'!$B$5:$B$1004,E$24)&gt;0,"✓",""))</f>
        <v/>
      </c>
      <c r="F88" s="57">
        <f>IF(OR($A88="",F$24=""),"",IF(COUNTIFS('AFA Rates'!$A$5:$A$1004,$A88,'AFA Rates'!$B$5:$B$1004,F$24)&gt;0,"✓",""))</f>
        <v/>
      </c>
      <c r="G88" s="57">
        <f>IF(OR($A88="",G$24=""),"",IF(COUNTIFS('AFA Rates'!$A$5:$A$1004,$A88,'AFA Rates'!$B$5:$B$1004,G$24)&gt;0,"✓",""))</f>
        <v/>
      </c>
      <c r="H88" s="57">
        <f>IF(OR($A88="",H$24=""),"",IF(COUNTIFS('AFA Rates'!$A$5:$A$1004,$A88,'AFA Rates'!$B$5:$B$1004,H$24)&gt;0,"✓",""))</f>
        <v/>
      </c>
      <c r="I88" s="57">
        <f>IF(OR($A88="",I$24=""),"",IF(COUNTIFS('AFA Rates'!$A$5:$A$1004,$A88,'AFA Rates'!$B$5:$B$1004,I$24)&gt;0,"✓",""))</f>
        <v/>
      </c>
      <c r="J88" s="57">
        <f>IF(OR($A88="",J$24=""),"",IF(COUNTIFS('AFA Rates'!$A$5:$A$1004,$A88,'AFA Rates'!$B$5:$B$1004,J$24)&gt;0,"✓",""))</f>
        <v/>
      </c>
      <c r="K88" s="57">
        <f>IF(OR($A88="",K$24=""),"",IF(COUNTIFS('AFA Rates'!$A$5:$A$1004,$A88,'AFA Rates'!$B$5:$B$1004,K$24)&gt;0,"✓",""))</f>
        <v/>
      </c>
      <c r="L88" s="57">
        <f>IF(OR($A88="",L$24=""),"",IF(COUNTIFS('AFA Rates'!$A$5:$A$1004,$A88,'AFA Rates'!$B$5:$B$1004,L$24)&gt;0,"✓",""))</f>
        <v/>
      </c>
      <c r="M88" s="57">
        <f>IF(OR($A88="",M$24=""),"",IF(COUNTIFS('AFA Rates'!$A$5:$A$1004,$A88,'AFA Rates'!$B$5:$B$1004,M$24)&gt;0,"✓",""))</f>
        <v/>
      </c>
    </row>
    <row r="89">
      <c r="A89" s="63">
        <f>IFERROR(INDEX(Firms!$A$5:$A$1004,MATCH(65,Firms!$S$5:$S$1004,0)),"")</f>
        <v/>
      </c>
      <c r="B89" s="57">
        <f>IF($A89="","",INDEX(Firms!$B$5:$B$1004,MATCH(65,Firms!$S$5:$S$1004,0)))</f>
        <v/>
      </c>
      <c r="C89" s="57">
        <f>IF($A89="","",COUNTIF('AFA Rates'!$A$5:$A$1004,$A89))</f>
        <v/>
      </c>
      <c r="D89" s="57">
        <f>IF(OR($A89="",D$24=""),"",IF(COUNTIFS('AFA Rates'!$A$5:$A$1004,$A89,'AFA Rates'!$B$5:$B$1004,D$24)&gt;0,"✓",""))</f>
        <v/>
      </c>
      <c r="E89" s="57">
        <f>IF(OR($A89="",E$24=""),"",IF(COUNTIFS('AFA Rates'!$A$5:$A$1004,$A89,'AFA Rates'!$B$5:$B$1004,E$24)&gt;0,"✓",""))</f>
        <v/>
      </c>
      <c r="F89" s="57">
        <f>IF(OR($A89="",F$24=""),"",IF(COUNTIFS('AFA Rates'!$A$5:$A$1004,$A89,'AFA Rates'!$B$5:$B$1004,F$24)&gt;0,"✓",""))</f>
        <v/>
      </c>
      <c r="G89" s="57">
        <f>IF(OR($A89="",G$24=""),"",IF(COUNTIFS('AFA Rates'!$A$5:$A$1004,$A89,'AFA Rates'!$B$5:$B$1004,G$24)&gt;0,"✓",""))</f>
        <v/>
      </c>
      <c r="H89" s="57">
        <f>IF(OR($A89="",H$24=""),"",IF(COUNTIFS('AFA Rates'!$A$5:$A$1004,$A89,'AFA Rates'!$B$5:$B$1004,H$24)&gt;0,"✓",""))</f>
        <v/>
      </c>
      <c r="I89" s="57">
        <f>IF(OR($A89="",I$24=""),"",IF(COUNTIFS('AFA Rates'!$A$5:$A$1004,$A89,'AFA Rates'!$B$5:$B$1004,I$24)&gt;0,"✓",""))</f>
        <v/>
      </c>
      <c r="J89" s="57">
        <f>IF(OR($A89="",J$24=""),"",IF(COUNTIFS('AFA Rates'!$A$5:$A$1004,$A89,'AFA Rates'!$B$5:$B$1004,J$24)&gt;0,"✓",""))</f>
        <v/>
      </c>
      <c r="K89" s="57">
        <f>IF(OR($A89="",K$24=""),"",IF(COUNTIFS('AFA Rates'!$A$5:$A$1004,$A89,'AFA Rates'!$B$5:$B$1004,K$24)&gt;0,"✓",""))</f>
        <v/>
      </c>
      <c r="L89" s="57">
        <f>IF(OR($A89="",L$24=""),"",IF(COUNTIFS('AFA Rates'!$A$5:$A$1004,$A89,'AFA Rates'!$B$5:$B$1004,L$24)&gt;0,"✓",""))</f>
        <v/>
      </c>
      <c r="M89" s="57">
        <f>IF(OR($A89="",M$24=""),"",IF(COUNTIFS('AFA Rates'!$A$5:$A$1004,$A89,'AFA Rates'!$B$5:$B$1004,M$24)&gt;0,"✓",""))</f>
        <v/>
      </c>
    </row>
    <row r="90">
      <c r="A90" s="63">
        <f>IFERROR(INDEX(Firms!$A$5:$A$1004,MATCH(66,Firms!$S$5:$S$1004,0)),"")</f>
        <v/>
      </c>
      <c r="B90" s="57">
        <f>IF($A90="","",INDEX(Firms!$B$5:$B$1004,MATCH(66,Firms!$S$5:$S$1004,0)))</f>
        <v/>
      </c>
      <c r="C90" s="57">
        <f>IF($A90="","",COUNTIF('AFA Rates'!$A$5:$A$1004,$A90))</f>
        <v/>
      </c>
      <c r="D90" s="57">
        <f>IF(OR($A90="",D$24=""),"",IF(COUNTIFS('AFA Rates'!$A$5:$A$1004,$A90,'AFA Rates'!$B$5:$B$1004,D$24)&gt;0,"✓",""))</f>
        <v/>
      </c>
      <c r="E90" s="57">
        <f>IF(OR($A90="",E$24=""),"",IF(COUNTIFS('AFA Rates'!$A$5:$A$1004,$A90,'AFA Rates'!$B$5:$B$1004,E$24)&gt;0,"✓",""))</f>
        <v/>
      </c>
      <c r="F90" s="57">
        <f>IF(OR($A90="",F$24=""),"",IF(COUNTIFS('AFA Rates'!$A$5:$A$1004,$A90,'AFA Rates'!$B$5:$B$1004,F$24)&gt;0,"✓",""))</f>
        <v/>
      </c>
      <c r="G90" s="57">
        <f>IF(OR($A90="",G$24=""),"",IF(COUNTIFS('AFA Rates'!$A$5:$A$1004,$A90,'AFA Rates'!$B$5:$B$1004,G$24)&gt;0,"✓",""))</f>
        <v/>
      </c>
      <c r="H90" s="57">
        <f>IF(OR($A90="",H$24=""),"",IF(COUNTIFS('AFA Rates'!$A$5:$A$1004,$A90,'AFA Rates'!$B$5:$B$1004,H$24)&gt;0,"✓",""))</f>
        <v/>
      </c>
      <c r="I90" s="57">
        <f>IF(OR($A90="",I$24=""),"",IF(COUNTIFS('AFA Rates'!$A$5:$A$1004,$A90,'AFA Rates'!$B$5:$B$1004,I$24)&gt;0,"✓",""))</f>
        <v/>
      </c>
      <c r="J90" s="57">
        <f>IF(OR($A90="",J$24=""),"",IF(COUNTIFS('AFA Rates'!$A$5:$A$1004,$A90,'AFA Rates'!$B$5:$B$1004,J$24)&gt;0,"✓",""))</f>
        <v/>
      </c>
      <c r="K90" s="57">
        <f>IF(OR($A90="",K$24=""),"",IF(COUNTIFS('AFA Rates'!$A$5:$A$1004,$A90,'AFA Rates'!$B$5:$B$1004,K$24)&gt;0,"✓",""))</f>
        <v/>
      </c>
      <c r="L90" s="57">
        <f>IF(OR($A90="",L$24=""),"",IF(COUNTIFS('AFA Rates'!$A$5:$A$1004,$A90,'AFA Rates'!$B$5:$B$1004,L$24)&gt;0,"✓",""))</f>
        <v/>
      </c>
      <c r="M90" s="57">
        <f>IF(OR($A90="",M$24=""),"",IF(COUNTIFS('AFA Rates'!$A$5:$A$1004,$A90,'AFA Rates'!$B$5:$B$1004,M$24)&gt;0,"✓",""))</f>
        <v/>
      </c>
    </row>
    <row r="91">
      <c r="A91" s="63">
        <f>IFERROR(INDEX(Firms!$A$5:$A$1004,MATCH(67,Firms!$S$5:$S$1004,0)),"")</f>
        <v/>
      </c>
      <c r="B91" s="57">
        <f>IF($A91="","",INDEX(Firms!$B$5:$B$1004,MATCH(67,Firms!$S$5:$S$1004,0)))</f>
        <v/>
      </c>
      <c r="C91" s="57">
        <f>IF($A91="","",COUNTIF('AFA Rates'!$A$5:$A$1004,$A91))</f>
        <v/>
      </c>
      <c r="D91" s="57">
        <f>IF(OR($A91="",D$24=""),"",IF(COUNTIFS('AFA Rates'!$A$5:$A$1004,$A91,'AFA Rates'!$B$5:$B$1004,D$24)&gt;0,"✓",""))</f>
        <v/>
      </c>
      <c r="E91" s="57">
        <f>IF(OR($A91="",E$24=""),"",IF(COUNTIFS('AFA Rates'!$A$5:$A$1004,$A91,'AFA Rates'!$B$5:$B$1004,E$24)&gt;0,"✓",""))</f>
        <v/>
      </c>
      <c r="F91" s="57">
        <f>IF(OR($A91="",F$24=""),"",IF(COUNTIFS('AFA Rates'!$A$5:$A$1004,$A91,'AFA Rates'!$B$5:$B$1004,F$24)&gt;0,"✓",""))</f>
        <v/>
      </c>
      <c r="G91" s="57">
        <f>IF(OR($A91="",G$24=""),"",IF(COUNTIFS('AFA Rates'!$A$5:$A$1004,$A91,'AFA Rates'!$B$5:$B$1004,G$24)&gt;0,"✓",""))</f>
        <v/>
      </c>
      <c r="H91" s="57">
        <f>IF(OR($A91="",H$24=""),"",IF(COUNTIFS('AFA Rates'!$A$5:$A$1004,$A91,'AFA Rates'!$B$5:$B$1004,H$24)&gt;0,"✓",""))</f>
        <v/>
      </c>
      <c r="I91" s="57">
        <f>IF(OR($A91="",I$24=""),"",IF(COUNTIFS('AFA Rates'!$A$5:$A$1004,$A91,'AFA Rates'!$B$5:$B$1004,I$24)&gt;0,"✓",""))</f>
        <v/>
      </c>
      <c r="J91" s="57">
        <f>IF(OR($A91="",J$24=""),"",IF(COUNTIFS('AFA Rates'!$A$5:$A$1004,$A91,'AFA Rates'!$B$5:$B$1004,J$24)&gt;0,"✓",""))</f>
        <v/>
      </c>
      <c r="K91" s="57">
        <f>IF(OR($A91="",K$24=""),"",IF(COUNTIFS('AFA Rates'!$A$5:$A$1004,$A91,'AFA Rates'!$B$5:$B$1004,K$24)&gt;0,"✓",""))</f>
        <v/>
      </c>
      <c r="L91" s="57">
        <f>IF(OR($A91="",L$24=""),"",IF(COUNTIFS('AFA Rates'!$A$5:$A$1004,$A91,'AFA Rates'!$B$5:$B$1004,L$24)&gt;0,"✓",""))</f>
        <v/>
      </c>
      <c r="M91" s="57">
        <f>IF(OR($A91="",M$24=""),"",IF(COUNTIFS('AFA Rates'!$A$5:$A$1004,$A91,'AFA Rates'!$B$5:$B$1004,M$24)&gt;0,"✓",""))</f>
        <v/>
      </c>
    </row>
    <row r="92">
      <c r="A92" s="63">
        <f>IFERROR(INDEX(Firms!$A$5:$A$1004,MATCH(68,Firms!$S$5:$S$1004,0)),"")</f>
        <v/>
      </c>
      <c r="B92" s="57">
        <f>IF($A92="","",INDEX(Firms!$B$5:$B$1004,MATCH(68,Firms!$S$5:$S$1004,0)))</f>
        <v/>
      </c>
      <c r="C92" s="57">
        <f>IF($A92="","",COUNTIF('AFA Rates'!$A$5:$A$1004,$A92))</f>
        <v/>
      </c>
      <c r="D92" s="57">
        <f>IF(OR($A92="",D$24=""),"",IF(COUNTIFS('AFA Rates'!$A$5:$A$1004,$A92,'AFA Rates'!$B$5:$B$1004,D$24)&gt;0,"✓",""))</f>
        <v/>
      </c>
      <c r="E92" s="57">
        <f>IF(OR($A92="",E$24=""),"",IF(COUNTIFS('AFA Rates'!$A$5:$A$1004,$A92,'AFA Rates'!$B$5:$B$1004,E$24)&gt;0,"✓",""))</f>
        <v/>
      </c>
      <c r="F92" s="57">
        <f>IF(OR($A92="",F$24=""),"",IF(COUNTIFS('AFA Rates'!$A$5:$A$1004,$A92,'AFA Rates'!$B$5:$B$1004,F$24)&gt;0,"✓",""))</f>
        <v/>
      </c>
      <c r="G92" s="57">
        <f>IF(OR($A92="",G$24=""),"",IF(COUNTIFS('AFA Rates'!$A$5:$A$1004,$A92,'AFA Rates'!$B$5:$B$1004,G$24)&gt;0,"✓",""))</f>
        <v/>
      </c>
      <c r="H92" s="57">
        <f>IF(OR($A92="",H$24=""),"",IF(COUNTIFS('AFA Rates'!$A$5:$A$1004,$A92,'AFA Rates'!$B$5:$B$1004,H$24)&gt;0,"✓",""))</f>
        <v/>
      </c>
      <c r="I92" s="57">
        <f>IF(OR($A92="",I$24=""),"",IF(COUNTIFS('AFA Rates'!$A$5:$A$1004,$A92,'AFA Rates'!$B$5:$B$1004,I$24)&gt;0,"✓",""))</f>
        <v/>
      </c>
      <c r="J92" s="57">
        <f>IF(OR($A92="",J$24=""),"",IF(COUNTIFS('AFA Rates'!$A$5:$A$1004,$A92,'AFA Rates'!$B$5:$B$1004,J$24)&gt;0,"✓",""))</f>
        <v/>
      </c>
      <c r="K92" s="57">
        <f>IF(OR($A92="",K$24=""),"",IF(COUNTIFS('AFA Rates'!$A$5:$A$1004,$A92,'AFA Rates'!$B$5:$B$1004,K$24)&gt;0,"✓",""))</f>
        <v/>
      </c>
      <c r="L92" s="57">
        <f>IF(OR($A92="",L$24=""),"",IF(COUNTIFS('AFA Rates'!$A$5:$A$1004,$A92,'AFA Rates'!$B$5:$B$1004,L$24)&gt;0,"✓",""))</f>
        <v/>
      </c>
      <c r="M92" s="57">
        <f>IF(OR($A92="",M$24=""),"",IF(COUNTIFS('AFA Rates'!$A$5:$A$1004,$A92,'AFA Rates'!$B$5:$B$1004,M$24)&gt;0,"✓",""))</f>
        <v/>
      </c>
    </row>
    <row r="93">
      <c r="A93" s="63">
        <f>IFERROR(INDEX(Firms!$A$5:$A$1004,MATCH(69,Firms!$S$5:$S$1004,0)),"")</f>
        <v/>
      </c>
      <c r="B93" s="57">
        <f>IF($A93="","",INDEX(Firms!$B$5:$B$1004,MATCH(69,Firms!$S$5:$S$1004,0)))</f>
        <v/>
      </c>
      <c r="C93" s="57">
        <f>IF($A93="","",COUNTIF('AFA Rates'!$A$5:$A$1004,$A93))</f>
        <v/>
      </c>
      <c r="D93" s="57">
        <f>IF(OR($A93="",D$24=""),"",IF(COUNTIFS('AFA Rates'!$A$5:$A$1004,$A93,'AFA Rates'!$B$5:$B$1004,D$24)&gt;0,"✓",""))</f>
        <v/>
      </c>
      <c r="E93" s="57">
        <f>IF(OR($A93="",E$24=""),"",IF(COUNTIFS('AFA Rates'!$A$5:$A$1004,$A93,'AFA Rates'!$B$5:$B$1004,E$24)&gt;0,"✓",""))</f>
        <v/>
      </c>
      <c r="F93" s="57">
        <f>IF(OR($A93="",F$24=""),"",IF(COUNTIFS('AFA Rates'!$A$5:$A$1004,$A93,'AFA Rates'!$B$5:$B$1004,F$24)&gt;0,"✓",""))</f>
        <v/>
      </c>
      <c r="G93" s="57">
        <f>IF(OR($A93="",G$24=""),"",IF(COUNTIFS('AFA Rates'!$A$5:$A$1004,$A93,'AFA Rates'!$B$5:$B$1004,G$24)&gt;0,"✓",""))</f>
        <v/>
      </c>
      <c r="H93" s="57">
        <f>IF(OR($A93="",H$24=""),"",IF(COUNTIFS('AFA Rates'!$A$5:$A$1004,$A93,'AFA Rates'!$B$5:$B$1004,H$24)&gt;0,"✓",""))</f>
        <v/>
      </c>
      <c r="I93" s="57">
        <f>IF(OR($A93="",I$24=""),"",IF(COUNTIFS('AFA Rates'!$A$5:$A$1004,$A93,'AFA Rates'!$B$5:$B$1004,I$24)&gt;0,"✓",""))</f>
        <v/>
      </c>
      <c r="J93" s="57">
        <f>IF(OR($A93="",J$24=""),"",IF(COUNTIFS('AFA Rates'!$A$5:$A$1004,$A93,'AFA Rates'!$B$5:$B$1004,J$24)&gt;0,"✓",""))</f>
        <v/>
      </c>
      <c r="K93" s="57">
        <f>IF(OR($A93="",K$24=""),"",IF(COUNTIFS('AFA Rates'!$A$5:$A$1004,$A93,'AFA Rates'!$B$5:$B$1004,K$24)&gt;0,"✓",""))</f>
        <v/>
      </c>
      <c r="L93" s="57">
        <f>IF(OR($A93="",L$24=""),"",IF(COUNTIFS('AFA Rates'!$A$5:$A$1004,$A93,'AFA Rates'!$B$5:$B$1004,L$24)&gt;0,"✓",""))</f>
        <v/>
      </c>
      <c r="M93" s="57">
        <f>IF(OR($A93="",M$24=""),"",IF(COUNTIFS('AFA Rates'!$A$5:$A$1004,$A93,'AFA Rates'!$B$5:$B$1004,M$24)&gt;0,"✓",""))</f>
        <v/>
      </c>
    </row>
    <row r="94">
      <c r="A94" s="63">
        <f>IFERROR(INDEX(Firms!$A$5:$A$1004,MATCH(70,Firms!$S$5:$S$1004,0)),"")</f>
        <v/>
      </c>
      <c r="B94" s="57">
        <f>IF($A94="","",INDEX(Firms!$B$5:$B$1004,MATCH(70,Firms!$S$5:$S$1004,0)))</f>
        <v/>
      </c>
      <c r="C94" s="57">
        <f>IF($A94="","",COUNTIF('AFA Rates'!$A$5:$A$1004,$A94))</f>
        <v/>
      </c>
      <c r="D94" s="57">
        <f>IF(OR($A94="",D$24=""),"",IF(COUNTIFS('AFA Rates'!$A$5:$A$1004,$A94,'AFA Rates'!$B$5:$B$1004,D$24)&gt;0,"✓",""))</f>
        <v/>
      </c>
      <c r="E94" s="57">
        <f>IF(OR($A94="",E$24=""),"",IF(COUNTIFS('AFA Rates'!$A$5:$A$1004,$A94,'AFA Rates'!$B$5:$B$1004,E$24)&gt;0,"✓",""))</f>
        <v/>
      </c>
      <c r="F94" s="57">
        <f>IF(OR($A94="",F$24=""),"",IF(COUNTIFS('AFA Rates'!$A$5:$A$1004,$A94,'AFA Rates'!$B$5:$B$1004,F$24)&gt;0,"✓",""))</f>
        <v/>
      </c>
      <c r="G94" s="57">
        <f>IF(OR($A94="",G$24=""),"",IF(COUNTIFS('AFA Rates'!$A$5:$A$1004,$A94,'AFA Rates'!$B$5:$B$1004,G$24)&gt;0,"✓",""))</f>
        <v/>
      </c>
      <c r="H94" s="57">
        <f>IF(OR($A94="",H$24=""),"",IF(COUNTIFS('AFA Rates'!$A$5:$A$1004,$A94,'AFA Rates'!$B$5:$B$1004,H$24)&gt;0,"✓",""))</f>
        <v/>
      </c>
      <c r="I94" s="57">
        <f>IF(OR($A94="",I$24=""),"",IF(COUNTIFS('AFA Rates'!$A$5:$A$1004,$A94,'AFA Rates'!$B$5:$B$1004,I$24)&gt;0,"✓",""))</f>
        <v/>
      </c>
      <c r="J94" s="57">
        <f>IF(OR($A94="",J$24=""),"",IF(COUNTIFS('AFA Rates'!$A$5:$A$1004,$A94,'AFA Rates'!$B$5:$B$1004,J$24)&gt;0,"✓",""))</f>
        <v/>
      </c>
      <c r="K94" s="57">
        <f>IF(OR($A94="",K$24=""),"",IF(COUNTIFS('AFA Rates'!$A$5:$A$1004,$A94,'AFA Rates'!$B$5:$B$1004,K$24)&gt;0,"✓",""))</f>
        <v/>
      </c>
      <c r="L94" s="57">
        <f>IF(OR($A94="",L$24=""),"",IF(COUNTIFS('AFA Rates'!$A$5:$A$1004,$A94,'AFA Rates'!$B$5:$B$1004,L$24)&gt;0,"✓",""))</f>
        <v/>
      </c>
      <c r="M94" s="57">
        <f>IF(OR($A94="",M$24=""),"",IF(COUNTIFS('AFA Rates'!$A$5:$A$1004,$A94,'AFA Rates'!$B$5:$B$1004,M$24)&gt;0,"✓",""))</f>
        <v/>
      </c>
    </row>
    <row r="95">
      <c r="A95" s="63">
        <f>IFERROR(INDEX(Firms!$A$5:$A$1004,MATCH(71,Firms!$S$5:$S$1004,0)),"")</f>
        <v/>
      </c>
      <c r="B95" s="57">
        <f>IF($A95="","",INDEX(Firms!$B$5:$B$1004,MATCH(71,Firms!$S$5:$S$1004,0)))</f>
        <v/>
      </c>
      <c r="C95" s="57">
        <f>IF($A95="","",COUNTIF('AFA Rates'!$A$5:$A$1004,$A95))</f>
        <v/>
      </c>
      <c r="D95" s="57">
        <f>IF(OR($A95="",D$24=""),"",IF(COUNTIFS('AFA Rates'!$A$5:$A$1004,$A95,'AFA Rates'!$B$5:$B$1004,D$24)&gt;0,"✓",""))</f>
        <v/>
      </c>
      <c r="E95" s="57">
        <f>IF(OR($A95="",E$24=""),"",IF(COUNTIFS('AFA Rates'!$A$5:$A$1004,$A95,'AFA Rates'!$B$5:$B$1004,E$24)&gt;0,"✓",""))</f>
        <v/>
      </c>
      <c r="F95" s="57">
        <f>IF(OR($A95="",F$24=""),"",IF(COUNTIFS('AFA Rates'!$A$5:$A$1004,$A95,'AFA Rates'!$B$5:$B$1004,F$24)&gt;0,"✓",""))</f>
        <v/>
      </c>
      <c r="G95" s="57">
        <f>IF(OR($A95="",G$24=""),"",IF(COUNTIFS('AFA Rates'!$A$5:$A$1004,$A95,'AFA Rates'!$B$5:$B$1004,G$24)&gt;0,"✓",""))</f>
        <v/>
      </c>
      <c r="H95" s="57">
        <f>IF(OR($A95="",H$24=""),"",IF(COUNTIFS('AFA Rates'!$A$5:$A$1004,$A95,'AFA Rates'!$B$5:$B$1004,H$24)&gt;0,"✓",""))</f>
        <v/>
      </c>
      <c r="I95" s="57">
        <f>IF(OR($A95="",I$24=""),"",IF(COUNTIFS('AFA Rates'!$A$5:$A$1004,$A95,'AFA Rates'!$B$5:$B$1004,I$24)&gt;0,"✓",""))</f>
        <v/>
      </c>
      <c r="J95" s="57">
        <f>IF(OR($A95="",J$24=""),"",IF(COUNTIFS('AFA Rates'!$A$5:$A$1004,$A95,'AFA Rates'!$B$5:$B$1004,J$24)&gt;0,"✓",""))</f>
        <v/>
      </c>
      <c r="K95" s="57">
        <f>IF(OR($A95="",K$24=""),"",IF(COUNTIFS('AFA Rates'!$A$5:$A$1004,$A95,'AFA Rates'!$B$5:$B$1004,K$24)&gt;0,"✓",""))</f>
        <v/>
      </c>
      <c r="L95" s="57">
        <f>IF(OR($A95="",L$24=""),"",IF(COUNTIFS('AFA Rates'!$A$5:$A$1004,$A95,'AFA Rates'!$B$5:$B$1004,L$24)&gt;0,"✓",""))</f>
        <v/>
      </c>
      <c r="M95" s="57">
        <f>IF(OR($A95="",M$24=""),"",IF(COUNTIFS('AFA Rates'!$A$5:$A$1004,$A95,'AFA Rates'!$B$5:$B$1004,M$24)&gt;0,"✓",""))</f>
        <v/>
      </c>
    </row>
    <row r="96">
      <c r="A96" s="63">
        <f>IFERROR(INDEX(Firms!$A$5:$A$1004,MATCH(72,Firms!$S$5:$S$1004,0)),"")</f>
        <v/>
      </c>
      <c r="B96" s="57">
        <f>IF($A96="","",INDEX(Firms!$B$5:$B$1004,MATCH(72,Firms!$S$5:$S$1004,0)))</f>
        <v/>
      </c>
      <c r="C96" s="57">
        <f>IF($A96="","",COUNTIF('AFA Rates'!$A$5:$A$1004,$A96))</f>
        <v/>
      </c>
      <c r="D96" s="57">
        <f>IF(OR($A96="",D$24=""),"",IF(COUNTIFS('AFA Rates'!$A$5:$A$1004,$A96,'AFA Rates'!$B$5:$B$1004,D$24)&gt;0,"✓",""))</f>
        <v/>
      </c>
      <c r="E96" s="57">
        <f>IF(OR($A96="",E$24=""),"",IF(COUNTIFS('AFA Rates'!$A$5:$A$1004,$A96,'AFA Rates'!$B$5:$B$1004,E$24)&gt;0,"✓",""))</f>
        <v/>
      </c>
      <c r="F96" s="57">
        <f>IF(OR($A96="",F$24=""),"",IF(COUNTIFS('AFA Rates'!$A$5:$A$1004,$A96,'AFA Rates'!$B$5:$B$1004,F$24)&gt;0,"✓",""))</f>
        <v/>
      </c>
      <c r="G96" s="57">
        <f>IF(OR($A96="",G$24=""),"",IF(COUNTIFS('AFA Rates'!$A$5:$A$1004,$A96,'AFA Rates'!$B$5:$B$1004,G$24)&gt;0,"✓",""))</f>
        <v/>
      </c>
      <c r="H96" s="57">
        <f>IF(OR($A96="",H$24=""),"",IF(COUNTIFS('AFA Rates'!$A$5:$A$1004,$A96,'AFA Rates'!$B$5:$B$1004,H$24)&gt;0,"✓",""))</f>
        <v/>
      </c>
      <c r="I96" s="57">
        <f>IF(OR($A96="",I$24=""),"",IF(COUNTIFS('AFA Rates'!$A$5:$A$1004,$A96,'AFA Rates'!$B$5:$B$1004,I$24)&gt;0,"✓",""))</f>
        <v/>
      </c>
      <c r="J96" s="57">
        <f>IF(OR($A96="",J$24=""),"",IF(COUNTIFS('AFA Rates'!$A$5:$A$1004,$A96,'AFA Rates'!$B$5:$B$1004,J$24)&gt;0,"✓",""))</f>
        <v/>
      </c>
      <c r="K96" s="57">
        <f>IF(OR($A96="",K$24=""),"",IF(COUNTIFS('AFA Rates'!$A$5:$A$1004,$A96,'AFA Rates'!$B$5:$B$1004,K$24)&gt;0,"✓",""))</f>
        <v/>
      </c>
      <c r="L96" s="57">
        <f>IF(OR($A96="",L$24=""),"",IF(COUNTIFS('AFA Rates'!$A$5:$A$1004,$A96,'AFA Rates'!$B$5:$B$1004,L$24)&gt;0,"✓",""))</f>
        <v/>
      </c>
      <c r="M96" s="57">
        <f>IF(OR($A96="",M$24=""),"",IF(COUNTIFS('AFA Rates'!$A$5:$A$1004,$A96,'AFA Rates'!$B$5:$B$1004,M$24)&gt;0,"✓",""))</f>
        <v/>
      </c>
    </row>
    <row r="97">
      <c r="A97" s="63">
        <f>IFERROR(INDEX(Firms!$A$5:$A$1004,MATCH(73,Firms!$S$5:$S$1004,0)),"")</f>
        <v/>
      </c>
      <c r="B97" s="57">
        <f>IF($A97="","",INDEX(Firms!$B$5:$B$1004,MATCH(73,Firms!$S$5:$S$1004,0)))</f>
        <v/>
      </c>
      <c r="C97" s="57">
        <f>IF($A97="","",COUNTIF('AFA Rates'!$A$5:$A$1004,$A97))</f>
        <v/>
      </c>
      <c r="D97" s="57">
        <f>IF(OR($A97="",D$24=""),"",IF(COUNTIFS('AFA Rates'!$A$5:$A$1004,$A97,'AFA Rates'!$B$5:$B$1004,D$24)&gt;0,"✓",""))</f>
        <v/>
      </c>
      <c r="E97" s="57">
        <f>IF(OR($A97="",E$24=""),"",IF(COUNTIFS('AFA Rates'!$A$5:$A$1004,$A97,'AFA Rates'!$B$5:$B$1004,E$24)&gt;0,"✓",""))</f>
        <v/>
      </c>
      <c r="F97" s="57">
        <f>IF(OR($A97="",F$24=""),"",IF(COUNTIFS('AFA Rates'!$A$5:$A$1004,$A97,'AFA Rates'!$B$5:$B$1004,F$24)&gt;0,"✓",""))</f>
        <v/>
      </c>
      <c r="G97" s="57">
        <f>IF(OR($A97="",G$24=""),"",IF(COUNTIFS('AFA Rates'!$A$5:$A$1004,$A97,'AFA Rates'!$B$5:$B$1004,G$24)&gt;0,"✓",""))</f>
        <v/>
      </c>
      <c r="H97" s="57">
        <f>IF(OR($A97="",H$24=""),"",IF(COUNTIFS('AFA Rates'!$A$5:$A$1004,$A97,'AFA Rates'!$B$5:$B$1004,H$24)&gt;0,"✓",""))</f>
        <v/>
      </c>
      <c r="I97" s="57">
        <f>IF(OR($A97="",I$24=""),"",IF(COUNTIFS('AFA Rates'!$A$5:$A$1004,$A97,'AFA Rates'!$B$5:$B$1004,I$24)&gt;0,"✓",""))</f>
        <v/>
      </c>
      <c r="J97" s="57">
        <f>IF(OR($A97="",J$24=""),"",IF(COUNTIFS('AFA Rates'!$A$5:$A$1004,$A97,'AFA Rates'!$B$5:$B$1004,J$24)&gt;0,"✓",""))</f>
        <v/>
      </c>
      <c r="K97" s="57">
        <f>IF(OR($A97="",K$24=""),"",IF(COUNTIFS('AFA Rates'!$A$5:$A$1004,$A97,'AFA Rates'!$B$5:$B$1004,K$24)&gt;0,"✓",""))</f>
        <v/>
      </c>
      <c r="L97" s="57">
        <f>IF(OR($A97="",L$24=""),"",IF(COUNTIFS('AFA Rates'!$A$5:$A$1004,$A97,'AFA Rates'!$B$5:$B$1004,L$24)&gt;0,"✓",""))</f>
        <v/>
      </c>
      <c r="M97" s="57">
        <f>IF(OR($A97="",M$24=""),"",IF(COUNTIFS('AFA Rates'!$A$5:$A$1004,$A97,'AFA Rates'!$B$5:$B$1004,M$24)&gt;0,"✓",""))</f>
        <v/>
      </c>
    </row>
    <row r="98">
      <c r="A98" s="63">
        <f>IFERROR(INDEX(Firms!$A$5:$A$1004,MATCH(74,Firms!$S$5:$S$1004,0)),"")</f>
        <v/>
      </c>
      <c r="B98" s="57">
        <f>IF($A98="","",INDEX(Firms!$B$5:$B$1004,MATCH(74,Firms!$S$5:$S$1004,0)))</f>
        <v/>
      </c>
      <c r="C98" s="57">
        <f>IF($A98="","",COUNTIF('AFA Rates'!$A$5:$A$1004,$A98))</f>
        <v/>
      </c>
      <c r="D98" s="57">
        <f>IF(OR($A98="",D$24=""),"",IF(COUNTIFS('AFA Rates'!$A$5:$A$1004,$A98,'AFA Rates'!$B$5:$B$1004,D$24)&gt;0,"✓",""))</f>
        <v/>
      </c>
      <c r="E98" s="57">
        <f>IF(OR($A98="",E$24=""),"",IF(COUNTIFS('AFA Rates'!$A$5:$A$1004,$A98,'AFA Rates'!$B$5:$B$1004,E$24)&gt;0,"✓",""))</f>
        <v/>
      </c>
      <c r="F98" s="57">
        <f>IF(OR($A98="",F$24=""),"",IF(COUNTIFS('AFA Rates'!$A$5:$A$1004,$A98,'AFA Rates'!$B$5:$B$1004,F$24)&gt;0,"✓",""))</f>
        <v/>
      </c>
      <c r="G98" s="57">
        <f>IF(OR($A98="",G$24=""),"",IF(COUNTIFS('AFA Rates'!$A$5:$A$1004,$A98,'AFA Rates'!$B$5:$B$1004,G$24)&gt;0,"✓",""))</f>
        <v/>
      </c>
      <c r="H98" s="57">
        <f>IF(OR($A98="",H$24=""),"",IF(COUNTIFS('AFA Rates'!$A$5:$A$1004,$A98,'AFA Rates'!$B$5:$B$1004,H$24)&gt;0,"✓",""))</f>
        <v/>
      </c>
      <c r="I98" s="57">
        <f>IF(OR($A98="",I$24=""),"",IF(COUNTIFS('AFA Rates'!$A$5:$A$1004,$A98,'AFA Rates'!$B$5:$B$1004,I$24)&gt;0,"✓",""))</f>
        <v/>
      </c>
      <c r="J98" s="57">
        <f>IF(OR($A98="",J$24=""),"",IF(COUNTIFS('AFA Rates'!$A$5:$A$1004,$A98,'AFA Rates'!$B$5:$B$1004,J$24)&gt;0,"✓",""))</f>
        <v/>
      </c>
      <c r="K98" s="57">
        <f>IF(OR($A98="",K$24=""),"",IF(COUNTIFS('AFA Rates'!$A$5:$A$1004,$A98,'AFA Rates'!$B$5:$B$1004,K$24)&gt;0,"✓",""))</f>
        <v/>
      </c>
      <c r="L98" s="57">
        <f>IF(OR($A98="",L$24=""),"",IF(COUNTIFS('AFA Rates'!$A$5:$A$1004,$A98,'AFA Rates'!$B$5:$B$1004,L$24)&gt;0,"✓",""))</f>
        <v/>
      </c>
      <c r="M98" s="57">
        <f>IF(OR($A98="",M$24=""),"",IF(COUNTIFS('AFA Rates'!$A$5:$A$1004,$A98,'AFA Rates'!$B$5:$B$1004,M$24)&gt;0,"✓",""))</f>
        <v/>
      </c>
    </row>
    <row r="99">
      <c r="A99" s="63">
        <f>IFERROR(INDEX(Firms!$A$5:$A$1004,MATCH(75,Firms!$S$5:$S$1004,0)),"")</f>
        <v/>
      </c>
      <c r="B99" s="57">
        <f>IF($A99="","",INDEX(Firms!$B$5:$B$1004,MATCH(75,Firms!$S$5:$S$1004,0)))</f>
        <v/>
      </c>
      <c r="C99" s="57">
        <f>IF($A99="","",COUNTIF('AFA Rates'!$A$5:$A$1004,$A99))</f>
        <v/>
      </c>
      <c r="D99" s="57">
        <f>IF(OR($A99="",D$24=""),"",IF(COUNTIFS('AFA Rates'!$A$5:$A$1004,$A99,'AFA Rates'!$B$5:$B$1004,D$24)&gt;0,"✓",""))</f>
        <v/>
      </c>
      <c r="E99" s="57">
        <f>IF(OR($A99="",E$24=""),"",IF(COUNTIFS('AFA Rates'!$A$5:$A$1004,$A99,'AFA Rates'!$B$5:$B$1004,E$24)&gt;0,"✓",""))</f>
        <v/>
      </c>
      <c r="F99" s="57">
        <f>IF(OR($A99="",F$24=""),"",IF(COUNTIFS('AFA Rates'!$A$5:$A$1004,$A99,'AFA Rates'!$B$5:$B$1004,F$24)&gt;0,"✓",""))</f>
        <v/>
      </c>
      <c r="G99" s="57">
        <f>IF(OR($A99="",G$24=""),"",IF(COUNTIFS('AFA Rates'!$A$5:$A$1004,$A99,'AFA Rates'!$B$5:$B$1004,G$24)&gt;0,"✓",""))</f>
        <v/>
      </c>
      <c r="H99" s="57">
        <f>IF(OR($A99="",H$24=""),"",IF(COUNTIFS('AFA Rates'!$A$5:$A$1004,$A99,'AFA Rates'!$B$5:$B$1004,H$24)&gt;0,"✓",""))</f>
        <v/>
      </c>
      <c r="I99" s="57">
        <f>IF(OR($A99="",I$24=""),"",IF(COUNTIFS('AFA Rates'!$A$5:$A$1004,$A99,'AFA Rates'!$B$5:$B$1004,I$24)&gt;0,"✓",""))</f>
        <v/>
      </c>
      <c r="J99" s="57">
        <f>IF(OR($A99="",J$24=""),"",IF(COUNTIFS('AFA Rates'!$A$5:$A$1004,$A99,'AFA Rates'!$B$5:$B$1004,J$24)&gt;0,"✓",""))</f>
        <v/>
      </c>
      <c r="K99" s="57">
        <f>IF(OR($A99="",K$24=""),"",IF(COUNTIFS('AFA Rates'!$A$5:$A$1004,$A99,'AFA Rates'!$B$5:$B$1004,K$24)&gt;0,"✓",""))</f>
        <v/>
      </c>
      <c r="L99" s="57">
        <f>IF(OR($A99="",L$24=""),"",IF(COUNTIFS('AFA Rates'!$A$5:$A$1004,$A99,'AFA Rates'!$B$5:$B$1004,L$24)&gt;0,"✓",""))</f>
        <v/>
      </c>
      <c r="M99" s="57">
        <f>IF(OR($A99="",M$24=""),"",IF(COUNTIFS('AFA Rates'!$A$5:$A$1004,$A99,'AFA Rates'!$B$5:$B$1004,M$24)&gt;0,"✓",""))</f>
        <v/>
      </c>
    </row>
    <row r="100">
      <c r="A100" s="63">
        <f>IFERROR(INDEX(Firms!$A$5:$A$1004,MATCH(76,Firms!$S$5:$S$1004,0)),"")</f>
        <v/>
      </c>
      <c r="B100" s="57">
        <f>IF($A100="","",INDEX(Firms!$B$5:$B$1004,MATCH(76,Firms!$S$5:$S$1004,0)))</f>
        <v/>
      </c>
      <c r="C100" s="57">
        <f>IF($A100="","",COUNTIF('AFA Rates'!$A$5:$A$1004,$A100))</f>
        <v/>
      </c>
      <c r="D100" s="57">
        <f>IF(OR($A100="",D$24=""),"",IF(COUNTIFS('AFA Rates'!$A$5:$A$1004,$A100,'AFA Rates'!$B$5:$B$1004,D$24)&gt;0,"✓",""))</f>
        <v/>
      </c>
      <c r="E100" s="57">
        <f>IF(OR($A100="",E$24=""),"",IF(COUNTIFS('AFA Rates'!$A$5:$A$1004,$A100,'AFA Rates'!$B$5:$B$1004,E$24)&gt;0,"✓",""))</f>
        <v/>
      </c>
      <c r="F100" s="57">
        <f>IF(OR($A100="",F$24=""),"",IF(COUNTIFS('AFA Rates'!$A$5:$A$1004,$A100,'AFA Rates'!$B$5:$B$1004,F$24)&gt;0,"✓",""))</f>
        <v/>
      </c>
      <c r="G100" s="57">
        <f>IF(OR($A100="",G$24=""),"",IF(COUNTIFS('AFA Rates'!$A$5:$A$1004,$A100,'AFA Rates'!$B$5:$B$1004,G$24)&gt;0,"✓",""))</f>
        <v/>
      </c>
      <c r="H100" s="57">
        <f>IF(OR($A100="",H$24=""),"",IF(COUNTIFS('AFA Rates'!$A$5:$A$1004,$A100,'AFA Rates'!$B$5:$B$1004,H$24)&gt;0,"✓",""))</f>
        <v/>
      </c>
      <c r="I100" s="57">
        <f>IF(OR($A100="",I$24=""),"",IF(COUNTIFS('AFA Rates'!$A$5:$A$1004,$A100,'AFA Rates'!$B$5:$B$1004,I$24)&gt;0,"✓",""))</f>
        <v/>
      </c>
      <c r="J100" s="57">
        <f>IF(OR($A100="",J$24=""),"",IF(COUNTIFS('AFA Rates'!$A$5:$A$1004,$A100,'AFA Rates'!$B$5:$B$1004,J$24)&gt;0,"✓",""))</f>
        <v/>
      </c>
      <c r="K100" s="57">
        <f>IF(OR($A100="",K$24=""),"",IF(COUNTIFS('AFA Rates'!$A$5:$A$1004,$A100,'AFA Rates'!$B$5:$B$1004,K$24)&gt;0,"✓",""))</f>
        <v/>
      </c>
      <c r="L100" s="57">
        <f>IF(OR($A100="",L$24=""),"",IF(COUNTIFS('AFA Rates'!$A$5:$A$1004,$A100,'AFA Rates'!$B$5:$B$1004,L$24)&gt;0,"✓",""))</f>
        <v/>
      </c>
      <c r="M100" s="57">
        <f>IF(OR($A100="",M$24=""),"",IF(COUNTIFS('AFA Rates'!$A$5:$A$1004,$A100,'AFA Rates'!$B$5:$B$1004,M$24)&gt;0,"✓",""))</f>
        <v/>
      </c>
    </row>
    <row r="101">
      <c r="A101" s="63">
        <f>IFERROR(INDEX(Firms!$A$5:$A$1004,MATCH(77,Firms!$S$5:$S$1004,0)),"")</f>
        <v/>
      </c>
      <c r="B101" s="57">
        <f>IF($A101="","",INDEX(Firms!$B$5:$B$1004,MATCH(77,Firms!$S$5:$S$1004,0)))</f>
        <v/>
      </c>
      <c r="C101" s="57">
        <f>IF($A101="","",COUNTIF('AFA Rates'!$A$5:$A$1004,$A101))</f>
        <v/>
      </c>
      <c r="D101" s="57">
        <f>IF(OR($A101="",D$24=""),"",IF(COUNTIFS('AFA Rates'!$A$5:$A$1004,$A101,'AFA Rates'!$B$5:$B$1004,D$24)&gt;0,"✓",""))</f>
        <v/>
      </c>
      <c r="E101" s="57">
        <f>IF(OR($A101="",E$24=""),"",IF(COUNTIFS('AFA Rates'!$A$5:$A$1004,$A101,'AFA Rates'!$B$5:$B$1004,E$24)&gt;0,"✓",""))</f>
        <v/>
      </c>
      <c r="F101" s="57">
        <f>IF(OR($A101="",F$24=""),"",IF(COUNTIFS('AFA Rates'!$A$5:$A$1004,$A101,'AFA Rates'!$B$5:$B$1004,F$24)&gt;0,"✓",""))</f>
        <v/>
      </c>
      <c r="G101" s="57">
        <f>IF(OR($A101="",G$24=""),"",IF(COUNTIFS('AFA Rates'!$A$5:$A$1004,$A101,'AFA Rates'!$B$5:$B$1004,G$24)&gt;0,"✓",""))</f>
        <v/>
      </c>
      <c r="H101" s="57">
        <f>IF(OR($A101="",H$24=""),"",IF(COUNTIFS('AFA Rates'!$A$5:$A$1004,$A101,'AFA Rates'!$B$5:$B$1004,H$24)&gt;0,"✓",""))</f>
        <v/>
      </c>
      <c r="I101" s="57">
        <f>IF(OR($A101="",I$24=""),"",IF(COUNTIFS('AFA Rates'!$A$5:$A$1004,$A101,'AFA Rates'!$B$5:$B$1004,I$24)&gt;0,"✓",""))</f>
        <v/>
      </c>
      <c r="J101" s="57">
        <f>IF(OR($A101="",J$24=""),"",IF(COUNTIFS('AFA Rates'!$A$5:$A$1004,$A101,'AFA Rates'!$B$5:$B$1004,J$24)&gt;0,"✓",""))</f>
        <v/>
      </c>
      <c r="K101" s="57">
        <f>IF(OR($A101="",K$24=""),"",IF(COUNTIFS('AFA Rates'!$A$5:$A$1004,$A101,'AFA Rates'!$B$5:$B$1004,K$24)&gt;0,"✓",""))</f>
        <v/>
      </c>
      <c r="L101" s="57">
        <f>IF(OR($A101="",L$24=""),"",IF(COUNTIFS('AFA Rates'!$A$5:$A$1004,$A101,'AFA Rates'!$B$5:$B$1004,L$24)&gt;0,"✓",""))</f>
        <v/>
      </c>
      <c r="M101" s="57">
        <f>IF(OR($A101="",M$24=""),"",IF(COUNTIFS('AFA Rates'!$A$5:$A$1004,$A101,'AFA Rates'!$B$5:$B$1004,M$24)&gt;0,"✓",""))</f>
        <v/>
      </c>
    </row>
    <row r="102">
      <c r="A102" s="63">
        <f>IFERROR(INDEX(Firms!$A$5:$A$1004,MATCH(78,Firms!$S$5:$S$1004,0)),"")</f>
        <v/>
      </c>
      <c r="B102" s="57">
        <f>IF($A102="","",INDEX(Firms!$B$5:$B$1004,MATCH(78,Firms!$S$5:$S$1004,0)))</f>
        <v/>
      </c>
      <c r="C102" s="57">
        <f>IF($A102="","",COUNTIF('AFA Rates'!$A$5:$A$1004,$A102))</f>
        <v/>
      </c>
      <c r="D102" s="57">
        <f>IF(OR($A102="",D$24=""),"",IF(COUNTIFS('AFA Rates'!$A$5:$A$1004,$A102,'AFA Rates'!$B$5:$B$1004,D$24)&gt;0,"✓",""))</f>
        <v/>
      </c>
      <c r="E102" s="57">
        <f>IF(OR($A102="",E$24=""),"",IF(COUNTIFS('AFA Rates'!$A$5:$A$1004,$A102,'AFA Rates'!$B$5:$B$1004,E$24)&gt;0,"✓",""))</f>
        <v/>
      </c>
      <c r="F102" s="57">
        <f>IF(OR($A102="",F$24=""),"",IF(COUNTIFS('AFA Rates'!$A$5:$A$1004,$A102,'AFA Rates'!$B$5:$B$1004,F$24)&gt;0,"✓",""))</f>
        <v/>
      </c>
      <c r="G102" s="57">
        <f>IF(OR($A102="",G$24=""),"",IF(COUNTIFS('AFA Rates'!$A$5:$A$1004,$A102,'AFA Rates'!$B$5:$B$1004,G$24)&gt;0,"✓",""))</f>
        <v/>
      </c>
      <c r="H102" s="57">
        <f>IF(OR($A102="",H$24=""),"",IF(COUNTIFS('AFA Rates'!$A$5:$A$1004,$A102,'AFA Rates'!$B$5:$B$1004,H$24)&gt;0,"✓",""))</f>
        <v/>
      </c>
      <c r="I102" s="57">
        <f>IF(OR($A102="",I$24=""),"",IF(COUNTIFS('AFA Rates'!$A$5:$A$1004,$A102,'AFA Rates'!$B$5:$B$1004,I$24)&gt;0,"✓",""))</f>
        <v/>
      </c>
      <c r="J102" s="57">
        <f>IF(OR($A102="",J$24=""),"",IF(COUNTIFS('AFA Rates'!$A$5:$A$1004,$A102,'AFA Rates'!$B$5:$B$1004,J$24)&gt;0,"✓",""))</f>
        <v/>
      </c>
      <c r="K102" s="57">
        <f>IF(OR($A102="",K$24=""),"",IF(COUNTIFS('AFA Rates'!$A$5:$A$1004,$A102,'AFA Rates'!$B$5:$B$1004,K$24)&gt;0,"✓",""))</f>
        <v/>
      </c>
      <c r="L102" s="57">
        <f>IF(OR($A102="",L$24=""),"",IF(COUNTIFS('AFA Rates'!$A$5:$A$1004,$A102,'AFA Rates'!$B$5:$B$1004,L$24)&gt;0,"✓",""))</f>
        <v/>
      </c>
      <c r="M102" s="57">
        <f>IF(OR($A102="",M$24=""),"",IF(COUNTIFS('AFA Rates'!$A$5:$A$1004,$A102,'AFA Rates'!$B$5:$B$1004,M$24)&gt;0,"✓",""))</f>
        <v/>
      </c>
    </row>
    <row r="103">
      <c r="A103" s="63">
        <f>IFERROR(INDEX(Firms!$A$5:$A$1004,MATCH(79,Firms!$S$5:$S$1004,0)),"")</f>
        <v/>
      </c>
      <c r="B103" s="57">
        <f>IF($A103="","",INDEX(Firms!$B$5:$B$1004,MATCH(79,Firms!$S$5:$S$1004,0)))</f>
        <v/>
      </c>
      <c r="C103" s="57">
        <f>IF($A103="","",COUNTIF('AFA Rates'!$A$5:$A$1004,$A103))</f>
        <v/>
      </c>
      <c r="D103" s="57">
        <f>IF(OR($A103="",D$24=""),"",IF(COUNTIFS('AFA Rates'!$A$5:$A$1004,$A103,'AFA Rates'!$B$5:$B$1004,D$24)&gt;0,"✓",""))</f>
        <v/>
      </c>
      <c r="E103" s="57">
        <f>IF(OR($A103="",E$24=""),"",IF(COUNTIFS('AFA Rates'!$A$5:$A$1004,$A103,'AFA Rates'!$B$5:$B$1004,E$24)&gt;0,"✓",""))</f>
        <v/>
      </c>
      <c r="F103" s="57">
        <f>IF(OR($A103="",F$24=""),"",IF(COUNTIFS('AFA Rates'!$A$5:$A$1004,$A103,'AFA Rates'!$B$5:$B$1004,F$24)&gt;0,"✓",""))</f>
        <v/>
      </c>
      <c r="G103" s="57">
        <f>IF(OR($A103="",G$24=""),"",IF(COUNTIFS('AFA Rates'!$A$5:$A$1004,$A103,'AFA Rates'!$B$5:$B$1004,G$24)&gt;0,"✓",""))</f>
        <v/>
      </c>
      <c r="H103" s="57">
        <f>IF(OR($A103="",H$24=""),"",IF(COUNTIFS('AFA Rates'!$A$5:$A$1004,$A103,'AFA Rates'!$B$5:$B$1004,H$24)&gt;0,"✓",""))</f>
        <v/>
      </c>
      <c r="I103" s="57">
        <f>IF(OR($A103="",I$24=""),"",IF(COUNTIFS('AFA Rates'!$A$5:$A$1004,$A103,'AFA Rates'!$B$5:$B$1004,I$24)&gt;0,"✓",""))</f>
        <v/>
      </c>
      <c r="J103" s="57">
        <f>IF(OR($A103="",J$24=""),"",IF(COUNTIFS('AFA Rates'!$A$5:$A$1004,$A103,'AFA Rates'!$B$5:$B$1004,J$24)&gt;0,"✓",""))</f>
        <v/>
      </c>
      <c r="K103" s="57">
        <f>IF(OR($A103="",K$24=""),"",IF(COUNTIFS('AFA Rates'!$A$5:$A$1004,$A103,'AFA Rates'!$B$5:$B$1004,K$24)&gt;0,"✓",""))</f>
        <v/>
      </c>
      <c r="L103" s="57">
        <f>IF(OR($A103="",L$24=""),"",IF(COUNTIFS('AFA Rates'!$A$5:$A$1004,$A103,'AFA Rates'!$B$5:$B$1004,L$24)&gt;0,"✓",""))</f>
        <v/>
      </c>
      <c r="M103" s="57">
        <f>IF(OR($A103="",M$24=""),"",IF(COUNTIFS('AFA Rates'!$A$5:$A$1004,$A103,'AFA Rates'!$B$5:$B$1004,M$24)&gt;0,"✓",""))</f>
        <v/>
      </c>
    </row>
    <row r="104">
      <c r="A104" s="63">
        <f>IFERROR(INDEX(Firms!$A$5:$A$1004,MATCH(80,Firms!$S$5:$S$1004,0)),"")</f>
        <v/>
      </c>
      <c r="B104" s="57">
        <f>IF($A104="","",INDEX(Firms!$B$5:$B$1004,MATCH(80,Firms!$S$5:$S$1004,0)))</f>
        <v/>
      </c>
      <c r="C104" s="57">
        <f>IF($A104="","",COUNTIF('AFA Rates'!$A$5:$A$1004,$A104))</f>
        <v/>
      </c>
      <c r="D104" s="57">
        <f>IF(OR($A104="",D$24=""),"",IF(COUNTIFS('AFA Rates'!$A$5:$A$1004,$A104,'AFA Rates'!$B$5:$B$1004,D$24)&gt;0,"✓",""))</f>
        <v/>
      </c>
      <c r="E104" s="57">
        <f>IF(OR($A104="",E$24=""),"",IF(COUNTIFS('AFA Rates'!$A$5:$A$1004,$A104,'AFA Rates'!$B$5:$B$1004,E$24)&gt;0,"✓",""))</f>
        <v/>
      </c>
      <c r="F104" s="57">
        <f>IF(OR($A104="",F$24=""),"",IF(COUNTIFS('AFA Rates'!$A$5:$A$1004,$A104,'AFA Rates'!$B$5:$B$1004,F$24)&gt;0,"✓",""))</f>
        <v/>
      </c>
      <c r="G104" s="57">
        <f>IF(OR($A104="",G$24=""),"",IF(COUNTIFS('AFA Rates'!$A$5:$A$1004,$A104,'AFA Rates'!$B$5:$B$1004,G$24)&gt;0,"✓",""))</f>
        <v/>
      </c>
      <c r="H104" s="57">
        <f>IF(OR($A104="",H$24=""),"",IF(COUNTIFS('AFA Rates'!$A$5:$A$1004,$A104,'AFA Rates'!$B$5:$B$1004,H$24)&gt;0,"✓",""))</f>
        <v/>
      </c>
      <c r="I104" s="57">
        <f>IF(OR($A104="",I$24=""),"",IF(COUNTIFS('AFA Rates'!$A$5:$A$1004,$A104,'AFA Rates'!$B$5:$B$1004,I$24)&gt;0,"✓",""))</f>
        <v/>
      </c>
      <c r="J104" s="57">
        <f>IF(OR($A104="",J$24=""),"",IF(COUNTIFS('AFA Rates'!$A$5:$A$1004,$A104,'AFA Rates'!$B$5:$B$1004,J$24)&gt;0,"✓",""))</f>
        <v/>
      </c>
      <c r="K104" s="57">
        <f>IF(OR($A104="",K$24=""),"",IF(COUNTIFS('AFA Rates'!$A$5:$A$1004,$A104,'AFA Rates'!$B$5:$B$1004,K$24)&gt;0,"✓",""))</f>
        <v/>
      </c>
      <c r="L104" s="57">
        <f>IF(OR($A104="",L$24=""),"",IF(COUNTIFS('AFA Rates'!$A$5:$A$1004,$A104,'AFA Rates'!$B$5:$B$1004,L$24)&gt;0,"✓",""))</f>
        <v/>
      </c>
      <c r="M104" s="57">
        <f>IF(OR($A104="",M$24=""),"",IF(COUNTIFS('AFA Rates'!$A$5:$A$1004,$A104,'AFA Rates'!$B$5:$B$1004,M$24)&gt;0,"✓",""))</f>
        <v/>
      </c>
    </row>
    <row r="105">
      <c r="A105" s="63">
        <f>IFERROR(INDEX(Firms!$A$5:$A$1004,MATCH(81,Firms!$S$5:$S$1004,0)),"")</f>
        <v/>
      </c>
      <c r="B105" s="57">
        <f>IF($A105="","",INDEX(Firms!$B$5:$B$1004,MATCH(81,Firms!$S$5:$S$1004,0)))</f>
        <v/>
      </c>
      <c r="C105" s="57">
        <f>IF($A105="","",COUNTIF('AFA Rates'!$A$5:$A$1004,$A105))</f>
        <v/>
      </c>
      <c r="D105" s="57">
        <f>IF(OR($A105="",D$24=""),"",IF(COUNTIFS('AFA Rates'!$A$5:$A$1004,$A105,'AFA Rates'!$B$5:$B$1004,D$24)&gt;0,"✓",""))</f>
        <v/>
      </c>
      <c r="E105" s="57">
        <f>IF(OR($A105="",E$24=""),"",IF(COUNTIFS('AFA Rates'!$A$5:$A$1004,$A105,'AFA Rates'!$B$5:$B$1004,E$24)&gt;0,"✓",""))</f>
        <v/>
      </c>
      <c r="F105" s="57">
        <f>IF(OR($A105="",F$24=""),"",IF(COUNTIFS('AFA Rates'!$A$5:$A$1004,$A105,'AFA Rates'!$B$5:$B$1004,F$24)&gt;0,"✓",""))</f>
        <v/>
      </c>
      <c r="G105" s="57">
        <f>IF(OR($A105="",G$24=""),"",IF(COUNTIFS('AFA Rates'!$A$5:$A$1004,$A105,'AFA Rates'!$B$5:$B$1004,G$24)&gt;0,"✓",""))</f>
        <v/>
      </c>
      <c r="H105" s="57">
        <f>IF(OR($A105="",H$24=""),"",IF(COUNTIFS('AFA Rates'!$A$5:$A$1004,$A105,'AFA Rates'!$B$5:$B$1004,H$24)&gt;0,"✓",""))</f>
        <v/>
      </c>
      <c r="I105" s="57">
        <f>IF(OR($A105="",I$24=""),"",IF(COUNTIFS('AFA Rates'!$A$5:$A$1004,$A105,'AFA Rates'!$B$5:$B$1004,I$24)&gt;0,"✓",""))</f>
        <v/>
      </c>
      <c r="J105" s="57">
        <f>IF(OR($A105="",J$24=""),"",IF(COUNTIFS('AFA Rates'!$A$5:$A$1004,$A105,'AFA Rates'!$B$5:$B$1004,J$24)&gt;0,"✓",""))</f>
        <v/>
      </c>
      <c r="K105" s="57">
        <f>IF(OR($A105="",K$24=""),"",IF(COUNTIFS('AFA Rates'!$A$5:$A$1004,$A105,'AFA Rates'!$B$5:$B$1004,K$24)&gt;0,"✓",""))</f>
        <v/>
      </c>
      <c r="L105" s="57">
        <f>IF(OR($A105="",L$24=""),"",IF(COUNTIFS('AFA Rates'!$A$5:$A$1004,$A105,'AFA Rates'!$B$5:$B$1004,L$24)&gt;0,"✓",""))</f>
        <v/>
      </c>
      <c r="M105" s="57">
        <f>IF(OR($A105="",M$24=""),"",IF(COUNTIFS('AFA Rates'!$A$5:$A$1004,$A105,'AFA Rates'!$B$5:$B$1004,M$24)&gt;0,"✓",""))</f>
        <v/>
      </c>
    </row>
    <row r="106">
      <c r="A106" s="63">
        <f>IFERROR(INDEX(Firms!$A$5:$A$1004,MATCH(82,Firms!$S$5:$S$1004,0)),"")</f>
        <v/>
      </c>
      <c r="B106" s="57">
        <f>IF($A106="","",INDEX(Firms!$B$5:$B$1004,MATCH(82,Firms!$S$5:$S$1004,0)))</f>
        <v/>
      </c>
      <c r="C106" s="57">
        <f>IF($A106="","",COUNTIF('AFA Rates'!$A$5:$A$1004,$A106))</f>
        <v/>
      </c>
      <c r="D106" s="57">
        <f>IF(OR($A106="",D$24=""),"",IF(COUNTIFS('AFA Rates'!$A$5:$A$1004,$A106,'AFA Rates'!$B$5:$B$1004,D$24)&gt;0,"✓",""))</f>
        <v/>
      </c>
      <c r="E106" s="57">
        <f>IF(OR($A106="",E$24=""),"",IF(COUNTIFS('AFA Rates'!$A$5:$A$1004,$A106,'AFA Rates'!$B$5:$B$1004,E$24)&gt;0,"✓",""))</f>
        <v/>
      </c>
      <c r="F106" s="57">
        <f>IF(OR($A106="",F$24=""),"",IF(COUNTIFS('AFA Rates'!$A$5:$A$1004,$A106,'AFA Rates'!$B$5:$B$1004,F$24)&gt;0,"✓",""))</f>
        <v/>
      </c>
      <c r="G106" s="57">
        <f>IF(OR($A106="",G$24=""),"",IF(COUNTIFS('AFA Rates'!$A$5:$A$1004,$A106,'AFA Rates'!$B$5:$B$1004,G$24)&gt;0,"✓",""))</f>
        <v/>
      </c>
      <c r="H106" s="57">
        <f>IF(OR($A106="",H$24=""),"",IF(COUNTIFS('AFA Rates'!$A$5:$A$1004,$A106,'AFA Rates'!$B$5:$B$1004,H$24)&gt;0,"✓",""))</f>
        <v/>
      </c>
      <c r="I106" s="57">
        <f>IF(OR($A106="",I$24=""),"",IF(COUNTIFS('AFA Rates'!$A$5:$A$1004,$A106,'AFA Rates'!$B$5:$B$1004,I$24)&gt;0,"✓",""))</f>
        <v/>
      </c>
      <c r="J106" s="57">
        <f>IF(OR($A106="",J$24=""),"",IF(COUNTIFS('AFA Rates'!$A$5:$A$1004,$A106,'AFA Rates'!$B$5:$B$1004,J$24)&gt;0,"✓",""))</f>
        <v/>
      </c>
      <c r="K106" s="57">
        <f>IF(OR($A106="",K$24=""),"",IF(COUNTIFS('AFA Rates'!$A$5:$A$1004,$A106,'AFA Rates'!$B$5:$B$1004,K$24)&gt;0,"✓",""))</f>
        <v/>
      </c>
      <c r="L106" s="57">
        <f>IF(OR($A106="",L$24=""),"",IF(COUNTIFS('AFA Rates'!$A$5:$A$1004,$A106,'AFA Rates'!$B$5:$B$1004,L$24)&gt;0,"✓",""))</f>
        <v/>
      </c>
      <c r="M106" s="57">
        <f>IF(OR($A106="",M$24=""),"",IF(COUNTIFS('AFA Rates'!$A$5:$A$1004,$A106,'AFA Rates'!$B$5:$B$1004,M$24)&gt;0,"✓",""))</f>
        <v/>
      </c>
    </row>
    <row r="107">
      <c r="A107" s="63">
        <f>IFERROR(INDEX(Firms!$A$5:$A$1004,MATCH(83,Firms!$S$5:$S$1004,0)),"")</f>
        <v/>
      </c>
      <c r="B107" s="57">
        <f>IF($A107="","",INDEX(Firms!$B$5:$B$1004,MATCH(83,Firms!$S$5:$S$1004,0)))</f>
        <v/>
      </c>
      <c r="C107" s="57">
        <f>IF($A107="","",COUNTIF('AFA Rates'!$A$5:$A$1004,$A107))</f>
        <v/>
      </c>
      <c r="D107" s="57">
        <f>IF(OR($A107="",D$24=""),"",IF(COUNTIFS('AFA Rates'!$A$5:$A$1004,$A107,'AFA Rates'!$B$5:$B$1004,D$24)&gt;0,"✓",""))</f>
        <v/>
      </c>
      <c r="E107" s="57">
        <f>IF(OR($A107="",E$24=""),"",IF(COUNTIFS('AFA Rates'!$A$5:$A$1004,$A107,'AFA Rates'!$B$5:$B$1004,E$24)&gt;0,"✓",""))</f>
        <v/>
      </c>
      <c r="F107" s="57">
        <f>IF(OR($A107="",F$24=""),"",IF(COUNTIFS('AFA Rates'!$A$5:$A$1004,$A107,'AFA Rates'!$B$5:$B$1004,F$24)&gt;0,"✓",""))</f>
        <v/>
      </c>
      <c r="G107" s="57">
        <f>IF(OR($A107="",G$24=""),"",IF(COUNTIFS('AFA Rates'!$A$5:$A$1004,$A107,'AFA Rates'!$B$5:$B$1004,G$24)&gt;0,"✓",""))</f>
        <v/>
      </c>
      <c r="H107" s="57">
        <f>IF(OR($A107="",H$24=""),"",IF(COUNTIFS('AFA Rates'!$A$5:$A$1004,$A107,'AFA Rates'!$B$5:$B$1004,H$24)&gt;0,"✓",""))</f>
        <v/>
      </c>
      <c r="I107" s="57">
        <f>IF(OR($A107="",I$24=""),"",IF(COUNTIFS('AFA Rates'!$A$5:$A$1004,$A107,'AFA Rates'!$B$5:$B$1004,I$24)&gt;0,"✓",""))</f>
        <v/>
      </c>
      <c r="J107" s="57">
        <f>IF(OR($A107="",J$24=""),"",IF(COUNTIFS('AFA Rates'!$A$5:$A$1004,$A107,'AFA Rates'!$B$5:$B$1004,J$24)&gt;0,"✓",""))</f>
        <v/>
      </c>
      <c r="K107" s="57">
        <f>IF(OR($A107="",K$24=""),"",IF(COUNTIFS('AFA Rates'!$A$5:$A$1004,$A107,'AFA Rates'!$B$5:$B$1004,K$24)&gt;0,"✓",""))</f>
        <v/>
      </c>
      <c r="L107" s="57">
        <f>IF(OR($A107="",L$24=""),"",IF(COUNTIFS('AFA Rates'!$A$5:$A$1004,$A107,'AFA Rates'!$B$5:$B$1004,L$24)&gt;0,"✓",""))</f>
        <v/>
      </c>
      <c r="M107" s="57">
        <f>IF(OR($A107="",M$24=""),"",IF(COUNTIFS('AFA Rates'!$A$5:$A$1004,$A107,'AFA Rates'!$B$5:$B$1004,M$24)&gt;0,"✓",""))</f>
        <v/>
      </c>
    </row>
    <row r="108">
      <c r="A108" s="63">
        <f>IFERROR(INDEX(Firms!$A$5:$A$1004,MATCH(84,Firms!$S$5:$S$1004,0)),"")</f>
        <v/>
      </c>
      <c r="B108" s="57">
        <f>IF($A108="","",INDEX(Firms!$B$5:$B$1004,MATCH(84,Firms!$S$5:$S$1004,0)))</f>
        <v/>
      </c>
      <c r="C108" s="57">
        <f>IF($A108="","",COUNTIF('AFA Rates'!$A$5:$A$1004,$A108))</f>
        <v/>
      </c>
      <c r="D108" s="57">
        <f>IF(OR($A108="",D$24=""),"",IF(COUNTIFS('AFA Rates'!$A$5:$A$1004,$A108,'AFA Rates'!$B$5:$B$1004,D$24)&gt;0,"✓",""))</f>
        <v/>
      </c>
      <c r="E108" s="57">
        <f>IF(OR($A108="",E$24=""),"",IF(COUNTIFS('AFA Rates'!$A$5:$A$1004,$A108,'AFA Rates'!$B$5:$B$1004,E$24)&gt;0,"✓",""))</f>
        <v/>
      </c>
      <c r="F108" s="57">
        <f>IF(OR($A108="",F$24=""),"",IF(COUNTIFS('AFA Rates'!$A$5:$A$1004,$A108,'AFA Rates'!$B$5:$B$1004,F$24)&gt;0,"✓",""))</f>
        <v/>
      </c>
      <c r="G108" s="57">
        <f>IF(OR($A108="",G$24=""),"",IF(COUNTIFS('AFA Rates'!$A$5:$A$1004,$A108,'AFA Rates'!$B$5:$B$1004,G$24)&gt;0,"✓",""))</f>
        <v/>
      </c>
      <c r="H108" s="57">
        <f>IF(OR($A108="",H$24=""),"",IF(COUNTIFS('AFA Rates'!$A$5:$A$1004,$A108,'AFA Rates'!$B$5:$B$1004,H$24)&gt;0,"✓",""))</f>
        <v/>
      </c>
      <c r="I108" s="57">
        <f>IF(OR($A108="",I$24=""),"",IF(COUNTIFS('AFA Rates'!$A$5:$A$1004,$A108,'AFA Rates'!$B$5:$B$1004,I$24)&gt;0,"✓",""))</f>
        <v/>
      </c>
      <c r="J108" s="57">
        <f>IF(OR($A108="",J$24=""),"",IF(COUNTIFS('AFA Rates'!$A$5:$A$1004,$A108,'AFA Rates'!$B$5:$B$1004,J$24)&gt;0,"✓",""))</f>
        <v/>
      </c>
      <c r="K108" s="57">
        <f>IF(OR($A108="",K$24=""),"",IF(COUNTIFS('AFA Rates'!$A$5:$A$1004,$A108,'AFA Rates'!$B$5:$B$1004,K$24)&gt;0,"✓",""))</f>
        <v/>
      </c>
      <c r="L108" s="57">
        <f>IF(OR($A108="",L$24=""),"",IF(COUNTIFS('AFA Rates'!$A$5:$A$1004,$A108,'AFA Rates'!$B$5:$B$1004,L$24)&gt;0,"✓",""))</f>
        <v/>
      </c>
      <c r="M108" s="57">
        <f>IF(OR($A108="",M$24=""),"",IF(COUNTIFS('AFA Rates'!$A$5:$A$1004,$A108,'AFA Rates'!$B$5:$B$1004,M$24)&gt;0,"✓",""))</f>
        <v/>
      </c>
    </row>
    <row r="109">
      <c r="A109" s="63">
        <f>IFERROR(INDEX(Firms!$A$5:$A$1004,MATCH(85,Firms!$S$5:$S$1004,0)),"")</f>
        <v/>
      </c>
      <c r="B109" s="57">
        <f>IF($A109="","",INDEX(Firms!$B$5:$B$1004,MATCH(85,Firms!$S$5:$S$1004,0)))</f>
        <v/>
      </c>
      <c r="C109" s="57">
        <f>IF($A109="","",COUNTIF('AFA Rates'!$A$5:$A$1004,$A109))</f>
        <v/>
      </c>
      <c r="D109" s="57">
        <f>IF(OR($A109="",D$24=""),"",IF(COUNTIFS('AFA Rates'!$A$5:$A$1004,$A109,'AFA Rates'!$B$5:$B$1004,D$24)&gt;0,"✓",""))</f>
        <v/>
      </c>
      <c r="E109" s="57">
        <f>IF(OR($A109="",E$24=""),"",IF(COUNTIFS('AFA Rates'!$A$5:$A$1004,$A109,'AFA Rates'!$B$5:$B$1004,E$24)&gt;0,"✓",""))</f>
        <v/>
      </c>
      <c r="F109" s="57">
        <f>IF(OR($A109="",F$24=""),"",IF(COUNTIFS('AFA Rates'!$A$5:$A$1004,$A109,'AFA Rates'!$B$5:$B$1004,F$24)&gt;0,"✓",""))</f>
        <v/>
      </c>
      <c r="G109" s="57">
        <f>IF(OR($A109="",G$24=""),"",IF(COUNTIFS('AFA Rates'!$A$5:$A$1004,$A109,'AFA Rates'!$B$5:$B$1004,G$24)&gt;0,"✓",""))</f>
        <v/>
      </c>
      <c r="H109" s="57">
        <f>IF(OR($A109="",H$24=""),"",IF(COUNTIFS('AFA Rates'!$A$5:$A$1004,$A109,'AFA Rates'!$B$5:$B$1004,H$24)&gt;0,"✓",""))</f>
        <v/>
      </c>
      <c r="I109" s="57">
        <f>IF(OR($A109="",I$24=""),"",IF(COUNTIFS('AFA Rates'!$A$5:$A$1004,$A109,'AFA Rates'!$B$5:$B$1004,I$24)&gt;0,"✓",""))</f>
        <v/>
      </c>
      <c r="J109" s="57">
        <f>IF(OR($A109="",J$24=""),"",IF(COUNTIFS('AFA Rates'!$A$5:$A$1004,$A109,'AFA Rates'!$B$5:$B$1004,J$24)&gt;0,"✓",""))</f>
        <v/>
      </c>
      <c r="K109" s="57">
        <f>IF(OR($A109="",K$24=""),"",IF(COUNTIFS('AFA Rates'!$A$5:$A$1004,$A109,'AFA Rates'!$B$5:$B$1004,K$24)&gt;0,"✓",""))</f>
        <v/>
      </c>
      <c r="L109" s="57">
        <f>IF(OR($A109="",L$24=""),"",IF(COUNTIFS('AFA Rates'!$A$5:$A$1004,$A109,'AFA Rates'!$B$5:$B$1004,L$24)&gt;0,"✓",""))</f>
        <v/>
      </c>
      <c r="M109" s="57">
        <f>IF(OR($A109="",M$24=""),"",IF(COUNTIFS('AFA Rates'!$A$5:$A$1004,$A109,'AFA Rates'!$B$5:$B$1004,M$24)&gt;0,"✓",""))</f>
        <v/>
      </c>
    </row>
    <row r="110">
      <c r="A110" s="63">
        <f>IFERROR(INDEX(Firms!$A$5:$A$1004,MATCH(86,Firms!$S$5:$S$1004,0)),"")</f>
        <v/>
      </c>
      <c r="B110" s="57">
        <f>IF($A110="","",INDEX(Firms!$B$5:$B$1004,MATCH(86,Firms!$S$5:$S$1004,0)))</f>
        <v/>
      </c>
      <c r="C110" s="57">
        <f>IF($A110="","",COUNTIF('AFA Rates'!$A$5:$A$1004,$A110))</f>
        <v/>
      </c>
      <c r="D110" s="57">
        <f>IF(OR($A110="",D$24=""),"",IF(COUNTIFS('AFA Rates'!$A$5:$A$1004,$A110,'AFA Rates'!$B$5:$B$1004,D$24)&gt;0,"✓",""))</f>
        <v/>
      </c>
      <c r="E110" s="57">
        <f>IF(OR($A110="",E$24=""),"",IF(COUNTIFS('AFA Rates'!$A$5:$A$1004,$A110,'AFA Rates'!$B$5:$B$1004,E$24)&gt;0,"✓",""))</f>
        <v/>
      </c>
      <c r="F110" s="57">
        <f>IF(OR($A110="",F$24=""),"",IF(COUNTIFS('AFA Rates'!$A$5:$A$1004,$A110,'AFA Rates'!$B$5:$B$1004,F$24)&gt;0,"✓",""))</f>
        <v/>
      </c>
      <c r="G110" s="57">
        <f>IF(OR($A110="",G$24=""),"",IF(COUNTIFS('AFA Rates'!$A$5:$A$1004,$A110,'AFA Rates'!$B$5:$B$1004,G$24)&gt;0,"✓",""))</f>
        <v/>
      </c>
      <c r="H110" s="57">
        <f>IF(OR($A110="",H$24=""),"",IF(COUNTIFS('AFA Rates'!$A$5:$A$1004,$A110,'AFA Rates'!$B$5:$B$1004,H$24)&gt;0,"✓",""))</f>
        <v/>
      </c>
      <c r="I110" s="57">
        <f>IF(OR($A110="",I$24=""),"",IF(COUNTIFS('AFA Rates'!$A$5:$A$1004,$A110,'AFA Rates'!$B$5:$B$1004,I$24)&gt;0,"✓",""))</f>
        <v/>
      </c>
      <c r="J110" s="57">
        <f>IF(OR($A110="",J$24=""),"",IF(COUNTIFS('AFA Rates'!$A$5:$A$1004,$A110,'AFA Rates'!$B$5:$B$1004,J$24)&gt;0,"✓",""))</f>
        <v/>
      </c>
      <c r="K110" s="57">
        <f>IF(OR($A110="",K$24=""),"",IF(COUNTIFS('AFA Rates'!$A$5:$A$1004,$A110,'AFA Rates'!$B$5:$B$1004,K$24)&gt;0,"✓",""))</f>
        <v/>
      </c>
      <c r="L110" s="57">
        <f>IF(OR($A110="",L$24=""),"",IF(COUNTIFS('AFA Rates'!$A$5:$A$1004,$A110,'AFA Rates'!$B$5:$B$1004,L$24)&gt;0,"✓",""))</f>
        <v/>
      </c>
      <c r="M110" s="57">
        <f>IF(OR($A110="",M$24=""),"",IF(COUNTIFS('AFA Rates'!$A$5:$A$1004,$A110,'AFA Rates'!$B$5:$B$1004,M$24)&gt;0,"✓",""))</f>
        <v/>
      </c>
    </row>
    <row r="111">
      <c r="A111" s="63">
        <f>IFERROR(INDEX(Firms!$A$5:$A$1004,MATCH(87,Firms!$S$5:$S$1004,0)),"")</f>
        <v/>
      </c>
      <c r="B111" s="57">
        <f>IF($A111="","",INDEX(Firms!$B$5:$B$1004,MATCH(87,Firms!$S$5:$S$1004,0)))</f>
        <v/>
      </c>
      <c r="C111" s="57">
        <f>IF($A111="","",COUNTIF('AFA Rates'!$A$5:$A$1004,$A111))</f>
        <v/>
      </c>
      <c r="D111" s="57">
        <f>IF(OR($A111="",D$24=""),"",IF(COUNTIFS('AFA Rates'!$A$5:$A$1004,$A111,'AFA Rates'!$B$5:$B$1004,D$24)&gt;0,"✓",""))</f>
        <v/>
      </c>
      <c r="E111" s="57">
        <f>IF(OR($A111="",E$24=""),"",IF(COUNTIFS('AFA Rates'!$A$5:$A$1004,$A111,'AFA Rates'!$B$5:$B$1004,E$24)&gt;0,"✓",""))</f>
        <v/>
      </c>
      <c r="F111" s="57">
        <f>IF(OR($A111="",F$24=""),"",IF(COUNTIFS('AFA Rates'!$A$5:$A$1004,$A111,'AFA Rates'!$B$5:$B$1004,F$24)&gt;0,"✓",""))</f>
        <v/>
      </c>
      <c r="G111" s="57">
        <f>IF(OR($A111="",G$24=""),"",IF(COUNTIFS('AFA Rates'!$A$5:$A$1004,$A111,'AFA Rates'!$B$5:$B$1004,G$24)&gt;0,"✓",""))</f>
        <v/>
      </c>
      <c r="H111" s="57">
        <f>IF(OR($A111="",H$24=""),"",IF(COUNTIFS('AFA Rates'!$A$5:$A$1004,$A111,'AFA Rates'!$B$5:$B$1004,H$24)&gt;0,"✓",""))</f>
        <v/>
      </c>
      <c r="I111" s="57">
        <f>IF(OR($A111="",I$24=""),"",IF(COUNTIFS('AFA Rates'!$A$5:$A$1004,$A111,'AFA Rates'!$B$5:$B$1004,I$24)&gt;0,"✓",""))</f>
        <v/>
      </c>
      <c r="J111" s="57">
        <f>IF(OR($A111="",J$24=""),"",IF(COUNTIFS('AFA Rates'!$A$5:$A$1004,$A111,'AFA Rates'!$B$5:$B$1004,J$24)&gt;0,"✓",""))</f>
        <v/>
      </c>
      <c r="K111" s="57">
        <f>IF(OR($A111="",K$24=""),"",IF(COUNTIFS('AFA Rates'!$A$5:$A$1004,$A111,'AFA Rates'!$B$5:$B$1004,K$24)&gt;0,"✓",""))</f>
        <v/>
      </c>
      <c r="L111" s="57">
        <f>IF(OR($A111="",L$24=""),"",IF(COUNTIFS('AFA Rates'!$A$5:$A$1004,$A111,'AFA Rates'!$B$5:$B$1004,L$24)&gt;0,"✓",""))</f>
        <v/>
      </c>
      <c r="M111" s="57">
        <f>IF(OR($A111="",M$24=""),"",IF(COUNTIFS('AFA Rates'!$A$5:$A$1004,$A111,'AFA Rates'!$B$5:$B$1004,M$24)&gt;0,"✓",""))</f>
        <v/>
      </c>
    </row>
    <row r="112">
      <c r="A112" s="63">
        <f>IFERROR(INDEX(Firms!$A$5:$A$1004,MATCH(88,Firms!$S$5:$S$1004,0)),"")</f>
        <v/>
      </c>
      <c r="B112" s="57">
        <f>IF($A112="","",INDEX(Firms!$B$5:$B$1004,MATCH(88,Firms!$S$5:$S$1004,0)))</f>
        <v/>
      </c>
      <c r="C112" s="57">
        <f>IF($A112="","",COUNTIF('AFA Rates'!$A$5:$A$1004,$A112))</f>
        <v/>
      </c>
      <c r="D112" s="57">
        <f>IF(OR($A112="",D$24=""),"",IF(COUNTIFS('AFA Rates'!$A$5:$A$1004,$A112,'AFA Rates'!$B$5:$B$1004,D$24)&gt;0,"✓",""))</f>
        <v/>
      </c>
      <c r="E112" s="57">
        <f>IF(OR($A112="",E$24=""),"",IF(COUNTIFS('AFA Rates'!$A$5:$A$1004,$A112,'AFA Rates'!$B$5:$B$1004,E$24)&gt;0,"✓",""))</f>
        <v/>
      </c>
      <c r="F112" s="57">
        <f>IF(OR($A112="",F$24=""),"",IF(COUNTIFS('AFA Rates'!$A$5:$A$1004,$A112,'AFA Rates'!$B$5:$B$1004,F$24)&gt;0,"✓",""))</f>
        <v/>
      </c>
      <c r="G112" s="57">
        <f>IF(OR($A112="",G$24=""),"",IF(COUNTIFS('AFA Rates'!$A$5:$A$1004,$A112,'AFA Rates'!$B$5:$B$1004,G$24)&gt;0,"✓",""))</f>
        <v/>
      </c>
      <c r="H112" s="57">
        <f>IF(OR($A112="",H$24=""),"",IF(COUNTIFS('AFA Rates'!$A$5:$A$1004,$A112,'AFA Rates'!$B$5:$B$1004,H$24)&gt;0,"✓",""))</f>
        <v/>
      </c>
      <c r="I112" s="57">
        <f>IF(OR($A112="",I$24=""),"",IF(COUNTIFS('AFA Rates'!$A$5:$A$1004,$A112,'AFA Rates'!$B$5:$B$1004,I$24)&gt;0,"✓",""))</f>
        <v/>
      </c>
      <c r="J112" s="57">
        <f>IF(OR($A112="",J$24=""),"",IF(COUNTIFS('AFA Rates'!$A$5:$A$1004,$A112,'AFA Rates'!$B$5:$B$1004,J$24)&gt;0,"✓",""))</f>
        <v/>
      </c>
      <c r="K112" s="57">
        <f>IF(OR($A112="",K$24=""),"",IF(COUNTIFS('AFA Rates'!$A$5:$A$1004,$A112,'AFA Rates'!$B$5:$B$1004,K$24)&gt;0,"✓",""))</f>
        <v/>
      </c>
      <c r="L112" s="57">
        <f>IF(OR($A112="",L$24=""),"",IF(COUNTIFS('AFA Rates'!$A$5:$A$1004,$A112,'AFA Rates'!$B$5:$B$1004,L$24)&gt;0,"✓",""))</f>
        <v/>
      </c>
      <c r="M112" s="57">
        <f>IF(OR($A112="",M$24=""),"",IF(COUNTIFS('AFA Rates'!$A$5:$A$1004,$A112,'AFA Rates'!$B$5:$B$1004,M$24)&gt;0,"✓",""))</f>
        <v/>
      </c>
    </row>
    <row r="113">
      <c r="A113" s="63">
        <f>IFERROR(INDEX(Firms!$A$5:$A$1004,MATCH(89,Firms!$S$5:$S$1004,0)),"")</f>
        <v/>
      </c>
      <c r="B113" s="57">
        <f>IF($A113="","",INDEX(Firms!$B$5:$B$1004,MATCH(89,Firms!$S$5:$S$1004,0)))</f>
        <v/>
      </c>
      <c r="C113" s="57">
        <f>IF($A113="","",COUNTIF('AFA Rates'!$A$5:$A$1004,$A113))</f>
        <v/>
      </c>
      <c r="D113" s="57">
        <f>IF(OR($A113="",D$24=""),"",IF(COUNTIFS('AFA Rates'!$A$5:$A$1004,$A113,'AFA Rates'!$B$5:$B$1004,D$24)&gt;0,"✓",""))</f>
        <v/>
      </c>
      <c r="E113" s="57">
        <f>IF(OR($A113="",E$24=""),"",IF(COUNTIFS('AFA Rates'!$A$5:$A$1004,$A113,'AFA Rates'!$B$5:$B$1004,E$24)&gt;0,"✓",""))</f>
        <v/>
      </c>
      <c r="F113" s="57">
        <f>IF(OR($A113="",F$24=""),"",IF(COUNTIFS('AFA Rates'!$A$5:$A$1004,$A113,'AFA Rates'!$B$5:$B$1004,F$24)&gt;0,"✓",""))</f>
        <v/>
      </c>
      <c r="G113" s="57">
        <f>IF(OR($A113="",G$24=""),"",IF(COUNTIFS('AFA Rates'!$A$5:$A$1004,$A113,'AFA Rates'!$B$5:$B$1004,G$24)&gt;0,"✓",""))</f>
        <v/>
      </c>
      <c r="H113" s="57">
        <f>IF(OR($A113="",H$24=""),"",IF(COUNTIFS('AFA Rates'!$A$5:$A$1004,$A113,'AFA Rates'!$B$5:$B$1004,H$24)&gt;0,"✓",""))</f>
        <v/>
      </c>
      <c r="I113" s="57">
        <f>IF(OR($A113="",I$24=""),"",IF(COUNTIFS('AFA Rates'!$A$5:$A$1004,$A113,'AFA Rates'!$B$5:$B$1004,I$24)&gt;0,"✓",""))</f>
        <v/>
      </c>
      <c r="J113" s="57">
        <f>IF(OR($A113="",J$24=""),"",IF(COUNTIFS('AFA Rates'!$A$5:$A$1004,$A113,'AFA Rates'!$B$5:$B$1004,J$24)&gt;0,"✓",""))</f>
        <v/>
      </c>
      <c r="K113" s="57">
        <f>IF(OR($A113="",K$24=""),"",IF(COUNTIFS('AFA Rates'!$A$5:$A$1004,$A113,'AFA Rates'!$B$5:$B$1004,K$24)&gt;0,"✓",""))</f>
        <v/>
      </c>
      <c r="L113" s="57">
        <f>IF(OR($A113="",L$24=""),"",IF(COUNTIFS('AFA Rates'!$A$5:$A$1004,$A113,'AFA Rates'!$B$5:$B$1004,L$24)&gt;0,"✓",""))</f>
        <v/>
      </c>
      <c r="M113" s="57">
        <f>IF(OR($A113="",M$24=""),"",IF(COUNTIFS('AFA Rates'!$A$5:$A$1004,$A113,'AFA Rates'!$B$5:$B$1004,M$24)&gt;0,"✓",""))</f>
        <v/>
      </c>
    </row>
    <row r="114">
      <c r="A114" s="63">
        <f>IFERROR(INDEX(Firms!$A$5:$A$1004,MATCH(90,Firms!$S$5:$S$1004,0)),"")</f>
        <v/>
      </c>
      <c r="B114" s="57">
        <f>IF($A114="","",INDEX(Firms!$B$5:$B$1004,MATCH(90,Firms!$S$5:$S$1004,0)))</f>
        <v/>
      </c>
      <c r="C114" s="57">
        <f>IF($A114="","",COUNTIF('AFA Rates'!$A$5:$A$1004,$A114))</f>
        <v/>
      </c>
      <c r="D114" s="57">
        <f>IF(OR($A114="",D$24=""),"",IF(COUNTIFS('AFA Rates'!$A$5:$A$1004,$A114,'AFA Rates'!$B$5:$B$1004,D$24)&gt;0,"✓",""))</f>
        <v/>
      </c>
      <c r="E114" s="57">
        <f>IF(OR($A114="",E$24=""),"",IF(COUNTIFS('AFA Rates'!$A$5:$A$1004,$A114,'AFA Rates'!$B$5:$B$1004,E$24)&gt;0,"✓",""))</f>
        <v/>
      </c>
      <c r="F114" s="57">
        <f>IF(OR($A114="",F$24=""),"",IF(COUNTIFS('AFA Rates'!$A$5:$A$1004,$A114,'AFA Rates'!$B$5:$B$1004,F$24)&gt;0,"✓",""))</f>
        <v/>
      </c>
      <c r="G114" s="57">
        <f>IF(OR($A114="",G$24=""),"",IF(COUNTIFS('AFA Rates'!$A$5:$A$1004,$A114,'AFA Rates'!$B$5:$B$1004,G$24)&gt;0,"✓",""))</f>
        <v/>
      </c>
      <c r="H114" s="57">
        <f>IF(OR($A114="",H$24=""),"",IF(COUNTIFS('AFA Rates'!$A$5:$A$1004,$A114,'AFA Rates'!$B$5:$B$1004,H$24)&gt;0,"✓",""))</f>
        <v/>
      </c>
      <c r="I114" s="57">
        <f>IF(OR($A114="",I$24=""),"",IF(COUNTIFS('AFA Rates'!$A$5:$A$1004,$A114,'AFA Rates'!$B$5:$B$1004,I$24)&gt;0,"✓",""))</f>
        <v/>
      </c>
      <c r="J114" s="57">
        <f>IF(OR($A114="",J$24=""),"",IF(COUNTIFS('AFA Rates'!$A$5:$A$1004,$A114,'AFA Rates'!$B$5:$B$1004,J$24)&gt;0,"✓",""))</f>
        <v/>
      </c>
      <c r="K114" s="57">
        <f>IF(OR($A114="",K$24=""),"",IF(COUNTIFS('AFA Rates'!$A$5:$A$1004,$A114,'AFA Rates'!$B$5:$B$1004,K$24)&gt;0,"✓",""))</f>
        <v/>
      </c>
      <c r="L114" s="57">
        <f>IF(OR($A114="",L$24=""),"",IF(COUNTIFS('AFA Rates'!$A$5:$A$1004,$A114,'AFA Rates'!$B$5:$B$1004,L$24)&gt;0,"✓",""))</f>
        <v/>
      </c>
      <c r="M114" s="57">
        <f>IF(OR($A114="",M$24=""),"",IF(COUNTIFS('AFA Rates'!$A$5:$A$1004,$A114,'AFA Rates'!$B$5:$B$1004,M$24)&gt;0,"✓",""))</f>
        <v/>
      </c>
    </row>
    <row r="115">
      <c r="A115" s="63">
        <f>IFERROR(INDEX(Firms!$A$5:$A$1004,MATCH(91,Firms!$S$5:$S$1004,0)),"")</f>
        <v/>
      </c>
      <c r="B115" s="57">
        <f>IF($A115="","",INDEX(Firms!$B$5:$B$1004,MATCH(91,Firms!$S$5:$S$1004,0)))</f>
        <v/>
      </c>
      <c r="C115" s="57">
        <f>IF($A115="","",COUNTIF('AFA Rates'!$A$5:$A$1004,$A115))</f>
        <v/>
      </c>
      <c r="D115" s="57">
        <f>IF(OR($A115="",D$24=""),"",IF(COUNTIFS('AFA Rates'!$A$5:$A$1004,$A115,'AFA Rates'!$B$5:$B$1004,D$24)&gt;0,"✓",""))</f>
        <v/>
      </c>
      <c r="E115" s="57">
        <f>IF(OR($A115="",E$24=""),"",IF(COUNTIFS('AFA Rates'!$A$5:$A$1004,$A115,'AFA Rates'!$B$5:$B$1004,E$24)&gt;0,"✓",""))</f>
        <v/>
      </c>
      <c r="F115" s="57">
        <f>IF(OR($A115="",F$24=""),"",IF(COUNTIFS('AFA Rates'!$A$5:$A$1004,$A115,'AFA Rates'!$B$5:$B$1004,F$24)&gt;0,"✓",""))</f>
        <v/>
      </c>
      <c r="G115" s="57">
        <f>IF(OR($A115="",G$24=""),"",IF(COUNTIFS('AFA Rates'!$A$5:$A$1004,$A115,'AFA Rates'!$B$5:$B$1004,G$24)&gt;0,"✓",""))</f>
        <v/>
      </c>
      <c r="H115" s="57">
        <f>IF(OR($A115="",H$24=""),"",IF(COUNTIFS('AFA Rates'!$A$5:$A$1004,$A115,'AFA Rates'!$B$5:$B$1004,H$24)&gt;0,"✓",""))</f>
        <v/>
      </c>
      <c r="I115" s="57">
        <f>IF(OR($A115="",I$24=""),"",IF(COUNTIFS('AFA Rates'!$A$5:$A$1004,$A115,'AFA Rates'!$B$5:$B$1004,I$24)&gt;0,"✓",""))</f>
        <v/>
      </c>
      <c r="J115" s="57">
        <f>IF(OR($A115="",J$24=""),"",IF(COUNTIFS('AFA Rates'!$A$5:$A$1004,$A115,'AFA Rates'!$B$5:$B$1004,J$24)&gt;0,"✓",""))</f>
        <v/>
      </c>
      <c r="K115" s="57">
        <f>IF(OR($A115="",K$24=""),"",IF(COUNTIFS('AFA Rates'!$A$5:$A$1004,$A115,'AFA Rates'!$B$5:$B$1004,K$24)&gt;0,"✓",""))</f>
        <v/>
      </c>
      <c r="L115" s="57">
        <f>IF(OR($A115="",L$24=""),"",IF(COUNTIFS('AFA Rates'!$A$5:$A$1004,$A115,'AFA Rates'!$B$5:$B$1004,L$24)&gt;0,"✓",""))</f>
        <v/>
      </c>
      <c r="M115" s="57">
        <f>IF(OR($A115="",M$24=""),"",IF(COUNTIFS('AFA Rates'!$A$5:$A$1004,$A115,'AFA Rates'!$B$5:$B$1004,M$24)&gt;0,"✓",""))</f>
        <v/>
      </c>
    </row>
    <row r="116">
      <c r="A116" s="63">
        <f>IFERROR(INDEX(Firms!$A$5:$A$1004,MATCH(92,Firms!$S$5:$S$1004,0)),"")</f>
        <v/>
      </c>
      <c r="B116" s="57">
        <f>IF($A116="","",INDEX(Firms!$B$5:$B$1004,MATCH(92,Firms!$S$5:$S$1004,0)))</f>
        <v/>
      </c>
      <c r="C116" s="57">
        <f>IF($A116="","",COUNTIF('AFA Rates'!$A$5:$A$1004,$A116))</f>
        <v/>
      </c>
      <c r="D116" s="57">
        <f>IF(OR($A116="",D$24=""),"",IF(COUNTIFS('AFA Rates'!$A$5:$A$1004,$A116,'AFA Rates'!$B$5:$B$1004,D$24)&gt;0,"✓",""))</f>
        <v/>
      </c>
      <c r="E116" s="57">
        <f>IF(OR($A116="",E$24=""),"",IF(COUNTIFS('AFA Rates'!$A$5:$A$1004,$A116,'AFA Rates'!$B$5:$B$1004,E$24)&gt;0,"✓",""))</f>
        <v/>
      </c>
      <c r="F116" s="57">
        <f>IF(OR($A116="",F$24=""),"",IF(COUNTIFS('AFA Rates'!$A$5:$A$1004,$A116,'AFA Rates'!$B$5:$B$1004,F$24)&gt;0,"✓",""))</f>
        <v/>
      </c>
      <c r="G116" s="57">
        <f>IF(OR($A116="",G$24=""),"",IF(COUNTIFS('AFA Rates'!$A$5:$A$1004,$A116,'AFA Rates'!$B$5:$B$1004,G$24)&gt;0,"✓",""))</f>
        <v/>
      </c>
      <c r="H116" s="57">
        <f>IF(OR($A116="",H$24=""),"",IF(COUNTIFS('AFA Rates'!$A$5:$A$1004,$A116,'AFA Rates'!$B$5:$B$1004,H$24)&gt;0,"✓",""))</f>
        <v/>
      </c>
      <c r="I116" s="57">
        <f>IF(OR($A116="",I$24=""),"",IF(COUNTIFS('AFA Rates'!$A$5:$A$1004,$A116,'AFA Rates'!$B$5:$B$1004,I$24)&gt;0,"✓",""))</f>
        <v/>
      </c>
      <c r="J116" s="57">
        <f>IF(OR($A116="",J$24=""),"",IF(COUNTIFS('AFA Rates'!$A$5:$A$1004,$A116,'AFA Rates'!$B$5:$B$1004,J$24)&gt;0,"✓",""))</f>
        <v/>
      </c>
      <c r="K116" s="57">
        <f>IF(OR($A116="",K$24=""),"",IF(COUNTIFS('AFA Rates'!$A$5:$A$1004,$A116,'AFA Rates'!$B$5:$B$1004,K$24)&gt;0,"✓",""))</f>
        <v/>
      </c>
      <c r="L116" s="57">
        <f>IF(OR($A116="",L$24=""),"",IF(COUNTIFS('AFA Rates'!$A$5:$A$1004,$A116,'AFA Rates'!$B$5:$B$1004,L$24)&gt;0,"✓",""))</f>
        <v/>
      </c>
      <c r="M116" s="57">
        <f>IF(OR($A116="",M$24=""),"",IF(COUNTIFS('AFA Rates'!$A$5:$A$1004,$A116,'AFA Rates'!$B$5:$B$1004,M$24)&gt;0,"✓",""))</f>
        <v/>
      </c>
    </row>
    <row r="117">
      <c r="A117" s="63">
        <f>IFERROR(INDEX(Firms!$A$5:$A$1004,MATCH(93,Firms!$S$5:$S$1004,0)),"")</f>
        <v/>
      </c>
      <c r="B117" s="57">
        <f>IF($A117="","",INDEX(Firms!$B$5:$B$1004,MATCH(93,Firms!$S$5:$S$1004,0)))</f>
        <v/>
      </c>
      <c r="C117" s="57">
        <f>IF($A117="","",COUNTIF('AFA Rates'!$A$5:$A$1004,$A117))</f>
        <v/>
      </c>
      <c r="D117" s="57">
        <f>IF(OR($A117="",D$24=""),"",IF(COUNTIFS('AFA Rates'!$A$5:$A$1004,$A117,'AFA Rates'!$B$5:$B$1004,D$24)&gt;0,"✓",""))</f>
        <v/>
      </c>
      <c r="E117" s="57">
        <f>IF(OR($A117="",E$24=""),"",IF(COUNTIFS('AFA Rates'!$A$5:$A$1004,$A117,'AFA Rates'!$B$5:$B$1004,E$24)&gt;0,"✓",""))</f>
        <v/>
      </c>
      <c r="F117" s="57">
        <f>IF(OR($A117="",F$24=""),"",IF(COUNTIFS('AFA Rates'!$A$5:$A$1004,$A117,'AFA Rates'!$B$5:$B$1004,F$24)&gt;0,"✓",""))</f>
        <v/>
      </c>
      <c r="G117" s="57">
        <f>IF(OR($A117="",G$24=""),"",IF(COUNTIFS('AFA Rates'!$A$5:$A$1004,$A117,'AFA Rates'!$B$5:$B$1004,G$24)&gt;0,"✓",""))</f>
        <v/>
      </c>
      <c r="H117" s="57">
        <f>IF(OR($A117="",H$24=""),"",IF(COUNTIFS('AFA Rates'!$A$5:$A$1004,$A117,'AFA Rates'!$B$5:$B$1004,H$24)&gt;0,"✓",""))</f>
        <v/>
      </c>
      <c r="I117" s="57">
        <f>IF(OR($A117="",I$24=""),"",IF(COUNTIFS('AFA Rates'!$A$5:$A$1004,$A117,'AFA Rates'!$B$5:$B$1004,I$24)&gt;0,"✓",""))</f>
        <v/>
      </c>
      <c r="J117" s="57">
        <f>IF(OR($A117="",J$24=""),"",IF(COUNTIFS('AFA Rates'!$A$5:$A$1004,$A117,'AFA Rates'!$B$5:$B$1004,J$24)&gt;0,"✓",""))</f>
        <v/>
      </c>
      <c r="K117" s="57">
        <f>IF(OR($A117="",K$24=""),"",IF(COUNTIFS('AFA Rates'!$A$5:$A$1004,$A117,'AFA Rates'!$B$5:$B$1004,K$24)&gt;0,"✓",""))</f>
        <v/>
      </c>
      <c r="L117" s="57">
        <f>IF(OR($A117="",L$24=""),"",IF(COUNTIFS('AFA Rates'!$A$5:$A$1004,$A117,'AFA Rates'!$B$5:$B$1004,L$24)&gt;0,"✓",""))</f>
        <v/>
      </c>
      <c r="M117" s="57">
        <f>IF(OR($A117="",M$24=""),"",IF(COUNTIFS('AFA Rates'!$A$5:$A$1004,$A117,'AFA Rates'!$B$5:$B$1004,M$24)&gt;0,"✓",""))</f>
        <v/>
      </c>
    </row>
    <row r="118">
      <c r="A118" s="63">
        <f>IFERROR(INDEX(Firms!$A$5:$A$1004,MATCH(94,Firms!$S$5:$S$1004,0)),"")</f>
        <v/>
      </c>
      <c r="B118" s="57">
        <f>IF($A118="","",INDEX(Firms!$B$5:$B$1004,MATCH(94,Firms!$S$5:$S$1004,0)))</f>
        <v/>
      </c>
      <c r="C118" s="57">
        <f>IF($A118="","",COUNTIF('AFA Rates'!$A$5:$A$1004,$A118))</f>
        <v/>
      </c>
      <c r="D118" s="57">
        <f>IF(OR($A118="",D$24=""),"",IF(COUNTIFS('AFA Rates'!$A$5:$A$1004,$A118,'AFA Rates'!$B$5:$B$1004,D$24)&gt;0,"✓",""))</f>
        <v/>
      </c>
      <c r="E118" s="57">
        <f>IF(OR($A118="",E$24=""),"",IF(COUNTIFS('AFA Rates'!$A$5:$A$1004,$A118,'AFA Rates'!$B$5:$B$1004,E$24)&gt;0,"✓",""))</f>
        <v/>
      </c>
      <c r="F118" s="57">
        <f>IF(OR($A118="",F$24=""),"",IF(COUNTIFS('AFA Rates'!$A$5:$A$1004,$A118,'AFA Rates'!$B$5:$B$1004,F$24)&gt;0,"✓",""))</f>
        <v/>
      </c>
      <c r="G118" s="57">
        <f>IF(OR($A118="",G$24=""),"",IF(COUNTIFS('AFA Rates'!$A$5:$A$1004,$A118,'AFA Rates'!$B$5:$B$1004,G$24)&gt;0,"✓",""))</f>
        <v/>
      </c>
      <c r="H118" s="57">
        <f>IF(OR($A118="",H$24=""),"",IF(COUNTIFS('AFA Rates'!$A$5:$A$1004,$A118,'AFA Rates'!$B$5:$B$1004,H$24)&gt;0,"✓",""))</f>
        <v/>
      </c>
      <c r="I118" s="57">
        <f>IF(OR($A118="",I$24=""),"",IF(COUNTIFS('AFA Rates'!$A$5:$A$1004,$A118,'AFA Rates'!$B$5:$B$1004,I$24)&gt;0,"✓",""))</f>
        <v/>
      </c>
      <c r="J118" s="57">
        <f>IF(OR($A118="",J$24=""),"",IF(COUNTIFS('AFA Rates'!$A$5:$A$1004,$A118,'AFA Rates'!$B$5:$B$1004,J$24)&gt;0,"✓",""))</f>
        <v/>
      </c>
      <c r="K118" s="57">
        <f>IF(OR($A118="",K$24=""),"",IF(COUNTIFS('AFA Rates'!$A$5:$A$1004,$A118,'AFA Rates'!$B$5:$B$1004,K$24)&gt;0,"✓",""))</f>
        <v/>
      </c>
      <c r="L118" s="57">
        <f>IF(OR($A118="",L$24=""),"",IF(COUNTIFS('AFA Rates'!$A$5:$A$1004,$A118,'AFA Rates'!$B$5:$B$1004,L$24)&gt;0,"✓",""))</f>
        <v/>
      </c>
      <c r="M118" s="57">
        <f>IF(OR($A118="",M$24=""),"",IF(COUNTIFS('AFA Rates'!$A$5:$A$1004,$A118,'AFA Rates'!$B$5:$B$1004,M$24)&gt;0,"✓",""))</f>
        <v/>
      </c>
    </row>
    <row r="119">
      <c r="A119" s="63">
        <f>IFERROR(INDEX(Firms!$A$5:$A$1004,MATCH(95,Firms!$S$5:$S$1004,0)),"")</f>
        <v/>
      </c>
      <c r="B119" s="57">
        <f>IF($A119="","",INDEX(Firms!$B$5:$B$1004,MATCH(95,Firms!$S$5:$S$1004,0)))</f>
        <v/>
      </c>
      <c r="C119" s="57">
        <f>IF($A119="","",COUNTIF('AFA Rates'!$A$5:$A$1004,$A119))</f>
        <v/>
      </c>
      <c r="D119" s="57">
        <f>IF(OR($A119="",D$24=""),"",IF(COUNTIFS('AFA Rates'!$A$5:$A$1004,$A119,'AFA Rates'!$B$5:$B$1004,D$24)&gt;0,"✓",""))</f>
        <v/>
      </c>
      <c r="E119" s="57">
        <f>IF(OR($A119="",E$24=""),"",IF(COUNTIFS('AFA Rates'!$A$5:$A$1004,$A119,'AFA Rates'!$B$5:$B$1004,E$24)&gt;0,"✓",""))</f>
        <v/>
      </c>
      <c r="F119" s="57">
        <f>IF(OR($A119="",F$24=""),"",IF(COUNTIFS('AFA Rates'!$A$5:$A$1004,$A119,'AFA Rates'!$B$5:$B$1004,F$24)&gt;0,"✓",""))</f>
        <v/>
      </c>
      <c r="G119" s="57">
        <f>IF(OR($A119="",G$24=""),"",IF(COUNTIFS('AFA Rates'!$A$5:$A$1004,$A119,'AFA Rates'!$B$5:$B$1004,G$24)&gt;0,"✓",""))</f>
        <v/>
      </c>
      <c r="H119" s="57">
        <f>IF(OR($A119="",H$24=""),"",IF(COUNTIFS('AFA Rates'!$A$5:$A$1004,$A119,'AFA Rates'!$B$5:$B$1004,H$24)&gt;0,"✓",""))</f>
        <v/>
      </c>
      <c r="I119" s="57">
        <f>IF(OR($A119="",I$24=""),"",IF(COUNTIFS('AFA Rates'!$A$5:$A$1004,$A119,'AFA Rates'!$B$5:$B$1004,I$24)&gt;0,"✓",""))</f>
        <v/>
      </c>
      <c r="J119" s="57">
        <f>IF(OR($A119="",J$24=""),"",IF(COUNTIFS('AFA Rates'!$A$5:$A$1004,$A119,'AFA Rates'!$B$5:$B$1004,J$24)&gt;0,"✓",""))</f>
        <v/>
      </c>
      <c r="K119" s="57">
        <f>IF(OR($A119="",K$24=""),"",IF(COUNTIFS('AFA Rates'!$A$5:$A$1004,$A119,'AFA Rates'!$B$5:$B$1004,K$24)&gt;0,"✓",""))</f>
        <v/>
      </c>
      <c r="L119" s="57">
        <f>IF(OR($A119="",L$24=""),"",IF(COUNTIFS('AFA Rates'!$A$5:$A$1004,$A119,'AFA Rates'!$B$5:$B$1004,L$24)&gt;0,"✓",""))</f>
        <v/>
      </c>
      <c r="M119" s="57">
        <f>IF(OR($A119="",M$24=""),"",IF(COUNTIFS('AFA Rates'!$A$5:$A$1004,$A119,'AFA Rates'!$B$5:$B$1004,M$24)&gt;0,"✓",""))</f>
        <v/>
      </c>
    </row>
    <row r="120">
      <c r="A120" s="63">
        <f>IFERROR(INDEX(Firms!$A$5:$A$1004,MATCH(96,Firms!$S$5:$S$1004,0)),"")</f>
        <v/>
      </c>
      <c r="B120" s="57">
        <f>IF($A120="","",INDEX(Firms!$B$5:$B$1004,MATCH(96,Firms!$S$5:$S$1004,0)))</f>
        <v/>
      </c>
      <c r="C120" s="57">
        <f>IF($A120="","",COUNTIF('AFA Rates'!$A$5:$A$1004,$A120))</f>
        <v/>
      </c>
      <c r="D120" s="57">
        <f>IF(OR($A120="",D$24=""),"",IF(COUNTIFS('AFA Rates'!$A$5:$A$1004,$A120,'AFA Rates'!$B$5:$B$1004,D$24)&gt;0,"✓",""))</f>
        <v/>
      </c>
      <c r="E120" s="57">
        <f>IF(OR($A120="",E$24=""),"",IF(COUNTIFS('AFA Rates'!$A$5:$A$1004,$A120,'AFA Rates'!$B$5:$B$1004,E$24)&gt;0,"✓",""))</f>
        <v/>
      </c>
      <c r="F120" s="57">
        <f>IF(OR($A120="",F$24=""),"",IF(COUNTIFS('AFA Rates'!$A$5:$A$1004,$A120,'AFA Rates'!$B$5:$B$1004,F$24)&gt;0,"✓",""))</f>
        <v/>
      </c>
      <c r="G120" s="57">
        <f>IF(OR($A120="",G$24=""),"",IF(COUNTIFS('AFA Rates'!$A$5:$A$1004,$A120,'AFA Rates'!$B$5:$B$1004,G$24)&gt;0,"✓",""))</f>
        <v/>
      </c>
      <c r="H120" s="57">
        <f>IF(OR($A120="",H$24=""),"",IF(COUNTIFS('AFA Rates'!$A$5:$A$1004,$A120,'AFA Rates'!$B$5:$B$1004,H$24)&gt;0,"✓",""))</f>
        <v/>
      </c>
      <c r="I120" s="57">
        <f>IF(OR($A120="",I$24=""),"",IF(COUNTIFS('AFA Rates'!$A$5:$A$1004,$A120,'AFA Rates'!$B$5:$B$1004,I$24)&gt;0,"✓",""))</f>
        <v/>
      </c>
      <c r="J120" s="57">
        <f>IF(OR($A120="",J$24=""),"",IF(COUNTIFS('AFA Rates'!$A$5:$A$1004,$A120,'AFA Rates'!$B$5:$B$1004,J$24)&gt;0,"✓",""))</f>
        <v/>
      </c>
      <c r="K120" s="57">
        <f>IF(OR($A120="",K$24=""),"",IF(COUNTIFS('AFA Rates'!$A$5:$A$1004,$A120,'AFA Rates'!$B$5:$B$1004,K$24)&gt;0,"✓",""))</f>
        <v/>
      </c>
      <c r="L120" s="57">
        <f>IF(OR($A120="",L$24=""),"",IF(COUNTIFS('AFA Rates'!$A$5:$A$1004,$A120,'AFA Rates'!$B$5:$B$1004,L$24)&gt;0,"✓",""))</f>
        <v/>
      </c>
      <c r="M120" s="57">
        <f>IF(OR($A120="",M$24=""),"",IF(COUNTIFS('AFA Rates'!$A$5:$A$1004,$A120,'AFA Rates'!$B$5:$B$1004,M$24)&gt;0,"✓",""))</f>
        <v/>
      </c>
    </row>
    <row r="121">
      <c r="A121" s="63">
        <f>IFERROR(INDEX(Firms!$A$5:$A$1004,MATCH(97,Firms!$S$5:$S$1004,0)),"")</f>
        <v/>
      </c>
      <c r="B121" s="57">
        <f>IF($A121="","",INDEX(Firms!$B$5:$B$1004,MATCH(97,Firms!$S$5:$S$1004,0)))</f>
        <v/>
      </c>
      <c r="C121" s="57">
        <f>IF($A121="","",COUNTIF('AFA Rates'!$A$5:$A$1004,$A121))</f>
        <v/>
      </c>
      <c r="D121" s="57">
        <f>IF(OR($A121="",D$24=""),"",IF(COUNTIFS('AFA Rates'!$A$5:$A$1004,$A121,'AFA Rates'!$B$5:$B$1004,D$24)&gt;0,"✓",""))</f>
        <v/>
      </c>
      <c r="E121" s="57">
        <f>IF(OR($A121="",E$24=""),"",IF(COUNTIFS('AFA Rates'!$A$5:$A$1004,$A121,'AFA Rates'!$B$5:$B$1004,E$24)&gt;0,"✓",""))</f>
        <v/>
      </c>
      <c r="F121" s="57">
        <f>IF(OR($A121="",F$24=""),"",IF(COUNTIFS('AFA Rates'!$A$5:$A$1004,$A121,'AFA Rates'!$B$5:$B$1004,F$24)&gt;0,"✓",""))</f>
        <v/>
      </c>
      <c r="G121" s="57">
        <f>IF(OR($A121="",G$24=""),"",IF(COUNTIFS('AFA Rates'!$A$5:$A$1004,$A121,'AFA Rates'!$B$5:$B$1004,G$24)&gt;0,"✓",""))</f>
        <v/>
      </c>
      <c r="H121" s="57">
        <f>IF(OR($A121="",H$24=""),"",IF(COUNTIFS('AFA Rates'!$A$5:$A$1004,$A121,'AFA Rates'!$B$5:$B$1004,H$24)&gt;0,"✓",""))</f>
        <v/>
      </c>
      <c r="I121" s="57">
        <f>IF(OR($A121="",I$24=""),"",IF(COUNTIFS('AFA Rates'!$A$5:$A$1004,$A121,'AFA Rates'!$B$5:$B$1004,I$24)&gt;0,"✓",""))</f>
        <v/>
      </c>
      <c r="J121" s="57">
        <f>IF(OR($A121="",J$24=""),"",IF(COUNTIFS('AFA Rates'!$A$5:$A$1004,$A121,'AFA Rates'!$B$5:$B$1004,J$24)&gt;0,"✓",""))</f>
        <v/>
      </c>
      <c r="K121" s="57">
        <f>IF(OR($A121="",K$24=""),"",IF(COUNTIFS('AFA Rates'!$A$5:$A$1004,$A121,'AFA Rates'!$B$5:$B$1004,K$24)&gt;0,"✓",""))</f>
        <v/>
      </c>
      <c r="L121" s="57">
        <f>IF(OR($A121="",L$24=""),"",IF(COUNTIFS('AFA Rates'!$A$5:$A$1004,$A121,'AFA Rates'!$B$5:$B$1004,L$24)&gt;0,"✓",""))</f>
        <v/>
      </c>
      <c r="M121" s="57">
        <f>IF(OR($A121="",M$24=""),"",IF(COUNTIFS('AFA Rates'!$A$5:$A$1004,$A121,'AFA Rates'!$B$5:$B$1004,M$24)&gt;0,"✓",""))</f>
        <v/>
      </c>
    </row>
    <row r="122">
      <c r="A122" s="63">
        <f>IFERROR(INDEX(Firms!$A$5:$A$1004,MATCH(98,Firms!$S$5:$S$1004,0)),"")</f>
        <v/>
      </c>
      <c r="B122" s="57">
        <f>IF($A122="","",INDEX(Firms!$B$5:$B$1004,MATCH(98,Firms!$S$5:$S$1004,0)))</f>
        <v/>
      </c>
      <c r="C122" s="57">
        <f>IF($A122="","",COUNTIF('AFA Rates'!$A$5:$A$1004,$A122))</f>
        <v/>
      </c>
      <c r="D122" s="57">
        <f>IF(OR($A122="",D$24=""),"",IF(COUNTIFS('AFA Rates'!$A$5:$A$1004,$A122,'AFA Rates'!$B$5:$B$1004,D$24)&gt;0,"✓",""))</f>
        <v/>
      </c>
      <c r="E122" s="57">
        <f>IF(OR($A122="",E$24=""),"",IF(COUNTIFS('AFA Rates'!$A$5:$A$1004,$A122,'AFA Rates'!$B$5:$B$1004,E$24)&gt;0,"✓",""))</f>
        <v/>
      </c>
      <c r="F122" s="57">
        <f>IF(OR($A122="",F$24=""),"",IF(COUNTIFS('AFA Rates'!$A$5:$A$1004,$A122,'AFA Rates'!$B$5:$B$1004,F$24)&gt;0,"✓",""))</f>
        <v/>
      </c>
      <c r="G122" s="57">
        <f>IF(OR($A122="",G$24=""),"",IF(COUNTIFS('AFA Rates'!$A$5:$A$1004,$A122,'AFA Rates'!$B$5:$B$1004,G$24)&gt;0,"✓",""))</f>
        <v/>
      </c>
      <c r="H122" s="57">
        <f>IF(OR($A122="",H$24=""),"",IF(COUNTIFS('AFA Rates'!$A$5:$A$1004,$A122,'AFA Rates'!$B$5:$B$1004,H$24)&gt;0,"✓",""))</f>
        <v/>
      </c>
      <c r="I122" s="57">
        <f>IF(OR($A122="",I$24=""),"",IF(COUNTIFS('AFA Rates'!$A$5:$A$1004,$A122,'AFA Rates'!$B$5:$B$1004,I$24)&gt;0,"✓",""))</f>
        <v/>
      </c>
      <c r="J122" s="57">
        <f>IF(OR($A122="",J$24=""),"",IF(COUNTIFS('AFA Rates'!$A$5:$A$1004,$A122,'AFA Rates'!$B$5:$B$1004,J$24)&gt;0,"✓",""))</f>
        <v/>
      </c>
      <c r="K122" s="57">
        <f>IF(OR($A122="",K$24=""),"",IF(COUNTIFS('AFA Rates'!$A$5:$A$1004,$A122,'AFA Rates'!$B$5:$B$1004,K$24)&gt;0,"✓",""))</f>
        <v/>
      </c>
      <c r="L122" s="57">
        <f>IF(OR($A122="",L$24=""),"",IF(COUNTIFS('AFA Rates'!$A$5:$A$1004,$A122,'AFA Rates'!$B$5:$B$1004,L$24)&gt;0,"✓",""))</f>
        <v/>
      </c>
      <c r="M122" s="57">
        <f>IF(OR($A122="",M$24=""),"",IF(COUNTIFS('AFA Rates'!$A$5:$A$1004,$A122,'AFA Rates'!$B$5:$B$1004,M$24)&gt;0,"✓",""))</f>
        <v/>
      </c>
    </row>
    <row r="123">
      <c r="A123" s="63">
        <f>IFERROR(INDEX(Firms!$A$5:$A$1004,MATCH(99,Firms!$S$5:$S$1004,0)),"")</f>
        <v/>
      </c>
      <c r="B123" s="57">
        <f>IF($A123="","",INDEX(Firms!$B$5:$B$1004,MATCH(99,Firms!$S$5:$S$1004,0)))</f>
        <v/>
      </c>
      <c r="C123" s="57">
        <f>IF($A123="","",COUNTIF('AFA Rates'!$A$5:$A$1004,$A123))</f>
        <v/>
      </c>
      <c r="D123" s="57">
        <f>IF(OR($A123="",D$24=""),"",IF(COUNTIFS('AFA Rates'!$A$5:$A$1004,$A123,'AFA Rates'!$B$5:$B$1004,D$24)&gt;0,"✓",""))</f>
        <v/>
      </c>
      <c r="E123" s="57">
        <f>IF(OR($A123="",E$24=""),"",IF(COUNTIFS('AFA Rates'!$A$5:$A$1004,$A123,'AFA Rates'!$B$5:$B$1004,E$24)&gt;0,"✓",""))</f>
        <v/>
      </c>
      <c r="F123" s="57">
        <f>IF(OR($A123="",F$24=""),"",IF(COUNTIFS('AFA Rates'!$A$5:$A$1004,$A123,'AFA Rates'!$B$5:$B$1004,F$24)&gt;0,"✓",""))</f>
        <v/>
      </c>
      <c r="G123" s="57">
        <f>IF(OR($A123="",G$24=""),"",IF(COUNTIFS('AFA Rates'!$A$5:$A$1004,$A123,'AFA Rates'!$B$5:$B$1004,G$24)&gt;0,"✓",""))</f>
        <v/>
      </c>
      <c r="H123" s="57">
        <f>IF(OR($A123="",H$24=""),"",IF(COUNTIFS('AFA Rates'!$A$5:$A$1004,$A123,'AFA Rates'!$B$5:$B$1004,H$24)&gt;0,"✓",""))</f>
        <v/>
      </c>
      <c r="I123" s="57">
        <f>IF(OR($A123="",I$24=""),"",IF(COUNTIFS('AFA Rates'!$A$5:$A$1004,$A123,'AFA Rates'!$B$5:$B$1004,I$24)&gt;0,"✓",""))</f>
        <v/>
      </c>
      <c r="J123" s="57">
        <f>IF(OR($A123="",J$24=""),"",IF(COUNTIFS('AFA Rates'!$A$5:$A$1004,$A123,'AFA Rates'!$B$5:$B$1004,J$24)&gt;0,"✓",""))</f>
        <v/>
      </c>
      <c r="K123" s="57">
        <f>IF(OR($A123="",K$24=""),"",IF(COUNTIFS('AFA Rates'!$A$5:$A$1004,$A123,'AFA Rates'!$B$5:$B$1004,K$24)&gt;0,"✓",""))</f>
        <v/>
      </c>
      <c r="L123" s="57">
        <f>IF(OR($A123="",L$24=""),"",IF(COUNTIFS('AFA Rates'!$A$5:$A$1004,$A123,'AFA Rates'!$B$5:$B$1004,L$24)&gt;0,"✓",""))</f>
        <v/>
      </c>
      <c r="M123" s="57">
        <f>IF(OR($A123="",M$24=""),"",IF(COUNTIFS('AFA Rates'!$A$5:$A$1004,$A123,'AFA Rates'!$B$5:$B$1004,M$24)&gt;0,"✓",""))</f>
        <v/>
      </c>
    </row>
    <row r="124">
      <c r="A124" s="63">
        <f>IFERROR(INDEX(Firms!$A$5:$A$1004,MATCH(100,Firms!$S$5:$S$1004,0)),"")</f>
        <v/>
      </c>
      <c r="B124" s="57">
        <f>IF($A124="","",INDEX(Firms!$B$5:$B$1004,MATCH(100,Firms!$S$5:$S$1004,0)))</f>
        <v/>
      </c>
      <c r="C124" s="57">
        <f>IF($A124="","",COUNTIF('AFA Rates'!$A$5:$A$1004,$A124))</f>
        <v/>
      </c>
      <c r="D124" s="57">
        <f>IF(OR($A124="",D$24=""),"",IF(COUNTIFS('AFA Rates'!$A$5:$A$1004,$A124,'AFA Rates'!$B$5:$B$1004,D$24)&gt;0,"✓",""))</f>
        <v/>
      </c>
      <c r="E124" s="57">
        <f>IF(OR($A124="",E$24=""),"",IF(COUNTIFS('AFA Rates'!$A$5:$A$1004,$A124,'AFA Rates'!$B$5:$B$1004,E$24)&gt;0,"✓",""))</f>
        <v/>
      </c>
      <c r="F124" s="57">
        <f>IF(OR($A124="",F$24=""),"",IF(COUNTIFS('AFA Rates'!$A$5:$A$1004,$A124,'AFA Rates'!$B$5:$B$1004,F$24)&gt;0,"✓",""))</f>
        <v/>
      </c>
      <c r="G124" s="57">
        <f>IF(OR($A124="",G$24=""),"",IF(COUNTIFS('AFA Rates'!$A$5:$A$1004,$A124,'AFA Rates'!$B$5:$B$1004,G$24)&gt;0,"✓",""))</f>
        <v/>
      </c>
      <c r="H124" s="57">
        <f>IF(OR($A124="",H$24=""),"",IF(COUNTIFS('AFA Rates'!$A$5:$A$1004,$A124,'AFA Rates'!$B$5:$B$1004,H$24)&gt;0,"✓",""))</f>
        <v/>
      </c>
      <c r="I124" s="57">
        <f>IF(OR($A124="",I$24=""),"",IF(COUNTIFS('AFA Rates'!$A$5:$A$1004,$A124,'AFA Rates'!$B$5:$B$1004,I$24)&gt;0,"✓",""))</f>
        <v/>
      </c>
      <c r="J124" s="57">
        <f>IF(OR($A124="",J$24=""),"",IF(COUNTIFS('AFA Rates'!$A$5:$A$1004,$A124,'AFA Rates'!$B$5:$B$1004,J$24)&gt;0,"✓",""))</f>
        <v/>
      </c>
      <c r="K124" s="57">
        <f>IF(OR($A124="",K$24=""),"",IF(COUNTIFS('AFA Rates'!$A$5:$A$1004,$A124,'AFA Rates'!$B$5:$B$1004,K$24)&gt;0,"✓",""))</f>
        <v/>
      </c>
      <c r="L124" s="57">
        <f>IF(OR($A124="",L$24=""),"",IF(COUNTIFS('AFA Rates'!$A$5:$A$1004,$A124,'AFA Rates'!$B$5:$B$1004,L$24)&gt;0,"✓",""))</f>
        <v/>
      </c>
      <c r="M124" s="57">
        <f>IF(OR($A124="",M$24=""),"",IF(COUNTIFS('AFA Rates'!$A$5:$A$1004,$A124,'AFA Rates'!$B$5:$B$1004,M$24)&gt;0,"✓",""))</f>
        <v/>
      </c>
    </row>
    <row r="125">
      <c r="A125" s="63">
        <f>IFERROR(INDEX(Firms!$A$5:$A$1004,MATCH(101,Firms!$S$5:$S$1004,0)),"")</f>
        <v/>
      </c>
      <c r="B125" s="57">
        <f>IF($A125="","",INDEX(Firms!$B$5:$B$1004,MATCH(101,Firms!$S$5:$S$1004,0)))</f>
        <v/>
      </c>
      <c r="C125" s="57">
        <f>IF($A125="","",COUNTIF('AFA Rates'!$A$5:$A$1004,$A125))</f>
        <v/>
      </c>
      <c r="D125" s="57">
        <f>IF(OR($A125="",D$24=""),"",IF(COUNTIFS('AFA Rates'!$A$5:$A$1004,$A125,'AFA Rates'!$B$5:$B$1004,D$24)&gt;0,"✓",""))</f>
        <v/>
      </c>
      <c r="E125" s="57">
        <f>IF(OR($A125="",E$24=""),"",IF(COUNTIFS('AFA Rates'!$A$5:$A$1004,$A125,'AFA Rates'!$B$5:$B$1004,E$24)&gt;0,"✓",""))</f>
        <v/>
      </c>
      <c r="F125" s="57">
        <f>IF(OR($A125="",F$24=""),"",IF(COUNTIFS('AFA Rates'!$A$5:$A$1004,$A125,'AFA Rates'!$B$5:$B$1004,F$24)&gt;0,"✓",""))</f>
        <v/>
      </c>
      <c r="G125" s="57">
        <f>IF(OR($A125="",G$24=""),"",IF(COUNTIFS('AFA Rates'!$A$5:$A$1004,$A125,'AFA Rates'!$B$5:$B$1004,G$24)&gt;0,"✓",""))</f>
        <v/>
      </c>
      <c r="H125" s="57">
        <f>IF(OR($A125="",H$24=""),"",IF(COUNTIFS('AFA Rates'!$A$5:$A$1004,$A125,'AFA Rates'!$B$5:$B$1004,H$24)&gt;0,"✓",""))</f>
        <v/>
      </c>
      <c r="I125" s="57">
        <f>IF(OR($A125="",I$24=""),"",IF(COUNTIFS('AFA Rates'!$A$5:$A$1004,$A125,'AFA Rates'!$B$5:$B$1004,I$24)&gt;0,"✓",""))</f>
        <v/>
      </c>
      <c r="J125" s="57">
        <f>IF(OR($A125="",J$24=""),"",IF(COUNTIFS('AFA Rates'!$A$5:$A$1004,$A125,'AFA Rates'!$B$5:$B$1004,J$24)&gt;0,"✓",""))</f>
        <v/>
      </c>
      <c r="K125" s="57">
        <f>IF(OR($A125="",K$24=""),"",IF(COUNTIFS('AFA Rates'!$A$5:$A$1004,$A125,'AFA Rates'!$B$5:$B$1004,K$24)&gt;0,"✓",""))</f>
        <v/>
      </c>
      <c r="L125" s="57">
        <f>IF(OR($A125="",L$24=""),"",IF(COUNTIFS('AFA Rates'!$A$5:$A$1004,$A125,'AFA Rates'!$B$5:$B$1004,L$24)&gt;0,"✓",""))</f>
        <v/>
      </c>
      <c r="M125" s="57">
        <f>IF(OR($A125="",M$24=""),"",IF(COUNTIFS('AFA Rates'!$A$5:$A$1004,$A125,'AFA Rates'!$B$5:$B$1004,M$24)&gt;0,"✓",""))</f>
        <v/>
      </c>
    </row>
    <row r="126">
      <c r="A126" s="63">
        <f>IFERROR(INDEX(Firms!$A$5:$A$1004,MATCH(102,Firms!$S$5:$S$1004,0)),"")</f>
        <v/>
      </c>
      <c r="B126" s="57">
        <f>IF($A126="","",INDEX(Firms!$B$5:$B$1004,MATCH(102,Firms!$S$5:$S$1004,0)))</f>
        <v/>
      </c>
      <c r="C126" s="57">
        <f>IF($A126="","",COUNTIF('AFA Rates'!$A$5:$A$1004,$A126))</f>
        <v/>
      </c>
      <c r="D126" s="57">
        <f>IF(OR($A126="",D$24=""),"",IF(COUNTIFS('AFA Rates'!$A$5:$A$1004,$A126,'AFA Rates'!$B$5:$B$1004,D$24)&gt;0,"✓",""))</f>
        <v/>
      </c>
      <c r="E126" s="57">
        <f>IF(OR($A126="",E$24=""),"",IF(COUNTIFS('AFA Rates'!$A$5:$A$1004,$A126,'AFA Rates'!$B$5:$B$1004,E$24)&gt;0,"✓",""))</f>
        <v/>
      </c>
      <c r="F126" s="57">
        <f>IF(OR($A126="",F$24=""),"",IF(COUNTIFS('AFA Rates'!$A$5:$A$1004,$A126,'AFA Rates'!$B$5:$B$1004,F$24)&gt;0,"✓",""))</f>
        <v/>
      </c>
      <c r="G126" s="57">
        <f>IF(OR($A126="",G$24=""),"",IF(COUNTIFS('AFA Rates'!$A$5:$A$1004,$A126,'AFA Rates'!$B$5:$B$1004,G$24)&gt;0,"✓",""))</f>
        <v/>
      </c>
      <c r="H126" s="57">
        <f>IF(OR($A126="",H$24=""),"",IF(COUNTIFS('AFA Rates'!$A$5:$A$1004,$A126,'AFA Rates'!$B$5:$B$1004,H$24)&gt;0,"✓",""))</f>
        <v/>
      </c>
      <c r="I126" s="57">
        <f>IF(OR($A126="",I$24=""),"",IF(COUNTIFS('AFA Rates'!$A$5:$A$1004,$A126,'AFA Rates'!$B$5:$B$1004,I$24)&gt;0,"✓",""))</f>
        <v/>
      </c>
      <c r="J126" s="57">
        <f>IF(OR($A126="",J$24=""),"",IF(COUNTIFS('AFA Rates'!$A$5:$A$1004,$A126,'AFA Rates'!$B$5:$B$1004,J$24)&gt;0,"✓",""))</f>
        <v/>
      </c>
      <c r="K126" s="57">
        <f>IF(OR($A126="",K$24=""),"",IF(COUNTIFS('AFA Rates'!$A$5:$A$1004,$A126,'AFA Rates'!$B$5:$B$1004,K$24)&gt;0,"✓",""))</f>
        <v/>
      </c>
      <c r="L126" s="57">
        <f>IF(OR($A126="",L$24=""),"",IF(COUNTIFS('AFA Rates'!$A$5:$A$1004,$A126,'AFA Rates'!$B$5:$B$1004,L$24)&gt;0,"✓",""))</f>
        <v/>
      </c>
      <c r="M126" s="57">
        <f>IF(OR($A126="",M$24=""),"",IF(COUNTIFS('AFA Rates'!$A$5:$A$1004,$A126,'AFA Rates'!$B$5:$B$1004,M$24)&gt;0,"✓",""))</f>
        <v/>
      </c>
    </row>
    <row r="127">
      <c r="A127" s="63">
        <f>IFERROR(INDEX(Firms!$A$5:$A$1004,MATCH(103,Firms!$S$5:$S$1004,0)),"")</f>
        <v/>
      </c>
      <c r="B127" s="57">
        <f>IF($A127="","",INDEX(Firms!$B$5:$B$1004,MATCH(103,Firms!$S$5:$S$1004,0)))</f>
        <v/>
      </c>
      <c r="C127" s="57">
        <f>IF($A127="","",COUNTIF('AFA Rates'!$A$5:$A$1004,$A127))</f>
        <v/>
      </c>
      <c r="D127" s="57">
        <f>IF(OR($A127="",D$24=""),"",IF(COUNTIFS('AFA Rates'!$A$5:$A$1004,$A127,'AFA Rates'!$B$5:$B$1004,D$24)&gt;0,"✓",""))</f>
        <v/>
      </c>
      <c r="E127" s="57">
        <f>IF(OR($A127="",E$24=""),"",IF(COUNTIFS('AFA Rates'!$A$5:$A$1004,$A127,'AFA Rates'!$B$5:$B$1004,E$24)&gt;0,"✓",""))</f>
        <v/>
      </c>
      <c r="F127" s="57">
        <f>IF(OR($A127="",F$24=""),"",IF(COUNTIFS('AFA Rates'!$A$5:$A$1004,$A127,'AFA Rates'!$B$5:$B$1004,F$24)&gt;0,"✓",""))</f>
        <v/>
      </c>
      <c r="G127" s="57">
        <f>IF(OR($A127="",G$24=""),"",IF(COUNTIFS('AFA Rates'!$A$5:$A$1004,$A127,'AFA Rates'!$B$5:$B$1004,G$24)&gt;0,"✓",""))</f>
        <v/>
      </c>
      <c r="H127" s="57">
        <f>IF(OR($A127="",H$24=""),"",IF(COUNTIFS('AFA Rates'!$A$5:$A$1004,$A127,'AFA Rates'!$B$5:$B$1004,H$24)&gt;0,"✓",""))</f>
        <v/>
      </c>
      <c r="I127" s="57">
        <f>IF(OR($A127="",I$24=""),"",IF(COUNTIFS('AFA Rates'!$A$5:$A$1004,$A127,'AFA Rates'!$B$5:$B$1004,I$24)&gt;0,"✓",""))</f>
        <v/>
      </c>
      <c r="J127" s="57">
        <f>IF(OR($A127="",J$24=""),"",IF(COUNTIFS('AFA Rates'!$A$5:$A$1004,$A127,'AFA Rates'!$B$5:$B$1004,J$24)&gt;0,"✓",""))</f>
        <v/>
      </c>
      <c r="K127" s="57">
        <f>IF(OR($A127="",K$24=""),"",IF(COUNTIFS('AFA Rates'!$A$5:$A$1004,$A127,'AFA Rates'!$B$5:$B$1004,K$24)&gt;0,"✓",""))</f>
        <v/>
      </c>
      <c r="L127" s="57">
        <f>IF(OR($A127="",L$24=""),"",IF(COUNTIFS('AFA Rates'!$A$5:$A$1004,$A127,'AFA Rates'!$B$5:$B$1004,L$24)&gt;0,"✓",""))</f>
        <v/>
      </c>
      <c r="M127" s="57">
        <f>IF(OR($A127="",M$24=""),"",IF(COUNTIFS('AFA Rates'!$A$5:$A$1004,$A127,'AFA Rates'!$B$5:$B$1004,M$24)&gt;0,"✓",""))</f>
        <v/>
      </c>
    </row>
    <row r="128">
      <c r="A128" s="63">
        <f>IFERROR(INDEX(Firms!$A$5:$A$1004,MATCH(104,Firms!$S$5:$S$1004,0)),"")</f>
        <v/>
      </c>
      <c r="B128" s="57">
        <f>IF($A128="","",INDEX(Firms!$B$5:$B$1004,MATCH(104,Firms!$S$5:$S$1004,0)))</f>
        <v/>
      </c>
      <c r="C128" s="57">
        <f>IF($A128="","",COUNTIF('AFA Rates'!$A$5:$A$1004,$A128))</f>
        <v/>
      </c>
      <c r="D128" s="57">
        <f>IF(OR($A128="",D$24=""),"",IF(COUNTIFS('AFA Rates'!$A$5:$A$1004,$A128,'AFA Rates'!$B$5:$B$1004,D$24)&gt;0,"✓",""))</f>
        <v/>
      </c>
      <c r="E128" s="57">
        <f>IF(OR($A128="",E$24=""),"",IF(COUNTIFS('AFA Rates'!$A$5:$A$1004,$A128,'AFA Rates'!$B$5:$B$1004,E$24)&gt;0,"✓",""))</f>
        <v/>
      </c>
      <c r="F128" s="57">
        <f>IF(OR($A128="",F$24=""),"",IF(COUNTIFS('AFA Rates'!$A$5:$A$1004,$A128,'AFA Rates'!$B$5:$B$1004,F$24)&gt;0,"✓",""))</f>
        <v/>
      </c>
      <c r="G128" s="57">
        <f>IF(OR($A128="",G$24=""),"",IF(COUNTIFS('AFA Rates'!$A$5:$A$1004,$A128,'AFA Rates'!$B$5:$B$1004,G$24)&gt;0,"✓",""))</f>
        <v/>
      </c>
      <c r="H128" s="57">
        <f>IF(OR($A128="",H$24=""),"",IF(COUNTIFS('AFA Rates'!$A$5:$A$1004,$A128,'AFA Rates'!$B$5:$B$1004,H$24)&gt;0,"✓",""))</f>
        <v/>
      </c>
      <c r="I128" s="57">
        <f>IF(OR($A128="",I$24=""),"",IF(COUNTIFS('AFA Rates'!$A$5:$A$1004,$A128,'AFA Rates'!$B$5:$B$1004,I$24)&gt;0,"✓",""))</f>
        <v/>
      </c>
      <c r="J128" s="57">
        <f>IF(OR($A128="",J$24=""),"",IF(COUNTIFS('AFA Rates'!$A$5:$A$1004,$A128,'AFA Rates'!$B$5:$B$1004,J$24)&gt;0,"✓",""))</f>
        <v/>
      </c>
      <c r="K128" s="57">
        <f>IF(OR($A128="",K$24=""),"",IF(COUNTIFS('AFA Rates'!$A$5:$A$1004,$A128,'AFA Rates'!$B$5:$B$1004,K$24)&gt;0,"✓",""))</f>
        <v/>
      </c>
      <c r="L128" s="57">
        <f>IF(OR($A128="",L$24=""),"",IF(COUNTIFS('AFA Rates'!$A$5:$A$1004,$A128,'AFA Rates'!$B$5:$B$1004,L$24)&gt;0,"✓",""))</f>
        <v/>
      </c>
      <c r="M128" s="57">
        <f>IF(OR($A128="",M$24=""),"",IF(COUNTIFS('AFA Rates'!$A$5:$A$1004,$A128,'AFA Rates'!$B$5:$B$1004,M$24)&gt;0,"✓",""))</f>
        <v/>
      </c>
    </row>
    <row r="129">
      <c r="A129" s="63">
        <f>IFERROR(INDEX(Firms!$A$5:$A$1004,MATCH(105,Firms!$S$5:$S$1004,0)),"")</f>
        <v/>
      </c>
      <c r="B129" s="57">
        <f>IF($A129="","",INDEX(Firms!$B$5:$B$1004,MATCH(105,Firms!$S$5:$S$1004,0)))</f>
        <v/>
      </c>
      <c r="C129" s="57">
        <f>IF($A129="","",COUNTIF('AFA Rates'!$A$5:$A$1004,$A129))</f>
        <v/>
      </c>
      <c r="D129" s="57">
        <f>IF(OR($A129="",D$24=""),"",IF(COUNTIFS('AFA Rates'!$A$5:$A$1004,$A129,'AFA Rates'!$B$5:$B$1004,D$24)&gt;0,"✓",""))</f>
        <v/>
      </c>
      <c r="E129" s="57">
        <f>IF(OR($A129="",E$24=""),"",IF(COUNTIFS('AFA Rates'!$A$5:$A$1004,$A129,'AFA Rates'!$B$5:$B$1004,E$24)&gt;0,"✓",""))</f>
        <v/>
      </c>
      <c r="F129" s="57">
        <f>IF(OR($A129="",F$24=""),"",IF(COUNTIFS('AFA Rates'!$A$5:$A$1004,$A129,'AFA Rates'!$B$5:$B$1004,F$24)&gt;0,"✓",""))</f>
        <v/>
      </c>
      <c r="G129" s="57">
        <f>IF(OR($A129="",G$24=""),"",IF(COUNTIFS('AFA Rates'!$A$5:$A$1004,$A129,'AFA Rates'!$B$5:$B$1004,G$24)&gt;0,"✓",""))</f>
        <v/>
      </c>
      <c r="H129" s="57">
        <f>IF(OR($A129="",H$24=""),"",IF(COUNTIFS('AFA Rates'!$A$5:$A$1004,$A129,'AFA Rates'!$B$5:$B$1004,H$24)&gt;0,"✓",""))</f>
        <v/>
      </c>
      <c r="I129" s="57">
        <f>IF(OR($A129="",I$24=""),"",IF(COUNTIFS('AFA Rates'!$A$5:$A$1004,$A129,'AFA Rates'!$B$5:$B$1004,I$24)&gt;0,"✓",""))</f>
        <v/>
      </c>
      <c r="J129" s="57">
        <f>IF(OR($A129="",J$24=""),"",IF(COUNTIFS('AFA Rates'!$A$5:$A$1004,$A129,'AFA Rates'!$B$5:$B$1004,J$24)&gt;0,"✓",""))</f>
        <v/>
      </c>
      <c r="K129" s="57">
        <f>IF(OR($A129="",K$24=""),"",IF(COUNTIFS('AFA Rates'!$A$5:$A$1004,$A129,'AFA Rates'!$B$5:$B$1004,K$24)&gt;0,"✓",""))</f>
        <v/>
      </c>
      <c r="L129" s="57">
        <f>IF(OR($A129="",L$24=""),"",IF(COUNTIFS('AFA Rates'!$A$5:$A$1004,$A129,'AFA Rates'!$B$5:$B$1004,L$24)&gt;0,"✓",""))</f>
        <v/>
      </c>
      <c r="M129" s="57">
        <f>IF(OR($A129="",M$24=""),"",IF(COUNTIFS('AFA Rates'!$A$5:$A$1004,$A129,'AFA Rates'!$B$5:$B$1004,M$24)&gt;0,"✓",""))</f>
        <v/>
      </c>
    </row>
    <row r="130">
      <c r="A130" s="63">
        <f>IFERROR(INDEX(Firms!$A$5:$A$1004,MATCH(106,Firms!$S$5:$S$1004,0)),"")</f>
        <v/>
      </c>
      <c r="B130" s="57">
        <f>IF($A130="","",INDEX(Firms!$B$5:$B$1004,MATCH(106,Firms!$S$5:$S$1004,0)))</f>
        <v/>
      </c>
      <c r="C130" s="57">
        <f>IF($A130="","",COUNTIF('AFA Rates'!$A$5:$A$1004,$A130))</f>
        <v/>
      </c>
      <c r="D130" s="57">
        <f>IF(OR($A130="",D$24=""),"",IF(COUNTIFS('AFA Rates'!$A$5:$A$1004,$A130,'AFA Rates'!$B$5:$B$1004,D$24)&gt;0,"✓",""))</f>
        <v/>
      </c>
      <c r="E130" s="57">
        <f>IF(OR($A130="",E$24=""),"",IF(COUNTIFS('AFA Rates'!$A$5:$A$1004,$A130,'AFA Rates'!$B$5:$B$1004,E$24)&gt;0,"✓",""))</f>
        <v/>
      </c>
      <c r="F130" s="57">
        <f>IF(OR($A130="",F$24=""),"",IF(COUNTIFS('AFA Rates'!$A$5:$A$1004,$A130,'AFA Rates'!$B$5:$B$1004,F$24)&gt;0,"✓",""))</f>
        <v/>
      </c>
      <c r="G130" s="57">
        <f>IF(OR($A130="",G$24=""),"",IF(COUNTIFS('AFA Rates'!$A$5:$A$1004,$A130,'AFA Rates'!$B$5:$B$1004,G$24)&gt;0,"✓",""))</f>
        <v/>
      </c>
      <c r="H130" s="57">
        <f>IF(OR($A130="",H$24=""),"",IF(COUNTIFS('AFA Rates'!$A$5:$A$1004,$A130,'AFA Rates'!$B$5:$B$1004,H$24)&gt;0,"✓",""))</f>
        <v/>
      </c>
      <c r="I130" s="57">
        <f>IF(OR($A130="",I$24=""),"",IF(COUNTIFS('AFA Rates'!$A$5:$A$1004,$A130,'AFA Rates'!$B$5:$B$1004,I$24)&gt;0,"✓",""))</f>
        <v/>
      </c>
      <c r="J130" s="57">
        <f>IF(OR($A130="",J$24=""),"",IF(COUNTIFS('AFA Rates'!$A$5:$A$1004,$A130,'AFA Rates'!$B$5:$B$1004,J$24)&gt;0,"✓",""))</f>
        <v/>
      </c>
      <c r="K130" s="57">
        <f>IF(OR($A130="",K$24=""),"",IF(COUNTIFS('AFA Rates'!$A$5:$A$1004,$A130,'AFA Rates'!$B$5:$B$1004,K$24)&gt;0,"✓",""))</f>
        <v/>
      </c>
      <c r="L130" s="57">
        <f>IF(OR($A130="",L$24=""),"",IF(COUNTIFS('AFA Rates'!$A$5:$A$1004,$A130,'AFA Rates'!$B$5:$B$1004,L$24)&gt;0,"✓",""))</f>
        <v/>
      </c>
      <c r="M130" s="57">
        <f>IF(OR($A130="",M$24=""),"",IF(COUNTIFS('AFA Rates'!$A$5:$A$1004,$A130,'AFA Rates'!$B$5:$B$1004,M$24)&gt;0,"✓",""))</f>
        <v/>
      </c>
    </row>
    <row r="131">
      <c r="A131" s="63">
        <f>IFERROR(INDEX(Firms!$A$5:$A$1004,MATCH(107,Firms!$S$5:$S$1004,0)),"")</f>
        <v/>
      </c>
      <c r="B131" s="57">
        <f>IF($A131="","",INDEX(Firms!$B$5:$B$1004,MATCH(107,Firms!$S$5:$S$1004,0)))</f>
        <v/>
      </c>
      <c r="C131" s="57">
        <f>IF($A131="","",COUNTIF('AFA Rates'!$A$5:$A$1004,$A131))</f>
        <v/>
      </c>
      <c r="D131" s="57">
        <f>IF(OR($A131="",D$24=""),"",IF(COUNTIFS('AFA Rates'!$A$5:$A$1004,$A131,'AFA Rates'!$B$5:$B$1004,D$24)&gt;0,"✓",""))</f>
        <v/>
      </c>
      <c r="E131" s="57">
        <f>IF(OR($A131="",E$24=""),"",IF(COUNTIFS('AFA Rates'!$A$5:$A$1004,$A131,'AFA Rates'!$B$5:$B$1004,E$24)&gt;0,"✓",""))</f>
        <v/>
      </c>
      <c r="F131" s="57">
        <f>IF(OR($A131="",F$24=""),"",IF(COUNTIFS('AFA Rates'!$A$5:$A$1004,$A131,'AFA Rates'!$B$5:$B$1004,F$24)&gt;0,"✓",""))</f>
        <v/>
      </c>
      <c r="G131" s="57">
        <f>IF(OR($A131="",G$24=""),"",IF(COUNTIFS('AFA Rates'!$A$5:$A$1004,$A131,'AFA Rates'!$B$5:$B$1004,G$24)&gt;0,"✓",""))</f>
        <v/>
      </c>
      <c r="H131" s="57">
        <f>IF(OR($A131="",H$24=""),"",IF(COUNTIFS('AFA Rates'!$A$5:$A$1004,$A131,'AFA Rates'!$B$5:$B$1004,H$24)&gt;0,"✓",""))</f>
        <v/>
      </c>
      <c r="I131" s="57">
        <f>IF(OR($A131="",I$24=""),"",IF(COUNTIFS('AFA Rates'!$A$5:$A$1004,$A131,'AFA Rates'!$B$5:$B$1004,I$24)&gt;0,"✓",""))</f>
        <v/>
      </c>
      <c r="J131" s="57">
        <f>IF(OR($A131="",J$24=""),"",IF(COUNTIFS('AFA Rates'!$A$5:$A$1004,$A131,'AFA Rates'!$B$5:$B$1004,J$24)&gt;0,"✓",""))</f>
        <v/>
      </c>
      <c r="K131" s="57">
        <f>IF(OR($A131="",K$24=""),"",IF(COUNTIFS('AFA Rates'!$A$5:$A$1004,$A131,'AFA Rates'!$B$5:$B$1004,K$24)&gt;0,"✓",""))</f>
        <v/>
      </c>
      <c r="L131" s="57">
        <f>IF(OR($A131="",L$24=""),"",IF(COUNTIFS('AFA Rates'!$A$5:$A$1004,$A131,'AFA Rates'!$B$5:$B$1004,L$24)&gt;0,"✓",""))</f>
        <v/>
      </c>
      <c r="M131" s="57">
        <f>IF(OR($A131="",M$24=""),"",IF(COUNTIFS('AFA Rates'!$A$5:$A$1004,$A131,'AFA Rates'!$B$5:$B$1004,M$24)&gt;0,"✓",""))</f>
        <v/>
      </c>
    </row>
    <row r="132">
      <c r="A132" s="63">
        <f>IFERROR(INDEX(Firms!$A$5:$A$1004,MATCH(108,Firms!$S$5:$S$1004,0)),"")</f>
        <v/>
      </c>
      <c r="B132" s="57">
        <f>IF($A132="","",INDEX(Firms!$B$5:$B$1004,MATCH(108,Firms!$S$5:$S$1004,0)))</f>
        <v/>
      </c>
      <c r="C132" s="57">
        <f>IF($A132="","",COUNTIF('AFA Rates'!$A$5:$A$1004,$A132))</f>
        <v/>
      </c>
      <c r="D132" s="57">
        <f>IF(OR($A132="",D$24=""),"",IF(COUNTIFS('AFA Rates'!$A$5:$A$1004,$A132,'AFA Rates'!$B$5:$B$1004,D$24)&gt;0,"✓",""))</f>
        <v/>
      </c>
      <c r="E132" s="57">
        <f>IF(OR($A132="",E$24=""),"",IF(COUNTIFS('AFA Rates'!$A$5:$A$1004,$A132,'AFA Rates'!$B$5:$B$1004,E$24)&gt;0,"✓",""))</f>
        <v/>
      </c>
      <c r="F132" s="57">
        <f>IF(OR($A132="",F$24=""),"",IF(COUNTIFS('AFA Rates'!$A$5:$A$1004,$A132,'AFA Rates'!$B$5:$B$1004,F$24)&gt;0,"✓",""))</f>
        <v/>
      </c>
      <c r="G132" s="57">
        <f>IF(OR($A132="",G$24=""),"",IF(COUNTIFS('AFA Rates'!$A$5:$A$1004,$A132,'AFA Rates'!$B$5:$B$1004,G$24)&gt;0,"✓",""))</f>
        <v/>
      </c>
      <c r="H132" s="57">
        <f>IF(OR($A132="",H$24=""),"",IF(COUNTIFS('AFA Rates'!$A$5:$A$1004,$A132,'AFA Rates'!$B$5:$B$1004,H$24)&gt;0,"✓",""))</f>
        <v/>
      </c>
      <c r="I132" s="57">
        <f>IF(OR($A132="",I$24=""),"",IF(COUNTIFS('AFA Rates'!$A$5:$A$1004,$A132,'AFA Rates'!$B$5:$B$1004,I$24)&gt;0,"✓",""))</f>
        <v/>
      </c>
      <c r="J132" s="57">
        <f>IF(OR($A132="",J$24=""),"",IF(COUNTIFS('AFA Rates'!$A$5:$A$1004,$A132,'AFA Rates'!$B$5:$B$1004,J$24)&gt;0,"✓",""))</f>
        <v/>
      </c>
      <c r="K132" s="57">
        <f>IF(OR($A132="",K$24=""),"",IF(COUNTIFS('AFA Rates'!$A$5:$A$1004,$A132,'AFA Rates'!$B$5:$B$1004,K$24)&gt;0,"✓",""))</f>
        <v/>
      </c>
      <c r="L132" s="57">
        <f>IF(OR($A132="",L$24=""),"",IF(COUNTIFS('AFA Rates'!$A$5:$A$1004,$A132,'AFA Rates'!$B$5:$B$1004,L$24)&gt;0,"✓",""))</f>
        <v/>
      </c>
      <c r="M132" s="57">
        <f>IF(OR($A132="",M$24=""),"",IF(COUNTIFS('AFA Rates'!$A$5:$A$1004,$A132,'AFA Rates'!$B$5:$B$1004,M$24)&gt;0,"✓",""))</f>
        <v/>
      </c>
    </row>
    <row r="133">
      <c r="A133" s="63">
        <f>IFERROR(INDEX(Firms!$A$5:$A$1004,MATCH(109,Firms!$S$5:$S$1004,0)),"")</f>
        <v/>
      </c>
      <c r="B133" s="57">
        <f>IF($A133="","",INDEX(Firms!$B$5:$B$1004,MATCH(109,Firms!$S$5:$S$1004,0)))</f>
        <v/>
      </c>
      <c r="C133" s="57">
        <f>IF($A133="","",COUNTIF('AFA Rates'!$A$5:$A$1004,$A133))</f>
        <v/>
      </c>
      <c r="D133" s="57">
        <f>IF(OR($A133="",D$24=""),"",IF(COUNTIFS('AFA Rates'!$A$5:$A$1004,$A133,'AFA Rates'!$B$5:$B$1004,D$24)&gt;0,"✓",""))</f>
        <v/>
      </c>
      <c r="E133" s="57">
        <f>IF(OR($A133="",E$24=""),"",IF(COUNTIFS('AFA Rates'!$A$5:$A$1004,$A133,'AFA Rates'!$B$5:$B$1004,E$24)&gt;0,"✓",""))</f>
        <v/>
      </c>
      <c r="F133" s="57">
        <f>IF(OR($A133="",F$24=""),"",IF(COUNTIFS('AFA Rates'!$A$5:$A$1004,$A133,'AFA Rates'!$B$5:$B$1004,F$24)&gt;0,"✓",""))</f>
        <v/>
      </c>
      <c r="G133" s="57">
        <f>IF(OR($A133="",G$24=""),"",IF(COUNTIFS('AFA Rates'!$A$5:$A$1004,$A133,'AFA Rates'!$B$5:$B$1004,G$24)&gt;0,"✓",""))</f>
        <v/>
      </c>
      <c r="H133" s="57">
        <f>IF(OR($A133="",H$24=""),"",IF(COUNTIFS('AFA Rates'!$A$5:$A$1004,$A133,'AFA Rates'!$B$5:$B$1004,H$24)&gt;0,"✓",""))</f>
        <v/>
      </c>
      <c r="I133" s="57">
        <f>IF(OR($A133="",I$24=""),"",IF(COUNTIFS('AFA Rates'!$A$5:$A$1004,$A133,'AFA Rates'!$B$5:$B$1004,I$24)&gt;0,"✓",""))</f>
        <v/>
      </c>
      <c r="J133" s="57">
        <f>IF(OR($A133="",J$24=""),"",IF(COUNTIFS('AFA Rates'!$A$5:$A$1004,$A133,'AFA Rates'!$B$5:$B$1004,J$24)&gt;0,"✓",""))</f>
        <v/>
      </c>
      <c r="K133" s="57">
        <f>IF(OR($A133="",K$24=""),"",IF(COUNTIFS('AFA Rates'!$A$5:$A$1004,$A133,'AFA Rates'!$B$5:$B$1004,K$24)&gt;0,"✓",""))</f>
        <v/>
      </c>
      <c r="L133" s="57">
        <f>IF(OR($A133="",L$24=""),"",IF(COUNTIFS('AFA Rates'!$A$5:$A$1004,$A133,'AFA Rates'!$B$5:$B$1004,L$24)&gt;0,"✓",""))</f>
        <v/>
      </c>
      <c r="M133" s="57">
        <f>IF(OR($A133="",M$24=""),"",IF(COUNTIFS('AFA Rates'!$A$5:$A$1004,$A133,'AFA Rates'!$B$5:$B$1004,M$24)&gt;0,"✓",""))</f>
        <v/>
      </c>
    </row>
    <row r="134">
      <c r="A134" s="63">
        <f>IFERROR(INDEX(Firms!$A$5:$A$1004,MATCH(110,Firms!$S$5:$S$1004,0)),"")</f>
        <v/>
      </c>
      <c r="B134" s="57">
        <f>IF($A134="","",INDEX(Firms!$B$5:$B$1004,MATCH(110,Firms!$S$5:$S$1004,0)))</f>
        <v/>
      </c>
      <c r="C134" s="57">
        <f>IF($A134="","",COUNTIF('AFA Rates'!$A$5:$A$1004,$A134))</f>
        <v/>
      </c>
      <c r="D134" s="57">
        <f>IF(OR($A134="",D$24=""),"",IF(COUNTIFS('AFA Rates'!$A$5:$A$1004,$A134,'AFA Rates'!$B$5:$B$1004,D$24)&gt;0,"✓",""))</f>
        <v/>
      </c>
      <c r="E134" s="57">
        <f>IF(OR($A134="",E$24=""),"",IF(COUNTIFS('AFA Rates'!$A$5:$A$1004,$A134,'AFA Rates'!$B$5:$B$1004,E$24)&gt;0,"✓",""))</f>
        <v/>
      </c>
      <c r="F134" s="57">
        <f>IF(OR($A134="",F$24=""),"",IF(COUNTIFS('AFA Rates'!$A$5:$A$1004,$A134,'AFA Rates'!$B$5:$B$1004,F$24)&gt;0,"✓",""))</f>
        <v/>
      </c>
      <c r="G134" s="57">
        <f>IF(OR($A134="",G$24=""),"",IF(COUNTIFS('AFA Rates'!$A$5:$A$1004,$A134,'AFA Rates'!$B$5:$B$1004,G$24)&gt;0,"✓",""))</f>
        <v/>
      </c>
      <c r="H134" s="57">
        <f>IF(OR($A134="",H$24=""),"",IF(COUNTIFS('AFA Rates'!$A$5:$A$1004,$A134,'AFA Rates'!$B$5:$B$1004,H$24)&gt;0,"✓",""))</f>
        <v/>
      </c>
      <c r="I134" s="57">
        <f>IF(OR($A134="",I$24=""),"",IF(COUNTIFS('AFA Rates'!$A$5:$A$1004,$A134,'AFA Rates'!$B$5:$B$1004,I$24)&gt;0,"✓",""))</f>
        <v/>
      </c>
      <c r="J134" s="57">
        <f>IF(OR($A134="",J$24=""),"",IF(COUNTIFS('AFA Rates'!$A$5:$A$1004,$A134,'AFA Rates'!$B$5:$B$1004,J$24)&gt;0,"✓",""))</f>
        <v/>
      </c>
      <c r="K134" s="57">
        <f>IF(OR($A134="",K$24=""),"",IF(COUNTIFS('AFA Rates'!$A$5:$A$1004,$A134,'AFA Rates'!$B$5:$B$1004,K$24)&gt;0,"✓",""))</f>
        <v/>
      </c>
      <c r="L134" s="57">
        <f>IF(OR($A134="",L$24=""),"",IF(COUNTIFS('AFA Rates'!$A$5:$A$1004,$A134,'AFA Rates'!$B$5:$B$1004,L$24)&gt;0,"✓",""))</f>
        <v/>
      </c>
      <c r="M134" s="57">
        <f>IF(OR($A134="",M$24=""),"",IF(COUNTIFS('AFA Rates'!$A$5:$A$1004,$A134,'AFA Rates'!$B$5:$B$1004,M$24)&gt;0,"✓",""))</f>
        <v/>
      </c>
    </row>
    <row r="135">
      <c r="A135" s="63">
        <f>IFERROR(INDEX(Firms!$A$5:$A$1004,MATCH(111,Firms!$S$5:$S$1004,0)),"")</f>
        <v/>
      </c>
      <c r="B135" s="57">
        <f>IF($A135="","",INDEX(Firms!$B$5:$B$1004,MATCH(111,Firms!$S$5:$S$1004,0)))</f>
        <v/>
      </c>
      <c r="C135" s="57">
        <f>IF($A135="","",COUNTIF('AFA Rates'!$A$5:$A$1004,$A135))</f>
        <v/>
      </c>
      <c r="D135" s="57">
        <f>IF(OR($A135="",D$24=""),"",IF(COUNTIFS('AFA Rates'!$A$5:$A$1004,$A135,'AFA Rates'!$B$5:$B$1004,D$24)&gt;0,"✓",""))</f>
        <v/>
      </c>
      <c r="E135" s="57">
        <f>IF(OR($A135="",E$24=""),"",IF(COUNTIFS('AFA Rates'!$A$5:$A$1004,$A135,'AFA Rates'!$B$5:$B$1004,E$24)&gt;0,"✓",""))</f>
        <v/>
      </c>
      <c r="F135" s="57">
        <f>IF(OR($A135="",F$24=""),"",IF(COUNTIFS('AFA Rates'!$A$5:$A$1004,$A135,'AFA Rates'!$B$5:$B$1004,F$24)&gt;0,"✓",""))</f>
        <v/>
      </c>
      <c r="G135" s="57">
        <f>IF(OR($A135="",G$24=""),"",IF(COUNTIFS('AFA Rates'!$A$5:$A$1004,$A135,'AFA Rates'!$B$5:$B$1004,G$24)&gt;0,"✓",""))</f>
        <v/>
      </c>
      <c r="H135" s="57">
        <f>IF(OR($A135="",H$24=""),"",IF(COUNTIFS('AFA Rates'!$A$5:$A$1004,$A135,'AFA Rates'!$B$5:$B$1004,H$24)&gt;0,"✓",""))</f>
        <v/>
      </c>
      <c r="I135" s="57">
        <f>IF(OR($A135="",I$24=""),"",IF(COUNTIFS('AFA Rates'!$A$5:$A$1004,$A135,'AFA Rates'!$B$5:$B$1004,I$24)&gt;0,"✓",""))</f>
        <v/>
      </c>
      <c r="J135" s="57">
        <f>IF(OR($A135="",J$24=""),"",IF(COUNTIFS('AFA Rates'!$A$5:$A$1004,$A135,'AFA Rates'!$B$5:$B$1004,J$24)&gt;0,"✓",""))</f>
        <v/>
      </c>
      <c r="K135" s="57">
        <f>IF(OR($A135="",K$24=""),"",IF(COUNTIFS('AFA Rates'!$A$5:$A$1004,$A135,'AFA Rates'!$B$5:$B$1004,K$24)&gt;0,"✓",""))</f>
        <v/>
      </c>
      <c r="L135" s="57">
        <f>IF(OR($A135="",L$24=""),"",IF(COUNTIFS('AFA Rates'!$A$5:$A$1004,$A135,'AFA Rates'!$B$5:$B$1004,L$24)&gt;0,"✓",""))</f>
        <v/>
      </c>
      <c r="M135" s="57">
        <f>IF(OR($A135="",M$24=""),"",IF(COUNTIFS('AFA Rates'!$A$5:$A$1004,$A135,'AFA Rates'!$B$5:$B$1004,M$24)&gt;0,"✓",""))</f>
        <v/>
      </c>
    </row>
    <row r="136">
      <c r="A136" s="63">
        <f>IFERROR(INDEX(Firms!$A$5:$A$1004,MATCH(112,Firms!$S$5:$S$1004,0)),"")</f>
        <v/>
      </c>
      <c r="B136" s="57">
        <f>IF($A136="","",INDEX(Firms!$B$5:$B$1004,MATCH(112,Firms!$S$5:$S$1004,0)))</f>
        <v/>
      </c>
      <c r="C136" s="57">
        <f>IF($A136="","",COUNTIF('AFA Rates'!$A$5:$A$1004,$A136))</f>
        <v/>
      </c>
      <c r="D136" s="57">
        <f>IF(OR($A136="",D$24=""),"",IF(COUNTIFS('AFA Rates'!$A$5:$A$1004,$A136,'AFA Rates'!$B$5:$B$1004,D$24)&gt;0,"✓",""))</f>
        <v/>
      </c>
      <c r="E136" s="57">
        <f>IF(OR($A136="",E$24=""),"",IF(COUNTIFS('AFA Rates'!$A$5:$A$1004,$A136,'AFA Rates'!$B$5:$B$1004,E$24)&gt;0,"✓",""))</f>
        <v/>
      </c>
      <c r="F136" s="57">
        <f>IF(OR($A136="",F$24=""),"",IF(COUNTIFS('AFA Rates'!$A$5:$A$1004,$A136,'AFA Rates'!$B$5:$B$1004,F$24)&gt;0,"✓",""))</f>
        <v/>
      </c>
      <c r="G136" s="57">
        <f>IF(OR($A136="",G$24=""),"",IF(COUNTIFS('AFA Rates'!$A$5:$A$1004,$A136,'AFA Rates'!$B$5:$B$1004,G$24)&gt;0,"✓",""))</f>
        <v/>
      </c>
      <c r="H136" s="57">
        <f>IF(OR($A136="",H$24=""),"",IF(COUNTIFS('AFA Rates'!$A$5:$A$1004,$A136,'AFA Rates'!$B$5:$B$1004,H$24)&gt;0,"✓",""))</f>
        <v/>
      </c>
      <c r="I136" s="57">
        <f>IF(OR($A136="",I$24=""),"",IF(COUNTIFS('AFA Rates'!$A$5:$A$1004,$A136,'AFA Rates'!$B$5:$B$1004,I$24)&gt;0,"✓",""))</f>
        <v/>
      </c>
      <c r="J136" s="57">
        <f>IF(OR($A136="",J$24=""),"",IF(COUNTIFS('AFA Rates'!$A$5:$A$1004,$A136,'AFA Rates'!$B$5:$B$1004,J$24)&gt;0,"✓",""))</f>
        <v/>
      </c>
      <c r="K136" s="57">
        <f>IF(OR($A136="",K$24=""),"",IF(COUNTIFS('AFA Rates'!$A$5:$A$1004,$A136,'AFA Rates'!$B$5:$B$1004,K$24)&gt;0,"✓",""))</f>
        <v/>
      </c>
      <c r="L136" s="57">
        <f>IF(OR($A136="",L$24=""),"",IF(COUNTIFS('AFA Rates'!$A$5:$A$1004,$A136,'AFA Rates'!$B$5:$B$1004,L$24)&gt;0,"✓",""))</f>
        <v/>
      </c>
      <c r="M136" s="57">
        <f>IF(OR($A136="",M$24=""),"",IF(COUNTIFS('AFA Rates'!$A$5:$A$1004,$A136,'AFA Rates'!$B$5:$B$1004,M$24)&gt;0,"✓",""))</f>
        <v/>
      </c>
    </row>
    <row r="137">
      <c r="A137" s="63">
        <f>IFERROR(INDEX(Firms!$A$5:$A$1004,MATCH(113,Firms!$S$5:$S$1004,0)),"")</f>
        <v/>
      </c>
      <c r="B137" s="57">
        <f>IF($A137="","",INDEX(Firms!$B$5:$B$1004,MATCH(113,Firms!$S$5:$S$1004,0)))</f>
        <v/>
      </c>
      <c r="C137" s="57">
        <f>IF($A137="","",COUNTIF('AFA Rates'!$A$5:$A$1004,$A137))</f>
        <v/>
      </c>
      <c r="D137" s="57">
        <f>IF(OR($A137="",D$24=""),"",IF(COUNTIFS('AFA Rates'!$A$5:$A$1004,$A137,'AFA Rates'!$B$5:$B$1004,D$24)&gt;0,"✓",""))</f>
        <v/>
      </c>
      <c r="E137" s="57">
        <f>IF(OR($A137="",E$24=""),"",IF(COUNTIFS('AFA Rates'!$A$5:$A$1004,$A137,'AFA Rates'!$B$5:$B$1004,E$24)&gt;0,"✓",""))</f>
        <v/>
      </c>
      <c r="F137" s="57">
        <f>IF(OR($A137="",F$24=""),"",IF(COUNTIFS('AFA Rates'!$A$5:$A$1004,$A137,'AFA Rates'!$B$5:$B$1004,F$24)&gt;0,"✓",""))</f>
        <v/>
      </c>
      <c r="G137" s="57">
        <f>IF(OR($A137="",G$24=""),"",IF(COUNTIFS('AFA Rates'!$A$5:$A$1004,$A137,'AFA Rates'!$B$5:$B$1004,G$24)&gt;0,"✓",""))</f>
        <v/>
      </c>
      <c r="H137" s="57">
        <f>IF(OR($A137="",H$24=""),"",IF(COUNTIFS('AFA Rates'!$A$5:$A$1004,$A137,'AFA Rates'!$B$5:$B$1004,H$24)&gt;0,"✓",""))</f>
        <v/>
      </c>
      <c r="I137" s="57">
        <f>IF(OR($A137="",I$24=""),"",IF(COUNTIFS('AFA Rates'!$A$5:$A$1004,$A137,'AFA Rates'!$B$5:$B$1004,I$24)&gt;0,"✓",""))</f>
        <v/>
      </c>
      <c r="J137" s="57">
        <f>IF(OR($A137="",J$24=""),"",IF(COUNTIFS('AFA Rates'!$A$5:$A$1004,$A137,'AFA Rates'!$B$5:$B$1004,J$24)&gt;0,"✓",""))</f>
        <v/>
      </c>
      <c r="K137" s="57">
        <f>IF(OR($A137="",K$24=""),"",IF(COUNTIFS('AFA Rates'!$A$5:$A$1004,$A137,'AFA Rates'!$B$5:$B$1004,K$24)&gt;0,"✓",""))</f>
        <v/>
      </c>
      <c r="L137" s="57">
        <f>IF(OR($A137="",L$24=""),"",IF(COUNTIFS('AFA Rates'!$A$5:$A$1004,$A137,'AFA Rates'!$B$5:$B$1004,L$24)&gt;0,"✓",""))</f>
        <v/>
      </c>
      <c r="M137" s="57">
        <f>IF(OR($A137="",M$24=""),"",IF(COUNTIFS('AFA Rates'!$A$5:$A$1004,$A137,'AFA Rates'!$B$5:$B$1004,M$24)&gt;0,"✓",""))</f>
        <v/>
      </c>
    </row>
    <row r="138">
      <c r="A138" s="63">
        <f>IFERROR(INDEX(Firms!$A$5:$A$1004,MATCH(114,Firms!$S$5:$S$1004,0)),"")</f>
        <v/>
      </c>
      <c r="B138" s="57">
        <f>IF($A138="","",INDEX(Firms!$B$5:$B$1004,MATCH(114,Firms!$S$5:$S$1004,0)))</f>
        <v/>
      </c>
      <c r="C138" s="57">
        <f>IF($A138="","",COUNTIF('AFA Rates'!$A$5:$A$1004,$A138))</f>
        <v/>
      </c>
      <c r="D138" s="57">
        <f>IF(OR($A138="",D$24=""),"",IF(COUNTIFS('AFA Rates'!$A$5:$A$1004,$A138,'AFA Rates'!$B$5:$B$1004,D$24)&gt;0,"✓",""))</f>
        <v/>
      </c>
      <c r="E138" s="57">
        <f>IF(OR($A138="",E$24=""),"",IF(COUNTIFS('AFA Rates'!$A$5:$A$1004,$A138,'AFA Rates'!$B$5:$B$1004,E$24)&gt;0,"✓",""))</f>
        <v/>
      </c>
      <c r="F138" s="57">
        <f>IF(OR($A138="",F$24=""),"",IF(COUNTIFS('AFA Rates'!$A$5:$A$1004,$A138,'AFA Rates'!$B$5:$B$1004,F$24)&gt;0,"✓",""))</f>
        <v/>
      </c>
      <c r="G138" s="57">
        <f>IF(OR($A138="",G$24=""),"",IF(COUNTIFS('AFA Rates'!$A$5:$A$1004,$A138,'AFA Rates'!$B$5:$B$1004,G$24)&gt;0,"✓",""))</f>
        <v/>
      </c>
      <c r="H138" s="57">
        <f>IF(OR($A138="",H$24=""),"",IF(COUNTIFS('AFA Rates'!$A$5:$A$1004,$A138,'AFA Rates'!$B$5:$B$1004,H$24)&gt;0,"✓",""))</f>
        <v/>
      </c>
      <c r="I138" s="57">
        <f>IF(OR($A138="",I$24=""),"",IF(COUNTIFS('AFA Rates'!$A$5:$A$1004,$A138,'AFA Rates'!$B$5:$B$1004,I$24)&gt;0,"✓",""))</f>
        <v/>
      </c>
      <c r="J138" s="57">
        <f>IF(OR($A138="",J$24=""),"",IF(COUNTIFS('AFA Rates'!$A$5:$A$1004,$A138,'AFA Rates'!$B$5:$B$1004,J$24)&gt;0,"✓",""))</f>
        <v/>
      </c>
      <c r="K138" s="57">
        <f>IF(OR($A138="",K$24=""),"",IF(COUNTIFS('AFA Rates'!$A$5:$A$1004,$A138,'AFA Rates'!$B$5:$B$1004,K$24)&gt;0,"✓",""))</f>
        <v/>
      </c>
      <c r="L138" s="57">
        <f>IF(OR($A138="",L$24=""),"",IF(COUNTIFS('AFA Rates'!$A$5:$A$1004,$A138,'AFA Rates'!$B$5:$B$1004,L$24)&gt;0,"✓",""))</f>
        <v/>
      </c>
      <c r="M138" s="57">
        <f>IF(OR($A138="",M$24=""),"",IF(COUNTIFS('AFA Rates'!$A$5:$A$1004,$A138,'AFA Rates'!$B$5:$B$1004,M$24)&gt;0,"✓",""))</f>
        <v/>
      </c>
    </row>
    <row r="139">
      <c r="A139" s="63">
        <f>IFERROR(INDEX(Firms!$A$5:$A$1004,MATCH(115,Firms!$S$5:$S$1004,0)),"")</f>
        <v/>
      </c>
      <c r="B139" s="57">
        <f>IF($A139="","",INDEX(Firms!$B$5:$B$1004,MATCH(115,Firms!$S$5:$S$1004,0)))</f>
        <v/>
      </c>
      <c r="C139" s="57">
        <f>IF($A139="","",COUNTIF('AFA Rates'!$A$5:$A$1004,$A139))</f>
        <v/>
      </c>
      <c r="D139" s="57">
        <f>IF(OR($A139="",D$24=""),"",IF(COUNTIFS('AFA Rates'!$A$5:$A$1004,$A139,'AFA Rates'!$B$5:$B$1004,D$24)&gt;0,"✓",""))</f>
        <v/>
      </c>
      <c r="E139" s="57">
        <f>IF(OR($A139="",E$24=""),"",IF(COUNTIFS('AFA Rates'!$A$5:$A$1004,$A139,'AFA Rates'!$B$5:$B$1004,E$24)&gt;0,"✓",""))</f>
        <v/>
      </c>
      <c r="F139" s="57">
        <f>IF(OR($A139="",F$24=""),"",IF(COUNTIFS('AFA Rates'!$A$5:$A$1004,$A139,'AFA Rates'!$B$5:$B$1004,F$24)&gt;0,"✓",""))</f>
        <v/>
      </c>
      <c r="G139" s="57">
        <f>IF(OR($A139="",G$24=""),"",IF(COUNTIFS('AFA Rates'!$A$5:$A$1004,$A139,'AFA Rates'!$B$5:$B$1004,G$24)&gt;0,"✓",""))</f>
        <v/>
      </c>
      <c r="H139" s="57">
        <f>IF(OR($A139="",H$24=""),"",IF(COUNTIFS('AFA Rates'!$A$5:$A$1004,$A139,'AFA Rates'!$B$5:$B$1004,H$24)&gt;0,"✓",""))</f>
        <v/>
      </c>
      <c r="I139" s="57">
        <f>IF(OR($A139="",I$24=""),"",IF(COUNTIFS('AFA Rates'!$A$5:$A$1004,$A139,'AFA Rates'!$B$5:$B$1004,I$24)&gt;0,"✓",""))</f>
        <v/>
      </c>
      <c r="J139" s="57">
        <f>IF(OR($A139="",J$24=""),"",IF(COUNTIFS('AFA Rates'!$A$5:$A$1004,$A139,'AFA Rates'!$B$5:$B$1004,J$24)&gt;0,"✓",""))</f>
        <v/>
      </c>
      <c r="K139" s="57">
        <f>IF(OR($A139="",K$24=""),"",IF(COUNTIFS('AFA Rates'!$A$5:$A$1004,$A139,'AFA Rates'!$B$5:$B$1004,K$24)&gt;0,"✓",""))</f>
        <v/>
      </c>
      <c r="L139" s="57">
        <f>IF(OR($A139="",L$24=""),"",IF(COUNTIFS('AFA Rates'!$A$5:$A$1004,$A139,'AFA Rates'!$B$5:$B$1004,L$24)&gt;0,"✓",""))</f>
        <v/>
      </c>
      <c r="M139" s="57">
        <f>IF(OR($A139="",M$24=""),"",IF(COUNTIFS('AFA Rates'!$A$5:$A$1004,$A139,'AFA Rates'!$B$5:$B$1004,M$24)&gt;0,"✓",""))</f>
        <v/>
      </c>
    </row>
    <row r="140">
      <c r="A140" s="63">
        <f>IFERROR(INDEX(Firms!$A$5:$A$1004,MATCH(116,Firms!$S$5:$S$1004,0)),"")</f>
        <v/>
      </c>
      <c r="B140" s="57">
        <f>IF($A140="","",INDEX(Firms!$B$5:$B$1004,MATCH(116,Firms!$S$5:$S$1004,0)))</f>
        <v/>
      </c>
      <c r="C140" s="57">
        <f>IF($A140="","",COUNTIF('AFA Rates'!$A$5:$A$1004,$A140))</f>
        <v/>
      </c>
      <c r="D140" s="57">
        <f>IF(OR($A140="",D$24=""),"",IF(COUNTIFS('AFA Rates'!$A$5:$A$1004,$A140,'AFA Rates'!$B$5:$B$1004,D$24)&gt;0,"✓",""))</f>
        <v/>
      </c>
      <c r="E140" s="57">
        <f>IF(OR($A140="",E$24=""),"",IF(COUNTIFS('AFA Rates'!$A$5:$A$1004,$A140,'AFA Rates'!$B$5:$B$1004,E$24)&gt;0,"✓",""))</f>
        <v/>
      </c>
      <c r="F140" s="57">
        <f>IF(OR($A140="",F$24=""),"",IF(COUNTIFS('AFA Rates'!$A$5:$A$1004,$A140,'AFA Rates'!$B$5:$B$1004,F$24)&gt;0,"✓",""))</f>
        <v/>
      </c>
      <c r="G140" s="57">
        <f>IF(OR($A140="",G$24=""),"",IF(COUNTIFS('AFA Rates'!$A$5:$A$1004,$A140,'AFA Rates'!$B$5:$B$1004,G$24)&gt;0,"✓",""))</f>
        <v/>
      </c>
      <c r="H140" s="57">
        <f>IF(OR($A140="",H$24=""),"",IF(COUNTIFS('AFA Rates'!$A$5:$A$1004,$A140,'AFA Rates'!$B$5:$B$1004,H$24)&gt;0,"✓",""))</f>
        <v/>
      </c>
      <c r="I140" s="57">
        <f>IF(OR($A140="",I$24=""),"",IF(COUNTIFS('AFA Rates'!$A$5:$A$1004,$A140,'AFA Rates'!$B$5:$B$1004,I$24)&gt;0,"✓",""))</f>
        <v/>
      </c>
      <c r="J140" s="57">
        <f>IF(OR($A140="",J$24=""),"",IF(COUNTIFS('AFA Rates'!$A$5:$A$1004,$A140,'AFA Rates'!$B$5:$B$1004,J$24)&gt;0,"✓",""))</f>
        <v/>
      </c>
      <c r="K140" s="57">
        <f>IF(OR($A140="",K$24=""),"",IF(COUNTIFS('AFA Rates'!$A$5:$A$1004,$A140,'AFA Rates'!$B$5:$B$1004,K$24)&gt;0,"✓",""))</f>
        <v/>
      </c>
      <c r="L140" s="57">
        <f>IF(OR($A140="",L$24=""),"",IF(COUNTIFS('AFA Rates'!$A$5:$A$1004,$A140,'AFA Rates'!$B$5:$B$1004,L$24)&gt;0,"✓",""))</f>
        <v/>
      </c>
      <c r="M140" s="57">
        <f>IF(OR($A140="",M$24=""),"",IF(COUNTIFS('AFA Rates'!$A$5:$A$1004,$A140,'AFA Rates'!$B$5:$B$1004,M$24)&gt;0,"✓",""))</f>
        <v/>
      </c>
    </row>
    <row r="141">
      <c r="A141" s="63">
        <f>IFERROR(INDEX(Firms!$A$5:$A$1004,MATCH(117,Firms!$S$5:$S$1004,0)),"")</f>
        <v/>
      </c>
      <c r="B141" s="57">
        <f>IF($A141="","",INDEX(Firms!$B$5:$B$1004,MATCH(117,Firms!$S$5:$S$1004,0)))</f>
        <v/>
      </c>
      <c r="C141" s="57">
        <f>IF($A141="","",COUNTIF('AFA Rates'!$A$5:$A$1004,$A141))</f>
        <v/>
      </c>
      <c r="D141" s="57">
        <f>IF(OR($A141="",D$24=""),"",IF(COUNTIFS('AFA Rates'!$A$5:$A$1004,$A141,'AFA Rates'!$B$5:$B$1004,D$24)&gt;0,"✓",""))</f>
        <v/>
      </c>
      <c r="E141" s="57">
        <f>IF(OR($A141="",E$24=""),"",IF(COUNTIFS('AFA Rates'!$A$5:$A$1004,$A141,'AFA Rates'!$B$5:$B$1004,E$24)&gt;0,"✓",""))</f>
        <v/>
      </c>
      <c r="F141" s="57">
        <f>IF(OR($A141="",F$24=""),"",IF(COUNTIFS('AFA Rates'!$A$5:$A$1004,$A141,'AFA Rates'!$B$5:$B$1004,F$24)&gt;0,"✓",""))</f>
        <v/>
      </c>
      <c r="G141" s="57">
        <f>IF(OR($A141="",G$24=""),"",IF(COUNTIFS('AFA Rates'!$A$5:$A$1004,$A141,'AFA Rates'!$B$5:$B$1004,G$24)&gt;0,"✓",""))</f>
        <v/>
      </c>
      <c r="H141" s="57">
        <f>IF(OR($A141="",H$24=""),"",IF(COUNTIFS('AFA Rates'!$A$5:$A$1004,$A141,'AFA Rates'!$B$5:$B$1004,H$24)&gt;0,"✓",""))</f>
        <v/>
      </c>
      <c r="I141" s="57">
        <f>IF(OR($A141="",I$24=""),"",IF(COUNTIFS('AFA Rates'!$A$5:$A$1004,$A141,'AFA Rates'!$B$5:$B$1004,I$24)&gt;0,"✓",""))</f>
        <v/>
      </c>
      <c r="J141" s="57">
        <f>IF(OR($A141="",J$24=""),"",IF(COUNTIFS('AFA Rates'!$A$5:$A$1004,$A141,'AFA Rates'!$B$5:$B$1004,J$24)&gt;0,"✓",""))</f>
        <v/>
      </c>
      <c r="K141" s="57">
        <f>IF(OR($A141="",K$24=""),"",IF(COUNTIFS('AFA Rates'!$A$5:$A$1004,$A141,'AFA Rates'!$B$5:$B$1004,K$24)&gt;0,"✓",""))</f>
        <v/>
      </c>
      <c r="L141" s="57">
        <f>IF(OR($A141="",L$24=""),"",IF(COUNTIFS('AFA Rates'!$A$5:$A$1004,$A141,'AFA Rates'!$B$5:$B$1004,L$24)&gt;0,"✓",""))</f>
        <v/>
      </c>
      <c r="M141" s="57">
        <f>IF(OR($A141="",M$24=""),"",IF(COUNTIFS('AFA Rates'!$A$5:$A$1004,$A141,'AFA Rates'!$B$5:$B$1004,M$24)&gt;0,"✓",""))</f>
        <v/>
      </c>
    </row>
    <row r="142">
      <c r="A142" s="63">
        <f>IFERROR(INDEX(Firms!$A$5:$A$1004,MATCH(118,Firms!$S$5:$S$1004,0)),"")</f>
        <v/>
      </c>
      <c r="B142" s="57">
        <f>IF($A142="","",INDEX(Firms!$B$5:$B$1004,MATCH(118,Firms!$S$5:$S$1004,0)))</f>
        <v/>
      </c>
      <c r="C142" s="57">
        <f>IF($A142="","",COUNTIF('AFA Rates'!$A$5:$A$1004,$A142))</f>
        <v/>
      </c>
      <c r="D142" s="57">
        <f>IF(OR($A142="",D$24=""),"",IF(COUNTIFS('AFA Rates'!$A$5:$A$1004,$A142,'AFA Rates'!$B$5:$B$1004,D$24)&gt;0,"✓",""))</f>
        <v/>
      </c>
      <c r="E142" s="57">
        <f>IF(OR($A142="",E$24=""),"",IF(COUNTIFS('AFA Rates'!$A$5:$A$1004,$A142,'AFA Rates'!$B$5:$B$1004,E$24)&gt;0,"✓",""))</f>
        <v/>
      </c>
      <c r="F142" s="57">
        <f>IF(OR($A142="",F$24=""),"",IF(COUNTIFS('AFA Rates'!$A$5:$A$1004,$A142,'AFA Rates'!$B$5:$B$1004,F$24)&gt;0,"✓",""))</f>
        <v/>
      </c>
      <c r="G142" s="57">
        <f>IF(OR($A142="",G$24=""),"",IF(COUNTIFS('AFA Rates'!$A$5:$A$1004,$A142,'AFA Rates'!$B$5:$B$1004,G$24)&gt;0,"✓",""))</f>
        <v/>
      </c>
      <c r="H142" s="57">
        <f>IF(OR($A142="",H$24=""),"",IF(COUNTIFS('AFA Rates'!$A$5:$A$1004,$A142,'AFA Rates'!$B$5:$B$1004,H$24)&gt;0,"✓",""))</f>
        <v/>
      </c>
      <c r="I142" s="57">
        <f>IF(OR($A142="",I$24=""),"",IF(COUNTIFS('AFA Rates'!$A$5:$A$1004,$A142,'AFA Rates'!$B$5:$B$1004,I$24)&gt;0,"✓",""))</f>
        <v/>
      </c>
      <c r="J142" s="57">
        <f>IF(OR($A142="",J$24=""),"",IF(COUNTIFS('AFA Rates'!$A$5:$A$1004,$A142,'AFA Rates'!$B$5:$B$1004,J$24)&gt;0,"✓",""))</f>
        <v/>
      </c>
      <c r="K142" s="57">
        <f>IF(OR($A142="",K$24=""),"",IF(COUNTIFS('AFA Rates'!$A$5:$A$1004,$A142,'AFA Rates'!$B$5:$B$1004,K$24)&gt;0,"✓",""))</f>
        <v/>
      </c>
      <c r="L142" s="57">
        <f>IF(OR($A142="",L$24=""),"",IF(COUNTIFS('AFA Rates'!$A$5:$A$1004,$A142,'AFA Rates'!$B$5:$B$1004,L$24)&gt;0,"✓",""))</f>
        <v/>
      </c>
      <c r="M142" s="57">
        <f>IF(OR($A142="",M$24=""),"",IF(COUNTIFS('AFA Rates'!$A$5:$A$1004,$A142,'AFA Rates'!$B$5:$B$1004,M$24)&gt;0,"✓",""))</f>
        <v/>
      </c>
    </row>
    <row r="143">
      <c r="A143" s="63">
        <f>IFERROR(INDEX(Firms!$A$5:$A$1004,MATCH(119,Firms!$S$5:$S$1004,0)),"")</f>
        <v/>
      </c>
      <c r="B143" s="57">
        <f>IF($A143="","",INDEX(Firms!$B$5:$B$1004,MATCH(119,Firms!$S$5:$S$1004,0)))</f>
        <v/>
      </c>
      <c r="C143" s="57">
        <f>IF($A143="","",COUNTIF('AFA Rates'!$A$5:$A$1004,$A143))</f>
        <v/>
      </c>
      <c r="D143" s="57">
        <f>IF(OR($A143="",D$24=""),"",IF(COUNTIFS('AFA Rates'!$A$5:$A$1004,$A143,'AFA Rates'!$B$5:$B$1004,D$24)&gt;0,"✓",""))</f>
        <v/>
      </c>
      <c r="E143" s="57">
        <f>IF(OR($A143="",E$24=""),"",IF(COUNTIFS('AFA Rates'!$A$5:$A$1004,$A143,'AFA Rates'!$B$5:$B$1004,E$24)&gt;0,"✓",""))</f>
        <v/>
      </c>
      <c r="F143" s="57">
        <f>IF(OR($A143="",F$24=""),"",IF(COUNTIFS('AFA Rates'!$A$5:$A$1004,$A143,'AFA Rates'!$B$5:$B$1004,F$24)&gt;0,"✓",""))</f>
        <v/>
      </c>
      <c r="G143" s="57">
        <f>IF(OR($A143="",G$24=""),"",IF(COUNTIFS('AFA Rates'!$A$5:$A$1004,$A143,'AFA Rates'!$B$5:$B$1004,G$24)&gt;0,"✓",""))</f>
        <v/>
      </c>
      <c r="H143" s="57">
        <f>IF(OR($A143="",H$24=""),"",IF(COUNTIFS('AFA Rates'!$A$5:$A$1004,$A143,'AFA Rates'!$B$5:$B$1004,H$24)&gt;0,"✓",""))</f>
        <v/>
      </c>
      <c r="I143" s="57">
        <f>IF(OR($A143="",I$24=""),"",IF(COUNTIFS('AFA Rates'!$A$5:$A$1004,$A143,'AFA Rates'!$B$5:$B$1004,I$24)&gt;0,"✓",""))</f>
        <v/>
      </c>
      <c r="J143" s="57">
        <f>IF(OR($A143="",J$24=""),"",IF(COUNTIFS('AFA Rates'!$A$5:$A$1004,$A143,'AFA Rates'!$B$5:$B$1004,J$24)&gt;0,"✓",""))</f>
        <v/>
      </c>
      <c r="K143" s="57">
        <f>IF(OR($A143="",K$24=""),"",IF(COUNTIFS('AFA Rates'!$A$5:$A$1004,$A143,'AFA Rates'!$B$5:$B$1004,K$24)&gt;0,"✓",""))</f>
        <v/>
      </c>
      <c r="L143" s="57">
        <f>IF(OR($A143="",L$24=""),"",IF(COUNTIFS('AFA Rates'!$A$5:$A$1004,$A143,'AFA Rates'!$B$5:$B$1004,L$24)&gt;0,"✓",""))</f>
        <v/>
      </c>
      <c r="M143" s="57">
        <f>IF(OR($A143="",M$24=""),"",IF(COUNTIFS('AFA Rates'!$A$5:$A$1004,$A143,'AFA Rates'!$B$5:$B$1004,M$24)&gt;0,"✓",""))</f>
        <v/>
      </c>
    </row>
    <row r="144">
      <c r="A144" s="63">
        <f>IFERROR(INDEX(Firms!$A$5:$A$1004,MATCH(120,Firms!$S$5:$S$1004,0)),"")</f>
        <v/>
      </c>
      <c r="B144" s="57">
        <f>IF($A144="","",INDEX(Firms!$B$5:$B$1004,MATCH(120,Firms!$S$5:$S$1004,0)))</f>
        <v/>
      </c>
      <c r="C144" s="57">
        <f>IF($A144="","",COUNTIF('AFA Rates'!$A$5:$A$1004,$A144))</f>
        <v/>
      </c>
      <c r="D144" s="57">
        <f>IF(OR($A144="",D$24=""),"",IF(COUNTIFS('AFA Rates'!$A$5:$A$1004,$A144,'AFA Rates'!$B$5:$B$1004,D$24)&gt;0,"✓",""))</f>
        <v/>
      </c>
      <c r="E144" s="57">
        <f>IF(OR($A144="",E$24=""),"",IF(COUNTIFS('AFA Rates'!$A$5:$A$1004,$A144,'AFA Rates'!$B$5:$B$1004,E$24)&gt;0,"✓",""))</f>
        <v/>
      </c>
      <c r="F144" s="57">
        <f>IF(OR($A144="",F$24=""),"",IF(COUNTIFS('AFA Rates'!$A$5:$A$1004,$A144,'AFA Rates'!$B$5:$B$1004,F$24)&gt;0,"✓",""))</f>
        <v/>
      </c>
      <c r="G144" s="57">
        <f>IF(OR($A144="",G$24=""),"",IF(COUNTIFS('AFA Rates'!$A$5:$A$1004,$A144,'AFA Rates'!$B$5:$B$1004,G$24)&gt;0,"✓",""))</f>
        <v/>
      </c>
      <c r="H144" s="57">
        <f>IF(OR($A144="",H$24=""),"",IF(COUNTIFS('AFA Rates'!$A$5:$A$1004,$A144,'AFA Rates'!$B$5:$B$1004,H$24)&gt;0,"✓",""))</f>
        <v/>
      </c>
      <c r="I144" s="57">
        <f>IF(OR($A144="",I$24=""),"",IF(COUNTIFS('AFA Rates'!$A$5:$A$1004,$A144,'AFA Rates'!$B$5:$B$1004,I$24)&gt;0,"✓",""))</f>
        <v/>
      </c>
      <c r="J144" s="57">
        <f>IF(OR($A144="",J$24=""),"",IF(COUNTIFS('AFA Rates'!$A$5:$A$1004,$A144,'AFA Rates'!$B$5:$B$1004,J$24)&gt;0,"✓",""))</f>
        <v/>
      </c>
      <c r="K144" s="57">
        <f>IF(OR($A144="",K$24=""),"",IF(COUNTIFS('AFA Rates'!$A$5:$A$1004,$A144,'AFA Rates'!$B$5:$B$1004,K$24)&gt;0,"✓",""))</f>
        <v/>
      </c>
      <c r="L144" s="57">
        <f>IF(OR($A144="",L$24=""),"",IF(COUNTIFS('AFA Rates'!$A$5:$A$1004,$A144,'AFA Rates'!$B$5:$B$1004,L$24)&gt;0,"✓",""))</f>
        <v/>
      </c>
      <c r="M144" s="57">
        <f>IF(OR($A144="",M$24=""),"",IF(COUNTIFS('AFA Rates'!$A$5:$A$1004,$A144,'AFA Rates'!$B$5:$B$1004,M$24)&gt;0,"✓",""))</f>
        <v/>
      </c>
    </row>
    <row r="145">
      <c r="A145" s="63">
        <f>IFERROR(INDEX(Firms!$A$5:$A$1004,MATCH(121,Firms!$S$5:$S$1004,0)),"")</f>
        <v/>
      </c>
      <c r="B145" s="57">
        <f>IF($A145="","",INDEX(Firms!$B$5:$B$1004,MATCH(121,Firms!$S$5:$S$1004,0)))</f>
        <v/>
      </c>
      <c r="C145" s="57">
        <f>IF($A145="","",COUNTIF('AFA Rates'!$A$5:$A$1004,$A145))</f>
        <v/>
      </c>
      <c r="D145" s="57">
        <f>IF(OR($A145="",D$24=""),"",IF(COUNTIFS('AFA Rates'!$A$5:$A$1004,$A145,'AFA Rates'!$B$5:$B$1004,D$24)&gt;0,"✓",""))</f>
        <v/>
      </c>
      <c r="E145" s="57">
        <f>IF(OR($A145="",E$24=""),"",IF(COUNTIFS('AFA Rates'!$A$5:$A$1004,$A145,'AFA Rates'!$B$5:$B$1004,E$24)&gt;0,"✓",""))</f>
        <v/>
      </c>
      <c r="F145" s="57">
        <f>IF(OR($A145="",F$24=""),"",IF(COUNTIFS('AFA Rates'!$A$5:$A$1004,$A145,'AFA Rates'!$B$5:$B$1004,F$24)&gt;0,"✓",""))</f>
        <v/>
      </c>
      <c r="G145" s="57">
        <f>IF(OR($A145="",G$24=""),"",IF(COUNTIFS('AFA Rates'!$A$5:$A$1004,$A145,'AFA Rates'!$B$5:$B$1004,G$24)&gt;0,"✓",""))</f>
        <v/>
      </c>
      <c r="H145" s="57">
        <f>IF(OR($A145="",H$24=""),"",IF(COUNTIFS('AFA Rates'!$A$5:$A$1004,$A145,'AFA Rates'!$B$5:$B$1004,H$24)&gt;0,"✓",""))</f>
        <v/>
      </c>
      <c r="I145" s="57">
        <f>IF(OR($A145="",I$24=""),"",IF(COUNTIFS('AFA Rates'!$A$5:$A$1004,$A145,'AFA Rates'!$B$5:$B$1004,I$24)&gt;0,"✓",""))</f>
        <v/>
      </c>
      <c r="J145" s="57">
        <f>IF(OR($A145="",J$24=""),"",IF(COUNTIFS('AFA Rates'!$A$5:$A$1004,$A145,'AFA Rates'!$B$5:$B$1004,J$24)&gt;0,"✓",""))</f>
        <v/>
      </c>
      <c r="K145" s="57">
        <f>IF(OR($A145="",K$24=""),"",IF(COUNTIFS('AFA Rates'!$A$5:$A$1004,$A145,'AFA Rates'!$B$5:$B$1004,K$24)&gt;0,"✓",""))</f>
        <v/>
      </c>
      <c r="L145" s="57">
        <f>IF(OR($A145="",L$24=""),"",IF(COUNTIFS('AFA Rates'!$A$5:$A$1004,$A145,'AFA Rates'!$B$5:$B$1004,L$24)&gt;0,"✓",""))</f>
        <v/>
      </c>
      <c r="M145" s="57">
        <f>IF(OR($A145="",M$24=""),"",IF(COUNTIFS('AFA Rates'!$A$5:$A$1004,$A145,'AFA Rates'!$B$5:$B$1004,M$24)&gt;0,"✓",""))</f>
        <v/>
      </c>
    </row>
    <row r="146">
      <c r="A146" s="63">
        <f>IFERROR(INDEX(Firms!$A$5:$A$1004,MATCH(122,Firms!$S$5:$S$1004,0)),"")</f>
        <v/>
      </c>
      <c r="B146" s="57">
        <f>IF($A146="","",INDEX(Firms!$B$5:$B$1004,MATCH(122,Firms!$S$5:$S$1004,0)))</f>
        <v/>
      </c>
      <c r="C146" s="57">
        <f>IF($A146="","",COUNTIF('AFA Rates'!$A$5:$A$1004,$A146))</f>
        <v/>
      </c>
      <c r="D146" s="57">
        <f>IF(OR($A146="",D$24=""),"",IF(COUNTIFS('AFA Rates'!$A$5:$A$1004,$A146,'AFA Rates'!$B$5:$B$1004,D$24)&gt;0,"✓",""))</f>
        <v/>
      </c>
      <c r="E146" s="57">
        <f>IF(OR($A146="",E$24=""),"",IF(COUNTIFS('AFA Rates'!$A$5:$A$1004,$A146,'AFA Rates'!$B$5:$B$1004,E$24)&gt;0,"✓",""))</f>
        <v/>
      </c>
      <c r="F146" s="57">
        <f>IF(OR($A146="",F$24=""),"",IF(COUNTIFS('AFA Rates'!$A$5:$A$1004,$A146,'AFA Rates'!$B$5:$B$1004,F$24)&gt;0,"✓",""))</f>
        <v/>
      </c>
      <c r="G146" s="57">
        <f>IF(OR($A146="",G$24=""),"",IF(COUNTIFS('AFA Rates'!$A$5:$A$1004,$A146,'AFA Rates'!$B$5:$B$1004,G$24)&gt;0,"✓",""))</f>
        <v/>
      </c>
      <c r="H146" s="57">
        <f>IF(OR($A146="",H$24=""),"",IF(COUNTIFS('AFA Rates'!$A$5:$A$1004,$A146,'AFA Rates'!$B$5:$B$1004,H$24)&gt;0,"✓",""))</f>
        <v/>
      </c>
      <c r="I146" s="57">
        <f>IF(OR($A146="",I$24=""),"",IF(COUNTIFS('AFA Rates'!$A$5:$A$1004,$A146,'AFA Rates'!$B$5:$B$1004,I$24)&gt;0,"✓",""))</f>
        <v/>
      </c>
      <c r="J146" s="57">
        <f>IF(OR($A146="",J$24=""),"",IF(COUNTIFS('AFA Rates'!$A$5:$A$1004,$A146,'AFA Rates'!$B$5:$B$1004,J$24)&gt;0,"✓",""))</f>
        <v/>
      </c>
      <c r="K146" s="57">
        <f>IF(OR($A146="",K$24=""),"",IF(COUNTIFS('AFA Rates'!$A$5:$A$1004,$A146,'AFA Rates'!$B$5:$B$1004,K$24)&gt;0,"✓",""))</f>
        <v/>
      </c>
      <c r="L146" s="57">
        <f>IF(OR($A146="",L$24=""),"",IF(COUNTIFS('AFA Rates'!$A$5:$A$1004,$A146,'AFA Rates'!$B$5:$B$1004,L$24)&gt;0,"✓",""))</f>
        <v/>
      </c>
      <c r="M146" s="57">
        <f>IF(OR($A146="",M$24=""),"",IF(COUNTIFS('AFA Rates'!$A$5:$A$1004,$A146,'AFA Rates'!$B$5:$B$1004,M$24)&gt;0,"✓",""))</f>
        <v/>
      </c>
    </row>
    <row r="147">
      <c r="A147" s="63">
        <f>IFERROR(INDEX(Firms!$A$5:$A$1004,MATCH(123,Firms!$S$5:$S$1004,0)),"")</f>
        <v/>
      </c>
      <c r="B147" s="57">
        <f>IF($A147="","",INDEX(Firms!$B$5:$B$1004,MATCH(123,Firms!$S$5:$S$1004,0)))</f>
        <v/>
      </c>
      <c r="C147" s="57">
        <f>IF($A147="","",COUNTIF('AFA Rates'!$A$5:$A$1004,$A147))</f>
        <v/>
      </c>
      <c r="D147" s="57">
        <f>IF(OR($A147="",D$24=""),"",IF(COUNTIFS('AFA Rates'!$A$5:$A$1004,$A147,'AFA Rates'!$B$5:$B$1004,D$24)&gt;0,"✓",""))</f>
        <v/>
      </c>
      <c r="E147" s="57">
        <f>IF(OR($A147="",E$24=""),"",IF(COUNTIFS('AFA Rates'!$A$5:$A$1004,$A147,'AFA Rates'!$B$5:$B$1004,E$24)&gt;0,"✓",""))</f>
        <v/>
      </c>
      <c r="F147" s="57">
        <f>IF(OR($A147="",F$24=""),"",IF(COUNTIFS('AFA Rates'!$A$5:$A$1004,$A147,'AFA Rates'!$B$5:$B$1004,F$24)&gt;0,"✓",""))</f>
        <v/>
      </c>
      <c r="G147" s="57">
        <f>IF(OR($A147="",G$24=""),"",IF(COUNTIFS('AFA Rates'!$A$5:$A$1004,$A147,'AFA Rates'!$B$5:$B$1004,G$24)&gt;0,"✓",""))</f>
        <v/>
      </c>
      <c r="H147" s="57">
        <f>IF(OR($A147="",H$24=""),"",IF(COUNTIFS('AFA Rates'!$A$5:$A$1004,$A147,'AFA Rates'!$B$5:$B$1004,H$24)&gt;0,"✓",""))</f>
        <v/>
      </c>
      <c r="I147" s="57">
        <f>IF(OR($A147="",I$24=""),"",IF(COUNTIFS('AFA Rates'!$A$5:$A$1004,$A147,'AFA Rates'!$B$5:$B$1004,I$24)&gt;0,"✓",""))</f>
        <v/>
      </c>
      <c r="J147" s="57">
        <f>IF(OR($A147="",J$24=""),"",IF(COUNTIFS('AFA Rates'!$A$5:$A$1004,$A147,'AFA Rates'!$B$5:$B$1004,J$24)&gt;0,"✓",""))</f>
        <v/>
      </c>
      <c r="K147" s="57">
        <f>IF(OR($A147="",K$24=""),"",IF(COUNTIFS('AFA Rates'!$A$5:$A$1004,$A147,'AFA Rates'!$B$5:$B$1004,K$24)&gt;0,"✓",""))</f>
        <v/>
      </c>
      <c r="L147" s="57">
        <f>IF(OR($A147="",L$24=""),"",IF(COUNTIFS('AFA Rates'!$A$5:$A$1004,$A147,'AFA Rates'!$B$5:$B$1004,L$24)&gt;0,"✓",""))</f>
        <v/>
      </c>
      <c r="M147" s="57">
        <f>IF(OR($A147="",M$24=""),"",IF(COUNTIFS('AFA Rates'!$A$5:$A$1004,$A147,'AFA Rates'!$B$5:$B$1004,M$24)&gt;0,"✓",""))</f>
        <v/>
      </c>
    </row>
    <row r="148">
      <c r="A148" s="63">
        <f>IFERROR(INDEX(Firms!$A$5:$A$1004,MATCH(124,Firms!$S$5:$S$1004,0)),"")</f>
        <v/>
      </c>
      <c r="B148" s="57">
        <f>IF($A148="","",INDEX(Firms!$B$5:$B$1004,MATCH(124,Firms!$S$5:$S$1004,0)))</f>
        <v/>
      </c>
      <c r="C148" s="57">
        <f>IF($A148="","",COUNTIF('AFA Rates'!$A$5:$A$1004,$A148))</f>
        <v/>
      </c>
      <c r="D148" s="57">
        <f>IF(OR($A148="",D$24=""),"",IF(COUNTIFS('AFA Rates'!$A$5:$A$1004,$A148,'AFA Rates'!$B$5:$B$1004,D$24)&gt;0,"✓",""))</f>
        <v/>
      </c>
      <c r="E148" s="57">
        <f>IF(OR($A148="",E$24=""),"",IF(COUNTIFS('AFA Rates'!$A$5:$A$1004,$A148,'AFA Rates'!$B$5:$B$1004,E$24)&gt;0,"✓",""))</f>
        <v/>
      </c>
      <c r="F148" s="57">
        <f>IF(OR($A148="",F$24=""),"",IF(COUNTIFS('AFA Rates'!$A$5:$A$1004,$A148,'AFA Rates'!$B$5:$B$1004,F$24)&gt;0,"✓",""))</f>
        <v/>
      </c>
      <c r="G148" s="57">
        <f>IF(OR($A148="",G$24=""),"",IF(COUNTIFS('AFA Rates'!$A$5:$A$1004,$A148,'AFA Rates'!$B$5:$B$1004,G$24)&gt;0,"✓",""))</f>
        <v/>
      </c>
      <c r="H148" s="57">
        <f>IF(OR($A148="",H$24=""),"",IF(COUNTIFS('AFA Rates'!$A$5:$A$1004,$A148,'AFA Rates'!$B$5:$B$1004,H$24)&gt;0,"✓",""))</f>
        <v/>
      </c>
      <c r="I148" s="57">
        <f>IF(OR($A148="",I$24=""),"",IF(COUNTIFS('AFA Rates'!$A$5:$A$1004,$A148,'AFA Rates'!$B$5:$B$1004,I$24)&gt;0,"✓",""))</f>
        <v/>
      </c>
      <c r="J148" s="57">
        <f>IF(OR($A148="",J$24=""),"",IF(COUNTIFS('AFA Rates'!$A$5:$A$1004,$A148,'AFA Rates'!$B$5:$B$1004,J$24)&gt;0,"✓",""))</f>
        <v/>
      </c>
      <c r="K148" s="57">
        <f>IF(OR($A148="",K$24=""),"",IF(COUNTIFS('AFA Rates'!$A$5:$A$1004,$A148,'AFA Rates'!$B$5:$B$1004,K$24)&gt;0,"✓",""))</f>
        <v/>
      </c>
      <c r="L148" s="57">
        <f>IF(OR($A148="",L$24=""),"",IF(COUNTIFS('AFA Rates'!$A$5:$A$1004,$A148,'AFA Rates'!$B$5:$B$1004,L$24)&gt;0,"✓",""))</f>
        <v/>
      </c>
      <c r="M148" s="57">
        <f>IF(OR($A148="",M$24=""),"",IF(COUNTIFS('AFA Rates'!$A$5:$A$1004,$A148,'AFA Rates'!$B$5:$B$1004,M$24)&gt;0,"✓",""))</f>
        <v/>
      </c>
    </row>
    <row r="149">
      <c r="A149" s="63">
        <f>IFERROR(INDEX(Firms!$A$5:$A$1004,MATCH(125,Firms!$S$5:$S$1004,0)),"")</f>
        <v/>
      </c>
      <c r="B149" s="57">
        <f>IF($A149="","",INDEX(Firms!$B$5:$B$1004,MATCH(125,Firms!$S$5:$S$1004,0)))</f>
        <v/>
      </c>
      <c r="C149" s="57">
        <f>IF($A149="","",COUNTIF('AFA Rates'!$A$5:$A$1004,$A149))</f>
        <v/>
      </c>
      <c r="D149" s="57">
        <f>IF(OR($A149="",D$24=""),"",IF(COUNTIFS('AFA Rates'!$A$5:$A$1004,$A149,'AFA Rates'!$B$5:$B$1004,D$24)&gt;0,"✓",""))</f>
        <v/>
      </c>
      <c r="E149" s="57">
        <f>IF(OR($A149="",E$24=""),"",IF(COUNTIFS('AFA Rates'!$A$5:$A$1004,$A149,'AFA Rates'!$B$5:$B$1004,E$24)&gt;0,"✓",""))</f>
        <v/>
      </c>
      <c r="F149" s="57">
        <f>IF(OR($A149="",F$24=""),"",IF(COUNTIFS('AFA Rates'!$A$5:$A$1004,$A149,'AFA Rates'!$B$5:$B$1004,F$24)&gt;0,"✓",""))</f>
        <v/>
      </c>
      <c r="G149" s="57">
        <f>IF(OR($A149="",G$24=""),"",IF(COUNTIFS('AFA Rates'!$A$5:$A$1004,$A149,'AFA Rates'!$B$5:$B$1004,G$24)&gt;0,"✓",""))</f>
        <v/>
      </c>
      <c r="H149" s="57">
        <f>IF(OR($A149="",H$24=""),"",IF(COUNTIFS('AFA Rates'!$A$5:$A$1004,$A149,'AFA Rates'!$B$5:$B$1004,H$24)&gt;0,"✓",""))</f>
        <v/>
      </c>
      <c r="I149" s="57">
        <f>IF(OR($A149="",I$24=""),"",IF(COUNTIFS('AFA Rates'!$A$5:$A$1004,$A149,'AFA Rates'!$B$5:$B$1004,I$24)&gt;0,"✓",""))</f>
        <v/>
      </c>
      <c r="J149" s="57">
        <f>IF(OR($A149="",J$24=""),"",IF(COUNTIFS('AFA Rates'!$A$5:$A$1004,$A149,'AFA Rates'!$B$5:$B$1004,J$24)&gt;0,"✓",""))</f>
        <v/>
      </c>
      <c r="K149" s="57">
        <f>IF(OR($A149="",K$24=""),"",IF(COUNTIFS('AFA Rates'!$A$5:$A$1004,$A149,'AFA Rates'!$B$5:$B$1004,K$24)&gt;0,"✓",""))</f>
        <v/>
      </c>
      <c r="L149" s="57">
        <f>IF(OR($A149="",L$24=""),"",IF(COUNTIFS('AFA Rates'!$A$5:$A$1004,$A149,'AFA Rates'!$B$5:$B$1004,L$24)&gt;0,"✓",""))</f>
        <v/>
      </c>
      <c r="M149" s="57">
        <f>IF(OR($A149="",M$24=""),"",IF(COUNTIFS('AFA Rates'!$A$5:$A$1004,$A149,'AFA Rates'!$B$5:$B$1004,M$24)&gt;0,"✓",""))</f>
        <v/>
      </c>
    </row>
    <row r="150">
      <c r="A150" s="63">
        <f>IFERROR(INDEX(Firms!$A$5:$A$1004,MATCH(126,Firms!$S$5:$S$1004,0)),"")</f>
        <v/>
      </c>
      <c r="B150" s="57">
        <f>IF($A150="","",INDEX(Firms!$B$5:$B$1004,MATCH(126,Firms!$S$5:$S$1004,0)))</f>
        <v/>
      </c>
      <c r="C150" s="57">
        <f>IF($A150="","",COUNTIF('AFA Rates'!$A$5:$A$1004,$A150))</f>
        <v/>
      </c>
      <c r="D150" s="57">
        <f>IF(OR($A150="",D$24=""),"",IF(COUNTIFS('AFA Rates'!$A$5:$A$1004,$A150,'AFA Rates'!$B$5:$B$1004,D$24)&gt;0,"✓",""))</f>
        <v/>
      </c>
      <c r="E150" s="57">
        <f>IF(OR($A150="",E$24=""),"",IF(COUNTIFS('AFA Rates'!$A$5:$A$1004,$A150,'AFA Rates'!$B$5:$B$1004,E$24)&gt;0,"✓",""))</f>
        <v/>
      </c>
      <c r="F150" s="57">
        <f>IF(OR($A150="",F$24=""),"",IF(COUNTIFS('AFA Rates'!$A$5:$A$1004,$A150,'AFA Rates'!$B$5:$B$1004,F$24)&gt;0,"✓",""))</f>
        <v/>
      </c>
      <c r="G150" s="57">
        <f>IF(OR($A150="",G$24=""),"",IF(COUNTIFS('AFA Rates'!$A$5:$A$1004,$A150,'AFA Rates'!$B$5:$B$1004,G$24)&gt;0,"✓",""))</f>
        <v/>
      </c>
      <c r="H150" s="57">
        <f>IF(OR($A150="",H$24=""),"",IF(COUNTIFS('AFA Rates'!$A$5:$A$1004,$A150,'AFA Rates'!$B$5:$B$1004,H$24)&gt;0,"✓",""))</f>
        <v/>
      </c>
      <c r="I150" s="57">
        <f>IF(OR($A150="",I$24=""),"",IF(COUNTIFS('AFA Rates'!$A$5:$A$1004,$A150,'AFA Rates'!$B$5:$B$1004,I$24)&gt;0,"✓",""))</f>
        <v/>
      </c>
      <c r="J150" s="57">
        <f>IF(OR($A150="",J$24=""),"",IF(COUNTIFS('AFA Rates'!$A$5:$A$1004,$A150,'AFA Rates'!$B$5:$B$1004,J$24)&gt;0,"✓",""))</f>
        <v/>
      </c>
      <c r="K150" s="57">
        <f>IF(OR($A150="",K$24=""),"",IF(COUNTIFS('AFA Rates'!$A$5:$A$1004,$A150,'AFA Rates'!$B$5:$B$1004,K$24)&gt;0,"✓",""))</f>
        <v/>
      </c>
      <c r="L150" s="57">
        <f>IF(OR($A150="",L$24=""),"",IF(COUNTIFS('AFA Rates'!$A$5:$A$1004,$A150,'AFA Rates'!$B$5:$B$1004,L$24)&gt;0,"✓",""))</f>
        <v/>
      </c>
      <c r="M150" s="57">
        <f>IF(OR($A150="",M$24=""),"",IF(COUNTIFS('AFA Rates'!$A$5:$A$1004,$A150,'AFA Rates'!$B$5:$B$1004,M$24)&gt;0,"✓",""))</f>
        <v/>
      </c>
    </row>
    <row r="151">
      <c r="A151" s="63">
        <f>IFERROR(INDEX(Firms!$A$5:$A$1004,MATCH(127,Firms!$S$5:$S$1004,0)),"")</f>
        <v/>
      </c>
      <c r="B151" s="57">
        <f>IF($A151="","",INDEX(Firms!$B$5:$B$1004,MATCH(127,Firms!$S$5:$S$1004,0)))</f>
        <v/>
      </c>
      <c r="C151" s="57">
        <f>IF($A151="","",COUNTIF('AFA Rates'!$A$5:$A$1004,$A151))</f>
        <v/>
      </c>
      <c r="D151" s="57">
        <f>IF(OR($A151="",D$24=""),"",IF(COUNTIFS('AFA Rates'!$A$5:$A$1004,$A151,'AFA Rates'!$B$5:$B$1004,D$24)&gt;0,"✓",""))</f>
        <v/>
      </c>
      <c r="E151" s="57">
        <f>IF(OR($A151="",E$24=""),"",IF(COUNTIFS('AFA Rates'!$A$5:$A$1004,$A151,'AFA Rates'!$B$5:$B$1004,E$24)&gt;0,"✓",""))</f>
        <v/>
      </c>
      <c r="F151" s="57">
        <f>IF(OR($A151="",F$24=""),"",IF(COUNTIFS('AFA Rates'!$A$5:$A$1004,$A151,'AFA Rates'!$B$5:$B$1004,F$24)&gt;0,"✓",""))</f>
        <v/>
      </c>
      <c r="G151" s="57">
        <f>IF(OR($A151="",G$24=""),"",IF(COUNTIFS('AFA Rates'!$A$5:$A$1004,$A151,'AFA Rates'!$B$5:$B$1004,G$24)&gt;0,"✓",""))</f>
        <v/>
      </c>
      <c r="H151" s="57">
        <f>IF(OR($A151="",H$24=""),"",IF(COUNTIFS('AFA Rates'!$A$5:$A$1004,$A151,'AFA Rates'!$B$5:$B$1004,H$24)&gt;0,"✓",""))</f>
        <v/>
      </c>
      <c r="I151" s="57">
        <f>IF(OR($A151="",I$24=""),"",IF(COUNTIFS('AFA Rates'!$A$5:$A$1004,$A151,'AFA Rates'!$B$5:$B$1004,I$24)&gt;0,"✓",""))</f>
        <v/>
      </c>
      <c r="J151" s="57">
        <f>IF(OR($A151="",J$24=""),"",IF(COUNTIFS('AFA Rates'!$A$5:$A$1004,$A151,'AFA Rates'!$B$5:$B$1004,J$24)&gt;0,"✓",""))</f>
        <v/>
      </c>
      <c r="K151" s="57">
        <f>IF(OR($A151="",K$24=""),"",IF(COUNTIFS('AFA Rates'!$A$5:$A$1004,$A151,'AFA Rates'!$B$5:$B$1004,K$24)&gt;0,"✓",""))</f>
        <v/>
      </c>
      <c r="L151" s="57">
        <f>IF(OR($A151="",L$24=""),"",IF(COUNTIFS('AFA Rates'!$A$5:$A$1004,$A151,'AFA Rates'!$B$5:$B$1004,L$24)&gt;0,"✓",""))</f>
        <v/>
      </c>
      <c r="M151" s="57">
        <f>IF(OR($A151="",M$24=""),"",IF(COUNTIFS('AFA Rates'!$A$5:$A$1004,$A151,'AFA Rates'!$B$5:$B$1004,M$24)&gt;0,"✓",""))</f>
        <v/>
      </c>
    </row>
    <row r="152">
      <c r="A152" s="63">
        <f>IFERROR(INDEX(Firms!$A$5:$A$1004,MATCH(128,Firms!$S$5:$S$1004,0)),"")</f>
        <v/>
      </c>
      <c r="B152" s="57">
        <f>IF($A152="","",INDEX(Firms!$B$5:$B$1004,MATCH(128,Firms!$S$5:$S$1004,0)))</f>
        <v/>
      </c>
      <c r="C152" s="57">
        <f>IF($A152="","",COUNTIF('AFA Rates'!$A$5:$A$1004,$A152))</f>
        <v/>
      </c>
      <c r="D152" s="57">
        <f>IF(OR($A152="",D$24=""),"",IF(COUNTIFS('AFA Rates'!$A$5:$A$1004,$A152,'AFA Rates'!$B$5:$B$1004,D$24)&gt;0,"✓",""))</f>
        <v/>
      </c>
      <c r="E152" s="57">
        <f>IF(OR($A152="",E$24=""),"",IF(COUNTIFS('AFA Rates'!$A$5:$A$1004,$A152,'AFA Rates'!$B$5:$B$1004,E$24)&gt;0,"✓",""))</f>
        <v/>
      </c>
      <c r="F152" s="57">
        <f>IF(OR($A152="",F$24=""),"",IF(COUNTIFS('AFA Rates'!$A$5:$A$1004,$A152,'AFA Rates'!$B$5:$B$1004,F$24)&gt;0,"✓",""))</f>
        <v/>
      </c>
      <c r="G152" s="57">
        <f>IF(OR($A152="",G$24=""),"",IF(COUNTIFS('AFA Rates'!$A$5:$A$1004,$A152,'AFA Rates'!$B$5:$B$1004,G$24)&gt;0,"✓",""))</f>
        <v/>
      </c>
      <c r="H152" s="57">
        <f>IF(OR($A152="",H$24=""),"",IF(COUNTIFS('AFA Rates'!$A$5:$A$1004,$A152,'AFA Rates'!$B$5:$B$1004,H$24)&gt;0,"✓",""))</f>
        <v/>
      </c>
      <c r="I152" s="57">
        <f>IF(OR($A152="",I$24=""),"",IF(COUNTIFS('AFA Rates'!$A$5:$A$1004,$A152,'AFA Rates'!$B$5:$B$1004,I$24)&gt;0,"✓",""))</f>
        <v/>
      </c>
      <c r="J152" s="57">
        <f>IF(OR($A152="",J$24=""),"",IF(COUNTIFS('AFA Rates'!$A$5:$A$1004,$A152,'AFA Rates'!$B$5:$B$1004,J$24)&gt;0,"✓",""))</f>
        <v/>
      </c>
      <c r="K152" s="57">
        <f>IF(OR($A152="",K$24=""),"",IF(COUNTIFS('AFA Rates'!$A$5:$A$1004,$A152,'AFA Rates'!$B$5:$B$1004,K$24)&gt;0,"✓",""))</f>
        <v/>
      </c>
      <c r="L152" s="57">
        <f>IF(OR($A152="",L$24=""),"",IF(COUNTIFS('AFA Rates'!$A$5:$A$1004,$A152,'AFA Rates'!$B$5:$B$1004,L$24)&gt;0,"✓",""))</f>
        <v/>
      </c>
      <c r="M152" s="57">
        <f>IF(OR($A152="",M$24=""),"",IF(COUNTIFS('AFA Rates'!$A$5:$A$1004,$A152,'AFA Rates'!$B$5:$B$1004,M$24)&gt;0,"✓",""))</f>
        <v/>
      </c>
    </row>
    <row r="153">
      <c r="A153" s="63">
        <f>IFERROR(INDEX(Firms!$A$5:$A$1004,MATCH(129,Firms!$S$5:$S$1004,0)),"")</f>
        <v/>
      </c>
      <c r="B153" s="57">
        <f>IF($A153="","",INDEX(Firms!$B$5:$B$1004,MATCH(129,Firms!$S$5:$S$1004,0)))</f>
        <v/>
      </c>
      <c r="C153" s="57">
        <f>IF($A153="","",COUNTIF('AFA Rates'!$A$5:$A$1004,$A153))</f>
        <v/>
      </c>
      <c r="D153" s="57">
        <f>IF(OR($A153="",D$24=""),"",IF(COUNTIFS('AFA Rates'!$A$5:$A$1004,$A153,'AFA Rates'!$B$5:$B$1004,D$24)&gt;0,"✓",""))</f>
        <v/>
      </c>
      <c r="E153" s="57">
        <f>IF(OR($A153="",E$24=""),"",IF(COUNTIFS('AFA Rates'!$A$5:$A$1004,$A153,'AFA Rates'!$B$5:$B$1004,E$24)&gt;0,"✓",""))</f>
        <v/>
      </c>
      <c r="F153" s="57">
        <f>IF(OR($A153="",F$24=""),"",IF(COUNTIFS('AFA Rates'!$A$5:$A$1004,$A153,'AFA Rates'!$B$5:$B$1004,F$24)&gt;0,"✓",""))</f>
        <v/>
      </c>
      <c r="G153" s="57">
        <f>IF(OR($A153="",G$24=""),"",IF(COUNTIFS('AFA Rates'!$A$5:$A$1004,$A153,'AFA Rates'!$B$5:$B$1004,G$24)&gt;0,"✓",""))</f>
        <v/>
      </c>
      <c r="H153" s="57">
        <f>IF(OR($A153="",H$24=""),"",IF(COUNTIFS('AFA Rates'!$A$5:$A$1004,$A153,'AFA Rates'!$B$5:$B$1004,H$24)&gt;0,"✓",""))</f>
        <v/>
      </c>
      <c r="I153" s="57">
        <f>IF(OR($A153="",I$24=""),"",IF(COUNTIFS('AFA Rates'!$A$5:$A$1004,$A153,'AFA Rates'!$B$5:$B$1004,I$24)&gt;0,"✓",""))</f>
        <v/>
      </c>
      <c r="J153" s="57">
        <f>IF(OR($A153="",J$24=""),"",IF(COUNTIFS('AFA Rates'!$A$5:$A$1004,$A153,'AFA Rates'!$B$5:$B$1004,J$24)&gt;0,"✓",""))</f>
        <v/>
      </c>
      <c r="K153" s="57">
        <f>IF(OR($A153="",K$24=""),"",IF(COUNTIFS('AFA Rates'!$A$5:$A$1004,$A153,'AFA Rates'!$B$5:$B$1004,K$24)&gt;0,"✓",""))</f>
        <v/>
      </c>
      <c r="L153" s="57">
        <f>IF(OR($A153="",L$24=""),"",IF(COUNTIFS('AFA Rates'!$A$5:$A$1004,$A153,'AFA Rates'!$B$5:$B$1004,L$24)&gt;0,"✓",""))</f>
        <v/>
      </c>
      <c r="M153" s="57">
        <f>IF(OR($A153="",M$24=""),"",IF(COUNTIFS('AFA Rates'!$A$5:$A$1004,$A153,'AFA Rates'!$B$5:$B$1004,M$24)&gt;0,"✓",""))</f>
        <v/>
      </c>
    </row>
    <row r="154">
      <c r="A154" s="63">
        <f>IFERROR(INDEX(Firms!$A$5:$A$1004,MATCH(130,Firms!$S$5:$S$1004,0)),"")</f>
        <v/>
      </c>
      <c r="B154" s="57">
        <f>IF($A154="","",INDEX(Firms!$B$5:$B$1004,MATCH(130,Firms!$S$5:$S$1004,0)))</f>
        <v/>
      </c>
      <c r="C154" s="57">
        <f>IF($A154="","",COUNTIF('AFA Rates'!$A$5:$A$1004,$A154))</f>
        <v/>
      </c>
      <c r="D154" s="57">
        <f>IF(OR($A154="",D$24=""),"",IF(COUNTIFS('AFA Rates'!$A$5:$A$1004,$A154,'AFA Rates'!$B$5:$B$1004,D$24)&gt;0,"✓",""))</f>
        <v/>
      </c>
      <c r="E154" s="57">
        <f>IF(OR($A154="",E$24=""),"",IF(COUNTIFS('AFA Rates'!$A$5:$A$1004,$A154,'AFA Rates'!$B$5:$B$1004,E$24)&gt;0,"✓",""))</f>
        <v/>
      </c>
      <c r="F154" s="57">
        <f>IF(OR($A154="",F$24=""),"",IF(COUNTIFS('AFA Rates'!$A$5:$A$1004,$A154,'AFA Rates'!$B$5:$B$1004,F$24)&gt;0,"✓",""))</f>
        <v/>
      </c>
      <c r="G154" s="57">
        <f>IF(OR($A154="",G$24=""),"",IF(COUNTIFS('AFA Rates'!$A$5:$A$1004,$A154,'AFA Rates'!$B$5:$B$1004,G$24)&gt;0,"✓",""))</f>
        <v/>
      </c>
      <c r="H154" s="57">
        <f>IF(OR($A154="",H$24=""),"",IF(COUNTIFS('AFA Rates'!$A$5:$A$1004,$A154,'AFA Rates'!$B$5:$B$1004,H$24)&gt;0,"✓",""))</f>
        <v/>
      </c>
      <c r="I154" s="57">
        <f>IF(OR($A154="",I$24=""),"",IF(COUNTIFS('AFA Rates'!$A$5:$A$1004,$A154,'AFA Rates'!$B$5:$B$1004,I$24)&gt;0,"✓",""))</f>
        <v/>
      </c>
      <c r="J154" s="57">
        <f>IF(OR($A154="",J$24=""),"",IF(COUNTIFS('AFA Rates'!$A$5:$A$1004,$A154,'AFA Rates'!$B$5:$B$1004,J$24)&gt;0,"✓",""))</f>
        <v/>
      </c>
      <c r="K154" s="57">
        <f>IF(OR($A154="",K$24=""),"",IF(COUNTIFS('AFA Rates'!$A$5:$A$1004,$A154,'AFA Rates'!$B$5:$B$1004,K$24)&gt;0,"✓",""))</f>
        <v/>
      </c>
      <c r="L154" s="57">
        <f>IF(OR($A154="",L$24=""),"",IF(COUNTIFS('AFA Rates'!$A$5:$A$1004,$A154,'AFA Rates'!$B$5:$B$1004,L$24)&gt;0,"✓",""))</f>
        <v/>
      </c>
      <c r="M154" s="57">
        <f>IF(OR($A154="",M$24=""),"",IF(COUNTIFS('AFA Rates'!$A$5:$A$1004,$A154,'AFA Rates'!$B$5:$B$1004,M$24)&gt;0,"✓",""))</f>
        <v/>
      </c>
    </row>
    <row r="155">
      <c r="A155" s="63">
        <f>IFERROR(INDEX(Firms!$A$5:$A$1004,MATCH(131,Firms!$S$5:$S$1004,0)),"")</f>
        <v/>
      </c>
      <c r="B155" s="57">
        <f>IF($A155="","",INDEX(Firms!$B$5:$B$1004,MATCH(131,Firms!$S$5:$S$1004,0)))</f>
        <v/>
      </c>
      <c r="C155" s="57">
        <f>IF($A155="","",COUNTIF('AFA Rates'!$A$5:$A$1004,$A155))</f>
        <v/>
      </c>
      <c r="D155" s="57">
        <f>IF(OR($A155="",D$24=""),"",IF(COUNTIFS('AFA Rates'!$A$5:$A$1004,$A155,'AFA Rates'!$B$5:$B$1004,D$24)&gt;0,"✓",""))</f>
        <v/>
      </c>
      <c r="E155" s="57">
        <f>IF(OR($A155="",E$24=""),"",IF(COUNTIFS('AFA Rates'!$A$5:$A$1004,$A155,'AFA Rates'!$B$5:$B$1004,E$24)&gt;0,"✓",""))</f>
        <v/>
      </c>
      <c r="F155" s="57">
        <f>IF(OR($A155="",F$24=""),"",IF(COUNTIFS('AFA Rates'!$A$5:$A$1004,$A155,'AFA Rates'!$B$5:$B$1004,F$24)&gt;0,"✓",""))</f>
        <v/>
      </c>
      <c r="G155" s="57">
        <f>IF(OR($A155="",G$24=""),"",IF(COUNTIFS('AFA Rates'!$A$5:$A$1004,$A155,'AFA Rates'!$B$5:$B$1004,G$24)&gt;0,"✓",""))</f>
        <v/>
      </c>
      <c r="H155" s="57">
        <f>IF(OR($A155="",H$24=""),"",IF(COUNTIFS('AFA Rates'!$A$5:$A$1004,$A155,'AFA Rates'!$B$5:$B$1004,H$24)&gt;0,"✓",""))</f>
        <v/>
      </c>
      <c r="I155" s="57">
        <f>IF(OR($A155="",I$24=""),"",IF(COUNTIFS('AFA Rates'!$A$5:$A$1004,$A155,'AFA Rates'!$B$5:$B$1004,I$24)&gt;0,"✓",""))</f>
        <v/>
      </c>
      <c r="J155" s="57">
        <f>IF(OR($A155="",J$24=""),"",IF(COUNTIFS('AFA Rates'!$A$5:$A$1004,$A155,'AFA Rates'!$B$5:$B$1004,J$24)&gt;0,"✓",""))</f>
        <v/>
      </c>
      <c r="K155" s="57">
        <f>IF(OR($A155="",K$24=""),"",IF(COUNTIFS('AFA Rates'!$A$5:$A$1004,$A155,'AFA Rates'!$B$5:$B$1004,K$24)&gt;0,"✓",""))</f>
        <v/>
      </c>
      <c r="L155" s="57">
        <f>IF(OR($A155="",L$24=""),"",IF(COUNTIFS('AFA Rates'!$A$5:$A$1004,$A155,'AFA Rates'!$B$5:$B$1004,L$24)&gt;0,"✓",""))</f>
        <v/>
      </c>
      <c r="M155" s="57">
        <f>IF(OR($A155="",M$24=""),"",IF(COUNTIFS('AFA Rates'!$A$5:$A$1004,$A155,'AFA Rates'!$B$5:$B$1004,M$24)&gt;0,"✓",""))</f>
        <v/>
      </c>
    </row>
    <row r="156">
      <c r="A156" s="63">
        <f>IFERROR(INDEX(Firms!$A$5:$A$1004,MATCH(132,Firms!$S$5:$S$1004,0)),"")</f>
        <v/>
      </c>
      <c r="B156" s="57">
        <f>IF($A156="","",INDEX(Firms!$B$5:$B$1004,MATCH(132,Firms!$S$5:$S$1004,0)))</f>
        <v/>
      </c>
      <c r="C156" s="57">
        <f>IF($A156="","",COUNTIF('AFA Rates'!$A$5:$A$1004,$A156))</f>
        <v/>
      </c>
      <c r="D156" s="57">
        <f>IF(OR($A156="",D$24=""),"",IF(COUNTIFS('AFA Rates'!$A$5:$A$1004,$A156,'AFA Rates'!$B$5:$B$1004,D$24)&gt;0,"✓",""))</f>
        <v/>
      </c>
      <c r="E156" s="57">
        <f>IF(OR($A156="",E$24=""),"",IF(COUNTIFS('AFA Rates'!$A$5:$A$1004,$A156,'AFA Rates'!$B$5:$B$1004,E$24)&gt;0,"✓",""))</f>
        <v/>
      </c>
      <c r="F156" s="57">
        <f>IF(OR($A156="",F$24=""),"",IF(COUNTIFS('AFA Rates'!$A$5:$A$1004,$A156,'AFA Rates'!$B$5:$B$1004,F$24)&gt;0,"✓",""))</f>
        <v/>
      </c>
      <c r="G156" s="57">
        <f>IF(OR($A156="",G$24=""),"",IF(COUNTIFS('AFA Rates'!$A$5:$A$1004,$A156,'AFA Rates'!$B$5:$B$1004,G$24)&gt;0,"✓",""))</f>
        <v/>
      </c>
      <c r="H156" s="57">
        <f>IF(OR($A156="",H$24=""),"",IF(COUNTIFS('AFA Rates'!$A$5:$A$1004,$A156,'AFA Rates'!$B$5:$B$1004,H$24)&gt;0,"✓",""))</f>
        <v/>
      </c>
      <c r="I156" s="57">
        <f>IF(OR($A156="",I$24=""),"",IF(COUNTIFS('AFA Rates'!$A$5:$A$1004,$A156,'AFA Rates'!$B$5:$B$1004,I$24)&gt;0,"✓",""))</f>
        <v/>
      </c>
      <c r="J156" s="57">
        <f>IF(OR($A156="",J$24=""),"",IF(COUNTIFS('AFA Rates'!$A$5:$A$1004,$A156,'AFA Rates'!$B$5:$B$1004,J$24)&gt;0,"✓",""))</f>
        <v/>
      </c>
      <c r="K156" s="57">
        <f>IF(OR($A156="",K$24=""),"",IF(COUNTIFS('AFA Rates'!$A$5:$A$1004,$A156,'AFA Rates'!$B$5:$B$1004,K$24)&gt;0,"✓",""))</f>
        <v/>
      </c>
      <c r="L156" s="57">
        <f>IF(OR($A156="",L$24=""),"",IF(COUNTIFS('AFA Rates'!$A$5:$A$1004,$A156,'AFA Rates'!$B$5:$B$1004,L$24)&gt;0,"✓",""))</f>
        <v/>
      </c>
      <c r="M156" s="57">
        <f>IF(OR($A156="",M$24=""),"",IF(COUNTIFS('AFA Rates'!$A$5:$A$1004,$A156,'AFA Rates'!$B$5:$B$1004,M$24)&gt;0,"✓",""))</f>
        <v/>
      </c>
    </row>
    <row r="157">
      <c r="A157" s="63">
        <f>IFERROR(INDEX(Firms!$A$5:$A$1004,MATCH(133,Firms!$S$5:$S$1004,0)),"")</f>
        <v/>
      </c>
      <c r="B157" s="57">
        <f>IF($A157="","",INDEX(Firms!$B$5:$B$1004,MATCH(133,Firms!$S$5:$S$1004,0)))</f>
        <v/>
      </c>
      <c r="C157" s="57">
        <f>IF($A157="","",COUNTIF('AFA Rates'!$A$5:$A$1004,$A157))</f>
        <v/>
      </c>
      <c r="D157" s="57">
        <f>IF(OR($A157="",D$24=""),"",IF(COUNTIFS('AFA Rates'!$A$5:$A$1004,$A157,'AFA Rates'!$B$5:$B$1004,D$24)&gt;0,"✓",""))</f>
        <v/>
      </c>
      <c r="E157" s="57">
        <f>IF(OR($A157="",E$24=""),"",IF(COUNTIFS('AFA Rates'!$A$5:$A$1004,$A157,'AFA Rates'!$B$5:$B$1004,E$24)&gt;0,"✓",""))</f>
        <v/>
      </c>
      <c r="F157" s="57">
        <f>IF(OR($A157="",F$24=""),"",IF(COUNTIFS('AFA Rates'!$A$5:$A$1004,$A157,'AFA Rates'!$B$5:$B$1004,F$24)&gt;0,"✓",""))</f>
        <v/>
      </c>
      <c r="G157" s="57">
        <f>IF(OR($A157="",G$24=""),"",IF(COUNTIFS('AFA Rates'!$A$5:$A$1004,$A157,'AFA Rates'!$B$5:$B$1004,G$24)&gt;0,"✓",""))</f>
        <v/>
      </c>
      <c r="H157" s="57">
        <f>IF(OR($A157="",H$24=""),"",IF(COUNTIFS('AFA Rates'!$A$5:$A$1004,$A157,'AFA Rates'!$B$5:$B$1004,H$24)&gt;0,"✓",""))</f>
        <v/>
      </c>
      <c r="I157" s="57">
        <f>IF(OR($A157="",I$24=""),"",IF(COUNTIFS('AFA Rates'!$A$5:$A$1004,$A157,'AFA Rates'!$B$5:$B$1004,I$24)&gt;0,"✓",""))</f>
        <v/>
      </c>
      <c r="J157" s="57">
        <f>IF(OR($A157="",J$24=""),"",IF(COUNTIFS('AFA Rates'!$A$5:$A$1004,$A157,'AFA Rates'!$B$5:$B$1004,J$24)&gt;0,"✓",""))</f>
        <v/>
      </c>
      <c r="K157" s="57">
        <f>IF(OR($A157="",K$24=""),"",IF(COUNTIFS('AFA Rates'!$A$5:$A$1004,$A157,'AFA Rates'!$B$5:$B$1004,K$24)&gt;0,"✓",""))</f>
        <v/>
      </c>
      <c r="L157" s="57">
        <f>IF(OR($A157="",L$24=""),"",IF(COUNTIFS('AFA Rates'!$A$5:$A$1004,$A157,'AFA Rates'!$B$5:$B$1004,L$24)&gt;0,"✓",""))</f>
        <v/>
      </c>
      <c r="M157" s="57">
        <f>IF(OR($A157="",M$24=""),"",IF(COUNTIFS('AFA Rates'!$A$5:$A$1004,$A157,'AFA Rates'!$B$5:$B$1004,M$24)&gt;0,"✓",""))</f>
        <v/>
      </c>
    </row>
    <row r="158">
      <c r="A158" s="63">
        <f>IFERROR(INDEX(Firms!$A$5:$A$1004,MATCH(134,Firms!$S$5:$S$1004,0)),"")</f>
        <v/>
      </c>
      <c r="B158" s="57">
        <f>IF($A158="","",INDEX(Firms!$B$5:$B$1004,MATCH(134,Firms!$S$5:$S$1004,0)))</f>
        <v/>
      </c>
      <c r="C158" s="57">
        <f>IF($A158="","",COUNTIF('AFA Rates'!$A$5:$A$1004,$A158))</f>
        <v/>
      </c>
      <c r="D158" s="57">
        <f>IF(OR($A158="",D$24=""),"",IF(COUNTIFS('AFA Rates'!$A$5:$A$1004,$A158,'AFA Rates'!$B$5:$B$1004,D$24)&gt;0,"✓",""))</f>
        <v/>
      </c>
      <c r="E158" s="57">
        <f>IF(OR($A158="",E$24=""),"",IF(COUNTIFS('AFA Rates'!$A$5:$A$1004,$A158,'AFA Rates'!$B$5:$B$1004,E$24)&gt;0,"✓",""))</f>
        <v/>
      </c>
      <c r="F158" s="57">
        <f>IF(OR($A158="",F$24=""),"",IF(COUNTIFS('AFA Rates'!$A$5:$A$1004,$A158,'AFA Rates'!$B$5:$B$1004,F$24)&gt;0,"✓",""))</f>
        <v/>
      </c>
      <c r="G158" s="57">
        <f>IF(OR($A158="",G$24=""),"",IF(COUNTIFS('AFA Rates'!$A$5:$A$1004,$A158,'AFA Rates'!$B$5:$B$1004,G$24)&gt;0,"✓",""))</f>
        <v/>
      </c>
      <c r="H158" s="57">
        <f>IF(OR($A158="",H$24=""),"",IF(COUNTIFS('AFA Rates'!$A$5:$A$1004,$A158,'AFA Rates'!$B$5:$B$1004,H$24)&gt;0,"✓",""))</f>
        <v/>
      </c>
      <c r="I158" s="57">
        <f>IF(OR($A158="",I$24=""),"",IF(COUNTIFS('AFA Rates'!$A$5:$A$1004,$A158,'AFA Rates'!$B$5:$B$1004,I$24)&gt;0,"✓",""))</f>
        <v/>
      </c>
      <c r="J158" s="57">
        <f>IF(OR($A158="",J$24=""),"",IF(COUNTIFS('AFA Rates'!$A$5:$A$1004,$A158,'AFA Rates'!$B$5:$B$1004,J$24)&gt;0,"✓",""))</f>
        <v/>
      </c>
      <c r="K158" s="57">
        <f>IF(OR($A158="",K$24=""),"",IF(COUNTIFS('AFA Rates'!$A$5:$A$1004,$A158,'AFA Rates'!$B$5:$B$1004,K$24)&gt;0,"✓",""))</f>
        <v/>
      </c>
      <c r="L158" s="57">
        <f>IF(OR($A158="",L$24=""),"",IF(COUNTIFS('AFA Rates'!$A$5:$A$1004,$A158,'AFA Rates'!$B$5:$B$1004,L$24)&gt;0,"✓",""))</f>
        <v/>
      </c>
      <c r="M158" s="57">
        <f>IF(OR($A158="",M$24=""),"",IF(COUNTIFS('AFA Rates'!$A$5:$A$1004,$A158,'AFA Rates'!$B$5:$B$1004,M$24)&gt;0,"✓",""))</f>
        <v/>
      </c>
    </row>
    <row r="159">
      <c r="A159" s="63">
        <f>IFERROR(INDEX(Firms!$A$5:$A$1004,MATCH(135,Firms!$S$5:$S$1004,0)),"")</f>
        <v/>
      </c>
      <c r="B159" s="57">
        <f>IF($A159="","",INDEX(Firms!$B$5:$B$1004,MATCH(135,Firms!$S$5:$S$1004,0)))</f>
        <v/>
      </c>
      <c r="C159" s="57">
        <f>IF($A159="","",COUNTIF('AFA Rates'!$A$5:$A$1004,$A159))</f>
        <v/>
      </c>
      <c r="D159" s="57">
        <f>IF(OR($A159="",D$24=""),"",IF(COUNTIFS('AFA Rates'!$A$5:$A$1004,$A159,'AFA Rates'!$B$5:$B$1004,D$24)&gt;0,"✓",""))</f>
        <v/>
      </c>
      <c r="E159" s="57">
        <f>IF(OR($A159="",E$24=""),"",IF(COUNTIFS('AFA Rates'!$A$5:$A$1004,$A159,'AFA Rates'!$B$5:$B$1004,E$24)&gt;0,"✓",""))</f>
        <v/>
      </c>
      <c r="F159" s="57">
        <f>IF(OR($A159="",F$24=""),"",IF(COUNTIFS('AFA Rates'!$A$5:$A$1004,$A159,'AFA Rates'!$B$5:$B$1004,F$24)&gt;0,"✓",""))</f>
        <v/>
      </c>
      <c r="G159" s="57">
        <f>IF(OR($A159="",G$24=""),"",IF(COUNTIFS('AFA Rates'!$A$5:$A$1004,$A159,'AFA Rates'!$B$5:$B$1004,G$24)&gt;0,"✓",""))</f>
        <v/>
      </c>
      <c r="H159" s="57">
        <f>IF(OR($A159="",H$24=""),"",IF(COUNTIFS('AFA Rates'!$A$5:$A$1004,$A159,'AFA Rates'!$B$5:$B$1004,H$24)&gt;0,"✓",""))</f>
        <v/>
      </c>
      <c r="I159" s="57">
        <f>IF(OR($A159="",I$24=""),"",IF(COUNTIFS('AFA Rates'!$A$5:$A$1004,$A159,'AFA Rates'!$B$5:$B$1004,I$24)&gt;0,"✓",""))</f>
        <v/>
      </c>
      <c r="J159" s="57">
        <f>IF(OR($A159="",J$24=""),"",IF(COUNTIFS('AFA Rates'!$A$5:$A$1004,$A159,'AFA Rates'!$B$5:$B$1004,J$24)&gt;0,"✓",""))</f>
        <v/>
      </c>
      <c r="K159" s="57">
        <f>IF(OR($A159="",K$24=""),"",IF(COUNTIFS('AFA Rates'!$A$5:$A$1004,$A159,'AFA Rates'!$B$5:$B$1004,K$24)&gt;0,"✓",""))</f>
        <v/>
      </c>
      <c r="L159" s="57">
        <f>IF(OR($A159="",L$24=""),"",IF(COUNTIFS('AFA Rates'!$A$5:$A$1004,$A159,'AFA Rates'!$B$5:$B$1004,L$24)&gt;0,"✓",""))</f>
        <v/>
      </c>
      <c r="M159" s="57">
        <f>IF(OR($A159="",M$24=""),"",IF(COUNTIFS('AFA Rates'!$A$5:$A$1004,$A159,'AFA Rates'!$B$5:$B$1004,M$24)&gt;0,"✓",""))</f>
        <v/>
      </c>
    </row>
    <row r="160">
      <c r="A160" s="63">
        <f>IFERROR(INDEX(Firms!$A$5:$A$1004,MATCH(136,Firms!$S$5:$S$1004,0)),"")</f>
        <v/>
      </c>
      <c r="B160" s="57">
        <f>IF($A160="","",INDEX(Firms!$B$5:$B$1004,MATCH(136,Firms!$S$5:$S$1004,0)))</f>
        <v/>
      </c>
      <c r="C160" s="57">
        <f>IF($A160="","",COUNTIF('AFA Rates'!$A$5:$A$1004,$A160))</f>
        <v/>
      </c>
      <c r="D160" s="57">
        <f>IF(OR($A160="",D$24=""),"",IF(COUNTIFS('AFA Rates'!$A$5:$A$1004,$A160,'AFA Rates'!$B$5:$B$1004,D$24)&gt;0,"✓",""))</f>
        <v/>
      </c>
      <c r="E160" s="57">
        <f>IF(OR($A160="",E$24=""),"",IF(COUNTIFS('AFA Rates'!$A$5:$A$1004,$A160,'AFA Rates'!$B$5:$B$1004,E$24)&gt;0,"✓",""))</f>
        <v/>
      </c>
      <c r="F160" s="57">
        <f>IF(OR($A160="",F$24=""),"",IF(COUNTIFS('AFA Rates'!$A$5:$A$1004,$A160,'AFA Rates'!$B$5:$B$1004,F$24)&gt;0,"✓",""))</f>
        <v/>
      </c>
      <c r="G160" s="57">
        <f>IF(OR($A160="",G$24=""),"",IF(COUNTIFS('AFA Rates'!$A$5:$A$1004,$A160,'AFA Rates'!$B$5:$B$1004,G$24)&gt;0,"✓",""))</f>
        <v/>
      </c>
      <c r="H160" s="57">
        <f>IF(OR($A160="",H$24=""),"",IF(COUNTIFS('AFA Rates'!$A$5:$A$1004,$A160,'AFA Rates'!$B$5:$B$1004,H$24)&gt;0,"✓",""))</f>
        <v/>
      </c>
      <c r="I160" s="57">
        <f>IF(OR($A160="",I$24=""),"",IF(COUNTIFS('AFA Rates'!$A$5:$A$1004,$A160,'AFA Rates'!$B$5:$B$1004,I$24)&gt;0,"✓",""))</f>
        <v/>
      </c>
      <c r="J160" s="57">
        <f>IF(OR($A160="",J$24=""),"",IF(COUNTIFS('AFA Rates'!$A$5:$A$1004,$A160,'AFA Rates'!$B$5:$B$1004,J$24)&gt;0,"✓",""))</f>
        <v/>
      </c>
      <c r="K160" s="57">
        <f>IF(OR($A160="",K$24=""),"",IF(COUNTIFS('AFA Rates'!$A$5:$A$1004,$A160,'AFA Rates'!$B$5:$B$1004,K$24)&gt;0,"✓",""))</f>
        <v/>
      </c>
      <c r="L160" s="57">
        <f>IF(OR($A160="",L$24=""),"",IF(COUNTIFS('AFA Rates'!$A$5:$A$1004,$A160,'AFA Rates'!$B$5:$B$1004,L$24)&gt;0,"✓",""))</f>
        <v/>
      </c>
      <c r="M160" s="57">
        <f>IF(OR($A160="",M$24=""),"",IF(COUNTIFS('AFA Rates'!$A$5:$A$1004,$A160,'AFA Rates'!$B$5:$B$1004,M$24)&gt;0,"✓",""))</f>
        <v/>
      </c>
    </row>
    <row r="161">
      <c r="A161" s="63">
        <f>IFERROR(INDEX(Firms!$A$5:$A$1004,MATCH(137,Firms!$S$5:$S$1004,0)),"")</f>
        <v/>
      </c>
      <c r="B161" s="57">
        <f>IF($A161="","",INDEX(Firms!$B$5:$B$1004,MATCH(137,Firms!$S$5:$S$1004,0)))</f>
        <v/>
      </c>
      <c r="C161" s="57">
        <f>IF($A161="","",COUNTIF('AFA Rates'!$A$5:$A$1004,$A161))</f>
        <v/>
      </c>
      <c r="D161" s="57">
        <f>IF(OR($A161="",D$24=""),"",IF(COUNTIFS('AFA Rates'!$A$5:$A$1004,$A161,'AFA Rates'!$B$5:$B$1004,D$24)&gt;0,"✓",""))</f>
        <v/>
      </c>
      <c r="E161" s="57">
        <f>IF(OR($A161="",E$24=""),"",IF(COUNTIFS('AFA Rates'!$A$5:$A$1004,$A161,'AFA Rates'!$B$5:$B$1004,E$24)&gt;0,"✓",""))</f>
        <v/>
      </c>
      <c r="F161" s="57">
        <f>IF(OR($A161="",F$24=""),"",IF(COUNTIFS('AFA Rates'!$A$5:$A$1004,$A161,'AFA Rates'!$B$5:$B$1004,F$24)&gt;0,"✓",""))</f>
        <v/>
      </c>
      <c r="G161" s="57">
        <f>IF(OR($A161="",G$24=""),"",IF(COUNTIFS('AFA Rates'!$A$5:$A$1004,$A161,'AFA Rates'!$B$5:$B$1004,G$24)&gt;0,"✓",""))</f>
        <v/>
      </c>
      <c r="H161" s="57">
        <f>IF(OR($A161="",H$24=""),"",IF(COUNTIFS('AFA Rates'!$A$5:$A$1004,$A161,'AFA Rates'!$B$5:$B$1004,H$24)&gt;0,"✓",""))</f>
        <v/>
      </c>
      <c r="I161" s="57">
        <f>IF(OR($A161="",I$24=""),"",IF(COUNTIFS('AFA Rates'!$A$5:$A$1004,$A161,'AFA Rates'!$B$5:$B$1004,I$24)&gt;0,"✓",""))</f>
        <v/>
      </c>
      <c r="J161" s="57">
        <f>IF(OR($A161="",J$24=""),"",IF(COUNTIFS('AFA Rates'!$A$5:$A$1004,$A161,'AFA Rates'!$B$5:$B$1004,J$24)&gt;0,"✓",""))</f>
        <v/>
      </c>
      <c r="K161" s="57">
        <f>IF(OR($A161="",K$24=""),"",IF(COUNTIFS('AFA Rates'!$A$5:$A$1004,$A161,'AFA Rates'!$B$5:$B$1004,K$24)&gt;0,"✓",""))</f>
        <v/>
      </c>
      <c r="L161" s="57">
        <f>IF(OR($A161="",L$24=""),"",IF(COUNTIFS('AFA Rates'!$A$5:$A$1004,$A161,'AFA Rates'!$B$5:$B$1004,L$24)&gt;0,"✓",""))</f>
        <v/>
      </c>
      <c r="M161" s="57">
        <f>IF(OR($A161="",M$24=""),"",IF(COUNTIFS('AFA Rates'!$A$5:$A$1004,$A161,'AFA Rates'!$B$5:$B$1004,M$24)&gt;0,"✓",""))</f>
        <v/>
      </c>
    </row>
    <row r="162">
      <c r="A162" s="63">
        <f>IFERROR(INDEX(Firms!$A$5:$A$1004,MATCH(138,Firms!$S$5:$S$1004,0)),"")</f>
        <v/>
      </c>
      <c r="B162" s="57">
        <f>IF($A162="","",INDEX(Firms!$B$5:$B$1004,MATCH(138,Firms!$S$5:$S$1004,0)))</f>
        <v/>
      </c>
      <c r="C162" s="57">
        <f>IF($A162="","",COUNTIF('AFA Rates'!$A$5:$A$1004,$A162))</f>
        <v/>
      </c>
      <c r="D162" s="57">
        <f>IF(OR($A162="",D$24=""),"",IF(COUNTIFS('AFA Rates'!$A$5:$A$1004,$A162,'AFA Rates'!$B$5:$B$1004,D$24)&gt;0,"✓",""))</f>
        <v/>
      </c>
      <c r="E162" s="57">
        <f>IF(OR($A162="",E$24=""),"",IF(COUNTIFS('AFA Rates'!$A$5:$A$1004,$A162,'AFA Rates'!$B$5:$B$1004,E$24)&gt;0,"✓",""))</f>
        <v/>
      </c>
      <c r="F162" s="57">
        <f>IF(OR($A162="",F$24=""),"",IF(COUNTIFS('AFA Rates'!$A$5:$A$1004,$A162,'AFA Rates'!$B$5:$B$1004,F$24)&gt;0,"✓",""))</f>
        <v/>
      </c>
      <c r="G162" s="57">
        <f>IF(OR($A162="",G$24=""),"",IF(COUNTIFS('AFA Rates'!$A$5:$A$1004,$A162,'AFA Rates'!$B$5:$B$1004,G$24)&gt;0,"✓",""))</f>
        <v/>
      </c>
      <c r="H162" s="57">
        <f>IF(OR($A162="",H$24=""),"",IF(COUNTIFS('AFA Rates'!$A$5:$A$1004,$A162,'AFA Rates'!$B$5:$B$1004,H$24)&gt;0,"✓",""))</f>
        <v/>
      </c>
      <c r="I162" s="57">
        <f>IF(OR($A162="",I$24=""),"",IF(COUNTIFS('AFA Rates'!$A$5:$A$1004,$A162,'AFA Rates'!$B$5:$B$1004,I$24)&gt;0,"✓",""))</f>
        <v/>
      </c>
      <c r="J162" s="57">
        <f>IF(OR($A162="",J$24=""),"",IF(COUNTIFS('AFA Rates'!$A$5:$A$1004,$A162,'AFA Rates'!$B$5:$B$1004,J$24)&gt;0,"✓",""))</f>
        <v/>
      </c>
      <c r="K162" s="57">
        <f>IF(OR($A162="",K$24=""),"",IF(COUNTIFS('AFA Rates'!$A$5:$A$1004,$A162,'AFA Rates'!$B$5:$B$1004,K$24)&gt;0,"✓",""))</f>
        <v/>
      </c>
      <c r="L162" s="57">
        <f>IF(OR($A162="",L$24=""),"",IF(COUNTIFS('AFA Rates'!$A$5:$A$1004,$A162,'AFA Rates'!$B$5:$B$1004,L$24)&gt;0,"✓",""))</f>
        <v/>
      </c>
      <c r="M162" s="57">
        <f>IF(OR($A162="",M$24=""),"",IF(COUNTIFS('AFA Rates'!$A$5:$A$1004,$A162,'AFA Rates'!$B$5:$B$1004,M$24)&gt;0,"✓",""))</f>
        <v/>
      </c>
    </row>
    <row r="163">
      <c r="A163" s="63">
        <f>IFERROR(INDEX(Firms!$A$5:$A$1004,MATCH(139,Firms!$S$5:$S$1004,0)),"")</f>
        <v/>
      </c>
      <c r="B163" s="57">
        <f>IF($A163="","",INDEX(Firms!$B$5:$B$1004,MATCH(139,Firms!$S$5:$S$1004,0)))</f>
        <v/>
      </c>
      <c r="C163" s="57">
        <f>IF($A163="","",COUNTIF('AFA Rates'!$A$5:$A$1004,$A163))</f>
        <v/>
      </c>
      <c r="D163" s="57">
        <f>IF(OR($A163="",D$24=""),"",IF(COUNTIFS('AFA Rates'!$A$5:$A$1004,$A163,'AFA Rates'!$B$5:$B$1004,D$24)&gt;0,"✓",""))</f>
        <v/>
      </c>
      <c r="E163" s="57">
        <f>IF(OR($A163="",E$24=""),"",IF(COUNTIFS('AFA Rates'!$A$5:$A$1004,$A163,'AFA Rates'!$B$5:$B$1004,E$24)&gt;0,"✓",""))</f>
        <v/>
      </c>
      <c r="F163" s="57">
        <f>IF(OR($A163="",F$24=""),"",IF(COUNTIFS('AFA Rates'!$A$5:$A$1004,$A163,'AFA Rates'!$B$5:$B$1004,F$24)&gt;0,"✓",""))</f>
        <v/>
      </c>
      <c r="G163" s="57">
        <f>IF(OR($A163="",G$24=""),"",IF(COUNTIFS('AFA Rates'!$A$5:$A$1004,$A163,'AFA Rates'!$B$5:$B$1004,G$24)&gt;0,"✓",""))</f>
        <v/>
      </c>
      <c r="H163" s="57">
        <f>IF(OR($A163="",H$24=""),"",IF(COUNTIFS('AFA Rates'!$A$5:$A$1004,$A163,'AFA Rates'!$B$5:$B$1004,H$24)&gt;0,"✓",""))</f>
        <v/>
      </c>
      <c r="I163" s="57">
        <f>IF(OR($A163="",I$24=""),"",IF(COUNTIFS('AFA Rates'!$A$5:$A$1004,$A163,'AFA Rates'!$B$5:$B$1004,I$24)&gt;0,"✓",""))</f>
        <v/>
      </c>
      <c r="J163" s="57">
        <f>IF(OR($A163="",J$24=""),"",IF(COUNTIFS('AFA Rates'!$A$5:$A$1004,$A163,'AFA Rates'!$B$5:$B$1004,J$24)&gt;0,"✓",""))</f>
        <v/>
      </c>
      <c r="K163" s="57">
        <f>IF(OR($A163="",K$24=""),"",IF(COUNTIFS('AFA Rates'!$A$5:$A$1004,$A163,'AFA Rates'!$B$5:$B$1004,K$24)&gt;0,"✓",""))</f>
        <v/>
      </c>
      <c r="L163" s="57">
        <f>IF(OR($A163="",L$24=""),"",IF(COUNTIFS('AFA Rates'!$A$5:$A$1004,$A163,'AFA Rates'!$B$5:$B$1004,L$24)&gt;0,"✓",""))</f>
        <v/>
      </c>
      <c r="M163" s="57">
        <f>IF(OR($A163="",M$24=""),"",IF(COUNTIFS('AFA Rates'!$A$5:$A$1004,$A163,'AFA Rates'!$B$5:$B$1004,M$24)&gt;0,"✓",""))</f>
        <v/>
      </c>
    </row>
    <row r="164">
      <c r="A164" s="63">
        <f>IFERROR(INDEX(Firms!$A$5:$A$1004,MATCH(140,Firms!$S$5:$S$1004,0)),"")</f>
        <v/>
      </c>
      <c r="B164" s="57">
        <f>IF($A164="","",INDEX(Firms!$B$5:$B$1004,MATCH(140,Firms!$S$5:$S$1004,0)))</f>
        <v/>
      </c>
      <c r="C164" s="57">
        <f>IF($A164="","",COUNTIF('AFA Rates'!$A$5:$A$1004,$A164))</f>
        <v/>
      </c>
      <c r="D164" s="57">
        <f>IF(OR($A164="",D$24=""),"",IF(COUNTIFS('AFA Rates'!$A$5:$A$1004,$A164,'AFA Rates'!$B$5:$B$1004,D$24)&gt;0,"✓",""))</f>
        <v/>
      </c>
      <c r="E164" s="57">
        <f>IF(OR($A164="",E$24=""),"",IF(COUNTIFS('AFA Rates'!$A$5:$A$1004,$A164,'AFA Rates'!$B$5:$B$1004,E$24)&gt;0,"✓",""))</f>
        <v/>
      </c>
      <c r="F164" s="57">
        <f>IF(OR($A164="",F$24=""),"",IF(COUNTIFS('AFA Rates'!$A$5:$A$1004,$A164,'AFA Rates'!$B$5:$B$1004,F$24)&gt;0,"✓",""))</f>
        <v/>
      </c>
      <c r="G164" s="57">
        <f>IF(OR($A164="",G$24=""),"",IF(COUNTIFS('AFA Rates'!$A$5:$A$1004,$A164,'AFA Rates'!$B$5:$B$1004,G$24)&gt;0,"✓",""))</f>
        <v/>
      </c>
      <c r="H164" s="57">
        <f>IF(OR($A164="",H$24=""),"",IF(COUNTIFS('AFA Rates'!$A$5:$A$1004,$A164,'AFA Rates'!$B$5:$B$1004,H$24)&gt;0,"✓",""))</f>
        <v/>
      </c>
      <c r="I164" s="57">
        <f>IF(OR($A164="",I$24=""),"",IF(COUNTIFS('AFA Rates'!$A$5:$A$1004,$A164,'AFA Rates'!$B$5:$B$1004,I$24)&gt;0,"✓",""))</f>
        <v/>
      </c>
      <c r="J164" s="57">
        <f>IF(OR($A164="",J$24=""),"",IF(COUNTIFS('AFA Rates'!$A$5:$A$1004,$A164,'AFA Rates'!$B$5:$B$1004,J$24)&gt;0,"✓",""))</f>
        <v/>
      </c>
      <c r="K164" s="57">
        <f>IF(OR($A164="",K$24=""),"",IF(COUNTIFS('AFA Rates'!$A$5:$A$1004,$A164,'AFA Rates'!$B$5:$B$1004,K$24)&gt;0,"✓",""))</f>
        <v/>
      </c>
      <c r="L164" s="57">
        <f>IF(OR($A164="",L$24=""),"",IF(COUNTIFS('AFA Rates'!$A$5:$A$1004,$A164,'AFA Rates'!$B$5:$B$1004,L$24)&gt;0,"✓",""))</f>
        <v/>
      </c>
      <c r="M164" s="57">
        <f>IF(OR($A164="",M$24=""),"",IF(COUNTIFS('AFA Rates'!$A$5:$A$1004,$A164,'AFA Rates'!$B$5:$B$1004,M$24)&gt;0,"✓",""))</f>
        <v/>
      </c>
    </row>
    <row r="165">
      <c r="A165" s="63">
        <f>IFERROR(INDEX(Firms!$A$5:$A$1004,MATCH(141,Firms!$S$5:$S$1004,0)),"")</f>
        <v/>
      </c>
      <c r="B165" s="57">
        <f>IF($A165="","",INDEX(Firms!$B$5:$B$1004,MATCH(141,Firms!$S$5:$S$1004,0)))</f>
        <v/>
      </c>
      <c r="C165" s="57">
        <f>IF($A165="","",COUNTIF('AFA Rates'!$A$5:$A$1004,$A165))</f>
        <v/>
      </c>
      <c r="D165" s="57">
        <f>IF(OR($A165="",D$24=""),"",IF(COUNTIFS('AFA Rates'!$A$5:$A$1004,$A165,'AFA Rates'!$B$5:$B$1004,D$24)&gt;0,"✓",""))</f>
        <v/>
      </c>
      <c r="E165" s="57">
        <f>IF(OR($A165="",E$24=""),"",IF(COUNTIFS('AFA Rates'!$A$5:$A$1004,$A165,'AFA Rates'!$B$5:$B$1004,E$24)&gt;0,"✓",""))</f>
        <v/>
      </c>
      <c r="F165" s="57">
        <f>IF(OR($A165="",F$24=""),"",IF(COUNTIFS('AFA Rates'!$A$5:$A$1004,$A165,'AFA Rates'!$B$5:$B$1004,F$24)&gt;0,"✓",""))</f>
        <v/>
      </c>
      <c r="G165" s="57">
        <f>IF(OR($A165="",G$24=""),"",IF(COUNTIFS('AFA Rates'!$A$5:$A$1004,$A165,'AFA Rates'!$B$5:$B$1004,G$24)&gt;0,"✓",""))</f>
        <v/>
      </c>
      <c r="H165" s="57">
        <f>IF(OR($A165="",H$24=""),"",IF(COUNTIFS('AFA Rates'!$A$5:$A$1004,$A165,'AFA Rates'!$B$5:$B$1004,H$24)&gt;0,"✓",""))</f>
        <v/>
      </c>
      <c r="I165" s="57">
        <f>IF(OR($A165="",I$24=""),"",IF(COUNTIFS('AFA Rates'!$A$5:$A$1004,$A165,'AFA Rates'!$B$5:$B$1004,I$24)&gt;0,"✓",""))</f>
        <v/>
      </c>
      <c r="J165" s="57">
        <f>IF(OR($A165="",J$24=""),"",IF(COUNTIFS('AFA Rates'!$A$5:$A$1004,$A165,'AFA Rates'!$B$5:$B$1004,J$24)&gt;0,"✓",""))</f>
        <v/>
      </c>
      <c r="K165" s="57">
        <f>IF(OR($A165="",K$24=""),"",IF(COUNTIFS('AFA Rates'!$A$5:$A$1004,$A165,'AFA Rates'!$B$5:$B$1004,K$24)&gt;0,"✓",""))</f>
        <v/>
      </c>
      <c r="L165" s="57">
        <f>IF(OR($A165="",L$24=""),"",IF(COUNTIFS('AFA Rates'!$A$5:$A$1004,$A165,'AFA Rates'!$B$5:$B$1004,L$24)&gt;0,"✓",""))</f>
        <v/>
      </c>
      <c r="M165" s="57">
        <f>IF(OR($A165="",M$24=""),"",IF(COUNTIFS('AFA Rates'!$A$5:$A$1004,$A165,'AFA Rates'!$B$5:$B$1004,M$24)&gt;0,"✓",""))</f>
        <v/>
      </c>
    </row>
    <row r="166">
      <c r="A166" s="63">
        <f>IFERROR(INDEX(Firms!$A$5:$A$1004,MATCH(142,Firms!$S$5:$S$1004,0)),"")</f>
        <v/>
      </c>
      <c r="B166" s="57">
        <f>IF($A166="","",INDEX(Firms!$B$5:$B$1004,MATCH(142,Firms!$S$5:$S$1004,0)))</f>
        <v/>
      </c>
      <c r="C166" s="57">
        <f>IF($A166="","",COUNTIF('AFA Rates'!$A$5:$A$1004,$A166))</f>
        <v/>
      </c>
      <c r="D166" s="57">
        <f>IF(OR($A166="",D$24=""),"",IF(COUNTIFS('AFA Rates'!$A$5:$A$1004,$A166,'AFA Rates'!$B$5:$B$1004,D$24)&gt;0,"✓",""))</f>
        <v/>
      </c>
      <c r="E166" s="57">
        <f>IF(OR($A166="",E$24=""),"",IF(COUNTIFS('AFA Rates'!$A$5:$A$1004,$A166,'AFA Rates'!$B$5:$B$1004,E$24)&gt;0,"✓",""))</f>
        <v/>
      </c>
      <c r="F166" s="57">
        <f>IF(OR($A166="",F$24=""),"",IF(COUNTIFS('AFA Rates'!$A$5:$A$1004,$A166,'AFA Rates'!$B$5:$B$1004,F$24)&gt;0,"✓",""))</f>
        <v/>
      </c>
      <c r="G166" s="57">
        <f>IF(OR($A166="",G$24=""),"",IF(COUNTIFS('AFA Rates'!$A$5:$A$1004,$A166,'AFA Rates'!$B$5:$B$1004,G$24)&gt;0,"✓",""))</f>
        <v/>
      </c>
      <c r="H166" s="57">
        <f>IF(OR($A166="",H$24=""),"",IF(COUNTIFS('AFA Rates'!$A$5:$A$1004,$A166,'AFA Rates'!$B$5:$B$1004,H$24)&gt;0,"✓",""))</f>
        <v/>
      </c>
      <c r="I166" s="57">
        <f>IF(OR($A166="",I$24=""),"",IF(COUNTIFS('AFA Rates'!$A$5:$A$1004,$A166,'AFA Rates'!$B$5:$B$1004,I$24)&gt;0,"✓",""))</f>
        <v/>
      </c>
      <c r="J166" s="57">
        <f>IF(OR($A166="",J$24=""),"",IF(COUNTIFS('AFA Rates'!$A$5:$A$1004,$A166,'AFA Rates'!$B$5:$B$1004,J$24)&gt;0,"✓",""))</f>
        <v/>
      </c>
      <c r="K166" s="57">
        <f>IF(OR($A166="",K$24=""),"",IF(COUNTIFS('AFA Rates'!$A$5:$A$1004,$A166,'AFA Rates'!$B$5:$B$1004,K$24)&gt;0,"✓",""))</f>
        <v/>
      </c>
      <c r="L166" s="57">
        <f>IF(OR($A166="",L$24=""),"",IF(COUNTIFS('AFA Rates'!$A$5:$A$1004,$A166,'AFA Rates'!$B$5:$B$1004,L$24)&gt;0,"✓",""))</f>
        <v/>
      </c>
      <c r="M166" s="57">
        <f>IF(OR($A166="",M$24=""),"",IF(COUNTIFS('AFA Rates'!$A$5:$A$1004,$A166,'AFA Rates'!$B$5:$B$1004,M$24)&gt;0,"✓",""))</f>
        <v/>
      </c>
    </row>
    <row r="167">
      <c r="A167" s="63">
        <f>IFERROR(INDEX(Firms!$A$5:$A$1004,MATCH(143,Firms!$S$5:$S$1004,0)),"")</f>
        <v/>
      </c>
      <c r="B167" s="57">
        <f>IF($A167="","",INDEX(Firms!$B$5:$B$1004,MATCH(143,Firms!$S$5:$S$1004,0)))</f>
        <v/>
      </c>
      <c r="C167" s="57">
        <f>IF($A167="","",COUNTIF('AFA Rates'!$A$5:$A$1004,$A167))</f>
        <v/>
      </c>
      <c r="D167" s="57">
        <f>IF(OR($A167="",D$24=""),"",IF(COUNTIFS('AFA Rates'!$A$5:$A$1004,$A167,'AFA Rates'!$B$5:$B$1004,D$24)&gt;0,"✓",""))</f>
        <v/>
      </c>
      <c r="E167" s="57">
        <f>IF(OR($A167="",E$24=""),"",IF(COUNTIFS('AFA Rates'!$A$5:$A$1004,$A167,'AFA Rates'!$B$5:$B$1004,E$24)&gt;0,"✓",""))</f>
        <v/>
      </c>
      <c r="F167" s="57">
        <f>IF(OR($A167="",F$24=""),"",IF(COUNTIFS('AFA Rates'!$A$5:$A$1004,$A167,'AFA Rates'!$B$5:$B$1004,F$24)&gt;0,"✓",""))</f>
        <v/>
      </c>
      <c r="G167" s="57">
        <f>IF(OR($A167="",G$24=""),"",IF(COUNTIFS('AFA Rates'!$A$5:$A$1004,$A167,'AFA Rates'!$B$5:$B$1004,G$24)&gt;0,"✓",""))</f>
        <v/>
      </c>
      <c r="H167" s="57">
        <f>IF(OR($A167="",H$24=""),"",IF(COUNTIFS('AFA Rates'!$A$5:$A$1004,$A167,'AFA Rates'!$B$5:$B$1004,H$24)&gt;0,"✓",""))</f>
        <v/>
      </c>
      <c r="I167" s="57">
        <f>IF(OR($A167="",I$24=""),"",IF(COUNTIFS('AFA Rates'!$A$5:$A$1004,$A167,'AFA Rates'!$B$5:$B$1004,I$24)&gt;0,"✓",""))</f>
        <v/>
      </c>
      <c r="J167" s="57">
        <f>IF(OR($A167="",J$24=""),"",IF(COUNTIFS('AFA Rates'!$A$5:$A$1004,$A167,'AFA Rates'!$B$5:$B$1004,J$24)&gt;0,"✓",""))</f>
        <v/>
      </c>
      <c r="K167" s="57">
        <f>IF(OR($A167="",K$24=""),"",IF(COUNTIFS('AFA Rates'!$A$5:$A$1004,$A167,'AFA Rates'!$B$5:$B$1004,K$24)&gt;0,"✓",""))</f>
        <v/>
      </c>
      <c r="L167" s="57">
        <f>IF(OR($A167="",L$24=""),"",IF(COUNTIFS('AFA Rates'!$A$5:$A$1004,$A167,'AFA Rates'!$B$5:$B$1004,L$24)&gt;0,"✓",""))</f>
        <v/>
      </c>
      <c r="M167" s="57">
        <f>IF(OR($A167="",M$24=""),"",IF(COUNTIFS('AFA Rates'!$A$5:$A$1004,$A167,'AFA Rates'!$B$5:$B$1004,M$24)&gt;0,"✓",""))</f>
        <v/>
      </c>
    </row>
    <row r="168">
      <c r="A168" s="63">
        <f>IFERROR(INDEX(Firms!$A$5:$A$1004,MATCH(144,Firms!$S$5:$S$1004,0)),"")</f>
        <v/>
      </c>
      <c r="B168" s="57">
        <f>IF($A168="","",INDEX(Firms!$B$5:$B$1004,MATCH(144,Firms!$S$5:$S$1004,0)))</f>
        <v/>
      </c>
      <c r="C168" s="57">
        <f>IF($A168="","",COUNTIF('AFA Rates'!$A$5:$A$1004,$A168))</f>
        <v/>
      </c>
      <c r="D168" s="57">
        <f>IF(OR($A168="",D$24=""),"",IF(COUNTIFS('AFA Rates'!$A$5:$A$1004,$A168,'AFA Rates'!$B$5:$B$1004,D$24)&gt;0,"✓",""))</f>
        <v/>
      </c>
      <c r="E168" s="57">
        <f>IF(OR($A168="",E$24=""),"",IF(COUNTIFS('AFA Rates'!$A$5:$A$1004,$A168,'AFA Rates'!$B$5:$B$1004,E$24)&gt;0,"✓",""))</f>
        <v/>
      </c>
      <c r="F168" s="57">
        <f>IF(OR($A168="",F$24=""),"",IF(COUNTIFS('AFA Rates'!$A$5:$A$1004,$A168,'AFA Rates'!$B$5:$B$1004,F$24)&gt;0,"✓",""))</f>
        <v/>
      </c>
      <c r="G168" s="57">
        <f>IF(OR($A168="",G$24=""),"",IF(COUNTIFS('AFA Rates'!$A$5:$A$1004,$A168,'AFA Rates'!$B$5:$B$1004,G$24)&gt;0,"✓",""))</f>
        <v/>
      </c>
      <c r="H168" s="57">
        <f>IF(OR($A168="",H$24=""),"",IF(COUNTIFS('AFA Rates'!$A$5:$A$1004,$A168,'AFA Rates'!$B$5:$B$1004,H$24)&gt;0,"✓",""))</f>
        <v/>
      </c>
      <c r="I168" s="57">
        <f>IF(OR($A168="",I$24=""),"",IF(COUNTIFS('AFA Rates'!$A$5:$A$1004,$A168,'AFA Rates'!$B$5:$B$1004,I$24)&gt;0,"✓",""))</f>
        <v/>
      </c>
      <c r="J168" s="57">
        <f>IF(OR($A168="",J$24=""),"",IF(COUNTIFS('AFA Rates'!$A$5:$A$1004,$A168,'AFA Rates'!$B$5:$B$1004,J$24)&gt;0,"✓",""))</f>
        <v/>
      </c>
      <c r="K168" s="57">
        <f>IF(OR($A168="",K$24=""),"",IF(COUNTIFS('AFA Rates'!$A$5:$A$1004,$A168,'AFA Rates'!$B$5:$B$1004,K$24)&gt;0,"✓",""))</f>
        <v/>
      </c>
      <c r="L168" s="57">
        <f>IF(OR($A168="",L$24=""),"",IF(COUNTIFS('AFA Rates'!$A$5:$A$1004,$A168,'AFA Rates'!$B$5:$B$1004,L$24)&gt;0,"✓",""))</f>
        <v/>
      </c>
      <c r="M168" s="57">
        <f>IF(OR($A168="",M$24=""),"",IF(COUNTIFS('AFA Rates'!$A$5:$A$1004,$A168,'AFA Rates'!$B$5:$B$1004,M$24)&gt;0,"✓",""))</f>
        <v/>
      </c>
    </row>
    <row r="169">
      <c r="A169" s="63">
        <f>IFERROR(INDEX(Firms!$A$5:$A$1004,MATCH(145,Firms!$S$5:$S$1004,0)),"")</f>
        <v/>
      </c>
      <c r="B169" s="57">
        <f>IF($A169="","",INDEX(Firms!$B$5:$B$1004,MATCH(145,Firms!$S$5:$S$1004,0)))</f>
        <v/>
      </c>
      <c r="C169" s="57">
        <f>IF($A169="","",COUNTIF('AFA Rates'!$A$5:$A$1004,$A169))</f>
        <v/>
      </c>
      <c r="D169" s="57">
        <f>IF(OR($A169="",D$24=""),"",IF(COUNTIFS('AFA Rates'!$A$5:$A$1004,$A169,'AFA Rates'!$B$5:$B$1004,D$24)&gt;0,"✓",""))</f>
        <v/>
      </c>
      <c r="E169" s="57">
        <f>IF(OR($A169="",E$24=""),"",IF(COUNTIFS('AFA Rates'!$A$5:$A$1004,$A169,'AFA Rates'!$B$5:$B$1004,E$24)&gt;0,"✓",""))</f>
        <v/>
      </c>
      <c r="F169" s="57">
        <f>IF(OR($A169="",F$24=""),"",IF(COUNTIFS('AFA Rates'!$A$5:$A$1004,$A169,'AFA Rates'!$B$5:$B$1004,F$24)&gt;0,"✓",""))</f>
        <v/>
      </c>
      <c r="G169" s="57">
        <f>IF(OR($A169="",G$24=""),"",IF(COUNTIFS('AFA Rates'!$A$5:$A$1004,$A169,'AFA Rates'!$B$5:$B$1004,G$24)&gt;0,"✓",""))</f>
        <v/>
      </c>
      <c r="H169" s="57">
        <f>IF(OR($A169="",H$24=""),"",IF(COUNTIFS('AFA Rates'!$A$5:$A$1004,$A169,'AFA Rates'!$B$5:$B$1004,H$24)&gt;0,"✓",""))</f>
        <v/>
      </c>
      <c r="I169" s="57">
        <f>IF(OR($A169="",I$24=""),"",IF(COUNTIFS('AFA Rates'!$A$5:$A$1004,$A169,'AFA Rates'!$B$5:$B$1004,I$24)&gt;0,"✓",""))</f>
        <v/>
      </c>
      <c r="J169" s="57">
        <f>IF(OR($A169="",J$24=""),"",IF(COUNTIFS('AFA Rates'!$A$5:$A$1004,$A169,'AFA Rates'!$B$5:$B$1004,J$24)&gt;0,"✓",""))</f>
        <v/>
      </c>
      <c r="K169" s="57">
        <f>IF(OR($A169="",K$24=""),"",IF(COUNTIFS('AFA Rates'!$A$5:$A$1004,$A169,'AFA Rates'!$B$5:$B$1004,K$24)&gt;0,"✓",""))</f>
        <v/>
      </c>
      <c r="L169" s="57">
        <f>IF(OR($A169="",L$24=""),"",IF(COUNTIFS('AFA Rates'!$A$5:$A$1004,$A169,'AFA Rates'!$B$5:$B$1004,L$24)&gt;0,"✓",""))</f>
        <v/>
      </c>
      <c r="M169" s="57">
        <f>IF(OR($A169="",M$24=""),"",IF(COUNTIFS('AFA Rates'!$A$5:$A$1004,$A169,'AFA Rates'!$B$5:$B$1004,M$24)&gt;0,"✓",""))</f>
        <v/>
      </c>
    </row>
    <row r="170">
      <c r="A170" s="63">
        <f>IFERROR(INDEX(Firms!$A$5:$A$1004,MATCH(146,Firms!$S$5:$S$1004,0)),"")</f>
        <v/>
      </c>
      <c r="B170" s="57">
        <f>IF($A170="","",INDEX(Firms!$B$5:$B$1004,MATCH(146,Firms!$S$5:$S$1004,0)))</f>
        <v/>
      </c>
      <c r="C170" s="57">
        <f>IF($A170="","",COUNTIF('AFA Rates'!$A$5:$A$1004,$A170))</f>
        <v/>
      </c>
      <c r="D170" s="57">
        <f>IF(OR($A170="",D$24=""),"",IF(COUNTIFS('AFA Rates'!$A$5:$A$1004,$A170,'AFA Rates'!$B$5:$B$1004,D$24)&gt;0,"✓",""))</f>
        <v/>
      </c>
      <c r="E170" s="57">
        <f>IF(OR($A170="",E$24=""),"",IF(COUNTIFS('AFA Rates'!$A$5:$A$1004,$A170,'AFA Rates'!$B$5:$B$1004,E$24)&gt;0,"✓",""))</f>
        <v/>
      </c>
      <c r="F170" s="57">
        <f>IF(OR($A170="",F$24=""),"",IF(COUNTIFS('AFA Rates'!$A$5:$A$1004,$A170,'AFA Rates'!$B$5:$B$1004,F$24)&gt;0,"✓",""))</f>
        <v/>
      </c>
      <c r="G170" s="57">
        <f>IF(OR($A170="",G$24=""),"",IF(COUNTIFS('AFA Rates'!$A$5:$A$1004,$A170,'AFA Rates'!$B$5:$B$1004,G$24)&gt;0,"✓",""))</f>
        <v/>
      </c>
      <c r="H170" s="57">
        <f>IF(OR($A170="",H$24=""),"",IF(COUNTIFS('AFA Rates'!$A$5:$A$1004,$A170,'AFA Rates'!$B$5:$B$1004,H$24)&gt;0,"✓",""))</f>
        <v/>
      </c>
      <c r="I170" s="57">
        <f>IF(OR($A170="",I$24=""),"",IF(COUNTIFS('AFA Rates'!$A$5:$A$1004,$A170,'AFA Rates'!$B$5:$B$1004,I$24)&gt;0,"✓",""))</f>
        <v/>
      </c>
      <c r="J170" s="57">
        <f>IF(OR($A170="",J$24=""),"",IF(COUNTIFS('AFA Rates'!$A$5:$A$1004,$A170,'AFA Rates'!$B$5:$B$1004,J$24)&gt;0,"✓",""))</f>
        <v/>
      </c>
      <c r="K170" s="57">
        <f>IF(OR($A170="",K$24=""),"",IF(COUNTIFS('AFA Rates'!$A$5:$A$1004,$A170,'AFA Rates'!$B$5:$B$1004,K$24)&gt;0,"✓",""))</f>
        <v/>
      </c>
      <c r="L170" s="57">
        <f>IF(OR($A170="",L$24=""),"",IF(COUNTIFS('AFA Rates'!$A$5:$A$1004,$A170,'AFA Rates'!$B$5:$B$1004,L$24)&gt;0,"✓",""))</f>
        <v/>
      </c>
      <c r="M170" s="57">
        <f>IF(OR($A170="",M$24=""),"",IF(COUNTIFS('AFA Rates'!$A$5:$A$1004,$A170,'AFA Rates'!$B$5:$B$1004,M$24)&gt;0,"✓",""))</f>
        <v/>
      </c>
    </row>
    <row r="171">
      <c r="A171" s="63">
        <f>IFERROR(INDEX(Firms!$A$5:$A$1004,MATCH(147,Firms!$S$5:$S$1004,0)),"")</f>
        <v/>
      </c>
      <c r="B171" s="57">
        <f>IF($A171="","",INDEX(Firms!$B$5:$B$1004,MATCH(147,Firms!$S$5:$S$1004,0)))</f>
        <v/>
      </c>
      <c r="C171" s="57">
        <f>IF($A171="","",COUNTIF('AFA Rates'!$A$5:$A$1004,$A171))</f>
        <v/>
      </c>
      <c r="D171" s="57">
        <f>IF(OR($A171="",D$24=""),"",IF(COUNTIFS('AFA Rates'!$A$5:$A$1004,$A171,'AFA Rates'!$B$5:$B$1004,D$24)&gt;0,"✓",""))</f>
        <v/>
      </c>
      <c r="E171" s="57">
        <f>IF(OR($A171="",E$24=""),"",IF(COUNTIFS('AFA Rates'!$A$5:$A$1004,$A171,'AFA Rates'!$B$5:$B$1004,E$24)&gt;0,"✓",""))</f>
        <v/>
      </c>
      <c r="F171" s="57">
        <f>IF(OR($A171="",F$24=""),"",IF(COUNTIFS('AFA Rates'!$A$5:$A$1004,$A171,'AFA Rates'!$B$5:$B$1004,F$24)&gt;0,"✓",""))</f>
        <v/>
      </c>
      <c r="G171" s="57">
        <f>IF(OR($A171="",G$24=""),"",IF(COUNTIFS('AFA Rates'!$A$5:$A$1004,$A171,'AFA Rates'!$B$5:$B$1004,G$24)&gt;0,"✓",""))</f>
        <v/>
      </c>
      <c r="H171" s="57">
        <f>IF(OR($A171="",H$24=""),"",IF(COUNTIFS('AFA Rates'!$A$5:$A$1004,$A171,'AFA Rates'!$B$5:$B$1004,H$24)&gt;0,"✓",""))</f>
        <v/>
      </c>
      <c r="I171" s="57">
        <f>IF(OR($A171="",I$24=""),"",IF(COUNTIFS('AFA Rates'!$A$5:$A$1004,$A171,'AFA Rates'!$B$5:$B$1004,I$24)&gt;0,"✓",""))</f>
        <v/>
      </c>
      <c r="J171" s="57">
        <f>IF(OR($A171="",J$24=""),"",IF(COUNTIFS('AFA Rates'!$A$5:$A$1004,$A171,'AFA Rates'!$B$5:$B$1004,J$24)&gt;0,"✓",""))</f>
        <v/>
      </c>
      <c r="K171" s="57">
        <f>IF(OR($A171="",K$24=""),"",IF(COUNTIFS('AFA Rates'!$A$5:$A$1004,$A171,'AFA Rates'!$B$5:$B$1004,K$24)&gt;0,"✓",""))</f>
        <v/>
      </c>
      <c r="L171" s="57">
        <f>IF(OR($A171="",L$24=""),"",IF(COUNTIFS('AFA Rates'!$A$5:$A$1004,$A171,'AFA Rates'!$B$5:$B$1004,L$24)&gt;0,"✓",""))</f>
        <v/>
      </c>
      <c r="M171" s="57">
        <f>IF(OR($A171="",M$24=""),"",IF(COUNTIFS('AFA Rates'!$A$5:$A$1004,$A171,'AFA Rates'!$B$5:$B$1004,M$24)&gt;0,"✓",""))</f>
        <v/>
      </c>
    </row>
    <row r="172">
      <c r="A172" s="63">
        <f>IFERROR(INDEX(Firms!$A$5:$A$1004,MATCH(148,Firms!$S$5:$S$1004,0)),"")</f>
        <v/>
      </c>
      <c r="B172" s="57">
        <f>IF($A172="","",INDEX(Firms!$B$5:$B$1004,MATCH(148,Firms!$S$5:$S$1004,0)))</f>
        <v/>
      </c>
      <c r="C172" s="57">
        <f>IF($A172="","",COUNTIF('AFA Rates'!$A$5:$A$1004,$A172))</f>
        <v/>
      </c>
      <c r="D172" s="57">
        <f>IF(OR($A172="",D$24=""),"",IF(COUNTIFS('AFA Rates'!$A$5:$A$1004,$A172,'AFA Rates'!$B$5:$B$1004,D$24)&gt;0,"✓",""))</f>
        <v/>
      </c>
      <c r="E172" s="57">
        <f>IF(OR($A172="",E$24=""),"",IF(COUNTIFS('AFA Rates'!$A$5:$A$1004,$A172,'AFA Rates'!$B$5:$B$1004,E$24)&gt;0,"✓",""))</f>
        <v/>
      </c>
      <c r="F172" s="57">
        <f>IF(OR($A172="",F$24=""),"",IF(COUNTIFS('AFA Rates'!$A$5:$A$1004,$A172,'AFA Rates'!$B$5:$B$1004,F$24)&gt;0,"✓",""))</f>
        <v/>
      </c>
      <c r="G172" s="57">
        <f>IF(OR($A172="",G$24=""),"",IF(COUNTIFS('AFA Rates'!$A$5:$A$1004,$A172,'AFA Rates'!$B$5:$B$1004,G$24)&gt;0,"✓",""))</f>
        <v/>
      </c>
      <c r="H172" s="57">
        <f>IF(OR($A172="",H$24=""),"",IF(COUNTIFS('AFA Rates'!$A$5:$A$1004,$A172,'AFA Rates'!$B$5:$B$1004,H$24)&gt;0,"✓",""))</f>
        <v/>
      </c>
      <c r="I172" s="57">
        <f>IF(OR($A172="",I$24=""),"",IF(COUNTIFS('AFA Rates'!$A$5:$A$1004,$A172,'AFA Rates'!$B$5:$B$1004,I$24)&gt;0,"✓",""))</f>
        <v/>
      </c>
      <c r="J172" s="57">
        <f>IF(OR($A172="",J$24=""),"",IF(COUNTIFS('AFA Rates'!$A$5:$A$1004,$A172,'AFA Rates'!$B$5:$B$1004,J$24)&gt;0,"✓",""))</f>
        <v/>
      </c>
      <c r="K172" s="57">
        <f>IF(OR($A172="",K$24=""),"",IF(COUNTIFS('AFA Rates'!$A$5:$A$1004,$A172,'AFA Rates'!$B$5:$B$1004,K$24)&gt;0,"✓",""))</f>
        <v/>
      </c>
      <c r="L172" s="57">
        <f>IF(OR($A172="",L$24=""),"",IF(COUNTIFS('AFA Rates'!$A$5:$A$1004,$A172,'AFA Rates'!$B$5:$B$1004,L$24)&gt;0,"✓",""))</f>
        <v/>
      </c>
      <c r="M172" s="57">
        <f>IF(OR($A172="",M$24=""),"",IF(COUNTIFS('AFA Rates'!$A$5:$A$1004,$A172,'AFA Rates'!$B$5:$B$1004,M$24)&gt;0,"✓",""))</f>
        <v/>
      </c>
    </row>
    <row r="173">
      <c r="A173" s="63">
        <f>IFERROR(INDEX(Firms!$A$5:$A$1004,MATCH(149,Firms!$S$5:$S$1004,0)),"")</f>
        <v/>
      </c>
      <c r="B173" s="57">
        <f>IF($A173="","",INDEX(Firms!$B$5:$B$1004,MATCH(149,Firms!$S$5:$S$1004,0)))</f>
        <v/>
      </c>
      <c r="C173" s="57">
        <f>IF($A173="","",COUNTIF('AFA Rates'!$A$5:$A$1004,$A173))</f>
        <v/>
      </c>
      <c r="D173" s="57">
        <f>IF(OR($A173="",D$24=""),"",IF(COUNTIFS('AFA Rates'!$A$5:$A$1004,$A173,'AFA Rates'!$B$5:$B$1004,D$24)&gt;0,"✓",""))</f>
        <v/>
      </c>
      <c r="E173" s="57">
        <f>IF(OR($A173="",E$24=""),"",IF(COUNTIFS('AFA Rates'!$A$5:$A$1004,$A173,'AFA Rates'!$B$5:$B$1004,E$24)&gt;0,"✓",""))</f>
        <v/>
      </c>
      <c r="F173" s="57">
        <f>IF(OR($A173="",F$24=""),"",IF(COUNTIFS('AFA Rates'!$A$5:$A$1004,$A173,'AFA Rates'!$B$5:$B$1004,F$24)&gt;0,"✓",""))</f>
        <v/>
      </c>
      <c r="G173" s="57">
        <f>IF(OR($A173="",G$24=""),"",IF(COUNTIFS('AFA Rates'!$A$5:$A$1004,$A173,'AFA Rates'!$B$5:$B$1004,G$24)&gt;0,"✓",""))</f>
        <v/>
      </c>
      <c r="H173" s="57">
        <f>IF(OR($A173="",H$24=""),"",IF(COUNTIFS('AFA Rates'!$A$5:$A$1004,$A173,'AFA Rates'!$B$5:$B$1004,H$24)&gt;0,"✓",""))</f>
        <v/>
      </c>
      <c r="I173" s="57">
        <f>IF(OR($A173="",I$24=""),"",IF(COUNTIFS('AFA Rates'!$A$5:$A$1004,$A173,'AFA Rates'!$B$5:$B$1004,I$24)&gt;0,"✓",""))</f>
        <v/>
      </c>
      <c r="J173" s="57">
        <f>IF(OR($A173="",J$24=""),"",IF(COUNTIFS('AFA Rates'!$A$5:$A$1004,$A173,'AFA Rates'!$B$5:$B$1004,J$24)&gt;0,"✓",""))</f>
        <v/>
      </c>
      <c r="K173" s="57">
        <f>IF(OR($A173="",K$24=""),"",IF(COUNTIFS('AFA Rates'!$A$5:$A$1004,$A173,'AFA Rates'!$B$5:$B$1004,K$24)&gt;0,"✓",""))</f>
        <v/>
      </c>
      <c r="L173" s="57">
        <f>IF(OR($A173="",L$24=""),"",IF(COUNTIFS('AFA Rates'!$A$5:$A$1004,$A173,'AFA Rates'!$B$5:$B$1004,L$24)&gt;0,"✓",""))</f>
        <v/>
      </c>
      <c r="M173" s="57">
        <f>IF(OR($A173="",M$24=""),"",IF(COUNTIFS('AFA Rates'!$A$5:$A$1004,$A173,'AFA Rates'!$B$5:$B$1004,M$24)&gt;0,"✓",""))</f>
        <v/>
      </c>
    </row>
    <row r="174">
      <c r="A174" s="63">
        <f>IFERROR(INDEX(Firms!$A$5:$A$1004,MATCH(150,Firms!$S$5:$S$1004,0)),"")</f>
        <v/>
      </c>
      <c r="B174" s="57">
        <f>IF($A174="","",INDEX(Firms!$B$5:$B$1004,MATCH(150,Firms!$S$5:$S$1004,0)))</f>
        <v/>
      </c>
      <c r="C174" s="57">
        <f>IF($A174="","",COUNTIF('AFA Rates'!$A$5:$A$1004,$A174))</f>
        <v/>
      </c>
      <c r="D174" s="57">
        <f>IF(OR($A174="",D$24=""),"",IF(COUNTIFS('AFA Rates'!$A$5:$A$1004,$A174,'AFA Rates'!$B$5:$B$1004,D$24)&gt;0,"✓",""))</f>
        <v/>
      </c>
      <c r="E174" s="57">
        <f>IF(OR($A174="",E$24=""),"",IF(COUNTIFS('AFA Rates'!$A$5:$A$1004,$A174,'AFA Rates'!$B$5:$B$1004,E$24)&gt;0,"✓",""))</f>
        <v/>
      </c>
      <c r="F174" s="57">
        <f>IF(OR($A174="",F$24=""),"",IF(COUNTIFS('AFA Rates'!$A$5:$A$1004,$A174,'AFA Rates'!$B$5:$B$1004,F$24)&gt;0,"✓",""))</f>
        <v/>
      </c>
      <c r="G174" s="57">
        <f>IF(OR($A174="",G$24=""),"",IF(COUNTIFS('AFA Rates'!$A$5:$A$1004,$A174,'AFA Rates'!$B$5:$B$1004,G$24)&gt;0,"✓",""))</f>
        <v/>
      </c>
      <c r="H174" s="57">
        <f>IF(OR($A174="",H$24=""),"",IF(COUNTIFS('AFA Rates'!$A$5:$A$1004,$A174,'AFA Rates'!$B$5:$B$1004,H$24)&gt;0,"✓",""))</f>
        <v/>
      </c>
      <c r="I174" s="57">
        <f>IF(OR($A174="",I$24=""),"",IF(COUNTIFS('AFA Rates'!$A$5:$A$1004,$A174,'AFA Rates'!$B$5:$B$1004,I$24)&gt;0,"✓",""))</f>
        <v/>
      </c>
      <c r="J174" s="57">
        <f>IF(OR($A174="",J$24=""),"",IF(COUNTIFS('AFA Rates'!$A$5:$A$1004,$A174,'AFA Rates'!$B$5:$B$1004,J$24)&gt;0,"✓",""))</f>
        <v/>
      </c>
      <c r="K174" s="57">
        <f>IF(OR($A174="",K$24=""),"",IF(COUNTIFS('AFA Rates'!$A$5:$A$1004,$A174,'AFA Rates'!$B$5:$B$1004,K$24)&gt;0,"✓",""))</f>
        <v/>
      </c>
      <c r="L174" s="57">
        <f>IF(OR($A174="",L$24=""),"",IF(COUNTIFS('AFA Rates'!$A$5:$A$1004,$A174,'AFA Rates'!$B$5:$B$1004,L$24)&gt;0,"✓",""))</f>
        <v/>
      </c>
      <c r="M174" s="57">
        <f>IF(OR($A174="",M$24=""),"",IF(COUNTIFS('AFA Rates'!$A$5:$A$1004,$A174,'AFA Rates'!$B$5:$B$1004,M$24)&gt;0,"✓",""))</f>
        <v/>
      </c>
    </row>
    <row r="175">
      <c r="A175" s="63">
        <f>IFERROR(INDEX(Firms!$A$5:$A$1004,MATCH(151,Firms!$S$5:$S$1004,0)),"")</f>
        <v/>
      </c>
      <c r="B175" s="57">
        <f>IF($A175="","",INDEX(Firms!$B$5:$B$1004,MATCH(151,Firms!$S$5:$S$1004,0)))</f>
        <v/>
      </c>
      <c r="C175" s="57">
        <f>IF($A175="","",COUNTIF('AFA Rates'!$A$5:$A$1004,$A175))</f>
        <v/>
      </c>
      <c r="D175" s="57">
        <f>IF(OR($A175="",D$24=""),"",IF(COUNTIFS('AFA Rates'!$A$5:$A$1004,$A175,'AFA Rates'!$B$5:$B$1004,D$24)&gt;0,"✓",""))</f>
        <v/>
      </c>
      <c r="E175" s="57">
        <f>IF(OR($A175="",E$24=""),"",IF(COUNTIFS('AFA Rates'!$A$5:$A$1004,$A175,'AFA Rates'!$B$5:$B$1004,E$24)&gt;0,"✓",""))</f>
        <v/>
      </c>
      <c r="F175" s="57">
        <f>IF(OR($A175="",F$24=""),"",IF(COUNTIFS('AFA Rates'!$A$5:$A$1004,$A175,'AFA Rates'!$B$5:$B$1004,F$24)&gt;0,"✓",""))</f>
        <v/>
      </c>
      <c r="G175" s="57">
        <f>IF(OR($A175="",G$24=""),"",IF(COUNTIFS('AFA Rates'!$A$5:$A$1004,$A175,'AFA Rates'!$B$5:$B$1004,G$24)&gt;0,"✓",""))</f>
        <v/>
      </c>
      <c r="H175" s="57">
        <f>IF(OR($A175="",H$24=""),"",IF(COUNTIFS('AFA Rates'!$A$5:$A$1004,$A175,'AFA Rates'!$B$5:$B$1004,H$24)&gt;0,"✓",""))</f>
        <v/>
      </c>
      <c r="I175" s="57">
        <f>IF(OR($A175="",I$24=""),"",IF(COUNTIFS('AFA Rates'!$A$5:$A$1004,$A175,'AFA Rates'!$B$5:$B$1004,I$24)&gt;0,"✓",""))</f>
        <v/>
      </c>
      <c r="J175" s="57">
        <f>IF(OR($A175="",J$24=""),"",IF(COUNTIFS('AFA Rates'!$A$5:$A$1004,$A175,'AFA Rates'!$B$5:$B$1004,J$24)&gt;0,"✓",""))</f>
        <v/>
      </c>
      <c r="K175" s="57">
        <f>IF(OR($A175="",K$24=""),"",IF(COUNTIFS('AFA Rates'!$A$5:$A$1004,$A175,'AFA Rates'!$B$5:$B$1004,K$24)&gt;0,"✓",""))</f>
        <v/>
      </c>
      <c r="L175" s="57">
        <f>IF(OR($A175="",L$24=""),"",IF(COUNTIFS('AFA Rates'!$A$5:$A$1004,$A175,'AFA Rates'!$B$5:$B$1004,L$24)&gt;0,"✓",""))</f>
        <v/>
      </c>
      <c r="M175" s="57">
        <f>IF(OR($A175="",M$24=""),"",IF(COUNTIFS('AFA Rates'!$A$5:$A$1004,$A175,'AFA Rates'!$B$5:$B$1004,M$24)&gt;0,"✓",""))</f>
        <v/>
      </c>
    </row>
    <row r="176">
      <c r="A176" s="63">
        <f>IFERROR(INDEX(Firms!$A$5:$A$1004,MATCH(152,Firms!$S$5:$S$1004,0)),"")</f>
        <v/>
      </c>
      <c r="B176" s="57">
        <f>IF($A176="","",INDEX(Firms!$B$5:$B$1004,MATCH(152,Firms!$S$5:$S$1004,0)))</f>
        <v/>
      </c>
      <c r="C176" s="57">
        <f>IF($A176="","",COUNTIF('AFA Rates'!$A$5:$A$1004,$A176))</f>
        <v/>
      </c>
      <c r="D176" s="57">
        <f>IF(OR($A176="",D$24=""),"",IF(COUNTIFS('AFA Rates'!$A$5:$A$1004,$A176,'AFA Rates'!$B$5:$B$1004,D$24)&gt;0,"✓",""))</f>
        <v/>
      </c>
      <c r="E176" s="57">
        <f>IF(OR($A176="",E$24=""),"",IF(COUNTIFS('AFA Rates'!$A$5:$A$1004,$A176,'AFA Rates'!$B$5:$B$1004,E$24)&gt;0,"✓",""))</f>
        <v/>
      </c>
      <c r="F176" s="57">
        <f>IF(OR($A176="",F$24=""),"",IF(COUNTIFS('AFA Rates'!$A$5:$A$1004,$A176,'AFA Rates'!$B$5:$B$1004,F$24)&gt;0,"✓",""))</f>
        <v/>
      </c>
      <c r="G176" s="57">
        <f>IF(OR($A176="",G$24=""),"",IF(COUNTIFS('AFA Rates'!$A$5:$A$1004,$A176,'AFA Rates'!$B$5:$B$1004,G$24)&gt;0,"✓",""))</f>
        <v/>
      </c>
      <c r="H176" s="57">
        <f>IF(OR($A176="",H$24=""),"",IF(COUNTIFS('AFA Rates'!$A$5:$A$1004,$A176,'AFA Rates'!$B$5:$B$1004,H$24)&gt;0,"✓",""))</f>
        <v/>
      </c>
      <c r="I176" s="57">
        <f>IF(OR($A176="",I$24=""),"",IF(COUNTIFS('AFA Rates'!$A$5:$A$1004,$A176,'AFA Rates'!$B$5:$B$1004,I$24)&gt;0,"✓",""))</f>
        <v/>
      </c>
      <c r="J176" s="57">
        <f>IF(OR($A176="",J$24=""),"",IF(COUNTIFS('AFA Rates'!$A$5:$A$1004,$A176,'AFA Rates'!$B$5:$B$1004,J$24)&gt;0,"✓",""))</f>
        <v/>
      </c>
      <c r="K176" s="57">
        <f>IF(OR($A176="",K$24=""),"",IF(COUNTIFS('AFA Rates'!$A$5:$A$1004,$A176,'AFA Rates'!$B$5:$B$1004,K$24)&gt;0,"✓",""))</f>
        <v/>
      </c>
      <c r="L176" s="57">
        <f>IF(OR($A176="",L$24=""),"",IF(COUNTIFS('AFA Rates'!$A$5:$A$1004,$A176,'AFA Rates'!$B$5:$B$1004,L$24)&gt;0,"✓",""))</f>
        <v/>
      </c>
      <c r="M176" s="57">
        <f>IF(OR($A176="",M$24=""),"",IF(COUNTIFS('AFA Rates'!$A$5:$A$1004,$A176,'AFA Rates'!$B$5:$B$1004,M$24)&gt;0,"✓",""))</f>
        <v/>
      </c>
    </row>
    <row r="177">
      <c r="A177" s="63">
        <f>IFERROR(INDEX(Firms!$A$5:$A$1004,MATCH(153,Firms!$S$5:$S$1004,0)),"")</f>
        <v/>
      </c>
      <c r="B177" s="57">
        <f>IF($A177="","",INDEX(Firms!$B$5:$B$1004,MATCH(153,Firms!$S$5:$S$1004,0)))</f>
        <v/>
      </c>
      <c r="C177" s="57">
        <f>IF($A177="","",COUNTIF('AFA Rates'!$A$5:$A$1004,$A177))</f>
        <v/>
      </c>
      <c r="D177" s="57">
        <f>IF(OR($A177="",D$24=""),"",IF(COUNTIFS('AFA Rates'!$A$5:$A$1004,$A177,'AFA Rates'!$B$5:$B$1004,D$24)&gt;0,"✓",""))</f>
        <v/>
      </c>
      <c r="E177" s="57">
        <f>IF(OR($A177="",E$24=""),"",IF(COUNTIFS('AFA Rates'!$A$5:$A$1004,$A177,'AFA Rates'!$B$5:$B$1004,E$24)&gt;0,"✓",""))</f>
        <v/>
      </c>
      <c r="F177" s="57">
        <f>IF(OR($A177="",F$24=""),"",IF(COUNTIFS('AFA Rates'!$A$5:$A$1004,$A177,'AFA Rates'!$B$5:$B$1004,F$24)&gt;0,"✓",""))</f>
        <v/>
      </c>
      <c r="G177" s="57">
        <f>IF(OR($A177="",G$24=""),"",IF(COUNTIFS('AFA Rates'!$A$5:$A$1004,$A177,'AFA Rates'!$B$5:$B$1004,G$24)&gt;0,"✓",""))</f>
        <v/>
      </c>
      <c r="H177" s="57">
        <f>IF(OR($A177="",H$24=""),"",IF(COUNTIFS('AFA Rates'!$A$5:$A$1004,$A177,'AFA Rates'!$B$5:$B$1004,H$24)&gt;0,"✓",""))</f>
        <v/>
      </c>
      <c r="I177" s="57">
        <f>IF(OR($A177="",I$24=""),"",IF(COUNTIFS('AFA Rates'!$A$5:$A$1004,$A177,'AFA Rates'!$B$5:$B$1004,I$24)&gt;0,"✓",""))</f>
        <v/>
      </c>
      <c r="J177" s="57">
        <f>IF(OR($A177="",J$24=""),"",IF(COUNTIFS('AFA Rates'!$A$5:$A$1004,$A177,'AFA Rates'!$B$5:$B$1004,J$24)&gt;0,"✓",""))</f>
        <v/>
      </c>
      <c r="K177" s="57">
        <f>IF(OR($A177="",K$24=""),"",IF(COUNTIFS('AFA Rates'!$A$5:$A$1004,$A177,'AFA Rates'!$B$5:$B$1004,K$24)&gt;0,"✓",""))</f>
        <v/>
      </c>
      <c r="L177" s="57">
        <f>IF(OR($A177="",L$24=""),"",IF(COUNTIFS('AFA Rates'!$A$5:$A$1004,$A177,'AFA Rates'!$B$5:$B$1004,L$24)&gt;0,"✓",""))</f>
        <v/>
      </c>
      <c r="M177" s="57">
        <f>IF(OR($A177="",M$24=""),"",IF(COUNTIFS('AFA Rates'!$A$5:$A$1004,$A177,'AFA Rates'!$B$5:$B$1004,M$24)&gt;0,"✓",""))</f>
        <v/>
      </c>
    </row>
    <row r="178">
      <c r="A178" s="63">
        <f>IFERROR(INDEX(Firms!$A$5:$A$1004,MATCH(154,Firms!$S$5:$S$1004,0)),"")</f>
        <v/>
      </c>
      <c r="B178" s="57">
        <f>IF($A178="","",INDEX(Firms!$B$5:$B$1004,MATCH(154,Firms!$S$5:$S$1004,0)))</f>
        <v/>
      </c>
      <c r="C178" s="57">
        <f>IF($A178="","",COUNTIF('AFA Rates'!$A$5:$A$1004,$A178))</f>
        <v/>
      </c>
      <c r="D178" s="57">
        <f>IF(OR($A178="",D$24=""),"",IF(COUNTIFS('AFA Rates'!$A$5:$A$1004,$A178,'AFA Rates'!$B$5:$B$1004,D$24)&gt;0,"✓",""))</f>
        <v/>
      </c>
      <c r="E178" s="57">
        <f>IF(OR($A178="",E$24=""),"",IF(COUNTIFS('AFA Rates'!$A$5:$A$1004,$A178,'AFA Rates'!$B$5:$B$1004,E$24)&gt;0,"✓",""))</f>
        <v/>
      </c>
      <c r="F178" s="57">
        <f>IF(OR($A178="",F$24=""),"",IF(COUNTIFS('AFA Rates'!$A$5:$A$1004,$A178,'AFA Rates'!$B$5:$B$1004,F$24)&gt;0,"✓",""))</f>
        <v/>
      </c>
      <c r="G178" s="57">
        <f>IF(OR($A178="",G$24=""),"",IF(COUNTIFS('AFA Rates'!$A$5:$A$1004,$A178,'AFA Rates'!$B$5:$B$1004,G$24)&gt;0,"✓",""))</f>
        <v/>
      </c>
      <c r="H178" s="57">
        <f>IF(OR($A178="",H$24=""),"",IF(COUNTIFS('AFA Rates'!$A$5:$A$1004,$A178,'AFA Rates'!$B$5:$B$1004,H$24)&gt;0,"✓",""))</f>
        <v/>
      </c>
      <c r="I178" s="57">
        <f>IF(OR($A178="",I$24=""),"",IF(COUNTIFS('AFA Rates'!$A$5:$A$1004,$A178,'AFA Rates'!$B$5:$B$1004,I$24)&gt;0,"✓",""))</f>
        <v/>
      </c>
      <c r="J178" s="57">
        <f>IF(OR($A178="",J$24=""),"",IF(COUNTIFS('AFA Rates'!$A$5:$A$1004,$A178,'AFA Rates'!$B$5:$B$1004,J$24)&gt;0,"✓",""))</f>
        <v/>
      </c>
      <c r="K178" s="57">
        <f>IF(OR($A178="",K$24=""),"",IF(COUNTIFS('AFA Rates'!$A$5:$A$1004,$A178,'AFA Rates'!$B$5:$B$1004,K$24)&gt;0,"✓",""))</f>
        <v/>
      </c>
      <c r="L178" s="57">
        <f>IF(OR($A178="",L$24=""),"",IF(COUNTIFS('AFA Rates'!$A$5:$A$1004,$A178,'AFA Rates'!$B$5:$B$1004,L$24)&gt;0,"✓",""))</f>
        <v/>
      </c>
      <c r="M178" s="57">
        <f>IF(OR($A178="",M$24=""),"",IF(COUNTIFS('AFA Rates'!$A$5:$A$1004,$A178,'AFA Rates'!$B$5:$B$1004,M$24)&gt;0,"✓",""))</f>
        <v/>
      </c>
    </row>
    <row r="179">
      <c r="A179" s="63">
        <f>IFERROR(INDEX(Firms!$A$5:$A$1004,MATCH(155,Firms!$S$5:$S$1004,0)),"")</f>
        <v/>
      </c>
      <c r="B179" s="57">
        <f>IF($A179="","",INDEX(Firms!$B$5:$B$1004,MATCH(155,Firms!$S$5:$S$1004,0)))</f>
        <v/>
      </c>
      <c r="C179" s="57">
        <f>IF($A179="","",COUNTIF('AFA Rates'!$A$5:$A$1004,$A179))</f>
        <v/>
      </c>
      <c r="D179" s="57">
        <f>IF(OR($A179="",D$24=""),"",IF(COUNTIFS('AFA Rates'!$A$5:$A$1004,$A179,'AFA Rates'!$B$5:$B$1004,D$24)&gt;0,"✓",""))</f>
        <v/>
      </c>
      <c r="E179" s="57">
        <f>IF(OR($A179="",E$24=""),"",IF(COUNTIFS('AFA Rates'!$A$5:$A$1004,$A179,'AFA Rates'!$B$5:$B$1004,E$24)&gt;0,"✓",""))</f>
        <v/>
      </c>
      <c r="F179" s="57">
        <f>IF(OR($A179="",F$24=""),"",IF(COUNTIFS('AFA Rates'!$A$5:$A$1004,$A179,'AFA Rates'!$B$5:$B$1004,F$24)&gt;0,"✓",""))</f>
        <v/>
      </c>
      <c r="G179" s="57">
        <f>IF(OR($A179="",G$24=""),"",IF(COUNTIFS('AFA Rates'!$A$5:$A$1004,$A179,'AFA Rates'!$B$5:$B$1004,G$24)&gt;0,"✓",""))</f>
        <v/>
      </c>
      <c r="H179" s="57">
        <f>IF(OR($A179="",H$24=""),"",IF(COUNTIFS('AFA Rates'!$A$5:$A$1004,$A179,'AFA Rates'!$B$5:$B$1004,H$24)&gt;0,"✓",""))</f>
        <v/>
      </c>
      <c r="I179" s="57">
        <f>IF(OR($A179="",I$24=""),"",IF(COUNTIFS('AFA Rates'!$A$5:$A$1004,$A179,'AFA Rates'!$B$5:$B$1004,I$24)&gt;0,"✓",""))</f>
        <v/>
      </c>
      <c r="J179" s="57">
        <f>IF(OR($A179="",J$24=""),"",IF(COUNTIFS('AFA Rates'!$A$5:$A$1004,$A179,'AFA Rates'!$B$5:$B$1004,J$24)&gt;0,"✓",""))</f>
        <v/>
      </c>
      <c r="K179" s="57">
        <f>IF(OR($A179="",K$24=""),"",IF(COUNTIFS('AFA Rates'!$A$5:$A$1004,$A179,'AFA Rates'!$B$5:$B$1004,K$24)&gt;0,"✓",""))</f>
        <v/>
      </c>
      <c r="L179" s="57">
        <f>IF(OR($A179="",L$24=""),"",IF(COUNTIFS('AFA Rates'!$A$5:$A$1004,$A179,'AFA Rates'!$B$5:$B$1004,L$24)&gt;0,"✓",""))</f>
        <v/>
      </c>
      <c r="M179" s="57">
        <f>IF(OR($A179="",M$24=""),"",IF(COUNTIFS('AFA Rates'!$A$5:$A$1004,$A179,'AFA Rates'!$B$5:$B$1004,M$24)&gt;0,"✓",""))</f>
        <v/>
      </c>
    </row>
    <row r="180">
      <c r="A180" s="63">
        <f>IFERROR(INDEX(Firms!$A$5:$A$1004,MATCH(156,Firms!$S$5:$S$1004,0)),"")</f>
        <v/>
      </c>
      <c r="B180" s="57">
        <f>IF($A180="","",INDEX(Firms!$B$5:$B$1004,MATCH(156,Firms!$S$5:$S$1004,0)))</f>
        <v/>
      </c>
      <c r="C180" s="57">
        <f>IF($A180="","",COUNTIF('AFA Rates'!$A$5:$A$1004,$A180))</f>
        <v/>
      </c>
      <c r="D180" s="57">
        <f>IF(OR($A180="",D$24=""),"",IF(COUNTIFS('AFA Rates'!$A$5:$A$1004,$A180,'AFA Rates'!$B$5:$B$1004,D$24)&gt;0,"✓",""))</f>
        <v/>
      </c>
      <c r="E180" s="57">
        <f>IF(OR($A180="",E$24=""),"",IF(COUNTIFS('AFA Rates'!$A$5:$A$1004,$A180,'AFA Rates'!$B$5:$B$1004,E$24)&gt;0,"✓",""))</f>
        <v/>
      </c>
      <c r="F180" s="57">
        <f>IF(OR($A180="",F$24=""),"",IF(COUNTIFS('AFA Rates'!$A$5:$A$1004,$A180,'AFA Rates'!$B$5:$B$1004,F$24)&gt;0,"✓",""))</f>
        <v/>
      </c>
      <c r="G180" s="57">
        <f>IF(OR($A180="",G$24=""),"",IF(COUNTIFS('AFA Rates'!$A$5:$A$1004,$A180,'AFA Rates'!$B$5:$B$1004,G$24)&gt;0,"✓",""))</f>
        <v/>
      </c>
      <c r="H180" s="57">
        <f>IF(OR($A180="",H$24=""),"",IF(COUNTIFS('AFA Rates'!$A$5:$A$1004,$A180,'AFA Rates'!$B$5:$B$1004,H$24)&gt;0,"✓",""))</f>
        <v/>
      </c>
      <c r="I180" s="57">
        <f>IF(OR($A180="",I$24=""),"",IF(COUNTIFS('AFA Rates'!$A$5:$A$1004,$A180,'AFA Rates'!$B$5:$B$1004,I$24)&gt;0,"✓",""))</f>
        <v/>
      </c>
      <c r="J180" s="57">
        <f>IF(OR($A180="",J$24=""),"",IF(COUNTIFS('AFA Rates'!$A$5:$A$1004,$A180,'AFA Rates'!$B$5:$B$1004,J$24)&gt;0,"✓",""))</f>
        <v/>
      </c>
      <c r="K180" s="57">
        <f>IF(OR($A180="",K$24=""),"",IF(COUNTIFS('AFA Rates'!$A$5:$A$1004,$A180,'AFA Rates'!$B$5:$B$1004,K$24)&gt;0,"✓",""))</f>
        <v/>
      </c>
      <c r="L180" s="57">
        <f>IF(OR($A180="",L$24=""),"",IF(COUNTIFS('AFA Rates'!$A$5:$A$1004,$A180,'AFA Rates'!$B$5:$B$1004,L$24)&gt;0,"✓",""))</f>
        <v/>
      </c>
      <c r="M180" s="57">
        <f>IF(OR($A180="",M$24=""),"",IF(COUNTIFS('AFA Rates'!$A$5:$A$1004,$A180,'AFA Rates'!$B$5:$B$1004,M$24)&gt;0,"✓",""))</f>
        <v/>
      </c>
    </row>
    <row r="181">
      <c r="A181" s="63">
        <f>IFERROR(INDEX(Firms!$A$5:$A$1004,MATCH(157,Firms!$S$5:$S$1004,0)),"")</f>
        <v/>
      </c>
      <c r="B181" s="57">
        <f>IF($A181="","",INDEX(Firms!$B$5:$B$1004,MATCH(157,Firms!$S$5:$S$1004,0)))</f>
        <v/>
      </c>
      <c r="C181" s="57">
        <f>IF($A181="","",COUNTIF('AFA Rates'!$A$5:$A$1004,$A181))</f>
        <v/>
      </c>
      <c r="D181" s="57">
        <f>IF(OR($A181="",D$24=""),"",IF(COUNTIFS('AFA Rates'!$A$5:$A$1004,$A181,'AFA Rates'!$B$5:$B$1004,D$24)&gt;0,"✓",""))</f>
        <v/>
      </c>
      <c r="E181" s="57">
        <f>IF(OR($A181="",E$24=""),"",IF(COUNTIFS('AFA Rates'!$A$5:$A$1004,$A181,'AFA Rates'!$B$5:$B$1004,E$24)&gt;0,"✓",""))</f>
        <v/>
      </c>
      <c r="F181" s="57">
        <f>IF(OR($A181="",F$24=""),"",IF(COUNTIFS('AFA Rates'!$A$5:$A$1004,$A181,'AFA Rates'!$B$5:$B$1004,F$24)&gt;0,"✓",""))</f>
        <v/>
      </c>
      <c r="G181" s="57">
        <f>IF(OR($A181="",G$24=""),"",IF(COUNTIFS('AFA Rates'!$A$5:$A$1004,$A181,'AFA Rates'!$B$5:$B$1004,G$24)&gt;0,"✓",""))</f>
        <v/>
      </c>
      <c r="H181" s="57">
        <f>IF(OR($A181="",H$24=""),"",IF(COUNTIFS('AFA Rates'!$A$5:$A$1004,$A181,'AFA Rates'!$B$5:$B$1004,H$24)&gt;0,"✓",""))</f>
        <v/>
      </c>
      <c r="I181" s="57">
        <f>IF(OR($A181="",I$24=""),"",IF(COUNTIFS('AFA Rates'!$A$5:$A$1004,$A181,'AFA Rates'!$B$5:$B$1004,I$24)&gt;0,"✓",""))</f>
        <v/>
      </c>
      <c r="J181" s="57">
        <f>IF(OR($A181="",J$24=""),"",IF(COUNTIFS('AFA Rates'!$A$5:$A$1004,$A181,'AFA Rates'!$B$5:$B$1004,J$24)&gt;0,"✓",""))</f>
        <v/>
      </c>
      <c r="K181" s="57">
        <f>IF(OR($A181="",K$24=""),"",IF(COUNTIFS('AFA Rates'!$A$5:$A$1004,$A181,'AFA Rates'!$B$5:$B$1004,K$24)&gt;0,"✓",""))</f>
        <v/>
      </c>
      <c r="L181" s="57">
        <f>IF(OR($A181="",L$24=""),"",IF(COUNTIFS('AFA Rates'!$A$5:$A$1004,$A181,'AFA Rates'!$B$5:$B$1004,L$24)&gt;0,"✓",""))</f>
        <v/>
      </c>
      <c r="M181" s="57">
        <f>IF(OR($A181="",M$24=""),"",IF(COUNTIFS('AFA Rates'!$A$5:$A$1004,$A181,'AFA Rates'!$B$5:$B$1004,M$24)&gt;0,"✓",""))</f>
        <v/>
      </c>
    </row>
    <row r="182">
      <c r="A182" s="63">
        <f>IFERROR(INDEX(Firms!$A$5:$A$1004,MATCH(158,Firms!$S$5:$S$1004,0)),"")</f>
        <v/>
      </c>
      <c r="B182" s="57">
        <f>IF($A182="","",INDEX(Firms!$B$5:$B$1004,MATCH(158,Firms!$S$5:$S$1004,0)))</f>
        <v/>
      </c>
      <c r="C182" s="57">
        <f>IF($A182="","",COUNTIF('AFA Rates'!$A$5:$A$1004,$A182))</f>
        <v/>
      </c>
      <c r="D182" s="57">
        <f>IF(OR($A182="",D$24=""),"",IF(COUNTIFS('AFA Rates'!$A$5:$A$1004,$A182,'AFA Rates'!$B$5:$B$1004,D$24)&gt;0,"✓",""))</f>
        <v/>
      </c>
      <c r="E182" s="57">
        <f>IF(OR($A182="",E$24=""),"",IF(COUNTIFS('AFA Rates'!$A$5:$A$1004,$A182,'AFA Rates'!$B$5:$B$1004,E$24)&gt;0,"✓",""))</f>
        <v/>
      </c>
      <c r="F182" s="57">
        <f>IF(OR($A182="",F$24=""),"",IF(COUNTIFS('AFA Rates'!$A$5:$A$1004,$A182,'AFA Rates'!$B$5:$B$1004,F$24)&gt;0,"✓",""))</f>
        <v/>
      </c>
      <c r="G182" s="57">
        <f>IF(OR($A182="",G$24=""),"",IF(COUNTIFS('AFA Rates'!$A$5:$A$1004,$A182,'AFA Rates'!$B$5:$B$1004,G$24)&gt;0,"✓",""))</f>
        <v/>
      </c>
      <c r="H182" s="57">
        <f>IF(OR($A182="",H$24=""),"",IF(COUNTIFS('AFA Rates'!$A$5:$A$1004,$A182,'AFA Rates'!$B$5:$B$1004,H$24)&gt;0,"✓",""))</f>
        <v/>
      </c>
      <c r="I182" s="57">
        <f>IF(OR($A182="",I$24=""),"",IF(COUNTIFS('AFA Rates'!$A$5:$A$1004,$A182,'AFA Rates'!$B$5:$B$1004,I$24)&gt;0,"✓",""))</f>
        <v/>
      </c>
      <c r="J182" s="57">
        <f>IF(OR($A182="",J$24=""),"",IF(COUNTIFS('AFA Rates'!$A$5:$A$1004,$A182,'AFA Rates'!$B$5:$B$1004,J$24)&gt;0,"✓",""))</f>
        <v/>
      </c>
      <c r="K182" s="57">
        <f>IF(OR($A182="",K$24=""),"",IF(COUNTIFS('AFA Rates'!$A$5:$A$1004,$A182,'AFA Rates'!$B$5:$B$1004,K$24)&gt;0,"✓",""))</f>
        <v/>
      </c>
      <c r="L182" s="57">
        <f>IF(OR($A182="",L$24=""),"",IF(COUNTIFS('AFA Rates'!$A$5:$A$1004,$A182,'AFA Rates'!$B$5:$B$1004,L$24)&gt;0,"✓",""))</f>
        <v/>
      </c>
      <c r="M182" s="57">
        <f>IF(OR($A182="",M$24=""),"",IF(COUNTIFS('AFA Rates'!$A$5:$A$1004,$A182,'AFA Rates'!$B$5:$B$1004,M$24)&gt;0,"✓",""))</f>
        <v/>
      </c>
    </row>
    <row r="183">
      <c r="A183" s="63">
        <f>IFERROR(INDEX(Firms!$A$5:$A$1004,MATCH(159,Firms!$S$5:$S$1004,0)),"")</f>
        <v/>
      </c>
      <c r="B183" s="57">
        <f>IF($A183="","",INDEX(Firms!$B$5:$B$1004,MATCH(159,Firms!$S$5:$S$1004,0)))</f>
        <v/>
      </c>
      <c r="C183" s="57">
        <f>IF($A183="","",COUNTIF('AFA Rates'!$A$5:$A$1004,$A183))</f>
        <v/>
      </c>
      <c r="D183" s="57">
        <f>IF(OR($A183="",D$24=""),"",IF(COUNTIFS('AFA Rates'!$A$5:$A$1004,$A183,'AFA Rates'!$B$5:$B$1004,D$24)&gt;0,"✓",""))</f>
        <v/>
      </c>
      <c r="E183" s="57">
        <f>IF(OR($A183="",E$24=""),"",IF(COUNTIFS('AFA Rates'!$A$5:$A$1004,$A183,'AFA Rates'!$B$5:$B$1004,E$24)&gt;0,"✓",""))</f>
        <v/>
      </c>
      <c r="F183" s="57">
        <f>IF(OR($A183="",F$24=""),"",IF(COUNTIFS('AFA Rates'!$A$5:$A$1004,$A183,'AFA Rates'!$B$5:$B$1004,F$24)&gt;0,"✓",""))</f>
        <v/>
      </c>
      <c r="G183" s="57">
        <f>IF(OR($A183="",G$24=""),"",IF(COUNTIFS('AFA Rates'!$A$5:$A$1004,$A183,'AFA Rates'!$B$5:$B$1004,G$24)&gt;0,"✓",""))</f>
        <v/>
      </c>
      <c r="H183" s="57">
        <f>IF(OR($A183="",H$24=""),"",IF(COUNTIFS('AFA Rates'!$A$5:$A$1004,$A183,'AFA Rates'!$B$5:$B$1004,H$24)&gt;0,"✓",""))</f>
        <v/>
      </c>
      <c r="I183" s="57">
        <f>IF(OR($A183="",I$24=""),"",IF(COUNTIFS('AFA Rates'!$A$5:$A$1004,$A183,'AFA Rates'!$B$5:$B$1004,I$24)&gt;0,"✓",""))</f>
        <v/>
      </c>
      <c r="J183" s="57">
        <f>IF(OR($A183="",J$24=""),"",IF(COUNTIFS('AFA Rates'!$A$5:$A$1004,$A183,'AFA Rates'!$B$5:$B$1004,J$24)&gt;0,"✓",""))</f>
        <v/>
      </c>
      <c r="K183" s="57">
        <f>IF(OR($A183="",K$24=""),"",IF(COUNTIFS('AFA Rates'!$A$5:$A$1004,$A183,'AFA Rates'!$B$5:$B$1004,K$24)&gt;0,"✓",""))</f>
        <v/>
      </c>
      <c r="L183" s="57">
        <f>IF(OR($A183="",L$24=""),"",IF(COUNTIFS('AFA Rates'!$A$5:$A$1004,$A183,'AFA Rates'!$B$5:$B$1004,L$24)&gt;0,"✓",""))</f>
        <v/>
      </c>
      <c r="M183" s="57">
        <f>IF(OR($A183="",M$24=""),"",IF(COUNTIFS('AFA Rates'!$A$5:$A$1004,$A183,'AFA Rates'!$B$5:$B$1004,M$24)&gt;0,"✓",""))</f>
        <v/>
      </c>
    </row>
    <row r="184">
      <c r="A184" s="63">
        <f>IFERROR(INDEX(Firms!$A$5:$A$1004,MATCH(160,Firms!$S$5:$S$1004,0)),"")</f>
        <v/>
      </c>
      <c r="B184" s="57">
        <f>IF($A184="","",INDEX(Firms!$B$5:$B$1004,MATCH(160,Firms!$S$5:$S$1004,0)))</f>
        <v/>
      </c>
      <c r="C184" s="57">
        <f>IF($A184="","",COUNTIF('AFA Rates'!$A$5:$A$1004,$A184))</f>
        <v/>
      </c>
      <c r="D184" s="57">
        <f>IF(OR($A184="",D$24=""),"",IF(COUNTIFS('AFA Rates'!$A$5:$A$1004,$A184,'AFA Rates'!$B$5:$B$1004,D$24)&gt;0,"✓",""))</f>
        <v/>
      </c>
      <c r="E184" s="57">
        <f>IF(OR($A184="",E$24=""),"",IF(COUNTIFS('AFA Rates'!$A$5:$A$1004,$A184,'AFA Rates'!$B$5:$B$1004,E$24)&gt;0,"✓",""))</f>
        <v/>
      </c>
      <c r="F184" s="57">
        <f>IF(OR($A184="",F$24=""),"",IF(COUNTIFS('AFA Rates'!$A$5:$A$1004,$A184,'AFA Rates'!$B$5:$B$1004,F$24)&gt;0,"✓",""))</f>
        <v/>
      </c>
      <c r="G184" s="57">
        <f>IF(OR($A184="",G$24=""),"",IF(COUNTIFS('AFA Rates'!$A$5:$A$1004,$A184,'AFA Rates'!$B$5:$B$1004,G$24)&gt;0,"✓",""))</f>
        <v/>
      </c>
      <c r="H184" s="57">
        <f>IF(OR($A184="",H$24=""),"",IF(COUNTIFS('AFA Rates'!$A$5:$A$1004,$A184,'AFA Rates'!$B$5:$B$1004,H$24)&gt;0,"✓",""))</f>
        <v/>
      </c>
      <c r="I184" s="57">
        <f>IF(OR($A184="",I$24=""),"",IF(COUNTIFS('AFA Rates'!$A$5:$A$1004,$A184,'AFA Rates'!$B$5:$B$1004,I$24)&gt;0,"✓",""))</f>
        <v/>
      </c>
      <c r="J184" s="57">
        <f>IF(OR($A184="",J$24=""),"",IF(COUNTIFS('AFA Rates'!$A$5:$A$1004,$A184,'AFA Rates'!$B$5:$B$1004,J$24)&gt;0,"✓",""))</f>
        <v/>
      </c>
      <c r="K184" s="57">
        <f>IF(OR($A184="",K$24=""),"",IF(COUNTIFS('AFA Rates'!$A$5:$A$1004,$A184,'AFA Rates'!$B$5:$B$1004,K$24)&gt;0,"✓",""))</f>
        <v/>
      </c>
      <c r="L184" s="57">
        <f>IF(OR($A184="",L$24=""),"",IF(COUNTIFS('AFA Rates'!$A$5:$A$1004,$A184,'AFA Rates'!$B$5:$B$1004,L$24)&gt;0,"✓",""))</f>
        <v/>
      </c>
      <c r="M184" s="57">
        <f>IF(OR($A184="",M$24=""),"",IF(COUNTIFS('AFA Rates'!$A$5:$A$1004,$A184,'AFA Rates'!$B$5:$B$1004,M$24)&gt;0,"✓",""))</f>
        <v/>
      </c>
    </row>
    <row r="185">
      <c r="A185" s="63">
        <f>IFERROR(INDEX(Firms!$A$5:$A$1004,MATCH(161,Firms!$S$5:$S$1004,0)),"")</f>
        <v/>
      </c>
      <c r="B185" s="57">
        <f>IF($A185="","",INDEX(Firms!$B$5:$B$1004,MATCH(161,Firms!$S$5:$S$1004,0)))</f>
        <v/>
      </c>
      <c r="C185" s="57">
        <f>IF($A185="","",COUNTIF('AFA Rates'!$A$5:$A$1004,$A185))</f>
        <v/>
      </c>
      <c r="D185" s="57">
        <f>IF(OR($A185="",D$24=""),"",IF(COUNTIFS('AFA Rates'!$A$5:$A$1004,$A185,'AFA Rates'!$B$5:$B$1004,D$24)&gt;0,"✓",""))</f>
        <v/>
      </c>
      <c r="E185" s="57">
        <f>IF(OR($A185="",E$24=""),"",IF(COUNTIFS('AFA Rates'!$A$5:$A$1004,$A185,'AFA Rates'!$B$5:$B$1004,E$24)&gt;0,"✓",""))</f>
        <v/>
      </c>
      <c r="F185" s="57">
        <f>IF(OR($A185="",F$24=""),"",IF(COUNTIFS('AFA Rates'!$A$5:$A$1004,$A185,'AFA Rates'!$B$5:$B$1004,F$24)&gt;0,"✓",""))</f>
        <v/>
      </c>
      <c r="G185" s="57">
        <f>IF(OR($A185="",G$24=""),"",IF(COUNTIFS('AFA Rates'!$A$5:$A$1004,$A185,'AFA Rates'!$B$5:$B$1004,G$24)&gt;0,"✓",""))</f>
        <v/>
      </c>
      <c r="H185" s="57">
        <f>IF(OR($A185="",H$24=""),"",IF(COUNTIFS('AFA Rates'!$A$5:$A$1004,$A185,'AFA Rates'!$B$5:$B$1004,H$24)&gt;0,"✓",""))</f>
        <v/>
      </c>
      <c r="I185" s="57">
        <f>IF(OR($A185="",I$24=""),"",IF(COUNTIFS('AFA Rates'!$A$5:$A$1004,$A185,'AFA Rates'!$B$5:$B$1004,I$24)&gt;0,"✓",""))</f>
        <v/>
      </c>
      <c r="J185" s="57">
        <f>IF(OR($A185="",J$24=""),"",IF(COUNTIFS('AFA Rates'!$A$5:$A$1004,$A185,'AFA Rates'!$B$5:$B$1004,J$24)&gt;0,"✓",""))</f>
        <v/>
      </c>
      <c r="K185" s="57">
        <f>IF(OR($A185="",K$24=""),"",IF(COUNTIFS('AFA Rates'!$A$5:$A$1004,$A185,'AFA Rates'!$B$5:$B$1004,K$24)&gt;0,"✓",""))</f>
        <v/>
      </c>
      <c r="L185" s="57">
        <f>IF(OR($A185="",L$24=""),"",IF(COUNTIFS('AFA Rates'!$A$5:$A$1004,$A185,'AFA Rates'!$B$5:$B$1004,L$24)&gt;0,"✓",""))</f>
        <v/>
      </c>
      <c r="M185" s="57">
        <f>IF(OR($A185="",M$24=""),"",IF(COUNTIFS('AFA Rates'!$A$5:$A$1004,$A185,'AFA Rates'!$B$5:$B$1004,M$24)&gt;0,"✓",""))</f>
        <v/>
      </c>
    </row>
    <row r="186">
      <c r="A186" s="63">
        <f>IFERROR(INDEX(Firms!$A$5:$A$1004,MATCH(162,Firms!$S$5:$S$1004,0)),"")</f>
        <v/>
      </c>
      <c r="B186" s="57">
        <f>IF($A186="","",INDEX(Firms!$B$5:$B$1004,MATCH(162,Firms!$S$5:$S$1004,0)))</f>
        <v/>
      </c>
      <c r="C186" s="57">
        <f>IF($A186="","",COUNTIF('AFA Rates'!$A$5:$A$1004,$A186))</f>
        <v/>
      </c>
      <c r="D186" s="57">
        <f>IF(OR($A186="",D$24=""),"",IF(COUNTIFS('AFA Rates'!$A$5:$A$1004,$A186,'AFA Rates'!$B$5:$B$1004,D$24)&gt;0,"✓",""))</f>
        <v/>
      </c>
      <c r="E186" s="57">
        <f>IF(OR($A186="",E$24=""),"",IF(COUNTIFS('AFA Rates'!$A$5:$A$1004,$A186,'AFA Rates'!$B$5:$B$1004,E$24)&gt;0,"✓",""))</f>
        <v/>
      </c>
      <c r="F186" s="57">
        <f>IF(OR($A186="",F$24=""),"",IF(COUNTIFS('AFA Rates'!$A$5:$A$1004,$A186,'AFA Rates'!$B$5:$B$1004,F$24)&gt;0,"✓",""))</f>
        <v/>
      </c>
      <c r="G186" s="57">
        <f>IF(OR($A186="",G$24=""),"",IF(COUNTIFS('AFA Rates'!$A$5:$A$1004,$A186,'AFA Rates'!$B$5:$B$1004,G$24)&gt;0,"✓",""))</f>
        <v/>
      </c>
      <c r="H186" s="57">
        <f>IF(OR($A186="",H$24=""),"",IF(COUNTIFS('AFA Rates'!$A$5:$A$1004,$A186,'AFA Rates'!$B$5:$B$1004,H$24)&gt;0,"✓",""))</f>
        <v/>
      </c>
      <c r="I186" s="57">
        <f>IF(OR($A186="",I$24=""),"",IF(COUNTIFS('AFA Rates'!$A$5:$A$1004,$A186,'AFA Rates'!$B$5:$B$1004,I$24)&gt;0,"✓",""))</f>
        <v/>
      </c>
      <c r="J186" s="57">
        <f>IF(OR($A186="",J$24=""),"",IF(COUNTIFS('AFA Rates'!$A$5:$A$1004,$A186,'AFA Rates'!$B$5:$B$1004,J$24)&gt;0,"✓",""))</f>
        <v/>
      </c>
      <c r="K186" s="57">
        <f>IF(OR($A186="",K$24=""),"",IF(COUNTIFS('AFA Rates'!$A$5:$A$1004,$A186,'AFA Rates'!$B$5:$B$1004,K$24)&gt;0,"✓",""))</f>
        <v/>
      </c>
      <c r="L186" s="57">
        <f>IF(OR($A186="",L$24=""),"",IF(COUNTIFS('AFA Rates'!$A$5:$A$1004,$A186,'AFA Rates'!$B$5:$B$1004,L$24)&gt;0,"✓",""))</f>
        <v/>
      </c>
      <c r="M186" s="57">
        <f>IF(OR($A186="",M$24=""),"",IF(COUNTIFS('AFA Rates'!$A$5:$A$1004,$A186,'AFA Rates'!$B$5:$B$1004,M$24)&gt;0,"✓",""))</f>
        <v/>
      </c>
    </row>
    <row r="187">
      <c r="A187" s="63">
        <f>IFERROR(INDEX(Firms!$A$5:$A$1004,MATCH(163,Firms!$S$5:$S$1004,0)),"")</f>
        <v/>
      </c>
      <c r="B187" s="57">
        <f>IF($A187="","",INDEX(Firms!$B$5:$B$1004,MATCH(163,Firms!$S$5:$S$1004,0)))</f>
        <v/>
      </c>
      <c r="C187" s="57">
        <f>IF($A187="","",COUNTIF('AFA Rates'!$A$5:$A$1004,$A187))</f>
        <v/>
      </c>
      <c r="D187" s="57">
        <f>IF(OR($A187="",D$24=""),"",IF(COUNTIFS('AFA Rates'!$A$5:$A$1004,$A187,'AFA Rates'!$B$5:$B$1004,D$24)&gt;0,"✓",""))</f>
        <v/>
      </c>
      <c r="E187" s="57">
        <f>IF(OR($A187="",E$24=""),"",IF(COUNTIFS('AFA Rates'!$A$5:$A$1004,$A187,'AFA Rates'!$B$5:$B$1004,E$24)&gt;0,"✓",""))</f>
        <v/>
      </c>
      <c r="F187" s="57">
        <f>IF(OR($A187="",F$24=""),"",IF(COUNTIFS('AFA Rates'!$A$5:$A$1004,$A187,'AFA Rates'!$B$5:$B$1004,F$24)&gt;0,"✓",""))</f>
        <v/>
      </c>
      <c r="G187" s="57">
        <f>IF(OR($A187="",G$24=""),"",IF(COUNTIFS('AFA Rates'!$A$5:$A$1004,$A187,'AFA Rates'!$B$5:$B$1004,G$24)&gt;0,"✓",""))</f>
        <v/>
      </c>
      <c r="H187" s="57">
        <f>IF(OR($A187="",H$24=""),"",IF(COUNTIFS('AFA Rates'!$A$5:$A$1004,$A187,'AFA Rates'!$B$5:$B$1004,H$24)&gt;0,"✓",""))</f>
        <v/>
      </c>
      <c r="I187" s="57">
        <f>IF(OR($A187="",I$24=""),"",IF(COUNTIFS('AFA Rates'!$A$5:$A$1004,$A187,'AFA Rates'!$B$5:$B$1004,I$24)&gt;0,"✓",""))</f>
        <v/>
      </c>
      <c r="J187" s="57">
        <f>IF(OR($A187="",J$24=""),"",IF(COUNTIFS('AFA Rates'!$A$5:$A$1004,$A187,'AFA Rates'!$B$5:$B$1004,J$24)&gt;0,"✓",""))</f>
        <v/>
      </c>
      <c r="K187" s="57">
        <f>IF(OR($A187="",K$24=""),"",IF(COUNTIFS('AFA Rates'!$A$5:$A$1004,$A187,'AFA Rates'!$B$5:$B$1004,K$24)&gt;0,"✓",""))</f>
        <v/>
      </c>
      <c r="L187" s="57">
        <f>IF(OR($A187="",L$24=""),"",IF(COUNTIFS('AFA Rates'!$A$5:$A$1004,$A187,'AFA Rates'!$B$5:$B$1004,L$24)&gt;0,"✓",""))</f>
        <v/>
      </c>
      <c r="M187" s="57">
        <f>IF(OR($A187="",M$24=""),"",IF(COUNTIFS('AFA Rates'!$A$5:$A$1004,$A187,'AFA Rates'!$B$5:$B$1004,M$24)&gt;0,"✓",""))</f>
        <v/>
      </c>
    </row>
    <row r="188">
      <c r="A188" s="63">
        <f>IFERROR(INDEX(Firms!$A$5:$A$1004,MATCH(164,Firms!$S$5:$S$1004,0)),"")</f>
        <v/>
      </c>
      <c r="B188" s="57">
        <f>IF($A188="","",INDEX(Firms!$B$5:$B$1004,MATCH(164,Firms!$S$5:$S$1004,0)))</f>
        <v/>
      </c>
      <c r="C188" s="57">
        <f>IF($A188="","",COUNTIF('AFA Rates'!$A$5:$A$1004,$A188))</f>
        <v/>
      </c>
      <c r="D188" s="57">
        <f>IF(OR($A188="",D$24=""),"",IF(COUNTIFS('AFA Rates'!$A$5:$A$1004,$A188,'AFA Rates'!$B$5:$B$1004,D$24)&gt;0,"✓",""))</f>
        <v/>
      </c>
      <c r="E188" s="57">
        <f>IF(OR($A188="",E$24=""),"",IF(COUNTIFS('AFA Rates'!$A$5:$A$1004,$A188,'AFA Rates'!$B$5:$B$1004,E$24)&gt;0,"✓",""))</f>
        <v/>
      </c>
      <c r="F188" s="57">
        <f>IF(OR($A188="",F$24=""),"",IF(COUNTIFS('AFA Rates'!$A$5:$A$1004,$A188,'AFA Rates'!$B$5:$B$1004,F$24)&gt;0,"✓",""))</f>
        <v/>
      </c>
      <c r="G188" s="57">
        <f>IF(OR($A188="",G$24=""),"",IF(COUNTIFS('AFA Rates'!$A$5:$A$1004,$A188,'AFA Rates'!$B$5:$B$1004,G$24)&gt;0,"✓",""))</f>
        <v/>
      </c>
      <c r="H188" s="57">
        <f>IF(OR($A188="",H$24=""),"",IF(COUNTIFS('AFA Rates'!$A$5:$A$1004,$A188,'AFA Rates'!$B$5:$B$1004,H$24)&gt;0,"✓",""))</f>
        <v/>
      </c>
      <c r="I188" s="57">
        <f>IF(OR($A188="",I$24=""),"",IF(COUNTIFS('AFA Rates'!$A$5:$A$1004,$A188,'AFA Rates'!$B$5:$B$1004,I$24)&gt;0,"✓",""))</f>
        <v/>
      </c>
      <c r="J188" s="57">
        <f>IF(OR($A188="",J$24=""),"",IF(COUNTIFS('AFA Rates'!$A$5:$A$1004,$A188,'AFA Rates'!$B$5:$B$1004,J$24)&gt;0,"✓",""))</f>
        <v/>
      </c>
      <c r="K188" s="57">
        <f>IF(OR($A188="",K$24=""),"",IF(COUNTIFS('AFA Rates'!$A$5:$A$1004,$A188,'AFA Rates'!$B$5:$B$1004,K$24)&gt;0,"✓",""))</f>
        <v/>
      </c>
      <c r="L188" s="57">
        <f>IF(OR($A188="",L$24=""),"",IF(COUNTIFS('AFA Rates'!$A$5:$A$1004,$A188,'AFA Rates'!$B$5:$B$1004,L$24)&gt;0,"✓",""))</f>
        <v/>
      </c>
      <c r="M188" s="57">
        <f>IF(OR($A188="",M$24=""),"",IF(COUNTIFS('AFA Rates'!$A$5:$A$1004,$A188,'AFA Rates'!$B$5:$B$1004,M$24)&gt;0,"✓",""))</f>
        <v/>
      </c>
    </row>
    <row r="189">
      <c r="A189" s="63">
        <f>IFERROR(INDEX(Firms!$A$5:$A$1004,MATCH(165,Firms!$S$5:$S$1004,0)),"")</f>
        <v/>
      </c>
      <c r="B189" s="57">
        <f>IF($A189="","",INDEX(Firms!$B$5:$B$1004,MATCH(165,Firms!$S$5:$S$1004,0)))</f>
        <v/>
      </c>
      <c r="C189" s="57">
        <f>IF($A189="","",COUNTIF('AFA Rates'!$A$5:$A$1004,$A189))</f>
        <v/>
      </c>
      <c r="D189" s="57">
        <f>IF(OR($A189="",D$24=""),"",IF(COUNTIFS('AFA Rates'!$A$5:$A$1004,$A189,'AFA Rates'!$B$5:$B$1004,D$24)&gt;0,"✓",""))</f>
        <v/>
      </c>
      <c r="E189" s="57">
        <f>IF(OR($A189="",E$24=""),"",IF(COUNTIFS('AFA Rates'!$A$5:$A$1004,$A189,'AFA Rates'!$B$5:$B$1004,E$24)&gt;0,"✓",""))</f>
        <v/>
      </c>
      <c r="F189" s="57">
        <f>IF(OR($A189="",F$24=""),"",IF(COUNTIFS('AFA Rates'!$A$5:$A$1004,$A189,'AFA Rates'!$B$5:$B$1004,F$24)&gt;0,"✓",""))</f>
        <v/>
      </c>
      <c r="G189" s="57">
        <f>IF(OR($A189="",G$24=""),"",IF(COUNTIFS('AFA Rates'!$A$5:$A$1004,$A189,'AFA Rates'!$B$5:$B$1004,G$24)&gt;0,"✓",""))</f>
        <v/>
      </c>
      <c r="H189" s="57">
        <f>IF(OR($A189="",H$24=""),"",IF(COUNTIFS('AFA Rates'!$A$5:$A$1004,$A189,'AFA Rates'!$B$5:$B$1004,H$24)&gt;0,"✓",""))</f>
        <v/>
      </c>
      <c r="I189" s="57">
        <f>IF(OR($A189="",I$24=""),"",IF(COUNTIFS('AFA Rates'!$A$5:$A$1004,$A189,'AFA Rates'!$B$5:$B$1004,I$24)&gt;0,"✓",""))</f>
        <v/>
      </c>
      <c r="J189" s="57">
        <f>IF(OR($A189="",J$24=""),"",IF(COUNTIFS('AFA Rates'!$A$5:$A$1004,$A189,'AFA Rates'!$B$5:$B$1004,J$24)&gt;0,"✓",""))</f>
        <v/>
      </c>
      <c r="K189" s="57">
        <f>IF(OR($A189="",K$24=""),"",IF(COUNTIFS('AFA Rates'!$A$5:$A$1004,$A189,'AFA Rates'!$B$5:$B$1004,K$24)&gt;0,"✓",""))</f>
        <v/>
      </c>
      <c r="L189" s="57">
        <f>IF(OR($A189="",L$24=""),"",IF(COUNTIFS('AFA Rates'!$A$5:$A$1004,$A189,'AFA Rates'!$B$5:$B$1004,L$24)&gt;0,"✓",""))</f>
        <v/>
      </c>
      <c r="M189" s="57">
        <f>IF(OR($A189="",M$24=""),"",IF(COUNTIFS('AFA Rates'!$A$5:$A$1004,$A189,'AFA Rates'!$B$5:$B$1004,M$24)&gt;0,"✓",""))</f>
        <v/>
      </c>
    </row>
    <row r="190">
      <c r="A190" s="63">
        <f>IFERROR(INDEX(Firms!$A$5:$A$1004,MATCH(166,Firms!$S$5:$S$1004,0)),"")</f>
        <v/>
      </c>
      <c r="B190" s="57">
        <f>IF($A190="","",INDEX(Firms!$B$5:$B$1004,MATCH(166,Firms!$S$5:$S$1004,0)))</f>
        <v/>
      </c>
      <c r="C190" s="57">
        <f>IF($A190="","",COUNTIF('AFA Rates'!$A$5:$A$1004,$A190))</f>
        <v/>
      </c>
      <c r="D190" s="57">
        <f>IF(OR($A190="",D$24=""),"",IF(COUNTIFS('AFA Rates'!$A$5:$A$1004,$A190,'AFA Rates'!$B$5:$B$1004,D$24)&gt;0,"✓",""))</f>
        <v/>
      </c>
      <c r="E190" s="57">
        <f>IF(OR($A190="",E$24=""),"",IF(COUNTIFS('AFA Rates'!$A$5:$A$1004,$A190,'AFA Rates'!$B$5:$B$1004,E$24)&gt;0,"✓",""))</f>
        <v/>
      </c>
      <c r="F190" s="57">
        <f>IF(OR($A190="",F$24=""),"",IF(COUNTIFS('AFA Rates'!$A$5:$A$1004,$A190,'AFA Rates'!$B$5:$B$1004,F$24)&gt;0,"✓",""))</f>
        <v/>
      </c>
      <c r="G190" s="57">
        <f>IF(OR($A190="",G$24=""),"",IF(COUNTIFS('AFA Rates'!$A$5:$A$1004,$A190,'AFA Rates'!$B$5:$B$1004,G$24)&gt;0,"✓",""))</f>
        <v/>
      </c>
      <c r="H190" s="57">
        <f>IF(OR($A190="",H$24=""),"",IF(COUNTIFS('AFA Rates'!$A$5:$A$1004,$A190,'AFA Rates'!$B$5:$B$1004,H$24)&gt;0,"✓",""))</f>
        <v/>
      </c>
      <c r="I190" s="57">
        <f>IF(OR($A190="",I$24=""),"",IF(COUNTIFS('AFA Rates'!$A$5:$A$1004,$A190,'AFA Rates'!$B$5:$B$1004,I$24)&gt;0,"✓",""))</f>
        <v/>
      </c>
      <c r="J190" s="57">
        <f>IF(OR($A190="",J$24=""),"",IF(COUNTIFS('AFA Rates'!$A$5:$A$1004,$A190,'AFA Rates'!$B$5:$B$1004,J$24)&gt;0,"✓",""))</f>
        <v/>
      </c>
      <c r="K190" s="57">
        <f>IF(OR($A190="",K$24=""),"",IF(COUNTIFS('AFA Rates'!$A$5:$A$1004,$A190,'AFA Rates'!$B$5:$B$1004,K$24)&gt;0,"✓",""))</f>
        <v/>
      </c>
      <c r="L190" s="57">
        <f>IF(OR($A190="",L$24=""),"",IF(COUNTIFS('AFA Rates'!$A$5:$A$1004,$A190,'AFA Rates'!$B$5:$B$1004,L$24)&gt;0,"✓",""))</f>
        <v/>
      </c>
      <c r="M190" s="57">
        <f>IF(OR($A190="",M$24=""),"",IF(COUNTIFS('AFA Rates'!$A$5:$A$1004,$A190,'AFA Rates'!$B$5:$B$1004,M$24)&gt;0,"✓",""))</f>
        <v/>
      </c>
    </row>
    <row r="191">
      <c r="A191" s="63">
        <f>IFERROR(INDEX(Firms!$A$5:$A$1004,MATCH(167,Firms!$S$5:$S$1004,0)),"")</f>
        <v/>
      </c>
      <c r="B191" s="57">
        <f>IF($A191="","",INDEX(Firms!$B$5:$B$1004,MATCH(167,Firms!$S$5:$S$1004,0)))</f>
        <v/>
      </c>
      <c r="C191" s="57">
        <f>IF($A191="","",COUNTIF('AFA Rates'!$A$5:$A$1004,$A191))</f>
        <v/>
      </c>
      <c r="D191" s="57">
        <f>IF(OR($A191="",D$24=""),"",IF(COUNTIFS('AFA Rates'!$A$5:$A$1004,$A191,'AFA Rates'!$B$5:$B$1004,D$24)&gt;0,"✓",""))</f>
        <v/>
      </c>
      <c r="E191" s="57">
        <f>IF(OR($A191="",E$24=""),"",IF(COUNTIFS('AFA Rates'!$A$5:$A$1004,$A191,'AFA Rates'!$B$5:$B$1004,E$24)&gt;0,"✓",""))</f>
        <v/>
      </c>
      <c r="F191" s="57">
        <f>IF(OR($A191="",F$24=""),"",IF(COUNTIFS('AFA Rates'!$A$5:$A$1004,$A191,'AFA Rates'!$B$5:$B$1004,F$24)&gt;0,"✓",""))</f>
        <v/>
      </c>
      <c r="G191" s="57">
        <f>IF(OR($A191="",G$24=""),"",IF(COUNTIFS('AFA Rates'!$A$5:$A$1004,$A191,'AFA Rates'!$B$5:$B$1004,G$24)&gt;0,"✓",""))</f>
        <v/>
      </c>
      <c r="H191" s="57">
        <f>IF(OR($A191="",H$24=""),"",IF(COUNTIFS('AFA Rates'!$A$5:$A$1004,$A191,'AFA Rates'!$B$5:$B$1004,H$24)&gt;0,"✓",""))</f>
        <v/>
      </c>
      <c r="I191" s="57">
        <f>IF(OR($A191="",I$24=""),"",IF(COUNTIFS('AFA Rates'!$A$5:$A$1004,$A191,'AFA Rates'!$B$5:$B$1004,I$24)&gt;0,"✓",""))</f>
        <v/>
      </c>
      <c r="J191" s="57">
        <f>IF(OR($A191="",J$24=""),"",IF(COUNTIFS('AFA Rates'!$A$5:$A$1004,$A191,'AFA Rates'!$B$5:$B$1004,J$24)&gt;0,"✓",""))</f>
        <v/>
      </c>
      <c r="K191" s="57">
        <f>IF(OR($A191="",K$24=""),"",IF(COUNTIFS('AFA Rates'!$A$5:$A$1004,$A191,'AFA Rates'!$B$5:$B$1004,K$24)&gt;0,"✓",""))</f>
        <v/>
      </c>
      <c r="L191" s="57">
        <f>IF(OR($A191="",L$24=""),"",IF(COUNTIFS('AFA Rates'!$A$5:$A$1004,$A191,'AFA Rates'!$B$5:$B$1004,L$24)&gt;0,"✓",""))</f>
        <v/>
      </c>
      <c r="M191" s="57">
        <f>IF(OR($A191="",M$24=""),"",IF(COUNTIFS('AFA Rates'!$A$5:$A$1004,$A191,'AFA Rates'!$B$5:$B$1004,M$24)&gt;0,"✓",""))</f>
        <v/>
      </c>
    </row>
    <row r="192">
      <c r="A192" s="63">
        <f>IFERROR(INDEX(Firms!$A$5:$A$1004,MATCH(168,Firms!$S$5:$S$1004,0)),"")</f>
        <v/>
      </c>
      <c r="B192" s="57">
        <f>IF($A192="","",INDEX(Firms!$B$5:$B$1004,MATCH(168,Firms!$S$5:$S$1004,0)))</f>
        <v/>
      </c>
      <c r="C192" s="57">
        <f>IF($A192="","",COUNTIF('AFA Rates'!$A$5:$A$1004,$A192))</f>
        <v/>
      </c>
      <c r="D192" s="57">
        <f>IF(OR($A192="",D$24=""),"",IF(COUNTIFS('AFA Rates'!$A$5:$A$1004,$A192,'AFA Rates'!$B$5:$B$1004,D$24)&gt;0,"✓",""))</f>
        <v/>
      </c>
      <c r="E192" s="57">
        <f>IF(OR($A192="",E$24=""),"",IF(COUNTIFS('AFA Rates'!$A$5:$A$1004,$A192,'AFA Rates'!$B$5:$B$1004,E$24)&gt;0,"✓",""))</f>
        <v/>
      </c>
      <c r="F192" s="57">
        <f>IF(OR($A192="",F$24=""),"",IF(COUNTIFS('AFA Rates'!$A$5:$A$1004,$A192,'AFA Rates'!$B$5:$B$1004,F$24)&gt;0,"✓",""))</f>
        <v/>
      </c>
      <c r="G192" s="57">
        <f>IF(OR($A192="",G$24=""),"",IF(COUNTIFS('AFA Rates'!$A$5:$A$1004,$A192,'AFA Rates'!$B$5:$B$1004,G$24)&gt;0,"✓",""))</f>
        <v/>
      </c>
      <c r="H192" s="57">
        <f>IF(OR($A192="",H$24=""),"",IF(COUNTIFS('AFA Rates'!$A$5:$A$1004,$A192,'AFA Rates'!$B$5:$B$1004,H$24)&gt;0,"✓",""))</f>
        <v/>
      </c>
      <c r="I192" s="57">
        <f>IF(OR($A192="",I$24=""),"",IF(COUNTIFS('AFA Rates'!$A$5:$A$1004,$A192,'AFA Rates'!$B$5:$B$1004,I$24)&gt;0,"✓",""))</f>
        <v/>
      </c>
      <c r="J192" s="57">
        <f>IF(OR($A192="",J$24=""),"",IF(COUNTIFS('AFA Rates'!$A$5:$A$1004,$A192,'AFA Rates'!$B$5:$B$1004,J$24)&gt;0,"✓",""))</f>
        <v/>
      </c>
      <c r="K192" s="57">
        <f>IF(OR($A192="",K$24=""),"",IF(COUNTIFS('AFA Rates'!$A$5:$A$1004,$A192,'AFA Rates'!$B$5:$B$1004,K$24)&gt;0,"✓",""))</f>
        <v/>
      </c>
      <c r="L192" s="57">
        <f>IF(OR($A192="",L$24=""),"",IF(COUNTIFS('AFA Rates'!$A$5:$A$1004,$A192,'AFA Rates'!$B$5:$B$1004,L$24)&gt;0,"✓",""))</f>
        <v/>
      </c>
      <c r="M192" s="57">
        <f>IF(OR($A192="",M$24=""),"",IF(COUNTIFS('AFA Rates'!$A$5:$A$1004,$A192,'AFA Rates'!$B$5:$B$1004,M$24)&gt;0,"✓",""))</f>
        <v/>
      </c>
    </row>
    <row r="193">
      <c r="A193" s="63">
        <f>IFERROR(INDEX(Firms!$A$5:$A$1004,MATCH(169,Firms!$S$5:$S$1004,0)),"")</f>
        <v/>
      </c>
      <c r="B193" s="57">
        <f>IF($A193="","",INDEX(Firms!$B$5:$B$1004,MATCH(169,Firms!$S$5:$S$1004,0)))</f>
        <v/>
      </c>
      <c r="C193" s="57">
        <f>IF($A193="","",COUNTIF('AFA Rates'!$A$5:$A$1004,$A193))</f>
        <v/>
      </c>
      <c r="D193" s="57">
        <f>IF(OR($A193="",D$24=""),"",IF(COUNTIFS('AFA Rates'!$A$5:$A$1004,$A193,'AFA Rates'!$B$5:$B$1004,D$24)&gt;0,"✓",""))</f>
        <v/>
      </c>
      <c r="E193" s="57">
        <f>IF(OR($A193="",E$24=""),"",IF(COUNTIFS('AFA Rates'!$A$5:$A$1004,$A193,'AFA Rates'!$B$5:$B$1004,E$24)&gt;0,"✓",""))</f>
        <v/>
      </c>
      <c r="F193" s="57">
        <f>IF(OR($A193="",F$24=""),"",IF(COUNTIFS('AFA Rates'!$A$5:$A$1004,$A193,'AFA Rates'!$B$5:$B$1004,F$24)&gt;0,"✓",""))</f>
        <v/>
      </c>
      <c r="G193" s="57">
        <f>IF(OR($A193="",G$24=""),"",IF(COUNTIFS('AFA Rates'!$A$5:$A$1004,$A193,'AFA Rates'!$B$5:$B$1004,G$24)&gt;0,"✓",""))</f>
        <v/>
      </c>
      <c r="H193" s="57">
        <f>IF(OR($A193="",H$24=""),"",IF(COUNTIFS('AFA Rates'!$A$5:$A$1004,$A193,'AFA Rates'!$B$5:$B$1004,H$24)&gt;0,"✓",""))</f>
        <v/>
      </c>
      <c r="I193" s="57">
        <f>IF(OR($A193="",I$24=""),"",IF(COUNTIFS('AFA Rates'!$A$5:$A$1004,$A193,'AFA Rates'!$B$5:$B$1004,I$24)&gt;0,"✓",""))</f>
        <v/>
      </c>
      <c r="J193" s="57">
        <f>IF(OR($A193="",J$24=""),"",IF(COUNTIFS('AFA Rates'!$A$5:$A$1004,$A193,'AFA Rates'!$B$5:$B$1004,J$24)&gt;0,"✓",""))</f>
        <v/>
      </c>
      <c r="K193" s="57">
        <f>IF(OR($A193="",K$24=""),"",IF(COUNTIFS('AFA Rates'!$A$5:$A$1004,$A193,'AFA Rates'!$B$5:$B$1004,K$24)&gt;0,"✓",""))</f>
        <v/>
      </c>
      <c r="L193" s="57">
        <f>IF(OR($A193="",L$24=""),"",IF(COUNTIFS('AFA Rates'!$A$5:$A$1004,$A193,'AFA Rates'!$B$5:$B$1004,L$24)&gt;0,"✓",""))</f>
        <v/>
      </c>
      <c r="M193" s="57">
        <f>IF(OR($A193="",M$24=""),"",IF(COUNTIFS('AFA Rates'!$A$5:$A$1004,$A193,'AFA Rates'!$B$5:$B$1004,M$24)&gt;0,"✓",""))</f>
        <v/>
      </c>
    </row>
    <row r="194">
      <c r="A194" s="63">
        <f>IFERROR(INDEX(Firms!$A$5:$A$1004,MATCH(170,Firms!$S$5:$S$1004,0)),"")</f>
        <v/>
      </c>
      <c r="B194" s="57">
        <f>IF($A194="","",INDEX(Firms!$B$5:$B$1004,MATCH(170,Firms!$S$5:$S$1004,0)))</f>
        <v/>
      </c>
      <c r="C194" s="57">
        <f>IF($A194="","",COUNTIF('AFA Rates'!$A$5:$A$1004,$A194))</f>
        <v/>
      </c>
      <c r="D194" s="57">
        <f>IF(OR($A194="",D$24=""),"",IF(COUNTIFS('AFA Rates'!$A$5:$A$1004,$A194,'AFA Rates'!$B$5:$B$1004,D$24)&gt;0,"✓",""))</f>
        <v/>
      </c>
      <c r="E194" s="57">
        <f>IF(OR($A194="",E$24=""),"",IF(COUNTIFS('AFA Rates'!$A$5:$A$1004,$A194,'AFA Rates'!$B$5:$B$1004,E$24)&gt;0,"✓",""))</f>
        <v/>
      </c>
      <c r="F194" s="57">
        <f>IF(OR($A194="",F$24=""),"",IF(COUNTIFS('AFA Rates'!$A$5:$A$1004,$A194,'AFA Rates'!$B$5:$B$1004,F$24)&gt;0,"✓",""))</f>
        <v/>
      </c>
      <c r="G194" s="57">
        <f>IF(OR($A194="",G$24=""),"",IF(COUNTIFS('AFA Rates'!$A$5:$A$1004,$A194,'AFA Rates'!$B$5:$B$1004,G$24)&gt;0,"✓",""))</f>
        <v/>
      </c>
      <c r="H194" s="57">
        <f>IF(OR($A194="",H$24=""),"",IF(COUNTIFS('AFA Rates'!$A$5:$A$1004,$A194,'AFA Rates'!$B$5:$B$1004,H$24)&gt;0,"✓",""))</f>
        <v/>
      </c>
      <c r="I194" s="57">
        <f>IF(OR($A194="",I$24=""),"",IF(COUNTIFS('AFA Rates'!$A$5:$A$1004,$A194,'AFA Rates'!$B$5:$B$1004,I$24)&gt;0,"✓",""))</f>
        <v/>
      </c>
      <c r="J194" s="57">
        <f>IF(OR($A194="",J$24=""),"",IF(COUNTIFS('AFA Rates'!$A$5:$A$1004,$A194,'AFA Rates'!$B$5:$B$1004,J$24)&gt;0,"✓",""))</f>
        <v/>
      </c>
      <c r="K194" s="57">
        <f>IF(OR($A194="",K$24=""),"",IF(COUNTIFS('AFA Rates'!$A$5:$A$1004,$A194,'AFA Rates'!$B$5:$B$1004,K$24)&gt;0,"✓",""))</f>
        <v/>
      </c>
      <c r="L194" s="57">
        <f>IF(OR($A194="",L$24=""),"",IF(COUNTIFS('AFA Rates'!$A$5:$A$1004,$A194,'AFA Rates'!$B$5:$B$1004,L$24)&gt;0,"✓",""))</f>
        <v/>
      </c>
      <c r="M194" s="57">
        <f>IF(OR($A194="",M$24=""),"",IF(COUNTIFS('AFA Rates'!$A$5:$A$1004,$A194,'AFA Rates'!$B$5:$B$1004,M$24)&gt;0,"✓",""))</f>
        <v/>
      </c>
    </row>
    <row r="195">
      <c r="A195" s="63">
        <f>IFERROR(INDEX(Firms!$A$5:$A$1004,MATCH(171,Firms!$S$5:$S$1004,0)),"")</f>
        <v/>
      </c>
      <c r="B195" s="57">
        <f>IF($A195="","",INDEX(Firms!$B$5:$B$1004,MATCH(171,Firms!$S$5:$S$1004,0)))</f>
        <v/>
      </c>
      <c r="C195" s="57">
        <f>IF($A195="","",COUNTIF('AFA Rates'!$A$5:$A$1004,$A195))</f>
        <v/>
      </c>
      <c r="D195" s="57">
        <f>IF(OR($A195="",D$24=""),"",IF(COUNTIFS('AFA Rates'!$A$5:$A$1004,$A195,'AFA Rates'!$B$5:$B$1004,D$24)&gt;0,"✓",""))</f>
        <v/>
      </c>
      <c r="E195" s="57">
        <f>IF(OR($A195="",E$24=""),"",IF(COUNTIFS('AFA Rates'!$A$5:$A$1004,$A195,'AFA Rates'!$B$5:$B$1004,E$24)&gt;0,"✓",""))</f>
        <v/>
      </c>
      <c r="F195" s="57">
        <f>IF(OR($A195="",F$24=""),"",IF(COUNTIFS('AFA Rates'!$A$5:$A$1004,$A195,'AFA Rates'!$B$5:$B$1004,F$24)&gt;0,"✓",""))</f>
        <v/>
      </c>
      <c r="G195" s="57">
        <f>IF(OR($A195="",G$24=""),"",IF(COUNTIFS('AFA Rates'!$A$5:$A$1004,$A195,'AFA Rates'!$B$5:$B$1004,G$24)&gt;0,"✓",""))</f>
        <v/>
      </c>
      <c r="H195" s="57">
        <f>IF(OR($A195="",H$24=""),"",IF(COUNTIFS('AFA Rates'!$A$5:$A$1004,$A195,'AFA Rates'!$B$5:$B$1004,H$24)&gt;0,"✓",""))</f>
        <v/>
      </c>
      <c r="I195" s="57">
        <f>IF(OR($A195="",I$24=""),"",IF(COUNTIFS('AFA Rates'!$A$5:$A$1004,$A195,'AFA Rates'!$B$5:$B$1004,I$24)&gt;0,"✓",""))</f>
        <v/>
      </c>
      <c r="J195" s="57">
        <f>IF(OR($A195="",J$24=""),"",IF(COUNTIFS('AFA Rates'!$A$5:$A$1004,$A195,'AFA Rates'!$B$5:$B$1004,J$24)&gt;0,"✓",""))</f>
        <v/>
      </c>
      <c r="K195" s="57">
        <f>IF(OR($A195="",K$24=""),"",IF(COUNTIFS('AFA Rates'!$A$5:$A$1004,$A195,'AFA Rates'!$B$5:$B$1004,K$24)&gt;0,"✓",""))</f>
        <v/>
      </c>
      <c r="L195" s="57">
        <f>IF(OR($A195="",L$24=""),"",IF(COUNTIFS('AFA Rates'!$A$5:$A$1004,$A195,'AFA Rates'!$B$5:$B$1004,L$24)&gt;0,"✓",""))</f>
        <v/>
      </c>
      <c r="M195" s="57">
        <f>IF(OR($A195="",M$24=""),"",IF(COUNTIFS('AFA Rates'!$A$5:$A$1004,$A195,'AFA Rates'!$B$5:$B$1004,M$24)&gt;0,"✓",""))</f>
        <v/>
      </c>
    </row>
    <row r="196">
      <c r="A196" s="63">
        <f>IFERROR(INDEX(Firms!$A$5:$A$1004,MATCH(172,Firms!$S$5:$S$1004,0)),"")</f>
        <v/>
      </c>
      <c r="B196" s="57">
        <f>IF($A196="","",INDEX(Firms!$B$5:$B$1004,MATCH(172,Firms!$S$5:$S$1004,0)))</f>
        <v/>
      </c>
      <c r="C196" s="57">
        <f>IF($A196="","",COUNTIF('AFA Rates'!$A$5:$A$1004,$A196))</f>
        <v/>
      </c>
      <c r="D196" s="57">
        <f>IF(OR($A196="",D$24=""),"",IF(COUNTIFS('AFA Rates'!$A$5:$A$1004,$A196,'AFA Rates'!$B$5:$B$1004,D$24)&gt;0,"✓",""))</f>
        <v/>
      </c>
      <c r="E196" s="57">
        <f>IF(OR($A196="",E$24=""),"",IF(COUNTIFS('AFA Rates'!$A$5:$A$1004,$A196,'AFA Rates'!$B$5:$B$1004,E$24)&gt;0,"✓",""))</f>
        <v/>
      </c>
      <c r="F196" s="57">
        <f>IF(OR($A196="",F$24=""),"",IF(COUNTIFS('AFA Rates'!$A$5:$A$1004,$A196,'AFA Rates'!$B$5:$B$1004,F$24)&gt;0,"✓",""))</f>
        <v/>
      </c>
      <c r="G196" s="57">
        <f>IF(OR($A196="",G$24=""),"",IF(COUNTIFS('AFA Rates'!$A$5:$A$1004,$A196,'AFA Rates'!$B$5:$B$1004,G$24)&gt;0,"✓",""))</f>
        <v/>
      </c>
      <c r="H196" s="57">
        <f>IF(OR($A196="",H$24=""),"",IF(COUNTIFS('AFA Rates'!$A$5:$A$1004,$A196,'AFA Rates'!$B$5:$B$1004,H$24)&gt;0,"✓",""))</f>
        <v/>
      </c>
      <c r="I196" s="57">
        <f>IF(OR($A196="",I$24=""),"",IF(COUNTIFS('AFA Rates'!$A$5:$A$1004,$A196,'AFA Rates'!$B$5:$B$1004,I$24)&gt;0,"✓",""))</f>
        <v/>
      </c>
      <c r="J196" s="57">
        <f>IF(OR($A196="",J$24=""),"",IF(COUNTIFS('AFA Rates'!$A$5:$A$1004,$A196,'AFA Rates'!$B$5:$B$1004,J$24)&gt;0,"✓",""))</f>
        <v/>
      </c>
      <c r="K196" s="57">
        <f>IF(OR($A196="",K$24=""),"",IF(COUNTIFS('AFA Rates'!$A$5:$A$1004,$A196,'AFA Rates'!$B$5:$B$1004,K$24)&gt;0,"✓",""))</f>
        <v/>
      </c>
      <c r="L196" s="57">
        <f>IF(OR($A196="",L$24=""),"",IF(COUNTIFS('AFA Rates'!$A$5:$A$1004,$A196,'AFA Rates'!$B$5:$B$1004,L$24)&gt;0,"✓",""))</f>
        <v/>
      </c>
      <c r="M196" s="57">
        <f>IF(OR($A196="",M$24=""),"",IF(COUNTIFS('AFA Rates'!$A$5:$A$1004,$A196,'AFA Rates'!$B$5:$B$1004,M$24)&gt;0,"✓",""))</f>
        <v/>
      </c>
    </row>
    <row r="197">
      <c r="A197" s="63">
        <f>IFERROR(INDEX(Firms!$A$5:$A$1004,MATCH(173,Firms!$S$5:$S$1004,0)),"")</f>
        <v/>
      </c>
      <c r="B197" s="57">
        <f>IF($A197="","",INDEX(Firms!$B$5:$B$1004,MATCH(173,Firms!$S$5:$S$1004,0)))</f>
        <v/>
      </c>
      <c r="C197" s="57">
        <f>IF($A197="","",COUNTIF('AFA Rates'!$A$5:$A$1004,$A197))</f>
        <v/>
      </c>
      <c r="D197" s="57">
        <f>IF(OR($A197="",D$24=""),"",IF(COUNTIFS('AFA Rates'!$A$5:$A$1004,$A197,'AFA Rates'!$B$5:$B$1004,D$24)&gt;0,"✓",""))</f>
        <v/>
      </c>
      <c r="E197" s="57">
        <f>IF(OR($A197="",E$24=""),"",IF(COUNTIFS('AFA Rates'!$A$5:$A$1004,$A197,'AFA Rates'!$B$5:$B$1004,E$24)&gt;0,"✓",""))</f>
        <v/>
      </c>
      <c r="F197" s="57">
        <f>IF(OR($A197="",F$24=""),"",IF(COUNTIFS('AFA Rates'!$A$5:$A$1004,$A197,'AFA Rates'!$B$5:$B$1004,F$24)&gt;0,"✓",""))</f>
        <v/>
      </c>
      <c r="G197" s="57">
        <f>IF(OR($A197="",G$24=""),"",IF(COUNTIFS('AFA Rates'!$A$5:$A$1004,$A197,'AFA Rates'!$B$5:$B$1004,G$24)&gt;0,"✓",""))</f>
        <v/>
      </c>
      <c r="H197" s="57">
        <f>IF(OR($A197="",H$24=""),"",IF(COUNTIFS('AFA Rates'!$A$5:$A$1004,$A197,'AFA Rates'!$B$5:$B$1004,H$24)&gt;0,"✓",""))</f>
        <v/>
      </c>
      <c r="I197" s="57">
        <f>IF(OR($A197="",I$24=""),"",IF(COUNTIFS('AFA Rates'!$A$5:$A$1004,$A197,'AFA Rates'!$B$5:$B$1004,I$24)&gt;0,"✓",""))</f>
        <v/>
      </c>
      <c r="J197" s="57">
        <f>IF(OR($A197="",J$24=""),"",IF(COUNTIFS('AFA Rates'!$A$5:$A$1004,$A197,'AFA Rates'!$B$5:$B$1004,J$24)&gt;0,"✓",""))</f>
        <v/>
      </c>
      <c r="K197" s="57">
        <f>IF(OR($A197="",K$24=""),"",IF(COUNTIFS('AFA Rates'!$A$5:$A$1004,$A197,'AFA Rates'!$B$5:$B$1004,K$24)&gt;0,"✓",""))</f>
        <v/>
      </c>
      <c r="L197" s="57">
        <f>IF(OR($A197="",L$24=""),"",IF(COUNTIFS('AFA Rates'!$A$5:$A$1004,$A197,'AFA Rates'!$B$5:$B$1004,L$24)&gt;0,"✓",""))</f>
        <v/>
      </c>
      <c r="M197" s="57">
        <f>IF(OR($A197="",M$24=""),"",IF(COUNTIFS('AFA Rates'!$A$5:$A$1004,$A197,'AFA Rates'!$B$5:$B$1004,M$24)&gt;0,"✓",""))</f>
        <v/>
      </c>
    </row>
    <row r="198">
      <c r="A198" s="63">
        <f>IFERROR(INDEX(Firms!$A$5:$A$1004,MATCH(174,Firms!$S$5:$S$1004,0)),"")</f>
        <v/>
      </c>
      <c r="B198" s="57">
        <f>IF($A198="","",INDEX(Firms!$B$5:$B$1004,MATCH(174,Firms!$S$5:$S$1004,0)))</f>
        <v/>
      </c>
      <c r="C198" s="57">
        <f>IF($A198="","",COUNTIF('AFA Rates'!$A$5:$A$1004,$A198))</f>
        <v/>
      </c>
      <c r="D198" s="57">
        <f>IF(OR($A198="",D$24=""),"",IF(COUNTIFS('AFA Rates'!$A$5:$A$1004,$A198,'AFA Rates'!$B$5:$B$1004,D$24)&gt;0,"✓",""))</f>
        <v/>
      </c>
      <c r="E198" s="57">
        <f>IF(OR($A198="",E$24=""),"",IF(COUNTIFS('AFA Rates'!$A$5:$A$1004,$A198,'AFA Rates'!$B$5:$B$1004,E$24)&gt;0,"✓",""))</f>
        <v/>
      </c>
      <c r="F198" s="57">
        <f>IF(OR($A198="",F$24=""),"",IF(COUNTIFS('AFA Rates'!$A$5:$A$1004,$A198,'AFA Rates'!$B$5:$B$1004,F$24)&gt;0,"✓",""))</f>
        <v/>
      </c>
      <c r="G198" s="57">
        <f>IF(OR($A198="",G$24=""),"",IF(COUNTIFS('AFA Rates'!$A$5:$A$1004,$A198,'AFA Rates'!$B$5:$B$1004,G$24)&gt;0,"✓",""))</f>
        <v/>
      </c>
      <c r="H198" s="57">
        <f>IF(OR($A198="",H$24=""),"",IF(COUNTIFS('AFA Rates'!$A$5:$A$1004,$A198,'AFA Rates'!$B$5:$B$1004,H$24)&gt;0,"✓",""))</f>
        <v/>
      </c>
      <c r="I198" s="57">
        <f>IF(OR($A198="",I$24=""),"",IF(COUNTIFS('AFA Rates'!$A$5:$A$1004,$A198,'AFA Rates'!$B$5:$B$1004,I$24)&gt;0,"✓",""))</f>
        <v/>
      </c>
      <c r="J198" s="57">
        <f>IF(OR($A198="",J$24=""),"",IF(COUNTIFS('AFA Rates'!$A$5:$A$1004,$A198,'AFA Rates'!$B$5:$B$1004,J$24)&gt;0,"✓",""))</f>
        <v/>
      </c>
      <c r="K198" s="57">
        <f>IF(OR($A198="",K$24=""),"",IF(COUNTIFS('AFA Rates'!$A$5:$A$1004,$A198,'AFA Rates'!$B$5:$B$1004,K$24)&gt;0,"✓",""))</f>
        <v/>
      </c>
      <c r="L198" s="57">
        <f>IF(OR($A198="",L$24=""),"",IF(COUNTIFS('AFA Rates'!$A$5:$A$1004,$A198,'AFA Rates'!$B$5:$B$1004,L$24)&gt;0,"✓",""))</f>
        <v/>
      </c>
      <c r="M198" s="57">
        <f>IF(OR($A198="",M$24=""),"",IF(COUNTIFS('AFA Rates'!$A$5:$A$1004,$A198,'AFA Rates'!$B$5:$B$1004,M$24)&gt;0,"✓",""))</f>
        <v/>
      </c>
    </row>
    <row r="199">
      <c r="A199" s="63">
        <f>IFERROR(INDEX(Firms!$A$5:$A$1004,MATCH(175,Firms!$S$5:$S$1004,0)),"")</f>
        <v/>
      </c>
      <c r="B199" s="57">
        <f>IF($A199="","",INDEX(Firms!$B$5:$B$1004,MATCH(175,Firms!$S$5:$S$1004,0)))</f>
        <v/>
      </c>
      <c r="C199" s="57">
        <f>IF($A199="","",COUNTIF('AFA Rates'!$A$5:$A$1004,$A199))</f>
        <v/>
      </c>
      <c r="D199" s="57">
        <f>IF(OR($A199="",D$24=""),"",IF(COUNTIFS('AFA Rates'!$A$5:$A$1004,$A199,'AFA Rates'!$B$5:$B$1004,D$24)&gt;0,"✓",""))</f>
        <v/>
      </c>
      <c r="E199" s="57">
        <f>IF(OR($A199="",E$24=""),"",IF(COUNTIFS('AFA Rates'!$A$5:$A$1004,$A199,'AFA Rates'!$B$5:$B$1004,E$24)&gt;0,"✓",""))</f>
        <v/>
      </c>
      <c r="F199" s="57">
        <f>IF(OR($A199="",F$24=""),"",IF(COUNTIFS('AFA Rates'!$A$5:$A$1004,$A199,'AFA Rates'!$B$5:$B$1004,F$24)&gt;0,"✓",""))</f>
        <v/>
      </c>
      <c r="G199" s="57">
        <f>IF(OR($A199="",G$24=""),"",IF(COUNTIFS('AFA Rates'!$A$5:$A$1004,$A199,'AFA Rates'!$B$5:$B$1004,G$24)&gt;0,"✓",""))</f>
        <v/>
      </c>
      <c r="H199" s="57">
        <f>IF(OR($A199="",H$24=""),"",IF(COUNTIFS('AFA Rates'!$A$5:$A$1004,$A199,'AFA Rates'!$B$5:$B$1004,H$24)&gt;0,"✓",""))</f>
        <v/>
      </c>
      <c r="I199" s="57">
        <f>IF(OR($A199="",I$24=""),"",IF(COUNTIFS('AFA Rates'!$A$5:$A$1004,$A199,'AFA Rates'!$B$5:$B$1004,I$24)&gt;0,"✓",""))</f>
        <v/>
      </c>
      <c r="J199" s="57">
        <f>IF(OR($A199="",J$24=""),"",IF(COUNTIFS('AFA Rates'!$A$5:$A$1004,$A199,'AFA Rates'!$B$5:$B$1004,J$24)&gt;0,"✓",""))</f>
        <v/>
      </c>
      <c r="K199" s="57">
        <f>IF(OR($A199="",K$24=""),"",IF(COUNTIFS('AFA Rates'!$A$5:$A$1004,$A199,'AFA Rates'!$B$5:$B$1004,K$24)&gt;0,"✓",""))</f>
        <v/>
      </c>
      <c r="L199" s="57">
        <f>IF(OR($A199="",L$24=""),"",IF(COUNTIFS('AFA Rates'!$A$5:$A$1004,$A199,'AFA Rates'!$B$5:$B$1004,L$24)&gt;0,"✓",""))</f>
        <v/>
      </c>
      <c r="M199" s="57">
        <f>IF(OR($A199="",M$24=""),"",IF(COUNTIFS('AFA Rates'!$A$5:$A$1004,$A199,'AFA Rates'!$B$5:$B$1004,M$24)&gt;0,"✓",""))</f>
        <v/>
      </c>
    </row>
    <row r="200">
      <c r="A200" s="63">
        <f>IFERROR(INDEX(Firms!$A$5:$A$1004,MATCH(176,Firms!$S$5:$S$1004,0)),"")</f>
        <v/>
      </c>
      <c r="B200" s="57">
        <f>IF($A200="","",INDEX(Firms!$B$5:$B$1004,MATCH(176,Firms!$S$5:$S$1004,0)))</f>
        <v/>
      </c>
      <c r="C200" s="57">
        <f>IF($A200="","",COUNTIF('AFA Rates'!$A$5:$A$1004,$A200))</f>
        <v/>
      </c>
      <c r="D200" s="57">
        <f>IF(OR($A200="",D$24=""),"",IF(COUNTIFS('AFA Rates'!$A$5:$A$1004,$A200,'AFA Rates'!$B$5:$B$1004,D$24)&gt;0,"✓",""))</f>
        <v/>
      </c>
      <c r="E200" s="57">
        <f>IF(OR($A200="",E$24=""),"",IF(COUNTIFS('AFA Rates'!$A$5:$A$1004,$A200,'AFA Rates'!$B$5:$B$1004,E$24)&gt;0,"✓",""))</f>
        <v/>
      </c>
      <c r="F200" s="57">
        <f>IF(OR($A200="",F$24=""),"",IF(COUNTIFS('AFA Rates'!$A$5:$A$1004,$A200,'AFA Rates'!$B$5:$B$1004,F$24)&gt;0,"✓",""))</f>
        <v/>
      </c>
      <c r="G200" s="57">
        <f>IF(OR($A200="",G$24=""),"",IF(COUNTIFS('AFA Rates'!$A$5:$A$1004,$A200,'AFA Rates'!$B$5:$B$1004,G$24)&gt;0,"✓",""))</f>
        <v/>
      </c>
      <c r="H200" s="57">
        <f>IF(OR($A200="",H$24=""),"",IF(COUNTIFS('AFA Rates'!$A$5:$A$1004,$A200,'AFA Rates'!$B$5:$B$1004,H$24)&gt;0,"✓",""))</f>
        <v/>
      </c>
      <c r="I200" s="57">
        <f>IF(OR($A200="",I$24=""),"",IF(COUNTIFS('AFA Rates'!$A$5:$A$1004,$A200,'AFA Rates'!$B$5:$B$1004,I$24)&gt;0,"✓",""))</f>
        <v/>
      </c>
      <c r="J200" s="57">
        <f>IF(OR($A200="",J$24=""),"",IF(COUNTIFS('AFA Rates'!$A$5:$A$1004,$A200,'AFA Rates'!$B$5:$B$1004,J$24)&gt;0,"✓",""))</f>
        <v/>
      </c>
      <c r="K200" s="57">
        <f>IF(OR($A200="",K$24=""),"",IF(COUNTIFS('AFA Rates'!$A$5:$A$1004,$A200,'AFA Rates'!$B$5:$B$1004,K$24)&gt;0,"✓",""))</f>
        <v/>
      </c>
      <c r="L200" s="57">
        <f>IF(OR($A200="",L$24=""),"",IF(COUNTIFS('AFA Rates'!$A$5:$A$1004,$A200,'AFA Rates'!$B$5:$B$1004,L$24)&gt;0,"✓",""))</f>
        <v/>
      </c>
      <c r="M200" s="57">
        <f>IF(OR($A200="",M$24=""),"",IF(COUNTIFS('AFA Rates'!$A$5:$A$1004,$A200,'AFA Rates'!$B$5:$B$1004,M$24)&gt;0,"✓",""))</f>
        <v/>
      </c>
    </row>
    <row r="201">
      <c r="A201" s="63">
        <f>IFERROR(INDEX(Firms!$A$5:$A$1004,MATCH(177,Firms!$S$5:$S$1004,0)),"")</f>
        <v/>
      </c>
      <c r="B201" s="57">
        <f>IF($A201="","",INDEX(Firms!$B$5:$B$1004,MATCH(177,Firms!$S$5:$S$1004,0)))</f>
        <v/>
      </c>
      <c r="C201" s="57">
        <f>IF($A201="","",COUNTIF('AFA Rates'!$A$5:$A$1004,$A201))</f>
        <v/>
      </c>
      <c r="D201" s="57">
        <f>IF(OR($A201="",D$24=""),"",IF(COUNTIFS('AFA Rates'!$A$5:$A$1004,$A201,'AFA Rates'!$B$5:$B$1004,D$24)&gt;0,"✓",""))</f>
        <v/>
      </c>
      <c r="E201" s="57">
        <f>IF(OR($A201="",E$24=""),"",IF(COUNTIFS('AFA Rates'!$A$5:$A$1004,$A201,'AFA Rates'!$B$5:$B$1004,E$24)&gt;0,"✓",""))</f>
        <v/>
      </c>
      <c r="F201" s="57">
        <f>IF(OR($A201="",F$24=""),"",IF(COUNTIFS('AFA Rates'!$A$5:$A$1004,$A201,'AFA Rates'!$B$5:$B$1004,F$24)&gt;0,"✓",""))</f>
        <v/>
      </c>
      <c r="G201" s="57">
        <f>IF(OR($A201="",G$24=""),"",IF(COUNTIFS('AFA Rates'!$A$5:$A$1004,$A201,'AFA Rates'!$B$5:$B$1004,G$24)&gt;0,"✓",""))</f>
        <v/>
      </c>
      <c r="H201" s="57">
        <f>IF(OR($A201="",H$24=""),"",IF(COUNTIFS('AFA Rates'!$A$5:$A$1004,$A201,'AFA Rates'!$B$5:$B$1004,H$24)&gt;0,"✓",""))</f>
        <v/>
      </c>
      <c r="I201" s="57">
        <f>IF(OR($A201="",I$24=""),"",IF(COUNTIFS('AFA Rates'!$A$5:$A$1004,$A201,'AFA Rates'!$B$5:$B$1004,I$24)&gt;0,"✓",""))</f>
        <v/>
      </c>
      <c r="J201" s="57">
        <f>IF(OR($A201="",J$24=""),"",IF(COUNTIFS('AFA Rates'!$A$5:$A$1004,$A201,'AFA Rates'!$B$5:$B$1004,J$24)&gt;0,"✓",""))</f>
        <v/>
      </c>
      <c r="K201" s="57">
        <f>IF(OR($A201="",K$24=""),"",IF(COUNTIFS('AFA Rates'!$A$5:$A$1004,$A201,'AFA Rates'!$B$5:$B$1004,K$24)&gt;0,"✓",""))</f>
        <v/>
      </c>
      <c r="L201" s="57">
        <f>IF(OR($A201="",L$24=""),"",IF(COUNTIFS('AFA Rates'!$A$5:$A$1004,$A201,'AFA Rates'!$B$5:$B$1004,L$24)&gt;0,"✓",""))</f>
        <v/>
      </c>
      <c r="M201" s="57">
        <f>IF(OR($A201="",M$24=""),"",IF(COUNTIFS('AFA Rates'!$A$5:$A$1004,$A201,'AFA Rates'!$B$5:$B$1004,M$24)&gt;0,"✓",""))</f>
        <v/>
      </c>
    </row>
    <row r="202">
      <c r="A202" s="63">
        <f>IFERROR(INDEX(Firms!$A$5:$A$1004,MATCH(178,Firms!$S$5:$S$1004,0)),"")</f>
        <v/>
      </c>
      <c r="B202" s="57">
        <f>IF($A202="","",INDEX(Firms!$B$5:$B$1004,MATCH(178,Firms!$S$5:$S$1004,0)))</f>
        <v/>
      </c>
      <c r="C202" s="57">
        <f>IF($A202="","",COUNTIF('AFA Rates'!$A$5:$A$1004,$A202))</f>
        <v/>
      </c>
      <c r="D202" s="57">
        <f>IF(OR($A202="",D$24=""),"",IF(COUNTIFS('AFA Rates'!$A$5:$A$1004,$A202,'AFA Rates'!$B$5:$B$1004,D$24)&gt;0,"✓",""))</f>
        <v/>
      </c>
      <c r="E202" s="57">
        <f>IF(OR($A202="",E$24=""),"",IF(COUNTIFS('AFA Rates'!$A$5:$A$1004,$A202,'AFA Rates'!$B$5:$B$1004,E$24)&gt;0,"✓",""))</f>
        <v/>
      </c>
      <c r="F202" s="57">
        <f>IF(OR($A202="",F$24=""),"",IF(COUNTIFS('AFA Rates'!$A$5:$A$1004,$A202,'AFA Rates'!$B$5:$B$1004,F$24)&gt;0,"✓",""))</f>
        <v/>
      </c>
      <c r="G202" s="57">
        <f>IF(OR($A202="",G$24=""),"",IF(COUNTIFS('AFA Rates'!$A$5:$A$1004,$A202,'AFA Rates'!$B$5:$B$1004,G$24)&gt;0,"✓",""))</f>
        <v/>
      </c>
      <c r="H202" s="57">
        <f>IF(OR($A202="",H$24=""),"",IF(COUNTIFS('AFA Rates'!$A$5:$A$1004,$A202,'AFA Rates'!$B$5:$B$1004,H$24)&gt;0,"✓",""))</f>
        <v/>
      </c>
      <c r="I202" s="57">
        <f>IF(OR($A202="",I$24=""),"",IF(COUNTIFS('AFA Rates'!$A$5:$A$1004,$A202,'AFA Rates'!$B$5:$B$1004,I$24)&gt;0,"✓",""))</f>
        <v/>
      </c>
      <c r="J202" s="57">
        <f>IF(OR($A202="",J$24=""),"",IF(COUNTIFS('AFA Rates'!$A$5:$A$1004,$A202,'AFA Rates'!$B$5:$B$1004,J$24)&gt;0,"✓",""))</f>
        <v/>
      </c>
      <c r="K202" s="57">
        <f>IF(OR($A202="",K$24=""),"",IF(COUNTIFS('AFA Rates'!$A$5:$A$1004,$A202,'AFA Rates'!$B$5:$B$1004,K$24)&gt;0,"✓",""))</f>
        <v/>
      </c>
      <c r="L202" s="57">
        <f>IF(OR($A202="",L$24=""),"",IF(COUNTIFS('AFA Rates'!$A$5:$A$1004,$A202,'AFA Rates'!$B$5:$B$1004,L$24)&gt;0,"✓",""))</f>
        <v/>
      </c>
      <c r="M202" s="57">
        <f>IF(OR($A202="",M$24=""),"",IF(COUNTIFS('AFA Rates'!$A$5:$A$1004,$A202,'AFA Rates'!$B$5:$B$1004,M$24)&gt;0,"✓",""))</f>
        <v/>
      </c>
    </row>
    <row r="203">
      <c r="A203" s="63">
        <f>IFERROR(INDEX(Firms!$A$5:$A$1004,MATCH(179,Firms!$S$5:$S$1004,0)),"")</f>
        <v/>
      </c>
      <c r="B203" s="57">
        <f>IF($A203="","",INDEX(Firms!$B$5:$B$1004,MATCH(179,Firms!$S$5:$S$1004,0)))</f>
        <v/>
      </c>
      <c r="C203" s="57">
        <f>IF($A203="","",COUNTIF('AFA Rates'!$A$5:$A$1004,$A203))</f>
        <v/>
      </c>
      <c r="D203" s="57">
        <f>IF(OR($A203="",D$24=""),"",IF(COUNTIFS('AFA Rates'!$A$5:$A$1004,$A203,'AFA Rates'!$B$5:$B$1004,D$24)&gt;0,"✓",""))</f>
        <v/>
      </c>
      <c r="E203" s="57">
        <f>IF(OR($A203="",E$24=""),"",IF(COUNTIFS('AFA Rates'!$A$5:$A$1004,$A203,'AFA Rates'!$B$5:$B$1004,E$24)&gt;0,"✓",""))</f>
        <v/>
      </c>
      <c r="F203" s="57">
        <f>IF(OR($A203="",F$24=""),"",IF(COUNTIFS('AFA Rates'!$A$5:$A$1004,$A203,'AFA Rates'!$B$5:$B$1004,F$24)&gt;0,"✓",""))</f>
        <v/>
      </c>
      <c r="G203" s="57">
        <f>IF(OR($A203="",G$24=""),"",IF(COUNTIFS('AFA Rates'!$A$5:$A$1004,$A203,'AFA Rates'!$B$5:$B$1004,G$24)&gt;0,"✓",""))</f>
        <v/>
      </c>
      <c r="H203" s="57">
        <f>IF(OR($A203="",H$24=""),"",IF(COUNTIFS('AFA Rates'!$A$5:$A$1004,$A203,'AFA Rates'!$B$5:$B$1004,H$24)&gt;0,"✓",""))</f>
        <v/>
      </c>
      <c r="I203" s="57">
        <f>IF(OR($A203="",I$24=""),"",IF(COUNTIFS('AFA Rates'!$A$5:$A$1004,$A203,'AFA Rates'!$B$5:$B$1004,I$24)&gt;0,"✓",""))</f>
        <v/>
      </c>
      <c r="J203" s="57">
        <f>IF(OR($A203="",J$24=""),"",IF(COUNTIFS('AFA Rates'!$A$5:$A$1004,$A203,'AFA Rates'!$B$5:$B$1004,J$24)&gt;0,"✓",""))</f>
        <v/>
      </c>
      <c r="K203" s="57">
        <f>IF(OR($A203="",K$24=""),"",IF(COUNTIFS('AFA Rates'!$A$5:$A$1004,$A203,'AFA Rates'!$B$5:$B$1004,K$24)&gt;0,"✓",""))</f>
        <v/>
      </c>
      <c r="L203" s="57">
        <f>IF(OR($A203="",L$24=""),"",IF(COUNTIFS('AFA Rates'!$A$5:$A$1004,$A203,'AFA Rates'!$B$5:$B$1004,L$24)&gt;0,"✓",""))</f>
        <v/>
      </c>
      <c r="M203" s="57">
        <f>IF(OR($A203="",M$24=""),"",IF(COUNTIFS('AFA Rates'!$A$5:$A$1004,$A203,'AFA Rates'!$B$5:$B$1004,M$24)&gt;0,"✓",""))</f>
        <v/>
      </c>
    </row>
    <row r="204">
      <c r="A204" s="63">
        <f>IFERROR(INDEX(Firms!$A$5:$A$1004,MATCH(180,Firms!$S$5:$S$1004,0)),"")</f>
        <v/>
      </c>
      <c r="B204" s="57">
        <f>IF($A204="","",INDEX(Firms!$B$5:$B$1004,MATCH(180,Firms!$S$5:$S$1004,0)))</f>
        <v/>
      </c>
      <c r="C204" s="57">
        <f>IF($A204="","",COUNTIF('AFA Rates'!$A$5:$A$1004,$A204))</f>
        <v/>
      </c>
      <c r="D204" s="57">
        <f>IF(OR($A204="",D$24=""),"",IF(COUNTIFS('AFA Rates'!$A$5:$A$1004,$A204,'AFA Rates'!$B$5:$B$1004,D$24)&gt;0,"✓",""))</f>
        <v/>
      </c>
      <c r="E204" s="57">
        <f>IF(OR($A204="",E$24=""),"",IF(COUNTIFS('AFA Rates'!$A$5:$A$1004,$A204,'AFA Rates'!$B$5:$B$1004,E$24)&gt;0,"✓",""))</f>
        <v/>
      </c>
      <c r="F204" s="57">
        <f>IF(OR($A204="",F$24=""),"",IF(COUNTIFS('AFA Rates'!$A$5:$A$1004,$A204,'AFA Rates'!$B$5:$B$1004,F$24)&gt;0,"✓",""))</f>
        <v/>
      </c>
      <c r="G204" s="57">
        <f>IF(OR($A204="",G$24=""),"",IF(COUNTIFS('AFA Rates'!$A$5:$A$1004,$A204,'AFA Rates'!$B$5:$B$1004,G$24)&gt;0,"✓",""))</f>
        <v/>
      </c>
      <c r="H204" s="57">
        <f>IF(OR($A204="",H$24=""),"",IF(COUNTIFS('AFA Rates'!$A$5:$A$1004,$A204,'AFA Rates'!$B$5:$B$1004,H$24)&gt;0,"✓",""))</f>
        <v/>
      </c>
      <c r="I204" s="57">
        <f>IF(OR($A204="",I$24=""),"",IF(COUNTIFS('AFA Rates'!$A$5:$A$1004,$A204,'AFA Rates'!$B$5:$B$1004,I$24)&gt;0,"✓",""))</f>
        <v/>
      </c>
      <c r="J204" s="57">
        <f>IF(OR($A204="",J$24=""),"",IF(COUNTIFS('AFA Rates'!$A$5:$A$1004,$A204,'AFA Rates'!$B$5:$B$1004,J$24)&gt;0,"✓",""))</f>
        <v/>
      </c>
      <c r="K204" s="57">
        <f>IF(OR($A204="",K$24=""),"",IF(COUNTIFS('AFA Rates'!$A$5:$A$1004,$A204,'AFA Rates'!$B$5:$B$1004,K$24)&gt;0,"✓",""))</f>
        <v/>
      </c>
      <c r="L204" s="57">
        <f>IF(OR($A204="",L$24=""),"",IF(COUNTIFS('AFA Rates'!$A$5:$A$1004,$A204,'AFA Rates'!$B$5:$B$1004,L$24)&gt;0,"✓",""))</f>
        <v/>
      </c>
      <c r="M204" s="57">
        <f>IF(OR($A204="",M$24=""),"",IF(COUNTIFS('AFA Rates'!$A$5:$A$1004,$A204,'AFA Rates'!$B$5:$B$1004,M$24)&gt;0,"✓",""))</f>
        <v/>
      </c>
    </row>
    <row r="205">
      <c r="A205" s="63">
        <f>IFERROR(INDEX(Firms!$A$5:$A$1004,MATCH(181,Firms!$S$5:$S$1004,0)),"")</f>
        <v/>
      </c>
      <c r="B205" s="57">
        <f>IF($A205="","",INDEX(Firms!$B$5:$B$1004,MATCH(181,Firms!$S$5:$S$1004,0)))</f>
        <v/>
      </c>
      <c r="C205" s="57">
        <f>IF($A205="","",COUNTIF('AFA Rates'!$A$5:$A$1004,$A205))</f>
        <v/>
      </c>
      <c r="D205" s="57">
        <f>IF(OR($A205="",D$24=""),"",IF(COUNTIFS('AFA Rates'!$A$5:$A$1004,$A205,'AFA Rates'!$B$5:$B$1004,D$24)&gt;0,"✓",""))</f>
        <v/>
      </c>
      <c r="E205" s="57">
        <f>IF(OR($A205="",E$24=""),"",IF(COUNTIFS('AFA Rates'!$A$5:$A$1004,$A205,'AFA Rates'!$B$5:$B$1004,E$24)&gt;0,"✓",""))</f>
        <v/>
      </c>
      <c r="F205" s="57">
        <f>IF(OR($A205="",F$24=""),"",IF(COUNTIFS('AFA Rates'!$A$5:$A$1004,$A205,'AFA Rates'!$B$5:$B$1004,F$24)&gt;0,"✓",""))</f>
        <v/>
      </c>
      <c r="G205" s="57">
        <f>IF(OR($A205="",G$24=""),"",IF(COUNTIFS('AFA Rates'!$A$5:$A$1004,$A205,'AFA Rates'!$B$5:$B$1004,G$24)&gt;0,"✓",""))</f>
        <v/>
      </c>
      <c r="H205" s="57">
        <f>IF(OR($A205="",H$24=""),"",IF(COUNTIFS('AFA Rates'!$A$5:$A$1004,$A205,'AFA Rates'!$B$5:$B$1004,H$24)&gt;0,"✓",""))</f>
        <v/>
      </c>
      <c r="I205" s="57">
        <f>IF(OR($A205="",I$24=""),"",IF(COUNTIFS('AFA Rates'!$A$5:$A$1004,$A205,'AFA Rates'!$B$5:$B$1004,I$24)&gt;0,"✓",""))</f>
        <v/>
      </c>
      <c r="J205" s="57">
        <f>IF(OR($A205="",J$24=""),"",IF(COUNTIFS('AFA Rates'!$A$5:$A$1004,$A205,'AFA Rates'!$B$5:$B$1004,J$24)&gt;0,"✓",""))</f>
        <v/>
      </c>
      <c r="K205" s="57">
        <f>IF(OR($A205="",K$24=""),"",IF(COUNTIFS('AFA Rates'!$A$5:$A$1004,$A205,'AFA Rates'!$B$5:$B$1004,K$24)&gt;0,"✓",""))</f>
        <v/>
      </c>
      <c r="L205" s="57">
        <f>IF(OR($A205="",L$24=""),"",IF(COUNTIFS('AFA Rates'!$A$5:$A$1004,$A205,'AFA Rates'!$B$5:$B$1004,L$24)&gt;0,"✓",""))</f>
        <v/>
      </c>
      <c r="M205" s="57">
        <f>IF(OR($A205="",M$24=""),"",IF(COUNTIFS('AFA Rates'!$A$5:$A$1004,$A205,'AFA Rates'!$B$5:$B$1004,M$24)&gt;0,"✓",""))</f>
        <v/>
      </c>
    </row>
    <row r="206">
      <c r="A206" s="63">
        <f>IFERROR(INDEX(Firms!$A$5:$A$1004,MATCH(182,Firms!$S$5:$S$1004,0)),"")</f>
        <v/>
      </c>
      <c r="B206" s="57">
        <f>IF($A206="","",INDEX(Firms!$B$5:$B$1004,MATCH(182,Firms!$S$5:$S$1004,0)))</f>
        <v/>
      </c>
      <c r="C206" s="57">
        <f>IF($A206="","",COUNTIF('AFA Rates'!$A$5:$A$1004,$A206))</f>
        <v/>
      </c>
      <c r="D206" s="57">
        <f>IF(OR($A206="",D$24=""),"",IF(COUNTIFS('AFA Rates'!$A$5:$A$1004,$A206,'AFA Rates'!$B$5:$B$1004,D$24)&gt;0,"✓",""))</f>
        <v/>
      </c>
      <c r="E206" s="57">
        <f>IF(OR($A206="",E$24=""),"",IF(COUNTIFS('AFA Rates'!$A$5:$A$1004,$A206,'AFA Rates'!$B$5:$B$1004,E$24)&gt;0,"✓",""))</f>
        <v/>
      </c>
      <c r="F206" s="57">
        <f>IF(OR($A206="",F$24=""),"",IF(COUNTIFS('AFA Rates'!$A$5:$A$1004,$A206,'AFA Rates'!$B$5:$B$1004,F$24)&gt;0,"✓",""))</f>
        <v/>
      </c>
      <c r="G206" s="57">
        <f>IF(OR($A206="",G$24=""),"",IF(COUNTIFS('AFA Rates'!$A$5:$A$1004,$A206,'AFA Rates'!$B$5:$B$1004,G$24)&gt;0,"✓",""))</f>
        <v/>
      </c>
      <c r="H206" s="57">
        <f>IF(OR($A206="",H$24=""),"",IF(COUNTIFS('AFA Rates'!$A$5:$A$1004,$A206,'AFA Rates'!$B$5:$B$1004,H$24)&gt;0,"✓",""))</f>
        <v/>
      </c>
      <c r="I206" s="57">
        <f>IF(OR($A206="",I$24=""),"",IF(COUNTIFS('AFA Rates'!$A$5:$A$1004,$A206,'AFA Rates'!$B$5:$B$1004,I$24)&gt;0,"✓",""))</f>
        <v/>
      </c>
      <c r="J206" s="57">
        <f>IF(OR($A206="",J$24=""),"",IF(COUNTIFS('AFA Rates'!$A$5:$A$1004,$A206,'AFA Rates'!$B$5:$B$1004,J$24)&gt;0,"✓",""))</f>
        <v/>
      </c>
      <c r="K206" s="57">
        <f>IF(OR($A206="",K$24=""),"",IF(COUNTIFS('AFA Rates'!$A$5:$A$1004,$A206,'AFA Rates'!$B$5:$B$1004,K$24)&gt;0,"✓",""))</f>
        <v/>
      </c>
      <c r="L206" s="57">
        <f>IF(OR($A206="",L$24=""),"",IF(COUNTIFS('AFA Rates'!$A$5:$A$1004,$A206,'AFA Rates'!$B$5:$B$1004,L$24)&gt;0,"✓",""))</f>
        <v/>
      </c>
      <c r="M206" s="57">
        <f>IF(OR($A206="",M$24=""),"",IF(COUNTIFS('AFA Rates'!$A$5:$A$1004,$A206,'AFA Rates'!$B$5:$B$1004,M$24)&gt;0,"✓",""))</f>
        <v/>
      </c>
    </row>
    <row r="207">
      <c r="A207" s="63">
        <f>IFERROR(INDEX(Firms!$A$5:$A$1004,MATCH(183,Firms!$S$5:$S$1004,0)),"")</f>
        <v/>
      </c>
      <c r="B207" s="57">
        <f>IF($A207="","",INDEX(Firms!$B$5:$B$1004,MATCH(183,Firms!$S$5:$S$1004,0)))</f>
        <v/>
      </c>
      <c r="C207" s="57">
        <f>IF($A207="","",COUNTIF('AFA Rates'!$A$5:$A$1004,$A207))</f>
        <v/>
      </c>
      <c r="D207" s="57">
        <f>IF(OR($A207="",D$24=""),"",IF(COUNTIFS('AFA Rates'!$A$5:$A$1004,$A207,'AFA Rates'!$B$5:$B$1004,D$24)&gt;0,"✓",""))</f>
        <v/>
      </c>
      <c r="E207" s="57">
        <f>IF(OR($A207="",E$24=""),"",IF(COUNTIFS('AFA Rates'!$A$5:$A$1004,$A207,'AFA Rates'!$B$5:$B$1004,E$24)&gt;0,"✓",""))</f>
        <v/>
      </c>
      <c r="F207" s="57">
        <f>IF(OR($A207="",F$24=""),"",IF(COUNTIFS('AFA Rates'!$A$5:$A$1004,$A207,'AFA Rates'!$B$5:$B$1004,F$24)&gt;0,"✓",""))</f>
        <v/>
      </c>
      <c r="G207" s="57">
        <f>IF(OR($A207="",G$24=""),"",IF(COUNTIFS('AFA Rates'!$A$5:$A$1004,$A207,'AFA Rates'!$B$5:$B$1004,G$24)&gt;0,"✓",""))</f>
        <v/>
      </c>
      <c r="H207" s="57">
        <f>IF(OR($A207="",H$24=""),"",IF(COUNTIFS('AFA Rates'!$A$5:$A$1004,$A207,'AFA Rates'!$B$5:$B$1004,H$24)&gt;0,"✓",""))</f>
        <v/>
      </c>
      <c r="I207" s="57">
        <f>IF(OR($A207="",I$24=""),"",IF(COUNTIFS('AFA Rates'!$A$5:$A$1004,$A207,'AFA Rates'!$B$5:$B$1004,I$24)&gt;0,"✓",""))</f>
        <v/>
      </c>
      <c r="J207" s="57">
        <f>IF(OR($A207="",J$24=""),"",IF(COUNTIFS('AFA Rates'!$A$5:$A$1004,$A207,'AFA Rates'!$B$5:$B$1004,J$24)&gt;0,"✓",""))</f>
        <v/>
      </c>
      <c r="K207" s="57">
        <f>IF(OR($A207="",K$24=""),"",IF(COUNTIFS('AFA Rates'!$A$5:$A$1004,$A207,'AFA Rates'!$B$5:$B$1004,K$24)&gt;0,"✓",""))</f>
        <v/>
      </c>
      <c r="L207" s="57">
        <f>IF(OR($A207="",L$24=""),"",IF(COUNTIFS('AFA Rates'!$A$5:$A$1004,$A207,'AFA Rates'!$B$5:$B$1004,L$24)&gt;0,"✓",""))</f>
        <v/>
      </c>
      <c r="M207" s="57">
        <f>IF(OR($A207="",M$24=""),"",IF(COUNTIFS('AFA Rates'!$A$5:$A$1004,$A207,'AFA Rates'!$B$5:$B$1004,M$24)&gt;0,"✓",""))</f>
        <v/>
      </c>
    </row>
    <row r="208">
      <c r="A208" s="63">
        <f>IFERROR(INDEX(Firms!$A$5:$A$1004,MATCH(184,Firms!$S$5:$S$1004,0)),"")</f>
        <v/>
      </c>
      <c r="B208" s="57">
        <f>IF($A208="","",INDEX(Firms!$B$5:$B$1004,MATCH(184,Firms!$S$5:$S$1004,0)))</f>
        <v/>
      </c>
      <c r="C208" s="57">
        <f>IF($A208="","",COUNTIF('AFA Rates'!$A$5:$A$1004,$A208))</f>
        <v/>
      </c>
      <c r="D208" s="57">
        <f>IF(OR($A208="",D$24=""),"",IF(COUNTIFS('AFA Rates'!$A$5:$A$1004,$A208,'AFA Rates'!$B$5:$B$1004,D$24)&gt;0,"✓",""))</f>
        <v/>
      </c>
      <c r="E208" s="57">
        <f>IF(OR($A208="",E$24=""),"",IF(COUNTIFS('AFA Rates'!$A$5:$A$1004,$A208,'AFA Rates'!$B$5:$B$1004,E$24)&gt;0,"✓",""))</f>
        <v/>
      </c>
      <c r="F208" s="57">
        <f>IF(OR($A208="",F$24=""),"",IF(COUNTIFS('AFA Rates'!$A$5:$A$1004,$A208,'AFA Rates'!$B$5:$B$1004,F$24)&gt;0,"✓",""))</f>
        <v/>
      </c>
      <c r="G208" s="57">
        <f>IF(OR($A208="",G$24=""),"",IF(COUNTIFS('AFA Rates'!$A$5:$A$1004,$A208,'AFA Rates'!$B$5:$B$1004,G$24)&gt;0,"✓",""))</f>
        <v/>
      </c>
      <c r="H208" s="57">
        <f>IF(OR($A208="",H$24=""),"",IF(COUNTIFS('AFA Rates'!$A$5:$A$1004,$A208,'AFA Rates'!$B$5:$B$1004,H$24)&gt;0,"✓",""))</f>
        <v/>
      </c>
      <c r="I208" s="57">
        <f>IF(OR($A208="",I$24=""),"",IF(COUNTIFS('AFA Rates'!$A$5:$A$1004,$A208,'AFA Rates'!$B$5:$B$1004,I$24)&gt;0,"✓",""))</f>
        <v/>
      </c>
      <c r="J208" s="57">
        <f>IF(OR($A208="",J$24=""),"",IF(COUNTIFS('AFA Rates'!$A$5:$A$1004,$A208,'AFA Rates'!$B$5:$B$1004,J$24)&gt;0,"✓",""))</f>
        <v/>
      </c>
      <c r="K208" s="57">
        <f>IF(OR($A208="",K$24=""),"",IF(COUNTIFS('AFA Rates'!$A$5:$A$1004,$A208,'AFA Rates'!$B$5:$B$1004,K$24)&gt;0,"✓",""))</f>
        <v/>
      </c>
      <c r="L208" s="57">
        <f>IF(OR($A208="",L$24=""),"",IF(COUNTIFS('AFA Rates'!$A$5:$A$1004,$A208,'AFA Rates'!$B$5:$B$1004,L$24)&gt;0,"✓",""))</f>
        <v/>
      </c>
      <c r="M208" s="57">
        <f>IF(OR($A208="",M$24=""),"",IF(COUNTIFS('AFA Rates'!$A$5:$A$1004,$A208,'AFA Rates'!$B$5:$B$1004,M$24)&gt;0,"✓",""))</f>
        <v/>
      </c>
    </row>
    <row r="209">
      <c r="A209" s="63">
        <f>IFERROR(INDEX(Firms!$A$5:$A$1004,MATCH(185,Firms!$S$5:$S$1004,0)),"")</f>
        <v/>
      </c>
      <c r="B209" s="57">
        <f>IF($A209="","",INDEX(Firms!$B$5:$B$1004,MATCH(185,Firms!$S$5:$S$1004,0)))</f>
        <v/>
      </c>
      <c r="C209" s="57">
        <f>IF($A209="","",COUNTIF('AFA Rates'!$A$5:$A$1004,$A209))</f>
        <v/>
      </c>
      <c r="D209" s="57">
        <f>IF(OR($A209="",D$24=""),"",IF(COUNTIFS('AFA Rates'!$A$5:$A$1004,$A209,'AFA Rates'!$B$5:$B$1004,D$24)&gt;0,"✓",""))</f>
        <v/>
      </c>
      <c r="E209" s="57">
        <f>IF(OR($A209="",E$24=""),"",IF(COUNTIFS('AFA Rates'!$A$5:$A$1004,$A209,'AFA Rates'!$B$5:$B$1004,E$24)&gt;0,"✓",""))</f>
        <v/>
      </c>
      <c r="F209" s="57">
        <f>IF(OR($A209="",F$24=""),"",IF(COUNTIFS('AFA Rates'!$A$5:$A$1004,$A209,'AFA Rates'!$B$5:$B$1004,F$24)&gt;0,"✓",""))</f>
        <v/>
      </c>
      <c r="G209" s="57">
        <f>IF(OR($A209="",G$24=""),"",IF(COUNTIFS('AFA Rates'!$A$5:$A$1004,$A209,'AFA Rates'!$B$5:$B$1004,G$24)&gt;0,"✓",""))</f>
        <v/>
      </c>
      <c r="H209" s="57">
        <f>IF(OR($A209="",H$24=""),"",IF(COUNTIFS('AFA Rates'!$A$5:$A$1004,$A209,'AFA Rates'!$B$5:$B$1004,H$24)&gt;0,"✓",""))</f>
        <v/>
      </c>
      <c r="I209" s="57">
        <f>IF(OR($A209="",I$24=""),"",IF(COUNTIFS('AFA Rates'!$A$5:$A$1004,$A209,'AFA Rates'!$B$5:$B$1004,I$24)&gt;0,"✓",""))</f>
        <v/>
      </c>
      <c r="J209" s="57">
        <f>IF(OR($A209="",J$24=""),"",IF(COUNTIFS('AFA Rates'!$A$5:$A$1004,$A209,'AFA Rates'!$B$5:$B$1004,J$24)&gt;0,"✓",""))</f>
        <v/>
      </c>
      <c r="K209" s="57">
        <f>IF(OR($A209="",K$24=""),"",IF(COUNTIFS('AFA Rates'!$A$5:$A$1004,$A209,'AFA Rates'!$B$5:$B$1004,K$24)&gt;0,"✓",""))</f>
        <v/>
      </c>
      <c r="L209" s="57">
        <f>IF(OR($A209="",L$24=""),"",IF(COUNTIFS('AFA Rates'!$A$5:$A$1004,$A209,'AFA Rates'!$B$5:$B$1004,L$24)&gt;0,"✓",""))</f>
        <v/>
      </c>
      <c r="M209" s="57">
        <f>IF(OR($A209="",M$24=""),"",IF(COUNTIFS('AFA Rates'!$A$5:$A$1004,$A209,'AFA Rates'!$B$5:$B$1004,M$24)&gt;0,"✓",""))</f>
        <v/>
      </c>
    </row>
    <row r="210">
      <c r="A210" s="63">
        <f>IFERROR(INDEX(Firms!$A$5:$A$1004,MATCH(186,Firms!$S$5:$S$1004,0)),"")</f>
        <v/>
      </c>
      <c r="B210" s="57">
        <f>IF($A210="","",INDEX(Firms!$B$5:$B$1004,MATCH(186,Firms!$S$5:$S$1004,0)))</f>
        <v/>
      </c>
      <c r="C210" s="57">
        <f>IF($A210="","",COUNTIF('AFA Rates'!$A$5:$A$1004,$A210))</f>
        <v/>
      </c>
      <c r="D210" s="57">
        <f>IF(OR($A210="",D$24=""),"",IF(COUNTIFS('AFA Rates'!$A$5:$A$1004,$A210,'AFA Rates'!$B$5:$B$1004,D$24)&gt;0,"✓",""))</f>
        <v/>
      </c>
      <c r="E210" s="57">
        <f>IF(OR($A210="",E$24=""),"",IF(COUNTIFS('AFA Rates'!$A$5:$A$1004,$A210,'AFA Rates'!$B$5:$B$1004,E$24)&gt;0,"✓",""))</f>
        <v/>
      </c>
      <c r="F210" s="57">
        <f>IF(OR($A210="",F$24=""),"",IF(COUNTIFS('AFA Rates'!$A$5:$A$1004,$A210,'AFA Rates'!$B$5:$B$1004,F$24)&gt;0,"✓",""))</f>
        <v/>
      </c>
      <c r="G210" s="57">
        <f>IF(OR($A210="",G$24=""),"",IF(COUNTIFS('AFA Rates'!$A$5:$A$1004,$A210,'AFA Rates'!$B$5:$B$1004,G$24)&gt;0,"✓",""))</f>
        <v/>
      </c>
      <c r="H210" s="57">
        <f>IF(OR($A210="",H$24=""),"",IF(COUNTIFS('AFA Rates'!$A$5:$A$1004,$A210,'AFA Rates'!$B$5:$B$1004,H$24)&gt;0,"✓",""))</f>
        <v/>
      </c>
      <c r="I210" s="57">
        <f>IF(OR($A210="",I$24=""),"",IF(COUNTIFS('AFA Rates'!$A$5:$A$1004,$A210,'AFA Rates'!$B$5:$B$1004,I$24)&gt;0,"✓",""))</f>
        <v/>
      </c>
      <c r="J210" s="57">
        <f>IF(OR($A210="",J$24=""),"",IF(COUNTIFS('AFA Rates'!$A$5:$A$1004,$A210,'AFA Rates'!$B$5:$B$1004,J$24)&gt;0,"✓",""))</f>
        <v/>
      </c>
      <c r="K210" s="57">
        <f>IF(OR($A210="",K$24=""),"",IF(COUNTIFS('AFA Rates'!$A$5:$A$1004,$A210,'AFA Rates'!$B$5:$B$1004,K$24)&gt;0,"✓",""))</f>
        <v/>
      </c>
      <c r="L210" s="57">
        <f>IF(OR($A210="",L$24=""),"",IF(COUNTIFS('AFA Rates'!$A$5:$A$1004,$A210,'AFA Rates'!$B$5:$B$1004,L$24)&gt;0,"✓",""))</f>
        <v/>
      </c>
      <c r="M210" s="57">
        <f>IF(OR($A210="",M$24=""),"",IF(COUNTIFS('AFA Rates'!$A$5:$A$1004,$A210,'AFA Rates'!$B$5:$B$1004,M$24)&gt;0,"✓",""))</f>
        <v/>
      </c>
    </row>
    <row r="211">
      <c r="A211" s="63">
        <f>IFERROR(INDEX(Firms!$A$5:$A$1004,MATCH(187,Firms!$S$5:$S$1004,0)),"")</f>
        <v/>
      </c>
      <c r="B211" s="57">
        <f>IF($A211="","",INDEX(Firms!$B$5:$B$1004,MATCH(187,Firms!$S$5:$S$1004,0)))</f>
        <v/>
      </c>
      <c r="C211" s="57">
        <f>IF($A211="","",COUNTIF('AFA Rates'!$A$5:$A$1004,$A211))</f>
        <v/>
      </c>
      <c r="D211" s="57">
        <f>IF(OR($A211="",D$24=""),"",IF(COUNTIFS('AFA Rates'!$A$5:$A$1004,$A211,'AFA Rates'!$B$5:$B$1004,D$24)&gt;0,"✓",""))</f>
        <v/>
      </c>
      <c r="E211" s="57">
        <f>IF(OR($A211="",E$24=""),"",IF(COUNTIFS('AFA Rates'!$A$5:$A$1004,$A211,'AFA Rates'!$B$5:$B$1004,E$24)&gt;0,"✓",""))</f>
        <v/>
      </c>
      <c r="F211" s="57">
        <f>IF(OR($A211="",F$24=""),"",IF(COUNTIFS('AFA Rates'!$A$5:$A$1004,$A211,'AFA Rates'!$B$5:$B$1004,F$24)&gt;0,"✓",""))</f>
        <v/>
      </c>
      <c r="G211" s="57">
        <f>IF(OR($A211="",G$24=""),"",IF(COUNTIFS('AFA Rates'!$A$5:$A$1004,$A211,'AFA Rates'!$B$5:$B$1004,G$24)&gt;0,"✓",""))</f>
        <v/>
      </c>
      <c r="H211" s="57">
        <f>IF(OR($A211="",H$24=""),"",IF(COUNTIFS('AFA Rates'!$A$5:$A$1004,$A211,'AFA Rates'!$B$5:$B$1004,H$24)&gt;0,"✓",""))</f>
        <v/>
      </c>
      <c r="I211" s="57">
        <f>IF(OR($A211="",I$24=""),"",IF(COUNTIFS('AFA Rates'!$A$5:$A$1004,$A211,'AFA Rates'!$B$5:$B$1004,I$24)&gt;0,"✓",""))</f>
        <v/>
      </c>
      <c r="J211" s="57">
        <f>IF(OR($A211="",J$24=""),"",IF(COUNTIFS('AFA Rates'!$A$5:$A$1004,$A211,'AFA Rates'!$B$5:$B$1004,J$24)&gt;0,"✓",""))</f>
        <v/>
      </c>
      <c r="K211" s="57">
        <f>IF(OR($A211="",K$24=""),"",IF(COUNTIFS('AFA Rates'!$A$5:$A$1004,$A211,'AFA Rates'!$B$5:$B$1004,K$24)&gt;0,"✓",""))</f>
        <v/>
      </c>
      <c r="L211" s="57">
        <f>IF(OR($A211="",L$24=""),"",IF(COUNTIFS('AFA Rates'!$A$5:$A$1004,$A211,'AFA Rates'!$B$5:$B$1004,L$24)&gt;0,"✓",""))</f>
        <v/>
      </c>
      <c r="M211" s="57">
        <f>IF(OR($A211="",M$24=""),"",IF(COUNTIFS('AFA Rates'!$A$5:$A$1004,$A211,'AFA Rates'!$B$5:$B$1004,M$24)&gt;0,"✓",""))</f>
        <v/>
      </c>
    </row>
    <row r="212">
      <c r="A212" s="63">
        <f>IFERROR(INDEX(Firms!$A$5:$A$1004,MATCH(188,Firms!$S$5:$S$1004,0)),"")</f>
        <v/>
      </c>
      <c r="B212" s="57">
        <f>IF($A212="","",INDEX(Firms!$B$5:$B$1004,MATCH(188,Firms!$S$5:$S$1004,0)))</f>
        <v/>
      </c>
      <c r="C212" s="57">
        <f>IF($A212="","",COUNTIF('AFA Rates'!$A$5:$A$1004,$A212))</f>
        <v/>
      </c>
      <c r="D212" s="57">
        <f>IF(OR($A212="",D$24=""),"",IF(COUNTIFS('AFA Rates'!$A$5:$A$1004,$A212,'AFA Rates'!$B$5:$B$1004,D$24)&gt;0,"✓",""))</f>
        <v/>
      </c>
      <c r="E212" s="57">
        <f>IF(OR($A212="",E$24=""),"",IF(COUNTIFS('AFA Rates'!$A$5:$A$1004,$A212,'AFA Rates'!$B$5:$B$1004,E$24)&gt;0,"✓",""))</f>
        <v/>
      </c>
      <c r="F212" s="57">
        <f>IF(OR($A212="",F$24=""),"",IF(COUNTIFS('AFA Rates'!$A$5:$A$1004,$A212,'AFA Rates'!$B$5:$B$1004,F$24)&gt;0,"✓",""))</f>
        <v/>
      </c>
      <c r="G212" s="57">
        <f>IF(OR($A212="",G$24=""),"",IF(COUNTIFS('AFA Rates'!$A$5:$A$1004,$A212,'AFA Rates'!$B$5:$B$1004,G$24)&gt;0,"✓",""))</f>
        <v/>
      </c>
      <c r="H212" s="57">
        <f>IF(OR($A212="",H$24=""),"",IF(COUNTIFS('AFA Rates'!$A$5:$A$1004,$A212,'AFA Rates'!$B$5:$B$1004,H$24)&gt;0,"✓",""))</f>
        <v/>
      </c>
      <c r="I212" s="57">
        <f>IF(OR($A212="",I$24=""),"",IF(COUNTIFS('AFA Rates'!$A$5:$A$1004,$A212,'AFA Rates'!$B$5:$B$1004,I$24)&gt;0,"✓",""))</f>
        <v/>
      </c>
      <c r="J212" s="57">
        <f>IF(OR($A212="",J$24=""),"",IF(COUNTIFS('AFA Rates'!$A$5:$A$1004,$A212,'AFA Rates'!$B$5:$B$1004,J$24)&gt;0,"✓",""))</f>
        <v/>
      </c>
      <c r="K212" s="57">
        <f>IF(OR($A212="",K$24=""),"",IF(COUNTIFS('AFA Rates'!$A$5:$A$1004,$A212,'AFA Rates'!$B$5:$B$1004,K$24)&gt;0,"✓",""))</f>
        <v/>
      </c>
      <c r="L212" s="57">
        <f>IF(OR($A212="",L$24=""),"",IF(COUNTIFS('AFA Rates'!$A$5:$A$1004,$A212,'AFA Rates'!$B$5:$B$1004,L$24)&gt;0,"✓",""))</f>
        <v/>
      </c>
      <c r="M212" s="57">
        <f>IF(OR($A212="",M$24=""),"",IF(COUNTIFS('AFA Rates'!$A$5:$A$1004,$A212,'AFA Rates'!$B$5:$B$1004,M$24)&gt;0,"✓",""))</f>
        <v/>
      </c>
    </row>
    <row r="213">
      <c r="A213" s="63">
        <f>IFERROR(INDEX(Firms!$A$5:$A$1004,MATCH(189,Firms!$S$5:$S$1004,0)),"")</f>
        <v/>
      </c>
      <c r="B213" s="57">
        <f>IF($A213="","",INDEX(Firms!$B$5:$B$1004,MATCH(189,Firms!$S$5:$S$1004,0)))</f>
        <v/>
      </c>
      <c r="C213" s="57">
        <f>IF($A213="","",COUNTIF('AFA Rates'!$A$5:$A$1004,$A213))</f>
        <v/>
      </c>
      <c r="D213" s="57">
        <f>IF(OR($A213="",D$24=""),"",IF(COUNTIFS('AFA Rates'!$A$5:$A$1004,$A213,'AFA Rates'!$B$5:$B$1004,D$24)&gt;0,"✓",""))</f>
        <v/>
      </c>
      <c r="E213" s="57">
        <f>IF(OR($A213="",E$24=""),"",IF(COUNTIFS('AFA Rates'!$A$5:$A$1004,$A213,'AFA Rates'!$B$5:$B$1004,E$24)&gt;0,"✓",""))</f>
        <v/>
      </c>
      <c r="F213" s="57">
        <f>IF(OR($A213="",F$24=""),"",IF(COUNTIFS('AFA Rates'!$A$5:$A$1004,$A213,'AFA Rates'!$B$5:$B$1004,F$24)&gt;0,"✓",""))</f>
        <v/>
      </c>
      <c r="G213" s="57">
        <f>IF(OR($A213="",G$24=""),"",IF(COUNTIFS('AFA Rates'!$A$5:$A$1004,$A213,'AFA Rates'!$B$5:$B$1004,G$24)&gt;0,"✓",""))</f>
        <v/>
      </c>
      <c r="H213" s="57">
        <f>IF(OR($A213="",H$24=""),"",IF(COUNTIFS('AFA Rates'!$A$5:$A$1004,$A213,'AFA Rates'!$B$5:$B$1004,H$24)&gt;0,"✓",""))</f>
        <v/>
      </c>
      <c r="I213" s="57">
        <f>IF(OR($A213="",I$24=""),"",IF(COUNTIFS('AFA Rates'!$A$5:$A$1004,$A213,'AFA Rates'!$B$5:$B$1004,I$24)&gt;0,"✓",""))</f>
        <v/>
      </c>
      <c r="J213" s="57">
        <f>IF(OR($A213="",J$24=""),"",IF(COUNTIFS('AFA Rates'!$A$5:$A$1004,$A213,'AFA Rates'!$B$5:$B$1004,J$24)&gt;0,"✓",""))</f>
        <v/>
      </c>
      <c r="K213" s="57">
        <f>IF(OR($A213="",K$24=""),"",IF(COUNTIFS('AFA Rates'!$A$5:$A$1004,$A213,'AFA Rates'!$B$5:$B$1004,K$24)&gt;0,"✓",""))</f>
        <v/>
      </c>
      <c r="L213" s="57">
        <f>IF(OR($A213="",L$24=""),"",IF(COUNTIFS('AFA Rates'!$A$5:$A$1004,$A213,'AFA Rates'!$B$5:$B$1004,L$24)&gt;0,"✓",""))</f>
        <v/>
      </c>
      <c r="M213" s="57">
        <f>IF(OR($A213="",M$24=""),"",IF(COUNTIFS('AFA Rates'!$A$5:$A$1004,$A213,'AFA Rates'!$B$5:$B$1004,M$24)&gt;0,"✓",""))</f>
        <v/>
      </c>
    </row>
    <row r="214">
      <c r="A214" s="63">
        <f>IFERROR(INDEX(Firms!$A$5:$A$1004,MATCH(190,Firms!$S$5:$S$1004,0)),"")</f>
        <v/>
      </c>
      <c r="B214" s="57">
        <f>IF($A214="","",INDEX(Firms!$B$5:$B$1004,MATCH(190,Firms!$S$5:$S$1004,0)))</f>
        <v/>
      </c>
      <c r="C214" s="57">
        <f>IF($A214="","",COUNTIF('AFA Rates'!$A$5:$A$1004,$A214))</f>
        <v/>
      </c>
      <c r="D214" s="57">
        <f>IF(OR($A214="",D$24=""),"",IF(COUNTIFS('AFA Rates'!$A$5:$A$1004,$A214,'AFA Rates'!$B$5:$B$1004,D$24)&gt;0,"✓",""))</f>
        <v/>
      </c>
      <c r="E214" s="57">
        <f>IF(OR($A214="",E$24=""),"",IF(COUNTIFS('AFA Rates'!$A$5:$A$1004,$A214,'AFA Rates'!$B$5:$B$1004,E$24)&gt;0,"✓",""))</f>
        <v/>
      </c>
      <c r="F214" s="57">
        <f>IF(OR($A214="",F$24=""),"",IF(COUNTIFS('AFA Rates'!$A$5:$A$1004,$A214,'AFA Rates'!$B$5:$B$1004,F$24)&gt;0,"✓",""))</f>
        <v/>
      </c>
      <c r="G214" s="57">
        <f>IF(OR($A214="",G$24=""),"",IF(COUNTIFS('AFA Rates'!$A$5:$A$1004,$A214,'AFA Rates'!$B$5:$B$1004,G$24)&gt;0,"✓",""))</f>
        <v/>
      </c>
      <c r="H214" s="57">
        <f>IF(OR($A214="",H$24=""),"",IF(COUNTIFS('AFA Rates'!$A$5:$A$1004,$A214,'AFA Rates'!$B$5:$B$1004,H$24)&gt;0,"✓",""))</f>
        <v/>
      </c>
      <c r="I214" s="57">
        <f>IF(OR($A214="",I$24=""),"",IF(COUNTIFS('AFA Rates'!$A$5:$A$1004,$A214,'AFA Rates'!$B$5:$B$1004,I$24)&gt;0,"✓",""))</f>
        <v/>
      </c>
      <c r="J214" s="57">
        <f>IF(OR($A214="",J$24=""),"",IF(COUNTIFS('AFA Rates'!$A$5:$A$1004,$A214,'AFA Rates'!$B$5:$B$1004,J$24)&gt;0,"✓",""))</f>
        <v/>
      </c>
      <c r="K214" s="57">
        <f>IF(OR($A214="",K$24=""),"",IF(COUNTIFS('AFA Rates'!$A$5:$A$1004,$A214,'AFA Rates'!$B$5:$B$1004,K$24)&gt;0,"✓",""))</f>
        <v/>
      </c>
      <c r="L214" s="57">
        <f>IF(OR($A214="",L$24=""),"",IF(COUNTIFS('AFA Rates'!$A$5:$A$1004,$A214,'AFA Rates'!$B$5:$B$1004,L$24)&gt;0,"✓",""))</f>
        <v/>
      </c>
      <c r="M214" s="57">
        <f>IF(OR($A214="",M$24=""),"",IF(COUNTIFS('AFA Rates'!$A$5:$A$1004,$A214,'AFA Rates'!$B$5:$B$1004,M$24)&gt;0,"✓",""))</f>
        <v/>
      </c>
    </row>
    <row r="215">
      <c r="A215" s="63">
        <f>IFERROR(INDEX(Firms!$A$5:$A$1004,MATCH(191,Firms!$S$5:$S$1004,0)),"")</f>
        <v/>
      </c>
      <c r="B215" s="57">
        <f>IF($A215="","",INDEX(Firms!$B$5:$B$1004,MATCH(191,Firms!$S$5:$S$1004,0)))</f>
        <v/>
      </c>
      <c r="C215" s="57">
        <f>IF($A215="","",COUNTIF('AFA Rates'!$A$5:$A$1004,$A215))</f>
        <v/>
      </c>
      <c r="D215" s="57">
        <f>IF(OR($A215="",D$24=""),"",IF(COUNTIFS('AFA Rates'!$A$5:$A$1004,$A215,'AFA Rates'!$B$5:$B$1004,D$24)&gt;0,"✓",""))</f>
        <v/>
      </c>
      <c r="E215" s="57">
        <f>IF(OR($A215="",E$24=""),"",IF(COUNTIFS('AFA Rates'!$A$5:$A$1004,$A215,'AFA Rates'!$B$5:$B$1004,E$24)&gt;0,"✓",""))</f>
        <v/>
      </c>
      <c r="F215" s="57">
        <f>IF(OR($A215="",F$24=""),"",IF(COUNTIFS('AFA Rates'!$A$5:$A$1004,$A215,'AFA Rates'!$B$5:$B$1004,F$24)&gt;0,"✓",""))</f>
        <v/>
      </c>
      <c r="G215" s="57">
        <f>IF(OR($A215="",G$24=""),"",IF(COUNTIFS('AFA Rates'!$A$5:$A$1004,$A215,'AFA Rates'!$B$5:$B$1004,G$24)&gt;0,"✓",""))</f>
        <v/>
      </c>
      <c r="H215" s="57">
        <f>IF(OR($A215="",H$24=""),"",IF(COUNTIFS('AFA Rates'!$A$5:$A$1004,$A215,'AFA Rates'!$B$5:$B$1004,H$24)&gt;0,"✓",""))</f>
        <v/>
      </c>
      <c r="I215" s="57">
        <f>IF(OR($A215="",I$24=""),"",IF(COUNTIFS('AFA Rates'!$A$5:$A$1004,$A215,'AFA Rates'!$B$5:$B$1004,I$24)&gt;0,"✓",""))</f>
        <v/>
      </c>
      <c r="J215" s="57">
        <f>IF(OR($A215="",J$24=""),"",IF(COUNTIFS('AFA Rates'!$A$5:$A$1004,$A215,'AFA Rates'!$B$5:$B$1004,J$24)&gt;0,"✓",""))</f>
        <v/>
      </c>
      <c r="K215" s="57">
        <f>IF(OR($A215="",K$24=""),"",IF(COUNTIFS('AFA Rates'!$A$5:$A$1004,$A215,'AFA Rates'!$B$5:$B$1004,K$24)&gt;0,"✓",""))</f>
        <v/>
      </c>
      <c r="L215" s="57">
        <f>IF(OR($A215="",L$24=""),"",IF(COUNTIFS('AFA Rates'!$A$5:$A$1004,$A215,'AFA Rates'!$B$5:$B$1004,L$24)&gt;0,"✓",""))</f>
        <v/>
      </c>
      <c r="M215" s="57">
        <f>IF(OR($A215="",M$24=""),"",IF(COUNTIFS('AFA Rates'!$A$5:$A$1004,$A215,'AFA Rates'!$B$5:$B$1004,M$24)&gt;0,"✓",""))</f>
        <v/>
      </c>
    </row>
    <row r="216">
      <c r="A216" s="63">
        <f>IFERROR(INDEX(Firms!$A$5:$A$1004,MATCH(192,Firms!$S$5:$S$1004,0)),"")</f>
        <v/>
      </c>
      <c r="B216" s="57">
        <f>IF($A216="","",INDEX(Firms!$B$5:$B$1004,MATCH(192,Firms!$S$5:$S$1004,0)))</f>
        <v/>
      </c>
      <c r="C216" s="57">
        <f>IF($A216="","",COUNTIF('AFA Rates'!$A$5:$A$1004,$A216))</f>
        <v/>
      </c>
      <c r="D216" s="57">
        <f>IF(OR($A216="",D$24=""),"",IF(COUNTIFS('AFA Rates'!$A$5:$A$1004,$A216,'AFA Rates'!$B$5:$B$1004,D$24)&gt;0,"✓",""))</f>
        <v/>
      </c>
      <c r="E216" s="57">
        <f>IF(OR($A216="",E$24=""),"",IF(COUNTIFS('AFA Rates'!$A$5:$A$1004,$A216,'AFA Rates'!$B$5:$B$1004,E$24)&gt;0,"✓",""))</f>
        <v/>
      </c>
      <c r="F216" s="57">
        <f>IF(OR($A216="",F$24=""),"",IF(COUNTIFS('AFA Rates'!$A$5:$A$1004,$A216,'AFA Rates'!$B$5:$B$1004,F$24)&gt;0,"✓",""))</f>
        <v/>
      </c>
      <c r="G216" s="57">
        <f>IF(OR($A216="",G$24=""),"",IF(COUNTIFS('AFA Rates'!$A$5:$A$1004,$A216,'AFA Rates'!$B$5:$B$1004,G$24)&gt;0,"✓",""))</f>
        <v/>
      </c>
      <c r="H216" s="57">
        <f>IF(OR($A216="",H$24=""),"",IF(COUNTIFS('AFA Rates'!$A$5:$A$1004,$A216,'AFA Rates'!$B$5:$B$1004,H$24)&gt;0,"✓",""))</f>
        <v/>
      </c>
      <c r="I216" s="57">
        <f>IF(OR($A216="",I$24=""),"",IF(COUNTIFS('AFA Rates'!$A$5:$A$1004,$A216,'AFA Rates'!$B$5:$B$1004,I$24)&gt;0,"✓",""))</f>
        <v/>
      </c>
      <c r="J216" s="57">
        <f>IF(OR($A216="",J$24=""),"",IF(COUNTIFS('AFA Rates'!$A$5:$A$1004,$A216,'AFA Rates'!$B$5:$B$1004,J$24)&gt;0,"✓",""))</f>
        <v/>
      </c>
      <c r="K216" s="57">
        <f>IF(OR($A216="",K$24=""),"",IF(COUNTIFS('AFA Rates'!$A$5:$A$1004,$A216,'AFA Rates'!$B$5:$B$1004,K$24)&gt;0,"✓",""))</f>
        <v/>
      </c>
      <c r="L216" s="57">
        <f>IF(OR($A216="",L$24=""),"",IF(COUNTIFS('AFA Rates'!$A$5:$A$1004,$A216,'AFA Rates'!$B$5:$B$1004,L$24)&gt;0,"✓",""))</f>
        <v/>
      </c>
      <c r="M216" s="57">
        <f>IF(OR($A216="",M$24=""),"",IF(COUNTIFS('AFA Rates'!$A$5:$A$1004,$A216,'AFA Rates'!$B$5:$B$1004,M$24)&gt;0,"✓",""))</f>
        <v/>
      </c>
    </row>
    <row r="217">
      <c r="A217" s="63">
        <f>IFERROR(INDEX(Firms!$A$5:$A$1004,MATCH(193,Firms!$S$5:$S$1004,0)),"")</f>
        <v/>
      </c>
      <c r="B217" s="57">
        <f>IF($A217="","",INDEX(Firms!$B$5:$B$1004,MATCH(193,Firms!$S$5:$S$1004,0)))</f>
        <v/>
      </c>
      <c r="C217" s="57">
        <f>IF($A217="","",COUNTIF('AFA Rates'!$A$5:$A$1004,$A217))</f>
        <v/>
      </c>
      <c r="D217" s="57">
        <f>IF(OR($A217="",D$24=""),"",IF(COUNTIFS('AFA Rates'!$A$5:$A$1004,$A217,'AFA Rates'!$B$5:$B$1004,D$24)&gt;0,"✓",""))</f>
        <v/>
      </c>
      <c r="E217" s="57">
        <f>IF(OR($A217="",E$24=""),"",IF(COUNTIFS('AFA Rates'!$A$5:$A$1004,$A217,'AFA Rates'!$B$5:$B$1004,E$24)&gt;0,"✓",""))</f>
        <v/>
      </c>
      <c r="F217" s="57">
        <f>IF(OR($A217="",F$24=""),"",IF(COUNTIFS('AFA Rates'!$A$5:$A$1004,$A217,'AFA Rates'!$B$5:$B$1004,F$24)&gt;0,"✓",""))</f>
        <v/>
      </c>
      <c r="G217" s="57">
        <f>IF(OR($A217="",G$24=""),"",IF(COUNTIFS('AFA Rates'!$A$5:$A$1004,$A217,'AFA Rates'!$B$5:$B$1004,G$24)&gt;0,"✓",""))</f>
        <v/>
      </c>
      <c r="H217" s="57">
        <f>IF(OR($A217="",H$24=""),"",IF(COUNTIFS('AFA Rates'!$A$5:$A$1004,$A217,'AFA Rates'!$B$5:$B$1004,H$24)&gt;0,"✓",""))</f>
        <v/>
      </c>
      <c r="I217" s="57">
        <f>IF(OR($A217="",I$24=""),"",IF(COUNTIFS('AFA Rates'!$A$5:$A$1004,$A217,'AFA Rates'!$B$5:$B$1004,I$24)&gt;0,"✓",""))</f>
        <v/>
      </c>
      <c r="J217" s="57">
        <f>IF(OR($A217="",J$24=""),"",IF(COUNTIFS('AFA Rates'!$A$5:$A$1004,$A217,'AFA Rates'!$B$5:$B$1004,J$24)&gt;0,"✓",""))</f>
        <v/>
      </c>
      <c r="K217" s="57">
        <f>IF(OR($A217="",K$24=""),"",IF(COUNTIFS('AFA Rates'!$A$5:$A$1004,$A217,'AFA Rates'!$B$5:$B$1004,K$24)&gt;0,"✓",""))</f>
        <v/>
      </c>
      <c r="L217" s="57">
        <f>IF(OR($A217="",L$24=""),"",IF(COUNTIFS('AFA Rates'!$A$5:$A$1004,$A217,'AFA Rates'!$B$5:$B$1004,L$24)&gt;0,"✓",""))</f>
        <v/>
      </c>
      <c r="M217" s="57">
        <f>IF(OR($A217="",M$24=""),"",IF(COUNTIFS('AFA Rates'!$A$5:$A$1004,$A217,'AFA Rates'!$B$5:$B$1004,M$24)&gt;0,"✓",""))</f>
        <v/>
      </c>
    </row>
    <row r="218">
      <c r="A218" s="63">
        <f>IFERROR(INDEX(Firms!$A$5:$A$1004,MATCH(194,Firms!$S$5:$S$1004,0)),"")</f>
        <v/>
      </c>
      <c r="B218" s="57">
        <f>IF($A218="","",INDEX(Firms!$B$5:$B$1004,MATCH(194,Firms!$S$5:$S$1004,0)))</f>
        <v/>
      </c>
      <c r="C218" s="57">
        <f>IF($A218="","",COUNTIF('AFA Rates'!$A$5:$A$1004,$A218))</f>
        <v/>
      </c>
      <c r="D218" s="57">
        <f>IF(OR($A218="",D$24=""),"",IF(COUNTIFS('AFA Rates'!$A$5:$A$1004,$A218,'AFA Rates'!$B$5:$B$1004,D$24)&gt;0,"✓",""))</f>
        <v/>
      </c>
      <c r="E218" s="57">
        <f>IF(OR($A218="",E$24=""),"",IF(COUNTIFS('AFA Rates'!$A$5:$A$1004,$A218,'AFA Rates'!$B$5:$B$1004,E$24)&gt;0,"✓",""))</f>
        <v/>
      </c>
      <c r="F218" s="57">
        <f>IF(OR($A218="",F$24=""),"",IF(COUNTIFS('AFA Rates'!$A$5:$A$1004,$A218,'AFA Rates'!$B$5:$B$1004,F$24)&gt;0,"✓",""))</f>
        <v/>
      </c>
      <c r="G218" s="57">
        <f>IF(OR($A218="",G$24=""),"",IF(COUNTIFS('AFA Rates'!$A$5:$A$1004,$A218,'AFA Rates'!$B$5:$B$1004,G$24)&gt;0,"✓",""))</f>
        <v/>
      </c>
      <c r="H218" s="57">
        <f>IF(OR($A218="",H$24=""),"",IF(COUNTIFS('AFA Rates'!$A$5:$A$1004,$A218,'AFA Rates'!$B$5:$B$1004,H$24)&gt;0,"✓",""))</f>
        <v/>
      </c>
      <c r="I218" s="57">
        <f>IF(OR($A218="",I$24=""),"",IF(COUNTIFS('AFA Rates'!$A$5:$A$1004,$A218,'AFA Rates'!$B$5:$B$1004,I$24)&gt;0,"✓",""))</f>
        <v/>
      </c>
      <c r="J218" s="57">
        <f>IF(OR($A218="",J$24=""),"",IF(COUNTIFS('AFA Rates'!$A$5:$A$1004,$A218,'AFA Rates'!$B$5:$B$1004,J$24)&gt;0,"✓",""))</f>
        <v/>
      </c>
      <c r="K218" s="57">
        <f>IF(OR($A218="",K$24=""),"",IF(COUNTIFS('AFA Rates'!$A$5:$A$1004,$A218,'AFA Rates'!$B$5:$B$1004,K$24)&gt;0,"✓",""))</f>
        <v/>
      </c>
      <c r="L218" s="57">
        <f>IF(OR($A218="",L$24=""),"",IF(COUNTIFS('AFA Rates'!$A$5:$A$1004,$A218,'AFA Rates'!$B$5:$B$1004,L$24)&gt;0,"✓",""))</f>
        <v/>
      </c>
      <c r="M218" s="57">
        <f>IF(OR($A218="",M$24=""),"",IF(COUNTIFS('AFA Rates'!$A$5:$A$1004,$A218,'AFA Rates'!$B$5:$B$1004,M$24)&gt;0,"✓",""))</f>
        <v/>
      </c>
    </row>
    <row r="219">
      <c r="A219" s="63">
        <f>IFERROR(INDEX(Firms!$A$5:$A$1004,MATCH(195,Firms!$S$5:$S$1004,0)),"")</f>
        <v/>
      </c>
      <c r="B219" s="57">
        <f>IF($A219="","",INDEX(Firms!$B$5:$B$1004,MATCH(195,Firms!$S$5:$S$1004,0)))</f>
        <v/>
      </c>
      <c r="C219" s="57">
        <f>IF($A219="","",COUNTIF('AFA Rates'!$A$5:$A$1004,$A219))</f>
        <v/>
      </c>
      <c r="D219" s="57">
        <f>IF(OR($A219="",D$24=""),"",IF(COUNTIFS('AFA Rates'!$A$5:$A$1004,$A219,'AFA Rates'!$B$5:$B$1004,D$24)&gt;0,"✓",""))</f>
        <v/>
      </c>
      <c r="E219" s="57">
        <f>IF(OR($A219="",E$24=""),"",IF(COUNTIFS('AFA Rates'!$A$5:$A$1004,$A219,'AFA Rates'!$B$5:$B$1004,E$24)&gt;0,"✓",""))</f>
        <v/>
      </c>
      <c r="F219" s="57">
        <f>IF(OR($A219="",F$24=""),"",IF(COUNTIFS('AFA Rates'!$A$5:$A$1004,$A219,'AFA Rates'!$B$5:$B$1004,F$24)&gt;0,"✓",""))</f>
        <v/>
      </c>
      <c r="G219" s="57">
        <f>IF(OR($A219="",G$24=""),"",IF(COUNTIFS('AFA Rates'!$A$5:$A$1004,$A219,'AFA Rates'!$B$5:$B$1004,G$24)&gt;0,"✓",""))</f>
        <v/>
      </c>
      <c r="H219" s="57">
        <f>IF(OR($A219="",H$24=""),"",IF(COUNTIFS('AFA Rates'!$A$5:$A$1004,$A219,'AFA Rates'!$B$5:$B$1004,H$24)&gt;0,"✓",""))</f>
        <v/>
      </c>
      <c r="I219" s="57">
        <f>IF(OR($A219="",I$24=""),"",IF(COUNTIFS('AFA Rates'!$A$5:$A$1004,$A219,'AFA Rates'!$B$5:$B$1004,I$24)&gt;0,"✓",""))</f>
        <v/>
      </c>
      <c r="J219" s="57">
        <f>IF(OR($A219="",J$24=""),"",IF(COUNTIFS('AFA Rates'!$A$5:$A$1004,$A219,'AFA Rates'!$B$5:$B$1004,J$24)&gt;0,"✓",""))</f>
        <v/>
      </c>
      <c r="K219" s="57">
        <f>IF(OR($A219="",K$24=""),"",IF(COUNTIFS('AFA Rates'!$A$5:$A$1004,$A219,'AFA Rates'!$B$5:$B$1004,K$24)&gt;0,"✓",""))</f>
        <v/>
      </c>
      <c r="L219" s="57">
        <f>IF(OR($A219="",L$24=""),"",IF(COUNTIFS('AFA Rates'!$A$5:$A$1004,$A219,'AFA Rates'!$B$5:$B$1004,L$24)&gt;0,"✓",""))</f>
        <v/>
      </c>
      <c r="M219" s="57">
        <f>IF(OR($A219="",M$24=""),"",IF(COUNTIFS('AFA Rates'!$A$5:$A$1004,$A219,'AFA Rates'!$B$5:$B$1004,M$24)&gt;0,"✓",""))</f>
        <v/>
      </c>
    </row>
    <row r="220">
      <c r="A220" s="63">
        <f>IFERROR(INDEX(Firms!$A$5:$A$1004,MATCH(196,Firms!$S$5:$S$1004,0)),"")</f>
        <v/>
      </c>
      <c r="B220" s="57">
        <f>IF($A220="","",INDEX(Firms!$B$5:$B$1004,MATCH(196,Firms!$S$5:$S$1004,0)))</f>
        <v/>
      </c>
      <c r="C220" s="57">
        <f>IF($A220="","",COUNTIF('AFA Rates'!$A$5:$A$1004,$A220))</f>
        <v/>
      </c>
      <c r="D220" s="57">
        <f>IF(OR($A220="",D$24=""),"",IF(COUNTIFS('AFA Rates'!$A$5:$A$1004,$A220,'AFA Rates'!$B$5:$B$1004,D$24)&gt;0,"✓",""))</f>
        <v/>
      </c>
      <c r="E220" s="57">
        <f>IF(OR($A220="",E$24=""),"",IF(COUNTIFS('AFA Rates'!$A$5:$A$1004,$A220,'AFA Rates'!$B$5:$B$1004,E$24)&gt;0,"✓",""))</f>
        <v/>
      </c>
      <c r="F220" s="57">
        <f>IF(OR($A220="",F$24=""),"",IF(COUNTIFS('AFA Rates'!$A$5:$A$1004,$A220,'AFA Rates'!$B$5:$B$1004,F$24)&gt;0,"✓",""))</f>
        <v/>
      </c>
      <c r="G220" s="57">
        <f>IF(OR($A220="",G$24=""),"",IF(COUNTIFS('AFA Rates'!$A$5:$A$1004,$A220,'AFA Rates'!$B$5:$B$1004,G$24)&gt;0,"✓",""))</f>
        <v/>
      </c>
      <c r="H220" s="57">
        <f>IF(OR($A220="",H$24=""),"",IF(COUNTIFS('AFA Rates'!$A$5:$A$1004,$A220,'AFA Rates'!$B$5:$B$1004,H$24)&gt;0,"✓",""))</f>
        <v/>
      </c>
      <c r="I220" s="57">
        <f>IF(OR($A220="",I$24=""),"",IF(COUNTIFS('AFA Rates'!$A$5:$A$1004,$A220,'AFA Rates'!$B$5:$B$1004,I$24)&gt;0,"✓",""))</f>
        <v/>
      </c>
      <c r="J220" s="57">
        <f>IF(OR($A220="",J$24=""),"",IF(COUNTIFS('AFA Rates'!$A$5:$A$1004,$A220,'AFA Rates'!$B$5:$B$1004,J$24)&gt;0,"✓",""))</f>
        <v/>
      </c>
      <c r="K220" s="57">
        <f>IF(OR($A220="",K$24=""),"",IF(COUNTIFS('AFA Rates'!$A$5:$A$1004,$A220,'AFA Rates'!$B$5:$B$1004,K$24)&gt;0,"✓",""))</f>
        <v/>
      </c>
      <c r="L220" s="57">
        <f>IF(OR($A220="",L$24=""),"",IF(COUNTIFS('AFA Rates'!$A$5:$A$1004,$A220,'AFA Rates'!$B$5:$B$1004,L$24)&gt;0,"✓",""))</f>
        <v/>
      </c>
      <c r="M220" s="57">
        <f>IF(OR($A220="",M$24=""),"",IF(COUNTIFS('AFA Rates'!$A$5:$A$1004,$A220,'AFA Rates'!$B$5:$B$1004,M$24)&gt;0,"✓",""))</f>
        <v/>
      </c>
    </row>
    <row r="221">
      <c r="A221" s="63">
        <f>IFERROR(INDEX(Firms!$A$5:$A$1004,MATCH(197,Firms!$S$5:$S$1004,0)),"")</f>
        <v/>
      </c>
      <c r="B221" s="57">
        <f>IF($A221="","",INDEX(Firms!$B$5:$B$1004,MATCH(197,Firms!$S$5:$S$1004,0)))</f>
        <v/>
      </c>
      <c r="C221" s="57">
        <f>IF($A221="","",COUNTIF('AFA Rates'!$A$5:$A$1004,$A221))</f>
        <v/>
      </c>
      <c r="D221" s="57">
        <f>IF(OR($A221="",D$24=""),"",IF(COUNTIFS('AFA Rates'!$A$5:$A$1004,$A221,'AFA Rates'!$B$5:$B$1004,D$24)&gt;0,"✓",""))</f>
        <v/>
      </c>
      <c r="E221" s="57">
        <f>IF(OR($A221="",E$24=""),"",IF(COUNTIFS('AFA Rates'!$A$5:$A$1004,$A221,'AFA Rates'!$B$5:$B$1004,E$24)&gt;0,"✓",""))</f>
        <v/>
      </c>
      <c r="F221" s="57">
        <f>IF(OR($A221="",F$24=""),"",IF(COUNTIFS('AFA Rates'!$A$5:$A$1004,$A221,'AFA Rates'!$B$5:$B$1004,F$24)&gt;0,"✓",""))</f>
        <v/>
      </c>
      <c r="G221" s="57">
        <f>IF(OR($A221="",G$24=""),"",IF(COUNTIFS('AFA Rates'!$A$5:$A$1004,$A221,'AFA Rates'!$B$5:$B$1004,G$24)&gt;0,"✓",""))</f>
        <v/>
      </c>
      <c r="H221" s="57">
        <f>IF(OR($A221="",H$24=""),"",IF(COUNTIFS('AFA Rates'!$A$5:$A$1004,$A221,'AFA Rates'!$B$5:$B$1004,H$24)&gt;0,"✓",""))</f>
        <v/>
      </c>
      <c r="I221" s="57">
        <f>IF(OR($A221="",I$24=""),"",IF(COUNTIFS('AFA Rates'!$A$5:$A$1004,$A221,'AFA Rates'!$B$5:$B$1004,I$24)&gt;0,"✓",""))</f>
        <v/>
      </c>
      <c r="J221" s="57">
        <f>IF(OR($A221="",J$24=""),"",IF(COUNTIFS('AFA Rates'!$A$5:$A$1004,$A221,'AFA Rates'!$B$5:$B$1004,J$24)&gt;0,"✓",""))</f>
        <v/>
      </c>
      <c r="K221" s="57">
        <f>IF(OR($A221="",K$24=""),"",IF(COUNTIFS('AFA Rates'!$A$5:$A$1004,$A221,'AFA Rates'!$B$5:$B$1004,K$24)&gt;0,"✓",""))</f>
        <v/>
      </c>
      <c r="L221" s="57">
        <f>IF(OR($A221="",L$24=""),"",IF(COUNTIFS('AFA Rates'!$A$5:$A$1004,$A221,'AFA Rates'!$B$5:$B$1004,L$24)&gt;0,"✓",""))</f>
        <v/>
      </c>
      <c r="M221" s="57">
        <f>IF(OR($A221="",M$24=""),"",IF(COUNTIFS('AFA Rates'!$A$5:$A$1004,$A221,'AFA Rates'!$B$5:$B$1004,M$24)&gt;0,"✓",""))</f>
        <v/>
      </c>
    </row>
    <row r="222">
      <c r="A222" s="63">
        <f>IFERROR(INDEX(Firms!$A$5:$A$1004,MATCH(198,Firms!$S$5:$S$1004,0)),"")</f>
        <v/>
      </c>
      <c r="B222" s="57">
        <f>IF($A222="","",INDEX(Firms!$B$5:$B$1004,MATCH(198,Firms!$S$5:$S$1004,0)))</f>
        <v/>
      </c>
      <c r="C222" s="57">
        <f>IF($A222="","",COUNTIF('AFA Rates'!$A$5:$A$1004,$A222))</f>
        <v/>
      </c>
      <c r="D222" s="57">
        <f>IF(OR($A222="",D$24=""),"",IF(COUNTIFS('AFA Rates'!$A$5:$A$1004,$A222,'AFA Rates'!$B$5:$B$1004,D$24)&gt;0,"✓",""))</f>
        <v/>
      </c>
      <c r="E222" s="57">
        <f>IF(OR($A222="",E$24=""),"",IF(COUNTIFS('AFA Rates'!$A$5:$A$1004,$A222,'AFA Rates'!$B$5:$B$1004,E$24)&gt;0,"✓",""))</f>
        <v/>
      </c>
      <c r="F222" s="57">
        <f>IF(OR($A222="",F$24=""),"",IF(COUNTIFS('AFA Rates'!$A$5:$A$1004,$A222,'AFA Rates'!$B$5:$B$1004,F$24)&gt;0,"✓",""))</f>
        <v/>
      </c>
      <c r="G222" s="57">
        <f>IF(OR($A222="",G$24=""),"",IF(COUNTIFS('AFA Rates'!$A$5:$A$1004,$A222,'AFA Rates'!$B$5:$B$1004,G$24)&gt;0,"✓",""))</f>
        <v/>
      </c>
      <c r="H222" s="57">
        <f>IF(OR($A222="",H$24=""),"",IF(COUNTIFS('AFA Rates'!$A$5:$A$1004,$A222,'AFA Rates'!$B$5:$B$1004,H$24)&gt;0,"✓",""))</f>
        <v/>
      </c>
      <c r="I222" s="57">
        <f>IF(OR($A222="",I$24=""),"",IF(COUNTIFS('AFA Rates'!$A$5:$A$1004,$A222,'AFA Rates'!$B$5:$B$1004,I$24)&gt;0,"✓",""))</f>
        <v/>
      </c>
      <c r="J222" s="57">
        <f>IF(OR($A222="",J$24=""),"",IF(COUNTIFS('AFA Rates'!$A$5:$A$1004,$A222,'AFA Rates'!$B$5:$B$1004,J$24)&gt;0,"✓",""))</f>
        <v/>
      </c>
      <c r="K222" s="57">
        <f>IF(OR($A222="",K$24=""),"",IF(COUNTIFS('AFA Rates'!$A$5:$A$1004,$A222,'AFA Rates'!$B$5:$B$1004,K$24)&gt;0,"✓",""))</f>
        <v/>
      </c>
      <c r="L222" s="57">
        <f>IF(OR($A222="",L$24=""),"",IF(COUNTIFS('AFA Rates'!$A$5:$A$1004,$A222,'AFA Rates'!$B$5:$B$1004,L$24)&gt;0,"✓",""))</f>
        <v/>
      </c>
      <c r="M222" s="57">
        <f>IF(OR($A222="",M$24=""),"",IF(COUNTIFS('AFA Rates'!$A$5:$A$1004,$A222,'AFA Rates'!$B$5:$B$1004,M$24)&gt;0,"✓",""))</f>
        <v/>
      </c>
    </row>
    <row r="223">
      <c r="A223" s="63">
        <f>IFERROR(INDEX(Firms!$A$5:$A$1004,MATCH(199,Firms!$S$5:$S$1004,0)),"")</f>
        <v/>
      </c>
      <c r="B223" s="57">
        <f>IF($A223="","",INDEX(Firms!$B$5:$B$1004,MATCH(199,Firms!$S$5:$S$1004,0)))</f>
        <v/>
      </c>
      <c r="C223" s="57">
        <f>IF($A223="","",COUNTIF('AFA Rates'!$A$5:$A$1004,$A223))</f>
        <v/>
      </c>
      <c r="D223" s="57">
        <f>IF(OR($A223="",D$24=""),"",IF(COUNTIFS('AFA Rates'!$A$5:$A$1004,$A223,'AFA Rates'!$B$5:$B$1004,D$24)&gt;0,"✓",""))</f>
        <v/>
      </c>
      <c r="E223" s="57">
        <f>IF(OR($A223="",E$24=""),"",IF(COUNTIFS('AFA Rates'!$A$5:$A$1004,$A223,'AFA Rates'!$B$5:$B$1004,E$24)&gt;0,"✓",""))</f>
        <v/>
      </c>
      <c r="F223" s="57">
        <f>IF(OR($A223="",F$24=""),"",IF(COUNTIFS('AFA Rates'!$A$5:$A$1004,$A223,'AFA Rates'!$B$5:$B$1004,F$24)&gt;0,"✓",""))</f>
        <v/>
      </c>
      <c r="G223" s="57">
        <f>IF(OR($A223="",G$24=""),"",IF(COUNTIFS('AFA Rates'!$A$5:$A$1004,$A223,'AFA Rates'!$B$5:$B$1004,G$24)&gt;0,"✓",""))</f>
        <v/>
      </c>
      <c r="H223" s="57">
        <f>IF(OR($A223="",H$24=""),"",IF(COUNTIFS('AFA Rates'!$A$5:$A$1004,$A223,'AFA Rates'!$B$5:$B$1004,H$24)&gt;0,"✓",""))</f>
        <v/>
      </c>
      <c r="I223" s="57">
        <f>IF(OR($A223="",I$24=""),"",IF(COUNTIFS('AFA Rates'!$A$5:$A$1004,$A223,'AFA Rates'!$B$5:$B$1004,I$24)&gt;0,"✓",""))</f>
        <v/>
      </c>
      <c r="J223" s="57">
        <f>IF(OR($A223="",J$24=""),"",IF(COUNTIFS('AFA Rates'!$A$5:$A$1004,$A223,'AFA Rates'!$B$5:$B$1004,J$24)&gt;0,"✓",""))</f>
        <v/>
      </c>
      <c r="K223" s="57">
        <f>IF(OR($A223="",K$24=""),"",IF(COUNTIFS('AFA Rates'!$A$5:$A$1004,$A223,'AFA Rates'!$B$5:$B$1004,K$24)&gt;0,"✓",""))</f>
        <v/>
      </c>
      <c r="L223" s="57">
        <f>IF(OR($A223="",L$24=""),"",IF(COUNTIFS('AFA Rates'!$A$5:$A$1004,$A223,'AFA Rates'!$B$5:$B$1004,L$24)&gt;0,"✓",""))</f>
        <v/>
      </c>
      <c r="M223" s="57">
        <f>IF(OR($A223="",M$24=""),"",IF(COUNTIFS('AFA Rates'!$A$5:$A$1004,$A223,'AFA Rates'!$B$5:$B$1004,M$24)&gt;0,"✓",""))</f>
        <v/>
      </c>
    </row>
    <row r="224">
      <c r="A224" s="63">
        <f>IFERROR(INDEX(Firms!$A$5:$A$1004,MATCH(200,Firms!$S$5:$S$1004,0)),"")</f>
        <v/>
      </c>
      <c r="B224" s="57">
        <f>IF($A224="","",INDEX(Firms!$B$5:$B$1004,MATCH(200,Firms!$S$5:$S$1004,0)))</f>
        <v/>
      </c>
      <c r="C224" s="57">
        <f>IF($A224="","",COUNTIF('AFA Rates'!$A$5:$A$1004,$A224))</f>
        <v/>
      </c>
      <c r="D224" s="57">
        <f>IF(OR($A224="",D$24=""),"",IF(COUNTIFS('AFA Rates'!$A$5:$A$1004,$A224,'AFA Rates'!$B$5:$B$1004,D$24)&gt;0,"✓",""))</f>
        <v/>
      </c>
      <c r="E224" s="57">
        <f>IF(OR($A224="",E$24=""),"",IF(COUNTIFS('AFA Rates'!$A$5:$A$1004,$A224,'AFA Rates'!$B$5:$B$1004,E$24)&gt;0,"✓",""))</f>
        <v/>
      </c>
      <c r="F224" s="57">
        <f>IF(OR($A224="",F$24=""),"",IF(COUNTIFS('AFA Rates'!$A$5:$A$1004,$A224,'AFA Rates'!$B$5:$B$1004,F$24)&gt;0,"✓",""))</f>
        <v/>
      </c>
      <c r="G224" s="57">
        <f>IF(OR($A224="",G$24=""),"",IF(COUNTIFS('AFA Rates'!$A$5:$A$1004,$A224,'AFA Rates'!$B$5:$B$1004,G$24)&gt;0,"✓",""))</f>
        <v/>
      </c>
      <c r="H224" s="57">
        <f>IF(OR($A224="",H$24=""),"",IF(COUNTIFS('AFA Rates'!$A$5:$A$1004,$A224,'AFA Rates'!$B$5:$B$1004,H$24)&gt;0,"✓",""))</f>
        <v/>
      </c>
      <c r="I224" s="57">
        <f>IF(OR($A224="",I$24=""),"",IF(COUNTIFS('AFA Rates'!$A$5:$A$1004,$A224,'AFA Rates'!$B$5:$B$1004,I$24)&gt;0,"✓",""))</f>
        <v/>
      </c>
      <c r="J224" s="57">
        <f>IF(OR($A224="",J$24=""),"",IF(COUNTIFS('AFA Rates'!$A$5:$A$1004,$A224,'AFA Rates'!$B$5:$B$1004,J$24)&gt;0,"✓",""))</f>
        <v/>
      </c>
      <c r="K224" s="57">
        <f>IF(OR($A224="",K$24=""),"",IF(COUNTIFS('AFA Rates'!$A$5:$A$1004,$A224,'AFA Rates'!$B$5:$B$1004,K$24)&gt;0,"✓",""))</f>
        <v/>
      </c>
      <c r="L224" s="57">
        <f>IF(OR($A224="",L$24=""),"",IF(COUNTIFS('AFA Rates'!$A$5:$A$1004,$A224,'AFA Rates'!$B$5:$B$1004,L$24)&gt;0,"✓",""))</f>
        <v/>
      </c>
      <c r="M224" s="57">
        <f>IF(OR($A224="",M$24=""),"",IF(COUNTIFS('AFA Rates'!$A$5:$A$1004,$A224,'AFA Rates'!$B$5:$B$1004,M$24)&gt;0,"✓",""))</f>
        <v/>
      </c>
    </row>
    <row r="225">
      <c r="A225" s="63">
        <f>IFERROR(INDEX(Firms!$A$5:$A$1004,MATCH(201,Firms!$S$5:$S$1004,0)),"")</f>
        <v/>
      </c>
      <c r="B225" s="57">
        <f>IF($A225="","",INDEX(Firms!$B$5:$B$1004,MATCH(201,Firms!$S$5:$S$1004,0)))</f>
        <v/>
      </c>
      <c r="C225" s="57">
        <f>IF($A225="","",COUNTIF('AFA Rates'!$A$5:$A$1004,$A225))</f>
        <v/>
      </c>
      <c r="D225" s="57">
        <f>IF(OR($A225="",D$24=""),"",IF(COUNTIFS('AFA Rates'!$A$5:$A$1004,$A225,'AFA Rates'!$B$5:$B$1004,D$24)&gt;0,"✓",""))</f>
        <v/>
      </c>
      <c r="E225" s="57">
        <f>IF(OR($A225="",E$24=""),"",IF(COUNTIFS('AFA Rates'!$A$5:$A$1004,$A225,'AFA Rates'!$B$5:$B$1004,E$24)&gt;0,"✓",""))</f>
        <v/>
      </c>
      <c r="F225" s="57">
        <f>IF(OR($A225="",F$24=""),"",IF(COUNTIFS('AFA Rates'!$A$5:$A$1004,$A225,'AFA Rates'!$B$5:$B$1004,F$24)&gt;0,"✓",""))</f>
        <v/>
      </c>
      <c r="G225" s="57">
        <f>IF(OR($A225="",G$24=""),"",IF(COUNTIFS('AFA Rates'!$A$5:$A$1004,$A225,'AFA Rates'!$B$5:$B$1004,G$24)&gt;0,"✓",""))</f>
        <v/>
      </c>
      <c r="H225" s="57">
        <f>IF(OR($A225="",H$24=""),"",IF(COUNTIFS('AFA Rates'!$A$5:$A$1004,$A225,'AFA Rates'!$B$5:$B$1004,H$24)&gt;0,"✓",""))</f>
        <v/>
      </c>
      <c r="I225" s="57">
        <f>IF(OR($A225="",I$24=""),"",IF(COUNTIFS('AFA Rates'!$A$5:$A$1004,$A225,'AFA Rates'!$B$5:$B$1004,I$24)&gt;0,"✓",""))</f>
        <v/>
      </c>
      <c r="J225" s="57">
        <f>IF(OR($A225="",J$24=""),"",IF(COUNTIFS('AFA Rates'!$A$5:$A$1004,$A225,'AFA Rates'!$B$5:$B$1004,J$24)&gt;0,"✓",""))</f>
        <v/>
      </c>
      <c r="K225" s="57">
        <f>IF(OR($A225="",K$24=""),"",IF(COUNTIFS('AFA Rates'!$A$5:$A$1004,$A225,'AFA Rates'!$B$5:$B$1004,K$24)&gt;0,"✓",""))</f>
        <v/>
      </c>
      <c r="L225" s="57">
        <f>IF(OR($A225="",L$24=""),"",IF(COUNTIFS('AFA Rates'!$A$5:$A$1004,$A225,'AFA Rates'!$B$5:$B$1004,L$24)&gt;0,"✓",""))</f>
        <v/>
      </c>
      <c r="M225" s="57">
        <f>IF(OR($A225="",M$24=""),"",IF(COUNTIFS('AFA Rates'!$A$5:$A$1004,$A225,'AFA Rates'!$B$5:$B$1004,M$24)&gt;0,"✓",""))</f>
        <v/>
      </c>
    </row>
    <row r="226">
      <c r="A226" s="63">
        <f>IFERROR(INDEX(Firms!$A$5:$A$1004,MATCH(202,Firms!$S$5:$S$1004,0)),"")</f>
        <v/>
      </c>
      <c r="B226" s="57">
        <f>IF($A226="","",INDEX(Firms!$B$5:$B$1004,MATCH(202,Firms!$S$5:$S$1004,0)))</f>
        <v/>
      </c>
      <c r="C226" s="57">
        <f>IF($A226="","",COUNTIF('AFA Rates'!$A$5:$A$1004,$A226))</f>
        <v/>
      </c>
      <c r="D226" s="57">
        <f>IF(OR($A226="",D$24=""),"",IF(COUNTIFS('AFA Rates'!$A$5:$A$1004,$A226,'AFA Rates'!$B$5:$B$1004,D$24)&gt;0,"✓",""))</f>
        <v/>
      </c>
      <c r="E226" s="57">
        <f>IF(OR($A226="",E$24=""),"",IF(COUNTIFS('AFA Rates'!$A$5:$A$1004,$A226,'AFA Rates'!$B$5:$B$1004,E$24)&gt;0,"✓",""))</f>
        <v/>
      </c>
      <c r="F226" s="57">
        <f>IF(OR($A226="",F$24=""),"",IF(COUNTIFS('AFA Rates'!$A$5:$A$1004,$A226,'AFA Rates'!$B$5:$B$1004,F$24)&gt;0,"✓",""))</f>
        <v/>
      </c>
      <c r="G226" s="57">
        <f>IF(OR($A226="",G$24=""),"",IF(COUNTIFS('AFA Rates'!$A$5:$A$1004,$A226,'AFA Rates'!$B$5:$B$1004,G$24)&gt;0,"✓",""))</f>
        <v/>
      </c>
      <c r="H226" s="57">
        <f>IF(OR($A226="",H$24=""),"",IF(COUNTIFS('AFA Rates'!$A$5:$A$1004,$A226,'AFA Rates'!$B$5:$B$1004,H$24)&gt;0,"✓",""))</f>
        <v/>
      </c>
      <c r="I226" s="57">
        <f>IF(OR($A226="",I$24=""),"",IF(COUNTIFS('AFA Rates'!$A$5:$A$1004,$A226,'AFA Rates'!$B$5:$B$1004,I$24)&gt;0,"✓",""))</f>
        <v/>
      </c>
      <c r="J226" s="57">
        <f>IF(OR($A226="",J$24=""),"",IF(COUNTIFS('AFA Rates'!$A$5:$A$1004,$A226,'AFA Rates'!$B$5:$B$1004,J$24)&gt;0,"✓",""))</f>
        <v/>
      </c>
      <c r="K226" s="57">
        <f>IF(OR($A226="",K$24=""),"",IF(COUNTIFS('AFA Rates'!$A$5:$A$1004,$A226,'AFA Rates'!$B$5:$B$1004,K$24)&gt;0,"✓",""))</f>
        <v/>
      </c>
      <c r="L226" s="57">
        <f>IF(OR($A226="",L$24=""),"",IF(COUNTIFS('AFA Rates'!$A$5:$A$1004,$A226,'AFA Rates'!$B$5:$B$1004,L$24)&gt;0,"✓",""))</f>
        <v/>
      </c>
      <c r="M226" s="57">
        <f>IF(OR($A226="",M$24=""),"",IF(COUNTIFS('AFA Rates'!$A$5:$A$1004,$A226,'AFA Rates'!$B$5:$B$1004,M$24)&gt;0,"✓",""))</f>
        <v/>
      </c>
    </row>
    <row r="227">
      <c r="A227" s="63">
        <f>IFERROR(INDEX(Firms!$A$5:$A$1004,MATCH(203,Firms!$S$5:$S$1004,0)),"")</f>
        <v/>
      </c>
      <c r="B227" s="57">
        <f>IF($A227="","",INDEX(Firms!$B$5:$B$1004,MATCH(203,Firms!$S$5:$S$1004,0)))</f>
        <v/>
      </c>
      <c r="C227" s="57">
        <f>IF($A227="","",COUNTIF('AFA Rates'!$A$5:$A$1004,$A227))</f>
        <v/>
      </c>
      <c r="D227" s="57">
        <f>IF(OR($A227="",D$24=""),"",IF(COUNTIFS('AFA Rates'!$A$5:$A$1004,$A227,'AFA Rates'!$B$5:$B$1004,D$24)&gt;0,"✓",""))</f>
        <v/>
      </c>
      <c r="E227" s="57">
        <f>IF(OR($A227="",E$24=""),"",IF(COUNTIFS('AFA Rates'!$A$5:$A$1004,$A227,'AFA Rates'!$B$5:$B$1004,E$24)&gt;0,"✓",""))</f>
        <v/>
      </c>
      <c r="F227" s="57">
        <f>IF(OR($A227="",F$24=""),"",IF(COUNTIFS('AFA Rates'!$A$5:$A$1004,$A227,'AFA Rates'!$B$5:$B$1004,F$24)&gt;0,"✓",""))</f>
        <v/>
      </c>
      <c r="G227" s="57">
        <f>IF(OR($A227="",G$24=""),"",IF(COUNTIFS('AFA Rates'!$A$5:$A$1004,$A227,'AFA Rates'!$B$5:$B$1004,G$24)&gt;0,"✓",""))</f>
        <v/>
      </c>
      <c r="H227" s="57">
        <f>IF(OR($A227="",H$24=""),"",IF(COUNTIFS('AFA Rates'!$A$5:$A$1004,$A227,'AFA Rates'!$B$5:$B$1004,H$24)&gt;0,"✓",""))</f>
        <v/>
      </c>
      <c r="I227" s="57">
        <f>IF(OR($A227="",I$24=""),"",IF(COUNTIFS('AFA Rates'!$A$5:$A$1004,$A227,'AFA Rates'!$B$5:$B$1004,I$24)&gt;0,"✓",""))</f>
        <v/>
      </c>
      <c r="J227" s="57">
        <f>IF(OR($A227="",J$24=""),"",IF(COUNTIFS('AFA Rates'!$A$5:$A$1004,$A227,'AFA Rates'!$B$5:$B$1004,J$24)&gt;0,"✓",""))</f>
        <v/>
      </c>
      <c r="K227" s="57">
        <f>IF(OR($A227="",K$24=""),"",IF(COUNTIFS('AFA Rates'!$A$5:$A$1004,$A227,'AFA Rates'!$B$5:$B$1004,K$24)&gt;0,"✓",""))</f>
        <v/>
      </c>
      <c r="L227" s="57">
        <f>IF(OR($A227="",L$24=""),"",IF(COUNTIFS('AFA Rates'!$A$5:$A$1004,$A227,'AFA Rates'!$B$5:$B$1004,L$24)&gt;0,"✓",""))</f>
        <v/>
      </c>
      <c r="M227" s="57">
        <f>IF(OR($A227="",M$24=""),"",IF(COUNTIFS('AFA Rates'!$A$5:$A$1004,$A227,'AFA Rates'!$B$5:$B$1004,M$24)&gt;0,"✓",""))</f>
        <v/>
      </c>
    </row>
    <row r="228">
      <c r="A228" s="63">
        <f>IFERROR(INDEX(Firms!$A$5:$A$1004,MATCH(204,Firms!$S$5:$S$1004,0)),"")</f>
        <v/>
      </c>
      <c r="B228" s="57">
        <f>IF($A228="","",INDEX(Firms!$B$5:$B$1004,MATCH(204,Firms!$S$5:$S$1004,0)))</f>
        <v/>
      </c>
      <c r="C228" s="57">
        <f>IF($A228="","",COUNTIF('AFA Rates'!$A$5:$A$1004,$A228))</f>
        <v/>
      </c>
      <c r="D228" s="57">
        <f>IF(OR($A228="",D$24=""),"",IF(COUNTIFS('AFA Rates'!$A$5:$A$1004,$A228,'AFA Rates'!$B$5:$B$1004,D$24)&gt;0,"✓",""))</f>
        <v/>
      </c>
      <c r="E228" s="57">
        <f>IF(OR($A228="",E$24=""),"",IF(COUNTIFS('AFA Rates'!$A$5:$A$1004,$A228,'AFA Rates'!$B$5:$B$1004,E$24)&gt;0,"✓",""))</f>
        <v/>
      </c>
      <c r="F228" s="57">
        <f>IF(OR($A228="",F$24=""),"",IF(COUNTIFS('AFA Rates'!$A$5:$A$1004,$A228,'AFA Rates'!$B$5:$B$1004,F$24)&gt;0,"✓",""))</f>
        <v/>
      </c>
      <c r="G228" s="57">
        <f>IF(OR($A228="",G$24=""),"",IF(COUNTIFS('AFA Rates'!$A$5:$A$1004,$A228,'AFA Rates'!$B$5:$B$1004,G$24)&gt;0,"✓",""))</f>
        <v/>
      </c>
      <c r="H228" s="57">
        <f>IF(OR($A228="",H$24=""),"",IF(COUNTIFS('AFA Rates'!$A$5:$A$1004,$A228,'AFA Rates'!$B$5:$B$1004,H$24)&gt;0,"✓",""))</f>
        <v/>
      </c>
      <c r="I228" s="57">
        <f>IF(OR($A228="",I$24=""),"",IF(COUNTIFS('AFA Rates'!$A$5:$A$1004,$A228,'AFA Rates'!$B$5:$B$1004,I$24)&gt;0,"✓",""))</f>
        <v/>
      </c>
      <c r="J228" s="57">
        <f>IF(OR($A228="",J$24=""),"",IF(COUNTIFS('AFA Rates'!$A$5:$A$1004,$A228,'AFA Rates'!$B$5:$B$1004,J$24)&gt;0,"✓",""))</f>
        <v/>
      </c>
      <c r="K228" s="57">
        <f>IF(OR($A228="",K$24=""),"",IF(COUNTIFS('AFA Rates'!$A$5:$A$1004,$A228,'AFA Rates'!$B$5:$B$1004,K$24)&gt;0,"✓",""))</f>
        <v/>
      </c>
      <c r="L228" s="57">
        <f>IF(OR($A228="",L$24=""),"",IF(COUNTIFS('AFA Rates'!$A$5:$A$1004,$A228,'AFA Rates'!$B$5:$B$1004,L$24)&gt;0,"✓",""))</f>
        <v/>
      </c>
      <c r="M228" s="57">
        <f>IF(OR($A228="",M$24=""),"",IF(COUNTIFS('AFA Rates'!$A$5:$A$1004,$A228,'AFA Rates'!$B$5:$B$1004,M$24)&gt;0,"✓",""))</f>
        <v/>
      </c>
    </row>
    <row r="229">
      <c r="A229" s="63">
        <f>IFERROR(INDEX(Firms!$A$5:$A$1004,MATCH(205,Firms!$S$5:$S$1004,0)),"")</f>
        <v/>
      </c>
      <c r="B229" s="57">
        <f>IF($A229="","",INDEX(Firms!$B$5:$B$1004,MATCH(205,Firms!$S$5:$S$1004,0)))</f>
        <v/>
      </c>
      <c r="C229" s="57">
        <f>IF($A229="","",COUNTIF('AFA Rates'!$A$5:$A$1004,$A229))</f>
        <v/>
      </c>
      <c r="D229" s="57">
        <f>IF(OR($A229="",D$24=""),"",IF(COUNTIFS('AFA Rates'!$A$5:$A$1004,$A229,'AFA Rates'!$B$5:$B$1004,D$24)&gt;0,"✓",""))</f>
        <v/>
      </c>
      <c r="E229" s="57">
        <f>IF(OR($A229="",E$24=""),"",IF(COUNTIFS('AFA Rates'!$A$5:$A$1004,$A229,'AFA Rates'!$B$5:$B$1004,E$24)&gt;0,"✓",""))</f>
        <v/>
      </c>
      <c r="F229" s="57">
        <f>IF(OR($A229="",F$24=""),"",IF(COUNTIFS('AFA Rates'!$A$5:$A$1004,$A229,'AFA Rates'!$B$5:$B$1004,F$24)&gt;0,"✓",""))</f>
        <v/>
      </c>
      <c r="G229" s="57">
        <f>IF(OR($A229="",G$24=""),"",IF(COUNTIFS('AFA Rates'!$A$5:$A$1004,$A229,'AFA Rates'!$B$5:$B$1004,G$24)&gt;0,"✓",""))</f>
        <v/>
      </c>
      <c r="H229" s="57">
        <f>IF(OR($A229="",H$24=""),"",IF(COUNTIFS('AFA Rates'!$A$5:$A$1004,$A229,'AFA Rates'!$B$5:$B$1004,H$24)&gt;0,"✓",""))</f>
        <v/>
      </c>
      <c r="I229" s="57">
        <f>IF(OR($A229="",I$24=""),"",IF(COUNTIFS('AFA Rates'!$A$5:$A$1004,$A229,'AFA Rates'!$B$5:$B$1004,I$24)&gt;0,"✓",""))</f>
        <v/>
      </c>
      <c r="J229" s="57">
        <f>IF(OR($A229="",J$24=""),"",IF(COUNTIFS('AFA Rates'!$A$5:$A$1004,$A229,'AFA Rates'!$B$5:$B$1004,J$24)&gt;0,"✓",""))</f>
        <v/>
      </c>
      <c r="K229" s="57">
        <f>IF(OR($A229="",K$24=""),"",IF(COUNTIFS('AFA Rates'!$A$5:$A$1004,$A229,'AFA Rates'!$B$5:$B$1004,K$24)&gt;0,"✓",""))</f>
        <v/>
      </c>
      <c r="L229" s="57">
        <f>IF(OR($A229="",L$24=""),"",IF(COUNTIFS('AFA Rates'!$A$5:$A$1004,$A229,'AFA Rates'!$B$5:$B$1004,L$24)&gt;0,"✓",""))</f>
        <v/>
      </c>
      <c r="M229" s="57">
        <f>IF(OR($A229="",M$24=""),"",IF(COUNTIFS('AFA Rates'!$A$5:$A$1004,$A229,'AFA Rates'!$B$5:$B$1004,M$24)&gt;0,"✓",""))</f>
        <v/>
      </c>
    </row>
    <row r="230">
      <c r="A230" s="63">
        <f>IFERROR(INDEX(Firms!$A$5:$A$1004,MATCH(206,Firms!$S$5:$S$1004,0)),"")</f>
        <v/>
      </c>
      <c r="B230" s="57">
        <f>IF($A230="","",INDEX(Firms!$B$5:$B$1004,MATCH(206,Firms!$S$5:$S$1004,0)))</f>
        <v/>
      </c>
      <c r="C230" s="57">
        <f>IF($A230="","",COUNTIF('AFA Rates'!$A$5:$A$1004,$A230))</f>
        <v/>
      </c>
      <c r="D230" s="57">
        <f>IF(OR($A230="",D$24=""),"",IF(COUNTIFS('AFA Rates'!$A$5:$A$1004,$A230,'AFA Rates'!$B$5:$B$1004,D$24)&gt;0,"✓",""))</f>
        <v/>
      </c>
      <c r="E230" s="57">
        <f>IF(OR($A230="",E$24=""),"",IF(COUNTIFS('AFA Rates'!$A$5:$A$1004,$A230,'AFA Rates'!$B$5:$B$1004,E$24)&gt;0,"✓",""))</f>
        <v/>
      </c>
      <c r="F230" s="57">
        <f>IF(OR($A230="",F$24=""),"",IF(COUNTIFS('AFA Rates'!$A$5:$A$1004,$A230,'AFA Rates'!$B$5:$B$1004,F$24)&gt;0,"✓",""))</f>
        <v/>
      </c>
      <c r="G230" s="57">
        <f>IF(OR($A230="",G$24=""),"",IF(COUNTIFS('AFA Rates'!$A$5:$A$1004,$A230,'AFA Rates'!$B$5:$B$1004,G$24)&gt;0,"✓",""))</f>
        <v/>
      </c>
      <c r="H230" s="57">
        <f>IF(OR($A230="",H$24=""),"",IF(COUNTIFS('AFA Rates'!$A$5:$A$1004,$A230,'AFA Rates'!$B$5:$B$1004,H$24)&gt;0,"✓",""))</f>
        <v/>
      </c>
      <c r="I230" s="57">
        <f>IF(OR($A230="",I$24=""),"",IF(COUNTIFS('AFA Rates'!$A$5:$A$1004,$A230,'AFA Rates'!$B$5:$B$1004,I$24)&gt;0,"✓",""))</f>
        <v/>
      </c>
      <c r="J230" s="57">
        <f>IF(OR($A230="",J$24=""),"",IF(COUNTIFS('AFA Rates'!$A$5:$A$1004,$A230,'AFA Rates'!$B$5:$B$1004,J$24)&gt;0,"✓",""))</f>
        <v/>
      </c>
      <c r="K230" s="57">
        <f>IF(OR($A230="",K$24=""),"",IF(COUNTIFS('AFA Rates'!$A$5:$A$1004,$A230,'AFA Rates'!$B$5:$B$1004,K$24)&gt;0,"✓",""))</f>
        <v/>
      </c>
      <c r="L230" s="57">
        <f>IF(OR($A230="",L$24=""),"",IF(COUNTIFS('AFA Rates'!$A$5:$A$1004,$A230,'AFA Rates'!$B$5:$B$1004,L$24)&gt;0,"✓",""))</f>
        <v/>
      </c>
      <c r="M230" s="57">
        <f>IF(OR($A230="",M$24=""),"",IF(COUNTIFS('AFA Rates'!$A$5:$A$1004,$A230,'AFA Rates'!$B$5:$B$1004,M$24)&gt;0,"✓",""))</f>
        <v/>
      </c>
    </row>
    <row r="231">
      <c r="A231" s="63">
        <f>IFERROR(INDEX(Firms!$A$5:$A$1004,MATCH(207,Firms!$S$5:$S$1004,0)),"")</f>
        <v/>
      </c>
      <c r="B231" s="57">
        <f>IF($A231="","",INDEX(Firms!$B$5:$B$1004,MATCH(207,Firms!$S$5:$S$1004,0)))</f>
        <v/>
      </c>
      <c r="C231" s="57">
        <f>IF($A231="","",COUNTIF('AFA Rates'!$A$5:$A$1004,$A231))</f>
        <v/>
      </c>
      <c r="D231" s="57">
        <f>IF(OR($A231="",D$24=""),"",IF(COUNTIFS('AFA Rates'!$A$5:$A$1004,$A231,'AFA Rates'!$B$5:$B$1004,D$24)&gt;0,"✓",""))</f>
        <v/>
      </c>
      <c r="E231" s="57">
        <f>IF(OR($A231="",E$24=""),"",IF(COUNTIFS('AFA Rates'!$A$5:$A$1004,$A231,'AFA Rates'!$B$5:$B$1004,E$24)&gt;0,"✓",""))</f>
        <v/>
      </c>
      <c r="F231" s="57">
        <f>IF(OR($A231="",F$24=""),"",IF(COUNTIFS('AFA Rates'!$A$5:$A$1004,$A231,'AFA Rates'!$B$5:$B$1004,F$24)&gt;0,"✓",""))</f>
        <v/>
      </c>
      <c r="G231" s="57">
        <f>IF(OR($A231="",G$24=""),"",IF(COUNTIFS('AFA Rates'!$A$5:$A$1004,$A231,'AFA Rates'!$B$5:$B$1004,G$24)&gt;0,"✓",""))</f>
        <v/>
      </c>
      <c r="H231" s="57">
        <f>IF(OR($A231="",H$24=""),"",IF(COUNTIFS('AFA Rates'!$A$5:$A$1004,$A231,'AFA Rates'!$B$5:$B$1004,H$24)&gt;0,"✓",""))</f>
        <v/>
      </c>
      <c r="I231" s="57">
        <f>IF(OR($A231="",I$24=""),"",IF(COUNTIFS('AFA Rates'!$A$5:$A$1004,$A231,'AFA Rates'!$B$5:$B$1004,I$24)&gt;0,"✓",""))</f>
        <v/>
      </c>
      <c r="J231" s="57">
        <f>IF(OR($A231="",J$24=""),"",IF(COUNTIFS('AFA Rates'!$A$5:$A$1004,$A231,'AFA Rates'!$B$5:$B$1004,J$24)&gt;0,"✓",""))</f>
        <v/>
      </c>
      <c r="K231" s="57">
        <f>IF(OR($A231="",K$24=""),"",IF(COUNTIFS('AFA Rates'!$A$5:$A$1004,$A231,'AFA Rates'!$B$5:$B$1004,K$24)&gt;0,"✓",""))</f>
        <v/>
      </c>
      <c r="L231" s="57">
        <f>IF(OR($A231="",L$24=""),"",IF(COUNTIFS('AFA Rates'!$A$5:$A$1004,$A231,'AFA Rates'!$B$5:$B$1004,L$24)&gt;0,"✓",""))</f>
        <v/>
      </c>
      <c r="M231" s="57">
        <f>IF(OR($A231="",M$24=""),"",IF(COUNTIFS('AFA Rates'!$A$5:$A$1004,$A231,'AFA Rates'!$B$5:$B$1004,M$24)&gt;0,"✓",""))</f>
        <v/>
      </c>
    </row>
    <row r="232">
      <c r="A232" s="63">
        <f>IFERROR(INDEX(Firms!$A$5:$A$1004,MATCH(208,Firms!$S$5:$S$1004,0)),"")</f>
        <v/>
      </c>
      <c r="B232" s="57">
        <f>IF($A232="","",INDEX(Firms!$B$5:$B$1004,MATCH(208,Firms!$S$5:$S$1004,0)))</f>
        <v/>
      </c>
      <c r="C232" s="57">
        <f>IF($A232="","",COUNTIF('AFA Rates'!$A$5:$A$1004,$A232))</f>
        <v/>
      </c>
      <c r="D232" s="57">
        <f>IF(OR($A232="",D$24=""),"",IF(COUNTIFS('AFA Rates'!$A$5:$A$1004,$A232,'AFA Rates'!$B$5:$B$1004,D$24)&gt;0,"✓",""))</f>
        <v/>
      </c>
      <c r="E232" s="57">
        <f>IF(OR($A232="",E$24=""),"",IF(COUNTIFS('AFA Rates'!$A$5:$A$1004,$A232,'AFA Rates'!$B$5:$B$1004,E$24)&gt;0,"✓",""))</f>
        <v/>
      </c>
      <c r="F232" s="57">
        <f>IF(OR($A232="",F$24=""),"",IF(COUNTIFS('AFA Rates'!$A$5:$A$1004,$A232,'AFA Rates'!$B$5:$B$1004,F$24)&gt;0,"✓",""))</f>
        <v/>
      </c>
      <c r="G232" s="57">
        <f>IF(OR($A232="",G$24=""),"",IF(COUNTIFS('AFA Rates'!$A$5:$A$1004,$A232,'AFA Rates'!$B$5:$B$1004,G$24)&gt;0,"✓",""))</f>
        <v/>
      </c>
      <c r="H232" s="57">
        <f>IF(OR($A232="",H$24=""),"",IF(COUNTIFS('AFA Rates'!$A$5:$A$1004,$A232,'AFA Rates'!$B$5:$B$1004,H$24)&gt;0,"✓",""))</f>
        <v/>
      </c>
      <c r="I232" s="57">
        <f>IF(OR($A232="",I$24=""),"",IF(COUNTIFS('AFA Rates'!$A$5:$A$1004,$A232,'AFA Rates'!$B$5:$B$1004,I$24)&gt;0,"✓",""))</f>
        <v/>
      </c>
      <c r="J232" s="57">
        <f>IF(OR($A232="",J$24=""),"",IF(COUNTIFS('AFA Rates'!$A$5:$A$1004,$A232,'AFA Rates'!$B$5:$B$1004,J$24)&gt;0,"✓",""))</f>
        <v/>
      </c>
      <c r="K232" s="57">
        <f>IF(OR($A232="",K$24=""),"",IF(COUNTIFS('AFA Rates'!$A$5:$A$1004,$A232,'AFA Rates'!$B$5:$B$1004,K$24)&gt;0,"✓",""))</f>
        <v/>
      </c>
      <c r="L232" s="57">
        <f>IF(OR($A232="",L$24=""),"",IF(COUNTIFS('AFA Rates'!$A$5:$A$1004,$A232,'AFA Rates'!$B$5:$B$1004,L$24)&gt;0,"✓",""))</f>
        <v/>
      </c>
      <c r="M232" s="57">
        <f>IF(OR($A232="",M$24=""),"",IF(COUNTIFS('AFA Rates'!$A$5:$A$1004,$A232,'AFA Rates'!$B$5:$B$1004,M$24)&gt;0,"✓",""))</f>
        <v/>
      </c>
    </row>
    <row r="233">
      <c r="A233" s="63">
        <f>IFERROR(INDEX(Firms!$A$5:$A$1004,MATCH(209,Firms!$S$5:$S$1004,0)),"")</f>
        <v/>
      </c>
      <c r="B233" s="57">
        <f>IF($A233="","",INDEX(Firms!$B$5:$B$1004,MATCH(209,Firms!$S$5:$S$1004,0)))</f>
        <v/>
      </c>
      <c r="C233" s="57">
        <f>IF($A233="","",COUNTIF('AFA Rates'!$A$5:$A$1004,$A233))</f>
        <v/>
      </c>
      <c r="D233" s="57">
        <f>IF(OR($A233="",D$24=""),"",IF(COUNTIFS('AFA Rates'!$A$5:$A$1004,$A233,'AFA Rates'!$B$5:$B$1004,D$24)&gt;0,"✓",""))</f>
        <v/>
      </c>
      <c r="E233" s="57">
        <f>IF(OR($A233="",E$24=""),"",IF(COUNTIFS('AFA Rates'!$A$5:$A$1004,$A233,'AFA Rates'!$B$5:$B$1004,E$24)&gt;0,"✓",""))</f>
        <v/>
      </c>
      <c r="F233" s="57">
        <f>IF(OR($A233="",F$24=""),"",IF(COUNTIFS('AFA Rates'!$A$5:$A$1004,$A233,'AFA Rates'!$B$5:$B$1004,F$24)&gt;0,"✓",""))</f>
        <v/>
      </c>
      <c r="G233" s="57">
        <f>IF(OR($A233="",G$24=""),"",IF(COUNTIFS('AFA Rates'!$A$5:$A$1004,$A233,'AFA Rates'!$B$5:$B$1004,G$24)&gt;0,"✓",""))</f>
        <v/>
      </c>
      <c r="H233" s="57">
        <f>IF(OR($A233="",H$24=""),"",IF(COUNTIFS('AFA Rates'!$A$5:$A$1004,$A233,'AFA Rates'!$B$5:$B$1004,H$24)&gt;0,"✓",""))</f>
        <v/>
      </c>
      <c r="I233" s="57">
        <f>IF(OR($A233="",I$24=""),"",IF(COUNTIFS('AFA Rates'!$A$5:$A$1004,$A233,'AFA Rates'!$B$5:$B$1004,I$24)&gt;0,"✓",""))</f>
        <v/>
      </c>
      <c r="J233" s="57">
        <f>IF(OR($A233="",J$24=""),"",IF(COUNTIFS('AFA Rates'!$A$5:$A$1004,$A233,'AFA Rates'!$B$5:$B$1004,J$24)&gt;0,"✓",""))</f>
        <v/>
      </c>
      <c r="K233" s="57">
        <f>IF(OR($A233="",K$24=""),"",IF(COUNTIFS('AFA Rates'!$A$5:$A$1004,$A233,'AFA Rates'!$B$5:$B$1004,K$24)&gt;0,"✓",""))</f>
        <v/>
      </c>
      <c r="L233" s="57">
        <f>IF(OR($A233="",L$24=""),"",IF(COUNTIFS('AFA Rates'!$A$5:$A$1004,$A233,'AFA Rates'!$B$5:$B$1004,L$24)&gt;0,"✓",""))</f>
        <v/>
      </c>
      <c r="M233" s="57">
        <f>IF(OR($A233="",M$24=""),"",IF(COUNTIFS('AFA Rates'!$A$5:$A$1004,$A233,'AFA Rates'!$B$5:$B$1004,M$24)&gt;0,"✓",""))</f>
        <v/>
      </c>
    </row>
    <row r="234">
      <c r="A234" s="63">
        <f>IFERROR(INDEX(Firms!$A$5:$A$1004,MATCH(210,Firms!$S$5:$S$1004,0)),"")</f>
        <v/>
      </c>
      <c r="B234" s="57">
        <f>IF($A234="","",INDEX(Firms!$B$5:$B$1004,MATCH(210,Firms!$S$5:$S$1004,0)))</f>
        <v/>
      </c>
      <c r="C234" s="57">
        <f>IF($A234="","",COUNTIF('AFA Rates'!$A$5:$A$1004,$A234))</f>
        <v/>
      </c>
      <c r="D234" s="57">
        <f>IF(OR($A234="",D$24=""),"",IF(COUNTIFS('AFA Rates'!$A$5:$A$1004,$A234,'AFA Rates'!$B$5:$B$1004,D$24)&gt;0,"✓",""))</f>
        <v/>
      </c>
      <c r="E234" s="57">
        <f>IF(OR($A234="",E$24=""),"",IF(COUNTIFS('AFA Rates'!$A$5:$A$1004,$A234,'AFA Rates'!$B$5:$B$1004,E$24)&gt;0,"✓",""))</f>
        <v/>
      </c>
      <c r="F234" s="57">
        <f>IF(OR($A234="",F$24=""),"",IF(COUNTIFS('AFA Rates'!$A$5:$A$1004,$A234,'AFA Rates'!$B$5:$B$1004,F$24)&gt;0,"✓",""))</f>
        <v/>
      </c>
      <c r="G234" s="57">
        <f>IF(OR($A234="",G$24=""),"",IF(COUNTIFS('AFA Rates'!$A$5:$A$1004,$A234,'AFA Rates'!$B$5:$B$1004,G$24)&gt;0,"✓",""))</f>
        <v/>
      </c>
      <c r="H234" s="57">
        <f>IF(OR($A234="",H$24=""),"",IF(COUNTIFS('AFA Rates'!$A$5:$A$1004,$A234,'AFA Rates'!$B$5:$B$1004,H$24)&gt;0,"✓",""))</f>
        <v/>
      </c>
      <c r="I234" s="57">
        <f>IF(OR($A234="",I$24=""),"",IF(COUNTIFS('AFA Rates'!$A$5:$A$1004,$A234,'AFA Rates'!$B$5:$B$1004,I$24)&gt;0,"✓",""))</f>
        <v/>
      </c>
      <c r="J234" s="57">
        <f>IF(OR($A234="",J$24=""),"",IF(COUNTIFS('AFA Rates'!$A$5:$A$1004,$A234,'AFA Rates'!$B$5:$B$1004,J$24)&gt;0,"✓",""))</f>
        <v/>
      </c>
      <c r="K234" s="57">
        <f>IF(OR($A234="",K$24=""),"",IF(COUNTIFS('AFA Rates'!$A$5:$A$1004,$A234,'AFA Rates'!$B$5:$B$1004,K$24)&gt;0,"✓",""))</f>
        <v/>
      </c>
      <c r="L234" s="57">
        <f>IF(OR($A234="",L$24=""),"",IF(COUNTIFS('AFA Rates'!$A$5:$A$1004,$A234,'AFA Rates'!$B$5:$B$1004,L$24)&gt;0,"✓",""))</f>
        <v/>
      </c>
      <c r="M234" s="57">
        <f>IF(OR($A234="",M$24=""),"",IF(COUNTIFS('AFA Rates'!$A$5:$A$1004,$A234,'AFA Rates'!$B$5:$B$1004,M$24)&gt;0,"✓",""))</f>
        <v/>
      </c>
    </row>
    <row r="235">
      <c r="A235" s="63">
        <f>IFERROR(INDEX(Firms!$A$5:$A$1004,MATCH(211,Firms!$S$5:$S$1004,0)),"")</f>
        <v/>
      </c>
      <c r="B235" s="57">
        <f>IF($A235="","",INDEX(Firms!$B$5:$B$1004,MATCH(211,Firms!$S$5:$S$1004,0)))</f>
        <v/>
      </c>
      <c r="C235" s="57">
        <f>IF($A235="","",COUNTIF('AFA Rates'!$A$5:$A$1004,$A235))</f>
        <v/>
      </c>
      <c r="D235" s="57">
        <f>IF(OR($A235="",D$24=""),"",IF(COUNTIFS('AFA Rates'!$A$5:$A$1004,$A235,'AFA Rates'!$B$5:$B$1004,D$24)&gt;0,"✓",""))</f>
        <v/>
      </c>
      <c r="E235" s="57">
        <f>IF(OR($A235="",E$24=""),"",IF(COUNTIFS('AFA Rates'!$A$5:$A$1004,$A235,'AFA Rates'!$B$5:$B$1004,E$24)&gt;0,"✓",""))</f>
        <v/>
      </c>
      <c r="F235" s="57">
        <f>IF(OR($A235="",F$24=""),"",IF(COUNTIFS('AFA Rates'!$A$5:$A$1004,$A235,'AFA Rates'!$B$5:$B$1004,F$24)&gt;0,"✓",""))</f>
        <v/>
      </c>
      <c r="G235" s="57">
        <f>IF(OR($A235="",G$24=""),"",IF(COUNTIFS('AFA Rates'!$A$5:$A$1004,$A235,'AFA Rates'!$B$5:$B$1004,G$24)&gt;0,"✓",""))</f>
        <v/>
      </c>
      <c r="H235" s="57">
        <f>IF(OR($A235="",H$24=""),"",IF(COUNTIFS('AFA Rates'!$A$5:$A$1004,$A235,'AFA Rates'!$B$5:$B$1004,H$24)&gt;0,"✓",""))</f>
        <v/>
      </c>
      <c r="I235" s="57">
        <f>IF(OR($A235="",I$24=""),"",IF(COUNTIFS('AFA Rates'!$A$5:$A$1004,$A235,'AFA Rates'!$B$5:$B$1004,I$24)&gt;0,"✓",""))</f>
        <v/>
      </c>
      <c r="J235" s="57">
        <f>IF(OR($A235="",J$24=""),"",IF(COUNTIFS('AFA Rates'!$A$5:$A$1004,$A235,'AFA Rates'!$B$5:$B$1004,J$24)&gt;0,"✓",""))</f>
        <v/>
      </c>
      <c r="K235" s="57">
        <f>IF(OR($A235="",K$24=""),"",IF(COUNTIFS('AFA Rates'!$A$5:$A$1004,$A235,'AFA Rates'!$B$5:$B$1004,K$24)&gt;0,"✓",""))</f>
        <v/>
      </c>
      <c r="L235" s="57">
        <f>IF(OR($A235="",L$24=""),"",IF(COUNTIFS('AFA Rates'!$A$5:$A$1004,$A235,'AFA Rates'!$B$5:$B$1004,L$24)&gt;0,"✓",""))</f>
        <v/>
      </c>
      <c r="M235" s="57">
        <f>IF(OR($A235="",M$24=""),"",IF(COUNTIFS('AFA Rates'!$A$5:$A$1004,$A235,'AFA Rates'!$B$5:$B$1004,M$24)&gt;0,"✓",""))</f>
        <v/>
      </c>
    </row>
    <row r="236">
      <c r="A236" s="63">
        <f>IFERROR(INDEX(Firms!$A$5:$A$1004,MATCH(212,Firms!$S$5:$S$1004,0)),"")</f>
        <v/>
      </c>
      <c r="B236" s="57">
        <f>IF($A236="","",INDEX(Firms!$B$5:$B$1004,MATCH(212,Firms!$S$5:$S$1004,0)))</f>
        <v/>
      </c>
      <c r="C236" s="57">
        <f>IF($A236="","",COUNTIF('AFA Rates'!$A$5:$A$1004,$A236))</f>
        <v/>
      </c>
      <c r="D236" s="57">
        <f>IF(OR($A236="",D$24=""),"",IF(COUNTIFS('AFA Rates'!$A$5:$A$1004,$A236,'AFA Rates'!$B$5:$B$1004,D$24)&gt;0,"✓",""))</f>
        <v/>
      </c>
      <c r="E236" s="57">
        <f>IF(OR($A236="",E$24=""),"",IF(COUNTIFS('AFA Rates'!$A$5:$A$1004,$A236,'AFA Rates'!$B$5:$B$1004,E$24)&gt;0,"✓",""))</f>
        <v/>
      </c>
      <c r="F236" s="57">
        <f>IF(OR($A236="",F$24=""),"",IF(COUNTIFS('AFA Rates'!$A$5:$A$1004,$A236,'AFA Rates'!$B$5:$B$1004,F$24)&gt;0,"✓",""))</f>
        <v/>
      </c>
      <c r="G236" s="57">
        <f>IF(OR($A236="",G$24=""),"",IF(COUNTIFS('AFA Rates'!$A$5:$A$1004,$A236,'AFA Rates'!$B$5:$B$1004,G$24)&gt;0,"✓",""))</f>
        <v/>
      </c>
      <c r="H236" s="57">
        <f>IF(OR($A236="",H$24=""),"",IF(COUNTIFS('AFA Rates'!$A$5:$A$1004,$A236,'AFA Rates'!$B$5:$B$1004,H$24)&gt;0,"✓",""))</f>
        <v/>
      </c>
      <c r="I236" s="57">
        <f>IF(OR($A236="",I$24=""),"",IF(COUNTIFS('AFA Rates'!$A$5:$A$1004,$A236,'AFA Rates'!$B$5:$B$1004,I$24)&gt;0,"✓",""))</f>
        <v/>
      </c>
      <c r="J236" s="57">
        <f>IF(OR($A236="",J$24=""),"",IF(COUNTIFS('AFA Rates'!$A$5:$A$1004,$A236,'AFA Rates'!$B$5:$B$1004,J$24)&gt;0,"✓",""))</f>
        <v/>
      </c>
      <c r="K236" s="57">
        <f>IF(OR($A236="",K$24=""),"",IF(COUNTIFS('AFA Rates'!$A$5:$A$1004,$A236,'AFA Rates'!$B$5:$B$1004,K$24)&gt;0,"✓",""))</f>
        <v/>
      </c>
      <c r="L236" s="57">
        <f>IF(OR($A236="",L$24=""),"",IF(COUNTIFS('AFA Rates'!$A$5:$A$1004,$A236,'AFA Rates'!$B$5:$B$1004,L$24)&gt;0,"✓",""))</f>
        <v/>
      </c>
      <c r="M236" s="57">
        <f>IF(OR($A236="",M$24=""),"",IF(COUNTIFS('AFA Rates'!$A$5:$A$1004,$A236,'AFA Rates'!$B$5:$B$1004,M$24)&gt;0,"✓",""))</f>
        <v/>
      </c>
    </row>
    <row r="237">
      <c r="A237" s="63">
        <f>IFERROR(INDEX(Firms!$A$5:$A$1004,MATCH(213,Firms!$S$5:$S$1004,0)),"")</f>
        <v/>
      </c>
      <c r="B237" s="57">
        <f>IF($A237="","",INDEX(Firms!$B$5:$B$1004,MATCH(213,Firms!$S$5:$S$1004,0)))</f>
        <v/>
      </c>
      <c r="C237" s="57">
        <f>IF($A237="","",COUNTIF('AFA Rates'!$A$5:$A$1004,$A237))</f>
        <v/>
      </c>
      <c r="D237" s="57">
        <f>IF(OR($A237="",D$24=""),"",IF(COUNTIFS('AFA Rates'!$A$5:$A$1004,$A237,'AFA Rates'!$B$5:$B$1004,D$24)&gt;0,"✓",""))</f>
        <v/>
      </c>
      <c r="E237" s="57">
        <f>IF(OR($A237="",E$24=""),"",IF(COUNTIFS('AFA Rates'!$A$5:$A$1004,$A237,'AFA Rates'!$B$5:$B$1004,E$24)&gt;0,"✓",""))</f>
        <v/>
      </c>
      <c r="F237" s="57">
        <f>IF(OR($A237="",F$24=""),"",IF(COUNTIFS('AFA Rates'!$A$5:$A$1004,$A237,'AFA Rates'!$B$5:$B$1004,F$24)&gt;0,"✓",""))</f>
        <v/>
      </c>
      <c r="G237" s="57">
        <f>IF(OR($A237="",G$24=""),"",IF(COUNTIFS('AFA Rates'!$A$5:$A$1004,$A237,'AFA Rates'!$B$5:$B$1004,G$24)&gt;0,"✓",""))</f>
        <v/>
      </c>
      <c r="H237" s="57">
        <f>IF(OR($A237="",H$24=""),"",IF(COUNTIFS('AFA Rates'!$A$5:$A$1004,$A237,'AFA Rates'!$B$5:$B$1004,H$24)&gt;0,"✓",""))</f>
        <v/>
      </c>
      <c r="I237" s="57">
        <f>IF(OR($A237="",I$24=""),"",IF(COUNTIFS('AFA Rates'!$A$5:$A$1004,$A237,'AFA Rates'!$B$5:$B$1004,I$24)&gt;0,"✓",""))</f>
        <v/>
      </c>
      <c r="J237" s="57">
        <f>IF(OR($A237="",J$24=""),"",IF(COUNTIFS('AFA Rates'!$A$5:$A$1004,$A237,'AFA Rates'!$B$5:$B$1004,J$24)&gt;0,"✓",""))</f>
        <v/>
      </c>
      <c r="K237" s="57">
        <f>IF(OR($A237="",K$24=""),"",IF(COUNTIFS('AFA Rates'!$A$5:$A$1004,$A237,'AFA Rates'!$B$5:$B$1004,K$24)&gt;0,"✓",""))</f>
        <v/>
      </c>
      <c r="L237" s="57">
        <f>IF(OR($A237="",L$24=""),"",IF(COUNTIFS('AFA Rates'!$A$5:$A$1004,$A237,'AFA Rates'!$B$5:$B$1004,L$24)&gt;0,"✓",""))</f>
        <v/>
      </c>
      <c r="M237" s="57">
        <f>IF(OR($A237="",M$24=""),"",IF(COUNTIFS('AFA Rates'!$A$5:$A$1004,$A237,'AFA Rates'!$B$5:$B$1004,M$24)&gt;0,"✓",""))</f>
        <v/>
      </c>
    </row>
    <row r="238">
      <c r="A238" s="63">
        <f>IFERROR(INDEX(Firms!$A$5:$A$1004,MATCH(214,Firms!$S$5:$S$1004,0)),"")</f>
        <v/>
      </c>
      <c r="B238" s="57">
        <f>IF($A238="","",INDEX(Firms!$B$5:$B$1004,MATCH(214,Firms!$S$5:$S$1004,0)))</f>
        <v/>
      </c>
      <c r="C238" s="57">
        <f>IF($A238="","",COUNTIF('AFA Rates'!$A$5:$A$1004,$A238))</f>
        <v/>
      </c>
      <c r="D238" s="57">
        <f>IF(OR($A238="",D$24=""),"",IF(COUNTIFS('AFA Rates'!$A$5:$A$1004,$A238,'AFA Rates'!$B$5:$B$1004,D$24)&gt;0,"✓",""))</f>
        <v/>
      </c>
      <c r="E238" s="57">
        <f>IF(OR($A238="",E$24=""),"",IF(COUNTIFS('AFA Rates'!$A$5:$A$1004,$A238,'AFA Rates'!$B$5:$B$1004,E$24)&gt;0,"✓",""))</f>
        <v/>
      </c>
      <c r="F238" s="57">
        <f>IF(OR($A238="",F$24=""),"",IF(COUNTIFS('AFA Rates'!$A$5:$A$1004,$A238,'AFA Rates'!$B$5:$B$1004,F$24)&gt;0,"✓",""))</f>
        <v/>
      </c>
      <c r="G238" s="57">
        <f>IF(OR($A238="",G$24=""),"",IF(COUNTIFS('AFA Rates'!$A$5:$A$1004,$A238,'AFA Rates'!$B$5:$B$1004,G$24)&gt;0,"✓",""))</f>
        <v/>
      </c>
      <c r="H238" s="57">
        <f>IF(OR($A238="",H$24=""),"",IF(COUNTIFS('AFA Rates'!$A$5:$A$1004,$A238,'AFA Rates'!$B$5:$B$1004,H$24)&gt;0,"✓",""))</f>
        <v/>
      </c>
      <c r="I238" s="57">
        <f>IF(OR($A238="",I$24=""),"",IF(COUNTIFS('AFA Rates'!$A$5:$A$1004,$A238,'AFA Rates'!$B$5:$B$1004,I$24)&gt;0,"✓",""))</f>
        <v/>
      </c>
      <c r="J238" s="57">
        <f>IF(OR($A238="",J$24=""),"",IF(COUNTIFS('AFA Rates'!$A$5:$A$1004,$A238,'AFA Rates'!$B$5:$B$1004,J$24)&gt;0,"✓",""))</f>
        <v/>
      </c>
      <c r="K238" s="57">
        <f>IF(OR($A238="",K$24=""),"",IF(COUNTIFS('AFA Rates'!$A$5:$A$1004,$A238,'AFA Rates'!$B$5:$B$1004,K$24)&gt;0,"✓",""))</f>
        <v/>
      </c>
      <c r="L238" s="57">
        <f>IF(OR($A238="",L$24=""),"",IF(COUNTIFS('AFA Rates'!$A$5:$A$1004,$A238,'AFA Rates'!$B$5:$B$1004,L$24)&gt;0,"✓",""))</f>
        <v/>
      </c>
      <c r="M238" s="57">
        <f>IF(OR($A238="",M$24=""),"",IF(COUNTIFS('AFA Rates'!$A$5:$A$1004,$A238,'AFA Rates'!$B$5:$B$1004,M$24)&gt;0,"✓",""))</f>
        <v/>
      </c>
    </row>
    <row r="239">
      <c r="A239" s="63">
        <f>IFERROR(INDEX(Firms!$A$5:$A$1004,MATCH(215,Firms!$S$5:$S$1004,0)),"")</f>
        <v/>
      </c>
      <c r="B239" s="57">
        <f>IF($A239="","",INDEX(Firms!$B$5:$B$1004,MATCH(215,Firms!$S$5:$S$1004,0)))</f>
        <v/>
      </c>
      <c r="C239" s="57">
        <f>IF($A239="","",COUNTIF('AFA Rates'!$A$5:$A$1004,$A239))</f>
        <v/>
      </c>
      <c r="D239" s="57">
        <f>IF(OR($A239="",D$24=""),"",IF(COUNTIFS('AFA Rates'!$A$5:$A$1004,$A239,'AFA Rates'!$B$5:$B$1004,D$24)&gt;0,"✓",""))</f>
        <v/>
      </c>
      <c r="E239" s="57">
        <f>IF(OR($A239="",E$24=""),"",IF(COUNTIFS('AFA Rates'!$A$5:$A$1004,$A239,'AFA Rates'!$B$5:$B$1004,E$24)&gt;0,"✓",""))</f>
        <v/>
      </c>
      <c r="F239" s="57">
        <f>IF(OR($A239="",F$24=""),"",IF(COUNTIFS('AFA Rates'!$A$5:$A$1004,$A239,'AFA Rates'!$B$5:$B$1004,F$24)&gt;0,"✓",""))</f>
        <v/>
      </c>
      <c r="G239" s="57">
        <f>IF(OR($A239="",G$24=""),"",IF(COUNTIFS('AFA Rates'!$A$5:$A$1004,$A239,'AFA Rates'!$B$5:$B$1004,G$24)&gt;0,"✓",""))</f>
        <v/>
      </c>
      <c r="H239" s="57">
        <f>IF(OR($A239="",H$24=""),"",IF(COUNTIFS('AFA Rates'!$A$5:$A$1004,$A239,'AFA Rates'!$B$5:$B$1004,H$24)&gt;0,"✓",""))</f>
        <v/>
      </c>
      <c r="I239" s="57">
        <f>IF(OR($A239="",I$24=""),"",IF(COUNTIFS('AFA Rates'!$A$5:$A$1004,$A239,'AFA Rates'!$B$5:$B$1004,I$24)&gt;0,"✓",""))</f>
        <v/>
      </c>
      <c r="J239" s="57">
        <f>IF(OR($A239="",J$24=""),"",IF(COUNTIFS('AFA Rates'!$A$5:$A$1004,$A239,'AFA Rates'!$B$5:$B$1004,J$24)&gt;0,"✓",""))</f>
        <v/>
      </c>
      <c r="K239" s="57">
        <f>IF(OR($A239="",K$24=""),"",IF(COUNTIFS('AFA Rates'!$A$5:$A$1004,$A239,'AFA Rates'!$B$5:$B$1004,K$24)&gt;0,"✓",""))</f>
        <v/>
      </c>
      <c r="L239" s="57">
        <f>IF(OR($A239="",L$24=""),"",IF(COUNTIFS('AFA Rates'!$A$5:$A$1004,$A239,'AFA Rates'!$B$5:$B$1004,L$24)&gt;0,"✓",""))</f>
        <v/>
      </c>
      <c r="M239" s="57">
        <f>IF(OR($A239="",M$24=""),"",IF(COUNTIFS('AFA Rates'!$A$5:$A$1004,$A239,'AFA Rates'!$B$5:$B$1004,M$24)&gt;0,"✓",""))</f>
        <v/>
      </c>
    </row>
    <row r="240">
      <c r="A240" s="63">
        <f>IFERROR(INDEX(Firms!$A$5:$A$1004,MATCH(216,Firms!$S$5:$S$1004,0)),"")</f>
        <v/>
      </c>
      <c r="B240" s="57">
        <f>IF($A240="","",INDEX(Firms!$B$5:$B$1004,MATCH(216,Firms!$S$5:$S$1004,0)))</f>
        <v/>
      </c>
      <c r="C240" s="57">
        <f>IF($A240="","",COUNTIF('AFA Rates'!$A$5:$A$1004,$A240))</f>
        <v/>
      </c>
      <c r="D240" s="57">
        <f>IF(OR($A240="",D$24=""),"",IF(COUNTIFS('AFA Rates'!$A$5:$A$1004,$A240,'AFA Rates'!$B$5:$B$1004,D$24)&gt;0,"✓",""))</f>
        <v/>
      </c>
      <c r="E240" s="57">
        <f>IF(OR($A240="",E$24=""),"",IF(COUNTIFS('AFA Rates'!$A$5:$A$1004,$A240,'AFA Rates'!$B$5:$B$1004,E$24)&gt;0,"✓",""))</f>
        <v/>
      </c>
      <c r="F240" s="57">
        <f>IF(OR($A240="",F$24=""),"",IF(COUNTIFS('AFA Rates'!$A$5:$A$1004,$A240,'AFA Rates'!$B$5:$B$1004,F$24)&gt;0,"✓",""))</f>
        <v/>
      </c>
      <c r="G240" s="57">
        <f>IF(OR($A240="",G$24=""),"",IF(COUNTIFS('AFA Rates'!$A$5:$A$1004,$A240,'AFA Rates'!$B$5:$B$1004,G$24)&gt;0,"✓",""))</f>
        <v/>
      </c>
      <c r="H240" s="57">
        <f>IF(OR($A240="",H$24=""),"",IF(COUNTIFS('AFA Rates'!$A$5:$A$1004,$A240,'AFA Rates'!$B$5:$B$1004,H$24)&gt;0,"✓",""))</f>
        <v/>
      </c>
      <c r="I240" s="57">
        <f>IF(OR($A240="",I$24=""),"",IF(COUNTIFS('AFA Rates'!$A$5:$A$1004,$A240,'AFA Rates'!$B$5:$B$1004,I$24)&gt;0,"✓",""))</f>
        <v/>
      </c>
      <c r="J240" s="57">
        <f>IF(OR($A240="",J$24=""),"",IF(COUNTIFS('AFA Rates'!$A$5:$A$1004,$A240,'AFA Rates'!$B$5:$B$1004,J$24)&gt;0,"✓",""))</f>
        <v/>
      </c>
      <c r="K240" s="57">
        <f>IF(OR($A240="",K$24=""),"",IF(COUNTIFS('AFA Rates'!$A$5:$A$1004,$A240,'AFA Rates'!$B$5:$B$1004,K$24)&gt;0,"✓",""))</f>
        <v/>
      </c>
      <c r="L240" s="57">
        <f>IF(OR($A240="",L$24=""),"",IF(COUNTIFS('AFA Rates'!$A$5:$A$1004,$A240,'AFA Rates'!$B$5:$B$1004,L$24)&gt;0,"✓",""))</f>
        <v/>
      </c>
      <c r="M240" s="57">
        <f>IF(OR($A240="",M$24=""),"",IF(COUNTIFS('AFA Rates'!$A$5:$A$1004,$A240,'AFA Rates'!$B$5:$B$1004,M$24)&gt;0,"✓",""))</f>
        <v/>
      </c>
    </row>
    <row r="241">
      <c r="A241" s="63">
        <f>IFERROR(INDEX(Firms!$A$5:$A$1004,MATCH(217,Firms!$S$5:$S$1004,0)),"")</f>
        <v/>
      </c>
      <c r="B241" s="57">
        <f>IF($A241="","",INDEX(Firms!$B$5:$B$1004,MATCH(217,Firms!$S$5:$S$1004,0)))</f>
        <v/>
      </c>
      <c r="C241" s="57">
        <f>IF($A241="","",COUNTIF('AFA Rates'!$A$5:$A$1004,$A241))</f>
        <v/>
      </c>
      <c r="D241" s="57">
        <f>IF(OR($A241="",D$24=""),"",IF(COUNTIFS('AFA Rates'!$A$5:$A$1004,$A241,'AFA Rates'!$B$5:$B$1004,D$24)&gt;0,"✓",""))</f>
        <v/>
      </c>
      <c r="E241" s="57">
        <f>IF(OR($A241="",E$24=""),"",IF(COUNTIFS('AFA Rates'!$A$5:$A$1004,$A241,'AFA Rates'!$B$5:$B$1004,E$24)&gt;0,"✓",""))</f>
        <v/>
      </c>
      <c r="F241" s="57">
        <f>IF(OR($A241="",F$24=""),"",IF(COUNTIFS('AFA Rates'!$A$5:$A$1004,$A241,'AFA Rates'!$B$5:$B$1004,F$24)&gt;0,"✓",""))</f>
        <v/>
      </c>
      <c r="G241" s="57">
        <f>IF(OR($A241="",G$24=""),"",IF(COUNTIFS('AFA Rates'!$A$5:$A$1004,$A241,'AFA Rates'!$B$5:$B$1004,G$24)&gt;0,"✓",""))</f>
        <v/>
      </c>
      <c r="H241" s="57">
        <f>IF(OR($A241="",H$24=""),"",IF(COUNTIFS('AFA Rates'!$A$5:$A$1004,$A241,'AFA Rates'!$B$5:$B$1004,H$24)&gt;0,"✓",""))</f>
        <v/>
      </c>
      <c r="I241" s="57">
        <f>IF(OR($A241="",I$24=""),"",IF(COUNTIFS('AFA Rates'!$A$5:$A$1004,$A241,'AFA Rates'!$B$5:$B$1004,I$24)&gt;0,"✓",""))</f>
        <v/>
      </c>
      <c r="J241" s="57">
        <f>IF(OR($A241="",J$24=""),"",IF(COUNTIFS('AFA Rates'!$A$5:$A$1004,$A241,'AFA Rates'!$B$5:$B$1004,J$24)&gt;0,"✓",""))</f>
        <v/>
      </c>
      <c r="K241" s="57">
        <f>IF(OR($A241="",K$24=""),"",IF(COUNTIFS('AFA Rates'!$A$5:$A$1004,$A241,'AFA Rates'!$B$5:$B$1004,K$24)&gt;0,"✓",""))</f>
        <v/>
      </c>
      <c r="L241" s="57">
        <f>IF(OR($A241="",L$24=""),"",IF(COUNTIFS('AFA Rates'!$A$5:$A$1004,$A241,'AFA Rates'!$B$5:$B$1004,L$24)&gt;0,"✓",""))</f>
        <v/>
      </c>
      <c r="M241" s="57">
        <f>IF(OR($A241="",M$24=""),"",IF(COUNTIFS('AFA Rates'!$A$5:$A$1004,$A241,'AFA Rates'!$B$5:$B$1004,M$24)&gt;0,"✓",""))</f>
        <v/>
      </c>
    </row>
    <row r="242">
      <c r="A242" s="63">
        <f>IFERROR(INDEX(Firms!$A$5:$A$1004,MATCH(218,Firms!$S$5:$S$1004,0)),"")</f>
        <v/>
      </c>
      <c r="B242" s="57">
        <f>IF($A242="","",INDEX(Firms!$B$5:$B$1004,MATCH(218,Firms!$S$5:$S$1004,0)))</f>
        <v/>
      </c>
      <c r="C242" s="57">
        <f>IF($A242="","",COUNTIF('AFA Rates'!$A$5:$A$1004,$A242))</f>
        <v/>
      </c>
      <c r="D242" s="57">
        <f>IF(OR($A242="",D$24=""),"",IF(COUNTIFS('AFA Rates'!$A$5:$A$1004,$A242,'AFA Rates'!$B$5:$B$1004,D$24)&gt;0,"✓",""))</f>
        <v/>
      </c>
      <c r="E242" s="57">
        <f>IF(OR($A242="",E$24=""),"",IF(COUNTIFS('AFA Rates'!$A$5:$A$1004,$A242,'AFA Rates'!$B$5:$B$1004,E$24)&gt;0,"✓",""))</f>
        <v/>
      </c>
      <c r="F242" s="57">
        <f>IF(OR($A242="",F$24=""),"",IF(COUNTIFS('AFA Rates'!$A$5:$A$1004,$A242,'AFA Rates'!$B$5:$B$1004,F$24)&gt;0,"✓",""))</f>
        <v/>
      </c>
      <c r="G242" s="57">
        <f>IF(OR($A242="",G$24=""),"",IF(COUNTIFS('AFA Rates'!$A$5:$A$1004,$A242,'AFA Rates'!$B$5:$B$1004,G$24)&gt;0,"✓",""))</f>
        <v/>
      </c>
      <c r="H242" s="57">
        <f>IF(OR($A242="",H$24=""),"",IF(COUNTIFS('AFA Rates'!$A$5:$A$1004,$A242,'AFA Rates'!$B$5:$B$1004,H$24)&gt;0,"✓",""))</f>
        <v/>
      </c>
      <c r="I242" s="57">
        <f>IF(OR($A242="",I$24=""),"",IF(COUNTIFS('AFA Rates'!$A$5:$A$1004,$A242,'AFA Rates'!$B$5:$B$1004,I$24)&gt;0,"✓",""))</f>
        <v/>
      </c>
      <c r="J242" s="57">
        <f>IF(OR($A242="",J$24=""),"",IF(COUNTIFS('AFA Rates'!$A$5:$A$1004,$A242,'AFA Rates'!$B$5:$B$1004,J$24)&gt;0,"✓",""))</f>
        <v/>
      </c>
      <c r="K242" s="57">
        <f>IF(OR($A242="",K$24=""),"",IF(COUNTIFS('AFA Rates'!$A$5:$A$1004,$A242,'AFA Rates'!$B$5:$B$1004,K$24)&gt;0,"✓",""))</f>
        <v/>
      </c>
      <c r="L242" s="57">
        <f>IF(OR($A242="",L$24=""),"",IF(COUNTIFS('AFA Rates'!$A$5:$A$1004,$A242,'AFA Rates'!$B$5:$B$1004,L$24)&gt;0,"✓",""))</f>
        <v/>
      </c>
      <c r="M242" s="57">
        <f>IF(OR($A242="",M$24=""),"",IF(COUNTIFS('AFA Rates'!$A$5:$A$1004,$A242,'AFA Rates'!$B$5:$B$1004,M$24)&gt;0,"✓",""))</f>
        <v/>
      </c>
    </row>
    <row r="243">
      <c r="A243" s="63">
        <f>IFERROR(INDEX(Firms!$A$5:$A$1004,MATCH(219,Firms!$S$5:$S$1004,0)),"")</f>
        <v/>
      </c>
      <c r="B243" s="57">
        <f>IF($A243="","",INDEX(Firms!$B$5:$B$1004,MATCH(219,Firms!$S$5:$S$1004,0)))</f>
        <v/>
      </c>
      <c r="C243" s="57">
        <f>IF($A243="","",COUNTIF('AFA Rates'!$A$5:$A$1004,$A243))</f>
        <v/>
      </c>
      <c r="D243" s="57">
        <f>IF(OR($A243="",D$24=""),"",IF(COUNTIFS('AFA Rates'!$A$5:$A$1004,$A243,'AFA Rates'!$B$5:$B$1004,D$24)&gt;0,"✓",""))</f>
        <v/>
      </c>
      <c r="E243" s="57">
        <f>IF(OR($A243="",E$24=""),"",IF(COUNTIFS('AFA Rates'!$A$5:$A$1004,$A243,'AFA Rates'!$B$5:$B$1004,E$24)&gt;0,"✓",""))</f>
        <v/>
      </c>
      <c r="F243" s="57">
        <f>IF(OR($A243="",F$24=""),"",IF(COUNTIFS('AFA Rates'!$A$5:$A$1004,$A243,'AFA Rates'!$B$5:$B$1004,F$24)&gt;0,"✓",""))</f>
        <v/>
      </c>
      <c r="G243" s="57">
        <f>IF(OR($A243="",G$24=""),"",IF(COUNTIFS('AFA Rates'!$A$5:$A$1004,$A243,'AFA Rates'!$B$5:$B$1004,G$24)&gt;0,"✓",""))</f>
        <v/>
      </c>
      <c r="H243" s="57">
        <f>IF(OR($A243="",H$24=""),"",IF(COUNTIFS('AFA Rates'!$A$5:$A$1004,$A243,'AFA Rates'!$B$5:$B$1004,H$24)&gt;0,"✓",""))</f>
        <v/>
      </c>
      <c r="I243" s="57">
        <f>IF(OR($A243="",I$24=""),"",IF(COUNTIFS('AFA Rates'!$A$5:$A$1004,$A243,'AFA Rates'!$B$5:$B$1004,I$24)&gt;0,"✓",""))</f>
        <v/>
      </c>
      <c r="J243" s="57">
        <f>IF(OR($A243="",J$24=""),"",IF(COUNTIFS('AFA Rates'!$A$5:$A$1004,$A243,'AFA Rates'!$B$5:$B$1004,J$24)&gt;0,"✓",""))</f>
        <v/>
      </c>
      <c r="K243" s="57">
        <f>IF(OR($A243="",K$24=""),"",IF(COUNTIFS('AFA Rates'!$A$5:$A$1004,$A243,'AFA Rates'!$B$5:$B$1004,K$24)&gt;0,"✓",""))</f>
        <v/>
      </c>
      <c r="L243" s="57">
        <f>IF(OR($A243="",L$24=""),"",IF(COUNTIFS('AFA Rates'!$A$5:$A$1004,$A243,'AFA Rates'!$B$5:$B$1004,L$24)&gt;0,"✓",""))</f>
        <v/>
      </c>
      <c r="M243" s="57">
        <f>IF(OR($A243="",M$24=""),"",IF(COUNTIFS('AFA Rates'!$A$5:$A$1004,$A243,'AFA Rates'!$B$5:$B$1004,M$24)&gt;0,"✓",""))</f>
        <v/>
      </c>
    </row>
    <row r="244">
      <c r="A244" s="63">
        <f>IFERROR(INDEX(Firms!$A$5:$A$1004,MATCH(220,Firms!$S$5:$S$1004,0)),"")</f>
        <v/>
      </c>
      <c r="B244" s="57">
        <f>IF($A244="","",INDEX(Firms!$B$5:$B$1004,MATCH(220,Firms!$S$5:$S$1004,0)))</f>
        <v/>
      </c>
      <c r="C244" s="57">
        <f>IF($A244="","",COUNTIF('AFA Rates'!$A$5:$A$1004,$A244))</f>
        <v/>
      </c>
      <c r="D244" s="57">
        <f>IF(OR($A244="",D$24=""),"",IF(COUNTIFS('AFA Rates'!$A$5:$A$1004,$A244,'AFA Rates'!$B$5:$B$1004,D$24)&gt;0,"✓",""))</f>
        <v/>
      </c>
      <c r="E244" s="57">
        <f>IF(OR($A244="",E$24=""),"",IF(COUNTIFS('AFA Rates'!$A$5:$A$1004,$A244,'AFA Rates'!$B$5:$B$1004,E$24)&gt;0,"✓",""))</f>
        <v/>
      </c>
      <c r="F244" s="57">
        <f>IF(OR($A244="",F$24=""),"",IF(COUNTIFS('AFA Rates'!$A$5:$A$1004,$A244,'AFA Rates'!$B$5:$B$1004,F$24)&gt;0,"✓",""))</f>
        <v/>
      </c>
      <c r="G244" s="57">
        <f>IF(OR($A244="",G$24=""),"",IF(COUNTIFS('AFA Rates'!$A$5:$A$1004,$A244,'AFA Rates'!$B$5:$B$1004,G$24)&gt;0,"✓",""))</f>
        <v/>
      </c>
      <c r="H244" s="57">
        <f>IF(OR($A244="",H$24=""),"",IF(COUNTIFS('AFA Rates'!$A$5:$A$1004,$A244,'AFA Rates'!$B$5:$B$1004,H$24)&gt;0,"✓",""))</f>
        <v/>
      </c>
      <c r="I244" s="57">
        <f>IF(OR($A244="",I$24=""),"",IF(COUNTIFS('AFA Rates'!$A$5:$A$1004,$A244,'AFA Rates'!$B$5:$B$1004,I$24)&gt;0,"✓",""))</f>
        <v/>
      </c>
      <c r="J244" s="57">
        <f>IF(OR($A244="",J$24=""),"",IF(COUNTIFS('AFA Rates'!$A$5:$A$1004,$A244,'AFA Rates'!$B$5:$B$1004,J$24)&gt;0,"✓",""))</f>
        <v/>
      </c>
      <c r="K244" s="57">
        <f>IF(OR($A244="",K$24=""),"",IF(COUNTIFS('AFA Rates'!$A$5:$A$1004,$A244,'AFA Rates'!$B$5:$B$1004,K$24)&gt;0,"✓",""))</f>
        <v/>
      </c>
      <c r="L244" s="57">
        <f>IF(OR($A244="",L$24=""),"",IF(COUNTIFS('AFA Rates'!$A$5:$A$1004,$A244,'AFA Rates'!$B$5:$B$1004,L$24)&gt;0,"✓",""))</f>
        <v/>
      </c>
      <c r="M244" s="57">
        <f>IF(OR($A244="",M$24=""),"",IF(COUNTIFS('AFA Rates'!$A$5:$A$1004,$A244,'AFA Rates'!$B$5:$B$1004,M$24)&gt;0,"✓",""))</f>
        <v/>
      </c>
    </row>
    <row r="245">
      <c r="A245" s="63">
        <f>IFERROR(INDEX(Firms!$A$5:$A$1004,MATCH(221,Firms!$S$5:$S$1004,0)),"")</f>
        <v/>
      </c>
      <c r="B245" s="57">
        <f>IF($A245="","",INDEX(Firms!$B$5:$B$1004,MATCH(221,Firms!$S$5:$S$1004,0)))</f>
        <v/>
      </c>
      <c r="C245" s="57">
        <f>IF($A245="","",COUNTIF('AFA Rates'!$A$5:$A$1004,$A245))</f>
        <v/>
      </c>
      <c r="D245" s="57">
        <f>IF(OR($A245="",D$24=""),"",IF(COUNTIFS('AFA Rates'!$A$5:$A$1004,$A245,'AFA Rates'!$B$5:$B$1004,D$24)&gt;0,"✓",""))</f>
        <v/>
      </c>
      <c r="E245" s="57">
        <f>IF(OR($A245="",E$24=""),"",IF(COUNTIFS('AFA Rates'!$A$5:$A$1004,$A245,'AFA Rates'!$B$5:$B$1004,E$24)&gt;0,"✓",""))</f>
        <v/>
      </c>
      <c r="F245" s="57">
        <f>IF(OR($A245="",F$24=""),"",IF(COUNTIFS('AFA Rates'!$A$5:$A$1004,$A245,'AFA Rates'!$B$5:$B$1004,F$24)&gt;0,"✓",""))</f>
        <v/>
      </c>
      <c r="G245" s="57">
        <f>IF(OR($A245="",G$24=""),"",IF(COUNTIFS('AFA Rates'!$A$5:$A$1004,$A245,'AFA Rates'!$B$5:$B$1004,G$24)&gt;0,"✓",""))</f>
        <v/>
      </c>
      <c r="H245" s="57">
        <f>IF(OR($A245="",H$24=""),"",IF(COUNTIFS('AFA Rates'!$A$5:$A$1004,$A245,'AFA Rates'!$B$5:$B$1004,H$24)&gt;0,"✓",""))</f>
        <v/>
      </c>
      <c r="I245" s="57">
        <f>IF(OR($A245="",I$24=""),"",IF(COUNTIFS('AFA Rates'!$A$5:$A$1004,$A245,'AFA Rates'!$B$5:$B$1004,I$24)&gt;0,"✓",""))</f>
        <v/>
      </c>
      <c r="J245" s="57">
        <f>IF(OR($A245="",J$24=""),"",IF(COUNTIFS('AFA Rates'!$A$5:$A$1004,$A245,'AFA Rates'!$B$5:$B$1004,J$24)&gt;0,"✓",""))</f>
        <v/>
      </c>
      <c r="K245" s="57">
        <f>IF(OR($A245="",K$24=""),"",IF(COUNTIFS('AFA Rates'!$A$5:$A$1004,$A245,'AFA Rates'!$B$5:$B$1004,K$24)&gt;0,"✓",""))</f>
        <v/>
      </c>
      <c r="L245" s="57">
        <f>IF(OR($A245="",L$24=""),"",IF(COUNTIFS('AFA Rates'!$A$5:$A$1004,$A245,'AFA Rates'!$B$5:$B$1004,L$24)&gt;0,"✓",""))</f>
        <v/>
      </c>
      <c r="M245" s="57">
        <f>IF(OR($A245="",M$24=""),"",IF(COUNTIFS('AFA Rates'!$A$5:$A$1004,$A245,'AFA Rates'!$B$5:$B$1004,M$24)&gt;0,"✓",""))</f>
        <v/>
      </c>
    </row>
    <row r="246">
      <c r="A246" s="63">
        <f>IFERROR(INDEX(Firms!$A$5:$A$1004,MATCH(222,Firms!$S$5:$S$1004,0)),"")</f>
        <v/>
      </c>
      <c r="B246" s="57">
        <f>IF($A246="","",INDEX(Firms!$B$5:$B$1004,MATCH(222,Firms!$S$5:$S$1004,0)))</f>
        <v/>
      </c>
      <c r="C246" s="57">
        <f>IF($A246="","",COUNTIF('AFA Rates'!$A$5:$A$1004,$A246))</f>
        <v/>
      </c>
      <c r="D246" s="57">
        <f>IF(OR($A246="",D$24=""),"",IF(COUNTIFS('AFA Rates'!$A$5:$A$1004,$A246,'AFA Rates'!$B$5:$B$1004,D$24)&gt;0,"✓",""))</f>
        <v/>
      </c>
      <c r="E246" s="57">
        <f>IF(OR($A246="",E$24=""),"",IF(COUNTIFS('AFA Rates'!$A$5:$A$1004,$A246,'AFA Rates'!$B$5:$B$1004,E$24)&gt;0,"✓",""))</f>
        <v/>
      </c>
      <c r="F246" s="57">
        <f>IF(OR($A246="",F$24=""),"",IF(COUNTIFS('AFA Rates'!$A$5:$A$1004,$A246,'AFA Rates'!$B$5:$B$1004,F$24)&gt;0,"✓",""))</f>
        <v/>
      </c>
      <c r="G246" s="57">
        <f>IF(OR($A246="",G$24=""),"",IF(COUNTIFS('AFA Rates'!$A$5:$A$1004,$A246,'AFA Rates'!$B$5:$B$1004,G$24)&gt;0,"✓",""))</f>
        <v/>
      </c>
      <c r="H246" s="57">
        <f>IF(OR($A246="",H$24=""),"",IF(COUNTIFS('AFA Rates'!$A$5:$A$1004,$A246,'AFA Rates'!$B$5:$B$1004,H$24)&gt;0,"✓",""))</f>
        <v/>
      </c>
      <c r="I246" s="57">
        <f>IF(OR($A246="",I$24=""),"",IF(COUNTIFS('AFA Rates'!$A$5:$A$1004,$A246,'AFA Rates'!$B$5:$B$1004,I$24)&gt;0,"✓",""))</f>
        <v/>
      </c>
      <c r="J246" s="57">
        <f>IF(OR($A246="",J$24=""),"",IF(COUNTIFS('AFA Rates'!$A$5:$A$1004,$A246,'AFA Rates'!$B$5:$B$1004,J$24)&gt;0,"✓",""))</f>
        <v/>
      </c>
      <c r="K246" s="57">
        <f>IF(OR($A246="",K$24=""),"",IF(COUNTIFS('AFA Rates'!$A$5:$A$1004,$A246,'AFA Rates'!$B$5:$B$1004,K$24)&gt;0,"✓",""))</f>
        <v/>
      </c>
      <c r="L246" s="57">
        <f>IF(OR($A246="",L$24=""),"",IF(COUNTIFS('AFA Rates'!$A$5:$A$1004,$A246,'AFA Rates'!$B$5:$B$1004,L$24)&gt;0,"✓",""))</f>
        <v/>
      </c>
      <c r="M246" s="57">
        <f>IF(OR($A246="",M$24=""),"",IF(COUNTIFS('AFA Rates'!$A$5:$A$1004,$A246,'AFA Rates'!$B$5:$B$1004,M$24)&gt;0,"✓",""))</f>
        <v/>
      </c>
    </row>
    <row r="247">
      <c r="A247" s="63">
        <f>IFERROR(INDEX(Firms!$A$5:$A$1004,MATCH(223,Firms!$S$5:$S$1004,0)),"")</f>
        <v/>
      </c>
      <c r="B247" s="57">
        <f>IF($A247="","",INDEX(Firms!$B$5:$B$1004,MATCH(223,Firms!$S$5:$S$1004,0)))</f>
        <v/>
      </c>
      <c r="C247" s="57">
        <f>IF($A247="","",COUNTIF('AFA Rates'!$A$5:$A$1004,$A247))</f>
        <v/>
      </c>
      <c r="D247" s="57">
        <f>IF(OR($A247="",D$24=""),"",IF(COUNTIFS('AFA Rates'!$A$5:$A$1004,$A247,'AFA Rates'!$B$5:$B$1004,D$24)&gt;0,"✓",""))</f>
        <v/>
      </c>
      <c r="E247" s="57">
        <f>IF(OR($A247="",E$24=""),"",IF(COUNTIFS('AFA Rates'!$A$5:$A$1004,$A247,'AFA Rates'!$B$5:$B$1004,E$24)&gt;0,"✓",""))</f>
        <v/>
      </c>
      <c r="F247" s="57">
        <f>IF(OR($A247="",F$24=""),"",IF(COUNTIFS('AFA Rates'!$A$5:$A$1004,$A247,'AFA Rates'!$B$5:$B$1004,F$24)&gt;0,"✓",""))</f>
        <v/>
      </c>
      <c r="G247" s="57">
        <f>IF(OR($A247="",G$24=""),"",IF(COUNTIFS('AFA Rates'!$A$5:$A$1004,$A247,'AFA Rates'!$B$5:$B$1004,G$24)&gt;0,"✓",""))</f>
        <v/>
      </c>
      <c r="H247" s="57">
        <f>IF(OR($A247="",H$24=""),"",IF(COUNTIFS('AFA Rates'!$A$5:$A$1004,$A247,'AFA Rates'!$B$5:$B$1004,H$24)&gt;0,"✓",""))</f>
        <v/>
      </c>
      <c r="I247" s="57">
        <f>IF(OR($A247="",I$24=""),"",IF(COUNTIFS('AFA Rates'!$A$5:$A$1004,$A247,'AFA Rates'!$B$5:$B$1004,I$24)&gt;0,"✓",""))</f>
        <v/>
      </c>
      <c r="J247" s="57">
        <f>IF(OR($A247="",J$24=""),"",IF(COUNTIFS('AFA Rates'!$A$5:$A$1004,$A247,'AFA Rates'!$B$5:$B$1004,J$24)&gt;0,"✓",""))</f>
        <v/>
      </c>
      <c r="K247" s="57">
        <f>IF(OR($A247="",K$24=""),"",IF(COUNTIFS('AFA Rates'!$A$5:$A$1004,$A247,'AFA Rates'!$B$5:$B$1004,K$24)&gt;0,"✓",""))</f>
        <v/>
      </c>
      <c r="L247" s="57">
        <f>IF(OR($A247="",L$24=""),"",IF(COUNTIFS('AFA Rates'!$A$5:$A$1004,$A247,'AFA Rates'!$B$5:$B$1004,L$24)&gt;0,"✓",""))</f>
        <v/>
      </c>
      <c r="M247" s="57">
        <f>IF(OR($A247="",M$24=""),"",IF(COUNTIFS('AFA Rates'!$A$5:$A$1004,$A247,'AFA Rates'!$B$5:$B$1004,M$24)&gt;0,"✓",""))</f>
        <v/>
      </c>
    </row>
    <row r="248">
      <c r="A248" s="63">
        <f>IFERROR(INDEX(Firms!$A$5:$A$1004,MATCH(224,Firms!$S$5:$S$1004,0)),"")</f>
        <v/>
      </c>
      <c r="B248" s="57">
        <f>IF($A248="","",INDEX(Firms!$B$5:$B$1004,MATCH(224,Firms!$S$5:$S$1004,0)))</f>
        <v/>
      </c>
      <c r="C248" s="57">
        <f>IF($A248="","",COUNTIF('AFA Rates'!$A$5:$A$1004,$A248))</f>
        <v/>
      </c>
      <c r="D248" s="57">
        <f>IF(OR($A248="",D$24=""),"",IF(COUNTIFS('AFA Rates'!$A$5:$A$1004,$A248,'AFA Rates'!$B$5:$B$1004,D$24)&gt;0,"✓",""))</f>
        <v/>
      </c>
      <c r="E248" s="57">
        <f>IF(OR($A248="",E$24=""),"",IF(COUNTIFS('AFA Rates'!$A$5:$A$1004,$A248,'AFA Rates'!$B$5:$B$1004,E$24)&gt;0,"✓",""))</f>
        <v/>
      </c>
      <c r="F248" s="57">
        <f>IF(OR($A248="",F$24=""),"",IF(COUNTIFS('AFA Rates'!$A$5:$A$1004,$A248,'AFA Rates'!$B$5:$B$1004,F$24)&gt;0,"✓",""))</f>
        <v/>
      </c>
      <c r="G248" s="57">
        <f>IF(OR($A248="",G$24=""),"",IF(COUNTIFS('AFA Rates'!$A$5:$A$1004,$A248,'AFA Rates'!$B$5:$B$1004,G$24)&gt;0,"✓",""))</f>
        <v/>
      </c>
      <c r="H248" s="57">
        <f>IF(OR($A248="",H$24=""),"",IF(COUNTIFS('AFA Rates'!$A$5:$A$1004,$A248,'AFA Rates'!$B$5:$B$1004,H$24)&gt;0,"✓",""))</f>
        <v/>
      </c>
      <c r="I248" s="57">
        <f>IF(OR($A248="",I$24=""),"",IF(COUNTIFS('AFA Rates'!$A$5:$A$1004,$A248,'AFA Rates'!$B$5:$B$1004,I$24)&gt;0,"✓",""))</f>
        <v/>
      </c>
      <c r="J248" s="57">
        <f>IF(OR($A248="",J$24=""),"",IF(COUNTIFS('AFA Rates'!$A$5:$A$1004,$A248,'AFA Rates'!$B$5:$B$1004,J$24)&gt;0,"✓",""))</f>
        <v/>
      </c>
      <c r="K248" s="57">
        <f>IF(OR($A248="",K$24=""),"",IF(COUNTIFS('AFA Rates'!$A$5:$A$1004,$A248,'AFA Rates'!$B$5:$B$1004,K$24)&gt;0,"✓",""))</f>
        <v/>
      </c>
      <c r="L248" s="57">
        <f>IF(OR($A248="",L$24=""),"",IF(COUNTIFS('AFA Rates'!$A$5:$A$1004,$A248,'AFA Rates'!$B$5:$B$1004,L$24)&gt;0,"✓",""))</f>
        <v/>
      </c>
      <c r="M248" s="57">
        <f>IF(OR($A248="",M$24=""),"",IF(COUNTIFS('AFA Rates'!$A$5:$A$1004,$A248,'AFA Rates'!$B$5:$B$1004,M$24)&gt;0,"✓",""))</f>
        <v/>
      </c>
    </row>
    <row r="249">
      <c r="A249" s="63">
        <f>IFERROR(INDEX(Firms!$A$5:$A$1004,MATCH(225,Firms!$S$5:$S$1004,0)),"")</f>
        <v/>
      </c>
      <c r="B249" s="57">
        <f>IF($A249="","",INDEX(Firms!$B$5:$B$1004,MATCH(225,Firms!$S$5:$S$1004,0)))</f>
        <v/>
      </c>
      <c r="C249" s="57">
        <f>IF($A249="","",COUNTIF('AFA Rates'!$A$5:$A$1004,$A249))</f>
        <v/>
      </c>
      <c r="D249" s="57">
        <f>IF(OR($A249="",D$24=""),"",IF(COUNTIFS('AFA Rates'!$A$5:$A$1004,$A249,'AFA Rates'!$B$5:$B$1004,D$24)&gt;0,"✓",""))</f>
        <v/>
      </c>
      <c r="E249" s="57">
        <f>IF(OR($A249="",E$24=""),"",IF(COUNTIFS('AFA Rates'!$A$5:$A$1004,$A249,'AFA Rates'!$B$5:$B$1004,E$24)&gt;0,"✓",""))</f>
        <v/>
      </c>
      <c r="F249" s="57">
        <f>IF(OR($A249="",F$24=""),"",IF(COUNTIFS('AFA Rates'!$A$5:$A$1004,$A249,'AFA Rates'!$B$5:$B$1004,F$24)&gt;0,"✓",""))</f>
        <v/>
      </c>
      <c r="G249" s="57">
        <f>IF(OR($A249="",G$24=""),"",IF(COUNTIFS('AFA Rates'!$A$5:$A$1004,$A249,'AFA Rates'!$B$5:$B$1004,G$24)&gt;0,"✓",""))</f>
        <v/>
      </c>
      <c r="H249" s="57">
        <f>IF(OR($A249="",H$24=""),"",IF(COUNTIFS('AFA Rates'!$A$5:$A$1004,$A249,'AFA Rates'!$B$5:$B$1004,H$24)&gt;0,"✓",""))</f>
        <v/>
      </c>
      <c r="I249" s="57">
        <f>IF(OR($A249="",I$24=""),"",IF(COUNTIFS('AFA Rates'!$A$5:$A$1004,$A249,'AFA Rates'!$B$5:$B$1004,I$24)&gt;0,"✓",""))</f>
        <v/>
      </c>
      <c r="J249" s="57">
        <f>IF(OR($A249="",J$24=""),"",IF(COUNTIFS('AFA Rates'!$A$5:$A$1004,$A249,'AFA Rates'!$B$5:$B$1004,J$24)&gt;0,"✓",""))</f>
        <v/>
      </c>
      <c r="K249" s="57">
        <f>IF(OR($A249="",K$24=""),"",IF(COUNTIFS('AFA Rates'!$A$5:$A$1004,$A249,'AFA Rates'!$B$5:$B$1004,K$24)&gt;0,"✓",""))</f>
        <v/>
      </c>
      <c r="L249" s="57">
        <f>IF(OR($A249="",L$24=""),"",IF(COUNTIFS('AFA Rates'!$A$5:$A$1004,$A249,'AFA Rates'!$B$5:$B$1004,L$24)&gt;0,"✓",""))</f>
        <v/>
      </c>
      <c r="M249" s="57">
        <f>IF(OR($A249="",M$24=""),"",IF(COUNTIFS('AFA Rates'!$A$5:$A$1004,$A249,'AFA Rates'!$B$5:$B$1004,M$24)&gt;0,"✓",""))</f>
        <v/>
      </c>
    </row>
    <row r="250">
      <c r="A250" s="63">
        <f>IFERROR(INDEX(Firms!$A$5:$A$1004,MATCH(226,Firms!$S$5:$S$1004,0)),"")</f>
        <v/>
      </c>
      <c r="B250" s="57">
        <f>IF($A250="","",INDEX(Firms!$B$5:$B$1004,MATCH(226,Firms!$S$5:$S$1004,0)))</f>
        <v/>
      </c>
      <c r="C250" s="57">
        <f>IF($A250="","",COUNTIF('AFA Rates'!$A$5:$A$1004,$A250))</f>
        <v/>
      </c>
      <c r="D250" s="57">
        <f>IF(OR($A250="",D$24=""),"",IF(COUNTIFS('AFA Rates'!$A$5:$A$1004,$A250,'AFA Rates'!$B$5:$B$1004,D$24)&gt;0,"✓",""))</f>
        <v/>
      </c>
      <c r="E250" s="57">
        <f>IF(OR($A250="",E$24=""),"",IF(COUNTIFS('AFA Rates'!$A$5:$A$1004,$A250,'AFA Rates'!$B$5:$B$1004,E$24)&gt;0,"✓",""))</f>
        <v/>
      </c>
      <c r="F250" s="57">
        <f>IF(OR($A250="",F$24=""),"",IF(COUNTIFS('AFA Rates'!$A$5:$A$1004,$A250,'AFA Rates'!$B$5:$B$1004,F$24)&gt;0,"✓",""))</f>
        <v/>
      </c>
      <c r="G250" s="57">
        <f>IF(OR($A250="",G$24=""),"",IF(COUNTIFS('AFA Rates'!$A$5:$A$1004,$A250,'AFA Rates'!$B$5:$B$1004,G$24)&gt;0,"✓",""))</f>
        <v/>
      </c>
      <c r="H250" s="57">
        <f>IF(OR($A250="",H$24=""),"",IF(COUNTIFS('AFA Rates'!$A$5:$A$1004,$A250,'AFA Rates'!$B$5:$B$1004,H$24)&gt;0,"✓",""))</f>
        <v/>
      </c>
      <c r="I250" s="57">
        <f>IF(OR($A250="",I$24=""),"",IF(COUNTIFS('AFA Rates'!$A$5:$A$1004,$A250,'AFA Rates'!$B$5:$B$1004,I$24)&gt;0,"✓",""))</f>
        <v/>
      </c>
      <c r="J250" s="57">
        <f>IF(OR($A250="",J$24=""),"",IF(COUNTIFS('AFA Rates'!$A$5:$A$1004,$A250,'AFA Rates'!$B$5:$B$1004,J$24)&gt;0,"✓",""))</f>
        <v/>
      </c>
      <c r="K250" s="57">
        <f>IF(OR($A250="",K$24=""),"",IF(COUNTIFS('AFA Rates'!$A$5:$A$1004,$A250,'AFA Rates'!$B$5:$B$1004,K$24)&gt;0,"✓",""))</f>
        <v/>
      </c>
      <c r="L250" s="57">
        <f>IF(OR($A250="",L$24=""),"",IF(COUNTIFS('AFA Rates'!$A$5:$A$1004,$A250,'AFA Rates'!$B$5:$B$1004,L$24)&gt;0,"✓",""))</f>
        <v/>
      </c>
      <c r="M250" s="57">
        <f>IF(OR($A250="",M$24=""),"",IF(COUNTIFS('AFA Rates'!$A$5:$A$1004,$A250,'AFA Rates'!$B$5:$B$1004,M$24)&gt;0,"✓",""))</f>
        <v/>
      </c>
    </row>
    <row r="251">
      <c r="A251" s="63">
        <f>IFERROR(INDEX(Firms!$A$5:$A$1004,MATCH(227,Firms!$S$5:$S$1004,0)),"")</f>
        <v/>
      </c>
      <c r="B251" s="57">
        <f>IF($A251="","",INDEX(Firms!$B$5:$B$1004,MATCH(227,Firms!$S$5:$S$1004,0)))</f>
        <v/>
      </c>
      <c r="C251" s="57">
        <f>IF($A251="","",COUNTIF('AFA Rates'!$A$5:$A$1004,$A251))</f>
        <v/>
      </c>
      <c r="D251" s="57">
        <f>IF(OR($A251="",D$24=""),"",IF(COUNTIFS('AFA Rates'!$A$5:$A$1004,$A251,'AFA Rates'!$B$5:$B$1004,D$24)&gt;0,"✓",""))</f>
        <v/>
      </c>
      <c r="E251" s="57">
        <f>IF(OR($A251="",E$24=""),"",IF(COUNTIFS('AFA Rates'!$A$5:$A$1004,$A251,'AFA Rates'!$B$5:$B$1004,E$24)&gt;0,"✓",""))</f>
        <v/>
      </c>
      <c r="F251" s="57">
        <f>IF(OR($A251="",F$24=""),"",IF(COUNTIFS('AFA Rates'!$A$5:$A$1004,$A251,'AFA Rates'!$B$5:$B$1004,F$24)&gt;0,"✓",""))</f>
        <v/>
      </c>
      <c r="G251" s="57">
        <f>IF(OR($A251="",G$24=""),"",IF(COUNTIFS('AFA Rates'!$A$5:$A$1004,$A251,'AFA Rates'!$B$5:$B$1004,G$24)&gt;0,"✓",""))</f>
        <v/>
      </c>
      <c r="H251" s="57">
        <f>IF(OR($A251="",H$24=""),"",IF(COUNTIFS('AFA Rates'!$A$5:$A$1004,$A251,'AFA Rates'!$B$5:$B$1004,H$24)&gt;0,"✓",""))</f>
        <v/>
      </c>
      <c r="I251" s="57">
        <f>IF(OR($A251="",I$24=""),"",IF(COUNTIFS('AFA Rates'!$A$5:$A$1004,$A251,'AFA Rates'!$B$5:$B$1004,I$24)&gt;0,"✓",""))</f>
        <v/>
      </c>
      <c r="J251" s="57">
        <f>IF(OR($A251="",J$24=""),"",IF(COUNTIFS('AFA Rates'!$A$5:$A$1004,$A251,'AFA Rates'!$B$5:$B$1004,J$24)&gt;0,"✓",""))</f>
        <v/>
      </c>
      <c r="K251" s="57">
        <f>IF(OR($A251="",K$24=""),"",IF(COUNTIFS('AFA Rates'!$A$5:$A$1004,$A251,'AFA Rates'!$B$5:$B$1004,K$24)&gt;0,"✓",""))</f>
        <v/>
      </c>
      <c r="L251" s="57">
        <f>IF(OR($A251="",L$24=""),"",IF(COUNTIFS('AFA Rates'!$A$5:$A$1004,$A251,'AFA Rates'!$B$5:$B$1004,L$24)&gt;0,"✓",""))</f>
        <v/>
      </c>
      <c r="M251" s="57">
        <f>IF(OR($A251="",M$24=""),"",IF(COUNTIFS('AFA Rates'!$A$5:$A$1004,$A251,'AFA Rates'!$B$5:$B$1004,M$24)&gt;0,"✓",""))</f>
        <v/>
      </c>
    </row>
    <row r="252">
      <c r="A252" s="63">
        <f>IFERROR(INDEX(Firms!$A$5:$A$1004,MATCH(228,Firms!$S$5:$S$1004,0)),"")</f>
        <v/>
      </c>
      <c r="B252" s="57">
        <f>IF($A252="","",INDEX(Firms!$B$5:$B$1004,MATCH(228,Firms!$S$5:$S$1004,0)))</f>
        <v/>
      </c>
      <c r="C252" s="57">
        <f>IF($A252="","",COUNTIF('AFA Rates'!$A$5:$A$1004,$A252))</f>
        <v/>
      </c>
      <c r="D252" s="57">
        <f>IF(OR($A252="",D$24=""),"",IF(COUNTIFS('AFA Rates'!$A$5:$A$1004,$A252,'AFA Rates'!$B$5:$B$1004,D$24)&gt;0,"✓",""))</f>
        <v/>
      </c>
      <c r="E252" s="57">
        <f>IF(OR($A252="",E$24=""),"",IF(COUNTIFS('AFA Rates'!$A$5:$A$1004,$A252,'AFA Rates'!$B$5:$B$1004,E$24)&gt;0,"✓",""))</f>
        <v/>
      </c>
      <c r="F252" s="57">
        <f>IF(OR($A252="",F$24=""),"",IF(COUNTIFS('AFA Rates'!$A$5:$A$1004,$A252,'AFA Rates'!$B$5:$B$1004,F$24)&gt;0,"✓",""))</f>
        <v/>
      </c>
      <c r="G252" s="57">
        <f>IF(OR($A252="",G$24=""),"",IF(COUNTIFS('AFA Rates'!$A$5:$A$1004,$A252,'AFA Rates'!$B$5:$B$1004,G$24)&gt;0,"✓",""))</f>
        <v/>
      </c>
      <c r="H252" s="57">
        <f>IF(OR($A252="",H$24=""),"",IF(COUNTIFS('AFA Rates'!$A$5:$A$1004,$A252,'AFA Rates'!$B$5:$B$1004,H$24)&gt;0,"✓",""))</f>
        <v/>
      </c>
      <c r="I252" s="57">
        <f>IF(OR($A252="",I$24=""),"",IF(COUNTIFS('AFA Rates'!$A$5:$A$1004,$A252,'AFA Rates'!$B$5:$B$1004,I$24)&gt;0,"✓",""))</f>
        <v/>
      </c>
      <c r="J252" s="57">
        <f>IF(OR($A252="",J$24=""),"",IF(COUNTIFS('AFA Rates'!$A$5:$A$1004,$A252,'AFA Rates'!$B$5:$B$1004,J$24)&gt;0,"✓",""))</f>
        <v/>
      </c>
      <c r="K252" s="57">
        <f>IF(OR($A252="",K$24=""),"",IF(COUNTIFS('AFA Rates'!$A$5:$A$1004,$A252,'AFA Rates'!$B$5:$B$1004,K$24)&gt;0,"✓",""))</f>
        <v/>
      </c>
      <c r="L252" s="57">
        <f>IF(OR($A252="",L$24=""),"",IF(COUNTIFS('AFA Rates'!$A$5:$A$1004,$A252,'AFA Rates'!$B$5:$B$1004,L$24)&gt;0,"✓",""))</f>
        <v/>
      </c>
      <c r="M252" s="57">
        <f>IF(OR($A252="",M$24=""),"",IF(COUNTIFS('AFA Rates'!$A$5:$A$1004,$A252,'AFA Rates'!$B$5:$B$1004,M$24)&gt;0,"✓",""))</f>
        <v/>
      </c>
    </row>
    <row r="253">
      <c r="A253" s="63">
        <f>IFERROR(INDEX(Firms!$A$5:$A$1004,MATCH(229,Firms!$S$5:$S$1004,0)),"")</f>
        <v/>
      </c>
      <c r="B253" s="57">
        <f>IF($A253="","",INDEX(Firms!$B$5:$B$1004,MATCH(229,Firms!$S$5:$S$1004,0)))</f>
        <v/>
      </c>
      <c r="C253" s="57">
        <f>IF($A253="","",COUNTIF('AFA Rates'!$A$5:$A$1004,$A253))</f>
        <v/>
      </c>
      <c r="D253" s="57">
        <f>IF(OR($A253="",D$24=""),"",IF(COUNTIFS('AFA Rates'!$A$5:$A$1004,$A253,'AFA Rates'!$B$5:$B$1004,D$24)&gt;0,"✓",""))</f>
        <v/>
      </c>
      <c r="E253" s="57">
        <f>IF(OR($A253="",E$24=""),"",IF(COUNTIFS('AFA Rates'!$A$5:$A$1004,$A253,'AFA Rates'!$B$5:$B$1004,E$24)&gt;0,"✓",""))</f>
        <v/>
      </c>
      <c r="F253" s="57">
        <f>IF(OR($A253="",F$24=""),"",IF(COUNTIFS('AFA Rates'!$A$5:$A$1004,$A253,'AFA Rates'!$B$5:$B$1004,F$24)&gt;0,"✓",""))</f>
        <v/>
      </c>
      <c r="G253" s="57">
        <f>IF(OR($A253="",G$24=""),"",IF(COUNTIFS('AFA Rates'!$A$5:$A$1004,$A253,'AFA Rates'!$B$5:$B$1004,G$24)&gt;0,"✓",""))</f>
        <v/>
      </c>
      <c r="H253" s="57">
        <f>IF(OR($A253="",H$24=""),"",IF(COUNTIFS('AFA Rates'!$A$5:$A$1004,$A253,'AFA Rates'!$B$5:$B$1004,H$24)&gt;0,"✓",""))</f>
        <v/>
      </c>
      <c r="I253" s="57">
        <f>IF(OR($A253="",I$24=""),"",IF(COUNTIFS('AFA Rates'!$A$5:$A$1004,$A253,'AFA Rates'!$B$5:$B$1004,I$24)&gt;0,"✓",""))</f>
        <v/>
      </c>
      <c r="J253" s="57">
        <f>IF(OR($A253="",J$24=""),"",IF(COUNTIFS('AFA Rates'!$A$5:$A$1004,$A253,'AFA Rates'!$B$5:$B$1004,J$24)&gt;0,"✓",""))</f>
        <v/>
      </c>
      <c r="K253" s="57">
        <f>IF(OR($A253="",K$24=""),"",IF(COUNTIFS('AFA Rates'!$A$5:$A$1004,$A253,'AFA Rates'!$B$5:$B$1004,K$24)&gt;0,"✓",""))</f>
        <v/>
      </c>
      <c r="L253" s="57">
        <f>IF(OR($A253="",L$24=""),"",IF(COUNTIFS('AFA Rates'!$A$5:$A$1004,$A253,'AFA Rates'!$B$5:$B$1004,L$24)&gt;0,"✓",""))</f>
        <v/>
      </c>
      <c r="M253" s="57">
        <f>IF(OR($A253="",M$24=""),"",IF(COUNTIFS('AFA Rates'!$A$5:$A$1004,$A253,'AFA Rates'!$B$5:$B$1004,M$24)&gt;0,"✓",""))</f>
        <v/>
      </c>
    </row>
    <row r="254">
      <c r="A254" s="63">
        <f>IFERROR(INDEX(Firms!$A$5:$A$1004,MATCH(230,Firms!$S$5:$S$1004,0)),"")</f>
        <v/>
      </c>
      <c r="B254" s="57">
        <f>IF($A254="","",INDEX(Firms!$B$5:$B$1004,MATCH(230,Firms!$S$5:$S$1004,0)))</f>
        <v/>
      </c>
      <c r="C254" s="57">
        <f>IF($A254="","",COUNTIF('AFA Rates'!$A$5:$A$1004,$A254))</f>
        <v/>
      </c>
      <c r="D254" s="57">
        <f>IF(OR($A254="",D$24=""),"",IF(COUNTIFS('AFA Rates'!$A$5:$A$1004,$A254,'AFA Rates'!$B$5:$B$1004,D$24)&gt;0,"✓",""))</f>
        <v/>
      </c>
      <c r="E254" s="57">
        <f>IF(OR($A254="",E$24=""),"",IF(COUNTIFS('AFA Rates'!$A$5:$A$1004,$A254,'AFA Rates'!$B$5:$B$1004,E$24)&gt;0,"✓",""))</f>
        <v/>
      </c>
      <c r="F254" s="57">
        <f>IF(OR($A254="",F$24=""),"",IF(COUNTIFS('AFA Rates'!$A$5:$A$1004,$A254,'AFA Rates'!$B$5:$B$1004,F$24)&gt;0,"✓",""))</f>
        <v/>
      </c>
      <c r="G254" s="57">
        <f>IF(OR($A254="",G$24=""),"",IF(COUNTIFS('AFA Rates'!$A$5:$A$1004,$A254,'AFA Rates'!$B$5:$B$1004,G$24)&gt;0,"✓",""))</f>
        <v/>
      </c>
      <c r="H254" s="57">
        <f>IF(OR($A254="",H$24=""),"",IF(COUNTIFS('AFA Rates'!$A$5:$A$1004,$A254,'AFA Rates'!$B$5:$B$1004,H$24)&gt;0,"✓",""))</f>
        <v/>
      </c>
      <c r="I254" s="57">
        <f>IF(OR($A254="",I$24=""),"",IF(COUNTIFS('AFA Rates'!$A$5:$A$1004,$A254,'AFA Rates'!$B$5:$B$1004,I$24)&gt;0,"✓",""))</f>
        <v/>
      </c>
      <c r="J254" s="57">
        <f>IF(OR($A254="",J$24=""),"",IF(COUNTIFS('AFA Rates'!$A$5:$A$1004,$A254,'AFA Rates'!$B$5:$B$1004,J$24)&gt;0,"✓",""))</f>
        <v/>
      </c>
      <c r="K254" s="57">
        <f>IF(OR($A254="",K$24=""),"",IF(COUNTIFS('AFA Rates'!$A$5:$A$1004,$A254,'AFA Rates'!$B$5:$B$1004,K$24)&gt;0,"✓",""))</f>
        <v/>
      </c>
      <c r="L254" s="57">
        <f>IF(OR($A254="",L$24=""),"",IF(COUNTIFS('AFA Rates'!$A$5:$A$1004,$A254,'AFA Rates'!$B$5:$B$1004,L$24)&gt;0,"✓",""))</f>
        <v/>
      </c>
      <c r="M254" s="57">
        <f>IF(OR($A254="",M$24=""),"",IF(COUNTIFS('AFA Rates'!$A$5:$A$1004,$A254,'AFA Rates'!$B$5:$B$1004,M$24)&gt;0,"✓",""))</f>
        <v/>
      </c>
    </row>
    <row r="255">
      <c r="A255" s="63">
        <f>IFERROR(INDEX(Firms!$A$5:$A$1004,MATCH(231,Firms!$S$5:$S$1004,0)),"")</f>
        <v/>
      </c>
      <c r="B255" s="57">
        <f>IF($A255="","",INDEX(Firms!$B$5:$B$1004,MATCH(231,Firms!$S$5:$S$1004,0)))</f>
        <v/>
      </c>
      <c r="C255" s="57">
        <f>IF($A255="","",COUNTIF('AFA Rates'!$A$5:$A$1004,$A255))</f>
        <v/>
      </c>
      <c r="D255" s="57">
        <f>IF(OR($A255="",D$24=""),"",IF(COUNTIFS('AFA Rates'!$A$5:$A$1004,$A255,'AFA Rates'!$B$5:$B$1004,D$24)&gt;0,"✓",""))</f>
        <v/>
      </c>
      <c r="E255" s="57">
        <f>IF(OR($A255="",E$24=""),"",IF(COUNTIFS('AFA Rates'!$A$5:$A$1004,$A255,'AFA Rates'!$B$5:$B$1004,E$24)&gt;0,"✓",""))</f>
        <v/>
      </c>
      <c r="F255" s="57">
        <f>IF(OR($A255="",F$24=""),"",IF(COUNTIFS('AFA Rates'!$A$5:$A$1004,$A255,'AFA Rates'!$B$5:$B$1004,F$24)&gt;0,"✓",""))</f>
        <v/>
      </c>
      <c r="G255" s="57">
        <f>IF(OR($A255="",G$24=""),"",IF(COUNTIFS('AFA Rates'!$A$5:$A$1004,$A255,'AFA Rates'!$B$5:$B$1004,G$24)&gt;0,"✓",""))</f>
        <v/>
      </c>
      <c r="H255" s="57">
        <f>IF(OR($A255="",H$24=""),"",IF(COUNTIFS('AFA Rates'!$A$5:$A$1004,$A255,'AFA Rates'!$B$5:$B$1004,H$24)&gt;0,"✓",""))</f>
        <v/>
      </c>
      <c r="I255" s="57">
        <f>IF(OR($A255="",I$24=""),"",IF(COUNTIFS('AFA Rates'!$A$5:$A$1004,$A255,'AFA Rates'!$B$5:$B$1004,I$24)&gt;0,"✓",""))</f>
        <v/>
      </c>
      <c r="J255" s="57">
        <f>IF(OR($A255="",J$24=""),"",IF(COUNTIFS('AFA Rates'!$A$5:$A$1004,$A255,'AFA Rates'!$B$5:$B$1004,J$24)&gt;0,"✓",""))</f>
        <v/>
      </c>
      <c r="K255" s="57">
        <f>IF(OR($A255="",K$24=""),"",IF(COUNTIFS('AFA Rates'!$A$5:$A$1004,$A255,'AFA Rates'!$B$5:$B$1004,K$24)&gt;0,"✓",""))</f>
        <v/>
      </c>
      <c r="L255" s="57">
        <f>IF(OR($A255="",L$24=""),"",IF(COUNTIFS('AFA Rates'!$A$5:$A$1004,$A255,'AFA Rates'!$B$5:$B$1004,L$24)&gt;0,"✓",""))</f>
        <v/>
      </c>
      <c r="M255" s="57">
        <f>IF(OR($A255="",M$24=""),"",IF(COUNTIFS('AFA Rates'!$A$5:$A$1004,$A255,'AFA Rates'!$B$5:$B$1004,M$24)&gt;0,"✓",""))</f>
        <v/>
      </c>
    </row>
    <row r="256">
      <c r="A256" s="63">
        <f>IFERROR(INDEX(Firms!$A$5:$A$1004,MATCH(232,Firms!$S$5:$S$1004,0)),"")</f>
        <v/>
      </c>
      <c r="B256" s="57">
        <f>IF($A256="","",INDEX(Firms!$B$5:$B$1004,MATCH(232,Firms!$S$5:$S$1004,0)))</f>
        <v/>
      </c>
      <c r="C256" s="57">
        <f>IF($A256="","",COUNTIF('AFA Rates'!$A$5:$A$1004,$A256))</f>
        <v/>
      </c>
      <c r="D256" s="57">
        <f>IF(OR($A256="",D$24=""),"",IF(COUNTIFS('AFA Rates'!$A$5:$A$1004,$A256,'AFA Rates'!$B$5:$B$1004,D$24)&gt;0,"✓",""))</f>
        <v/>
      </c>
      <c r="E256" s="57">
        <f>IF(OR($A256="",E$24=""),"",IF(COUNTIFS('AFA Rates'!$A$5:$A$1004,$A256,'AFA Rates'!$B$5:$B$1004,E$24)&gt;0,"✓",""))</f>
        <v/>
      </c>
      <c r="F256" s="57">
        <f>IF(OR($A256="",F$24=""),"",IF(COUNTIFS('AFA Rates'!$A$5:$A$1004,$A256,'AFA Rates'!$B$5:$B$1004,F$24)&gt;0,"✓",""))</f>
        <v/>
      </c>
      <c r="G256" s="57">
        <f>IF(OR($A256="",G$24=""),"",IF(COUNTIFS('AFA Rates'!$A$5:$A$1004,$A256,'AFA Rates'!$B$5:$B$1004,G$24)&gt;0,"✓",""))</f>
        <v/>
      </c>
      <c r="H256" s="57">
        <f>IF(OR($A256="",H$24=""),"",IF(COUNTIFS('AFA Rates'!$A$5:$A$1004,$A256,'AFA Rates'!$B$5:$B$1004,H$24)&gt;0,"✓",""))</f>
        <v/>
      </c>
      <c r="I256" s="57">
        <f>IF(OR($A256="",I$24=""),"",IF(COUNTIFS('AFA Rates'!$A$5:$A$1004,$A256,'AFA Rates'!$B$5:$B$1004,I$24)&gt;0,"✓",""))</f>
        <v/>
      </c>
      <c r="J256" s="57">
        <f>IF(OR($A256="",J$24=""),"",IF(COUNTIFS('AFA Rates'!$A$5:$A$1004,$A256,'AFA Rates'!$B$5:$B$1004,J$24)&gt;0,"✓",""))</f>
        <v/>
      </c>
      <c r="K256" s="57">
        <f>IF(OR($A256="",K$24=""),"",IF(COUNTIFS('AFA Rates'!$A$5:$A$1004,$A256,'AFA Rates'!$B$5:$B$1004,K$24)&gt;0,"✓",""))</f>
        <v/>
      </c>
      <c r="L256" s="57">
        <f>IF(OR($A256="",L$24=""),"",IF(COUNTIFS('AFA Rates'!$A$5:$A$1004,$A256,'AFA Rates'!$B$5:$B$1004,L$24)&gt;0,"✓",""))</f>
        <v/>
      </c>
      <c r="M256" s="57">
        <f>IF(OR($A256="",M$24=""),"",IF(COUNTIFS('AFA Rates'!$A$5:$A$1004,$A256,'AFA Rates'!$B$5:$B$1004,M$24)&gt;0,"✓",""))</f>
        <v/>
      </c>
    </row>
    <row r="257">
      <c r="A257" s="63">
        <f>IFERROR(INDEX(Firms!$A$5:$A$1004,MATCH(233,Firms!$S$5:$S$1004,0)),"")</f>
        <v/>
      </c>
      <c r="B257" s="57">
        <f>IF($A257="","",INDEX(Firms!$B$5:$B$1004,MATCH(233,Firms!$S$5:$S$1004,0)))</f>
        <v/>
      </c>
      <c r="C257" s="57">
        <f>IF($A257="","",COUNTIF('AFA Rates'!$A$5:$A$1004,$A257))</f>
        <v/>
      </c>
      <c r="D257" s="57">
        <f>IF(OR($A257="",D$24=""),"",IF(COUNTIFS('AFA Rates'!$A$5:$A$1004,$A257,'AFA Rates'!$B$5:$B$1004,D$24)&gt;0,"✓",""))</f>
        <v/>
      </c>
      <c r="E257" s="57">
        <f>IF(OR($A257="",E$24=""),"",IF(COUNTIFS('AFA Rates'!$A$5:$A$1004,$A257,'AFA Rates'!$B$5:$B$1004,E$24)&gt;0,"✓",""))</f>
        <v/>
      </c>
      <c r="F257" s="57">
        <f>IF(OR($A257="",F$24=""),"",IF(COUNTIFS('AFA Rates'!$A$5:$A$1004,$A257,'AFA Rates'!$B$5:$B$1004,F$24)&gt;0,"✓",""))</f>
        <v/>
      </c>
      <c r="G257" s="57">
        <f>IF(OR($A257="",G$24=""),"",IF(COUNTIFS('AFA Rates'!$A$5:$A$1004,$A257,'AFA Rates'!$B$5:$B$1004,G$24)&gt;0,"✓",""))</f>
        <v/>
      </c>
      <c r="H257" s="57">
        <f>IF(OR($A257="",H$24=""),"",IF(COUNTIFS('AFA Rates'!$A$5:$A$1004,$A257,'AFA Rates'!$B$5:$B$1004,H$24)&gt;0,"✓",""))</f>
        <v/>
      </c>
      <c r="I257" s="57">
        <f>IF(OR($A257="",I$24=""),"",IF(COUNTIFS('AFA Rates'!$A$5:$A$1004,$A257,'AFA Rates'!$B$5:$B$1004,I$24)&gt;0,"✓",""))</f>
        <v/>
      </c>
      <c r="J257" s="57">
        <f>IF(OR($A257="",J$24=""),"",IF(COUNTIFS('AFA Rates'!$A$5:$A$1004,$A257,'AFA Rates'!$B$5:$B$1004,J$24)&gt;0,"✓",""))</f>
        <v/>
      </c>
      <c r="K257" s="57">
        <f>IF(OR($A257="",K$24=""),"",IF(COUNTIFS('AFA Rates'!$A$5:$A$1004,$A257,'AFA Rates'!$B$5:$B$1004,K$24)&gt;0,"✓",""))</f>
        <v/>
      </c>
      <c r="L257" s="57">
        <f>IF(OR($A257="",L$24=""),"",IF(COUNTIFS('AFA Rates'!$A$5:$A$1004,$A257,'AFA Rates'!$B$5:$B$1004,L$24)&gt;0,"✓",""))</f>
        <v/>
      </c>
      <c r="M257" s="57">
        <f>IF(OR($A257="",M$24=""),"",IF(COUNTIFS('AFA Rates'!$A$5:$A$1004,$A257,'AFA Rates'!$B$5:$B$1004,M$24)&gt;0,"✓",""))</f>
        <v/>
      </c>
    </row>
    <row r="258">
      <c r="A258" s="63">
        <f>IFERROR(INDEX(Firms!$A$5:$A$1004,MATCH(234,Firms!$S$5:$S$1004,0)),"")</f>
        <v/>
      </c>
      <c r="B258" s="57">
        <f>IF($A258="","",INDEX(Firms!$B$5:$B$1004,MATCH(234,Firms!$S$5:$S$1004,0)))</f>
        <v/>
      </c>
      <c r="C258" s="57">
        <f>IF($A258="","",COUNTIF('AFA Rates'!$A$5:$A$1004,$A258))</f>
        <v/>
      </c>
      <c r="D258" s="57">
        <f>IF(OR($A258="",D$24=""),"",IF(COUNTIFS('AFA Rates'!$A$5:$A$1004,$A258,'AFA Rates'!$B$5:$B$1004,D$24)&gt;0,"✓",""))</f>
        <v/>
      </c>
      <c r="E258" s="57">
        <f>IF(OR($A258="",E$24=""),"",IF(COUNTIFS('AFA Rates'!$A$5:$A$1004,$A258,'AFA Rates'!$B$5:$B$1004,E$24)&gt;0,"✓",""))</f>
        <v/>
      </c>
      <c r="F258" s="57">
        <f>IF(OR($A258="",F$24=""),"",IF(COUNTIFS('AFA Rates'!$A$5:$A$1004,$A258,'AFA Rates'!$B$5:$B$1004,F$24)&gt;0,"✓",""))</f>
        <v/>
      </c>
      <c r="G258" s="57">
        <f>IF(OR($A258="",G$24=""),"",IF(COUNTIFS('AFA Rates'!$A$5:$A$1004,$A258,'AFA Rates'!$B$5:$B$1004,G$24)&gt;0,"✓",""))</f>
        <v/>
      </c>
      <c r="H258" s="57">
        <f>IF(OR($A258="",H$24=""),"",IF(COUNTIFS('AFA Rates'!$A$5:$A$1004,$A258,'AFA Rates'!$B$5:$B$1004,H$24)&gt;0,"✓",""))</f>
        <v/>
      </c>
      <c r="I258" s="57">
        <f>IF(OR($A258="",I$24=""),"",IF(COUNTIFS('AFA Rates'!$A$5:$A$1004,$A258,'AFA Rates'!$B$5:$B$1004,I$24)&gt;0,"✓",""))</f>
        <v/>
      </c>
      <c r="J258" s="57">
        <f>IF(OR($A258="",J$24=""),"",IF(COUNTIFS('AFA Rates'!$A$5:$A$1004,$A258,'AFA Rates'!$B$5:$B$1004,J$24)&gt;0,"✓",""))</f>
        <v/>
      </c>
      <c r="K258" s="57">
        <f>IF(OR($A258="",K$24=""),"",IF(COUNTIFS('AFA Rates'!$A$5:$A$1004,$A258,'AFA Rates'!$B$5:$B$1004,K$24)&gt;0,"✓",""))</f>
        <v/>
      </c>
      <c r="L258" s="57">
        <f>IF(OR($A258="",L$24=""),"",IF(COUNTIFS('AFA Rates'!$A$5:$A$1004,$A258,'AFA Rates'!$B$5:$B$1004,L$24)&gt;0,"✓",""))</f>
        <v/>
      </c>
      <c r="M258" s="57">
        <f>IF(OR($A258="",M$24=""),"",IF(COUNTIFS('AFA Rates'!$A$5:$A$1004,$A258,'AFA Rates'!$B$5:$B$1004,M$24)&gt;0,"✓",""))</f>
        <v/>
      </c>
    </row>
    <row r="259">
      <c r="A259" s="63">
        <f>IFERROR(INDEX(Firms!$A$5:$A$1004,MATCH(235,Firms!$S$5:$S$1004,0)),"")</f>
        <v/>
      </c>
      <c r="B259" s="57">
        <f>IF($A259="","",INDEX(Firms!$B$5:$B$1004,MATCH(235,Firms!$S$5:$S$1004,0)))</f>
        <v/>
      </c>
      <c r="C259" s="57">
        <f>IF($A259="","",COUNTIF('AFA Rates'!$A$5:$A$1004,$A259))</f>
        <v/>
      </c>
      <c r="D259" s="57">
        <f>IF(OR($A259="",D$24=""),"",IF(COUNTIFS('AFA Rates'!$A$5:$A$1004,$A259,'AFA Rates'!$B$5:$B$1004,D$24)&gt;0,"✓",""))</f>
        <v/>
      </c>
      <c r="E259" s="57">
        <f>IF(OR($A259="",E$24=""),"",IF(COUNTIFS('AFA Rates'!$A$5:$A$1004,$A259,'AFA Rates'!$B$5:$B$1004,E$24)&gt;0,"✓",""))</f>
        <v/>
      </c>
      <c r="F259" s="57">
        <f>IF(OR($A259="",F$24=""),"",IF(COUNTIFS('AFA Rates'!$A$5:$A$1004,$A259,'AFA Rates'!$B$5:$B$1004,F$24)&gt;0,"✓",""))</f>
        <v/>
      </c>
      <c r="G259" s="57">
        <f>IF(OR($A259="",G$24=""),"",IF(COUNTIFS('AFA Rates'!$A$5:$A$1004,$A259,'AFA Rates'!$B$5:$B$1004,G$24)&gt;0,"✓",""))</f>
        <v/>
      </c>
      <c r="H259" s="57">
        <f>IF(OR($A259="",H$24=""),"",IF(COUNTIFS('AFA Rates'!$A$5:$A$1004,$A259,'AFA Rates'!$B$5:$B$1004,H$24)&gt;0,"✓",""))</f>
        <v/>
      </c>
      <c r="I259" s="57">
        <f>IF(OR($A259="",I$24=""),"",IF(COUNTIFS('AFA Rates'!$A$5:$A$1004,$A259,'AFA Rates'!$B$5:$B$1004,I$24)&gt;0,"✓",""))</f>
        <v/>
      </c>
      <c r="J259" s="57">
        <f>IF(OR($A259="",J$24=""),"",IF(COUNTIFS('AFA Rates'!$A$5:$A$1004,$A259,'AFA Rates'!$B$5:$B$1004,J$24)&gt;0,"✓",""))</f>
        <v/>
      </c>
      <c r="K259" s="57">
        <f>IF(OR($A259="",K$24=""),"",IF(COUNTIFS('AFA Rates'!$A$5:$A$1004,$A259,'AFA Rates'!$B$5:$B$1004,K$24)&gt;0,"✓",""))</f>
        <v/>
      </c>
      <c r="L259" s="57">
        <f>IF(OR($A259="",L$24=""),"",IF(COUNTIFS('AFA Rates'!$A$5:$A$1004,$A259,'AFA Rates'!$B$5:$B$1004,L$24)&gt;0,"✓",""))</f>
        <v/>
      </c>
      <c r="M259" s="57">
        <f>IF(OR($A259="",M$24=""),"",IF(COUNTIFS('AFA Rates'!$A$5:$A$1004,$A259,'AFA Rates'!$B$5:$B$1004,M$24)&gt;0,"✓",""))</f>
        <v/>
      </c>
    </row>
    <row r="260">
      <c r="A260" s="63">
        <f>IFERROR(INDEX(Firms!$A$5:$A$1004,MATCH(236,Firms!$S$5:$S$1004,0)),"")</f>
        <v/>
      </c>
      <c r="B260" s="57">
        <f>IF($A260="","",INDEX(Firms!$B$5:$B$1004,MATCH(236,Firms!$S$5:$S$1004,0)))</f>
        <v/>
      </c>
      <c r="C260" s="57">
        <f>IF($A260="","",COUNTIF('AFA Rates'!$A$5:$A$1004,$A260))</f>
        <v/>
      </c>
      <c r="D260" s="57">
        <f>IF(OR($A260="",D$24=""),"",IF(COUNTIFS('AFA Rates'!$A$5:$A$1004,$A260,'AFA Rates'!$B$5:$B$1004,D$24)&gt;0,"✓",""))</f>
        <v/>
      </c>
      <c r="E260" s="57">
        <f>IF(OR($A260="",E$24=""),"",IF(COUNTIFS('AFA Rates'!$A$5:$A$1004,$A260,'AFA Rates'!$B$5:$B$1004,E$24)&gt;0,"✓",""))</f>
        <v/>
      </c>
      <c r="F260" s="57">
        <f>IF(OR($A260="",F$24=""),"",IF(COUNTIFS('AFA Rates'!$A$5:$A$1004,$A260,'AFA Rates'!$B$5:$B$1004,F$24)&gt;0,"✓",""))</f>
        <v/>
      </c>
      <c r="G260" s="57">
        <f>IF(OR($A260="",G$24=""),"",IF(COUNTIFS('AFA Rates'!$A$5:$A$1004,$A260,'AFA Rates'!$B$5:$B$1004,G$24)&gt;0,"✓",""))</f>
        <v/>
      </c>
      <c r="H260" s="57">
        <f>IF(OR($A260="",H$24=""),"",IF(COUNTIFS('AFA Rates'!$A$5:$A$1004,$A260,'AFA Rates'!$B$5:$B$1004,H$24)&gt;0,"✓",""))</f>
        <v/>
      </c>
      <c r="I260" s="57">
        <f>IF(OR($A260="",I$24=""),"",IF(COUNTIFS('AFA Rates'!$A$5:$A$1004,$A260,'AFA Rates'!$B$5:$B$1004,I$24)&gt;0,"✓",""))</f>
        <v/>
      </c>
      <c r="J260" s="57">
        <f>IF(OR($A260="",J$24=""),"",IF(COUNTIFS('AFA Rates'!$A$5:$A$1004,$A260,'AFA Rates'!$B$5:$B$1004,J$24)&gt;0,"✓",""))</f>
        <v/>
      </c>
      <c r="K260" s="57">
        <f>IF(OR($A260="",K$24=""),"",IF(COUNTIFS('AFA Rates'!$A$5:$A$1004,$A260,'AFA Rates'!$B$5:$B$1004,K$24)&gt;0,"✓",""))</f>
        <v/>
      </c>
      <c r="L260" s="57">
        <f>IF(OR($A260="",L$24=""),"",IF(COUNTIFS('AFA Rates'!$A$5:$A$1004,$A260,'AFA Rates'!$B$5:$B$1004,L$24)&gt;0,"✓",""))</f>
        <v/>
      </c>
      <c r="M260" s="57">
        <f>IF(OR($A260="",M$24=""),"",IF(COUNTIFS('AFA Rates'!$A$5:$A$1004,$A260,'AFA Rates'!$B$5:$B$1004,M$24)&gt;0,"✓",""))</f>
        <v/>
      </c>
    </row>
    <row r="261">
      <c r="A261" s="63">
        <f>IFERROR(INDEX(Firms!$A$5:$A$1004,MATCH(237,Firms!$S$5:$S$1004,0)),"")</f>
        <v/>
      </c>
      <c r="B261" s="57">
        <f>IF($A261="","",INDEX(Firms!$B$5:$B$1004,MATCH(237,Firms!$S$5:$S$1004,0)))</f>
        <v/>
      </c>
      <c r="C261" s="57">
        <f>IF($A261="","",COUNTIF('AFA Rates'!$A$5:$A$1004,$A261))</f>
        <v/>
      </c>
      <c r="D261" s="57">
        <f>IF(OR($A261="",D$24=""),"",IF(COUNTIFS('AFA Rates'!$A$5:$A$1004,$A261,'AFA Rates'!$B$5:$B$1004,D$24)&gt;0,"✓",""))</f>
        <v/>
      </c>
      <c r="E261" s="57">
        <f>IF(OR($A261="",E$24=""),"",IF(COUNTIFS('AFA Rates'!$A$5:$A$1004,$A261,'AFA Rates'!$B$5:$B$1004,E$24)&gt;0,"✓",""))</f>
        <v/>
      </c>
      <c r="F261" s="57">
        <f>IF(OR($A261="",F$24=""),"",IF(COUNTIFS('AFA Rates'!$A$5:$A$1004,$A261,'AFA Rates'!$B$5:$B$1004,F$24)&gt;0,"✓",""))</f>
        <v/>
      </c>
      <c r="G261" s="57">
        <f>IF(OR($A261="",G$24=""),"",IF(COUNTIFS('AFA Rates'!$A$5:$A$1004,$A261,'AFA Rates'!$B$5:$B$1004,G$24)&gt;0,"✓",""))</f>
        <v/>
      </c>
      <c r="H261" s="57">
        <f>IF(OR($A261="",H$24=""),"",IF(COUNTIFS('AFA Rates'!$A$5:$A$1004,$A261,'AFA Rates'!$B$5:$B$1004,H$24)&gt;0,"✓",""))</f>
        <v/>
      </c>
      <c r="I261" s="57">
        <f>IF(OR($A261="",I$24=""),"",IF(COUNTIFS('AFA Rates'!$A$5:$A$1004,$A261,'AFA Rates'!$B$5:$B$1004,I$24)&gt;0,"✓",""))</f>
        <v/>
      </c>
      <c r="J261" s="57">
        <f>IF(OR($A261="",J$24=""),"",IF(COUNTIFS('AFA Rates'!$A$5:$A$1004,$A261,'AFA Rates'!$B$5:$B$1004,J$24)&gt;0,"✓",""))</f>
        <v/>
      </c>
      <c r="K261" s="57">
        <f>IF(OR($A261="",K$24=""),"",IF(COUNTIFS('AFA Rates'!$A$5:$A$1004,$A261,'AFA Rates'!$B$5:$B$1004,K$24)&gt;0,"✓",""))</f>
        <v/>
      </c>
      <c r="L261" s="57">
        <f>IF(OR($A261="",L$24=""),"",IF(COUNTIFS('AFA Rates'!$A$5:$A$1004,$A261,'AFA Rates'!$B$5:$B$1004,L$24)&gt;0,"✓",""))</f>
        <v/>
      </c>
      <c r="M261" s="57">
        <f>IF(OR($A261="",M$24=""),"",IF(COUNTIFS('AFA Rates'!$A$5:$A$1004,$A261,'AFA Rates'!$B$5:$B$1004,M$24)&gt;0,"✓",""))</f>
        <v/>
      </c>
    </row>
    <row r="262">
      <c r="A262" s="63">
        <f>IFERROR(INDEX(Firms!$A$5:$A$1004,MATCH(238,Firms!$S$5:$S$1004,0)),"")</f>
        <v/>
      </c>
      <c r="B262" s="57">
        <f>IF($A262="","",INDEX(Firms!$B$5:$B$1004,MATCH(238,Firms!$S$5:$S$1004,0)))</f>
        <v/>
      </c>
      <c r="C262" s="57">
        <f>IF($A262="","",COUNTIF('AFA Rates'!$A$5:$A$1004,$A262))</f>
        <v/>
      </c>
      <c r="D262" s="57">
        <f>IF(OR($A262="",D$24=""),"",IF(COUNTIFS('AFA Rates'!$A$5:$A$1004,$A262,'AFA Rates'!$B$5:$B$1004,D$24)&gt;0,"✓",""))</f>
        <v/>
      </c>
      <c r="E262" s="57">
        <f>IF(OR($A262="",E$24=""),"",IF(COUNTIFS('AFA Rates'!$A$5:$A$1004,$A262,'AFA Rates'!$B$5:$B$1004,E$24)&gt;0,"✓",""))</f>
        <v/>
      </c>
      <c r="F262" s="57">
        <f>IF(OR($A262="",F$24=""),"",IF(COUNTIFS('AFA Rates'!$A$5:$A$1004,$A262,'AFA Rates'!$B$5:$B$1004,F$24)&gt;0,"✓",""))</f>
        <v/>
      </c>
      <c r="G262" s="57">
        <f>IF(OR($A262="",G$24=""),"",IF(COUNTIFS('AFA Rates'!$A$5:$A$1004,$A262,'AFA Rates'!$B$5:$B$1004,G$24)&gt;0,"✓",""))</f>
        <v/>
      </c>
      <c r="H262" s="57">
        <f>IF(OR($A262="",H$24=""),"",IF(COUNTIFS('AFA Rates'!$A$5:$A$1004,$A262,'AFA Rates'!$B$5:$B$1004,H$24)&gt;0,"✓",""))</f>
        <v/>
      </c>
      <c r="I262" s="57">
        <f>IF(OR($A262="",I$24=""),"",IF(COUNTIFS('AFA Rates'!$A$5:$A$1004,$A262,'AFA Rates'!$B$5:$B$1004,I$24)&gt;0,"✓",""))</f>
        <v/>
      </c>
      <c r="J262" s="57">
        <f>IF(OR($A262="",J$24=""),"",IF(COUNTIFS('AFA Rates'!$A$5:$A$1004,$A262,'AFA Rates'!$B$5:$B$1004,J$24)&gt;0,"✓",""))</f>
        <v/>
      </c>
      <c r="K262" s="57">
        <f>IF(OR($A262="",K$24=""),"",IF(COUNTIFS('AFA Rates'!$A$5:$A$1004,$A262,'AFA Rates'!$B$5:$B$1004,K$24)&gt;0,"✓",""))</f>
        <v/>
      </c>
      <c r="L262" s="57">
        <f>IF(OR($A262="",L$24=""),"",IF(COUNTIFS('AFA Rates'!$A$5:$A$1004,$A262,'AFA Rates'!$B$5:$B$1004,L$24)&gt;0,"✓",""))</f>
        <v/>
      </c>
      <c r="M262" s="57">
        <f>IF(OR($A262="",M$24=""),"",IF(COUNTIFS('AFA Rates'!$A$5:$A$1004,$A262,'AFA Rates'!$B$5:$B$1004,M$24)&gt;0,"✓",""))</f>
        <v/>
      </c>
    </row>
    <row r="263">
      <c r="A263" s="63">
        <f>IFERROR(INDEX(Firms!$A$5:$A$1004,MATCH(239,Firms!$S$5:$S$1004,0)),"")</f>
        <v/>
      </c>
      <c r="B263" s="57">
        <f>IF($A263="","",INDEX(Firms!$B$5:$B$1004,MATCH(239,Firms!$S$5:$S$1004,0)))</f>
        <v/>
      </c>
      <c r="C263" s="57">
        <f>IF($A263="","",COUNTIF('AFA Rates'!$A$5:$A$1004,$A263))</f>
        <v/>
      </c>
      <c r="D263" s="57">
        <f>IF(OR($A263="",D$24=""),"",IF(COUNTIFS('AFA Rates'!$A$5:$A$1004,$A263,'AFA Rates'!$B$5:$B$1004,D$24)&gt;0,"✓",""))</f>
        <v/>
      </c>
      <c r="E263" s="57">
        <f>IF(OR($A263="",E$24=""),"",IF(COUNTIFS('AFA Rates'!$A$5:$A$1004,$A263,'AFA Rates'!$B$5:$B$1004,E$24)&gt;0,"✓",""))</f>
        <v/>
      </c>
      <c r="F263" s="57">
        <f>IF(OR($A263="",F$24=""),"",IF(COUNTIFS('AFA Rates'!$A$5:$A$1004,$A263,'AFA Rates'!$B$5:$B$1004,F$24)&gt;0,"✓",""))</f>
        <v/>
      </c>
      <c r="G263" s="57">
        <f>IF(OR($A263="",G$24=""),"",IF(COUNTIFS('AFA Rates'!$A$5:$A$1004,$A263,'AFA Rates'!$B$5:$B$1004,G$24)&gt;0,"✓",""))</f>
        <v/>
      </c>
      <c r="H263" s="57">
        <f>IF(OR($A263="",H$24=""),"",IF(COUNTIFS('AFA Rates'!$A$5:$A$1004,$A263,'AFA Rates'!$B$5:$B$1004,H$24)&gt;0,"✓",""))</f>
        <v/>
      </c>
      <c r="I263" s="57">
        <f>IF(OR($A263="",I$24=""),"",IF(COUNTIFS('AFA Rates'!$A$5:$A$1004,$A263,'AFA Rates'!$B$5:$B$1004,I$24)&gt;0,"✓",""))</f>
        <v/>
      </c>
      <c r="J263" s="57">
        <f>IF(OR($A263="",J$24=""),"",IF(COUNTIFS('AFA Rates'!$A$5:$A$1004,$A263,'AFA Rates'!$B$5:$B$1004,J$24)&gt;0,"✓",""))</f>
        <v/>
      </c>
      <c r="K263" s="57">
        <f>IF(OR($A263="",K$24=""),"",IF(COUNTIFS('AFA Rates'!$A$5:$A$1004,$A263,'AFA Rates'!$B$5:$B$1004,K$24)&gt;0,"✓",""))</f>
        <v/>
      </c>
      <c r="L263" s="57">
        <f>IF(OR($A263="",L$24=""),"",IF(COUNTIFS('AFA Rates'!$A$5:$A$1004,$A263,'AFA Rates'!$B$5:$B$1004,L$24)&gt;0,"✓",""))</f>
        <v/>
      </c>
      <c r="M263" s="57">
        <f>IF(OR($A263="",M$24=""),"",IF(COUNTIFS('AFA Rates'!$A$5:$A$1004,$A263,'AFA Rates'!$B$5:$B$1004,M$24)&gt;0,"✓",""))</f>
        <v/>
      </c>
    </row>
    <row r="264">
      <c r="A264" s="63">
        <f>IFERROR(INDEX(Firms!$A$5:$A$1004,MATCH(240,Firms!$S$5:$S$1004,0)),"")</f>
        <v/>
      </c>
      <c r="B264" s="57">
        <f>IF($A264="","",INDEX(Firms!$B$5:$B$1004,MATCH(240,Firms!$S$5:$S$1004,0)))</f>
        <v/>
      </c>
      <c r="C264" s="57">
        <f>IF($A264="","",COUNTIF('AFA Rates'!$A$5:$A$1004,$A264))</f>
        <v/>
      </c>
      <c r="D264" s="57">
        <f>IF(OR($A264="",D$24=""),"",IF(COUNTIFS('AFA Rates'!$A$5:$A$1004,$A264,'AFA Rates'!$B$5:$B$1004,D$24)&gt;0,"✓",""))</f>
        <v/>
      </c>
      <c r="E264" s="57">
        <f>IF(OR($A264="",E$24=""),"",IF(COUNTIFS('AFA Rates'!$A$5:$A$1004,$A264,'AFA Rates'!$B$5:$B$1004,E$24)&gt;0,"✓",""))</f>
        <v/>
      </c>
      <c r="F264" s="57">
        <f>IF(OR($A264="",F$24=""),"",IF(COUNTIFS('AFA Rates'!$A$5:$A$1004,$A264,'AFA Rates'!$B$5:$B$1004,F$24)&gt;0,"✓",""))</f>
        <v/>
      </c>
      <c r="G264" s="57">
        <f>IF(OR($A264="",G$24=""),"",IF(COUNTIFS('AFA Rates'!$A$5:$A$1004,$A264,'AFA Rates'!$B$5:$B$1004,G$24)&gt;0,"✓",""))</f>
        <v/>
      </c>
      <c r="H264" s="57">
        <f>IF(OR($A264="",H$24=""),"",IF(COUNTIFS('AFA Rates'!$A$5:$A$1004,$A264,'AFA Rates'!$B$5:$B$1004,H$24)&gt;0,"✓",""))</f>
        <v/>
      </c>
      <c r="I264" s="57">
        <f>IF(OR($A264="",I$24=""),"",IF(COUNTIFS('AFA Rates'!$A$5:$A$1004,$A264,'AFA Rates'!$B$5:$B$1004,I$24)&gt;0,"✓",""))</f>
        <v/>
      </c>
      <c r="J264" s="57">
        <f>IF(OR($A264="",J$24=""),"",IF(COUNTIFS('AFA Rates'!$A$5:$A$1004,$A264,'AFA Rates'!$B$5:$B$1004,J$24)&gt;0,"✓",""))</f>
        <v/>
      </c>
      <c r="K264" s="57">
        <f>IF(OR($A264="",K$24=""),"",IF(COUNTIFS('AFA Rates'!$A$5:$A$1004,$A264,'AFA Rates'!$B$5:$B$1004,K$24)&gt;0,"✓",""))</f>
        <v/>
      </c>
      <c r="L264" s="57">
        <f>IF(OR($A264="",L$24=""),"",IF(COUNTIFS('AFA Rates'!$A$5:$A$1004,$A264,'AFA Rates'!$B$5:$B$1004,L$24)&gt;0,"✓",""))</f>
        <v/>
      </c>
      <c r="M264" s="57">
        <f>IF(OR($A264="",M$24=""),"",IF(COUNTIFS('AFA Rates'!$A$5:$A$1004,$A264,'AFA Rates'!$B$5:$B$1004,M$24)&gt;0,"✓",""))</f>
        <v/>
      </c>
    </row>
    <row r="265">
      <c r="A265" s="63">
        <f>IFERROR(INDEX(Firms!$A$5:$A$1004,MATCH(241,Firms!$S$5:$S$1004,0)),"")</f>
        <v/>
      </c>
      <c r="B265" s="57">
        <f>IF($A265="","",INDEX(Firms!$B$5:$B$1004,MATCH(241,Firms!$S$5:$S$1004,0)))</f>
        <v/>
      </c>
      <c r="C265" s="57">
        <f>IF($A265="","",COUNTIF('AFA Rates'!$A$5:$A$1004,$A265))</f>
        <v/>
      </c>
      <c r="D265" s="57">
        <f>IF(OR($A265="",D$24=""),"",IF(COUNTIFS('AFA Rates'!$A$5:$A$1004,$A265,'AFA Rates'!$B$5:$B$1004,D$24)&gt;0,"✓",""))</f>
        <v/>
      </c>
      <c r="E265" s="57">
        <f>IF(OR($A265="",E$24=""),"",IF(COUNTIFS('AFA Rates'!$A$5:$A$1004,$A265,'AFA Rates'!$B$5:$B$1004,E$24)&gt;0,"✓",""))</f>
        <v/>
      </c>
      <c r="F265" s="57">
        <f>IF(OR($A265="",F$24=""),"",IF(COUNTIFS('AFA Rates'!$A$5:$A$1004,$A265,'AFA Rates'!$B$5:$B$1004,F$24)&gt;0,"✓",""))</f>
        <v/>
      </c>
      <c r="G265" s="57">
        <f>IF(OR($A265="",G$24=""),"",IF(COUNTIFS('AFA Rates'!$A$5:$A$1004,$A265,'AFA Rates'!$B$5:$B$1004,G$24)&gt;0,"✓",""))</f>
        <v/>
      </c>
      <c r="H265" s="57">
        <f>IF(OR($A265="",H$24=""),"",IF(COUNTIFS('AFA Rates'!$A$5:$A$1004,$A265,'AFA Rates'!$B$5:$B$1004,H$24)&gt;0,"✓",""))</f>
        <v/>
      </c>
      <c r="I265" s="57">
        <f>IF(OR($A265="",I$24=""),"",IF(COUNTIFS('AFA Rates'!$A$5:$A$1004,$A265,'AFA Rates'!$B$5:$B$1004,I$24)&gt;0,"✓",""))</f>
        <v/>
      </c>
      <c r="J265" s="57">
        <f>IF(OR($A265="",J$24=""),"",IF(COUNTIFS('AFA Rates'!$A$5:$A$1004,$A265,'AFA Rates'!$B$5:$B$1004,J$24)&gt;0,"✓",""))</f>
        <v/>
      </c>
      <c r="K265" s="57">
        <f>IF(OR($A265="",K$24=""),"",IF(COUNTIFS('AFA Rates'!$A$5:$A$1004,$A265,'AFA Rates'!$B$5:$B$1004,K$24)&gt;0,"✓",""))</f>
        <v/>
      </c>
      <c r="L265" s="57">
        <f>IF(OR($A265="",L$24=""),"",IF(COUNTIFS('AFA Rates'!$A$5:$A$1004,$A265,'AFA Rates'!$B$5:$B$1004,L$24)&gt;0,"✓",""))</f>
        <v/>
      </c>
      <c r="M265" s="57">
        <f>IF(OR($A265="",M$24=""),"",IF(COUNTIFS('AFA Rates'!$A$5:$A$1004,$A265,'AFA Rates'!$B$5:$B$1004,M$24)&gt;0,"✓",""))</f>
        <v/>
      </c>
    </row>
    <row r="266">
      <c r="A266" s="63">
        <f>IFERROR(INDEX(Firms!$A$5:$A$1004,MATCH(242,Firms!$S$5:$S$1004,0)),"")</f>
        <v/>
      </c>
      <c r="B266" s="57">
        <f>IF($A266="","",INDEX(Firms!$B$5:$B$1004,MATCH(242,Firms!$S$5:$S$1004,0)))</f>
        <v/>
      </c>
      <c r="C266" s="57">
        <f>IF($A266="","",COUNTIF('AFA Rates'!$A$5:$A$1004,$A266))</f>
        <v/>
      </c>
      <c r="D266" s="57">
        <f>IF(OR($A266="",D$24=""),"",IF(COUNTIFS('AFA Rates'!$A$5:$A$1004,$A266,'AFA Rates'!$B$5:$B$1004,D$24)&gt;0,"✓",""))</f>
        <v/>
      </c>
      <c r="E266" s="57">
        <f>IF(OR($A266="",E$24=""),"",IF(COUNTIFS('AFA Rates'!$A$5:$A$1004,$A266,'AFA Rates'!$B$5:$B$1004,E$24)&gt;0,"✓",""))</f>
        <v/>
      </c>
      <c r="F266" s="57">
        <f>IF(OR($A266="",F$24=""),"",IF(COUNTIFS('AFA Rates'!$A$5:$A$1004,$A266,'AFA Rates'!$B$5:$B$1004,F$24)&gt;0,"✓",""))</f>
        <v/>
      </c>
      <c r="G266" s="57">
        <f>IF(OR($A266="",G$24=""),"",IF(COUNTIFS('AFA Rates'!$A$5:$A$1004,$A266,'AFA Rates'!$B$5:$B$1004,G$24)&gt;0,"✓",""))</f>
        <v/>
      </c>
      <c r="H266" s="57">
        <f>IF(OR($A266="",H$24=""),"",IF(COUNTIFS('AFA Rates'!$A$5:$A$1004,$A266,'AFA Rates'!$B$5:$B$1004,H$24)&gt;0,"✓",""))</f>
        <v/>
      </c>
      <c r="I266" s="57">
        <f>IF(OR($A266="",I$24=""),"",IF(COUNTIFS('AFA Rates'!$A$5:$A$1004,$A266,'AFA Rates'!$B$5:$B$1004,I$24)&gt;0,"✓",""))</f>
        <v/>
      </c>
      <c r="J266" s="57">
        <f>IF(OR($A266="",J$24=""),"",IF(COUNTIFS('AFA Rates'!$A$5:$A$1004,$A266,'AFA Rates'!$B$5:$B$1004,J$24)&gt;0,"✓",""))</f>
        <v/>
      </c>
      <c r="K266" s="57">
        <f>IF(OR($A266="",K$24=""),"",IF(COUNTIFS('AFA Rates'!$A$5:$A$1004,$A266,'AFA Rates'!$B$5:$B$1004,K$24)&gt;0,"✓",""))</f>
        <v/>
      </c>
      <c r="L266" s="57">
        <f>IF(OR($A266="",L$24=""),"",IF(COUNTIFS('AFA Rates'!$A$5:$A$1004,$A266,'AFA Rates'!$B$5:$B$1004,L$24)&gt;0,"✓",""))</f>
        <v/>
      </c>
      <c r="M266" s="57">
        <f>IF(OR($A266="",M$24=""),"",IF(COUNTIFS('AFA Rates'!$A$5:$A$1004,$A266,'AFA Rates'!$B$5:$B$1004,M$24)&gt;0,"✓",""))</f>
        <v/>
      </c>
    </row>
    <row r="267">
      <c r="A267" s="63">
        <f>IFERROR(INDEX(Firms!$A$5:$A$1004,MATCH(243,Firms!$S$5:$S$1004,0)),"")</f>
        <v/>
      </c>
      <c r="B267" s="57">
        <f>IF($A267="","",INDEX(Firms!$B$5:$B$1004,MATCH(243,Firms!$S$5:$S$1004,0)))</f>
        <v/>
      </c>
      <c r="C267" s="57">
        <f>IF($A267="","",COUNTIF('AFA Rates'!$A$5:$A$1004,$A267))</f>
        <v/>
      </c>
      <c r="D267" s="57">
        <f>IF(OR($A267="",D$24=""),"",IF(COUNTIFS('AFA Rates'!$A$5:$A$1004,$A267,'AFA Rates'!$B$5:$B$1004,D$24)&gt;0,"✓",""))</f>
        <v/>
      </c>
      <c r="E267" s="57">
        <f>IF(OR($A267="",E$24=""),"",IF(COUNTIFS('AFA Rates'!$A$5:$A$1004,$A267,'AFA Rates'!$B$5:$B$1004,E$24)&gt;0,"✓",""))</f>
        <v/>
      </c>
      <c r="F267" s="57">
        <f>IF(OR($A267="",F$24=""),"",IF(COUNTIFS('AFA Rates'!$A$5:$A$1004,$A267,'AFA Rates'!$B$5:$B$1004,F$24)&gt;0,"✓",""))</f>
        <v/>
      </c>
      <c r="G267" s="57">
        <f>IF(OR($A267="",G$24=""),"",IF(COUNTIFS('AFA Rates'!$A$5:$A$1004,$A267,'AFA Rates'!$B$5:$B$1004,G$24)&gt;0,"✓",""))</f>
        <v/>
      </c>
      <c r="H267" s="57">
        <f>IF(OR($A267="",H$24=""),"",IF(COUNTIFS('AFA Rates'!$A$5:$A$1004,$A267,'AFA Rates'!$B$5:$B$1004,H$24)&gt;0,"✓",""))</f>
        <v/>
      </c>
      <c r="I267" s="57">
        <f>IF(OR($A267="",I$24=""),"",IF(COUNTIFS('AFA Rates'!$A$5:$A$1004,$A267,'AFA Rates'!$B$5:$B$1004,I$24)&gt;0,"✓",""))</f>
        <v/>
      </c>
      <c r="J267" s="57">
        <f>IF(OR($A267="",J$24=""),"",IF(COUNTIFS('AFA Rates'!$A$5:$A$1004,$A267,'AFA Rates'!$B$5:$B$1004,J$24)&gt;0,"✓",""))</f>
        <v/>
      </c>
      <c r="K267" s="57">
        <f>IF(OR($A267="",K$24=""),"",IF(COUNTIFS('AFA Rates'!$A$5:$A$1004,$A267,'AFA Rates'!$B$5:$B$1004,K$24)&gt;0,"✓",""))</f>
        <v/>
      </c>
      <c r="L267" s="57">
        <f>IF(OR($A267="",L$24=""),"",IF(COUNTIFS('AFA Rates'!$A$5:$A$1004,$A267,'AFA Rates'!$B$5:$B$1004,L$24)&gt;0,"✓",""))</f>
        <v/>
      </c>
      <c r="M267" s="57">
        <f>IF(OR($A267="",M$24=""),"",IF(COUNTIFS('AFA Rates'!$A$5:$A$1004,$A267,'AFA Rates'!$B$5:$B$1004,M$24)&gt;0,"✓",""))</f>
        <v/>
      </c>
    </row>
    <row r="268">
      <c r="A268" s="63">
        <f>IFERROR(INDEX(Firms!$A$5:$A$1004,MATCH(244,Firms!$S$5:$S$1004,0)),"")</f>
        <v/>
      </c>
      <c r="B268" s="57">
        <f>IF($A268="","",INDEX(Firms!$B$5:$B$1004,MATCH(244,Firms!$S$5:$S$1004,0)))</f>
        <v/>
      </c>
      <c r="C268" s="57">
        <f>IF($A268="","",COUNTIF('AFA Rates'!$A$5:$A$1004,$A268))</f>
        <v/>
      </c>
      <c r="D268" s="57">
        <f>IF(OR($A268="",D$24=""),"",IF(COUNTIFS('AFA Rates'!$A$5:$A$1004,$A268,'AFA Rates'!$B$5:$B$1004,D$24)&gt;0,"✓",""))</f>
        <v/>
      </c>
      <c r="E268" s="57">
        <f>IF(OR($A268="",E$24=""),"",IF(COUNTIFS('AFA Rates'!$A$5:$A$1004,$A268,'AFA Rates'!$B$5:$B$1004,E$24)&gt;0,"✓",""))</f>
        <v/>
      </c>
      <c r="F268" s="57">
        <f>IF(OR($A268="",F$24=""),"",IF(COUNTIFS('AFA Rates'!$A$5:$A$1004,$A268,'AFA Rates'!$B$5:$B$1004,F$24)&gt;0,"✓",""))</f>
        <v/>
      </c>
      <c r="G268" s="57">
        <f>IF(OR($A268="",G$24=""),"",IF(COUNTIFS('AFA Rates'!$A$5:$A$1004,$A268,'AFA Rates'!$B$5:$B$1004,G$24)&gt;0,"✓",""))</f>
        <v/>
      </c>
      <c r="H268" s="57">
        <f>IF(OR($A268="",H$24=""),"",IF(COUNTIFS('AFA Rates'!$A$5:$A$1004,$A268,'AFA Rates'!$B$5:$B$1004,H$24)&gt;0,"✓",""))</f>
        <v/>
      </c>
      <c r="I268" s="57">
        <f>IF(OR($A268="",I$24=""),"",IF(COUNTIFS('AFA Rates'!$A$5:$A$1004,$A268,'AFA Rates'!$B$5:$B$1004,I$24)&gt;0,"✓",""))</f>
        <v/>
      </c>
      <c r="J268" s="57">
        <f>IF(OR($A268="",J$24=""),"",IF(COUNTIFS('AFA Rates'!$A$5:$A$1004,$A268,'AFA Rates'!$B$5:$B$1004,J$24)&gt;0,"✓",""))</f>
        <v/>
      </c>
      <c r="K268" s="57">
        <f>IF(OR($A268="",K$24=""),"",IF(COUNTIFS('AFA Rates'!$A$5:$A$1004,$A268,'AFA Rates'!$B$5:$B$1004,K$24)&gt;0,"✓",""))</f>
        <v/>
      </c>
      <c r="L268" s="57">
        <f>IF(OR($A268="",L$24=""),"",IF(COUNTIFS('AFA Rates'!$A$5:$A$1004,$A268,'AFA Rates'!$B$5:$B$1004,L$24)&gt;0,"✓",""))</f>
        <v/>
      </c>
      <c r="M268" s="57">
        <f>IF(OR($A268="",M$24=""),"",IF(COUNTIFS('AFA Rates'!$A$5:$A$1004,$A268,'AFA Rates'!$B$5:$B$1004,M$24)&gt;0,"✓",""))</f>
        <v/>
      </c>
    </row>
    <row r="269">
      <c r="A269" s="63">
        <f>IFERROR(INDEX(Firms!$A$5:$A$1004,MATCH(245,Firms!$S$5:$S$1004,0)),"")</f>
        <v/>
      </c>
      <c r="B269" s="57">
        <f>IF($A269="","",INDEX(Firms!$B$5:$B$1004,MATCH(245,Firms!$S$5:$S$1004,0)))</f>
        <v/>
      </c>
      <c r="C269" s="57">
        <f>IF($A269="","",COUNTIF('AFA Rates'!$A$5:$A$1004,$A269))</f>
        <v/>
      </c>
      <c r="D269" s="57">
        <f>IF(OR($A269="",D$24=""),"",IF(COUNTIFS('AFA Rates'!$A$5:$A$1004,$A269,'AFA Rates'!$B$5:$B$1004,D$24)&gt;0,"✓",""))</f>
        <v/>
      </c>
      <c r="E269" s="57">
        <f>IF(OR($A269="",E$24=""),"",IF(COUNTIFS('AFA Rates'!$A$5:$A$1004,$A269,'AFA Rates'!$B$5:$B$1004,E$24)&gt;0,"✓",""))</f>
        <v/>
      </c>
      <c r="F269" s="57">
        <f>IF(OR($A269="",F$24=""),"",IF(COUNTIFS('AFA Rates'!$A$5:$A$1004,$A269,'AFA Rates'!$B$5:$B$1004,F$24)&gt;0,"✓",""))</f>
        <v/>
      </c>
      <c r="G269" s="57">
        <f>IF(OR($A269="",G$24=""),"",IF(COUNTIFS('AFA Rates'!$A$5:$A$1004,$A269,'AFA Rates'!$B$5:$B$1004,G$24)&gt;0,"✓",""))</f>
        <v/>
      </c>
      <c r="H269" s="57">
        <f>IF(OR($A269="",H$24=""),"",IF(COUNTIFS('AFA Rates'!$A$5:$A$1004,$A269,'AFA Rates'!$B$5:$B$1004,H$24)&gt;0,"✓",""))</f>
        <v/>
      </c>
      <c r="I269" s="57">
        <f>IF(OR($A269="",I$24=""),"",IF(COUNTIFS('AFA Rates'!$A$5:$A$1004,$A269,'AFA Rates'!$B$5:$B$1004,I$24)&gt;0,"✓",""))</f>
        <v/>
      </c>
      <c r="J269" s="57">
        <f>IF(OR($A269="",J$24=""),"",IF(COUNTIFS('AFA Rates'!$A$5:$A$1004,$A269,'AFA Rates'!$B$5:$B$1004,J$24)&gt;0,"✓",""))</f>
        <v/>
      </c>
      <c r="K269" s="57">
        <f>IF(OR($A269="",K$24=""),"",IF(COUNTIFS('AFA Rates'!$A$5:$A$1004,$A269,'AFA Rates'!$B$5:$B$1004,K$24)&gt;0,"✓",""))</f>
        <v/>
      </c>
      <c r="L269" s="57">
        <f>IF(OR($A269="",L$24=""),"",IF(COUNTIFS('AFA Rates'!$A$5:$A$1004,$A269,'AFA Rates'!$B$5:$B$1004,L$24)&gt;0,"✓",""))</f>
        <v/>
      </c>
      <c r="M269" s="57">
        <f>IF(OR($A269="",M$24=""),"",IF(COUNTIFS('AFA Rates'!$A$5:$A$1004,$A269,'AFA Rates'!$B$5:$B$1004,M$24)&gt;0,"✓",""))</f>
        <v/>
      </c>
    </row>
    <row r="270">
      <c r="A270" s="63">
        <f>IFERROR(INDEX(Firms!$A$5:$A$1004,MATCH(246,Firms!$S$5:$S$1004,0)),"")</f>
        <v/>
      </c>
      <c r="B270" s="57">
        <f>IF($A270="","",INDEX(Firms!$B$5:$B$1004,MATCH(246,Firms!$S$5:$S$1004,0)))</f>
        <v/>
      </c>
      <c r="C270" s="57">
        <f>IF($A270="","",COUNTIF('AFA Rates'!$A$5:$A$1004,$A270))</f>
        <v/>
      </c>
      <c r="D270" s="57">
        <f>IF(OR($A270="",D$24=""),"",IF(COUNTIFS('AFA Rates'!$A$5:$A$1004,$A270,'AFA Rates'!$B$5:$B$1004,D$24)&gt;0,"✓",""))</f>
        <v/>
      </c>
      <c r="E270" s="57">
        <f>IF(OR($A270="",E$24=""),"",IF(COUNTIFS('AFA Rates'!$A$5:$A$1004,$A270,'AFA Rates'!$B$5:$B$1004,E$24)&gt;0,"✓",""))</f>
        <v/>
      </c>
      <c r="F270" s="57">
        <f>IF(OR($A270="",F$24=""),"",IF(COUNTIFS('AFA Rates'!$A$5:$A$1004,$A270,'AFA Rates'!$B$5:$B$1004,F$24)&gt;0,"✓",""))</f>
        <v/>
      </c>
      <c r="G270" s="57">
        <f>IF(OR($A270="",G$24=""),"",IF(COUNTIFS('AFA Rates'!$A$5:$A$1004,$A270,'AFA Rates'!$B$5:$B$1004,G$24)&gt;0,"✓",""))</f>
        <v/>
      </c>
      <c r="H270" s="57">
        <f>IF(OR($A270="",H$24=""),"",IF(COUNTIFS('AFA Rates'!$A$5:$A$1004,$A270,'AFA Rates'!$B$5:$B$1004,H$24)&gt;0,"✓",""))</f>
        <v/>
      </c>
      <c r="I270" s="57">
        <f>IF(OR($A270="",I$24=""),"",IF(COUNTIFS('AFA Rates'!$A$5:$A$1004,$A270,'AFA Rates'!$B$5:$B$1004,I$24)&gt;0,"✓",""))</f>
        <v/>
      </c>
      <c r="J270" s="57">
        <f>IF(OR($A270="",J$24=""),"",IF(COUNTIFS('AFA Rates'!$A$5:$A$1004,$A270,'AFA Rates'!$B$5:$B$1004,J$24)&gt;0,"✓",""))</f>
        <v/>
      </c>
      <c r="K270" s="57">
        <f>IF(OR($A270="",K$24=""),"",IF(COUNTIFS('AFA Rates'!$A$5:$A$1004,$A270,'AFA Rates'!$B$5:$B$1004,K$24)&gt;0,"✓",""))</f>
        <v/>
      </c>
      <c r="L270" s="57">
        <f>IF(OR($A270="",L$24=""),"",IF(COUNTIFS('AFA Rates'!$A$5:$A$1004,$A270,'AFA Rates'!$B$5:$B$1004,L$24)&gt;0,"✓",""))</f>
        <v/>
      </c>
      <c r="M270" s="57">
        <f>IF(OR($A270="",M$24=""),"",IF(COUNTIFS('AFA Rates'!$A$5:$A$1004,$A270,'AFA Rates'!$B$5:$B$1004,M$24)&gt;0,"✓",""))</f>
        <v/>
      </c>
    </row>
    <row r="271">
      <c r="A271" s="63">
        <f>IFERROR(INDEX(Firms!$A$5:$A$1004,MATCH(247,Firms!$S$5:$S$1004,0)),"")</f>
        <v/>
      </c>
      <c r="B271" s="57">
        <f>IF($A271="","",INDEX(Firms!$B$5:$B$1004,MATCH(247,Firms!$S$5:$S$1004,0)))</f>
        <v/>
      </c>
      <c r="C271" s="57">
        <f>IF($A271="","",COUNTIF('AFA Rates'!$A$5:$A$1004,$A271))</f>
        <v/>
      </c>
      <c r="D271" s="57">
        <f>IF(OR($A271="",D$24=""),"",IF(COUNTIFS('AFA Rates'!$A$5:$A$1004,$A271,'AFA Rates'!$B$5:$B$1004,D$24)&gt;0,"✓",""))</f>
        <v/>
      </c>
      <c r="E271" s="57">
        <f>IF(OR($A271="",E$24=""),"",IF(COUNTIFS('AFA Rates'!$A$5:$A$1004,$A271,'AFA Rates'!$B$5:$B$1004,E$24)&gt;0,"✓",""))</f>
        <v/>
      </c>
      <c r="F271" s="57">
        <f>IF(OR($A271="",F$24=""),"",IF(COUNTIFS('AFA Rates'!$A$5:$A$1004,$A271,'AFA Rates'!$B$5:$B$1004,F$24)&gt;0,"✓",""))</f>
        <v/>
      </c>
      <c r="G271" s="57">
        <f>IF(OR($A271="",G$24=""),"",IF(COUNTIFS('AFA Rates'!$A$5:$A$1004,$A271,'AFA Rates'!$B$5:$B$1004,G$24)&gt;0,"✓",""))</f>
        <v/>
      </c>
      <c r="H271" s="57">
        <f>IF(OR($A271="",H$24=""),"",IF(COUNTIFS('AFA Rates'!$A$5:$A$1004,$A271,'AFA Rates'!$B$5:$B$1004,H$24)&gt;0,"✓",""))</f>
        <v/>
      </c>
      <c r="I271" s="57">
        <f>IF(OR($A271="",I$24=""),"",IF(COUNTIFS('AFA Rates'!$A$5:$A$1004,$A271,'AFA Rates'!$B$5:$B$1004,I$24)&gt;0,"✓",""))</f>
        <v/>
      </c>
      <c r="J271" s="57">
        <f>IF(OR($A271="",J$24=""),"",IF(COUNTIFS('AFA Rates'!$A$5:$A$1004,$A271,'AFA Rates'!$B$5:$B$1004,J$24)&gt;0,"✓",""))</f>
        <v/>
      </c>
      <c r="K271" s="57">
        <f>IF(OR($A271="",K$24=""),"",IF(COUNTIFS('AFA Rates'!$A$5:$A$1004,$A271,'AFA Rates'!$B$5:$B$1004,K$24)&gt;0,"✓",""))</f>
        <v/>
      </c>
      <c r="L271" s="57">
        <f>IF(OR($A271="",L$24=""),"",IF(COUNTIFS('AFA Rates'!$A$5:$A$1004,$A271,'AFA Rates'!$B$5:$B$1004,L$24)&gt;0,"✓",""))</f>
        <v/>
      </c>
      <c r="M271" s="57">
        <f>IF(OR($A271="",M$24=""),"",IF(COUNTIFS('AFA Rates'!$A$5:$A$1004,$A271,'AFA Rates'!$B$5:$B$1004,M$24)&gt;0,"✓",""))</f>
        <v/>
      </c>
    </row>
    <row r="272">
      <c r="A272" s="63">
        <f>IFERROR(INDEX(Firms!$A$5:$A$1004,MATCH(248,Firms!$S$5:$S$1004,0)),"")</f>
        <v/>
      </c>
      <c r="B272" s="57">
        <f>IF($A272="","",INDEX(Firms!$B$5:$B$1004,MATCH(248,Firms!$S$5:$S$1004,0)))</f>
        <v/>
      </c>
      <c r="C272" s="57">
        <f>IF($A272="","",COUNTIF('AFA Rates'!$A$5:$A$1004,$A272))</f>
        <v/>
      </c>
      <c r="D272" s="57">
        <f>IF(OR($A272="",D$24=""),"",IF(COUNTIFS('AFA Rates'!$A$5:$A$1004,$A272,'AFA Rates'!$B$5:$B$1004,D$24)&gt;0,"✓",""))</f>
        <v/>
      </c>
      <c r="E272" s="57">
        <f>IF(OR($A272="",E$24=""),"",IF(COUNTIFS('AFA Rates'!$A$5:$A$1004,$A272,'AFA Rates'!$B$5:$B$1004,E$24)&gt;0,"✓",""))</f>
        <v/>
      </c>
      <c r="F272" s="57">
        <f>IF(OR($A272="",F$24=""),"",IF(COUNTIFS('AFA Rates'!$A$5:$A$1004,$A272,'AFA Rates'!$B$5:$B$1004,F$24)&gt;0,"✓",""))</f>
        <v/>
      </c>
      <c r="G272" s="57">
        <f>IF(OR($A272="",G$24=""),"",IF(COUNTIFS('AFA Rates'!$A$5:$A$1004,$A272,'AFA Rates'!$B$5:$B$1004,G$24)&gt;0,"✓",""))</f>
        <v/>
      </c>
      <c r="H272" s="57">
        <f>IF(OR($A272="",H$24=""),"",IF(COUNTIFS('AFA Rates'!$A$5:$A$1004,$A272,'AFA Rates'!$B$5:$B$1004,H$24)&gt;0,"✓",""))</f>
        <v/>
      </c>
      <c r="I272" s="57">
        <f>IF(OR($A272="",I$24=""),"",IF(COUNTIFS('AFA Rates'!$A$5:$A$1004,$A272,'AFA Rates'!$B$5:$B$1004,I$24)&gt;0,"✓",""))</f>
        <v/>
      </c>
      <c r="J272" s="57">
        <f>IF(OR($A272="",J$24=""),"",IF(COUNTIFS('AFA Rates'!$A$5:$A$1004,$A272,'AFA Rates'!$B$5:$B$1004,J$24)&gt;0,"✓",""))</f>
        <v/>
      </c>
      <c r="K272" s="57">
        <f>IF(OR($A272="",K$24=""),"",IF(COUNTIFS('AFA Rates'!$A$5:$A$1004,$A272,'AFA Rates'!$B$5:$B$1004,K$24)&gt;0,"✓",""))</f>
        <v/>
      </c>
      <c r="L272" s="57">
        <f>IF(OR($A272="",L$24=""),"",IF(COUNTIFS('AFA Rates'!$A$5:$A$1004,$A272,'AFA Rates'!$B$5:$B$1004,L$24)&gt;0,"✓",""))</f>
        <v/>
      </c>
      <c r="M272" s="57">
        <f>IF(OR($A272="",M$24=""),"",IF(COUNTIFS('AFA Rates'!$A$5:$A$1004,$A272,'AFA Rates'!$B$5:$B$1004,M$24)&gt;0,"✓",""))</f>
        <v/>
      </c>
    </row>
    <row r="273">
      <c r="A273" s="63">
        <f>IFERROR(INDEX(Firms!$A$5:$A$1004,MATCH(249,Firms!$S$5:$S$1004,0)),"")</f>
        <v/>
      </c>
      <c r="B273" s="57">
        <f>IF($A273="","",INDEX(Firms!$B$5:$B$1004,MATCH(249,Firms!$S$5:$S$1004,0)))</f>
        <v/>
      </c>
      <c r="C273" s="57">
        <f>IF($A273="","",COUNTIF('AFA Rates'!$A$5:$A$1004,$A273))</f>
        <v/>
      </c>
      <c r="D273" s="57">
        <f>IF(OR($A273="",D$24=""),"",IF(COUNTIFS('AFA Rates'!$A$5:$A$1004,$A273,'AFA Rates'!$B$5:$B$1004,D$24)&gt;0,"✓",""))</f>
        <v/>
      </c>
      <c r="E273" s="57">
        <f>IF(OR($A273="",E$24=""),"",IF(COUNTIFS('AFA Rates'!$A$5:$A$1004,$A273,'AFA Rates'!$B$5:$B$1004,E$24)&gt;0,"✓",""))</f>
        <v/>
      </c>
      <c r="F273" s="57">
        <f>IF(OR($A273="",F$24=""),"",IF(COUNTIFS('AFA Rates'!$A$5:$A$1004,$A273,'AFA Rates'!$B$5:$B$1004,F$24)&gt;0,"✓",""))</f>
        <v/>
      </c>
      <c r="G273" s="57">
        <f>IF(OR($A273="",G$24=""),"",IF(COUNTIFS('AFA Rates'!$A$5:$A$1004,$A273,'AFA Rates'!$B$5:$B$1004,G$24)&gt;0,"✓",""))</f>
        <v/>
      </c>
      <c r="H273" s="57">
        <f>IF(OR($A273="",H$24=""),"",IF(COUNTIFS('AFA Rates'!$A$5:$A$1004,$A273,'AFA Rates'!$B$5:$B$1004,H$24)&gt;0,"✓",""))</f>
        <v/>
      </c>
      <c r="I273" s="57">
        <f>IF(OR($A273="",I$24=""),"",IF(COUNTIFS('AFA Rates'!$A$5:$A$1004,$A273,'AFA Rates'!$B$5:$B$1004,I$24)&gt;0,"✓",""))</f>
        <v/>
      </c>
      <c r="J273" s="57">
        <f>IF(OR($A273="",J$24=""),"",IF(COUNTIFS('AFA Rates'!$A$5:$A$1004,$A273,'AFA Rates'!$B$5:$B$1004,J$24)&gt;0,"✓",""))</f>
        <v/>
      </c>
      <c r="K273" s="57">
        <f>IF(OR($A273="",K$24=""),"",IF(COUNTIFS('AFA Rates'!$A$5:$A$1004,$A273,'AFA Rates'!$B$5:$B$1004,K$24)&gt;0,"✓",""))</f>
        <v/>
      </c>
      <c r="L273" s="57">
        <f>IF(OR($A273="",L$24=""),"",IF(COUNTIFS('AFA Rates'!$A$5:$A$1004,$A273,'AFA Rates'!$B$5:$B$1004,L$24)&gt;0,"✓",""))</f>
        <v/>
      </c>
      <c r="M273" s="57">
        <f>IF(OR($A273="",M$24=""),"",IF(COUNTIFS('AFA Rates'!$A$5:$A$1004,$A273,'AFA Rates'!$B$5:$B$1004,M$24)&gt;0,"✓",""))</f>
        <v/>
      </c>
    </row>
    <row r="274">
      <c r="A274" s="63">
        <f>IFERROR(INDEX(Firms!$A$5:$A$1004,MATCH(250,Firms!$S$5:$S$1004,0)),"")</f>
        <v/>
      </c>
      <c r="B274" s="57">
        <f>IF($A274="","",INDEX(Firms!$B$5:$B$1004,MATCH(250,Firms!$S$5:$S$1004,0)))</f>
        <v/>
      </c>
      <c r="C274" s="57">
        <f>IF($A274="","",COUNTIF('AFA Rates'!$A$5:$A$1004,$A274))</f>
        <v/>
      </c>
      <c r="D274" s="57">
        <f>IF(OR($A274="",D$24=""),"",IF(COUNTIFS('AFA Rates'!$A$5:$A$1004,$A274,'AFA Rates'!$B$5:$B$1004,D$24)&gt;0,"✓",""))</f>
        <v/>
      </c>
      <c r="E274" s="57">
        <f>IF(OR($A274="",E$24=""),"",IF(COUNTIFS('AFA Rates'!$A$5:$A$1004,$A274,'AFA Rates'!$B$5:$B$1004,E$24)&gt;0,"✓",""))</f>
        <v/>
      </c>
      <c r="F274" s="57">
        <f>IF(OR($A274="",F$24=""),"",IF(COUNTIFS('AFA Rates'!$A$5:$A$1004,$A274,'AFA Rates'!$B$5:$B$1004,F$24)&gt;0,"✓",""))</f>
        <v/>
      </c>
      <c r="G274" s="57">
        <f>IF(OR($A274="",G$24=""),"",IF(COUNTIFS('AFA Rates'!$A$5:$A$1004,$A274,'AFA Rates'!$B$5:$B$1004,G$24)&gt;0,"✓",""))</f>
        <v/>
      </c>
      <c r="H274" s="57">
        <f>IF(OR($A274="",H$24=""),"",IF(COUNTIFS('AFA Rates'!$A$5:$A$1004,$A274,'AFA Rates'!$B$5:$B$1004,H$24)&gt;0,"✓",""))</f>
        <v/>
      </c>
      <c r="I274" s="57">
        <f>IF(OR($A274="",I$24=""),"",IF(COUNTIFS('AFA Rates'!$A$5:$A$1004,$A274,'AFA Rates'!$B$5:$B$1004,I$24)&gt;0,"✓",""))</f>
        <v/>
      </c>
      <c r="J274" s="57">
        <f>IF(OR($A274="",J$24=""),"",IF(COUNTIFS('AFA Rates'!$A$5:$A$1004,$A274,'AFA Rates'!$B$5:$B$1004,J$24)&gt;0,"✓",""))</f>
        <v/>
      </c>
      <c r="K274" s="57">
        <f>IF(OR($A274="",K$24=""),"",IF(COUNTIFS('AFA Rates'!$A$5:$A$1004,$A274,'AFA Rates'!$B$5:$B$1004,K$24)&gt;0,"✓",""))</f>
        <v/>
      </c>
      <c r="L274" s="57">
        <f>IF(OR($A274="",L$24=""),"",IF(COUNTIFS('AFA Rates'!$A$5:$A$1004,$A274,'AFA Rates'!$B$5:$B$1004,L$24)&gt;0,"✓",""))</f>
        <v/>
      </c>
      <c r="M274" s="57">
        <f>IF(OR($A274="",M$24=""),"",IF(COUNTIFS('AFA Rates'!$A$5:$A$1004,$A274,'AFA Rates'!$B$5:$B$1004,M$24)&gt;0,"✓",""))</f>
        <v/>
      </c>
    </row>
    <row r="275">
      <c r="A275" s="63">
        <f>IFERROR(INDEX(Firms!$A$5:$A$1004,MATCH(251,Firms!$S$5:$S$1004,0)),"")</f>
        <v/>
      </c>
      <c r="B275" s="57">
        <f>IF($A275="","",INDEX(Firms!$B$5:$B$1004,MATCH(251,Firms!$S$5:$S$1004,0)))</f>
        <v/>
      </c>
      <c r="C275" s="57">
        <f>IF($A275="","",COUNTIF('AFA Rates'!$A$5:$A$1004,$A275))</f>
        <v/>
      </c>
      <c r="D275" s="57">
        <f>IF(OR($A275="",D$24=""),"",IF(COUNTIFS('AFA Rates'!$A$5:$A$1004,$A275,'AFA Rates'!$B$5:$B$1004,D$24)&gt;0,"✓",""))</f>
        <v/>
      </c>
      <c r="E275" s="57">
        <f>IF(OR($A275="",E$24=""),"",IF(COUNTIFS('AFA Rates'!$A$5:$A$1004,$A275,'AFA Rates'!$B$5:$B$1004,E$24)&gt;0,"✓",""))</f>
        <v/>
      </c>
      <c r="F275" s="57">
        <f>IF(OR($A275="",F$24=""),"",IF(COUNTIFS('AFA Rates'!$A$5:$A$1004,$A275,'AFA Rates'!$B$5:$B$1004,F$24)&gt;0,"✓",""))</f>
        <v/>
      </c>
      <c r="G275" s="57">
        <f>IF(OR($A275="",G$24=""),"",IF(COUNTIFS('AFA Rates'!$A$5:$A$1004,$A275,'AFA Rates'!$B$5:$B$1004,G$24)&gt;0,"✓",""))</f>
        <v/>
      </c>
      <c r="H275" s="57">
        <f>IF(OR($A275="",H$24=""),"",IF(COUNTIFS('AFA Rates'!$A$5:$A$1004,$A275,'AFA Rates'!$B$5:$B$1004,H$24)&gt;0,"✓",""))</f>
        <v/>
      </c>
      <c r="I275" s="57">
        <f>IF(OR($A275="",I$24=""),"",IF(COUNTIFS('AFA Rates'!$A$5:$A$1004,$A275,'AFA Rates'!$B$5:$B$1004,I$24)&gt;0,"✓",""))</f>
        <v/>
      </c>
      <c r="J275" s="57">
        <f>IF(OR($A275="",J$24=""),"",IF(COUNTIFS('AFA Rates'!$A$5:$A$1004,$A275,'AFA Rates'!$B$5:$B$1004,J$24)&gt;0,"✓",""))</f>
        <v/>
      </c>
      <c r="K275" s="57">
        <f>IF(OR($A275="",K$24=""),"",IF(COUNTIFS('AFA Rates'!$A$5:$A$1004,$A275,'AFA Rates'!$B$5:$B$1004,K$24)&gt;0,"✓",""))</f>
        <v/>
      </c>
      <c r="L275" s="57">
        <f>IF(OR($A275="",L$24=""),"",IF(COUNTIFS('AFA Rates'!$A$5:$A$1004,$A275,'AFA Rates'!$B$5:$B$1004,L$24)&gt;0,"✓",""))</f>
        <v/>
      </c>
      <c r="M275" s="57">
        <f>IF(OR($A275="",M$24=""),"",IF(COUNTIFS('AFA Rates'!$A$5:$A$1004,$A275,'AFA Rates'!$B$5:$B$1004,M$24)&gt;0,"✓",""))</f>
        <v/>
      </c>
    </row>
    <row r="276">
      <c r="A276" s="63">
        <f>IFERROR(INDEX(Firms!$A$5:$A$1004,MATCH(252,Firms!$S$5:$S$1004,0)),"")</f>
        <v/>
      </c>
      <c r="B276" s="57">
        <f>IF($A276="","",INDEX(Firms!$B$5:$B$1004,MATCH(252,Firms!$S$5:$S$1004,0)))</f>
        <v/>
      </c>
      <c r="C276" s="57">
        <f>IF($A276="","",COUNTIF('AFA Rates'!$A$5:$A$1004,$A276))</f>
        <v/>
      </c>
      <c r="D276" s="57">
        <f>IF(OR($A276="",D$24=""),"",IF(COUNTIFS('AFA Rates'!$A$5:$A$1004,$A276,'AFA Rates'!$B$5:$B$1004,D$24)&gt;0,"✓",""))</f>
        <v/>
      </c>
      <c r="E276" s="57">
        <f>IF(OR($A276="",E$24=""),"",IF(COUNTIFS('AFA Rates'!$A$5:$A$1004,$A276,'AFA Rates'!$B$5:$B$1004,E$24)&gt;0,"✓",""))</f>
        <v/>
      </c>
      <c r="F276" s="57">
        <f>IF(OR($A276="",F$24=""),"",IF(COUNTIFS('AFA Rates'!$A$5:$A$1004,$A276,'AFA Rates'!$B$5:$B$1004,F$24)&gt;0,"✓",""))</f>
        <v/>
      </c>
      <c r="G276" s="57">
        <f>IF(OR($A276="",G$24=""),"",IF(COUNTIFS('AFA Rates'!$A$5:$A$1004,$A276,'AFA Rates'!$B$5:$B$1004,G$24)&gt;0,"✓",""))</f>
        <v/>
      </c>
      <c r="H276" s="57">
        <f>IF(OR($A276="",H$24=""),"",IF(COUNTIFS('AFA Rates'!$A$5:$A$1004,$A276,'AFA Rates'!$B$5:$B$1004,H$24)&gt;0,"✓",""))</f>
        <v/>
      </c>
      <c r="I276" s="57">
        <f>IF(OR($A276="",I$24=""),"",IF(COUNTIFS('AFA Rates'!$A$5:$A$1004,$A276,'AFA Rates'!$B$5:$B$1004,I$24)&gt;0,"✓",""))</f>
        <v/>
      </c>
      <c r="J276" s="57">
        <f>IF(OR($A276="",J$24=""),"",IF(COUNTIFS('AFA Rates'!$A$5:$A$1004,$A276,'AFA Rates'!$B$5:$B$1004,J$24)&gt;0,"✓",""))</f>
        <v/>
      </c>
      <c r="K276" s="57">
        <f>IF(OR($A276="",K$24=""),"",IF(COUNTIFS('AFA Rates'!$A$5:$A$1004,$A276,'AFA Rates'!$B$5:$B$1004,K$24)&gt;0,"✓",""))</f>
        <v/>
      </c>
      <c r="L276" s="57">
        <f>IF(OR($A276="",L$24=""),"",IF(COUNTIFS('AFA Rates'!$A$5:$A$1004,$A276,'AFA Rates'!$B$5:$B$1004,L$24)&gt;0,"✓",""))</f>
        <v/>
      </c>
      <c r="M276" s="57">
        <f>IF(OR($A276="",M$24=""),"",IF(COUNTIFS('AFA Rates'!$A$5:$A$1004,$A276,'AFA Rates'!$B$5:$B$1004,M$24)&gt;0,"✓",""))</f>
        <v/>
      </c>
    </row>
    <row r="277">
      <c r="A277" s="63">
        <f>IFERROR(INDEX(Firms!$A$5:$A$1004,MATCH(253,Firms!$S$5:$S$1004,0)),"")</f>
        <v/>
      </c>
      <c r="B277" s="57">
        <f>IF($A277="","",INDEX(Firms!$B$5:$B$1004,MATCH(253,Firms!$S$5:$S$1004,0)))</f>
        <v/>
      </c>
      <c r="C277" s="57">
        <f>IF($A277="","",COUNTIF('AFA Rates'!$A$5:$A$1004,$A277))</f>
        <v/>
      </c>
      <c r="D277" s="57">
        <f>IF(OR($A277="",D$24=""),"",IF(COUNTIFS('AFA Rates'!$A$5:$A$1004,$A277,'AFA Rates'!$B$5:$B$1004,D$24)&gt;0,"✓",""))</f>
        <v/>
      </c>
      <c r="E277" s="57">
        <f>IF(OR($A277="",E$24=""),"",IF(COUNTIFS('AFA Rates'!$A$5:$A$1004,$A277,'AFA Rates'!$B$5:$B$1004,E$24)&gt;0,"✓",""))</f>
        <v/>
      </c>
      <c r="F277" s="57">
        <f>IF(OR($A277="",F$24=""),"",IF(COUNTIFS('AFA Rates'!$A$5:$A$1004,$A277,'AFA Rates'!$B$5:$B$1004,F$24)&gt;0,"✓",""))</f>
        <v/>
      </c>
      <c r="G277" s="57">
        <f>IF(OR($A277="",G$24=""),"",IF(COUNTIFS('AFA Rates'!$A$5:$A$1004,$A277,'AFA Rates'!$B$5:$B$1004,G$24)&gt;0,"✓",""))</f>
        <v/>
      </c>
      <c r="H277" s="57">
        <f>IF(OR($A277="",H$24=""),"",IF(COUNTIFS('AFA Rates'!$A$5:$A$1004,$A277,'AFA Rates'!$B$5:$B$1004,H$24)&gt;0,"✓",""))</f>
        <v/>
      </c>
      <c r="I277" s="57">
        <f>IF(OR($A277="",I$24=""),"",IF(COUNTIFS('AFA Rates'!$A$5:$A$1004,$A277,'AFA Rates'!$B$5:$B$1004,I$24)&gt;0,"✓",""))</f>
        <v/>
      </c>
      <c r="J277" s="57">
        <f>IF(OR($A277="",J$24=""),"",IF(COUNTIFS('AFA Rates'!$A$5:$A$1004,$A277,'AFA Rates'!$B$5:$B$1004,J$24)&gt;0,"✓",""))</f>
        <v/>
      </c>
      <c r="K277" s="57">
        <f>IF(OR($A277="",K$24=""),"",IF(COUNTIFS('AFA Rates'!$A$5:$A$1004,$A277,'AFA Rates'!$B$5:$B$1004,K$24)&gt;0,"✓",""))</f>
        <v/>
      </c>
      <c r="L277" s="57">
        <f>IF(OR($A277="",L$24=""),"",IF(COUNTIFS('AFA Rates'!$A$5:$A$1004,$A277,'AFA Rates'!$B$5:$B$1004,L$24)&gt;0,"✓",""))</f>
        <v/>
      </c>
      <c r="M277" s="57">
        <f>IF(OR($A277="",M$24=""),"",IF(COUNTIFS('AFA Rates'!$A$5:$A$1004,$A277,'AFA Rates'!$B$5:$B$1004,M$24)&gt;0,"✓",""))</f>
        <v/>
      </c>
    </row>
    <row r="278">
      <c r="A278" s="63">
        <f>IFERROR(INDEX(Firms!$A$5:$A$1004,MATCH(254,Firms!$S$5:$S$1004,0)),"")</f>
        <v/>
      </c>
      <c r="B278" s="57">
        <f>IF($A278="","",INDEX(Firms!$B$5:$B$1004,MATCH(254,Firms!$S$5:$S$1004,0)))</f>
        <v/>
      </c>
      <c r="C278" s="57">
        <f>IF($A278="","",COUNTIF('AFA Rates'!$A$5:$A$1004,$A278))</f>
        <v/>
      </c>
      <c r="D278" s="57">
        <f>IF(OR($A278="",D$24=""),"",IF(COUNTIFS('AFA Rates'!$A$5:$A$1004,$A278,'AFA Rates'!$B$5:$B$1004,D$24)&gt;0,"✓",""))</f>
        <v/>
      </c>
      <c r="E278" s="57">
        <f>IF(OR($A278="",E$24=""),"",IF(COUNTIFS('AFA Rates'!$A$5:$A$1004,$A278,'AFA Rates'!$B$5:$B$1004,E$24)&gt;0,"✓",""))</f>
        <v/>
      </c>
      <c r="F278" s="57">
        <f>IF(OR($A278="",F$24=""),"",IF(COUNTIFS('AFA Rates'!$A$5:$A$1004,$A278,'AFA Rates'!$B$5:$B$1004,F$24)&gt;0,"✓",""))</f>
        <v/>
      </c>
      <c r="G278" s="57">
        <f>IF(OR($A278="",G$24=""),"",IF(COUNTIFS('AFA Rates'!$A$5:$A$1004,$A278,'AFA Rates'!$B$5:$B$1004,G$24)&gt;0,"✓",""))</f>
        <v/>
      </c>
      <c r="H278" s="57">
        <f>IF(OR($A278="",H$24=""),"",IF(COUNTIFS('AFA Rates'!$A$5:$A$1004,$A278,'AFA Rates'!$B$5:$B$1004,H$24)&gt;0,"✓",""))</f>
        <v/>
      </c>
      <c r="I278" s="57">
        <f>IF(OR($A278="",I$24=""),"",IF(COUNTIFS('AFA Rates'!$A$5:$A$1004,$A278,'AFA Rates'!$B$5:$B$1004,I$24)&gt;0,"✓",""))</f>
        <v/>
      </c>
      <c r="J278" s="57">
        <f>IF(OR($A278="",J$24=""),"",IF(COUNTIFS('AFA Rates'!$A$5:$A$1004,$A278,'AFA Rates'!$B$5:$B$1004,J$24)&gt;0,"✓",""))</f>
        <v/>
      </c>
      <c r="K278" s="57">
        <f>IF(OR($A278="",K$24=""),"",IF(COUNTIFS('AFA Rates'!$A$5:$A$1004,$A278,'AFA Rates'!$B$5:$B$1004,K$24)&gt;0,"✓",""))</f>
        <v/>
      </c>
      <c r="L278" s="57">
        <f>IF(OR($A278="",L$24=""),"",IF(COUNTIFS('AFA Rates'!$A$5:$A$1004,$A278,'AFA Rates'!$B$5:$B$1004,L$24)&gt;0,"✓",""))</f>
        <v/>
      </c>
      <c r="M278" s="57">
        <f>IF(OR($A278="",M$24=""),"",IF(COUNTIFS('AFA Rates'!$A$5:$A$1004,$A278,'AFA Rates'!$B$5:$B$1004,M$24)&gt;0,"✓",""))</f>
        <v/>
      </c>
    </row>
    <row r="279">
      <c r="A279" s="63">
        <f>IFERROR(INDEX(Firms!$A$5:$A$1004,MATCH(255,Firms!$S$5:$S$1004,0)),"")</f>
        <v/>
      </c>
      <c r="B279" s="57">
        <f>IF($A279="","",INDEX(Firms!$B$5:$B$1004,MATCH(255,Firms!$S$5:$S$1004,0)))</f>
        <v/>
      </c>
      <c r="C279" s="57">
        <f>IF($A279="","",COUNTIF('AFA Rates'!$A$5:$A$1004,$A279))</f>
        <v/>
      </c>
      <c r="D279" s="57">
        <f>IF(OR($A279="",D$24=""),"",IF(COUNTIFS('AFA Rates'!$A$5:$A$1004,$A279,'AFA Rates'!$B$5:$B$1004,D$24)&gt;0,"✓",""))</f>
        <v/>
      </c>
      <c r="E279" s="57">
        <f>IF(OR($A279="",E$24=""),"",IF(COUNTIFS('AFA Rates'!$A$5:$A$1004,$A279,'AFA Rates'!$B$5:$B$1004,E$24)&gt;0,"✓",""))</f>
        <v/>
      </c>
      <c r="F279" s="57">
        <f>IF(OR($A279="",F$24=""),"",IF(COUNTIFS('AFA Rates'!$A$5:$A$1004,$A279,'AFA Rates'!$B$5:$B$1004,F$24)&gt;0,"✓",""))</f>
        <v/>
      </c>
      <c r="G279" s="57">
        <f>IF(OR($A279="",G$24=""),"",IF(COUNTIFS('AFA Rates'!$A$5:$A$1004,$A279,'AFA Rates'!$B$5:$B$1004,G$24)&gt;0,"✓",""))</f>
        <v/>
      </c>
      <c r="H279" s="57">
        <f>IF(OR($A279="",H$24=""),"",IF(COUNTIFS('AFA Rates'!$A$5:$A$1004,$A279,'AFA Rates'!$B$5:$B$1004,H$24)&gt;0,"✓",""))</f>
        <v/>
      </c>
      <c r="I279" s="57">
        <f>IF(OR($A279="",I$24=""),"",IF(COUNTIFS('AFA Rates'!$A$5:$A$1004,$A279,'AFA Rates'!$B$5:$B$1004,I$24)&gt;0,"✓",""))</f>
        <v/>
      </c>
      <c r="J279" s="57">
        <f>IF(OR($A279="",J$24=""),"",IF(COUNTIFS('AFA Rates'!$A$5:$A$1004,$A279,'AFA Rates'!$B$5:$B$1004,J$24)&gt;0,"✓",""))</f>
        <v/>
      </c>
      <c r="K279" s="57">
        <f>IF(OR($A279="",K$24=""),"",IF(COUNTIFS('AFA Rates'!$A$5:$A$1004,$A279,'AFA Rates'!$B$5:$B$1004,K$24)&gt;0,"✓",""))</f>
        <v/>
      </c>
      <c r="L279" s="57">
        <f>IF(OR($A279="",L$24=""),"",IF(COUNTIFS('AFA Rates'!$A$5:$A$1004,$A279,'AFA Rates'!$B$5:$B$1004,L$24)&gt;0,"✓",""))</f>
        <v/>
      </c>
      <c r="M279" s="57">
        <f>IF(OR($A279="",M$24=""),"",IF(COUNTIFS('AFA Rates'!$A$5:$A$1004,$A279,'AFA Rates'!$B$5:$B$1004,M$24)&gt;0,"✓",""))</f>
        <v/>
      </c>
    </row>
    <row r="280">
      <c r="A280" s="63">
        <f>IFERROR(INDEX(Firms!$A$5:$A$1004,MATCH(256,Firms!$S$5:$S$1004,0)),"")</f>
        <v/>
      </c>
      <c r="B280" s="57">
        <f>IF($A280="","",INDEX(Firms!$B$5:$B$1004,MATCH(256,Firms!$S$5:$S$1004,0)))</f>
        <v/>
      </c>
      <c r="C280" s="57">
        <f>IF($A280="","",COUNTIF('AFA Rates'!$A$5:$A$1004,$A280))</f>
        <v/>
      </c>
      <c r="D280" s="57">
        <f>IF(OR($A280="",D$24=""),"",IF(COUNTIFS('AFA Rates'!$A$5:$A$1004,$A280,'AFA Rates'!$B$5:$B$1004,D$24)&gt;0,"✓",""))</f>
        <v/>
      </c>
      <c r="E280" s="57">
        <f>IF(OR($A280="",E$24=""),"",IF(COUNTIFS('AFA Rates'!$A$5:$A$1004,$A280,'AFA Rates'!$B$5:$B$1004,E$24)&gt;0,"✓",""))</f>
        <v/>
      </c>
      <c r="F280" s="57">
        <f>IF(OR($A280="",F$24=""),"",IF(COUNTIFS('AFA Rates'!$A$5:$A$1004,$A280,'AFA Rates'!$B$5:$B$1004,F$24)&gt;0,"✓",""))</f>
        <v/>
      </c>
      <c r="G280" s="57">
        <f>IF(OR($A280="",G$24=""),"",IF(COUNTIFS('AFA Rates'!$A$5:$A$1004,$A280,'AFA Rates'!$B$5:$B$1004,G$24)&gt;0,"✓",""))</f>
        <v/>
      </c>
      <c r="H280" s="57">
        <f>IF(OR($A280="",H$24=""),"",IF(COUNTIFS('AFA Rates'!$A$5:$A$1004,$A280,'AFA Rates'!$B$5:$B$1004,H$24)&gt;0,"✓",""))</f>
        <v/>
      </c>
      <c r="I280" s="57">
        <f>IF(OR($A280="",I$24=""),"",IF(COUNTIFS('AFA Rates'!$A$5:$A$1004,$A280,'AFA Rates'!$B$5:$B$1004,I$24)&gt;0,"✓",""))</f>
        <v/>
      </c>
      <c r="J280" s="57">
        <f>IF(OR($A280="",J$24=""),"",IF(COUNTIFS('AFA Rates'!$A$5:$A$1004,$A280,'AFA Rates'!$B$5:$B$1004,J$24)&gt;0,"✓",""))</f>
        <v/>
      </c>
      <c r="K280" s="57">
        <f>IF(OR($A280="",K$24=""),"",IF(COUNTIFS('AFA Rates'!$A$5:$A$1004,$A280,'AFA Rates'!$B$5:$B$1004,K$24)&gt;0,"✓",""))</f>
        <v/>
      </c>
      <c r="L280" s="57">
        <f>IF(OR($A280="",L$24=""),"",IF(COUNTIFS('AFA Rates'!$A$5:$A$1004,$A280,'AFA Rates'!$B$5:$B$1004,L$24)&gt;0,"✓",""))</f>
        <v/>
      </c>
      <c r="M280" s="57">
        <f>IF(OR($A280="",M$24=""),"",IF(COUNTIFS('AFA Rates'!$A$5:$A$1004,$A280,'AFA Rates'!$B$5:$B$1004,M$24)&gt;0,"✓",""))</f>
        <v/>
      </c>
    </row>
    <row r="281">
      <c r="A281" s="63">
        <f>IFERROR(INDEX(Firms!$A$5:$A$1004,MATCH(257,Firms!$S$5:$S$1004,0)),"")</f>
        <v/>
      </c>
      <c r="B281" s="57">
        <f>IF($A281="","",INDEX(Firms!$B$5:$B$1004,MATCH(257,Firms!$S$5:$S$1004,0)))</f>
        <v/>
      </c>
      <c r="C281" s="57">
        <f>IF($A281="","",COUNTIF('AFA Rates'!$A$5:$A$1004,$A281))</f>
        <v/>
      </c>
      <c r="D281" s="57">
        <f>IF(OR($A281="",D$24=""),"",IF(COUNTIFS('AFA Rates'!$A$5:$A$1004,$A281,'AFA Rates'!$B$5:$B$1004,D$24)&gt;0,"✓",""))</f>
        <v/>
      </c>
      <c r="E281" s="57">
        <f>IF(OR($A281="",E$24=""),"",IF(COUNTIFS('AFA Rates'!$A$5:$A$1004,$A281,'AFA Rates'!$B$5:$B$1004,E$24)&gt;0,"✓",""))</f>
        <v/>
      </c>
      <c r="F281" s="57">
        <f>IF(OR($A281="",F$24=""),"",IF(COUNTIFS('AFA Rates'!$A$5:$A$1004,$A281,'AFA Rates'!$B$5:$B$1004,F$24)&gt;0,"✓",""))</f>
        <v/>
      </c>
      <c r="G281" s="57">
        <f>IF(OR($A281="",G$24=""),"",IF(COUNTIFS('AFA Rates'!$A$5:$A$1004,$A281,'AFA Rates'!$B$5:$B$1004,G$24)&gt;0,"✓",""))</f>
        <v/>
      </c>
      <c r="H281" s="57">
        <f>IF(OR($A281="",H$24=""),"",IF(COUNTIFS('AFA Rates'!$A$5:$A$1004,$A281,'AFA Rates'!$B$5:$B$1004,H$24)&gt;0,"✓",""))</f>
        <v/>
      </c>
      <c r="I281" s="57">
        <f>IF(OR($A281="",I$24=""),"",IF(COUNTIFS('AFA Rates'!$A$5:$A$1004,$A281,'AFA Rates'!$B$5:$B$1004,I$24)&gt;0,"✓",""))</f>
        <v/>
      </c>
      <c r="J281" s="57">
        <f>IF(OR($A281="",J$24=""),"",IF(COUNTIFS('AFA Rates'!$A$5:$A$1004,$A281,'AFA Rates'!$B$5:$B$1004,J$24)&gt;0,"✓",""))</f>
        <v/>
      </c>
      <c r="K281" s="57">
        <f>IF(OR($A281="",K$24=""),"",IF(COUNTIFS('AFA Rates'!$A$5:$A$1004,$A281,'AFA Rates'!$B$5:$B$1004,K$24)&gt;0,"✓",""))</f>
        <v/>
      </c>
      <c r="L281" s="57">
        <f>IF(OR($A281="",L$24=""),"",IF(COUNTIFS('AFA Rates'!$A$5:$A$1004,$A281,'AFA Rates'!$B$5:$B$1004,L$24)&gt;0,"✓",""))</f>
        <v/>
      </c>
      <c r="M281" s="57">
        <f>IF(OR($A281="",M$24=""),"",IF(COUNTIFS('AFA Rates'!$A$5:$A$1004,$A281,'AFA Rates'!$B$5:$B$1004,M$24)&gt;0,"✓",""))</f>
        <v/>
      </c>
    </row>
    <row r="282">
      <c r="A282" s="63">
        <f>IFERROR(INDEX(Firms!$A$5:$A$1004,MATCH(258,Firms!$S$5:$S$1004,0)),"")</f>
        <v/>
      </c>
      <c r="B282" s="57">
        <f>IF($A282="","",INDEX(Firms!$B$5:$B$1004,MATCH(258,Firms!$S$5:$S$1004,0)))</f>
        <v/>
      </c>
      <c r="C282" s="57">
        <f>IF($A282="","",COUNTIF('AFA Rates'!$A$5:$A$1004,$A282))</f>
        <v/>
      </c>
      <c r="D282" s="57">
        <f>IF(OR($A282="",D$24=""),"",IF(COUNTIFS('AFA Rates'!$A$5:$A$1004,$A282,'AFA Rates'!$B$5:$B$1004,D$24)&gt;0,"✓",""))</f>
        <v/>
      </c>
      <c r="E282" s="57">
        <f>IF(OR($A282="",E$24=""),"",IF(COUNTIFS('AFA Rates'!$A$5:$A$1004,$A282,'AFA Rates'!$B$5:$B$1004,E$24)&gt;0,"✓",""))</f>
        <v/>
      </c>
      <c r="F282" s="57">
        <f>IF(OR($A282="",F$24=""),"",IF(COUNTIFS('AFA Rates'!$A$5:$A$1004,$A282,'AFA Rates'!$B$5:$B$1004,F$24)&gt;0,"✓",""))</f>
        <v/>
      </c>
      <c r="G282" s="57">
        <f>IF(OR($A282="",G$24=""),"",IF(COUNTIFS('AFA Rates'!$A$5:$A$1004,$A282,'AFA Rates'!$B$5:$B$1004,G$24)&gt;0,"✓",""))</f>
        <v/>
      </c>
      <c r="H282" s="57">
        <f>IF(OR($A282="",H$24=""),"",IF(COUNTIFS('AFA Rates'!$A$5:$A$1004,$A282,'AFA Rates'!$B$5:$B$1004,H$24)&gt;0,"✓",""))</f>
        <v/>
      </c>
      <c r="I282" s="57">
        <f>IF(OR($A282="",I$24=""),"",IF(COUNTIFS('AFA Rates'!$A$5:$A$1004,$A282,'AFA Rates'!$B$5:$B$1004,I$24)&gt;0,"✓",""))</f>
        <v/>
      </c>
      <c r="J282" s="57">
        <f>IF(OR($A282="",J$24=""),"",IF(COUNTIFS('AFA Rates'!$A$5:$A$1004,$A282,'AFA Rates'!$B$5:$B$1004,J$24)&gt;0,"✓",""))</f>
        <v/>
      </c>
      <c r="K282" s="57">
        <f>IF(OR($A282="",K$24=""),"",IF(COUNTIFS('AFA Rates'!$A$5:$A$1004,$A282,'AFA Rates'!$B$5:$B$1004,K$24)&gt;0,"✓",""))</f>
        <v/>
      </c>
      <c r="L282" s="57">
        <f>IF(OR($A282="",L$24=""),"",IF(COUNTIFS('AFA Rates'!$A$5:$A$1004,$A282,'AFA Rates'!$B$5:$B$1004,L$24)&gt;0,"✓",""))</f>
        <v/>
      </c>
      <c r="M282" s="57">
        <f>IF(OR($A282="",M$24=""),"",IF(COUNTIFS('AFA Rates'!$A$5:$A$1004,$A282,'AFA Rates'!$B$5:$B$1004,M$24)&gt;0,"✓",""))</f>
        <v/>
      </c>
    </row>
    <row r="283">
      <c r="A283" s="63">
        <f>IFERROR(INDEX(Firms!$A$5:$A$1004,MATCH(259,Firms!$S$5:$S$1004,0)),"")</f>
        <v/>
      </c>
      <c r="B283" s="57">
        <f>IF($A283="","",INDEX(Firms!$B$5:$B$1004,MATCH(259,Firms!$S$5:$S$1004,0)))</f>
        <v/>
      </c>
      <c r="C283" s="57">
        <f>IF($A283="","",COUNTIF('AFA Rates'!$A$5:$A$1004,$A283))</f>
        <v/>
      </c>
      <c r="D283" s="57">
        <f>IF(OR($A283="",D$24=""),"",IF(COUNTIFS('AFA Rates'!$A$5:$A$1004,$A283,'AFA Rates'!$B$5:$B$1004,D$24)&gt;0,"✓",""))</f>
        <v/>
      </c>
      <c r="E283" s="57">
        <f>IF(OR($A283="",E$24=""),"",IF(COUNTIFS('AFA Rates'!$A$5:$A$1004,$A283,'AFA Rates'!$B$5:$B$1004,E$24)&gt;0,"✓",""))</f>
        <v/>
      </c>
      <c r="F283" s="57">
        <f>IF(OR($A283="",F$24=""),"",IF(COUNTIFS('AFA Rates'!$A$5:$A$1004,$A283,'AFA Rates'!$B$5:$B$1004,F$24)&gt;0,"✓",""))</f>
        <v/>
      </c>
      <c r="G283" s="57">
        <f>IF(OR($A283="",G$24=""),"",IF(COUNTIFS('AFA Rates'!$A$5:$A$1004,$A283,'AFA Rates'!$B$5:$B$1004,G$24)&gt;0,"✓",""))</f>
        <v/>
      </c>
      <c r="H283" s="57">
        <f>IF(OR($A283="",H$24=""),"",IF(COUNTIFS('AFA Rates'!$A$5:$A$1004,$A283,'AFA Rates'!$B$5:$B$1004,H$24)&gt;0,"✓",""))</f>
        <v/>
      </c>
      <c r="I283" s="57">
        <f>IF(OR($A283="",I$24=""),"",IF(COUNTIFS('AFA Rates'!$A$5:$A$1004,$A283,'AFA Rates'!$B$5:$B$1004,I$24)&gt;0,"✓",""))</f>
        <v/>
      </c>
      <c r="J283" s="57">
        <f>IF(OR($A283="",J$24=""),"",IF(COUNTIFS('AFA Rates'!$A$5:$A$1004,$A283,'AFA Rates'!$B$5:$B$1004,J$24)&gt;0,"✓",""))</f>
        <v/>
      </c>
      <c r="K283" s="57">
        <f>IF(OR($A283="",K$24=""),"",IF(COUNTIFS('AFA Rates'!$A$5:$A$1004,$A283,'AFA Rates'!$B$5:$B$1004,K$24)&gt;0,"✓",""))</f>
        <v/>
      </c>
      <c r="L283" s="57">
        <f>IF(OR($A283="",L$24=""),"",IF(COUNTIFS('AFA Rates'!$A$5:$A$1004,$A283,'AFA Rates'!$B$5:$B$1004,L$24)&gt;0,"✓",""))</f>
        <v/>
      </c>
      <c r="M283" s="57">
        <f>IF(OR($A283="",M$24=""),"",IF(COUNTIFS('AFA Rates'!$A$5:$A$1004,$A283,'AFA Rates'!$B$5:$B$1004,M$24)&gt;0,"✓",""))</f>
        <v/>
      </c>
    </row>
    <row r="284">
      <c r="A284" s="63">
        <f>IFERROR(INDEX(Firms!$A$5:$A$1004,MATCH(260,Firms!$S$5:$S$1004,0)),"")</f>
        <v/>
      </c>
      <c r="B284" s="57">
        <f>IF($A284="","",INDEX(Firms!$B$5:$B$1004,MATCH(260,Firms!$S$5:$S$1004,0)))</f>
        <v/>
      </c>
      <c r="C284" s="57">
        <f>IF($A284="","",COUNTIF('AFA Rates'!$A$5:$A$1004,$A284))</f>
        <v/>
      </c>
      <c r="D284" s="57">
        <f>IF(OR($A284="",D$24=""),"",IF(COUNTIFS('AFA Rates'!$A$5:$A$1004,$A284,'AFA Rates'!$B$5:$B$1004,D$24)&gt;0,"✓",""))</f>
        <v/>
      </c>
      <c r="E284" s="57">
        <f>IF(OR($A284="",E$24=""),"",IF(COUNTIFS('AFA Rates'!$A$5:$A$1004,$A284,'AFA Rates'!$B$5:$B$1004,E$24)&gt;0,"✓",""))</f>
        <v/>
      </c>
      <c r="F284" s="57">
        <f>IF(OR($A284="",F$24=""),"",IF(COUNTIFS('AFA Rates'!$A$5:$A$1004,$A284,'AFA Rates'!$B$5:$B$1004,F$24)&gt;0,"✓",""))</f>
        <v/>
      </c>
      <c r="G284" s="57">
        <f>IF(OR($A284="",G$24=""),"",IF(COUNTIFS('AFA Rates'!$A$5:$A$1004,$A284,'AFA Rates'!$B$5:$B$1004,G$24)&gt;0,"✓",""))</f>
        <v/>
      </c>
      <c r="H284" s="57">
        <f>IF(OR($A284="",H$24=""),"",IF(COUNTIFS('AFA Rates'!$A$5:$A$1004,$A284,'AFA Rates'!$B$5:$B$1004,H$24)&gt;0,"✓",""))</f>
        <v/>
      </c>
      <c r="I284" s="57">
        <f>IF(OR($A284="",I$24=""),"",IF(COUNTIFS('AFA Rates'!$A$5:$A$1004,$A284,'AFA Rates'!$B$5:$B$1004,I$24)&gt;0,"✓",""))</f>
        <v/>
      </c>
      <c r="J284" s="57">
        <f>IF(OR($A284="",J$24=""),"",IF(COUNTIFS('AFA Rates'!$A$5:$A$1004,$A284,'AFA Rates'!$B$5:$B$1004,J$24)&gt;0,"✓",""))</f>
        <v/>
      </c>
      <c r="K284" s="57">
        <f>IF(OR($A284="",K$24=""),"",IF(COUNTIFS('AFA Rates'!$A$5:$A$1004,$A284,'AFA Rates'!$B$5:$B$1004,K$24)&gt;0,"✓",""))</f>
        <v/>
      </c>
      <c r="L284" s="57">
        <f>IF(OR($A284="",L$24=""),"",IF(COUNTIFS('AFA Rates'!$A$5:$A$1004,$A284,'AFA Rates'!$B$5:$B$1004,L$24)&gt;0,"✓",""))</f>
        <v/>
      </c>
      <c r="M284" s="57">
        <f>IF(OR($A284="",M$24=""),"",IF(COUNTIFS('AFA Rates'!$A$5:$A$1004,$A284,'AFA Rates'!$B$5:$B$1004,M$24)&gt;0,"✓",""))</f>
        <v/>
      </c>
    </row>
    <row r="285">
      <c r="A285" s="63">
        <f>IFERROR(INDEX(Firms!$A$5:$A$1004,MATCH(261,Firms!$S$5:$S$1004,0)),"")</f>
        <v/>
      </c>
      <c r="B285" s="57">
        <f>IF($A285="","",INDEX(Firms!$B$5:$B$1004,MATCH(261,Firms!$S$5:$S$1004,0)))</f>
        <v/>
      </c>
      <c r="C285" s="57">
        <f>IF($A285="","",COUNTIF('AFA Rates'!$A$5:$A$1004,$A285))</f>
        <v/>
      </c>
      <c r="D285" s="57">
        <f>IF(OR($A285="",D$24=""),"",IF(COUNTIFS('AFA Rates'!$A$5:$A$1004,$A285,'AFA Rates'!$B$5:$B$1004,D$24)&gt;0,"✓",""))</f>
        <v/>
      </c>
      <c r="E285" s="57">
        <f>IF(OR($A285="",E$24=""),"",IF(COUNTIFS('AFA Rates'!$A$5:$A$1004,$A285,'AFA Rates'!$B$5:$B$1004,E$24)&gt;0,"✓",""))</f>
        <v/>
      </c>
      <c r="F285" s="57">
        <f>IF(OR($A285="",F$24=""),"",IF(COUNTIFS('AFA Rates'!$A$5:$A$1004,$A285,'AFA Rates'!$B$5:$B$1004,F$24)&gt;0,"✓",""))</f>
        <v/>
      </c>
      <c r="G285" s="57">
        <f>IF(OR($A285="",G$24=""),"",IF(COUNTIFS('AFA Rates'!$A$5:$A$1004,$A285,'AFA Rates'!$B$5:$B$1004,G$24)&gt;0,"✓",""))</f>
        <v/>
      </c>
      <c r="H285" s="57">
        <f>IF(OR($A285="",H$24=""),"",IF(COUNTIFS('AFA Rates'!$A$5:$A$1004,$A285,'AFA Rates'!$B$5:$B$1004,H$24)&gt;0,"✓",""))</f>
        <v/>
      </c>
      <c r="I285" s="57">
        <f>IF(OR($A285="",I$24=""),"",IF(COUNTIFS('AFA Rates'!$A$5:$A$1004,$A285,'AFA Rates'!$B$5:$B$1004,I$24)&gt;0,"✓",""))</f>
        <v/>
      </c>
      <c r="J285" s="57">
        <f>IF(OR($A285="",J$24=""),"",IF(COUNTIFS('AFA Rates'!$A$5:$A$1004,$A285,'AFA Rates'!$B$5:$B$1004,J$24)&gt;0,"✓",""))</f>
        <v/>
      </c>
      <c r="K285" s="57">
        <f>IF(OR($A285="",K$24=""),"",IF(COUNTIFS('AFA Rates'!$A$5:$A$1004,$A285,'AFA Rates'!$B$5:$B$1004,K$24)&gt;0,"✓",""))</f>
        <v/>
      </c>
      <c r="L285" s="57">
        <f>IF(OR($A285="",L$24=""),"",IF(COUNTIFS('AFA Rates'!$A$5:$A$1004,$A285,'AFA Rates'!$B$5:$B$1004,L$24)&gt;0,"✓",""))</f>
        <v/>
      </c>
      <c r="M285" s="57">
        <f>IF(OR($A285="",M$24=""),"",IF(COUNTIFS('AFA Rates'!$A$5:$A$1004,$A285,'AFA Rates'!$B$5:$B$1004,M$24)&gt;0,"✓",""))</f>
        <v/>
      </c>
    </row>
    <row r="286">
      <c r="A286" s="63">
        <f>IFERROR(INDEX(Firms!$A$5:$A$1004,MATCH(262,Firms!$S$5:$S$1004,0)),"")</f>
        <v/>
      </c>
      <c r="B286" s="57">
        <f>IF($A286="","",INDEX(Firms!$B$5:$B$1004,MATCH(262,Firms!$S$5:$S$1004,0)))</f>
        <v/>
      </c>
      <c r="C286" s="57">
        <f>IF($A286="","",COUNTIF('AFA Rates'!$A$5:$A$1004,$A286))</f>
        <v/>
      </c>
      <c r="D286" s="57">
        <f>IF(OR($A286="",D$24=""),"",IF(COUNTIFS('AFA Rates'!$A$5:$A$1004,$A286,'AFA Rates'!$B$5:$B$1004,D$24)&gt;0,"✓",""))</f>
        <v/>
      </c>
      <c r="E286" s="57">
        <f>IF(OR($A286="",E$24=""),"",IF(COUNTIFS('AFA Rates'!$A$5:$A$1004,$A286,'AFA Rates'!$B$5:$B$1004,E$24)&gt;0,"✓",""))</f>
        <v/>
      </c>
      <c r="F286" s="57">
        <f>IF(OR($A286="",F$24=""),"",IF(COUNTIFS('AFA Rates'!$A$5:$A$1004,$A286,'AFA Rates'!$B$5:$B$1004,F$24)&gt;0,"✓",""))</f>
        <v/>
      </c>
      <c r="G286" s="57">
        <f>IF(OR($A286="",G$24=""),"",IF(COUNTIFS('AFA Rates'!$A$5:$A$1004,$A286,'AFA Rates'!$B$5:$B$1004,G$24)&gt;0,"✓",""))</f>
        <v/>
      </c>
      <c r="H286" s="57">
        <f>IF(OR($A286="",H$24=""),"",IF(COUNTIFS('AFA Rates'!$A$5:$A$1004,$A286,'AFA Rates'!$B$5:$B$1004,H$24)&gt;0,"✓",""))</f>
        <v/>
      </c>
      <c r="I286" s="57">
        <f>IF(OR($A286="",I$24=""),"",IF(COUNTIFS('AFA Rates'!$A$5:$A$1004,$A286,'AFA Rates'!$B$5:$B$1004,I$24)&gt;0,"✓",""))</f>
        <v/>
      </c>
      <c r="J286" s="57">
        <f>IF(OR($A286="",J$24=""),"",IF(COUNTIFS('AFA Rates'!$A$5:$A$1004,$A286,'AFA Rates'!$B$5:$B$1004,J$24)&gt;0,"✓",""))</f>
        <v/>
      </c>
      <c r="K286" s="57">
        <f>IF(OR($A286="",K$24=""),"",IF(COUNTIFS('AFA Rates'!$A$5:$A$1004,$A286,'AFA Rates'!$B$5:$B$1004,K$24)&gt;0,"✓",""))</f>
        <v/>
      </c>
      <c r="L286" s="57">
        <f>IF(OR($A286="",L$24=""),"",IF(COUNTIFS('AFA Rates'!$A$5:$A$1004,$A286,'AFA Rates'!$B$5:$B$1004,L$24)&gt;0,"✓",""))</f>
        <v/>
      </c>
      <c r="M286" s="57">
        <f>IF(OR($A286="",M$24=""),"",IF(COUNTIFS('AFA Rates'!$A$5:$A$1004,$A286,'AFA Rates'!$B$5:$B$1004,M$24)&gt;0,"✓",""))</f>
        <v/>
      </c>
    </row>
    <row r="287">
      <c r="A287" s="63">
        <f>IFERROR(INDEX(Firms!$A$5:$A$1004,MATCH(263,Firms!$S$5:$S$1004,0)),"")</f>
        <v/>
      </c>
      <c r="B287" s="57">
        <f>IF($A287="","",INDEX(Firms!$B$5:$B$1004,MATCH(263,Firms!$S$5:$S$1004,0)))</f>
        <v/>
      </c>
      <c r="C287" s="57">
        <f>IF($A287="","",COUNTIF('AFA Rates'!$A$5:$A$1004,$A287))</f>
        <v/>
      </c>
      <c r="D287" s="57">
        <f>IF(OR($A287="",D$24=""),"",IF(COUNTIFS('AFA Rates'!$A$5:$A$1004,$A287,'AFA Rates'!$B$5:$B$1004,D$24)&gt;0,"✓",""))</f>
        <v/>
      </c>
      <c r="E287" s="57">
        <f>IF(OR($A287="",E$24=""),"",IF(COUNTIFS('AFA Rates'!$A$5:$A$1004,$A287,'AFA Rates'!$B$5:$B$1004,E$24)&gt;0,"✓",""))</f>
        <v/>
      </c>
      <c r="F287" s="57">
        <f>IF(OR($A287="",F$24=""),"",IF(COUNTIFS('AFA Rates'!$A$5:$A$1004,$A287,'AFA Rates'!$B$5:$B$1004,F$24)&gt;0,"✓",""))</f>
        <v/>
      </c>
      <c r="G287" s="57">
        <f>IF(OR($A287="",G$24=""),"",IF(COUNTIFS('AFA Rates'!$A$5:$A$1004,$A287,'AFA Rates'!$B$5:$B$1004,G$24)&gt;0,"✓",""))</f>
        <v/>
      </c>
      <c r="H287" s="57">
        <f>IF(OR($A287="",H$24=""),"",IF(COUNTIFS('AFA Rates'!$A$5:$A$1004,$A287,'AFA Rates'!$B$5:$B$1004,H$24)&gt;0,"✓",""))</f>
        <v/>
      </c>
      <c r="I287" s="57">
        <f>IF(OR($A287="",I$24=""),"",IF(COUNTIFS('AFA Rates'!$A$5:$A$1004,$A287,'AFA Rates'!$B$5:$B$1004,I$24)&gt;0,"✓",""))</f>
        <v/>
      </c>
      <c r="J287" s="57">
        <f>IF(OR($A287="",J$24=""),"",IF(COUNTIFS('AFA Rates'!$A$5:$A$1004,$A287,'AFA Rates'!$B$5:$B$1004,J$24)&gt;0,"✓",""))</f>
        <v/>
      </c>
      <c r="K287" s="57">
        <f>IF(OR($A287="",K$24=""),"",IF(COUNTIFS('AFA Rates'!$A$5:$A$1004,$A287,'AFA Rates'!$B$5:$B$1004,K$24)&gt;0,"✓",""))</f>
        <v/>
      </c>
      <c r="L287" s="57">
        <f>IF(OR($A287="",L$24=""),"",IF(COUNTIFS('AFA Rates'!$A$5:$A$1004,$A287,'AFA Rates'!$B$5:$B$1004,L$24)&gt;0,"✓",""))</f>
        <v/>
      </c>
      <c r="M287" s="57">
        <f>IF(OR($A287="",M$24=""),"",IF(COUNTIFS('AFA Rates'!$A$5:$A$1004,$A287,'AFA Rates'!$B$5:$B$1004,M$24)&gt;0,"✓",""))</f>
        <v/>
      </c>
    </row>
    <row r="288">
      <c r="A288" s="63">
        <f>IFERROR(INDEX(Firms!$A$5:$A$1004,MATCH(264,Firms!$S$5:$S$1004,0)),"")</f>
        <v/>
      </c>
      <c r="B288" s="57">
        <f>IF($A288="","",INDEX(Firms!$B$5:$B$1004,MATCH(264,Firms!$S$5:$S$1004,0)))</f>
        <v/>
      </c>
      <c r="C288" s="57">
        <f>IF($A288="","",COUNTIF('AFA Rates'!$A$5:$A$1004,$A288))</f>
        <v/>
      </c>
      <c r="D288" s="57">
        <f>IF(OR($A288="",D$24=""),"",IF(COUNTIFS('AFA Rates'!$A$5:$A$1004,$A288,'AFA Rates'!$B$5:$B$1004,D$24)&gt;0,"✓",""))</f>
        <v/>
      </c>
      <c r="E288" s="57">
        <f>IF(OR($A288="",E$24=""),"",IF(COUNTIFS('AFA Rates'!$A$5:$A$1004,$A288,'AFA Rates'!$B$5:$B$1004,E$24)&gt;0,"✓",""))</f>
        <v/>
      </c>
      <c r="F288" s="57">
        <f>IF(OR($A288="",F$24=""),"",IF(COUNTIFS('AFA Rates'!$A$5:$A$1004,$A288,'AFA Rates'!$B$5:$B$1004,F$24)&gt;0,"✓",""))</f>
        <v/>
      </c>
      <c r="G288" s="57">
        <f>IF(OR($A288="",G$24=""),"",IF(COUNTIFS('AFA Rates'!$A$5:$A$1004,$A288,'AFA Rates'!$B$5:$B$1004,G$24)&gt;0,"✓",""))</f>
        <v/>
      </c>
      <c r="H288" s="57">
        <f>IF(OR($A288="",H$24=""),"",IF(COUNTIFS('AFA Rates'!$A$5:$A$1004,$A288,'AFA Rates'!$B$5:$B$1004,H$24)&gt;0,"✓",""))</f>
        <v/>
      </c>
      <c r="I288" s="57">
        <f>IF(OR($A288="",I$24=""),"",IF(COUNTIFS('AFA Rates'!$A$5:$A$1004,$A288,'AFA Rates'!$B$5:$B$1004,I$24)&gt;0,"✓",""))</f>
        <v/>
      </c>
      <c r="J288" s="57">
        <f>IF(OR($A288="",J$24=""),"",IF(COUNTIFS('AFA Rates'!$A$5:$A$1004,$A288,'AFA Rates'!$B$5:$B$1004,J$24)&gt;0,"✓",""))</f>
        <v/>
      </c>
      <c r="K288" s="57">
        <f>IF(OR($A288="",K$24=""),"",IF(COUNTIFS('AFA Rates'!$A$5:$A$1004,$A288,'AFA Rates'!$B$5:$B$1004,K$24)&gt;0,"✓",""))</f>
        <v/>
      </c>
      <c r="L288" s="57">
        <f>IF(OR($A288="",L$24=""),"",IF(COUNTIFS('AFA Rates'!$A$5:$A$1004,$A288,'AFA Rates'!$B$5:$B$1004,L$24)&gt;0,"✓",""))</f>
        <v/>
      </c>
      <c r="M288" s="57">
        <f>IF(OR($A288="",M$24=""),"",IF(COUNTIFS('AFA Rates'!$A$5:$A$1004,$A288,'AFA Rates'!$B$5:$B$1004,M$24)&gt;0,"✓",""))</f>
        <v/>
      </c>
    </row>
    <row r="289">
      <c r="A289" s="63">
        <f>IFERROR(INDEX(Firms!$A$5:$A$1004,MATCH(265,Firms!$S$5:$S$1004,0)),"")</f>
        <v/>
      </c>
      <c r="B289" s="57">
        <f>IF($A289="","",INDEX(Firms!$B$5:$B$1004,MATCH(265,Firms!$S$5:$S$1004,0)))</f>
        <v/>
      </c>
      <c r="C289" s="57">
        <f>IF($A289="","",COUNTIF('AFA Rates'!$A$5:$A$1004,$A289))</f>
        <v/>
      </c>
      <c r="D289" s="57">
        <f>IF(OR($A289="",D$24=""),"",IF(COUNTIFS('AFA Rates'!$A$5:$A$1004,$A289,'AFA Rates'!$B$5:$B$1004,D$24)&gt;0,"✓",""))</f>
        <v/>
      </c>
      <c r="E289" s="57">
        <f>IF(OR($A289="",E$24=""),"",IF(COUNTIFS('AFA Rates'!$A$5:$A$1004,$A289,'AFA Rates'!$B$5:$B$1004,E$24)&gt;0,"✓",""))</f>
        <v/>
      </c>
      <c r="F289" s="57">
        <f>IF(OR($A289="",F$24=""),"",IF(COUNTIFS('AFA Rates'!$A$5:$A$1004,$A289,'AFA Rates'!$B$5:$B$1004,F$24)&gt;0,"✓",""))</f>
        <v/>
      </c>
      <c r="G289" s="57">
        <f>IF(OR($A289="",G$24=""),"",IF(COUNTIFS('AFA Rates'!$A$5:$A$1004,$A289,'AFA Rates'!$B$5:$B$1004,G$24)&gt;0,"✓",""))</f>
        <v/>
      </c>
      <c r="H289" s="57">
        <f>IF(OR($A289="",H$24=""),"",IF(COUNTIFS('AFA Rates'!$A$5:$A$1004,$A289,'AFA Rates'!$B$5:$B$1004,H$24)&gt;0,"✓",""))</f>
        <v/>
      </c>
      <c r="I289" s="57">
        <f>IF(OR($A289="",I$24=""),"",IF(COUNTIFS('AFA Rates'!$A$5:$A$1004,$A289,'AFA Rates'!$B$5:$B$1004,I$24)&gt;0,"✓",""))</f>
        <v/>
      </c>
      <c r="J289" s="57">
        <f>IF(OR($A289="",J$24=""),"",IF(COUNTIFS('AFA Rates'!$A$5:$A$1004,$A289,'AFA Rates'!$B$5:$B$1004,J$24)&gt;0,"✓",""))</f>
        <v/>
      </c>
      <c r="K289" s="57">
        <f>IF(OR($A289="",K$24=""),"",IF(COUNTIFS('AFA Rates'!$A$5:$A$1004,$A289,'AFA Rates'!$B$5:$B$1004,K$24)&gt;0,"✓",""))</f>
        <v/>
      </c>
      <c r="L289" s="57">
        <f>IF(OR($A289="",L$24=""),"",IF(COUNTIFS('AFA Rates'!$A$5:$A$1004,$A289,'AFA Rates'!$B$5:$B$1004,L$24)&gt;0,"✓",""))</f>
        <v/>
      </c>
      <c r="M289" s="57">
        <f>IF(OR($A289="",M$24=""),"",IF(COUNTIFS('AFA Rates'!$A$5:$A$1004,$A289,'AFA Rates'!$B$5:$B$1004,M$24)&gt;0,"✓",""))</f>
        <v/>
      </c>
    </row>
    <row r="290">
      <c r="A290" s="63">
        <f>IFERROR(INDEX(Firms!$A$5:$A$1004,MATCH(266,Firms!$S$5:$S$1004,0)),"")</f>
        <v/>
      </c>
      <c r="B290" s="57">
        <f>IF($A290="","",INDEX(Firms!$B$5:$B$1004,MATCH(266,Firms!$S$5:$S$1004,0)))</f>
        <v/>
      </c>
      <c r="C290" s="57">
        <f>IF($A290="","",COUNTIF('AFA Rates'!$A$5:$A$1004,$A290))</f>
        <v/>
      </c>
      <c r="D290" s="57">
        <f>IF(OR($A290="",D$24=""),"",IF(COUNTIFS('AFA Rates'!$A$5:$A$1004,$A290,'AFA Rates'!$B$5:$B$1004,D$24)&gt;0,"✓",""))</f>
        <v/>
      </c>
      <c r="E290" s="57">
        <f>IF(OR($A290="",E$24=""),"",IF(COUNTIFS('AFA Rates'!$A$5:$A$1004,$A290,'AFA Rates'!$B$5:$B$1004,E$24)&gt;0,"✓",""))</f>
        <v/>
      </c>
      <c r="F290" s="57">
        <f>IF(OR($A290="",F$24=""),"",IF(COUNTIFS('AFA Rates'!$A$5:$A$1004,$A290,'AFA Rates'!$B$5:$B$1004,F$24)&gt;0,"✓",""))</f>
        <v/>
      </c>
      <c r="G290" s="57">
        <f>IF(OR($A290="",G$24=""),"",IF(COUNTIFS('AFA Rates'!$A$5:$A$1004,$A290,'AFA Rates'!$B$5:$B$1004,G$24)&gt;0,"✓",""))</f>
        <v/>
      </c>
      <c r="H290" s="57">
        <f>IF(OR($A290="",H$24=""),"",IF(COUNTIFS('AFA Rates'!$A$5:$A$1004,$A290,'AFA Rates'!$B$5:$B$1004,H$24)&gt;0,"✓",""))</f>
        <v/>
      </c>
      <c r="I290" s="57">
        <f>IF(OR($A290="",I$24=""),"",IF(COUNTIFS('AFA Rates'!$A$5:$A$1004,$A290,'AFA Rates'!$B$5:$B$1004,I$24)&gt;0,"✓",""))</f>
        <v/>
      </c>
      <c r="J290" s="57">
        <f>IF(OR($A290="",J$24=""),"",IF(COUNTIFS('AFA Rates'!$A$5:$A$1004,$A290,'AFA Rates'!$B$5:$B$1004,J$24)&gt;0,"✓",""))</f>
        <v/>
      </c>
      <c r="K290" s="57">
        <f>IF(OR($A290="",K$24=""),"",IF(COUNTIFS('AFA Rates'!$A$5:$A$1004,$A290,'AFA Rates'!$B$5:$B$1004,K$24)&gt;0,"✓",""))</f>
        <v/>
      </c>
      <c r="L290" s="57">
        <f>IF(OR($A290="",L$24=""),"",IF(COUNTIFS('AFA Rates'!$A$5:$A$1004,$A290,'AFA Rates'!$B$5:$B$1004,L$24)&gt;0,"✓",""))</f>
        <v/>
      </c>
      <c r="M290" s="57">
        <f>IF(OR($A290="",M$24=""),"",IF(COUNTIFS('AFA Rates'!$A$5:$A$1004,$A290,'AFA Rates'!$B$5:$B$1004,M$24)&gt;0,"✓",""))</f>
        <v/>
      </c>
    </row>
    <row r="291">
      <c r="A291" s="63">
        <f>IFERROR(INDEX(Firms!$A$5:$A$1004,MATCH(267,Firms!$S$5:$S$1004,0)),"")</f>
        <v/>
      </c>
      <c r="B291" s="57">
        <f>IF($A291="","",INDEX(Firms!$B$5:$B$1004,MATCH(267,Firms!$S$5:$S$1004,0)))</f>
        <v/>
      </c>
      <c r="C291" s="57">
        <f>IF($A291="","",COUNTIF('AFA Rates'!$A$5:$A$1004,$A291))</f>
        <v/>
      </c>
      <c r="D291" s="57">
        <f>IF(OR($A291="",D$24=""),"",IF(COUNTIFS('AFA Rates'!$A$5:$A$1004,$A291,'AFA Rates'!$B$5:$B$1004,D$24)&gt;0,"✓",""))</f>
        <v/>
      </c>
      <c r="E291" s="57">
        <f>IF(OR($A291="",E$24=""),"",IF(COUNTIFS('AFA Rates'!$A$5:$A$1004,$A291,'AFA Rates'!$B$5:$B$1004,E$24)&gt;0,"✓",""))</f>
        <v/>
      </c>
      <c r="F291" s="57">
        <f>IF(OR($A291="",F$24=""),"",IF(COUNTIFS('AFA Rates'!$A$5:$A$1004,$A291,'AFA Rates'!$B$5:$B$1004,F$24)&gt;0,"✓",""))</f>
        <v/>
      </c>
      <c r="G291" s="57">
        <f>IF(OR($A291="",G$24=""),"",IF(COUNTIFS('AFA Rates'!$A$5:$A$1004,$A291,'AFA Rates'!$B$5:$B$1004,G$24)&gt;0,"✓",""))</f>
        <v/>
      </c>
      <c r="H291" s="57">
        <f>IF(OR($A291="",H$24=""),"",IF(COUNTIFS('AFA Rates'!$A$5:$A$1004,$A291,'AFA Rates'!$B$5:$B$1004,H$24)&gt;0,"✓",""))</f>
        <v/>
      </c>
      <c r="I291" s="57">
        <f>IF(OR($A291="",I$24=""),"",IF(COUNTIFS('AFA Rates'!$A$5:$A$1004,$A291,'AFA Rates'!$B$5:$B$1004,I$24)&gt;0,"✓",""))</f>
        <v/>
      </c>
      <c r="J291" s="57">
        <f>IF(OR($A291="",J$24=""),"",IF(COUNTIFS('AFA Rates'!$A$5:$A$1004,$A291,'AFA Rates'!$B$5:$B$1004,J$24)&gt;0,"✓",""))</f>
        <v/>
      </c>
      <c r="K291" s="57">
        <f>IF(OR($A291="",K$24=""),"",IF(COUNTIFS('AFA Rates'!$A$5:$A$1004,$A291,'AFA Rates'!$B$5:$B$1004,K$24)&gt;0,"✓",""))</f>
        <v/>
      </c>
      <c r="L291" s="57">
        <f>IF(OR($A291="",L$24=""),"",IF(COUNTIFS('AFA Rates'!$A$5:$A$1004,$A291,'AFA Rates'!$B$5:$B$1004,L$24)&gt;0,"✓",""))</f>
        <v/>
      </c>
      <c r="M291" s="57">
        <f>IF(OR($A291="",M$24=""),"",IF(COUNTIFS('AFA Rates'!$A$5:$A$1004,$A291,'AFA Rates'!$B$5:$B$1004,M$24)&gt;0,"✓",""))</f>
        <v/>
      </c>
    </row>
    <row r="292">
      <c r="A292" s="63">
        <f>IFERROR(INDEX(Firms!$A$5:$A$1004,MATCH(268,Firms!$S$5:$S$1004,0)),"")</f>
        <v/>
      </c>
      <c r="B292" s="57">
        <f>IF($A292="","",INDEX(Firms!$B$5:$B$1004,MATCH(268,Firms!$S$5:$S$1004,0)))</f>
        <v/>
      </c>
      <c r="C292" s="57">
        <f>IF($A292="","",COUNTIF('AFA Rates'!$A$5:$A$1004,$A292))</f>
        <v/>
      </c>
      <c r="D292" s="57">
        <f>IF(OR($A292="",D$24=""),"",IF(COUNTIFS('AFA Rates'!$A$5:$A$1004,$A292,'AFA Rates'!$B$5:$B$1004,D$24)&gt;0,"✓",""))</f>
        <v/>
      </c>
      <c r="E292" s="57">
        <f>IF(OR($A292="",E$24=""),"",IF(COUNTIFS('AFA Rates'!$A$5:$A$1004,$A292,'AFA Rates'!$B$5:$B$1004,E$24)&gt;0,"✓",""))</f>
        <v/>
      </c>
      <c r="F292" s="57">
        <f>IF(OR($A292="",F$24=""),"",IF(COUNTIFS('AFA Rates'!$A$5:$A$1004,$A292,'AFA Rates'!$B$5:$B$1004,F$24)&gt;0,"✓",""))</f>
        <v/>
      </c>
      <c r="G292" s="57">
        <f>IF(OR($A292="",G$24=""),"",IF(COUNTIFS('AFA Rates'!$A$5:$A$1004,$A292,'AFA Rates'!$B$5:$B$1004,G$24)&gt;0,"✓",""))</f>
        <v/>
      </c>
      <c r="H292" s="57">
        <f>IF(OR($A292="",H$24=""),"",IF(COUNTIFS('AFA Rates'!$A$5:$A$1004,$A292,'AFA Rates'!$B$5:$B$1004,H$24)&gt;0,"✓",""))</f>
        <v/>
      </c>
      <c r="I292" s="57">
        <f>IF(OR($A292="",I$24=""),"",IF(COUNTIFS('AFA Rates'!$A$5:$A$1004,$A292,'AFA Rates'!$B$5:$B$1004,I$24)&gt;0,"✓",""))</f>
        <v/>
      </c>
      <c r="J292" s="57">
        <f>IF(OR($A292="",J$24=""),"",IF(COUNTIFS('AFA Rates'!$A$5:$A$1004,$A292,'AFA Rates'!$B$5:$B$1004,J$24)&gt;0,"✓",""))</f>
        <v/>
      </c>
      <c r="K292" s="57">
        <f>IF(OR($A292="",K$24=""),"",IF(COUNTIFS('AFA Rates'!$A$5:$A$1004,$A292,'AFA Rates'!$B$5:$B$1004,K$24)&gt;0,"✓",""))</f>
        <v/>
      </c>
      <c r="L292" s="57">
        <f>IF(OR($A292="",L$24=""),"",IF(COUNTIFS('AFA Rates'!$A$5:$A$1004,$A292,'AFA Rates'!$B$5:$B$1004,L$24)&gt;0,"✓",""))</f>
        <v/>
      </c>
      <c r="M292" s="57">
        <f>IF(OR($A292="",M$24=""),"",IF(COUNTIFS('AFA Rates'!$A$5:$A$1004,$A292,'AFA Rates'!$B$5:$B$1004,M$24)&gt;0,"✓",""))</f>
        <v/>
      </c>
    </row>
    <row r="293">
      <c r="A293" s="63">
        <f>IFERROR(INDEX(Firms!$A$5:$A$1004,MATCH(269,Firms!$S$5:$S$1004,0)),"")</f>
        <v/>
      </c>
      <c r="B293" s="57">
        <f>IF($A293="","",INDEX(Firms!$B$5:$B$1004,MATCH(269,Firms!$S$5:$S$1004,0)))</f>
        <v/>
      </c>
      <c r="C293" s="57">
        <f>IF($A293="","",COUNTIF('AFA Rates'!$A$5:$A$1004,$A293))</f>
        <v/>
      </c>
      <c r="D293" s="57">
        <f>IF(OR($A293="",D$24=""),"",IF(COUNTIFS('AFA Rates'!$A$5:$A$1004,$A293,'AFA Rates'!$B$5:$B$1004,D$24)&gt;0,"✓",""))</f>
        <v/>
      </c>
      <c r="E293" s="57">
        <f>IF(OR($A293="",E$24=""),"",IF(COUNTIFS('AFA Rates'!$A$5:$A$1004,$A293,'AFA Rates'!$B$5:$B$1004,E$24)&gt;0,"✓",""))</f>
        <v/>
      </c>
      <c r="F293" s="57">
        <f>IF(OR($A293="",F$24=""),"",IF(COUNTIFS('AFA Rates'!$A$5:$A$1004,$A293,'AFA Rates'!$B$5:$B$1004,F$24)&gt;0,"✓",""))</f>
        <v/>
      </c>
      <c r="G293" s="57">
        <f>IF(OR($A293="",G$24=""),"",IF(COUNTIFS('AFA Rates'!$A$5:$A$1004,$A293,'AFA Rates'!$B$5:$B$1004,G$24)&gt;0,"✓",""))</f>
        <v/>
      </c>
      <c r="H293" s="57">
        <f>IF(OR($A293="",H$24=""),"",IF(COUNTIFS('AFA Rates'!$A$5:$A$1004,$A293,'AFA Rates'!$B$5:$B$1004,H$24)&gt;0,"✓",""))</f>
        <v/>
      </c>
      <c r="I293" s="57">
        <f>IF(OR($A293="",I$24=""),"",IF(COUNTIFS('AFA Rates'!$A$5:$A$1004,$A293,'AFA Rates'!$B$5:$B$1004,I$24)&gt;0,"✓",""))</f>
        <v/>
      </c>
      <c r="J293" s="57">
        <f>IF(OR($A293="",J$24=""),"",IF(COUNTIFS('AFA Rates'!$A$5:$A$1004,$A293,'AFA Rates'!$B$5:$B$1004,J$24)&gt;0,"✓",""))</f>
        <v/>
      </c>
      <c r="K293" s="57">
        <f>IF(OR($A293="",K$24=""),"",IF(COUNTIFS('AFA Rates'!$A$5:$A$1004,$A293,'AFA Rates'!$B$5:$B$1004,K$24)&gt;0,"✓",""))</f>
        <v/>
      </c>
      <c r="L293" s="57">
        <f>IF(OR($A293="",L$24=""),"",IF(COUNTIFS('AFA Rates'!$A$5:$A$1004,$A293,'AFA Rates'!$B$5:$B$1004,L$24)&gt;0,"✓",""))</f>
        <v/>
      </c>
      <c r="M293" s="57">
        <f>IF(OR($A293="",M$24=""),"",IF(COUNTIFS('AFA Rates'!$A$5:$A$1004,$A293,'AFA Rates'!$B$5:$B$1004,M$24)&gt;0,"✓",""))</f>
        <v/>
      </c>
    </row>
    <row r="294">
      <c r="A294" s="63">
        <f>IFERROR(INDEX(Firms!$A$5:$A$1004,MATCH(270,Firms!$S$5:$S$1004,0)),"")</f>
        <v/>
      </c>
      <c r="B294" s="57">
        <f>IF($A294="","",INDEX(Firms!$B$5:$B$1004,MATCH(270,Firms!$S$5:$S$1004,0)))</f>
        <v/>
      </c>
      <c r="C294" s="57">
        <f>IF($A294="","",COUNTIF('AFA Rates'!$A$5:$A$1004,$A294))</f>
        <v/>
      </c>
      <c r="D294" s="57">
        <f>IF(OR($A294="",D$24=""),"",IF(COUNTIFS('AFA Rates'!$A$5:$A$1004,$A294,'AFA Rates'!$B$5:$B$1004,D$24)&gt;0,"✓",""))</f>
        <v/>
      </c>
      <c r="E294" s="57">
        <f>IF(OR($A294="",E$24=""),"",IF(COUNTIFS('AFA Rates'!$A$5:$A$1004,$A294,'AFA Rates'!$B$5:$B$1004,E$24)&gt;0,"✓",""))</f>
        <v/>
      </c>
      <c r="F294" s="57">
        <f>IF(OR($A294="",F$24=""),"",IF(COUNTIFS('AFA Rates'!$A$5:$A$1004,$A294,'AFA Rates'!$B$5:$B$1004,F$24)&gt;0,"✓",""))</f>
        <v/>
      </c>
      <c r="G294" s="57">
        <f>IF(OR($A294="",G$24=""),"",IF(COUNTIFS('AFA Rates'!$A$5:$A$1004,$A294,'AFA Rates'!$B$5:$B$1004,G$24)&gt;0,"✓",""))</f>
        <v/>
      </c>
      <c r="H294" s="57">
        <f>IF(OR($A294="",H$24=""),"",IF(COUNTIFS('AFA Rates'!$A$5:$A$1004,$A294,'AFA Rates'!$B$5:$B$1004,H$24)&gt;0,"✓",""))</f>
        <v/>
      </c>
      <c r="I294" s="57">
        <f>IF(OR($A294="",I$24=""),"",IF(COUNTIFS('AFA Rates'!$A$5:$A$1004,$A294,'AFA Rates'!$B$5:$B$1004,I$24)&gt;0,"✓",""))</f>
        <v/>
      </c>
      <c r="J294" s="57">
        <f>IF(OR($A294="",J$24=""),"",IF(COUNTIFS('AFA Rates'!$A$5:$A$1004,$A294,'AFA Rates'!$B$5:$B$1004,J$24)&gt;0,"✓",""))</f>
        <v/>
      </c>
      <c r="K294" s="57">
        <f>IF(OR($A294="",K$24=""),"",IF(COUNTIFS('AFA Rates'!$A$5:$A$1004,$A294,'AFA Rates'!$B$5:$B$1004,K$24)&gt;0,"✓",""))</f>
        <v/>
      </c>
      <c r="L294" s="57">
        <f>IF(OR($A294="",L$24=""),"",IF(COUNTIFS('AFA Rates'!$A$5:$A$1004,$A294,'AFA Rates'!$B$5:$B$1004,L$24)&gt;0,"✓",""))</f>
        <v/>
      </c>
      <c r="M294" s="57">
        <f>IF(OR($A294="",M$24=""),"",IF(COUNTIFS('AFA Rates'!$A$5:$A$1004,$A294,'AFA Rates'!$B$5:$B$1004,M$24)&gt;0,"✓",""))</f>
        <v/>
      </c>
    </row>
    <row r="295">
      <c r="A295" s="63">
        <f>IFERROR(INDEX(Firms!$A$5:$A$1004,MATCH(271,Firms!$S$5:$S$1004,0)),"")</f>
        <v/>
      </c>
      <c r="B295" s="57">
        <f>IF($A295="","",INDEX(Firms!$B$5:$B$1004,MATCH(271,Firms!$S$5:$S$1004,0)))</f>
        <v/>
      </c>
      <c r="C295" s="57">
        <f>IF($A295="","",COUNTIF('AFA Rates'!$A$5:$A$1004,$A295))</f>
        <v/>
      </c>
      <c r="D295" s="57">
        <f>IF(OR($A295="",D$24=""),"",IF(COUNTIFS('AFA Rates'!$A$5:$A$1004,$A295,'AFA Rates'!$B$5:$B$1004,D$24)&gt;0,"✓",""))</f>
        <v/>
      </c>
      <c r="E295" s="57">
        <f>IF(OR($A295="",E$24=""),"",IF(COUNTIFS('AFA Rates'!$A$5:$A$1004,$A295,'AFA Rates'!$B$5:$B$1004,E$24)&gt;0,"✓",""))</f>
        <v/>
      </c>
      <c r="F295" s="57">
        <f>IF(OR($A295="",F$24=""),"",IF(COUNTIFS('AFA Rates'!$A$5:$A$1004,$A295,'AFA Rates'!$B$5:$B$1004,F$24)&gt;0,"✓",""))</f>
        <v/>
      </c>
      <c r="G295" s="57">
        <f>IF(OR($A295="",G$24=""),"",IF(COUNTIFS('AFA Rates'!$A$5:$A$1004,$A295,'AFA Rates'!$B$5:$B$1004,G$24)&gt;0,"✓",""))</f>
        <v/>
      </c>
      <c r="H295" s="57">
        <f>IF(OR($A295="",H$24=""),"",IF(COUNTIFS('AFA Rates'!$A$5:$A$1004,$A295,'AFA Rates'!$B$5:$B$1004,H$24)&gt;0,"✓",""))</f>
        <v/>
      </c>
      <c r="I295" s="57">
        <f>IF(OR($A295="",I$24=""),"",IF(COUNTIFS('AFA Rates'!$A$5:$A$1004,$A295,'AFA Rates'!$B$5:$B$1004,I$24)&gt;0,"✓",""))</f>
        <v/>
      </c>
      <c r="J295" s="57">
        <f>IF(OR($A295="",J$24=""),"",IF(COUNTIFS('AFA Rates'!$A$5:$A$1004,$A295,'AFA Rates'!$B$5:$B$1004,J$24)&gt;0,"✓",""))</f>
        <v/>
      </c>
      <c r="K295" s="57">
        <f>IF(OR($A295="",K$24=""),"",IF(COUNTIFS('AFA Rates'!$A$5:$A$1004,$A295,'AFA Rates'!$B$5:$B$1004,K$24)&gt;0,"✓",""))</f>
        <v/>
      </c>
      <c r="L295" s="57">
        <f>IF(OR($A295="",L$24=""),"",IF(COUNTIFS('AFA Rates'!$A$5:$A$1004,$A295,'AFA Rates'!$B$5:$B$1004,L$24)&gt;0,"✓",""))</f>
        <v/>
      </c>
      <c r="M295" s="57">
        <f>IF(OR($A295="",M$24=""),"",IF(COUNTIFS('AFA Rates'!$A$5:$A$1004,$A295,'AFA Rates'!$B$5:$B$1004,M$24)&gt;0,"✓",""))</f>
        <v/>
      </c>
    </row>
    <row r="296">
      <c r="A296" s="63">
        <f>IFERROR(INDEX(Firms!$A$5:$A$1004,MATCH(272,Firms!$S$5:$S$1004,0)),"")</f>
        <v/>
      </c>
      <c r="B296" s="57">
        <f>IF($A296="","",INDEX(Firms!$B$5:$B$1004,MATCH(272,Firms!$S$5:$S$1004,0)))</f>
        <v/>
      </c>
      <c r="C296" s="57">
        <f>IF($A296="","",COUNTIF('AFA Rates'!$A$5:$A$1004,$A296))</f>
        <v/>
      </c>
      <c r="D296" s="57">
        <f>IF(OR($A296="",D$24=""),"",IF(COUNTIFS('AFA Rates'!$A$5:$A$1004,$A296,'AFA Rates'!$B$5:$B$1004,D$24)&gt;0,"✓",""))</f>
        <v/>
      </c>
      <c r="E296" s="57">
        <f>IF(OR($A296="",E$24=""),"",IF(COUNTIFS('AFA Rates'!$A$5:$A$1004,$A296,'AFA Rates'!$B$5:$B$1004,E$24)&gt;0,"✓",""))</f>
        <v/>
      </c>
      <c r="F296" s="57">
        <f>IF(OR($A296="",F$24=""),"",IF(COUNTIFS('AFA Rates'!$A$5:$A$1004,$A296,'AFA Rates'!$B$5:$B$1004,F$24)&gt;0,"✓",""))</f>
        <v/>
      </c>
      <c r="G296" s="57">
        <f>IF(OR($A296="",G$24=""),"",IF(COUNTIFS('AFA Rates'!$A$5:$A$1004,$A296,'AFA Rates'!$B$5:$B$1004,G$24)&gt;0,"✓",""))</f>
        <v/>
      </c>
      <c r="H296" s="57">
        <f>IF(OR($A296="",H$24=""),"",IF(COUNTIFS('AFA Rates'!$A$5:$A$1004,$A296,'AFA Rates'!$B$5:$B$1004,H$24)&gt;0,"✓",""))</f>
        <v/>
      </c>
      <c r="I296" s="57">
        <f>IF(OR($A296="",I$24=""),"",IF(COUNTIFS('AFA Rates'!$A$5:$A$1004,$A296,'AFA Rates'!$B$5:$B$1004,I$24)&gt;0,"✓",""))</f>
        <v/>
      </c>
      <c r="J296" s="57">
        <f>IF(OR($A296="",J$24=""),"",IF(COUNTIFS('AFA Rates'!$A$5:$A$1004,$A296,'AFA Rates'!$B$5:$B$1004,J$24)&gt;0,"✓",""))</f>
        <v/>
      </c>
      <c r="K296" s="57">
        <f>IF(OR($A296="",K$24=""),"",IF(COUNTIFS('AFA Rates'!$A$5:$A$1004,$A296,'AFA Rates'!$B$5:$B$1004,K$24)&gt;0,"✓",""))</f>
        <v/>
      </c>
      <c r="L296" s="57">
        <f>IF(OR($A296="",L$24=""),"",IF(COUNTIFS('AFA Rates'!$A$5:$A$1004,$A296,'AFA Rates'!$B$5:$B$1004,L$24)&gt;0,"✓",""))</f>
        <v/>
      </c>
      <c r="M296" s="57">
        <f>IF(OR($A296="",M$24=""),"",IF(COUNTIFS('AFA Rates'!$A$5:$A$1004,$A296,'AFA Rates'!$B$5:$B$1004,M$24)&gt;0,"✓",""))</f>
        <v/>
      </c>
    </row>
    <row r="297">
      <c r="A297" s="63">
        <f>IFERROR(INDEX(Firms!$A$5:$A$1004,MATCH(273,Firms!$S$5:$S$1004,0)),"")</f>
        <v/>
      </c>
      <c r="B297" s="57">
        <f>IF($A297="","",INDEX(Firms!$B$5:$B$1004,MATCH(273,Firms!$S$5:$S$1004,0)))</f>
        <v/>
      </c>
      <c r="C297" s="57">
        <f>IF($A297="","",COUNTIF('AFA Rates'!$A$5:$A$1004,$A297))</f>
        <v/>
      </c>
      <c r="D297" s="57">
        <f>IF(OR($A297="",D$24=""),"",IF(COUNTIFS('AFA Rates'!$A$5:$A$1004,$A297,'AFA Rates'!$B$5:$B$1004,D$24)&gt;0,"✓",""))</f>
        <v/>
      </c>
      <c r="E297" s="57">
        <f>IF(OR($A297="",E$24=""),"",IF(COUNTIFS('AFA Rates'!$A$5:$A$1004,$A297,'AFA Rates'!$B$5:$B$1004,E$24)&gt;0,"✓",""))</f>
        <v/>
      </c>
      <c r="F297" s="57">
        <f>IF(OR($A297="",F$24=""),"",IF(COUNTIFS('AFA Rates'!$A$5:$A$1004,$A297,'AFA Rates'!$B$5:$B$1004,F$24)&gt;0,"✓",""))</f>
        <v/>
      </c>
      <c r="G297" s="57">
        <f>IF(OR($A297="",G$24=""),"",IF(COUNTIFS('AFA Rates'!$A$5:$A$1004,$A297,'AFA Rates'!$B$5:$B$1004,G$24)&gt;0,"✓",""))</f>
        <v/>
      </c>
      <c r="H297" s="57">
        <f>IF(OR($A297="",H$24=""),"",IF(COUNTIFS('AFA Rates'!$A$5:$A$1004,$A297,'AFA Rates'!$B$5:$B$1004,H$24)&gt;0,"✓",""))</f>
        <v/>
      </c>
      <c r="I297" s="57">
        <f>IF(OR($A297="",I$24=""),"",IF(COUNTIFS('AFA Rates'!$A$5:$A$1004,$A297,'AFA Rates'!$B$5:$B$1004,I$24)&gt;0,"✓",""))</f>
        <v/>
      </c>
      <c r="J297" s="57">
        <f>IF(OR($A297="",J$24=""),"",IF(COUNTIFS('AFA Rates'!$A$5:$A$1004,$A297,'AFA Rates'!$B$5:$B$1004,J$24)&gt;0,"✓",""))</f>
        <v/>
      </c>
      <c r="K297" s="57">
        <f>IF(OR($A297="",K$24=""),"",IF(COUNTIFS('AFA Rates'!$A$5:$A$1004,$A297,'AFA Rates'!$B$5:$B$1004,K$24)&gt;0,"✓",""))</f>
        <v/>
      </c>
      <c r="L297" s="57">
        <f>IF(OR($A297="",L$24=""),"",IF(COUNTIFS('AFA Rates'!$A$5:$A$1004,$A297,'AFA Rates'!$B$5:$B$1004,L$24)&gt;0,"✓",""))</f>
        <v/>
      </c>
      <c r="M297" s="57">
        <f>IF(OR($A297="",M$24=""),"",IF(COUNTIFS('AFA Rates'!$A$5:$A$1004,$A297,'AFA Rates'!$B$5:$B$1004,M$24)&gt;0,"✓",""))</f>
        <v/>
      </c>
    </row>
    <row r="298">
      <c r="A298" s="63">
        <f>IFERROR(INDEX(Firms!$A$5:$A$1004,MATCH(274,Firms!$S$5:$S$1004,0)),"")</f>
        <v/>
      </c>
      <c r="B298" s="57">
        <f>IF($A298="","",INDEX(Firms!$B$5:$B$1004,MATCH(274,Firms!$S$5:$S$1004,0)))</f>
        <v/>
      </c>
      <c r="C298" s="57">
        <f>IF($A298="","",COUNTIF('AFA Rates'!$A$5:$A$1004,$A298))</f>
        <v/>
      </c>
      <c r="D298" s="57">
        <f>IF(OR($A298="",D$24=""),"",IF(COUNTIFS('AFA Rates'!$A$5:$A$1004,$A298,'AFA Rates'!$B$5:$B$1004,D$24)&gt;0,"✓",""))</f>
        <v/>
      </c>
      <c r="E298" s="57">
        <f>IF(OR($A298="",E$24=""),"",IF(COUNTIFS('AFA Rates'!$A$5:$A$1004,$A298,'AFA Rates'!$B$5:$B$1004,E$24)&gt;0,"✓",""))</f>
        <v/>
      </c>
      <c r="F298" s="57">
        <f>IF(OR($A298="",F$24=""),"",IF(COUNTIFS('AFA Rates'!$A$5:$A$1004,$A298,'AFA Rates'!$B$5:$B$1004,F$24)&gt;0,"✓",""))</f>
        <v/>
      </c>
      <c r="G298" s="57">
        <f>IF(OR($A298="",G$24=""),"",IF(COUNTIFS('AFA Rates'!$A$5:$A$1004,$A298,'AFA Rates'!$B$5:$B$1004,G$24)&gt;0,"✓",""))</f>
        <v/>
      </c>
      <c r="H298" s="57">
        <f>IF(OR($A298="",H$24=""),"",IF(COUNTIFS('AFA Rates'!$A$5:$A$1004,$A298,'AFA Rates'!$B$5:$B$1004,H$24)&gt;0,"✓",""))</f>
        <v/>
      </c>
      <c r="I298" s="57">
        <f>IF(OR($A298="",I$24=""),"",IF(COUNTIFS('AFA Rates'!$A$5:$A$1004,$A298,'AFA Rates'!$B$5:$B$1004,I$24)&gt;0,"✓",""))</f>
        <v/>
      </c>
      <c r="J298" s="57">
        <f>IF(OR($A298="",J$24=""),"",IF(COUNTIFS('AFA Rates'!$A$5:$A$1004,$A298,'AFA Rates'!$B$5:$B$1004,J$24)&gt;0,"✓",""))</f>
        <v/>
      </c>
      <c r="K298" s="57">
        <f>IF(OR($A298="",K$24=""),"",IF(COUNTIFS('AFA Rates'!$A$5:$A$1004,$A298,'AFA Rates'!$B$5:$B$1004,K$24)&gt;0,"✓",""))</f>
        <v/>
      </c>
      <c r="L298" s="57">
        <f>IF(OR($A298="",L$24=""),"",IF(COUNTIFS('AFA Rates'!$A$5:$A$1004,$A298,'AFA Rates'!$B$5:$B$1004,L$24)&gt;0,"✓",""))</f>
        <v/>
      </c>
      <c r="M298" s="57">
        <f>IF(OR($A298="",M$24=""),"",IF(COUNTIFS('AFA Rates'!$A$5:$A$1004,$A298,'AFA Rates'!$B$5:$B$1004,M$24)&gt;0,"✓",""))</f>
        <v/>
      </c>
    </row>
    <row r="299">
      <c r="A299" s="63">
        <f>IFERROR(INDEX(Firms!$A$5:$A$1004,MATCH(275,Firms!$S$5:$S$1004,0)),"")</f>
        <v/>
      </c>
      <c r="B299" s="57">
        <f>IF($A299="","",INDEX(Firms!$B$5:$B$1004,MATCH(275,Firms!$S$5:$S$1004,0)))</f>
        <v/>
      </c>
      <c r="C299" s="57">
        <f>IF($A299="","",COUNTIF('AFA Rates'!$A$5:$A$1004,$A299))</f>
        <v/>
      </c>
      <c r="D299" s="57">
        <f>IF(OR($A299="",D$24=""),"",IF(COUNTIFS('AFA Rates'!$A$5:$A$1004,$A299,'AFA Rates'!$B$5:$B$1004,D$24)&gt;0,"✓",""))</f>
        <v/>
      </c>
      <c r="E299" s="57">
        <f>IF(OR($A299="",E$24=""),"",IF(COUNTIFS('AFA Rates'!$A$5:$A$1004,$A299,'AFA Rates'!$B$5:$B$1004,E$24)&gt;0,"✓",""))</f>
        <v/>
      </c>
      <c r="F299" s="57">
        <f>IF(OR($A299="",F$24=""),"",IF(COUNTIFS('AFA Rates'!$A$5:$A$1004,$A299,'AFA Rates'!$B$5:$B$1004,F$24)&gt;0,"✓",""))</f>
        <v/>
      </c>
      <c r="G299" s="57">
        <f>IF(OR($A299="",G$24=""),"",IF(COUNTIFS('AFA Rates'!$A$5:$A$1004,$A299,'AFA Rates'!$B$5:$B$1004,G$24)&gt;0,"✓",""))</f>
        <v/>
      </c>
      <c r="H299" s="57">
        <f>IF(OR($A299="",H$24=""),"",IF(COUNTIFS('AFA Rates'!$A$5:$A$1004,$A299,'AFA Rates'!$B$5:$B$1004,H$24)&gt;0,"✓",""))</f>
        <v/>
      </c>
      <c r="I299" s="57">
        <f>IF(OR($A299="",I$24=""),"",IF(COUNTIFS('AFA Rates'!$A$5:$A$1004,$A299,'AFA Rates'!$B$5:$B$1004,I$24)&gt;0,"✓",""))</f>
        <v/>
      </c>
      <c r="J299" s="57">
        <f>IF(OR($A299="",J$24=""),"",IF(COUNTIFS('AFA Rates'!$A$5:$A$1004,$A299,'AFA Rates'!$B$5:$B$1004,J$24)&gt;0,"✓",""))</f>
        <v/>
      </c>
      <c r="K299" s="57">
        <f>IF(OR($A299="",K$24=""),"",IF(COUNTIFS('AFA Rates'!$A$5:$A$1004,$A299,'AFA Rates'!$B$5:$B$1004,K$24)&gt;0,"✓",""))</f>
        <v/>
      </c>
      <c r="L299" s="57">
        <f>IF(OR($A299="",L$24=""),"",IF(COUNTIFS('AFA Rates'!$A$5:$A$1004,$A299,'AFA Rates'!$B$5:$B$1004,L$24)&gt;0,"✓",""))</f>
        <v/>
      </c>
      <c r="M299" s="57">
        <f>IF(OR($A299="",M$24=""),"",IF(COUNTIFS('AFA Rates'!$A$5:$A$1004,$A299,'AFA Rates'!$B$5:$B$1004,M$24)&gt;0,"✓",""))</f>
        <v/>
      </c>
    </row>
    <row r="300">
      <c r="A300" s="63">
        <f>IFERROR(INDEX(Firms!$A$5:$A$1004,MATCH(276,Firms!$S$5:$S$1004,0)),"")</f>
        <v/>
      </c>
      <c r="B300" s="57">
        <f>IF($A300="","",INDEX(Firms!$B$5:$B$1004,MATCH(276,Firms!$S$5:$S$1004,0)))</f>
        <v/>
      </c>
      <c r="C300" s="57">
        <f>IF($A300="","",COUNTIF('AFA Rates'!$A$5:$A$1004,$A300))</f>
        <v/>
      </c>
      <c r="D300" s="57">
        <f>IF(OR($A300="",D$24=""),"",IF(COUNTIFS('AFA Rates'!$A$5:$A$1004,$A300,'AFA Rates'!$B$5:$B$1004,D$24)&gt;0,"✓",""))</f>
        <v/>
      </c>
      <c r="E300" s="57">
        <f>IF(OR($A300="",E$24=""),"",IF(COUNTIFS('AFA Rates'!$A$5:$A$1004,$A300,'AFA Rates'!$B$5:$B$1004,E$24)&gt;0,"✓",""))</f>
        <v/>
      </c>
      <c r="F300" s="57">
        <f>IF(OR($A300="",F$24=""),"",IF(COUNTIFS('AFA Rates'!$A$5:$A$1004,$A300,'AFA Rates'!$B$5:$B$1004,F$24)&gt;0,"✓",""))</f>
        <v/>
      </c>
      <c r="G300" s="57">
        <f>IF(OR($A300="",G$24=""),"",IF(COUNTIFS('AFA Rates'!$A$5:$A$1004,$A300,'AFA Rates'!$B$5:$B$1004,G$24)&gt;0,"✓",""))</f>
        <v/>
      </c>
      <c r="H300" s="57">
        <f>IF(OR($A300="",H$24=""),"",IF(COUNTIFS('AFA Rates'!$A$5:$A$1004,$A300,'AFA Rates'!$B$5:$B$1004,H$24)&gt;0,"✓",""))</f>
        <v/>
      </c>
      <c r="I300" s="57">
        <f>IF(OR($A300="",I$24=""),"",IF(COUNTIFS('AFA Rates'!$A$5:$A$1004,$A300,'AFA Rates'!$B$5:$B$1004,I$24)&gt;0,"✓",""))</f>
        <v/>
      </c>
      <c r="J300" s="57">
        <f>IF(OR($A300="",J$24=""),"",IF(COUNTIFS('AFA Rates'!$A$5:$A$1004,$A300,'AFA Rates'!$B$5:$B$1004,J$24)&gt;0,"✓",""))</f>
        <v/>
      </c>
      <c r="K300" s="57">
        <f>IF(OR($A300="",K$24=""),"",IF(COUNTIFS('AFA Rates'!$A$5:$A$1004,$A300,'AFA Rates'!$B$5:$B$1004,K$24)&gt;0,"✓",""))</f>
        <v/>
      </c>
      <c r="L300" s="57">
        <f>IF(OR($A300="",L$24=""),"",IF(COUNTIFS('AFA Rates'!$A$5:$A$1004,$A300,'AFA Rates'!$B$5:$B$1004,L$24)&gt;0,"✓",""))</f>
        <v/>
      </c>
      <c r="M300" s="57">
        <f>IF(OR($A300="",M$24=""),"",IF(COUNTIFS('AFA Rates'!$A$5:$A$1004,$A300,'AFA Rates'!$B$5:$B$1004,M$24)&gt;0,"✓",""))</f>
        <v/>
      </c>
    </row>
    <row r="301">
      <c r="A301" s="63">
        <f>IFERROR(INDEX(Firms!$A$5:$A$1004,MATCH(277,Firms!$S$5:$S$1004,0)),"")</f>
        <v/>
      </c>
      <c r="B301" s="57">
        <f>IF($A301="","",INDEX(Firms!$B$5:$B$1004,MATCH(277,Firms!$S$5:$S$1004,0)))</f>
        <v/>
      </c>
      <c r="C301" s="57">
        <f>IF($A301="","",COUNTIF('AFA Rates'!$A$5:$A$1004,$A301))</f>
        <v/>
      </c>
      <c r="D301" s="57">
        <f>IF(OR($A301="",D$24=""),"",IF(COUNTIFS('AFA Rates'!$A$5:$A$1004,$A301,'AFA Rates'!$B$5:$B$1004,D$24)&gt;0,"✓",""))</f>
        <v/>
      </c>
      <c r="E301" s="57">
        <f>IF(OR($A301="",E$24=""),"",IF(COUNTIFS('AFA Rates'!$A$5:$A$1004,$A301,'AFA Rates'!$B$5:$B$1004,E$24)&gt;0,"✓",""))</f>
        <v/>
      </c>
      <c r="F301" s="57">
        <f>IF(OR($A301="",F$24=""),"",IF(COUNTIFS('AFA Rates'!$A$5:$A$1004,$A301,'AFA Rates'!$B$5:$B$1004,F$24)&gt;0,"✓",""))</f>
        <v/>
      </c>
      <c r="G301" s="57">
        <f>IF(OR($A301="",G$24=""),"",IF(COUNTIFS('AFA Rates'!$A$5:$A$1004,$A301,'AFA Rates'!$B$5:$B$1004,G$24)&gt;0,"✓",""))</f>
        <v/>
      </c>
      <c r="H301" s="57">
        <f>IF(OR($A301="",H$24=""),"",IF(COUNTIFS('AFA Rates'!$A$5:$A$1004,$A301,'AFA Rates'!$B$5:$B$1004,H$24)&gt;0,"✓",""))</f>
        <v/>
      </c>
      <c r="I301" s="57">
        <f>IF(OR($A301="",I$24=""),"",IF(COUNTIFS('AFA Rates'!$A$5:$A$1004,$A301,'AFA Rates'!$B$5:$B$1004,I$24)&gt;0,"✓",""))</f>
        <v/>
      </c>
      <c r="J301" s="57">
        <f>IF(OR($A301="",J$24=""),"",IF(COUNTIFS('AFA Rates'!$A$5:$A$1004,$A301,'AFA Rates'!$B$5:$B$1004,J$24)&gt;0,"✓",""))</f>
        <v/>
      </c>
      <c r="K301" s="57">
        <f>IF(OR($A301="",K$24=""),"",IF(COUNTIFS('AFA Rates'!$A$5:$A$1004,$A301,'AFA Rates'!$B$5:$B$1004,K$24)&gt;0,"✓",""))</f>
        <v/>
      </c>
      <c r="L301" s="57">
        <f>IF(OR($A301="",L$24=""),"",IF(COUNTIFS('AFA Rates'!$A$5:$A$1004,$A301,'AFA Rates'!$B$5:$B$1004,L$24)&gt;0,"✓",""))</f>
        <v/>
      </c>
      <c r="M301" s="57">
        <f>IF(OR($A301="",M$24=""),"",IF(COUNTIFS('AFA Rates'!$A$5:$A$1004,$A301,'AFA Rates'!$B$5:$B$1004,M$24)&gt;0,"✓",""))</f>
        <v/>
      </c>
    </row>
    <row r="302">
      <c r="A302" s="63">
        <f>IFERROR(INDEX(Firms!$A$5:$A$1004,MATCH(278,Firms!$S$5:$S$1004,0)),"")</f>
        <v/>
      </c>
      <c r="B302" s="57">
        <f>IF($A302="","",INDEX(Firms!$B$5:$B$1004,MATCH(278,Firms!$S$5:$S$1004,0)))</f>
        <v/>
      </c>
      <c r="C302" s="57">
        <f>IF($A302="","",COUNTIF('AFA Rates'!$A$5:$A$1004,$A302))</f>
        <v/>
      </c>
      <c r="D302" s="57">
        <f>IF(OR($A302="",D$24=""),"",IF(COUNTIFS('AFA Rates'!$A$5:$A$1004,$A302,'AFA Rates'!$B$5:$B$1004,D$24)&gt;0,"✓",""))</f>
        <v/>
      </c>
      <c r="E302" s="57">
        <f>IF(OR($A302="",E$24=""),"",IF(COUNTIFS('AFA Rates'!$A$5:$A$1004,$A302,'AFA Rates'!$B$5:$B$1004,E$24)&gt;0,"✓",""))</f>
        <v/>
      </c>
      <c r="F302" s="57">
        <f>IF(OR($A302="",F$24=""),"",IF(COUNTIFS('AFA Rates'!$A$5:$A$1004,$A302,'AFA Rates'!$B$5:$B$1004,F$24)&gt;0,"✓",""))</f>
        <v/>
      </c>
      <c r="G302" s="57">
        <f>IF(OR($A302="",G$24=""),"",IF(COUNTIFS('AFA Rates'!$A$5:$A$1004,$A302,'AFA Rates'!$B$5:$B$1004,G$24)&gt;0,"✓",""))</f>
        <v/>
      </c>
      <c r="H302" s="57">
        <f>IF(OR($A302="",H$24=""),"",IF(COUNTIFS('AFA Rates'!$A$5:$A$1004,$A302,'AFA Rates'!$B$5:$B$1004,H$24)&gt;0,"✓",""))</f>
        <v/>
      </c>
      <c r="I302" s="57">
        <f>IF(OR($A302="",I$24=""),"",IF(COUNTIFS('AFA Rates'!$A$5:$A$1004,$A302,'AFA Rates'!$B$5:$B$1004,I$24)&gt;0,"✓",""))</f>
        <v/>
      </c>
      <c r="J302" s="57">
        <f>IF(OR($A302="",J$24=""),"",IF(COUNTIFS('AFA Rates'!$A$5:$A$1004,$A302,'AFA Rates'!$B$5:$B$1004,J$24)&gt;0,"✓",""))</f>
        <v/>
      </c>
      <c r="K302" s="57">
        <f>IF(OR($A302="",K$24=""),"",IF(COUNTIFS('AFA Rates'!$A$5:$A$1004,$A302,'AFA Rates'!$B$5:$B$1004,K$24)&gt;0,"✓",""))</f>
        <v/>
      </c>
      <c r="L302" s="57">
        <f>IF(OR($A302="",L$24=""),"",IF(COUNTIFS('AFA Rates'!$A$5:$A$1004,$A302,'AFA Rates'!$B$5:$B$1004,L$24)&gt;0,"✓",""))</f>
        <v/>
      </c>
      <c r="M302" s="57">
        <f>IF(OR($A302="",M$24=""),"",IF(COUNTIFS('AFA Rates'!$A$5:$A$1004,$A302,'AFA Rates'!$B$5:$B$1004,M$24)&gt;0,"✓",""))</f>
        <v/>
      </c>
    </row>
    <row r="303">
      <c r="A303" s="63">
        <f>IFERROR(INDEX(Firms!$A$5:$A$1004,MATCH(279,Firms!$S$5:$S$1004,0)),"")</f>
        <v/>
      </c>
      <c r="B303" s="57">
        <f>IF($A303="","",INDEX(Firms!$B$5:$B$1004,MATCH(279,Firms!$S$5:$S$1004,0)))</f>
        <v/>
      </c>
      <c r="C303" s="57">
        <f>IF($A303="","",COUNTIF('AFA Rates'!$A$5:$A$1004,$A303))</f>
        <v/>
      </c>
      <c r="D303" s="57">
        <f>IF(OR($A303="",D$24=""),"",IF(COUNTIFS('AFA Rates'!$A$5:$A$1004,$A303,'AFA Rates'!$B$5:$B$1004,D$24)&gt;0,"✓",""))</f>
        <v/>
      </c>
      <c r="E303" s="57">
        <f>IF(OR($A303="",E$24=""),"",IF(COUNTIFS('AFA Rates'!$A$5:$A$1004,$A303,'AFA Rates'!$B$5:$B$1004,E$24)&gt;0,"✓",""))</f>
        <v/>
      </c>
      <c r="F303" s="57">
        <f>IF(OR($A303="",F$24=""),"",IF(COUNTIFS('AFA Rates'!$A$5:$A$1004,$A303,'AFA Rates'!$B$5:$B$1004,F$24)&gt;0,"✓",""))</f>
        <v/>
      </c>
      <c r="G303" s="57">
        <f>IF(OR($A303="",G$24=""),"",IF(COUNTIFS('AFA Rates'!$A$5:$A$1004,$A303,'AFA Rates'!$B$5:$B$1004,G$24)&gt;0,"✓",""))</f>
        <v/>
      </c>
      <c r="H303" s="57">
        <f>IF(OR($A303="",H$24=""),"",IF(COUNTIFS('AFA Rates'!$A$5:$A$1004,$A303,'AFA Rates'!$B$5:$B$1004,H$24)&gt;0,"✓",""))</f>
        <v/>
      </c>
      <c r="I303" s="57">
        <f>IF(OR($A303="",I$24=""),"",IF(COUNTIFS('AFA Rates'!$A$5:$A$1004,$A303,'AFA Rates'!$B$5:$B$1004,I$24)&gt;0,"✓",""))</f>
        <v/>
      </c>
      <c r="J303" s="57">
        <f>IF(OR($A303="",J$24=""),"",IF(COUNTIFS('AFA Rates'!$A$5:$A$1004,$A303,'AFA Rates'!$B$5:$B$1004,J$24)&gt;0,"✓",""))</f>
        <v/>
      </c>
      <c r="K303" s="57">
        <f>IF(OR($A303="",K$24=""),"",IF(COUNTIFS('AFA Rates'!$A$5:$A$1004,$A303,'AFA Rates'!$B$5:$B$1004,K$24)&gt;0,"✓",""))</f>
        <v/>
      </c>
      <c r="L303" s="57">
        <f>IF(OR($A303="",L$24=""),"",IF(COUNTIFS('AFA Rates'!$A$5:$A$1004,$A303,'AFA Rates'!$B$5:$B$1004,L$24)&gt;0,"✓",""))</f>
        <v/>
      </c>
      <c r="M303" s="57">
        <f>IF(OR($A303="",M$24=""),"",IF(COUNTIFS('AFA Rates'!$A$5:$A$1004,$A303,'AFA Rates'!$B$5:$B$1004,M$24)&gt;0,"✓",""))</f>
        <v/>
      </c>
    </row>
    <row r="304">
      <c r="A304" s="63">
        <f>IFERROR(INDEX(Firms!$A$5:$A$1004,MATCH(280,Firms!$S$5:$S$1004,0)),"")</f>
        <v/>
      </c>
      <c r="B304" s="57">
        <f>IF($A304="","",INDEX(Firms!$B$5:$B$1004,MATCH(280,Firms!$S$5:$S$1004,0)))</f>
        <v/>
      </c>
      <c r="C304" s="57">
        <f>IF($A304="","",COUNTIF('AFA Rates'!$A$5:$A$1004,$A304))</f>
        <v/>
      </c>
      <c r="D304" s="57">
        <f>IF(OR($A304="",D$24=""),"",IF(COUNTIFS('AFA Rates'!$A$5:$A$1004,$A304,'AFA Rates'!$B$5:$B$1004,D$24)&gt;0,"✓",""))</f>
        <v/>
      </c>
      <c r="E304" s="57">
        <f>IF(OR($A304="",E$24=""),"",IF(COUNTIFS('AFA Rates'!$A$5:$A$1004,$A304,'AFA Rates'!$B$5:$B$1004,E$24)&gt;0,"✓",""))</f>
        <v/>
      </c>
      <c r="F304" s="57">
        <f>IF(OR($A304="",F$24=""),"",IF(COUNTIFS('AFA Rates'!$A$5:$A$1004,$A304,'AFA Rates'!$B$5:$B$1004,F$24)&gt;0,"✓",""))</f>
        <v/>
      </c>
      <c r="G304" s="57">
        <f>IF(OR($A304="",G$24=""),"",IF(COUNTIFS('AFA Rates'!$A$5:$A$1004,$A304,'AFA Rates'!$B$5:$B$1004,G$24)&gt;0,"✓",""))</f>
        <v/>
      </c>
      <c r="H304" s="57">
        <f>IF(OR($A304="",H$24=""),"",IF(COUNTIFS('AFA Rates'!$A$5:$A$1004,$A304,'AFA Rates'!$B$5:$B$1004,H$24)&gt;0,"✓",""))</f>
        <v/>
      </c>
      <c r="I304" s="57">
        <f>IF(OR($A304="",I$24=""),"",IF(COUNTIFS('AFA Rates'!$A$5:$A$1004,$A304,'AFA Rates'!$B$5:$B$1004,I$24)&gt;0,"✓",""))</f>
        <v/>
      </c>
      <c r="J304" s="57">
        <f>IF(OR($A304="",J$24=""),"",IF(COUNTIFS('AFA Rates'!$A$5:$A$1004,$A304,'AFA Rates'!$B$5:$B$1004,J$24)&gt;0,"✓",""))</f>
        <v/>
      </c>
      <c r="K304" s="57">
        <f>IF(OR($A304="",K$24=""),"",IF(COUNTIFS('AFA Rates'!$A$5:$A$1004,$A304,'AFA Rates'!$B$5:$B$1004,K$24)&gt;0,"✓",""))</f>
        <v/>
      </c>
      <c r="L304" s="57">
        <f>IF(OR($A304="",L$24=""),"",IF(COUNTIFS('AFA Rates'!$A$5:$A$1004,$A304,'AFA Rates'!$B$5:$B$1004,L$24)&gt;0,"✓",""))</f>
        <v/>
      </c>
      <c r="M304" s="57">
        <f>IF(OR($A304="",M$24=""),"",IF(COUNTIFS('AFA Rates'!$A$5:$A$1004,$A304,'AFA Rates'!$B$5:$B$1004,M$24)&gt;0,"✓",""))</f>
        <v/>
      </c>
    </row>
    <row r="305">
      <c r="A305" s="63">
        <f>IFERROR(INDEX(Firms!$A$5:$A$1004,MATCH(281,Firms!$S$5:$S$1004,0)),"")</f>
        <v/>
      </c>
      <c r="B305" s="57">
        <f>IF($A305="","",INDEX(Firms!$B$5:$B$1004,MATCH(281,Firms!$S$5:$S$1004,0)))</f>
        <v/>
      </c>
      <c r="C305" s="57">
        <f>IF($A305="","",COUNTIF('AFA Rates'!$A$5:$A$1004,$A305))</f>
        <v/>
      </c>
      <c r="D305" s="57">
        <f>IF(OR($A305="",D$24=""),"",IF(COUNTIFS('AFA Rates'!$A$5:$A$1004,$A305,'AFA Rates'!$B$5:$B$1004,D$24)&gt;0,"✓",""))</f>
        <v/>
      </c>
      <c r="E305" s="57">
        <f>IF(OR($A305="",E$24=""),"",IF(COUNTIFS('AFA Rates'!$A$5:$A$1004,$A305,'AFA Rates'!$B$5:$B$1004,E$24)&gt;0,"✓",""))</f>
        <v/>
      </c>
      <c r="F305" s="57">
        <f>IF(OR($A305="",F$24=""),"",IF(COUNTIFS('AFA Rates'!$A$5:$A$1004,$A305,'AFA Rates'!$B$5:$B$1004,F$24)&gt;0,"✓",""))</f>
        <v/>
      </c>
      <c r="G305" s="57">
        <f>IF(OR($A305="",G$24=""),"",IF(COUNTIFS('AFA Rates'!$A$5:$A$1004,$A305,'AFA Rates'!$B$5:$B$1004,G$24)&gt;0,"✓",""))</f>
        <v/>
      </c>
      <c r="H305" s="57">
        <f>IF(OR($A305="",H$24=""),"",IF(COUNTIFS('AFA Rates'!$A$5:$A$1004,$A305,'AFA Rates'!$B$5:$B$1004,H$24)&gt;0,"✓",""))</f>
        <v/>
      </c>
      <c r="I305" s="57">
        <f>IF(OR($A305="",I$24=""),"",IF(COUNTIFS('AFA Rates'!$A$5:$A$1004,$A305,'AFA Rates'!$B$5:$B$1004,I$24)&gt;0,"✓",""))</f>
        <v/>
      </c>
      <c r="J305" s="57">
        <f>IF(OR($A305="",J$24=""),"",IF(COUNTIFS('AFA Rates'!$A$5:$A$1004,$A305,'AFA Rates'!$B$5:$B$1004,J$24)&gt;0,"✓",""))</f>
        <v/>
      </c>
      <c r="K305" s="57">
        <f>IF(OR($A305="",K$24=""),"",IF(COUNTIFS('AFA Rates'!$A$5:$A$1004,$A305,'AFA Rates'!$B$5:$B$1004,K$24)&gt;0,"✓",""))</f>
        <v/>
      </c>
      <c r="L305" s="57">
        <f>IF(OR($A305="",L$24=""),"",IF(COUNTIFS('AFA Rates'!$A$5:$A$1004,$A305,'AFA Rates'!$B$5:$B$1004,L$24)&gt;0,"✓",""))</f>
        <v/>
      </c>
      <c r="M305" s="57">
        <f>IF(OR($A305="",M$24=""),"",IF(COUNTIFS('AFA Rates'!$A$5:$A$1004,$A305,'AFA Rates'!$B$5:$B$1004,M$24)&gt;0,"✓",""))</f>
        <v/>
      </c>
    </row>
    <row r="306">
      <c r="A306" s="63">
        <f>IFERROR(INDEX(Firms!$A$5:$A$1004,MATCH(282,Firms!$S$5:$S$1004,0)),"")</f>
        <v/>
      </c>
      <c r="B306" s="57">
        <f>IF($A306="","",INDEX(Firms!$B$5:$B$1004,MATCH(282,Firms!$S$5:$S$1004,0)))</f>
        <v/>
      </c>
      <c r="C306" s="57">
        <f>IF($A306="","",COUNTIF('AFA Rates'!$A$5:$A$1004,$A306))</f>
        <v/>
      </c>
      <c r="D306" s="57">
        <f>IF(OR($A306="",D$24=""),"",IF(COUNTIFS('AFA Rates'!$A$5:$A$1004,$A306,'AFA Rates'!$B$5:$B$1004,D$24)&gt;0,"✓",""))</f>
        <v/>
      </c>
      <c r="E306" s="57">
        <f>IF(OR($A306="",E$24=""),"",IF(COUNTIFS('AFA Rates'!$A$5:$A$1004,$A306,'AFA Rates'!$B$5:$B$1004,E$24)&gt;0,"✓",""))</f>
        <v/>
      </c>
      <c r="F306" s="57">
        <f>IF(OR($A306="",F$24=""),"",IF(COUNTIFS('AFA Rates'!$A$5:$A$1004,$A306,'AFA Rates'!$B$5:$B$1004,F$24)&gt;0,"✓",""))</f>
        <v/>
      </c>
      <c r="G306" s="57">
        <f>IF(OR($A306="",G$24=""),"",IF(COUNTIFS('AFA Rates'!$A$5:$A$1004,$A306,'AFA Rates'!$B$5:$B$1004,G$24)&gt;0,"✓",""))</f>
        <v/>
      </c>
      <c r="H306" s="57">
        <f>IF(OR($A306="",H$24=""),"",IF(COUNTIFS('AFA Rates'!$A$5:$A$1004,$A306,'AFA Rates'!$B$5:$B$1004,H$24)&gt;0,"✓",""))</f>
        <v/>
      </c>
      <c r="I306" s="57">
        <f>IF(OR($A306="",I$24=""),"",IF(COUNTIFS('AFA Rates'!$A$5:$A$1004,$A306,'AFA Rates'!$B$5:$B$1004,I$24)&gt;0,"✓",""))</f>
        <v/>
      </c>
      <c r="J306" s="57">
        <f>IF(OR($A306="",J$24=""),"",IF(COUNTIFS('AFA Rates'!$A$5:$A$1004,$A306,'AFA Rates'!$B$5:$B$1004,J$24)&gt;0,"✓",""))</f>
        <v/>
      </c>
      <c r="K306" s="57">
        <f>IF(OR($A306="",K$24=""),"",IF(COUNTIFS('AFA Rates'!$A$5:$A$1004,$A306,'AFA Rates'!$B$5:$B$1004,K$24)&gt;0,"✓",""))</f>
        <v/>
      </c>
      <c r="L306" s="57">
        <f>IF(OR($A306="",L$24=""),"",IF(COUNTIFS('AFA Rates'!$A$5:$A$1004,$A306,'AFA Rates'!$B$5:$B$1004,L$24)&gt;0,"✓",""))</f>
        <v/>
      </c>
      <c r="M306" s="57">
        <f>IF(OR($A306="",M$24=""),"",IF(COUNTIFS('AFA Rates'!$A$5:$A$1004,$A306,'AFA Rates'!$B$5:$B$1004,M$24)&gt;0,"✓",""))</f>
        <v/>
      </c>
    </row>
    <row r="307">
      <c r="A307" s="63">
        <f>IFERROR(INDEX(Firms!$A$5:$A$1004,MATCH(283,Firms!$S$5:$S$1004,0)),"")</f>
        <v/>
      </c>
      <c r="B307" s="57">
        <f>IF($A307="","",INDEX(Firms!$B$5:$B$1004,MATCH(283,Firms!$S$5:$S$1004,0)))</f>
        <v/>
      </c>
      <c r="C307" s="57">
        <f>IF($A307="","",COUNTIF('AFA Rates'!$A$5:$A$1004,$A307))</f>
        <v/>
      </c>
      <c r="D307" s="57">
        <f>IF(OR($A307="",D$24=""),"",IF(COUNTIFS('AFA Rates'!$A$5:$A$1004,$A307,'AFA Rates'!$B$5:$B$1004,D$24)&gt;0,"✓",""))</f>
        <v/>
      </c>
      <c r="E307" s="57">
        <f>IF(OR($A307="",E$24=""),"",IF(COUNTIFS('AFA Rates'!$A$5:$A$1004,$A307,'AFA Rates'!$B$5:$B$1004,E$24)&gt;0,"✓",""))</f>
        <v/>
      </c>
      <c r="F307" s="57">
        <f>IF(OR($A307="",F$24=""),"",IF(COUNTIFS('AFA Rates'!$A$5:$A$1004,$A307,'AFA Rates'!$B$5:$B$1004,F$24)&gt;0,"✓",""))</f>
        <v/>
      </c>
      <c r="G307" s="57">
        <f>IF(OR($A307="",G$24=""),"",IF(COUNTIFS('AFA Rates'!$A$5:$A$1004,$A307,'AFA Rates'!$B$5:$B$1004,G$24)&gt;0,"✓",""))</f>
        <v/>
      </c>
      <c r="H307" s="57">
        <f>IF(OR($A307="",H$24=""),"",IF(COUNTIFS('AFA Rates'!$A$5:$A$1004,$A307,'AFA Rates'!$B$5:$B$1004,H$24)&gt;0,"✓",""))</f>
        <v/>
      </c>
      <c r="I307" s="57">
        <f>IF(OR($A307="",I$24=""),"",IF(COUNTIFS('AFA Rates'!$A$5:$A$1004,$A307,'AFA Rates'!$B$5:$B$1004,I$24)&gt;0,"✓",""))</f>
        <v/>
      </c>
      <c r="J307" s="57">
        <f>IF(OR($A307="",J$24=""),"",IF(COUNTIFS('AFA Rates'!$A$5:$A$1004,$A307,'AFA Rates'!$B$5:$B$1004,J$24)&gt;0,"✓",""))</f>
        <v/>
      </c>
      <c r="K307" s="57">
        <f>IF(OR($A307="",K$24=""),"",IF(COUNTIFS('AFA Rates'!$A$5:$A$1004,$A307,'AFA Rates'!$B$5:$B$1004,K$24)&gt;0,"✓",""))</f>
        <v/>
      </c>
      <c r="L307" s="57">
        <f>IF(OR($A307="",L$24=""),"",IF(COUNTIFS('AFA Rates'!$A$5:$A$1004,$A307,'AFA Rates'!$B$5:$B$1004,L$24)&gt;0,"✓",""))</f>
        <v/>
      </c>
      <c r="M307" s="57">
        <f>IF(OR($A307="",M$24=""),"",IF(COUNTIFS('AFA Rates'!$A$5:$A$1004,$A307,'AFA Rates'!$B$5:$B$1004,M$24)&gt;0,"✓",""))</f>
        <v/>
      </c>
    </row>
    <row r="308">
      <c r="A308" s="63">
        <f>IFERROR(INDEX(Firms!$A$5:$A$1004,MATCH(284,Firms!$S$5:$S$1004,0)),"")</f>
        <v/>
      </c>
      <c r="B308" s="57">
        <f>IF($A308="","",INDEX(Firms!$B$5:$B$1004,MATCH(284,Firms!$S$5:$S$1004,0)))</f>
        <v/>
      </c>
      <c r="C308" s="57">
        <f>IF($A308="","",COUNTIF('AFA Rates'!$A$5:$A$1004,$A308))</f>
        <v/>
      </c>
      <c r="D308" s="57">
        <f>IF(OR($A308="",D$24=""),"",IF(COUNTIFS('AFA Rates'!$A$5:$A$1004,$A308,'AFA Rates'!$B$5:$B$1004,D$24)&gt;0,"✓",""))</f>
        <v/>
      </c>
      <c r="E308" s="57">
        <f>IF(OR($A308="",E$24=""),"",IF(COUNTIFS('AFA Rates'!$A$5:$A$1004,$A308,'AFA Rates'!$B$5:$B$1004,E$24)&gt;0,"✓",""))</f>
        <v/>
      </c>
      <c r="F308" s="57">
        <f>IF(OR($A308="",F$24=""),"",IF(COUNTIFS('AFA Rates'!$A$5:$A$1004,$A308,'AFA Rates'!$B$5:$B$1004,F$24)&gt;0,"✓",""))</f>
        <v/>
      </c>
      <c r="G308" s="57">
        <f>IF(OR($A308="",G$24=""),"",IF(COUNTIFS('AFA Rates'!$A$5:$A$1004,$A308,'AFA Rates'!$B$5:$B$1004,G$24)&gt;0,"✓",""))</f>
        <v/>
      </c>
      <c r="H308" s="57">
        <f>IF(OR($A308="",H$24=""),"",IF(COUNTIFS('AFA Rates'!$A$5:$A$1004,$A308,'AFA Rates'!$B$5:$B$1004,H$24)&gt;0,"✓",""))</f>
        <v/>
      </c>
      <c r="I308" s="57">
        <f>IF(OR($A308="",I$24=""),"",IF(COUNTIFS('AFA Rates'!$A$5:$A$1004,$A308,'AFA Rates'!$B$5:$B$1004,I$24)&gt;0,"✓",""))</f>
        <v/>
      </c>
      <c r="J308" s="57">
        <f>IF(OR($A308="",J$24=""),"",IF(COUNTIFS('AFA Rates'!$A$5:$A$1004,$A308,'AFA Rates'!$B$5:$B$1004,J$24)&gt;0,"✓",""))</f>
        <v/>
      </c>
      <c r="K308" s="57">
        <f>IF(OR($A308="",K$24=""),"",IF(COUNTIFS('AFA Rates'!$A$5:$A$1004,$A308,'AFA Rates'!$B$5:$B$1004,K$24)&gt;0,"✓",""))</f>
        <v/>
      </c>
      <c r="L308" s="57">
        <f>IF(OR($A308="",L$24=""),"",IF(COUNTIFS('AFA Rates'!$A$5:$A$1004,$A308,'AFA Rates'!$B$5:$B$1004,L$24)&gt;0,"✓",""))</f>
        <v/>
      </c>
      <c r="M308" s="57">
        <f>IF(OR($A308="",M$24=""),"",IF(COUNTIFS('AFA Rates'!$A$5:$A$1004,$A308,'AFA Rates'!$B$5:$B$1004,M$24)&gt;0,"✓",""))</f>
        <v/>
      </c>
    </row>
    <row r="309">
      <c r="A309" s="63">
        <f>IFERROR(INDEX(Firms!$A$5:$A$1004,MATCH(285,Firms!$S$5:$S$1004,0)),"")</f>
        <v/>
      </c>
      <c r="B309" s="57">
        <f>IF($A309="","",INDEX(Firms!$B$5:$B$1004,MATCH(285,Firms!$S$5:$S$1004,0)))</f>
        <v/>
      </c>
      <c r="C309" s="57">
        <f>IF($A309="","",COUNTIF('AFA Rates'!$A$5:$A$1004,$A309))</f>
        <v/>
      </c>
      <c r="D309" s="57">
        <f>IF(OR($A309="",D$24=""),"",IF(COUNTIFS('AFA Rates'!$A$5:$A$1004,$A309,'AFA Rates'!$B$5:$B$1004,D$24)&gt;0,"✓",""))</f>
        <v/>
      </c>
      <c r="E309" s="57">
        <f>IF(OR($A309="",E$24=""),"",IF(COUNTIFS('AFA Rates'!$A$5:$A$1004,$A309,'AFA Rates'!$B$5:$B$1004,E$24)&gt;0,"✓",""))</f>
        <v/>
      </c>
      <c r="F309" s="57">
        <f>IF(OR($A309="",F$24=""),"",IF(COUNTIFS('AFA Rates'!$A$5:$A$1004,$A309,'AFA Rates'!$B$5:$B$1004,F$24)&gt;0,"✓",""))</f>
        <v/>
      </c>
      <c r="G309" s="57">
        <f>IF(OR($A309="",G$24=""),"",IF(COUNTIFS('AFA Rates'!$A$5:$A$1004,$A309,'AFA Rates'!$B$5:$B$1004,G$24)&gt;0,"✓",""))</f>
        <v/>
      </c>
      <c r="H309" s="57">
        <f>IF(OR($A309="",H$24=""),"",IF(COUNTIFS('AFA Rates'!$A$5:$A$1004,$A309,'AFA Rates'!$B$5:$B$1004,H$24)&gt;0,"✓",""))</f>
        <v/>
      </c>
      <c r="I309" s="57">
        <f>IF(OR($A309="",I$24=""),"",IF(COUNTIFS('AFA Rates'!$A$5:$A$1004,$A309,'AFA Rates'!$B$5:$B$1004,I$24)&gt;0,"✓",""))</f>
        <v/>
      </c>
      <c r="J309" s="57">
        <f>IF(OR($A309="",J$24=""),"",IF(COUNTIFS('AFA Rates'!$A$5:$A$1004,$A309,'AFA Rates'!$B$5:$B$1004,J$24)&gt;0,"✓",""))</f>
        <v/>
      </c>
      <c r="K309" s="57">
        <f>IF(OR($A309="",K$24=""),"",IF(COUNTIFS('AFA Rates'!$A$5:$A$1004,$A309,'AFA Rates'!$B$5:$B$1004,K$24)&gt;0,"✓",""))</f>
        <v/>
      </c>
      <c r="L309" s="57">
        <f>IF(OR($A309="",L$24=""),"",IF(COUNTIFS('AFA Rates'!$A$5:$A$1004,$A309,'AFA Rates'!$B$5:$B$1004,L$24)&gt;0,"✓",""))</f>
        <v/>
      </c>
      <c r="M309" s="57">
        <f>IF(OR($A309="",M$24=""),"",IF(COUNTIFS('AFA Rates'!$A$5:$A$1004,$A309,'AFA Rates'!$B$5:$B$1004,M$24)&gt;0,"✓",""))</f>
        <v/>
      </c>
    </row>
    <row r="310">
      <c r="A310" s="63">
        <f>IFERROR(INDEX(Firms!$A$5:$A$1004,MATCH(286,Firms!$S$5:$S$1004,0)),"")</f>
        <v/>
      </c>
      <c r="B310" s="57">
        <f>IF($A310="","",INDEX(Firms!$B$5:$B$1004,MATCH(286,Firms!$S$5:$S$1004,0)))</f>
        <v/>
      </c>
      <c r="C310" s="57">
        <f>IF($A310="","",COUNTIF('AFA Rates'!$A$5:$A$1004,$A310))</f>
        <v/>
      </c>
      <c r="D310" s="57">
        <f>IF(OR($A310="",D$24=""),"",IF(COUNTIFS('AFA Rates'!$A$5:$A$1004,$A310,'AFA Rates'!$B$5:$B$1004,D$24)&gt;0,"✓",""))</f>
        <v/>
      </c>
      <c r="E310" s="57">
        <f>IF(OR($A310="",E$24=""),"",IF(COUNTIFS('AFA Rates'!$A$5:$A$1004,$A310,'AFA Rates'!$B$5:$B$1004,E$24)&gt;0,"✓",""))</f>
        <v/>
      </c>
      <c r="F310" s="57">
        <f>IF(OR($A310="",F$24=""),"",IF(COUNTIFS('AFA Rates'!$A$5:$A$1004,$A310,'AFA Rates'!$B$5:$B$1004,F$24)&gt;0,"✓",""))</f>
        <v/>
      </c>
      <c r="G310" s="57">
        <f>IF(OR($A310="",G$24=""),"",IF(COUNTIFS('AFA Rates'!$A$5:$A$1004,$A310,'AFA Rates'!$B$5:$B$1004,G$24)&gt;0,"✓",""))</f>
        <v/>
      </c>
      <c r="H310" s="57">
        <f>IF(OR($A310="",H$24=""),"",IF(COUNTIFS('AFA Rates'!$A$5:$A$1004,$A310,'AFA Rates'!$B$5:$B$1004,H$24)&gt;0,"✓",""))</f>
        <v/>
      </c>
      <c r="I310" s="57">
        <f>IF(OR($A310="",I$24=""),"",IF(COUNTIFS('AFA Rates'!$A$5:$A$1004,$A310,'AFA Rates'!$B$5:$B$1004,I$24)&gt;0,"✓",""))</f>
        <v/>
      </c>
      <c r="J310" s="57">
        <f>IF(OR($A310="",J$24=""),"",IF(COUNTIFS('AFA Rates'!$A$5:$A$1004,$A310,'AFA Rates'!$B$5:$B$1004,J$24)&gt;0,"✓",""))</f>
        <v/>
      </c>
      <c r="K310" s="57">
        <f>IF(OR($A310="",K$24=""),"",IF(COUNTIFS('AFA Rates'!$A$5:$A$1004,$A310,'AFA Rates'!$B$5:$B$1004,K$24)&gt;0,"✓",""))</f>
        <v/>
      </c>
      <c r="L310" s="57">
        <f>IF(OR($A310="",L$24=""),"",IF(COUNTIFS('AFA Rates'!$A$5:$A$1004,$A310,'AFA Rates'!$B$5:$B$1004,L$24)&gt;0,"✓",""))</f>
        <v/>
      </c>
      <c r="M310" s="57">
        <f>IF(OR($A310="",M$24=""),"",IF(COUNTIFS('AFA Rates'!$A$5:$A$1004,$A310,'AFA Rates'!$B$5:$B$1004,M$24)&gt;0,"✓",""))</f>
        <v/>
      </c>
    </row>
    <row r="311">
      <c r="A311" s="63">
        <f>IFERROR(INDEX(Firms!$A$5:$A$1004,MATCH(287,Firms!$S$5:$S$1004,0)),"")</f>
        <v/>
      </c>
      <c r="B311" s="57">
        <f>IF($A311="","",INDEX(Firms!$B$5:$B$1004,MATCH(287,Firms!$S$5:$S$1004,0)))</f>
        <v/>
      </c>
      <c r="C311" s="57">
        <f>IF($A311="","",COUNTIF('AFA Rates'!$A$5:$A$1004,$A311))</f>
        <v/>
      </c>
      <c r="D311" s="57">
        <f>IF(OR($A311="",D$24=""),"",IF(COUNTIFS('AFA Rates'!$A$5:$A$1004,$A311,'AFA Rates'!$B$5:$B$1004,D$24)&gt;0,"✓",""))</f>
        <v/>
      </c>
      <c r="E311" s="57">
        <f>IF(OR($A311="",E$24=""),"",IF(COUNTIFS('AFA Rates'!$A$5:$A$1004,$A311,'AFA Rates'!$B$5:$B$1004,E$24)&gt;0,"✓",""))</f>
        <v/>
      </c>
      <c r="F311" s="57">
        <f>IF(OR($A311="",F$24=""),"",IF(COUNTIFS('AFA Rates'!$A$5:$A$1004,$A311,'AFA Rates'!$B$5:$B$1004,F$24)&gt;0,"✓",""))</f>
        <v/>
      </c>
      <c r="G311" s="57">
        <f>IF(OR($A311="",G$24=""),"",IF(COUNTIFS('AFA Rates'!$A$5:$A$1004,$A311,'AFA Rates'!$B$5:$B$1004,G$24)&gt;0,"✓",""))</f>
        <v/>
      </c>
      <c r="H311" s="57">
        <f>IF(OR($A311="",H$24=""),"",IF(COUNTIFS('AFA Rates'!$A$5:$A$1004,$A311,'AFA Rates'!$B$5:$B$1004,H$24)&gt;0,"✓",""))</f>
        <v/>
      </c>
      <c r="I311" s="57">
        <f>IF(OR($A311="",I$24=""),"",IF(COUNTIFS('AFA Rates'!$A$5:$A$1004,$A311,'AFA Rates'!$B$5:$B$1004,I$24)&gt;0,"✓",""))</f>
        <v/>
      </c>
      <c r="J311" s="57">
        <f>IF(OR($A311="",J$24=""),"",IF(COUNTIFS('AFA Rates'!$A$5:$A$1004,$A311,'AFA Rates'!$B$5:$B$1004,J$24)&gt;0,"✓",""))</f>
        <v/>
      </c>
      <c r="K311" s="57">
        <f>IF(OR($A311="",K$24=""),"",IF(COUNTIFS('AFA Rates'!$A$5:$A$1004,$A311,'AFA Rates'!$B$5:$B$1004,K$24)&gt;0,"✓",""))</f>
        <v/>
      </c>
      <c r="L311" s="57">
        <f>IF(OR($A311="",L$24=""),"",IF(COUNTIFS('AFA Rates'!$A$5:$A$1004,$A311,'AFA Rates'!$B$5:$B$1004,L$24)&gt;0,"✓",""))</f>
        <v/>
      </c>
      <c r="M311" s="57">
        <f>IF(OR($A311="",M$24=""),"",IF(COUNTIFS('AFA Rates'!$A$5:$A$1004,$A311,'AFA Rates'!$B$5:$B$1004,M$24)&gt;0,"✓",""))</f>
        <v/>
      </c>
    </row>
    <row r="312">
      <c r="A312" s="63">
        <f>IFERROR(INDEX(Firms!$A$5:$A$1004,MATCH(288,Firms!$S$5:$S$1004,0)),"")</f>
        <v/>
      </c>
      <c r="B312" s="57">
        <f>IF($A312="","",INDEX(Firms!$B$5:$B$1004,MATCH(288,Firms!$S$5:$S$1004,0)))</f>
        <v/>
      </c>
      <c r="C312" s="57">
        <f>IF($A312="","",COUNTIF('AFA Rates'!$A$5:$A$1004,$A312))</f>
        <v/>
      </c>
      <c r="D312" s="57">
        <f>IF(OR($A312="",D$24=""),"",IF(COUNTIFS('AFA Rates'!$A$5:$A$1004,$A312,'AFA Rates'!$B$5:$B$1004,D$24)&gt;0,"✓",""))</f>
        <v/>
      </c>
      <c r="E312" s="57">
        <f>IF(OR($A312="",E$24=""),"",IF(COUNTIFS('AFA Rates'!$A$5:$A$1004,$A312,'AFA Rates'!$B$5:$B$1004,E$24)&gt;0,"✓",""))</f>
        <v/>
      </c>
      <c r="F312" s="57">
        <f>IF(OR($A312="",F$24=""),"",IF(COUNTIFS('AFA Rates'!$A$5:$A$1004,$A312,'AFA Rates'!$B$5:$B$1004,F$24)&gt;0,"✓",""))</f>
        <v/>
      </c>
      <c r="G312" s="57">
        <f>IF(OR($A312="",G$24=""),"",IF(COUNTIFS('AFA Rates'!$A$5:$A$1004,$A312,'AFA Rates'!$B$5:$B$1004,G$24)&gt;0,"✓",""))</f>
        <v/>
      </c>
      <c r="H312" s="57">
        <f>IF(OR($A312="",H$24=""),"",IF(COUNTIFS('AFA Rates'!$A$5:$A$1004,$A312,'AFA Rates'!$B$5:$B$1004,H$24)&gt;0,"✓",""))</f>
        <v/>
      </c>
      <c r="I312" s="57">
        <f>IF(OR($A312="",I$24=""),"",IF(COUNTIFS('AFA Rates'!$A$5:$A$1004,$A312,'AFA Rates'!$B$5:$B$1004,I$24)&gt;0,"✓",""))</f>
        <v/>
      </c>
      <c r="J312" s="57">
        <f>IF(OR($A312="",J$24=""),"",IF(COUNTIFS('AFA Rates'!$A$5:$A$1004,$A312,'AFA Rates'!$B$5:$B$1004,J$24)&gt;0,"✓",""))</f>
        <v/>
      </c>
      <c r="K312" s="57">
        <f>IF(OR($A312="",K$24=""),"",IF(COUNTIFS('AFA Rates'!$A$5:$A$1004,$A312,'AFA Rates'!$B$5:$B$1004,K$24)&gt;0,"✓",""))</f>
        <v/>
      </c>
      <c r="L312" s="57">
        <f>IF(OR($A312="",L$24=""),"",IF(COUNTIFS('AFA Rates'!$A$5:$A$1004,$A312,'AFA Rates'!$B$5:$B$1004,L$24)&gt;0,"✓",""))</f>
        <v/>
      </c>
      <c r="M312" s="57">
        <f>IF(OR($A312="",M$24=""),"",IF(COUNTIFS('AFA Rates'!$A$5:$A$1004,$A312,'AFA Rates'!$B$5:$B$1004,M$24)&gt;0,"✓",""))</f>
        <v/>
      </c>
    </row>
    <row r="313">
      <c r="A313" s="63">
        <f>IFERROR(INDEX(Firms!$A$5:$A$1004,MATCH(289,Firms!$S$5:$S$1004,0)),"")</f>
        <v/>
      </c>
      <c r="B313" s="57">
        <f>IF($A313="","",INDEX(Firms!$B$5:$B$1004,MATCH(289,Firms!$S$5:$S$1004,0)))</f>
        <v/>
      </c>
      <c r="C313" s="57">
        <f>IF($A313="","",COUNTIF('AFA Rates'!$A$5:$A$1004,$A313))</f>
        <v/>
      </c>
      <c r="D313" s="57">
        <f>IF(OR($A313="",D$24=""),"",IF(COUNTIFS('AFA Rates'!$A$5:$A$1004,$A313,'AFA Rates'!$B$5:$B$1004,D$24)&gt;0,"✓",""))</f>
        <v/>
      </c>
      <c r="E313" s="57">
        <f>IF(OR($A313="",E$24=""),"",IF(COUNTIFS('AFA Rates'!$A$5:$A$1004,$A313,'AFA Rates'!$B$5:$B$1004,E$24)&gt;0,"✓",""))</f>
        <v/>
      </c>
      <c r="F313" s="57">
        <f>IF(OR($A313="",F$24=""),"",IF(COUNTIFS('AFA Rates'!$A$5:$A$1004,$A313,'AFA Rates'!$B$5:$B$1004,F$24)&gt;0,"✓",""))</f>
        <v/>
      </c>
      <c r="G313" s="57">
        <f>IF(OR($A313="",G$24=""),"",IF(COUNTIFS('AFA Rates'!$A$5:$A$1004,$A313,'AFA Rates'!$B$5:$B$1004,G$24)&gt;0,"✓",""))</f>
        <v/>
      </c>
      <c r="H313" s="57">
        <f>IF(OR($A313="",H$24=""),"",IF(COUNTIFS('AFA Rates'!$A$5:$A$1004,$A313,'AFA Rates'!$B$5:$B$1004,H$24)&gt;0,"✓",""))</f>
        <v/>
      </c>
      <c r="I313" s="57">
        <f>IF(OR($A313="",I$24=""),"",IF(COUNTIFS('AFA Rates'!$A$5:$A$1004,$A313,'AFA Rates'!$B$5:$B$1004,I$24)&gt;0,"✓",""))</f>
        <v/>
      </c>
      <c r="J313" s="57">
        <f>IF(OR($A313="",J$24=""),"",IF(COUNTIFS('AFA Rates'!$A$5:$A$1004,$A313,'AFA Rates'!$B$5:$B$1004,J$24)&gt;0,"✓",""))</f>
        <v/>
      </c>
      <c r="K313" s="57">
        <f>IF(OR($A313="",K$24=""),"",IF(COUNTIFS('AFA Rates'!$A$5:$A$1004,$A313,'AFA Rates'!$B$5:$B$1004,K$24)&gt;0,"✓",""))</f>
        <v/>
      </c>
      <c r="L313" s="57">
        <f>IF(OR($A313="",L$24=""),"",IF(COUNTIFS('AFA Rates'!$A$5:$A$1004,$A313,'AFA Rates'!$B$5:$B$1004,L$24)&gt;0,"✓",""))</f>
        <v/>
      </c>
      <c r="M313" s="57">
        <f>IF(OR($A313="",M$24=""),"",IF(COUNTIFS('AFA Rates'!$A$5:$A$1004,$A313,'AFA Rates'!$B$5:$B$1004,M$24)&gt;0,"✓",""))</f>
        <v/>
      </c>
    </row>
    <row r="314">
      <c r="A314" s="63">
        <f>IFERROR(INDEX(Firms!$A$5:$A$1004,MATCH(290,Firms!$S$5:$S$1004,0)),"")</f>
        <v/>
      </c>
      <c r="B314" s="57">
        <f>IF($A314="","",INDEX(Firms!$B$5:$B$1004,MATCH(290,Firms!$S$5:$S$1004,0)))</f>
        <v/>
      </c>
      <c r="C314" s="57">
        <f>IF($A314="","",COUNTIF('AFA Rates'!$A$5:$A$1004,$A314))</f>
        <v/>
      </c>
      <c r="D314" s="57">
        <f>IF(OR($A314="",D$24=""),"",IF(COUNTIFS('AFA Rates'!$A$5:$A$1004,$A314,'AFA Rates'!$B$5:$B$1004,D$24)&gt;0,"✓",""))</f>
        <v/>
      </c>
      <c r="E314" s="57">
        <f>IF(OR($A314="",E$24=""),"",IF(COUNTIFS('AFA Rates'!$A$5:$A$1004,$A314,'AFA Rates'!$B$5:$B$1004,E$24)&gt;0,"✓",""))</f>
        <v/>
      </c>
      <c r="F314" s="57">
        <f>IF(OR($A314="",F$24=""),"",IF(COUNTIFS('AFA Rates'!$A$5:$A$1004,$A314,'AFA Rates'!$B$5:$B$1004,F$24)&gt;0,"✓",""))</f>
        <v/>
      </c>
      <c r="G314" s="57">
        <f>IF(OR($A314="",G$24=""),"",IF(COUNTIFS('AFA Rates'!$A$5:$A$1004,$A314,'AFA Rates'!$B$5:$B$1004,G$24)&gt;0,"✓",""))</f>
        <v/>
      </c>
      <c r="H314" s="57">
        <f>IF(OR($A314="",H$24=""),"",IF(COUNTIFS('AFA Rates'!$A$5:$A$1004,$A314,'AFA Rates'!$B$5:$B$1004,H$24)&gt;0,"✓",""))</f>
        <v/>
      </c>
      <c r="I314" s="57">
        <f>IF(OR($A314="",I$24=""),"",IF(COUNTIFS('AFA Rates'!$A$5:$A$1004,$A314,'AFA Rates'!$B$5:$B$1004,I$24)&gt;0,"✓",""))</f>
        <v/>
      </c>
      <c r="J314" s="57">
        <f>IF(OR($A314="",J$24=""),"",IF(COUNTIFS('AFA Rates'!$A$5:$A$1004,$A314,'AFA Rates'!$B$5:$B$1004,J$24)&gt;0,"✓",""))</f>
        <v/>
      </c>
      <c r="K314" s="57">
        <f>IF(OR($A314="",K$24=""),"",IF(COUNTIFS('AFA Rates'!$A$5:$A$1004,$A314,'AFA Rates'!$B$5:$B$1004,K$24)&gt;0,"✓",""))</f>
        <v/>
      </c>
      <c r="L314" s="57">
        <f>IF(OR($A314="",L$24=""),"",IF(COUNTIFS('AFA Rates'!$A$5:$A$1004,$A314,'AFA Rates'!$B$5:$B$1004,L$24)&gt;0,"✓",""))</f>
        <v/>
      </c>
      <c r="M314" s="57">
        <f>IF(OR($A314="",M$24=""),"",IF(COUNTIFS('AFA Rates'!$A$5:$A$1004,$A314,'AFA Rates'!$B$5:$B$1004,M$24)&gt;0,"✓",""))</f>
        <v/>
      </c>
    </row>
    <row r="315">
      <c r="A315" s="63">
        <f>IFERROR(INDEX(Firms!$A$5:$A$1004,MATCH(291,Firms!$S$5:$S$1004,0)),"")</f>
        <v/>
      </c>
      <c r="B315" s="57">
        <f>IF($A315="","",INDEX(Firms!$B$5:$B$1004,MATCH(291,Firms!$S$5:$S$1004,0)))</f>
        <v/>
      </c>
      <c r="C315" s="57">
        <f>IF($A315="","",COUNTIF('AFA Rates'!$A$5:$A$1004,$A315))</f>
        <v/>
      </c>
      <c r="D315" s="57">
        <f>IF(OR($A315="",D$24=""),"",IF(COUNTIFS('AFA Rates'!$A$5:$A$1004,$A315,'AFA Rates'!$B$5:$B$1004,D$24)&gt;0,"✓",""))</f>
        <v/>
      </c>
      <c r="E315" s="57">
        <f>IF(OR($A315="",E$24=""),"",IF(COUNTIFS('AFA Rates'!$A$5:$A$1004,$A315,'AFA Rates'!$B$5:$B$1004,E$24)&gt;0,"✓",""))</f>
        <v/>
      </c>
      <c r="F315" s="57">
        <f>IF(OR($A315="",F$24=""),"",IF(COUNTIFS('AFA Rates'!$A$5:$A$1004,$A315,'AFA Rates'!$B$5:$B$1004,F$24)&gt;0,"✓",""))</f>
        <v/>
      </c>
      <c r="G315" s="57">
        <f>IF(OR($A315="",G$24=""),"",IF(COUNTIFS('AFA Rates'!$A$5:$A$1004,$A315,'AFA Rates'!$B$5:$B$1004,G$24)&gt;0,"✓",""))</f>
        <v/>
      </c>
      <c r="H315" s="57">
        <f>IF(OR($A315="",H$24=""),"",IF(COUNTIFS('AFA Rates'!$A$5:$A$1004,$A315,'AFA Rates'!$B$5:$B$1004,H$24)&gt;0,"✓",""))</f>
        <v/>
      </c>
      <c r="I315" s="57">
        <f>IF(OR($A315="",I$24=""),"",IF(COUNTIFS('AFA Rates'!$A$5:$A$1004,$A315,'AFA Rates'!$B$5:$B$1004,I$24)&gt;0,"✓",""))</f>
        <v/>
      </c>
      <c r="J315" s="57">
        <f>IF(OR($A315="",J$24=""),"",IF(COUNTIFS('AFA Rates'!$A$5:$A$1004,$A315,'AFA Rates'!$B$5:$B$1004,J$24)&gt;0,"✓",""))</f>
        <v/>
      </c>
      <c r="K315" s="57">
        <f>IF(OR($A315="",K$24=""),"",IF(COUNTIFS('AFA Rates'!$A$5:$A$1004,$A315,'AFA Rates'!$B$5:$B$1004,K$24)&gt;0,"✓",""))</f>
        <v/>
      </c>
      <c r="L315" s="57">
        <f>IF(OR($A315="",L$24=""),"",IF(COUNTIFS('AFA Rates'!$A$5:$A$1004,$A315,'AFA Rates'!$B$5:$B$1004,L$24)&gt;0,"✓",""))</f>
        <v/>
      </c>
      <c r="M315" s="57">
        <f>IF(OR($A315="",M$24=""),"",IF(COUNTIFS('AFA Rates'!$A$5:$A$1004,$A315,'AFA Rates'!$B$5:$B$1004,M$24)&gt;0,"✓",""))</f>
        <v/>
      </c>
    </row>
    <row r="316">
      <c r="A316" s="63">
        <f>IFERROR(INDEX(Firms!$A$5:$A$1004,MATCH(292,Firms!$S$5:$S$1004,0)),"")</f>
        <v/>
      </c>
      <c r="B316" s="57">
        <f>IF($A316="","",INDEX(Firms!$B$5:$B$1004,MATCH(292,Firms!$S$5:$S$1004,0)))</f>
        <v/>
      </c>
      <c r="C316" s="57">
        <f>IF($A316="","",COUNTIF('AFA Rates'!$A$5:$A$1004,$A316))</f>
        <v/>
      </c>
      <c r="D316" s="57">
        <f>IF(OR($A316="",D$24=""),"",IF(COUNTIFS('AFA Rates'!$A$5:$A$1004,$A316,'AFA Rates'!$B$5:$B$1004,D$24)&gt;0,"✓",""))</f>
        <v/>
      </c>
      <c r="E316" s="57">
        <f>IF(OR($A316="",E$24=""),"",IF(COUNTIFS('AFA Rates'!$A$5:$A$1004,$A316,'AFA Rates'!$B$5:$B$1004,E$24)&gt;0,"✓",""))</f>
        <v/>
      </c>
      <c r="F316" s="57">
        <f>IF(OR($A316="",F$24=""),"",IF(COUNTIFS('AFA Rates'!$A$5:$A$1004,$A316,'AFA Rates'!$B$5:$B$1004,F$24)&gt;0,"✓",""))</f>
        <v/>
      </c>
      <c r="G316" s="57">
        <f>IF(OR($A316="",G$24=""),"",IF(COUNTIFS('AFA Rates'!$A$5:$A$1004,$A316,'AFA Rates'!$B$5:$B$1004,G$24)&gt;0,"✓",""))</f>
        <v/>
      </c>
      <c r="H316" s="57">
        <f>IF(OR($A316="",H$24=""),"",IF(COUNTIFS('AFA Rates'!$A$5:$A$1004,$A316,'AFA Rates'!$B$5:$B$1004,H$24)&gt;0,"✓",""))</f>
        <v/>
      </c>
      <c r="I316" s="57">
        <f>IF(OR($A316="",I$24=""),"",IF(COUNTIFS('AFA Rates'!$A$5:$A$1004,$A316,'AFA Rates'!$B$5:$B$1004,I$24)&gt;0,"✓",""))</f>
        <v/>
      </c>
      <c r="J316" s="57">
        <f>IF(OR($A316="",J$24=""),"",IF(COUNTIFS('AFA Rates'!$A$5:$A$1004,$A316,'AFA Rates'!$B$5:$B$1004,J$24)&gt;0,"✓",""))</f>
        <v/>
      </c>
      <c r="K316" s="57">
        <f>IF(OR($A316="",K$24=""),"",IF(COUNTIFS('AFA Rates'!$A$5:$A$1004,$A316,'AFA Rates'!$B$5:$B$1004,K$24)&gt;0,"✓",""))</f>
        <v/>
      </c>
      <c r="L316" s="57">
        <f>IF(OR($A316="",L$24=""),"",IF(COUNTIFS('AFA Rates'!$A$5:$A$1004,$A316,'AFA Rates'!$B$5:$B$1004,L$24)&gt;0,"✓",""))</f>
        <v/>
      </c>
      <c r="M316" s="57">
        <f>IF(OR($A316="",M$24=""),"",IF(COUNTIFS('AFA Rates'!$A$5:$A$1004,$A316,'AFA Rates'!$B$5:$B$1004,M$24)&gt;0,"✓",""))</f>
        <v/>
      </c>
    </row>
    <row r="317">
      <c r="A317" s="63">
        <f>IFERROR(INDEX(Firms!$A$5:$A$1004,MATCH(293,Firms!$S$5:$S$1004,0)),"")</f>
        <v/>
      </c>
      <c r="B317" s="57">
        <f>IF($A317="","",INDEX(Firms!$B$5:$B$1004,MATCH(293,Firms!$S$5:$S$1004,0)))</f>
        <v/>
      </c>
      <c r="C317" s="57">
        <f>IF($A317="","",COUNTIF('AFA Rates'!$A$5:$A$1004,$A317))</f>
        <v/>
      </c>
      <c r="D317" s="57">
        <f>IF(OR($A317="",D$24=""),"",IF(COUNTIFS('AFA Rates'!$A$5:$A$1004,$A317,'AFA Rates'!$B$5:$B$1004,D$24)&gt;0,"✓",""))</f>
        <v/>
      </c>
      <c r="E317" s="57">
        <f>IF(OR($A317="",E$24=""),"",IF(COUNTIFS('AFA Rates'!$A$5:$A$1004,$A317,'AFA Rates'!$B$5:$B$1004,E$24)&gt;0,"✓",""))</f>
        <v/>
      </c>
      <c r="F317" s="57">
        <f>IF(OR($A317="",F$24=""),"",IF(COUNTIFS('AFA Rates'!$A$5:$A$1004,$A317,'AFA Rates'!$B$5:$B$1004,F$24)&gt;0,"✓",""))</f>
        <v/>
      </c>
      <c r="G317" s="57">
        <f>IF(OR($A317="",G$24=""),"",IF(COUNTIFS('AFA Rates'!$A$5:$A$1004,$A317,'AFA Rates'!$B$5:$B$1004,G$24)&gt;0,"✓",""))</f>
        <v/>
      </c>
      <c r="H317" s="57">
        <f>IF(OR($A317="",H$24=""),"",IF(COUNTIFS('AFA Rates'!$A$5:$A$1004,$A317,'AFA Rates'!$B$5:$B$1004,H$24)&gt;0,"✓",""))</f>
        <v/>
      </c>
      <c r="I317" s="57">
        <f>IF(OR($A317="",I$24=""),"",IF(COUNTIFS('AFA Rates'!$A$5:$A$1004,$A317,'AFA Rates'!$B$5:$B$1004,I$24)&gt;0,"✓",""))</f>
        <v/>
      </c>
      <c r="J317" s="57">
        <f>IF(OR($A317="",J$24=""),"",IF(COUNTIFS('AFA Rates'!$A$5:$A$1004,$A317,'AFA Rates'!$B$5:$B$1004,J$24)&gt;0,"✓",""))</f>
        <v/>
      </c>
      <c r="K317" s="57">
        <f>IF(OR($A317="",K$24=""),"",IF(COUNTIFS('AFA Rates'!$A$5:$A$1004,$A317,'AFA Rates'!$B$5:$B$1004,K$24)&gt;0,"✓",""))</f>
        <v/>
      </c>
      <c r="L317" s="57">
        <f>IF(OR($A317="",L$24=""),"",IF(COUNTIFS('AFA Rates'!$A$5:$A$1004,$A317,'AFA Rates'!$B$5:$B$1004,L$24)&gt;0,"✓",""))</f>
        <v/>
      </c>
      <c r="M317" s="57">
        <f>IF(OR($A317="",M$24=""),"",IF(COUNTIFS('AFA Rates'!$A$5:$A$1004,$A317,'AFA Rates'!$B$5:$B$1004,M$24)&gt;0,"✓",""))</f>
        <v/>
      </c>
    </row>
    <row r="318">
      <c r="A318" s="63">
        <f>IFERROR(INDEX(Firms!$A$5:$A$1004,MATCH(294,Firms!$S$5:$S$1004,0)),"")</f>
        <v/>
      </c>
      <c r="B318" s="57">
        <f>IF($A318="","",INDEX(Firms!$B$5:$B$1004,MATCH(294,Firms!$S$5:$S$1004,0)))</f>
        <v/>
      </c>
      <c r="C318" s="57">
        <f>IF($A318="","",COUNTIF('AFA Rates'!$A$5:$A$1004,$A318))</f>
        <v/>
      </c>
      <c r="D318" s="57">
        <f>IF(OR($A318="",D$24=""),"",IF(COUNTIFS('AFA Rates'!$A$5:$A$1004,$A318,'AFA Rates'!$B$5:$B$1004,D$24)&gt;0,"✓",""))</f>
        <v/>
      </c>
      <c r="E318" s="57">
        <f>IF(OR($A318="",E$24=""),"",IF(COUNTIFS('AFA Rates'!$A$5:$A$1004,$A318,'AFA Rates'!$B$5:$B$1004,E$24)&gt;0,"✓",""))</f>
        <v/>
      </c>
      <c r="F318" s="57">
        <f>IF(OR($A318="",F$24=""),"",IF(COUNTIFS('AFA Rates'!$A$5:$A$1004,$A318,'AFA Rates'!$B$5:$B$1004,F$24)&gt;0,"✓",""))</f>
        <v/>
      </c>
      <c r="G318" s="57">
        <f>IF(OR($A318="",G$24=""),"",IF(COUNTIFS('AFA Rates'!$A$5:$A$1004,$A318,'AFA Rates'!$B$5:$B$1004,G$24)&gt;0,"✓",""))</f>
        <v/>
      </c>
      <c r="H318" s="57">
        <f>IF(OR($A318="",H$24=""),"",IF(COUNTIFS('AFA Rates'!$A$5:$A$1004,$A318,'AFA Rates'!$B$5:$B$1004,H$24)&gt;0,"✓",""))</f>
        <v/>
      </c>
      <c r="I318" s="57">
        <f>IF(OR($A318="",I$24=""),"",IF(COUNTIFS('AFA Rates'!$A$5:$A$1004,$A318,'AFA Rates'!$B$5:$B$1004,I$24)&gt;0,"✓",""))</f>
        <v/>
      </c>
      <c r="J318" s="57">
        <f>IF(OR($A318="",J$24=""),"",IF(COUNTIFS('AFA Rates'!$A$5:$A$1004,$A318,'AFA Rates'!$B$5:$B$1004,J$24)&gt;0,"✓",""))</f>
        <v/>
      </c>
      <c r="K318" s="57">
        <f>IF(OR($A318="",K$24=""),"",IF(COUNTIFS('AFA Rates'!$A$5:$A$1004,$A318,'AFA Rates'!$B$5:$B$1004,K$24)&gt;0,"✓",""))</f>
        <v/>
      </c>
      <c r="L318" s="57">
        <f>IF(OR($A318="",L$24=""),"",IF(COUNTIFS('AFA Rates'!$A$5:$A$1004,$A318,'AFA Rates'!$B$5:$B$1004,L$24)&gt;0,"✓",""))</f>
        <v/>
      </c>
      <c r="M318" s="57">
        <f>IF(OR($A318="",M$24=""),"",IF(COUNTIFS('AFA Rates'!$A$5:$A$1004,$A318,'AFA Rates'!$B$5:$B$1004,M$24)&gt;0,"✓",""))</f>
        <v/>
      </c>
    </row>
    <row r="319">
      <c r="A319" s="63">
        <f>IFERROR(INDEX(Firms!$A$5:$A$1004,MATCH(295,Firms!$S$5:$S$1004,0)),"")</f>
        <v/>
      </c>
      <c r="B319" s="57">
        <f>IF($A319="","",INDEX(Firms!$B$5:$B$1004,MATCH(295,Firms!$S$5:$S$1004,0)))</f>
        <v/>
      </c>
      <c r="C319" s="57">
        <f>IF($A319="","",COUNTIF('AFA Rates'!$A$5:$A$1004,$A319))</f>
        <v/>
      </c>
      <c r="D319" s="57">
        <f>IF(OR($A319="",D$24=""),"",IF(COUNTIFS('AFA Rates'!$A$5:$A$1004,$A319,'AFA Rates'!$B$5:$B$1004,D$24)&gt;0,"✓",""))</f>
        <v/>
      </c>
      <c r="E319" s="57">
        <f>IF(OR($A319="",E$24=""),"",IF(COUNTIFS('AFA Rates'!$A$5:$A$1004,$A319,'AFA Rates'!$B$5:$B$1004,E$24)&gt;0,"✓",""))</f>
        <v/>
      </c>
      <c r="F319" s="57">
        <f>IF(OR($A319="",F$24=""),"",IF(COUNTIFS('AFA Rates'!$A$5:$A$1004,$A319,'AFA Rates'!$B$5:$B$1004,F$24)&gt;0,"✓",""))</f>
        <v/>
      </c>
      <c r="G319" s="57">
        <f>IF(OR($A319="",G$24=""),"",IF(COUNTIFS('AFA Rates'!$A$5:$A$1004,$A319,'AFA Rates'!$B$5:$B$1004,G$24)&gt;0,"✓",""))</f>
        <v/>
      </c>
      <c r="H319" s="57">
        <f>IF(OR($A319="",H$24=""),"",IF(COUNTIFS('AFA Rates'!$A$5:$A$1004,$A319,'AFA Rates'!$B$5:$B$1004,H$24)&gt;0,"✓",""))</f>
        <v/>
      </c>
      <c r="I319" s="57">
        <f>IF(OR($A319="",I$24=""),"",IF(COUNTIFS('AFA Rates'!$A$5:$A$1004,$A319,'AFA Rates'!$B$5:$B$1004,I$24)&gt;0,"✓",""))</f>
        <v/>
      </c>
      <c r="J319" s="57">
        <f>IF(OR($A319="",J$24=""),"",IF(COUNTIFS('AFA Rates'!$A$5:$A$1004,$A319,'AFA Rates'!$B$5:$B$1004,J$24)&gt;0,"✓",""))</f>
        <v/>
      </c>
      <c r="K319" s="57">
        <f>IF(OR($A319="",K$24=""),"",IF(COUNTIFS('AFA Rates'!$A$5:$A$1004,$A319,'AFA Rates'!$B$5:$B$1004,K$24)&gt;0,"✓",""))</f>
        <v/>
      </c>
      <c r="L319" s="57">
        <f>IF(OR($A319="",L$24=""),"",IF(COUNTIFS('AFA Rates'!$A$5:$A$1004,$A319,'AFA Rates'!$B$5:$B$1004,L$24)&gt;0,"✓",""))</f>
        <v/>
      </c>
      <c r="M319" s="57">
        <f>IF(OR($A319="",M$24=""),"",IF(COUNTIFS('AFA Rates'!$A$5:$A$1004,$A319,'AFA Rates'!$B$5:$B$1004,M$24)&gt;0,"✓",""))</f>
        <v/>
      </c>
    </row>
    <row r="320">
      <c r="A320" s="63">
        <f>IFERROR(INDEX(Firms!$A$5:$A$1004,MATCH(296,Firms!$S$5:$S$1004,0)),"")</f>
        <v/>
      </c>
      <c r="B320" s="57">
        <f>IF($A320="","",INDEX(Firms!$B$5:$B$1004,MATCH(296,Firms!$S$5:$S$1004,0)))</f>
        <v/>
      </c>
      <c r="C320" s="57">
        <f>IF($A320="","",COUNTIF('AFA Rates'!$A$5:$A$1004,$A320))</f>
        <v/>
      </c>
      <c r="D320" s="57">
        <f>IF(OR($A320="",D$24=""),"",IF(COUNTIFS('AFA Rates'!$A$5:$A$1004,$A320,'AFA Rates'!$B$5:$B$1004,D$24)&gt;0,"✓",""))</f>
        <v/>
      </c>
      <c r="E320" s="57">
        <f>IF(OR($A320="",E$24=""),"",IF(COUNTIFS('AFA Rates'!$A$5:$A$1004,$A320,'AFA Rates'!$B$5:$B$1004,E$24)&gt;0,"✓",""))</f>
        <v/>
      </c>
      <c r="F320" s="57">
        <f>IF(OR($A320="",F$24=""),"",IF(COUNTIFS('AFA Rates'!$A$5:$A$1004,$A320,'AFA Rates'!$B$5:$B$1004,F$24)&gt;0,"✓",""))</f>
        <v/>
      </c>
      <c r="G320" s="57">
        <f>IF(OR($A320="",G$24=""),"",IF(COUNTIFS('AFA Rates'!$A$5:$A$1004,$A320,'AFA Rates'!$B$5:$B$1004,G$24)&gt;0,"✓",""))</f>
        <v/>
      </c>
      <c r="H320" s="57">
        <f>IF(OR($A320="",H$24=""),"",IF(COUNTIFS('AFA Rates'!$A$5:$A$1004,$A320,'AFA Rates'!$B$5:$B$1004,H$24)&gt;0,"✓",""))</f>
        <v/>
      </c>
      <c r="I320" s="57">
        <f>IF(OR($A320="",I$24=""),"",IF(COUNTIFS('AFA Rates'!$A$5:$A$1004,$A320,'AFA Rates'!$B$5:$B$1004,I$24)&gt;0,"✓",""))</f>
        <v/>
      </c>
      <c r="J320" s="57">
        <f>IF(OR($A320="",J$24=""),"",IF(COUNTIFS('AFA Rates'!$A$5:$A$1004,$A320,'AFA Rates'!$B$5:$B$1004,J$24)&gt;0,"✓",""))</f>
        <v/>
      </c>
      <c r="K320" s="57">
        <f>IF(OR($A320="",K$24=""),"",IF(COUNTIFS('AFA Rates'!$A$5:$A$1004,$A320,'AFA Rates'!$B$5:$B$1004,K$24)&gt;0,"✓",""))</f>
        <v/>
      </c>
      <c r="L320" s="57">
        <f>IF(OR($A320="",L$24=""),"",IF(COUNTIFS('AFA Rates'!$A$5:$A$1004,$A320,'AFA Rates'!$B$5:$B$1004,L$24)&gt;0,"✓",""))</f>
        <v/>
      </c>
      <c r="M320" s="57">
        <f>IF(OR($A320="",M$24=""),"",IF(COUNTIFS('AFA Rates'!$A$5:$A$1004,$A320,'AFA Rates'!$B$5:$B$1004,M$24)&gt;0,"✓",""))</f>
        <v/>
      </c>
    </row>
    <row r="321">
      <c r="A321" s="63">
        <f>IFERROR(INDEX(Firms!$A$5:$A$1004,MATCH(297,Firms!$S$5:$S$1004,0)),"")</f>
        <v/>
      </c>
      <c r="B321" s="57">
        <f>IF($A321="","",INDEX(Firms!$B$5:$B$1004,MATCH(297,Firms!$S$5:$S$1004,0)))</f>
        <v/>
      </c>
      <c r="C321" s="57">
        <f>IF($A321="","",COUNTIF('AFA Rates'!$A$5:$A$1004,$A321))</f>
        <v/>
      </c>
      <c r="D321" s="57">
        <f>IF(OR($A321="",D$24=""),"",IF(COUNTIFS('AFA Rates'!$A$5:$A$1004,$A321,'AFA Rates'!$B$5:$B$1004,D$24)&gt;0,"✓",""))</f>
        <v/>
      </c>
      <c r="E321" s="57">
        <f>IF(OR($A321="",E$24=""),"",IF(COUNTIFS('AFA Rates'!$A$5:$A$1004,$A321,'AFA Rates'!$B$5:$B$1004,E$24)&gt;0,"✓",""))</f>
        <v/>
      </c>
      <c r="F321" s="57">
        <f>IF(OR($A321="",F$24=""),"",IF(COUNTIFS('AFA Rates'!$A$5:$A$1004,$A321,'AFA Rates'!$B$5:$B$1004,F$24)&gt;0,"✓",""))</f>
        <v/>
      </c>
      <c r="G321" s="57">
        <f>IF(OR($A321="",G$24=""),"",IF(COUNTIFS('AFA Rates'!$A$5:$A$1004,$A321,'AFA Rates'!$B$5:$B$1004,G$24)&gt;0,"✓",""))</f>
        <v/>
      </c>
      <c r="H321" s="57">
        <f>IF(OR($A321="",H$24=""),"",IF(COUNTIFS('AFA Rates'!$A$5:$A$1004,$A321,'AFA Rates'!$B$5:$B$1004,H$24)&gt;0,"✓",""))</f>
        <v/>
      </c>
      <c r="I321" s="57">
        <f>IF(OR($A321="",I$24=""),"",IF(COUNTIFS('AFA Rates'!$A$5:$A$1004,$A321,'AFA Rates'!$B$5:$B$1004,I$24)&gt;0,"✓",""))</f>
        <v/>
      </c>
      <c r="J321" s="57">
        <f>IF(OR($A321="",J$24=""),"",IF(COUNTIFS('AFA Rates'!$A$5:$A$1004,$A321,'AFA Rates'!$B$5:$B$1004,J$24)&gt;0,"✓",""))</f>
        <v/>
      </c>
      <c r="K321" s="57">
        <f>IF(OR($A321="",K$24=""),"",IF(COUNTIFS('AFA Rates'!$A$5:$A$1004,$A321,'AFA Rates'!$B$5:$B$1004,K$24)&gt;0,"✓",""))</f>
        <v/>
      </c>
      <c r="L321" s="57">
        <f>IF(OR($A321="",L$24=""),"",IF(COUNTIFS('AFA Rates'!$A$5:$A$1004,$A321,'AFA Rates'!$B$5:$B$1004,L$24)&gt;0,"✓",""))</f>
        <v/>
      </c>
      <c r="M321" s="57">
        <f>IF(OR($A321="",M$24=""),"",IF(COUNTIFS('AFA Rates'!$A$5:$A$1004,$A321,'AFA Rates'!$B$5:$B$1004,M$24)&gt;0,"✓",""))</f>
        <v/>
      </c>
    </row>
    <row r="322">
      <c r="A322" s="63">
        <f>IFERROR(INDEX(Firms!$A$5:$A$1004,MATCH(298,Firms!$S$5:$S$1004,0)),"")</f>
        <v/>
      </c>
      <c r="B322" s="57">
        <f>IF($A322="","",INDEX(Firms!$B$5:$B$1004,MATCH(298,Firms!$S$5:$S$1004,0)))</f>
        <v/>
      </c>
      <c r="C322" s="57">
        <f>IF($A322="","",COUNTIF('AFA Rates'!$A$5:$A$1004,$A322))</f>
        <v/>
      </c>
      <c r="D322" s="57">
        <f>IF(OR($A322="",D$24=""),"",IF(COUNTIFS('AFA Rates'!$A$5:$A$1004,$A322,'AFA Rates'!$B$5:$B$1004,D$24)&gt;0,"✓",""))</f>
        <v/>
      </c>
      <c r="E322" s="57">
        <f>IF(OR($A322="",E$24=""),"",IF(COUNTIFS('AFA Rates'!$A$5:$A$1004,$A322,'AFA Rates'!$B$5:$B$1004,E$24)&gt;0,"✓",""))</f>
        <v/>
      </c>
      <c r="F322" s="57">
        <f>IF(OR($A322="",F$24=""),"",IF(COUNTIFS('AFA Rates'!$A$5:$A$1004,$A322,'AFA Rates'!$B$5:$B$1004,F$24)&gt;0,"✓",""))</f>
        <v/>
      </c>
      <c r="G322" s="57">
        <f>IF(OR($A322="",G$24=""),"",IF(COUNTIFS('AFA Rates'!$A$5:$A$1004,$A322,'AFA Rates'!$B$5:$B$1004,G$24)&gt;0,"✓",""))</f>
        <v/>
      </c>
      <c r="H322" s="57">
        <f>IF(OR($A322="",H$24=""),"",IF(COUNTIFS('AFA Rates'!$A$5:$A$1004,$A322,'AFA Rates'!$B$5:$B$1004,H$24)&gt;0,"✓",""))</f>
        <v/>
      </c>
      <c r="I322" s="57">
        <f>IF(OR($A322="",I$24=""),"",IF(COUNTIFS('AFA Rates'!$A$5:$A$1004,$A322,'AFA Rates'!$B$5:$B$1004,I$24)&gt;0,"✓",""))</f>
        <v/>
      </c>
      <c r="J322" s="57">
        <f>IF(OR($A322="",J$24=""),"",IF(COUNTIFS('AFA Rates'!$A$5:$A$1004,$A322,'AFA Rates'!$B$5:$B$1004,J$24)&gt;0,"✓",""))</f>
        <v/>
      </c>
      <c r="K322" s="57">
        <f>IF(OR($A322="",K$24=""),"",IF(COUNTIFS('AFA Rates'!$A$5:$A$1004,$A322,'AFA Rates'!$B$5:$B$1004,K$24)&gt;0,"✓",""))</f>
        <v/>
      </c>
      <c r="L322" s="57">
        <f>IF(OR($A322="",L$24=""),"",IF(COUNTIFS('AFA Rates'!$A$5:$A$1004,$A322,'AFA Rates'!$B$5:$B$1004,L$24)&gt;0,"✓",""))</f>
        <v/>
      </c>
      <c r="M322" s="57">
        <f>IF(OR($A322="",M$24=""),"",IF(COUNTIFS('AFA Rates'!$A$5:$A$1004,$A322,'AFA Rates'!$B$5:$B$1004,M$24)&gt;0,"✓",""))</f>
        <v/>
      </c>
    </row>
    <row r="323">
      <c r="A323" s="63">
        <f>IFERROR(INDEX(Firms!$A$5:$A$1004,MATCH(299,Firms!$S$5:$S$1004,0)),"")</f>
        <v/>
      </c>
      <c r="B323" s="57">
        <f>IF($A323="","",INDEX(Firms!$B$5:$B$1004,MATCH(299,Firms!$S$5:$S$1004,0)))</f>
        <v/>
      </c>
      <c r="C323" s="57">
        <f>IF($A323="","",COUNTIF('AFA Rates'!$A$5:$A$1004,$A323))</f>
        <v/>
      </c>
      <c r="D323" s="57">
        <f>IF(OR($A323="",D$24=""),"",IF(COUNTIFS('AFA Rates'!$A$5:$A$1004,$A323,'AFA Rates'!$B$5:$B$1004,D$24)&gt;0,"✓",""))</f>
        <v/>
      </c>
      <c r="E323" s="57">
        <f>IF(OR($A323="",E$24=""),"",IF(COUNTIFS('AFA Rates'!$A$5:$A$1004,$A323,'AFA Rates'!$B$5:$B$1004,E$24)&gt;0,"✓",""))</f>
        <v/>
      </c>
      <c r="F323" s="57">
        <f>IF(OR($A323="",F$24=""),"",IF(COUNTIFS('AFA Rates'!$A$5:$A$1004,$A323,'AFA Rates'!$B$5:$B$1004,F$24)&gt;0,"✓",""))</f>
        <v/>
      </c>
      <c r="G323" s="57">
        <f>IF(OR($A323="",G$24=""),"",IF(COUNTIFS('AFA Rates'!$A$5:$A$1004,$A323,'AFA Rates'!$B$5:$B$1004,G$24)&gt;0,"✓",""))</f>
        <v/>
      </c>
      <c r="H323" s="57">
        <f>IF(OR($A323="",H$24=""),"",IF(COUNTIFS('AFA Rates'!$A$5:$A$1004,$A323,'AFA Rates'!$B$5:$B$1004,H$24)&gt;0,"✓",""))</f>
        <v/>
      </c>
      <c r="I323" s="57">
        <f>IF(OR($A323="",I$24=""),"",IF(COUNTIFS('AFA Rates'!$A$5:$A$1004,$A323,'AFA Rates'!$B$5:$B$1004,I$24)&gt;0,"✓",""))</f>
        <v/>
      </c>
      <c r="J323" s="57">
        <f>IF(OR($A323="",J$24=""),"",IF(COUNTIFS('AFA Rates'!$A$5:$A$1004,$A323,'AFA Rates'!$B$5:$B$1004,J$24)&gt;0,"✓",""))</f>
        <v/>
      </c>
      <c r="K323" s="57">
        <f>IF(OR($A323="",K$24=""),"",IF(COUNTIFS('AFA Rates'!$A$5:$A$1004,$A323,'AFA Rates'!$B$5:$B$1004,K$24)&gt;0,"✓",""))</f>
        <v/>
      </c>
      <c r="L323" s="57">
        <f>IF(OR($A323="",L$24=""),"",IF(COUNTIFS('AFA Rates'!$A$5:$A$1004,$A323,'AFA Rates'!$B$5:$B$1004,L$24)&gt;0,"✓",""))</f>
        <v/>
      </c>
      <c r="M323" s="57">
        <f>IF(OR($A323="",M$24=""),"",IF(COUNTIFS('AFA Rates'!$A$5:$A$1004,$A323,'AFA Rates'!$B$5:$B$1004,M$24)&gt;0,"✓",""))</f>
        <v/>
      </c>
    </row>
    <row r="324">
      <c r="A324" s="63">
        <f>IFERROR(INDEX(Firms!$A$5:$A$1004,MATCH(300,Firms!$S$5:$S$1004,0)),"")</f>
        <v/>
      </c>
      <c r="B324" s="57">
        <f>IF($A324="","",INDEX(Firms!$B$5:$B$1004,MATCH(300,Firms!$S$5:$S$1004,0)))</f>
        <v/>
      </c>
      <c r="C324" s="57">
        <f>IF($A324="","",COUNTIF('AFA Rates'!$A$5:$A$1004,$A324))</f>
        <v/>
      </c>
      <c r="D324" s="57">
        <f>IF(OR($A324="",D$24=""),"",IF(COUNTIFS('AFA Rates'!$A$5:$A$1004,$A324,'AFA Rates'!$B$5:$B$1004,D$24)&gt;0,"✓",""))</f>
        <v/>
      </c>
      <c r="E324" s="57">
        <f>IF(OR($A324="",E$24=""),"",IF(COUNTIFS('AFA Rates'!$A$5:$A$1004,$A324,'AFA Rates'!$B$5:$B$1004,E$24)&gt;0,"✓",""))</f>
        <v/>
      </c>
      <c r="F324" s="57">
        <f>IF(OR($A324="",F$24=""),"",IF(COUNTIFS('AFA Rates'!$A$5:$A$1004,$A324,'AFA Rates'!$B$5:$B$1004,F$24)&gt;0,"✓",""))</f>
        <v/>
      </c>
      <c r="G324" s="57">
        <f>IF(OR($A324="",G$24=""),"",IF(COUNTIFS('AFA Rates'!$A$5:$A$1004,$A324,'AFA Rates'!$B$5:$B$1004,G$24)&gt;0,"✓",""))</f>
        <v/>
      </c>
      <c r="H324" s="57">
        <f>IF(OR($A324="",H$24=""),"",IF(COUNTIFS('AFA Rates'!$A$5:$A$1004,$A324,'AFA Rates'!$B$5:$B$1004,H$24)&gt;0,"✓",""))</f>
        <v/>
      </c>
      <c r="I324" s="57">
        <f>IF(OR($A324="",I$24=""),"",IF(COUNTIFS('AFA Rates'!$A$5:$A$1004,$A324,'AFA Rates'!$B$5:$B$1004,I$24)&gt;0,"✓",""))</f>
        <v/>
      </c>
      <c r="J324" s="57">
        <f>IF(OR($A324="",J$24=""),"",IF(COUNTIFS('AFA Rates'!$A$5:$A$1004,$A324,'AFA Rates'!$B$5:$B$1004,J$24)&gt;0,"✓",""))</f>
        <v/>
      </c>
      <c r="K324" s="57">
        <f>IF(OR($A324="",K$24=""),"",IF(COUNTIFS('AFA Rates'!$A$5:$A$1004,$A324,'AFA Rates'!$B$5:$B$1004,K$24)&gt;0,"✓",""))</f>
        <v/>
      </c>
      <c r="L324" s="57">
        <f>IF(OR($A324="",L$24=""),"",IF(COUNTIFS('AFA Rates'!$A$5:$A$1004,$A324,'AFA Rates'!$B$5:$B$1004,L$24)&gt;0,"✓",""))</f>
        <v/>
      </c>
      <c r="M324" s="57">
        <f>IF(OR($A324="",M$24=""),"",IF(COUNTIFS('AFA Rates'!$A$5:$A$1004,$A324,'AFA Rates'!$B$5:$B$1004,M$24)&gt;0,"✓",""))</f>
        <v/>
      </c>
    </row>
    <row r="325">
      <c r="A325" s="63">
        <f>IFERROR(INDEX(Firms!$A$5:$A$1004,MATCH(301,Firms!$S$5:$S$1004,0)),"")</f>
        <v/>
      </c>
      <c r="B325" s="57">
        <f>IF($A325="","",INDEX(Firms!$B$5:$B$1004,MATCH(301,Firms!$S$5:$S$1004,0)))</f>
        <v/>
      </c>
      <c r="C325" s="57">
        <f>IF($A325="","",COUNTIF('AFA Rates'!$A$5:$A$1004,$A325))</f>
        <v/>
      </c>
      <c r="D325" s="57">
        <f>IF(OR($A325="",D$24=""),"",IF(COUNTIFS('AFA Rates'!$A$5:$A$1004,$A325,'AFA Rates'!$B$5:$B$1004,D$24)&gt;0,"✓",""))</f>
        <v/>
      </c>
      <c r="E325" s="57">
        <f>IF(OR($A325="",E$24=""),"",IF(COUNTIFS('AFA Rates'!$A$5:$A$1004,$A325,'AFA Rates'!$B$5:$B$1004,E$24)&gt;0,"✓",""))</f>
        <v/>
      </c>
      <c r="F325" s="57">
        <f>IF(OR($A325="",F$24=""),"",IF(COUNTIFS('AFA Rates'!$A$5:$A$1004,$A325,'AFA Rates'!$B$5:$B$1004,F$24)&gt;0,"✓",""))</f>
        <v/>
      </c>
      <c r="G325" s="57">
        <f>IF(OR($A325="",G$24=""),"",IF(COUNTIFS('AFA Rates'!$A$5:$A$1004,$A325,'AFA Rates'!$B$5:$B$1004,G$24)&gt;0,"✓",""))</f>
        <v/>
      </c>
      <c r="H325" s="57">
        <f>IF(OR($A325="",H$24=""),"",IF(COUNTIFS('AFA Rates'!$A$5:$A$1004,$A325,'AFA Rates'!$B$5:$B$1004,H$24)&gt;0,"✓",""))</f>
        <v/>
      </c>
      <c r="I325" s="57">
        <f>IF(OR($A325="",I$24=""),"",IF(COUNTIFS('AFA Rates'!$A$5:$A$1004,$A325,'AFA Rates'!$B$5:$B$1004,I$24)&gt;0,"✓",""))</f>
        <v/>
      </c>
      <c r="J325" s="57">
        <f>IF(OR($A325="",J$24=""),"",IF(COUNTIFS('AFA Rates'!$A$5:$A$1004,$A325,'AFA Rates'!$B$5:$B$1004,J$24)&gt;0,"✓",""))</f>
        <v/>
      </c>
      <c r="K325" s="57">
        <f>IF(OR($A325="",K$24=""),"",IF(COUNTIFS('AFA Rates'!$A$5:$A$1004,$A325,'AFA Rates'!$B$5:$B$1004,K$24)&gt;0,"✓",""))</f>
        <v/>
      </c>
      <c r="L325" s="57">
        <f>IF(OR($A325="",L$24=""),"",IF(COUNTIFS('AFA Rates'!$A$5:$A$1004,$A325,'AFA Rates'!$B$5:$B$1004,L$24)&gt;0,"✓",""))</f>
        <v/>
      </c>
      <c r="M325" s="57">
        <f>IF(OR($A325="",M$24=""),"",IF(COUNTIFS('AFA Rates'!$A$5:$A$1004,$A325,'AFA Rates'!$B$5:$B$1004,M$24)&gt;0,"✓",""))</f>
        <v/>
      </c>
    </row>
    <row r="326">
      <c r="A326" s="63">
        <f>IFERROR(INDEX(Firms!$A$5:$A$1004,MATCH(302,Firms!$S$5:$S$1004,0)),"")</f>
        <v/>
      </c>
      <c r="B326" s="57">
        <f>IF($A326="","",INDEX(Firms!$B$5:$B$1004,MATCH(302,Firms!$S$5:$S$1004,0)))</f>
        <v/>
      </c>
      <c r="C326" s="57">
        <f>IF($A326="","",COUNTIF('AFA Rates'!$A$5:$A$1004,$A326))</f>
        <v/>
      </c>
      <c r="D326" s="57">
        <f>IF(OR($A326="",D$24=""),"",IF(COUNTIFS('AFA Rates'!$A$5:$A$1004,$A326,'AFA Rates'!$B$5:$B$1004,D$24)&gt;0,"✓",""))</f>
        <v/>
      </c>
      <c r="E326" s="57">
        <f>IF(OR($A326="",E$24=""),"",IF(COUNTIFS('AFA Rates'!$A$5:$A$1004,$A326,'AFA Rates'!$B$5:$B$1004,E$24)&gt;0,"✓",""))</f>
        <v/>
      </c>
      <c r="F326" s="57">
        <f>IF(OR($A326="",F$24=""),"",IF(COUNTIFS('AFA Rates'!$A$5:$A$1004,$A326,'AFA Rates'!$B$5:$B$1004,F$24)&gt;0,"✓",""))</f>
        <v/>
      </c>
      <c r="G326" s="57">
        <f>IF(OR($A326="",G$24=""),"",IF(COUNTIFS('AFA Rates'!$A$5:$A$1004,$A326,'AFA Rates'!$B$5:$B$1004,G$24)&gt;0,"✓",""))</f>
        <v/>
      </c>
      <c r="H326" s="57">
        <f>IF(OR($A326="",H$24=""),"",IF(COUNTIFS('AFA Rates'!$A$5:$A$1004,$A326,'AFA Rates'!$B$5:$B$1004,H$24)&gt;0,"✓",""))</f>
        <v/>
      </c>
      <c r="I326" s="57">
        <f>IF(OR($A326="",I$24=""),"",IF(COUNTIFS('AFA Rates'!$A$5:$A$1004,$A326,'AFA Rates'!$B$5:$B$1004,I$24)&gt;0,"✓",""))</f>
        <v/>
      </c>
      <c r="J326" s="57">
        <f>IF(OR($A326="",J$24=""),"",IF(COUNTIFS('AFA Rates'!$A$5:$A$1004,$A326,'AFA Rates'!$B$5:$B$1004,J$24)&gt;0,"✓",""))</f>
        <v/>
      </c>
      <c r="K326" s="57">
        <f>IF(OR($A326="",K$24=""),"",IF(COUNTIFS('AFA Rates'!$A$5:$A$1004,$A326,'AFA Rates'!$B$5:$B$1004,K$24)&gt;0,"✓",""))</f>
        <v/>
      </c>
      <c r="L326" s="57">
        <f>IF(OR($A326="",L$24=""),"",IF(COUNTIFS('AFA Rates'!$A$5:$A$1004,$A326,'AFA Rates'!$B$5:$B$1004,L$24)&gt;0,"✓",""))</f>
        <v/>
      </c>
      <c r="M326" s="57">
        <f>IF(OR($A326="",M$24=""),"",IF(COUNTIFS('AFA Rates'!$A$5:$A$1004,$A326,'AFA Rates'!$B$5:$B$1004,M$24)&gt;0,"✓",""))</f>
        <v/>
      </c>
    </row>
    <row r="327">
      <c r="A327" s="63">
        <f>IFERROR(INDEX(Firms!$A$5:$A$1004,MATCH(303,Firms!$S$5:$S$1004,0)),"")</f>
        <v/>
      </c>
      <c r="B327" s="57">
        <f>IF($A327="","",INDEX(Firms!$B$5:$B$1004,MATCH(303,Firms!$S$5:$S$1004,0)))</f>
        <v/>
      </c>
      <c r="C327" s="57">
        <f>IF($A327="","",COUNTIF('AFA Rates'!$A$5:$A$1004,$A327))</f>
        <v/>
      </c>
      <c r="D327" s="57">
        <f>IF(OR($A327="",D$24=""),"",IF(COUNTIFS('AFA Rates'!$A$5:$A$1004,$A327,'AFA Rates'!$B$5:$B$1004,D$24)&gt;0,"✓",""))</f>
        <v/>
      </c>
      <c r="E327" s="57">
        <f>IF(OR($A327="",E$24=""),"",IF(COUNTIFS('AFA Rates'!$A$5:$A$1004,$A327,'AFA Rates'!$B$5:$B$1004,E$24)&gt;0,"✓",""))</f>
        <v/>
      </c>
      <c r="F327" s="57">
        <f>IF(OR($A327="",F$24=""),"",IF(COUNTIFS('AFA Rates'!$A$5:$A$1004,$A327,'AFA Rates'!$B$5:$B$1004,F$24)&gt;0,"✓",""))</f>
        <v/>
      </c>
      <c r="G327" s="57">
        <f>IF(OR($A327="",G$24=""),"",IF(COUNTIFS('AFA Rates'!$A$5:$A$1004,$A327,'AFA Rates'!$B$5:$B$1004,G$24)&gt;0,"✓",""))</f>
        <v/>
      </c>
      <c r="H327" s="57">
        <f>IF(OR($A327="",H$24=""),"",IF(COUNTIFS('AFA Rates'!$A$5:$A$1004,$A327,'AFA Rates'!$B$5:$B$1004,H$24)&gt;0,"✓",""))</f>
        <v/>
      </c>
      <c r="I327" s="57">
        <f>IF(OR($A327="",I$24=""),"",IF(COUNTIFS('AFA Rates'!$A$5:$A$1004,$A327,'AFA Rates'!$B$5:$B$1004,I$24)&gt;0,"✓",""))</f>
        <v/>
      </c>
      <c r="J327" s="57">
        <f>IF(OR($A327="",J$24=""),"",IF(COUNTIFS('AFA Rates'!$A$5:$A$1004,$A327,'AFA Rates'!$B$5:$B$1004,J$24)&gt;0,"✓",""))</f>
        <v/>
      </c>
      <c r="K327" s="57">
        <f>IF(OR($A327="",K$24=""),"",IF(COUNTIFS('AFA Rates'!$A$5:$A$1004,$A327,'AFA Rates'!$B$5:$B$1004,K$24)&gt;0,"✓",""))</f>
        <v/>
      </c>
      <c r="L327" s="57">
        <f>IF(OR($A327="",L$24=""),"",IF(COUNTIFS('AFA Rates'!$A$5:$A$1004,$A327,'AFA Rates'!$B$5:$B$1004,L$24)&gt;0,"✓",""))</f>
        <v/>
      </c>
      <c r="M327" s="57">
        <f>IF(OR($A327="",M$24=""),"",IF(COUNTIFS('AFA Rates'!$A$5:$A$1004,$A327,'AFA Rates'!$B$5:$B$1004,M$24)&gt;0,"✓",""))</f>
        <v/>
      </c>
    </row>
    <row r="328">
      <c r="A328" s="63">
        <f>IFERROR(INDEX(Firms!$A$5:$A$1004,MATCH(304,Firms!$S$5:$S$1004,0)),"")</f>
        <v/>
      </c>
      <c r="B328" s="57">
        <f>IF($A328="","",INDEX(Firms!$B$5:$B$1004,MATCH(304,Firms!$S$5:$S$1004,0)))</f>
        <v/>
      </c>
      <c r="C328" s="57">
        <f>IF($A328="","",COUNTIF('AFA Rates'!$A$5:$A$1004,$A328))</f>
        <v/>
      </c>
      <c r="D328" s="57">
        <f>IF(OR($A328="",D$24=""),"",IF(COUNTIFS('AFA Rates'!$A$5:$A$1004,$A328,'AFA Rates'!$B$5:$B$1004,D$24)&gt;0,"✓",""))</f>
        <v/>
      </c>
      <c r="E328" s="57">
        <f>IF(OR($A328="",E$24=""),"",IF(COUNTIFS('AFA Rates'!$A$5:$A$1004,$A328,'AFA Rates'!$B$5:$B$1004,E$24)&gt;0,"✓",""))</f>
        <v/>
      </c>
      <c r="F328" s="57">
        <f>IF(OR($A328="",F$24=""),"",IF(COUNTIFS('AFA Rates'!$A$5:$A$1004,$A328,'AFA Rates'!$B$5:$B$1004,F$24)&gt;0,"✓",""))</f>
        <v/>
      </c>
      <c r="G328" s="57">
        <f>IF(OR($A328="",G$24=""),"",IF(COUNTIFS('AFA Rates'!$A$5:$A$1004,$A328,'AFA Rates'!$B$5:$B$1004,G$24)&gt;0,"✓",""))</f>
        <v/>
      </c>
      <c r="H328" s="57">
        <f>IF(OR($A328="",H$24=""),"",IF(COUNTIFS('AFA Rates'!$A$5:$A$1004,$A328,'AFA Rates'!$B$5:$B$1004,H$24)&gt;0,"✓",""))</f>
        <v/>
      </c>
      <c r="I328" s="57">
        <f>IF(OR($A328="",I$24=""),"",IF(COUNTIFS('AFA Rates'!$A$5:$A$1004,$A328,'AFA Rates'!$B$5:$B$1004,I$24)&gt;0,"✓",""))</f>
        <v/>
      </c>
      <c r="J328" s="57">
        <f>IF(OR($A328="",J$24=""),"",IF(COUNTIFS('AFA Rates'!$A$5:$A$1004,$A328,'AFA Rates'!$B$5:$B$1004,J$24)&gt;0,"✓",""))</f>
        <v/>
      </c>
      <c r="K328" s="57">
        <f>IF(OR($A328="",K$24=""),"",IF(COUNTIFS('AFA Rates'!$A$5:$A$1004,$A328,'AFA Rates'!$B$5:$B$1004,K$24)&gt;0,"✓",""))</f>
        <v/>
      </c>
      <c r="L328" s="57">
        <f>IF(OR($A328="",L$24=""),"",IF(COUNTIFS('AFA Rates'!$A$5:$A$1004,$A328,'AFA Rates'!$B$5:$B$1004,L$24)&gt;0,"✓",""))</f>
        <v/>
      </c>
      <c r="M328" s="57">
        <f>IF(OR($A328="",M$24=""),"",IF(COUNTIFS('AFA Rates'!$A$5:$A$1004,$A328,'AFA Rates'!$B$5:$B$1004,M$24)&gt;0,"✓",""))</f>
        <v/>
      </c>
    </row>
    <row r="329">
      <c r="A329" s="63">
        <f>IFERROR(INDEX(Firms!$A$5:$A$1004,MATCH(305,Firms!$S$5:$S$1004,0)),"")</f>
        <v/>
      </c>
      <c r="B329" s="57">
        <f>IF($A329="","",INDEX(Firms!$B$5:$B$1004,MATCH(305,Firms!$S$5:$S$1004,0)))</f>
        <v/>
      </c>
      <c r="C329" s="57">
        <f>IF($A329="","",COUNTIF('AFA Rates'!$A$5:$A$1004,$A329))</f>
        <v/>
      </c>
      <c r="D329" s="57">
        <f>IF(OR($A329="",D$24=""),"",IF(COUNTIFS('AFA Rates'!$A$5:$A$1004,$A329,'AFA Rates'!$B$5:$B$1004,D$24)&gt;0,"✓",""))</f>
        <v/>
      </c>
      <c r="E329" s="57">
        <f>IF(OR($A329="",E$24=""),"",IF(COUNTIFS('AFA Rates'!$A$5:$A$1004,$A329,'AFA Rates'!$B$5:$B$1004,E$24)&gt;0,"✓",""))</f>
        <v/>
      </c>
      <c r="F329" s="57">
        <f>IF(OR($A329="",F$24=""),"",IF(COUNTIFS('AFA Rates'!$A$5:$A$1004,$A329,'AFA Rates'!$B$5:$B$1004,F$24)&gt;0,"✓",""))</f>
        <v/>
      </c>
      <c r="G329" s="57">
        <f>IF(OR($A329="",G$24=""),"",IF(COUNTIFS('AFA Rates'!$A$5:$A$1004,$A329,'AFA Rates'!$B$5:$B$1004,G$24)&gt;0,"✓",""))</f>
        <v/>
      </c>
      <c r="H329" s="57">
        <f>IF(OR($A329="",H$24=""),"",IF(COUNTIFS('AFA Rates'!$A$5:$A$1004,$A329,'AFA Rates'!$B$5:$B$1004,H$24)&gt;0,"✓",""))</f>
        <v/>
      </c>
      <c r="I329" s="57">
        <f>IF(OR($A329="",I$24=""),"",IF(COUNTIFS('AFA Rates'!$A$5:$A$1004,$A329,'AFA Rates'!$B$5:$B$1004,I$24)&gt;0,"✓",""))</f>
        <v/>
      </c>
      <c r="J329" s="57">
        <f>IF(OR($A329="",J$24=""),"",IF(COUNTIFS('AFA Rates'!$A$5:$A$1004,$A329,'AFA Rates'!$B$5:$B$1004,J$24)&gt;0,"✓",""))</f>
        <v/>
      </c>
      <c r="K329" s="57">
        <f>IF(OR($A329="",K$24=""),"",IF(COUNTIFS('AFA Rates'!$A$5:$A$1004,$A329,'AFA Rates'!$B$5:$B$1004,K$24)&gt;0,"✓",""))</f>
        <v/>
      </c>
      <c r="L329" s="57">
        <f>IF(OR($A329="",L$24=""),"",IF(COUNTIFS('AFA Rates'!$A$5:$A$1004,$A329,'AFA Rates'!$B$5:$B$1004,L$24)&gt;0,"✓",""))</f>
        <v/>
      </c>
      <c r="M329" s="57">
        <f>IF(OR($A329="",M$24=""),"",IF(COUNTIFS('AFA Rates'!$A$5:$A$1004,$A329,'AFA Rates'!$B$5:$B$1004,M$24)&gt;0,"✓",""))</f>
        <v/>
      </c>
    </row>
    <row r="330">
      <c r="A330" s="63">
        <f>IFERROR(INDEX(Firms!$A$5:$A$1004,MATCH(306,Firms!$S$5:$S$1004,0)),"")</f>
        <v/>
      </c>
      <c r="B330" s="57">
        <f>IF($A330="","",INDEX(Firms!$B$5:$B$1004,MATCH(306,Firms!$S$5:$S$1004,0)))</f>
        <v/>
      </c>
      <c r="C330" s="57">
        <f>IF($A330="","",COUNTIF('AFA Rates'!$A$5:$A$1004,$A330))</f>
        <v/>
      </c>
      <c r="D330" s="57">
        <f>IF(OR($A330="",D$24=""),"",IF(COUNTIFS('AFA Rates'!$A$5:$A$1004,$A330,'AFA Rates'!$B$5:$B$1004,D$24)&gt;0,"✓",""))</f>
        <v/>
      </c>
      <c r="E330" s="57">
        <f>IF(OR($A330="",E$24=""),"",IF(COUNTIFS('AFA Rates'!$A$5:$A$1004,$A330,'AFA Rates'!$B$5:$B$1004,E$24)&gt;0,"✓",""))</f>
        <v/>
      </c>
      <c r="F330" s="57">
        <f>IF(OR($A330="",F$24=""),"",IF(COUNTIFS('AFA Rates'!$A$5:$A$1004,$A330,'AFA Rates'!$B$5:$B$1004,F$24)&gt;0,"✓",""))</f>
        <v/>
      </c>
      <c r="G330" s="57">
        <f>IF(OR($A330="",G$24=""),"",IF(COUNTIFS('AFA Rates'!$A$5:$A$1004,$A330,'AFA Rates'!$B$5:$B$1004,G$24)&gt;0,"✓",""))</f>
        <v/>
      </c>
      <c r="H330" s="57">
        <f>IF(OR($A330="",H$24=""),"",IF(COUNTIFS('AFA Rates'!$A$5:$A$1004,$A330,'AFA Rates'!$B$5:$B$1004,H$24)&gt;0,"✓",""))</f>
        <v/>
      </c>
      <c r="I330" s="57">
        <f>IF(OR($A330="",I$24=""),"",IF(COUNTIFS('AFA Rates'!$A$5:$A$1004,$A330,'AFA Rates'!$B$5:$B$1004,I$24)&gt;0,"✓",""))</f>
        <v/>
      </c>
      <c r="J330" s="57">
        <f>IF(OR($A330="",J$24=""),"",IF(COUNTIFS('AFA Rates'!$A$5:$A$1004,$A330,'AFA Rates'!$B$5:$B$1004,J$24)&gt;0,"✓",""))</f>
        <v/>
      </c>
      <c r="K330" s="57">
        <f>IF(OR($A330="",K$24=""),"",IF(COUNTIFS('AFA Rates'!$A$5:$A$1004,$A330,'AFA Rates'!$B$5:$B$1004,K$24)&gt;0,"✓",""))</f>
        <v/>
      </c>
      <c r="L330" s="57">
        <f>IF(OR($A330="",L$24=""),"",IF(COUNTIFS('AFA Rates'!$A$5:$A$1004,$A330,'AFA Rates'!$B$5:$B$1004,L$24)&gt;0,"✓",""))</f>
        <v/>
      </c>
      <c r="M330" s="57">
        <f>IF(OR($A330="",M$24=""),"",IF(COUNTIFS('AFA Rates'!$A$5:$A$1004,$A330,'AFA Rates'!$B$5:$B$1004,M$24)&gt;0,"✓",""))</f>
        <v/>
      </c>
    </row>
    <row r="331">
      <c r="A331" s="63">
        <f>IFERROR(INDEX(Firms!$A$5:$A$1004,MATCH(307,Firms!$S$5:$S$1004,0)),"")</f>
        <v/>
      </c>
      <c r="B331" s="57">
        <f>IF($A331="","",INDEX(Firms!$B$5:$B$1004,MATCH(307,Firms!$S$5:$S$1004,0)))</f>
        <v/>
      </c>
      <c r="C331" s="57">
        <f>IF($A331="","",COUNTIF('AFA Rates'!$A$5:$A$1004,$A331))</f>
        <v/>
      </c>
      <c r="D331" s="57">
        <f>IF(OR($A331="",D$24=""),"",IF(COUNTIFS('AFA Rates'!$A$5:$A$1004,$A331,'AFA Rates'!$B$5:$B$1004,D$24)&gt;0,"✓",""))</f>
        <v/>
      </c>
      <c r="E331" s="57">
        <f>IF(OR($A331="",E$24=""),"",IF(COUNTIFS('AFA Rates'!$A$5:$A$1004,$A331,'AFA Rates'!$B$5:$B$1004,E$24)&gt;0,"✓",""))</f>
        <v/>
      </c>
      <c r="F331" s="57">
        <f>IF(OR($A331="",F$24=""),"",IF(COUNTIFS('AFA Rates'!$A$5:$A$1004,$A331,'AFA Rates'!$B$5:$B$1004,F$24)&gt;0,"✓",""))</f>
        <v/>
      </c>
      <c r="G331" s="57">
        <f>IF(OR($A331="",G$24=""),"",IF(COUNTIFS('AFA Rates'!$A$5:$A$1004,$A331,'AFA Rates'!$B$5:$B$1004,G$24)&gt;0,"✓",""))</f>
        <v/>
      </c>
      <c r="H331" s="57">
        <f>IF(OR($A331="",H$24=""),"",IF(COUNTIFS('AFA Rates'!$A$5:$A$1004,$A331,'AFA Rates'!$B$5:$B$1004,H$24)&gt;0,"✓",""))</f>
        <v/>
      </c>
      <c r="I331" s="57">
        <f>IF(OR($A331="",I$24=""),"",IF(COUNTIFS('AFA Rates'!$A$5:$A$1004,$A331,'AFA Rates'!$B$5:$B$1004,I$24)&gt;0,"✓",""))</f>
        <v/>
      </c>
      <c r="J331" s="57">
        <f>IF(OR($A331="",J$24=""),"",IF(COUNTIFS('AFA Rates'!$A$5:$A$1004,$A331,'AFA Rates'!$B$5:$B$1004,J$24)&gt;0,"✓",""))</f>
        <v/>
      </c>
      <c r="K331" s="57">
        <f>IF(OR($A331="",K$24=""),"",IF(COUNTIFS('AFA Rates'!$A$5:$A$1004,$A331,'AFA Rates'!$B$5:$B$1004,K$24)&gt;0,"✓",""))</f>
        <v/>
      </c>
      <c r="L331" s="57">
        <f>IF(OR($A331="",L$24=""),"",IF(COUNTIFS('AFA Rates'!$A$5:$A$1004,$A331,'AFA Rates'!$B$5:$B$1004,L$24)&gt;0,"✓",""))</f>
        <v/>
      </c>
      <c r="M331" s="57">
        <f>IF(OR($A331="",M$24=""),"",IF(COUNTIFS('AFA Rates'!$A$5:$A$1004,$A331,'AFA Rates'!$B$5:$B$1004,M$24)&gt;0,"✓",""))</f>
        <v/>
      </c>
    </row>
    <row r="332">
      <c r="A332" s="63">
        <f>IFERROR(INDEX(Firms!$A$5:$A$1004,MATCH(308,Firms!$S$5:$S$1004,0)),"")</f>
        <v/>
      </c>
      <c r="B332" s="57">
        <f>IF($A332="","",INDEX(Firms!$B$5:$B$1004,MATCH(308,Firms!$S$5:$S$1004,0)))</f>
        <v/>
      </c>
      <c r="C332" s="57">
        <f>IF($A332="","",COUNTIF('AFA Rates'!$A$5:$A$1004,$A332))</f>
        <v/>
      </c>
      <c r="D332" s="57">
        <f>IF(OR($A332="",D$24=""),"",IF(COUNTIFS('AFA Rates'!$A$5:$A$1004,$A332,'AFA Rates'!$B$5:$B$1004,D$24)&gt;0,"✓",""))</f>
        <v/>
      </c>
      <c r="E332" s="57">
        <f>IF(OR($A332="",E$24=""),"",IF(COUNTIFS('AFA Rates'!$A$5:$A$1004,$A332,'AFA Rates'!$B$5:$B$1004,E$24)&gt;0,"✓",""))</f>
        <v/>
      </c>
      <c r="F332" s="57">
        <f>IF(OR($A332="",F$24=""),"",IF(COUNTIFS('AFA Rates'!$A$5:$A$1004,$A332,'AFA Rates'!$B$5:$B$1004,F$24)&gt;0,"✓",""))</f>
        <v/>
      </c>
      <c r="G332" s="57">
        <f>IF(OR($A332="",G$24=""),"",IF(COUNTIFS('AFA Rates'!$A$5:$A$1004,$A332,'AFA Rates'!$B$5:$B$1004,G$24)&gt;0,"✓",""))</f>
        <v/>
      </c>
      <c r="H332" s="57">
        <f>IF(OR($A332="",H$24=""),"",IF(COUNTIFS('AFA Rates'!$A$5:$A$1004,$A332,'AFA Rates'!$B$5:$B$1004,H$24)&gt;0,"✓",""))</f>
        <v/>
      </c>
      <c r="I332" s="57">
        <f>IF(OR($A332="",I$24=""),"",IF(COUNTIFS('AFA Rates'!$A$5:$A$1004,$A332,'AFA Rates'!$B$5:$B$1004,I$24)&gt;0,"✓",""))</f>
        <v/>
      </c>
      <c r="J332" s="57">
        <f>IF(OR($A332="",J$24=""),"",IF(COUNTIFS('AFA Rates'!$A$5:$A$1004,$A332,'AFA Rates'!$B$5:$B$1004,J$24)&gt;0,"✓",""))</f>
        <v/>
      </c>
      <c r="K332" s="57">
        <f>IF(OR($A332="",K$24=""),"",IF(COUNTIFS('AFA Rates'!$A$5:$A$1004,$A332,'AFA Rates'!$B$5:$B$1004,K$24)&gt;0,"✓",""))</f>
        <v/>
      </c>
      <c r="L332" s="57">
        <f>IF(OR($A332="",L$24=""),"",IF(COUNTIFS('AFA Rates'!$A$5:$A$1004,$A332,'AFA Rates'!$B$5:$B$1004,L$24)&gt;0,"✓",""))</f>
        <v/>
      </c>
      <c r="M332" s="57">
        <f>IF(OR($A332="",M$24=""),"",IF(COUNTIFS('AFA Rates'!$A$5:$A$1004,$A332,'AFA Rates'!$B$5:$B$1004,M$24)&gt;0,"✓",""))</f>
        <v/>
      </c>
    </row>
    <row r="333">
      <c r="A333" s="63">
        <f>IFERROR(INDEX(Firms!$A$5:$A$1004,MATCH(309,Firms!$S$5:$S$1004,0)),"")</f>
        <v/>
      </c>
      <c r="B333" s="57">
        <f>IF($A333="","",INDEX(Firms!$B$5:$B$1004,MATCH(309,Firms!$S$5:$S$1004,0)))</f>
        <v/>
      </c>
      <c r="C333" s="57">
        <f>IF($A333="","",COUNTIF('AFA Rates'!$A$5:$A$1004,$A333))</f>
        <v/>
      </c>
      <c r="D333" s="57">
        <f>IF(OR($A333="",D$24=""),"",IF(COUNTIFS('AFA Rates'!$A$5:$A$1004,$A333,'AFA Rates'!$B$5:$B$1004,D$24)&gt;0,"✓",""))</f>
        <v/>
      </c>
      <c r="E333" s="57">
        <f>IF(OR($A333="",E$24=""),"",IF(COUNTIFS('AFA Rates'!$A$5:$A$1004,$A333,'AFA Rates'!$B$5:$B$1004,E$24)&gt;0,"✓",""))</f>
        <v/>
      </c>
      <c r="F333" s="57">
        <f>IF(OR($A333="",F$24=""),"",IF(COUNTIFS('AFA Rates'!$A$5:$A$1004,$A333,'AFA Rates'!$B$5:$B$1004,F$24)&gt;0,"✓",""))</f>
        <v/>
      </c>
      <c r="G333" s="57">
        <f>IF(OR($A333="",G$24=""),"",IF(COUNTIFS('AFA Rates'!$A$5:$A$1004,$A333,'AFA Rates'!$B$5:$B$1004,G$24)&gt;0,"✓",""))</f>
        <v/>
      </c>
      <c r="H333" s="57">
        <f>IF(OR($A333="",H$24=""),"",IF(COUNTIFS('AFA Rates'!$A$5:$A$1004,$A333,'AFA Rates'!$B$5:$B$1004,H$24)&gt;0,"✓",""))</f>
        <v/>
      </c>
      <c r="I333" s="57">
        <f>IF(OR($A333="",I$24=""),"",IF(COUNTIFS('AFA Rates'!$A$5:$A$1004,$A333,'AFA Rates'!$B$5:$B$1004,I$24)&gt;0,"✓",""))</f>
        <v/>
      </c>
      <c r="J333" s="57">
        <f>IF(OR($A333="",J$24=""),"",IF(COUNTIFS('AFA Rates'!$A$5:$A$1004,$A333,'AFA Rates'!$B$5:$B$1004,J$24)&gt;0,"✓",""))</f>
        <v/>
      </c>
      <c r="K333" s="57">
        <f>IF(OR($A333="",K$24=""),"",IF(COUNTIFS('AFA Rates'!$A$5:$A$1004,$A333,'AFA Rates'!$B$5:$B$1004,K$24)&gt;0,"✓",""))</f>
        <v/>
      </c>
      <c r="L333" s="57">
        <f>IF(OR($A333="",L$24=""),"",IF(COUNTIFS('AFA Rates'!$A$5:$A$1004,$A333,'AFA Rates'!$B$5:$B$1004,L$24)&gt;0,"✓",""))</f>
        <v/>
      </c>
      <c r="M333" s="57">
        <f>IF(OR($A333="",M$24=""),"",IF(COUNTIFS('AFA Rates'!$A$5:$A$1004,$A333,'AFA Rates'!$B$5:$B$1004,M$24)&gt;0,"✓",""))</f>
        <v/>
      </c>
    </row>
    <row r="334">
      <c r="A334" s="63">
        <f>IFERROR(INDEX(Firms!$A$5:$A$1004,MATCH(310,Firms!$S$5:$S$1004,0)),"")</f>
        <v/>
      </c>
      <c r="B334" s="57">
        <f>IF($A334="","",INDEX(Firms!$B$5:$B$1004,MATCH(310,Firms!$S$5:$S$1004,0)))</f>
        <v/>
      </c>
      <c r="C334" s="57">
        <f>IF($A334="","",COUNTIF('AFA Rates'!$A$5:$A$1004,$A334))</f>
        <v/>
      </c>
      <c r="D334" s="57">
        <f>IF(OR($A334="",D$24=""),"",IF(COUNTIFS('AFA Rates'!$A$5:$A$1004,$A334,'AFA Rates'!$B$5:$B$1004,D$24)&gt;0,"✓",""))</f>
        <v/>
      </c>
      <c r="E334" s="57">
        <f>IF(OR($A334="",E$24=""),"",IF(COUNTIFS('AFA Rates'!$A$5:$A$1004,$A334,'AFA Rates'!$B$5:$B$1004,E$24)&gt;0,"✓",""))</f>
        <v/>
      </c>
      <c r="F334" s="57">
        <f>IF(OR($A334="",F$24=""),"",IF(COUNTIFS('AFA Rates'!$A$5:$A$1004,$A334,'AFA Rates'!$B$5:$B$1004,F$24)&gt;0,"✓",""))</f>
        <v/>
      </c>
      <c r="G334" s="57">
        <f>IF(OR($A334="",G$24=""),"",IF(COUNTIFS('AFA Rates'!$A$5:$A$1004,$A334,'AFA Rates'!$B$5:$B$1004,G$24)&gt;0,"✓",""))</f>
        <v/>
      </c>
      <c r="H334" s="57">
        <f>IF(OR($A334="",H$24=""),"",IF(COUNTIFS('AFA Rates'!$A$5:$A$1004,$A334,'AFA Rates'!$B$5:$B$1004,H$24)&gt;0,"✓",""))</f>
        <v/>
      </c>
      <c r="I334" s="57">
        <f>IF(OR($A334="",I$24=""),"",IF(COUNTIFS('AFA Rates'!$A$5:$A$1004,$A334,'AFA Rates'!$B$5:$B$1004,I$24)&gt;0,"✓",""))</f>
        <v/>
      </c>
      <c r="J334" s="57">
        <f>IF(OR($A334="",J$24=""),"",IF(COUNTIFS('AFA Rates'!$A$5:$A$1004,$A334,'AFA Rates'!$B$5:$B$1004,J$24)&gt;0,"✓",""))</f>
        <v/>
      </c>
      <c r="K334" s="57">
        <f>IF(OR($A334="",K$24=""),"",IF(COUNTIFS('AFA Rates'!$A$5:$A$1004,$A334,'AFA Rates'!$B$5:$B$1004,K$24)&gt;0,"✓",""))</f>
        <v/>
      </c>
      <c r="L334" s="57">
        <f>IF(OR($A334="",L$24=""),"",IF(COUNTIFS('AFA Rates'!$A$5:$A$1004,$A334,'AFA Rates'!$B$5:$B$1004,L$24)&gt;0,"✓",""))</f>
        <v/>
      </c>
      <c r="M334" s="57">
        <f>IF(OR($A334="",M$24=""),"",IF(COUNTIFS('AFA Rates'!$A$5:$A$1004,$A334,'AFA Rates'!$B$5:$B$1004,M$24)&gt;0,"✓",""))</f>
        <v/>
      </c>
    </row>
    <row r="335">
      <c r="A335" s="63">
        <f>IFERROR(INDEX(Firms!$A$5:$A$1004,MATCH(311,Firms!$S$5:$S$1004,0)),"")</f>
        <v/>
      </c>
      <c r="B335" s="57">
        <f>IF($A335="","",INDEX(Firms!$B$5:$B$1004,MATCH(311,Firms!$S$5:$S$1004,0)))</f>
        <v/>
      </c>
      <c r="C335" s="57">
        <f>IF($A335="","",COUNTIF('AFA Rates'!$A$5:$A$1004,$A335))</f>
        <v/>
      </c>
      <c r="D335" s="57">
        <f>IF(OR($A335="",D$24=""),"",IF(COUNTIFS('AFA Rates'!$A$5:$A$1004,$A335,'AFA Rates'!$B$5:$B$1004,D$24)&gt;0,"✓",""))</f>
        <v/>
      </c>
      <c r="E335" s="57">
        <f>IF(OR($A335="",E$24=""),"",IF(COUNTIFS('AFA Rates'!$A$5:$A$1004,$A335,'AFA Rates'!$B$5:$B$1004,E$24)&gt;0,"✓",""))</f>
        <v/>
      </c>
      <c r="F335" s="57">
        <f>IF(OR($A335="",F$24=""),"",IF(COUNTIFS('AFA Rates'!$A$5:$A$1004,$A335,'AFA Rates'!$B$5:$B$1004,F$24)&gt;0,"✓",""))</f>
        <v/>
      </c>
      <c r="G335" s="57">
        <f>IF(OR($A335="",G$24=""),"",IF(COUNTIFS('AFA Rates'!$A$5:$A$1004,$A335,'AFA Rates'!$B$5:$B$1004,G$24)&gt;0,"✓",""))</f>
        <v/>
      </c>
      <c r="H335" s="57">
        <f>IF(OR($A335="",H$24=""),"",IF(COUNTIFS('AFA Rates'!$A$5:$A$1004,$A335,'AFA Rates'!$B$5:$B$1004,H$24)&gt;0,"✓",""))</f>
        <v/>
      </c>
      <c r="I335" s="57">
        <f>IF(OR($A335="",I$24=""),"",IF(COUNTIFS('AFA Rates'!$A$5:$A$1004,$A335,'AFA Rates'!$B$5:$B$1004,I$24)&gt;0,"✓",""))</f>
        <v/>
      </c>
      <c r="J335" s="57">
        <f>IF(OR($A335="",J$24=""),"",IF(COUNTIFS('AFA Rates'!$A$5:$A$1004,$A335,'AFA Rates'!$B$5:$B$1004,J$24)&gt;0,"✓",""))</f>
        <v/>
      </c>
      <c r="K335" s="57">
        <f>IF(OR($A335="",K$24=""),"",IF(COUNTIFS('AFA Rates'!$A$5:$A$1004,$A335,'AFA Rates'!$B$5:$B$1004,K$24)&gt;0,"✓",""))</f>
        <v/>
      </c>
      <c r="L335" s="57">
        <f>IF(OR($A335="",L$24=""),"",IF(COUNTIFS('AFA Rates'!$A$5:$A$1004,$A335,'AFA Rates'!$B$5:$B$1004,L$24)&gt;0,"✓",""))</f>
        <v/>
      </c>
      <c r="M335" s="57">
        <f>IF(OR($A335="",M$24=""),"",IF(COUNTIFS('AFA Rates'!$A$5:$A$1004,$A335,'AFA Rates'!$B$5:$B$1004,M$24)&gt;0,"✓",""))</f>
        <v/>
      </c>
    </row>
    <row r="336">
      <c r="A336" s="63">
        <f>IFERROR(INDEX(Firms!$A$5:$A$1004,MATCH(312,Firms!$S$5:$S$1004,0)),"")</f>
        <v/>
      </c>
      <c r="B336" s="57">
        <f>IF($A336="","",INDEX(Firms!$B$5:$B$1004,MATCH(312,Firms!$S$5:$S$1004,0)))</f>
        <v/>
      </c>
      <c r="C336" s="57">
        <f>IF($A336="","",COUNTIF('AFA Rates'!$A$5:$A$1004,$A336))</f>
        <v/>
      </c>
      <c r="D336" s="57">
        <f>IF(OR($A336="",D$24=""),"",IF(COUNTIFS('AFA Rates'!$A$5:$A$1004,$A336,'AFA Rates'!$B$5:$B$1004,D$24)&gt;0,"✓",""))</f>
        <v/>
      </c>
      <c r="E336" s="57">
        <f>IF(OR($A336="",E$24=""),"",IF(COUNTIFS('AFA Rates'!$A$5:$A$1004,$A336,'AFA Rates'!$B$5:$B$1004,E$24)&gt;0,"✓",""))</f>
        <v/>
      </c>
      <c r="F336" s="57">
        <f>IF(OR($A336="",F$24=""),"",IF(COUNTIFS('AFA Rates'!$A$5:$A$1004,$A336,'AFA Rates'!$B$5:$B$1004,F$24)&gt;0,"✓",""))</f>
        <v/>
      </c>
      <c r="G336" s="57">
        <f>IF(OR($A336="",G$24=""),"",IF(COUNTIFS('AFA Rates'!$A$5:$A$1004,$A336,'AFA Rates'!$B$5:$B$1004,G$24)&gt;0,"✓",""))</f>
        <v/>
      </c>
      <c r="H336" s="57">
        <f>IF(OR($A336="",H$24=""),"",IF(COUNTIFS('AFA Rates'!$A$5:$A$1004,$A336,'AFA Rates'!$B$5:$B$1004,H$24)&gt;0,"✓",""))</f>
        <v/>
      </c>
      <c r="I336" s="57">
        <f>IF(OR($A336="",I$24=""),"",IF(COUNTIFS('AFA Rates'!$A$5:$A$1004,$A336,'AFA Rates'!$B$5:$B$1004,I$24)&gt;0,"✓",""))</f>
        <v/>
      </c>
      <c r="J336" s="57">
        <f>IF(OR($A336="",J$24=""),"",IF(COUNTIFS('AFA Rates'!$A$5:$A$1004,$A336,'AFA Rates'!$B$5:$B$1004,J$24)&gt;0,"✓",""))</f>
        <v/>
      </c>
      <c r="K336" s="57">
        <f>IF(OR($A336="",K$24=""),"",IF(COUNTIFS('AFA Rates'!$A$5:$A$1004,$A336,'AFA Rates'!$B$5:$B$1004,K$24)&gt;0,"✓",""))</f>
        <v/>
      </c>
      <c r="L336" s="57">
        <f>IF(OR($A336="",L$24=""),"",IF(COUNTIFS('AFA Rates'!$A$5:$A$1004,$A336,'AFA Rates'!$B$5:$B$1004,L$24)&gt;0,"✓",""))</f>
        <v/>
      </c>
      <c r="M336" s="57">
        <f>IF(OR($A336="",M$24=""),"",IF(COUNTIFS('AFA Rates'!$A$5:$A$1004,$A336,'AFA Rates'!$B$5:$B$1004,M$24)&gt;0,"✓",""))</f>
        <v/>
      </c>
    </row>
    <row r="337">
      <c r="A337" s="63">
        <f>IFERROR(INDEX(Firms!$A$5:$A$1004,MATCH(313,Firms!$S$5:$S$1004,0)),"")</f>
        <v/>
      </c>
      <c r="B337" s="57">
        <f>IF($A337="","",INDEX(Firms!$B$5:$B$1004,MATCH(313,Firms!$S$5:$S$1004,0)))</f>
        <v/>
      </c>
      <c r="C337" s="57">
        <f>IF($A337="","",COUNTIF('AFA Rates'!$A$5:$A$1004,$A337))</f>
        <v/>
      </c>
      <c r="D337" s="57">
        <f>IF(OR($A337="",D$24=""),"",IF(COUNTIFS('AFA Rates'!$A$5:$A$1004,$A337,'AFA Rates'!$B$5:$B$1004,D$24)&gt;0,"✓",""))</f>
        <v/>
      </c>
      <c r="E337" s="57">
        <f>IF(OR($A337="",E$24=""),"",IF(COUNTIFS('AFA Rates'!$A$5:$A$1004,$A337,'AFA Rates'!$B$5:$B$1004,E$24)&gt;0,"✓",""))</f>
        <v/>
      </c>
      <c r="F337" s="57">
        <f>IF(OR($A337="",F$24=""),"",IF(COUNTIFS('AFA Rates'!$A$5:$A$1004,$A337,'AFA Rates'!$B$5:$B$1004,F$24)&gt;0,"✓",""))</f>
        <v/>
      </c>
      <c r="G337" s="57">
        <f>IF(OR($A337="",G$24=""),"",IF(COUNTIFS('AFA Rates'!$A$5:$A$1004,$A337,'AFA Rates'!$B$5:$B$1004,G$24)&gt;0,"✓",""))</f>
        <v/>
      </c>
      <c r="H337" s="57">
        <f>IF(OR($A337="",H$24=""),"",IF(COUNTIFS('AFA Rates'!$A$5:$A$1004,$A337,'AFA Rates'!$B$5:$B$1004,H$24)&gt;0,"✓",""))</f>
        <v/>
      </c>
      <c r="I337" s="57">
        <f>IF(OR($A337="",I$24=""),"",IF(COUNTIFS('AFA Rates'!$A$5:$A$1004,$A337,'AFA Rates'!$B$5:$B$1004,I$24)&gt;0,"✓",""))</f>
        <v/>
      </c>
      <c r="J337" s="57">
        <f>IF(OR($A337="",J$24=""),"",IF(COUNTIFS('AFA Rates'!$A$5:$A$1004,$A337,'AFA Rates'!$B$5:$B$1004,J$24)&gt;0,"✓",""))</f>
        <v/>
      </c>
      <c r="K337" s="57">
        <f>IF(OR($A337="",K$24=""),"",IF(COUNTIFS('AFA Rates'!$A$5:$A$1004,$A337,'AFA Rates'!$B$5:$B$1004,K$24)&gt;0,"✓",""))</f>
        <v/>
      </c>
      <c r="L337" s="57">
        <f>IF(OR($A337="",L$24=""),"",IF(COUNTIFS('AFA Rates'!$A$5:$A$1004,$A337,'AFA Rates'!$B$5:$B$1004,L$24)&gt;0,"✓",""))</f>
        <v/>
      </c>
      <c r="M337" s="57">
        <f>IF(OR($A337="",M$24=""),"",IF(COUNTIFS('AFA Rates'!$A$5:$A$1004,$A337,'AFA Rates'!$B$5:$B$1004,M$24)&gt;0,"✓",""))</f>
        <v/>
      </c>
    </row>
    <row r="338">
      <c r="A338" s="63">
        <f>IFERROR(INDEX(Firms!$A$5:$A$1004,MATCH(314,Firms!$S$5:$S$1004,0)),"")</f>
        <v/>
      </c>
      <c r="B338" s="57">
        <f>IF($A338="","",INDEX(Firms!$B$5:$B$1004,MATCH(314,Firms!$S$5:$S$1004,0)))</f>
        <v/>
      </c>
      <c r="C338" s="57">
        <f>IF($A338="","",COUNTIF('AFA Rates'!$A$5:$A$1004,$A338))</f>
        <v/>
      </c>
      <c r="D338" s="57">
        <f>IF(OR($A338="",D$24=""),"",IF(COUNTIFS('AFA Rates'!$A$5:$A$1004,$A338,'AFA Rates'!$B$5:$B$1004,D$24)&gt;0,"✓",""))</f>
        <v/>
      </c>
      <c r="E338" s="57">
        <f>IF(OR($A338="",E$24=""),"",IF(COUNTIFS('AFA Rates'!$A$5:$A$1004,$A338,'AFA Rates'!$B$5:$B$1004,E$24)&gt;0,"✓",""))</f>
        <v/>
      </c>
      <c r="F338" s="57">
        <f>IF(OR($A338="",F$24=""),"",IF(COUNTIFS('AFA Rates'!$A$5:$A$1004,$A338,'AFA Rates'!$B$5:$B$1004,F$24)&gt;0,"✓",""))</f>
        <v/>
      </c>
      <c r="G338" s="57">
        <f>IF(OR($A338="",G$24=""),"",IF(COUNTIFS('AFA Rates'!$A$5:$A$1004,$A338,'AFA Rates'!$B$5:$B$1004,G$24)&gt;0,"✓",""))</f>
        <v/>
      </c>
      <c r="H338" s="57">
        <f>IF(OR($A338="",H$24=""),"",IF(COUNTIFS('AFA Rates'!$A$5:$A$1004,$A338,'AFA Rates'!$B$5:$B$1004,H$24)&gt;0,"✓",""))</f>
        <v/>
      </c>
      <c r="I338" s="57">
        <f>IF(OR($A338="",I$24=""),"",IF(COUNTIFS('AFA Rates'!$A$5:$A$1004,$A338,'AFA Rates'!$B$5:$B$1004,I$24)&gt;0,"✓",""))</f>
        <v/>
      </c>
      <c r="J338" s="57">
        <f>IF(OR($A338="",J$24=""),"",IF(COUNTIFS('AFA Rates'!$A$5:$A$1004,$A338,'AFA Rates'!$B$5:$B$1004,J$24)&gt;0,"✓",""))</f>
        <v/>
      </c>
      <c r="K338" s="57">
        <f>IF(OR($A338="",K$24=""),"",IF(COUNTIFS('AFA Rates'!$A$5:$A$1004,$A338,'AFA Rates'!$B$5:$B$1004,K$24)&gt;0,"✓",""))</f>
        <v/>
      </c>
      <c r="L338" s="57">
        <f>IF(OR($A338="",L$24=""),"",IF(COUNTIFS('AFA Rates'!$A$5:$A$1004,$A338,'AFA Rates'!$B$5:$B$1004,L$24)&gt;0,"✓",""))</f>
        <v/>
      </c>
      <c r="M338" s="57">
        <f>IF(OR($A338="",M$24=""),"",IF(COUNTIFS('AFA Rates'!$A$5:$A$1004,$A338,'AFA Rates'!$B$5:$B$1004,M$24)&gt;0,"✓",""))</f>
        <v/>
      </c>
    </row>
    <row r="339">
      <c r="A339" s="63">
        <f>IFERROR(INDEX(Firms!$A$5:$A$1004,MATCH(315,Firms!$S$5:$S$1004,0)),"")</f>
        <v/>
      </c>
      <c r="B339" s="57">
        <f>IF($A339="","",INDEX(Firms!$B$5:$B$1004,MATCH(315,Firms!$S$5:$S$1004,0)))</f>
        <v/>
      </c>
      <c r="C339" s="57">
        <f>IF($A339="","",COUNTIF('AFA Rates'!$A$5:$A$1004,$A339))</f>
        <v/>
      </c>
      <c r="D339" s="57">
        <f>IF(OR($A339="",D$24=""),"",IF(COUNTIFS('AFA Rates'!$A$5:$A$1004,$A339,'AFA Rates'!$B$5:$B$1004,D$24)&gt;0,"✓",""))</f>
        <v/>
      </c>
      <c r="E339" s="57">
        <f>IF(OR($A339="",E$24=""),"",IF(COUNTIFS('AFA Rates'!$A$5:$A$1004,$A339,'AFA Rates'!$B$5:$B$1004,E$24)&gt;0,"✓",""))</f>
        <v/>
      </c>
      <c r="F339" s="57">
        <f>IF(OR($A339="",F$24=""),"",IF(COUNTIFS('AFA Rates'!$A$5:$A$1004,$A339,'AFA Rates'!$B$5:$B$1004,F$24)&gt;0,"✓",""))</f>
        <v/>
      </c>
      <c r="G339" s="57">
        <f>IF(OR($A339="",G$24=""),"",IF(COUNTIFS('AFA Rates'!$A$5:$A$1004,$A339,'AFA Rates'!$B$5:$B$1004,G$24)&gt;0,"✓",""))</f>
        <v/>
      </c>
      <c r="H339" s="57">
        <f>IF(OR($A339="",H$24=""),"",IF(COUNTIFS('AFA Rates'!$A$5:$A$1004,$A339,'AFA Rates'!$B$5:$B$1004,H$24)&gt;0,"✓",""))</f>
        <v/>
      </c>
      <c r="I339" s="57">
        <f>IF(OR($A339="",I$24=""),"",IF(COUNTIFS('AFA Rates'!$A$5:$A$1004,$A339,'AFA Rates'!$B$5:$B$1004,I$24)&gt;0,"✓",""))</f>
        <v/>
      </c>
      <c r="J339" s="57">
        <f>IF(OR($A339="",J$24=""),"",IF(COUNTIFS('AFA Rates'!$A$5:$A$1004,$A339,'AFA Rates'!$B$5:$B$1004,J$24)&gt;0,"✓",""))</f>
        <v/>
      </c>
      <c r="K339" s="57">
        <f>IF(OR($A339="",K$24=""),"",IF(COUNTIFS('AFA Rates'!$A$5:$A$1004,$A339,'AFA Rates'!$B$5:$B$1004,K$24)&gt;0,"✓",""))</f>
        <v/>
      </c>
      <c r="L339" s="57">
        <f>IF(OR($A339="",L$24=""),"",IF(COUNTIFS('AFA Rates'!$A$5:$A$1004,$A339,'AFA Rates'!$B$5:$B$1004,L$24)&gt;0,"✓",""))</f>
        <v/>
      </c>
      <c r="M339" s="57">
        <f>IF(OR($A339="",M$24=""),"",IF(COUNTIFS('AFA Rates'!$A$5:$A$1004,$A339,'AFA Rates'!$B$5:$B$1004,M$24)&gt;0,"✓",""))</f>
        <v/>
      </c>
    </row>
    <row r="340">
      <c r="A340" s="63">
        <f>IFERROR(INDEX(Firms!$A$5:$A$1004,MATCH(316,Firms!$S$5:$S$1004,0)),"")</f>
        <v/>
      </c>
      <c r="B340" s="57">
        <f>IF($A340="","",INDEX(Firms!$B$5:$B$1004,MATCH(316,Firms!$S$5:$S$1004,0)))</f>
        <v/>
      </c>
      <c r="C340" s="57">
        <f>IF($A340="","",COUNTIF('AFA Rates'!$A$5:$A$1004,$A340))</f>
        <v/>
      </c>
      <c r="D340" s="57">
        <f>IF(OR($A340="",D$24=""),"",IF(COUNTIFS('AFA Rates'!$A$5:$A$1004,$A340,'AFA Rates'!$B$5:$B$1004,D$24)&gt;0,"✓",""))</f>
        <v/>
      </c>
      <c r="E340" s="57">
        <f>IF(OR($A340="",E$24=""),"",IF(COUNTIFS('AFA Rates'!$A$5:$A$1004,$A340,'AFA Rates'!$B$5:$B$1004,E$24)&gt;0,"✓",""))</f>
        <v/>
      </c>
      <c r="F340" s="57">
        <f>IF(OR($A340="",F$24=""),"",IF(COUNTIFS('AFA Rates'!$A$5:$A$1004,$A340,'AFA Rates'!$B$5:$B$1004,F$24)&gt;0,"✓",""))</f>
        <v/>
      </c>
      <c r="G340" s="57">
        <f>IF(OR($A340="",G$24=""),"",IF(COUNTIFS('AFA Rates'!$A$5:$A$1004,$A340,'AFA Rates'!$B$5:$B$1004,G$24)&gt;0,"✓",""))</f>
        <v/>
      </c>
      <c r="H340" s="57">
        <f>IF(OR($A340="",H$24=""),"",IF(COUNTIFS('AFA Rates'!$A$5:$A$1004,$A340,'AFA Rates'!$B$5:$B$1004,H$24)&gt;0,"✓",""))</f>
        <v/>
      </c>
      <c r="I340" s="57">
        <f>IF(OR($A340="",I$24=""),"",IF(COUNTIFS('AFA Rates'!$A$5:$A$1004,$A340,'AFA Rates'!$B$5:$B$1004,I$24)&gt;0,"✓",""))</f>
        <v/>
      </c>
      <c r="J340" s="57">
        <f>IF(OR($A340="",J$24=""),"",IF(COUNTIFS('AFA Rates'!$A$5:$A$1004,$A340,'AFA Rates'!$B$5:$B$1004,J$24)&gt;0,"✓",""))</f>
        <v/>
      </c>
      <c r="K340" s="57">
        <f>IF(OR($A340="",K$24=""),"",IF(COUNTIFS('AFA Rates'!$A$5:$A$1004,$A340,'AFA Rates'!$B$5:$B$1004,K$24)&gt;0,"✓",""))</f>
        <v/>
      </c>
      <c r="L340" s="57">
        <f>IF(OR($A340="",L$24=""),"",IF(COUNTIFS('AFA Rates'!$A$5:$A$1004,$A340,'AFA Rates'!$B$5:$B$1004,L$24)&gt;0,"✓",""))</f>
        <v/>
      </c>
      <c r="M340" s="57">
        <f>IF(OR($A340="",M$24=""),"",IF(COUNTIFS('AFA Rates'!$A$5:$A$1004,$A340,'AFA Rates'!$B$5:$B$1004,M$24)&gt;0,"✓",""))</f>
        <v/>
      </c>
    </row>
    <row r="341">
      <c r="A341" s="63">
        <f>IFERROR(INDEX(Firms!$A$5:$A$1004,MATCH(317,Firms!$S$5:$S$1004,0)),"")</f>
        <v/>
      </c>
      <c r="B341" s="57">
        <f>IF($A341="","",INDEX(Firms!$B$5:$B$1004,MATCH(317,Firms!$S$5:$S$1004,0)))</f>
        <v/>
      </c>
      <c r="C341" s="57">
        <f>IF($A341="","",COUNTIF('AFA Rates'!$A$5:$A$1004,$A341))</f>
        <v/>
      </c>
      <c r="D341" s="57">
        <f>IF(OR($A341="",D$24=""),"",IF(COUNTIFS('AFA Rates'!$A$5:$A$1004,$A341,'AFA Rates'!$B$5:$B$1004,D$24)&gt;0,"✓",""))</f>
        <v/>
      </c>
      <c r="E341" s="57">
        <f>IF(OR($A341="",E$24=""),"",IF(COUNTIFS('AFA Rates'!$A$5:$A$1004,$A341,'AFA Rates'!$B$5:$B$1004,E$24)&gt;0,"✓",""))</f>
        <v/>
      </c>
      <c r="F341" s="57">
        <f>IF(OR($A341="",F$24=""),"",IF(COUNTIFS('AFA Rates'!$A$5:$A$1004,$A341,'AFA Rates'!$B$5:$B$1004,F$24)&gt;0,"✓",""))</f>
        <v/>
      </c>
      <c r="G341" s="57">
        <f>IF(OR($A341="",G$24=""),"",IF(COUNTIFS('AFA Rates'!$A$5:$A$1004,$A341,'AFA Rates'!$B$5:$B$1004,G$24)&gt;0,"✓",""))</f>
        <v/>
      </c>
      <c r="H341" s="57">
        <f>IF(OR($A341="",H$24=""),"",IF(COUNTIFS('AFA Rates'!$A$5:$A$1004,$A341,'AFA Rates'!$B$5:$B$1004,H$24)&gt;0,"✓",""))</f>
        <v/>
      </c>
      <c r="I341" s="57">
        <f>IF(OR($A341="",I$24=""),"",IF(COUNTIFS('AFA Rates'!$A$5:$A$1004,$A341,'AFA Rates'!$B$5:$B$1004,I$24)&gt;0,"✓",""))</f>
        <v/>
      </c>
      <c r="J341" s="57">
        <f>IF(OR($A341="",J$24=""),"",IF(COUNTIFS('AFA Rates'!$A$5:$A$1004,$A341,'AFA Rates'!$B$5:$B$1004,J$24)&gt;0,"✓",""))</f>
        <v/>
      </c>
      <c r="K341" s="57">
        <f>IF(OR($A341="",K$24=""),"",IF(COUNTIFS('AFA Rates'!$A$5:$A$1004,$A341,'AFA Rates'!$B$5:$B$1004,K$24)&gt;0,"✓",""))</f>
        <v/>
      </c>
      <c r="L341" s="57">
        <f>IF(OR($A341="",L$24=""),"",IF(COUNTIFS('AFA Rates'!$A$5:$A$1004,$A341,'AFA Rates'!$B$5:$B$1004,L$24)&gt;0,"✓",""))</f>
        <v/>
      </c>
      <c r="M341" s="57">
        <f>IF(OR($A341="",M$24=""),"",IF(COUNTIFS('AFA Rates'!$A$5:$A$1004,$A341,'AFA Rates'!$B$5:$B$1004,M$24)&gt;0,"✓",""))</f>
        <v/>
      </c>
    </row>
    <row r="342">
      <c r="A342" s="63">
        <f>IFERROR(INDEX(Firms!$A$5:$A$1004,MATCH(318,Firms!$S$5:$S$1004,0)),"")</f>
        <v/>
      </c>
      <c r="B342" s="57">
        <f>IF($A342="","",INDEX(Firms!$B$5:$B$1004,MATCH(318,Firms!$S$5:$S$1004,0)))</f>
        <v/>
      </c>
      <c r="C342" s="57">
        <f>IF($A342="","",COUNTIF('AFA Rates'!$A$5:$A$1004,$A342))</f>
        <v/>
      </c>
      <c r="D342" s="57">
        <f>IF(OR($A342="",D$24=""),"",IF(COUNTIFS('AFA Rates'!$A$5:$A$1004,$A342,'AFA Rates'!$B$5:$B$1004,D$24)&gt;0,"✓",""))</f>
        <v/>
      </c>
      <c r="E342" s="57">
        <f>IF(OR($A342="",E$24=""),"",IF(COUNTIFS('AFA Rates'!$A$5:$A$1004,$A342,'AFA Rates'!$B$5:$B$1004,E$24)&gt;0,"✓",""))</f>
        <v/>
      </c>
      <c r="F342" s="57">
        <f>IF(OR($A342="",F$24=""),"",IF(COUNTIFS('AFA Rates'!$A$5:$A$1004,$A342,'AFA Rates'!$B$5:$B$1004,F$24)&gt;0,"✓",""))</f>
        <v/>
      </c>
      <c r="G342" s="57">
        <f>IF(OR($A342="",G$24=""),"",IF(COUNTIFS('AFA Rates'!$A$5:$A$1004,$A342,'AFA Rates'!$B$5:$B$1004,G$24)&gt;0,"✓",""))</f>
        <v/>
      </c>
      <c r="H342" s="57">
        <f>IF(OR($A342="",H$24=""),"",IF(COUNTIFS('AFA Rates'!$A$5:$A$1004,$A342,'AFA Rates'!$B$5:$B$1004,H$24)&gt;0,"✓",""))</f>
        <v/>
      </c>
      <c r="I342" s="57">
        <f>IF(OR($A342="",I$24=""),"",IF(COUNTIFS('AFA Rates'!$A$5:$A$1004,$A342,'AFA Rates'!$B$5:$B$1004,I$24)&gt;0,"✓",""))</f>
        <v/>
      </c>
      <c r="J342" s="57">
        <f>IF(OR($A342="",J$24=""),"",IF(COUNTIFS('AFA Rates'!$A$5:$A$1004,$A342,'AFA Rates'!$B$5:$B$1004,J$24)&gt;0,"✓",""))</f>
        <v/>
      </c>
      <c r="K342" s="57">
        <f>IF(OR($A342="",K$24=""),"",IF(COUNTIFS('AFA Rates'!$A$5:$A$1004,$A342,'AFA Rates'!$B$5:$B$1004,K$24)&gt;0,"✓",""))</f>
        <v/>
      </c>
      <c r="L342" s="57">
        <f>IF(OR($A342="",L$24=""),"",IF(COUNTIFS('AFA Rates'!$A$5:$A$1004,$A342,'AFA Rates'!$B$5:$B$1004,L$24)&gt;0,"✓",""))</f>
        <v/>
      </c>
      <c r="M342" s="57">
        <f>IF(OR($A342="",M$24=""),"",IF(COUNTIFS('AFA Rates'!$A$5:$A$1004,$A342,'AFA Rates'!$B$5:$B$1004,M$24)&gt;0,"✓",""))</f>
        <v/>
      </c>
    </row>
    <row r="343">
      <c r="A343" s="63">
        <f>IFERROR(INDEX(Firms!$A$5:$A$1004,MATCH(319,Firms!$S$5:$S$1004,0)),"")</f>
        <v/>
      </c>
      <c r="B343" s="57">
        <f>IF($A343="","",INDEX(Firms!$B$5:$B$1004,MATCH(319,Firms!$S$5:$S$1004,0)))</f>
        <v/>
      </c>
      <c r="C343" s="57">
        <f>IF($A343="","",COUNTIF('AFA Rates'!$A$5:$A$1004,$A343))</f>
        <v/>
      </c>
      <c r="D343" s="57">
        <f>IF(OR($A343="",D$24=""),"",IF(COUNTIFS('AFA Rates'!$A$5:$A$1004,$A343,'AFA Rates'!$B$5:$B$1004,D$24)&gt;0,"✓",""))</f>
        <v/>
      </c>
      <c r="E343" s="57">
        <f>IF(OR($A343="",E$24=""),"",IF(COUNTIFS('AFA Rates'!$A$5:$A$1004,$A343,'AFA Rates'!$B$5:$B$1004,E$24)&gt;0,"✓",""))</f>
        <v/>
      </c>
      <c r="F343" s="57">
        <f>IF(OR($A343="",F$24=""),"",IF(COUNTIFS('AFA Rates'!$A$5:$A$1004,$A343,'AFA Rates'!$B$5:$B$1004,F$24)&gt;0,"✓",""))</f>
        <v/>
      </c>
      <c r="G343" s="57">
        <f>IF(OR($A343="",G$24=""),"",IF(COUNTIFS('AFA Rates'!$A$5:$A$1004,$A343,'AFA Rates'!$B$5:$B$1004,G$24)&gt;0,"✓",""))</f>
        <v/>
      </c>
      <c r="H343" s="57">
        <f>IF(OR($A343="",H$24=""),"",IF(COUNTIFS('AFA Rates'!$A$5:$A$1004,$A343,'AFA Rates'!$B$5:$B$1004,H$24)&gt;0,"✓",""))</f>
        <v/>
      </c>
      <c r="I343" s="57">
        <f>IF(OR($A343="",I$24=""),"",IF(COUNTIFS('AFA Rates'!$A$5:$A$1004,$A343,'AFA Rates'!$B$5:$B$1004,I$24)&gt;0,"✓",""))</f>
        <v/>
      </c>
      <c r="J343" s="57">
        <f>IF(OR($A343="",J$24=""),"",IF(COUNTIFS('AFA Rates'!$A$5:$A$1004,$A343,'AFA Rates'!$B$5:$B$1004,J$24)&gt;0,"✓",""))</f>
        <v/>
      </c>
      <c r="K343" s="57">
        <f>IF(OR($A343="",K$24=""),"",IF(COUNTIFS('AFA Rates'!$A$5:$A$1004,$A343,'AFA Rates'!$B$5:$B$1004,K$24)&gt;0,"✓",""))</f>
        <v/>
      </c>
      <c r="L343" s="57">
        <f>IF(OR($A343="",L$24=""),"",IF(COUNTIFS('AFA Rates'!$A$5:$A$1004,$A343,'AFA Rates'!$B$5:$B$1004,L$24)&gt;0,"✓",""))</f>
        <v/>
      </c>
      <c r="M343" s="57">
        <f>IF(OR($A343="",M$24=""),"",IF(COUNTIFS('AFA Rates'!$A$5:$A$1004,$A343,'AFA Rates'!$B$5:$B$1004,M$24)&gt;0,"✓",""))</f>
        <v/>
      </c>
    </row>
    <row r="344">
      <c r="A344" s="63">
        <f>IFERROR(INDEX(Firms!$A$5:$A$1004,MATCH(320,Firms!$S$5:$S$1004,0)),"")</f>
        <v/>
      </c>
      <c r="B344" s="57">
        <f>IF($A344="","",INDEX(Firms!$B$5:$B$1004,MATCH(320,Firms!$S$5:$S$1004,0)))</f>
        <v/>
      </c>
      <c r="C344" s="57">
        <f>IF($A344="","",COUNTIF('AFA Rates'!$A$5:$A$1004,$A344))</f>
        <v/>
      </c>
      <c r="D344" s="57">
        <f>IF(OR($A344="",D$24=""),"",IF(COUNTIFS('AFA Rates'!$A$5:$A$1004,$A344,'AFA Rates'!$B$5:$B$1004,D$24)&gt;0,"✓",""))</f>
        <v/>
      </c>
      <c r="E344" s="57">
        <f>IF(OR($A344="",E$24=""),"",IF(COUNTIFS('AFA Rates'!$A$5:$A$1004,$A344,'AFA Rates'!$B$5:$B$1004,E$24)&gt;0,"✓",""))</f>
        <v/>
      </c>
      <c r="F344" s="57">
        <f>IF(OR($A344="",F$24=""),"",IF(COUNTIFS('AFA Rates'!$A$5:$A$1004,$A344,'AFA Rates'!$B$5:$B$1004,F$24)&gt;0,"✓",""))</f>
        <v/>
      </c>
      <c r="G344" s="57">
        <f>IF(OR($A344="",G$24=""),"",IF(COUNTIFS('AFA Rates'!$A$5:$A$1004,$A344,'AFA Rates'!$B$5:$B$1004,G$24)&gt;0,"✓",""))</f>
        <v/>
      </c>
      <c r="H344" s="57">
        <f>IF(OR($A344="",H$24=""),"",IF(COUNTIFS('AFA Rates'!$A$5:$A$1004,$A344,'AFA Rates'!$B$5:$B$1004,H$24)&gt;0,"✓",""))</f>
        <v/>
      </c>
      <c r="I344" s="57">
        <f>IF(OR($A344="",I$24=""),"",IF(COUNTIFS('AFA Rates'!$A$5:$A$1004,$A344,'AFA Rates'!$B$5:$B$1004,I$24)&gt;0,"✓",""))</f>
        <v/>
      </c>
      <c r="J344" s="57">
        <f>IF(OR($A344="",J$24=""),"",IF(COUNTIFS('AFA Rates'!$A$5:$A$1004,$A344,'AFA Rates'!$B$5:$B$1004,J$24)&gt;0,"✓",""))</f>
        <v/>
      </c>
      <c r="K344" s="57">
        <f>IF(OR($A344="",K$24=""),"",IF(COUNTIFS('AFA Rates'!$A$5:$A$1004,$A344,'AFA Rates'!$B$5:$B$1004,K$24)&gt;0,"✓",""))</f>
        <v/>
      </c>
      <c r="L344" s="57">
        <f>IF(OR($A344="",L$24=""),"",IF(COUNTIFS('AFA Rates'!$A$5:$A$1004,$A344,'AFA Rates'!$B$5:$B$1004,L$24)&gt;0,"✓",""))</f>
        <v/>
      </c>
      <c r="M344" s="57">
        <f>IF(OR($A344="",M$24=""),"",IF(COUNTIFS('AFA Rates'!$A$5:$A$1004,$A344,'AFA Rates'!$B$5:$B$1004,M$24)&gt;0,"✓",""))</f>
        <v/>
      </c>
    </row>
    <row r="345">
      <c r="A345" s="63">
        <f>IFERROR(INDEX(Firms!$A$5:$A$1004,MATCH(321,Firms!$S$5:$S$1004,0)),"")</f>
        <v/>
      </c>
      <c r="B345" s="57">
        <f>IF($A345="","",INDEX(Firms!$B$5:$B$1004,MATCH(321,Firms!$S$5:$S$1004,0)))</f>
        <v/>
      </c>
      <c r="C345" s="57">
        <f>IF($A345="","",COUNTIF('AFA Rates'!$A$5:$A$1004,$A345))</f>
        <v/>
      </c>
      <c r="D345" s="57">
        <f>IF(OR($A345="",D$24=""),"",IF(COUNTIFS('AFA Rates'!$A$5:$A$1004,$A345,'AFA Rates'!$B$5:$B$1004,D$24)&gt;0,"✓",""))</f>
        <v/>
      </c>
      <c r="E345" s="57">
        <f>IF(OR($A345="",E$24=""),"",IF(COUNTIFS('AFA Rates'!$A$5:$A$1004,$A345,'AFA Rates'!$B$5:$B$1004,E$24)&gt;0,"✓",""))</f>
        <v/>
      </c>
      <c r="F345" s="57">
        <f>IF(OR($A345="",F$24=""),"",IF(COUNTIFS('AFA Rates'!$A$5:$A$1004,$A345,'AFA Rates'!$B$5:$B$1004,F$24)&gt;0,"✓",""))</f>
        <v/>
      </c>
      <c r="G345" s="57">
        <f>IF(OR($A345="",G$24=""),"",IF(COUNTIFS('AFA Rates'!$A$5:$A$1004,$A345,'AFA Rates'!$B$5:$B$1004,G$24)&gt;0,"✓",""))</f>
        <v/>
      </c>
      <c r="H345" s="57">
        <f>IF(OR($A345="",H$24=""),"",IF(COUNTIFS('AFA Rates'!$A$5:$A$1004,$A345,'AFA Rates'!$B$5:$B$1004,H$24)&gt;0,"✓",""))</f>
        <v/>
      </c>
      <c r="I345" s="57">
        <f>IF(OR($A345="",I$24=""),"",IF(COUNTIFS('AFA Rates'!$A$5:$A$1004,$A345,'AFA Rates'!$B$5:$B$1004,I$24)&gt;0,"✓",""))</f>
        <v/>
      </c>
      <c r="J345" s="57">
        <f>IF(OR($A345="",J$24=""),"",IF(COUNTIFS('AFA Rates'!$A$5:$A$1004,$A345,'AFA Rates'!$B$5:$B$1004,J$24)&gt;0,"✓",""))</f>
        <v/>
      </c>
      <c r="K345" s="57">
        <f>IF(OR($A345="",K$24=""),"",IF(COUNTIFS('AFA Rates'!$A$5:$A$1004,$A345,'AFA Rates'!$B$5:$B$1004,K$24)&gt;0,"✓",""))</f>
        <v/>
      </c>
      <c r="L345" s="57">
        <f>IF(OR($A345="",L$24=""),"",IF(COUNTIFS('AFA Rates'!$A$5:$A$1004,$A345,'AFA Rates'!$B$5:$B$1004,L$24)&gt;0,"✓",""))</f>
        <v/>
      </c>
      <c r="M345" s="57">
        <f>IF(OR($A345="",M$24=""),"",IF(COUNTIFS('AFA Rates'!$A$5:$A$1004,$A345,'AFA Rates'!$B$5:$B$1004,M$24)&gt;0,"✓",""))</f>
        <v/>
      </c>
    </row>
    <row r="346">
      <c r="A346" s="63">
        <f>IFERROR(INDEX(Firms!$A$5:$A$1004,MATCH(322,Firms!$S$5:$S$1004,0)),"")</f>
        <v/>
      </c>
      <c r="B346" s="57">
        <f>IF($A346="","",INDEX(Firms!$B$5:$B$1004,MATCH(322,Firms!$S$5:$S$1004,0)))</f>
        <v/>
      </c>
      <c r="C346" s="57">
        <f>IF($A346="","",COUNTIF('AFA Rates'!$A$5:$A$1004,$A346))</f>
        <v/>
      </c>
      <c r="D346" s="57">
        <f>IF(OR($A346="",D$24=""),"",IF(COUNTIFS('AFA Rates'!$A$5:$A$1004,$A346,'AFA Rates'!$B$5:$B$1004,D$24)&gt;0,"✓",""))</f>
        <v/>
      </c>
      <c r="E346" s="57">
        <f>IF(OR($A346="",E$24=""),"",IF(COUNTIFS('AFA Rates'!$A$5:$A$1004,$A346,'AFA Rates'!$B$5:$B$1004,E$24)&gt;0,"✓",""))</f>
        <v/>
      </c>
      <c r="F346" s="57">
        <f>IF(OR($A346="",F$24=""),"",IF(COUNTIFS('AFA Rates'!$A$5:$A$1004,$A346,'AFA Rates'!$B$5:$B$1004,F$24)&gt;0,"✓",""))</f>
        <v/>
      </c>
      <c r="G346" s="57">
        <f>IF(OR($A346="",G$24=""),"",IF(COUNTIFS('AFA Rates'!$A$5:$A$1004,$A346,'AFA Rates'!$B$5:$B$1004,G$24)&gt;0,"✓",""))</f>
        <v/>
      </c>
      <c r="H346" s="57">
        <f>IF(OR($A346="",H$24=""),"",IF(COUNTIFS('AFA Rates'!$A$5:$A$1004,$A346,'AFA Rates'!$B$5:$B$1004,H$24)&gt;0,"✓",""))</f>
        <v/>
      </c>
      <c r="I346" s="57">
        <f>IF(OR($A346="",I$24=""),"",IF(COUNTIFS('AFA Rates'!$A$5:$A$1004,$A346,'AFA Rates'!$B$5:$B$1004,I$24)&gt;0,"✓",""))</f>
        <v/>
      </c>
      <c r="J346" s="57">
        <f>IF(OR($A346="",J$24=""),"",IF(COUNTIFS('AFA Rates'!$A$5:$A$1004,$A346,'AFA Rates'!$B$5:$B$1004,J$24)&gt;0,"✓",""))</f>
        <v/>
      </c>
      <c r="K346" s="57">
        <f>IF(OR($A346="",K$24=""),"",IF(COUNTIFS('AFA Rates'!$A$5:$A$1004,$A346,'AFA Rates'!$B$5:$B$1004,K$24)&gt;0,"✓",""))</f>
        <v/>
      </c>
      <c r="L346" s="57">
        <f>IF(OR($A346="",L$24=""),"",IF(COUNTIFS('AFA Rates'!$A$5:$A$1004,$A346,'AFA Rates'!$B$5:$B$1004,L$24)&gt;0,"✓",""))</f>
        <v/>
      </c>
      <c r="M346" s="57">
        <f>IF(OR($A346="",M$24=""),"",IF(COUNTIFS('AFA Rates'!$A$5:$A$1004,$A346,'AFA Rates'!$B$5:$B$1004,M$24)&gt;0,"✓",""))</f>
        <v/>
      </c>
    </row>
    <row r="347">
      <c r="A347" s="63">
        <f>IFERROR(INDEX(Firms!$A$5:$A$1004,MATCH(323,Firms!$S$5:$S$1004,0)),"")</f>
        <v/>
      </c>
      <c r="B347" s="57">
        <f>IF($A347="","",INDEX(Firms!$B$5:$B$1004,MATCH(323,Firms!$S$5:$S$1004,0)))</f>
        <v/>
      </c>
      <c r="C347" s="57">
        <f>IF($A347="","",COUNTIF('AFA Rates'!$A$5:$A$1004,$A347))</f>
        <v/>
      </c>
      <c r="D347" s="57">
        <f>IF(OR($A347="",D$24=""),"",IF(COUNTIFS('AFA Rates'!$A$5:$A$1004,$A347,'AFA Rates'!$B$5:$B$1004,D$24)&gt;0,"✓",""))</f>
        <v/>
      </c>
      <c r="E347" s="57">
        <f>IF(OR($A347="",E$24=""),"",IF(COUNTIFS('AFA Rates'!$A$5:$A$1004,$A347,'AFA Rates'!$B$5:$B$1004,E$24)&gt;0,"✓",""))</f>
        <v/>
      </c>
      <c r="F347" s="57">
        <f>IF(OR($A347="",F$24=""),"",IF(COUNTIFS('AFA Rates'!$A$5:$A$1004,$A347,'AFA Rates'!$B$5:$B$1004,F$24)&gt;0,"✓",""))</f>
        <v/>
      </c>
      <c r="G347" s="57">
        <f>IF(OR($A347="",G$24=""),"",IF(COUNTIFS('AFA Rates'!$A$5:$A$1004,$A347,'AFA Rates'!$B$5:$B$1004,G$24)&gt;0,"✓",""))</f>
        <v/>
      </c>
      <c r="H347" s="57">
        <f>IF(OR($A347="",H$24=""),"",IF(COUNTIFS('AFA Rates'!$A$5:$A$1004,$A347,'AFA Rates'!$B$5:$B$1004,H$24)&gt;0,"✓",""))</f>
        <v/>
      </c>
      <c r="I347" s="57">
        <f>IF(OR($A347="",I$24=""),"",IF(COUNTIFS('AFA Rates'!$A$5:$A$1004,$A347,'AFA Rates'!$B$5:$B$1004,I$24)&gt;0,"✓",""))</f>
        <v/>
      </c>
      <c r="J347" s="57">
        <f>IF(OR($A347="",J$24=""),"",IF(COUNTIFS('AFA Rates'!$A$5:$A$1004,$A347,'AFA Rates'!$B$5:$B$1004,J$24)&gt;0,"✓",""))</f>
        <v/>
      </c>
      <c r="K347" s="57">
        <f>IF(OR($A347="",K$24=""),"",IF(COUNTIFS('AFA Rates'!$A$5:$A$1004,$A347,'AFA Rates'!$B$5:$B$1004,K$24)&gt;0,"✓",""))</f>
        <v/>
      </c>
      <c r="L347" s="57">
        <f>IF(OR($A347="",L$24=""),"",IF(COUNTIFS('AFA Rates'!$A$5:$A$1004,$A347,'AFA Rates'!$B$5:$B$1004,L$24)&gt;0,"✓",""))</f>
        <v/>
      </c>
      <c r="M347" s="57">
        <f>IF(OR($A347="",M$24=""),"",IF(COUNTIFS('AFA Rates'!$A$5:$A$1004,$A347,'AFA Rates'!$B$5:$B$1004,M$24)&gt;0,"✓",""))</f>
        <v/>
      </c>
    </row>
    <row r="348">
      <c r="A348" s="63">
        <f>IFERROR(INDEX(Firms!$A$5:$A$1004,MATCH(324,Firms!$S$5:$S$1004,0)),"")</f>
        <v/>
      </c>
      <c r="B348" s="57">
        <f>IF($A348="","",INDEX(Firms!$B$5:$B$1004,MATCH(324,Firms!$S$5:$S$1004,0)))</f>
        <v/>
      </c>
      <c r="C348" s="57">
        <f>IF($A348="","",COUNTIF('AFA Rates'!$A$5:$A$1004,$A348))</f>
        <v/>
      </c>
      <c r="D348" s="57">
        <f>IF(OR($A348="",D$24=""),"",IF(COUNTIFS('AFA Rates'!$A$5:$A$1004,$A348,'AFA Rates'!$B$5:$B$1004,D$24)&gt;0,"✓",""))</f>
        <v/>
      </c>
      <c r="E348" s="57">
        <f>IF(OR($A348="",E$24=""),"",IF(COUNTIFS('AFA Rates'!$A$5:$A$1004,$A348,'AFA Rates'!$B$5:$B$1004,E$24)&gt;0,"✓",""))</f>
        <v/>
      </c>
      <c r="F348" s="57">
        <f>IF(OR($A348="",F$24=""),"",IF(COUNTIFS('AFA Rates'!$A$5:$A$1004,$A348,'AFA Rates'!$B$5:$B$1004,F$24)&gt;0,"✓",""))</f>
        <v/>
      </c>
      <c r="G348" s="57">
        <f>IF(OR($A348="",G$24=""),"",IF(COUNTIFS('AFA Rates'!$A$5:$A$1004,$A348,'AFA Rates'!$B$5:$B$1004,G$24)&gt;0,"✓",""))</f>
        <v/>
      </c>
      <c r="H348" s="57">
        <f>IF(OR($A348="",H$24=""),"",IF(COUNTIFS('AFA Rates'!$A$5:$A$1004,$A348,'AFA Rates'!$B$5:$B$1004,H$24)&gt;0,"✓",""))</f>
        <v/>
      </c>
      <c r="I348" s="57">
        <f>IF(OR($A348="",I$24=""),"",IF(COUNTIFS('AFA Rates'!$A$5:$A$1004,$A348,'AFA Rates'!$B$5:$B$1004,I$24)&gt;0,"✓",""))</f>
        <v/>
      </c>
      <c r="J348" s="57">
        <f>IF(OR($A348="",J$24=""),"",IF(COUNTIFS('AFA Rates'!$A$5:$A$1004,$A348,'AFA Rates'!$B$5:$B$1004,J$24)&gt;0,"✓",""))</f>
        <v/>
      </c>
      <c r="K348" s="57">
        <f>IF(OR($A348="",K$24=""),"",IF(COUNTIFS('AFA Rates'!$A$5:$A$1004,$A348,'AFA Rates'!$B$5:$B$1004,K$24)&gt;0,"✓",""))</f>
        <v/>
      </c>
      <c r="L348" s="57">
        <f>IF(OR($A348="",L$24=""),"",IF(COUNTIFS('AFA Rates'!$A$5:$A$1004,$A348,'AFA Rates'!$B$5:$B$1004,L$24)&gt;0,"✓",""))</f>
        <v/>
      </c>
      <c r="M348" s="57">
        <f>IF(OR($A348="",M$24=""),"",IF(COUNTIFS('AFA Rates'!$A$5:$A$1004,$A348,'AFA Rates'!$B$5:$B$1004,M$24)&gt;0,"✓",""))</f>
        <v/>
      </c>
    </row>
    <row r="349">
      <c r="A349" s="63">
        <f>IFERROR(INDEX(Firms!$A$5:$A$1004,MATCH(325,Firms!$S$5:$S$1004,0)),"")</f>
        <v/>
      </c>
      <c r="B349" s="57">
        <f>IF($A349="","",INDEX(Firms!$B$5:$B$1004,MATCH(325,Firms!$S$5:$S$1004,0)))</f>
        <v/>
      </c>
      <c r="C349" s="57">
        <f>IF($A349="","",COUNTIF('AFA Rates'!$A$5:$A$1004,$A349))</f>
        <v/>
      </c>
      <c r="D349" s="57">
        <f>IF(OR($A349="",D$24=""),"",IF(COUNTIFS('AFA Rates'!$A$5:$A$1004,$A349,'AFA Rates'!$B$5:$B$1004,D$24)&gt;0,"✓",""))</f>
        <v/>
      </c>
      <c r="E349" s="57">
        <f>IF(OR($A349="",E$24=""),"",IF(COUNTIFS('AFA Rates'!$A$5:$A$1004,$A349,'AFA Rates'!$B$5:$B$1004,E$24)&gt;0,"✓",""))</f>
        <v/>
      </c>
      <c r="F349" s="57">
        <f>IF(OR($A349="",F$24=""),"",IF(COUNTIFS('AFA Rates'!$A$5:$A$1004,$A349,'AFA Rates'!$B$5:$B$1004,F$24)&gt;0,"✓",""))</f>
        <v/>
      </c>
      <c r="G349" s="57">
        <f>IF(OR($A349="",G$24=""),"",IF(COUNTIFS('AFA Rates'!$A$5:$A$1004,$A349,'AFA Rates'!$B$5:$B$1004,G$24)&gt;0,"✓",""))</f>
        <v/>
      </c>
      <c r="H349" s="57">
        <f>IF(OR($A349="",H$24=""),"",IF(COUNTIFS('AFA Rates'!$A$5:$A$1004,$A349,'AFA Rates'!$B$5:$B$1004,H$24)&gt;0,"✓",""))</f>
        <v/>
      </c>
      <c r="I349" s="57">
        <f>IF(OR($A349="",I$24=""),"",IF(COUNTIFS('AFA Rates'!$A$5:$A$1004,$A349,'AFA Rates'!$B$5:$B$1004,I$24)&gt;0,"✓",""))</f>
        <v/>
      </c>
      <c r="J349" s="57">
        <f>IF(OR($A349="",J$24=""),"",IF(COUNTIFS('AFA Rates'!$A$5:$A$1004,$A349,'AFA Rates'!$B$5:$B$1004,J$24)&gt;0,"✓",""))</f>
        <v/>
      </c>
      <c r="K349" s="57">
        <f>IF(OR($A349="",K$24=""),"",IF(COUNTIFS('AFA Rates'!$A$5:$A$1004,$A349,'AFA Rates'!$B$5:$B$1004,K$24)&gt;0,"✓",""))</f>
        <v/>
      </c>
      <c r="L349" s="57">
        <f>IF(OR($A349="",L$24=""),"",IF(COUNTIFS('AFA Rates'!$A$5:$A$1004,$A349,'AFA Rates'!$B$5:$B$1004,L$24)&gt;0,"✓",""))</f>
        <v/>
      </c>
      <c r="M349" s="57">
        <f>IF(OR($A349="",M$24=""),"",IF(COUNTIFS('AFA Rates'!$A$5:$A$1004,$A349,'AFA Rates'!$B$5:$B$1004,M$24)&gt;0,"✓",""))</f>
        <v/>
      </c>
    </row>
    <row r="350">
      <c r="A350" s="63">
        <f>IFERROR(INDEX(Firms!$A$5:$A$1004,MATCH(326,Firms!$S$5:$S$1004,0)),"")</f>
        <v/>
      </c>
      <c r="B350" s="57">
        <f>IF($A350="","",INDEX(Firms!$B$5:$B$1004,MATCH(326,Firms!$S$5:$S$1004,0)))</f>
        <v/>
      </c>
      <c r="C350" s="57">
        <f>IF($A350="","",COUNTIF('AFA Rates'!$A$5:$A$1004,$A350))</f>
        <v/>
      </c>
      <c r="D350" s="57">
        <f>IF(OR($A350="",D$24=""),"",IF(COUNTIFS('AFA Rates'!$A$5:$A$1004,$A350,'AFA Rates'!$B$5:$B$1004,D$24)&gt;0,"✓",""))</f>
        <v/>
      </c>
      <c r="E350" s="57">
        <f>IF(OR($A350="",E$24=""),"",IF(COUNTIFS('AFA Rates'!$A$5:$A$1004,$A350,'AFA Rates'!$B$5:$B$1004,E$24)&gt;0,"✓",""))</f>
        <v/>
      </c>
      <c r="F350" s="57">
        <f>IF(OR($A350="",F$24=""),"",IF(COUNTIFS('AFA Rates'!$A$5:$A$1004,$A350,'AFA Rates'!$B$5:$B$1004,F$24)&gt;0,"✓",""))</f>
        <v/>
      </c>
      <c r="G350" s="57">
        <f>IF(OR($A350="",G$24=""),"",IF(COUNTIFS('AFA Rates'!$A$5:$A$1004,$A350,'AFA Rates'!$B$5:$B$1004,G$24)&gt;0,"✓",""))</f>
        <v/>
      </c>
      <c r="H350" s="57">
        <f>IF(OR($A350="",H$24=""),"",IF(COUNTIFS('AFA Rates'!$A$5:$A$1004,$A350,'AFA Rates'!$B$5:$B$1004,H$24)&gt;0,"✓",""))</f>
        <v/>
      </c>
      <c r="I350" s="57">
        <f>IF(OR($A350="",I$24=""),"",IF(COUNTIFS('AFA Rates'!$A$5:$A$1004,$A350,'AFA Rates'!$B$5:$B$1004,I$24)&gt;0,"✓",""))</f>
        <v/>
      </c>
      <c r="J350" s="57">
        <f>IF(OR($A350="",J$24=""),"",IF(COUNTIFS('AFA Rates'!$A$5:$A$1004,$A350,'AFA Rates'!$B$5:$B$1004,J$24)&gt;0,"✓",""))</f>
        <v/>
      </c>
      <c r="K350" s="57">
        <f>IF(OR($A350="",K$24=""),"",IF(COUNTIFS('AFA Rates'!$A$5:$A$1004,$A350,'AFA Rates'!$B$5:$B$1004,K$24)&gt;0,"✓",""))</f>
        <v/>
      </c>
      <c r="L350" s="57">
        <f>IF(OR($A350="",L$24=""),"",IF(COUNTIFS('AFA Rates'!$A$5:$A$1004,$A350,'AFA Rates'!$B$5:$B$1004,L$24)&gt;0,"✓",""))</f>
        <v/>
      </c>
      <c r="M350" s="57">
        <f>IF(OR($A350="",M$24=""),"",IF(COUNTIFS('AFA Rates'!$A$5:$A$1004,$A350,'AFA Rates'!$B$5:$B$1004,M$24)&gt;0,"✓",""))</f>
        <v/>
      </c>
    </row>
    <row r="351">
      <c r="A351" s="63">
        <f>IFERROR(INDEX(Firms!$A$5:$A$1004,MATCH(327,Firms!$S$5:$S$1004,0)),"")</f>
        <v/>
      </c>
      <c r="B351" s="57">
        <f>IF($A351="","",INDEX(Firms!$B$5:$B$1004,MATCH(327,Firms!$S$5:$S$1004,0)))</f>
        <v/>
      </c>
      <c r="C351" s="57">
        <f>IF($A351="","",COUNTIF('AFA Rates'!$A$5:$A$1004,$A351))</f>
        <v/>
      </c>
      <c r="D351" s="57">
        <f>IF(OR($A351="",D$24=""),"",IF(COUNTIFS('AFA Rates'!$A$5:$A$1004,$A351,'AFA Rates'!$B$5:$B$1004,D$24)&gt;0,"✓",""))</f>
        <v/>
      </c>
      <c r="E351" s="57">
        <f>IF(OR($A351="",E$24=""),"",IF(COUNTIFS('AFA Rates'!$A$5:$A$1004,$A351,'AFA Rates'!$B$5:$B$1004,E$24)&gt;0,"✓",""))</f>
        <v/>
      </c>
      <c r="F351" s="57">
        <f>IF(OR($A351="",F$24=""),"",IF(COUNTIFS('AFA Rates'!$A$5:$A$1004,$A351,'AFA Rates'!$B$5:$B$1004,F$24)&gt;0,"✓",""))</f>
        <v/>
      </c>
      <c r="G351" s="57">
        <f>IF(OR($A351="",G$24=""),"",IF(COUNTIFS('AFA Rates'!$A$5:$A$1004,$A351,'AFA Rates'!$B$5:$B$1004,G$24)&gt;0,"✓",""))</f>
        <v/>
      </c>
      <c r="H351" s="57">
        <f>IF(OR($A351="",H$24=""),"",IF(COUNTIFS('AFA Rates'!$A$5:$A$1004,$A351,'AFA Rates'!$B$5:$B$1004,H$24)&gt;0,"✓",""))</f>
        <v/>
      </c>
      <c r="I351" s="57">
        <f>IF(OR($A351="",I$24=""),"",IF(COUNTIFS('AFA Rates'!$A$5:$A$1004,$A351,'AFA Rates'!$B$5:$B$1004,I$24)&gt;0,"✓",""))</f>
        <v/>
      </c>
      <c r="J351" s="57">
        <f>IF(OR($A351="",J$24=""),"",IF(COUNTIFS('AFA Rates'!$A$5:$A$1004,$A351,'AFA Rates'!$B$5:$B$1004,J$24)&gt;0,"✓",""))</f>
        <v/>
      </c>
      <c r="K351" s="57">
        <f>IF(OR($A351="",K$24=""),"",IF(COUNTIFS('AFA Rates'!$A$5:$A$1004,$A351,'AFA Rates'!$B$5:$B$1004,K$24)&gt;0,"✓",""))</f>
        <v/>
      </c>
      <c r="L351" s="57">
        <f>IF(OR($A351="",L$24=""),"",IF(COUNTIFS('AFA Rates'!$A$5:$A$1004,$A351,'AFA Rates'!$B$5:$B$1004,L$24)&gt;0,"✓",""))</f>
        <v/>
      </c>
      <c r="M351" s="57">
        <f>IF(OR($A351="",M$24=""),"",IF(COUNTIFS('AFA Rates'!$A$5:$A$1004,$A351,'AFA Rates'!$B$5:$B$1004,M$24)&gt;0,"✓",""))</f>
        <v/>
      </c>
    </row>
    <row r="352">
      <c r="A352" s="63">
        <f>IFERROR(INDEX(Firms!$A$5:$A$1004,MATCH(328,Firms!$S$5:$S$1004,0)),"")</f>
        <v/>
      </c>
      <c r="B352" s="57">
        <f>IF($A352="","",INDEX(Firms!$B$5:$B$1004,MATCH(328,Firms!$S$5:$S$1004,0)))</f>
        <v/>
      </c>
      <c r="C352" s="57">
        <f>IF($A352="","",COUNTIF('AFA Rates'!$A$5:$A$1004,$A352))</f>
        <v/>
      </c>
      <c r="D352" s="57">
        <f>IF(OR($A352="",D$24=""),"",IF(COUNTIFS('AFA Rates'!$A$5:$A$1004,$A352,'AFA Rates'!$B$5:$B$1004,D$24)&gt;0,"✓",""))</f>
        <v/>
      </c>
      <c r="E352" s="57">
        <f>IF(OR($A352="",E$24=""),"",IF(COUNTIFS('AFA Rates'!$A$5:$A$1004,$A352,'AFA Rates'!$B$5:$B$1004,E$24)&gt;0,"✓",""))</f>
        <v/>
      </c>
      <c r="F352" s="57">
        <f>IF(OR($A352="",F$24=""),"",IF(COUNTIFS('AFA Rates'!$A$5:$A$1004,$A352,'AFA Rates'!$B$5:$B$1004,F$24)&gt;0,"✓",""))</f>
        <v/>
      </c>
      <c r="G352" s="57">
        <f>IF(OR($A352="",G$24=""),"",IF(COUNTIFS('AFA Rates'!$A$5:$A$1004,$A352,'AFA Rates'!$B$5:$B$1004,G$24)&gt;0,"✓",""))</f>
        <v/>
      </c>
      <c r="H352" s="57">
        <f>IF(OR($A352="",H$24=""),"",IF(COUNTIFS('AFA Rates'!$A$5:$A$1004,$A352,'AFA Rates'!$B$5:$B$1004,H$24)&gt;0,"✓",""))</f>
        <v/>
      </c>
      <c r="I352" s="57">
        <f>IF(OR($A352="",I$24=""),"",IF(COUNTIFS('AFA Rates'!$A$5:$A$1004,$A352,'AFA Rates'!$B$5:$B$1004,I$24)&gt;0,"✓",""))</f>
        <v/>
      </c>
      <c r="J352" s="57">
        <f>IF(OR($A352="",J$24=""),"",IF(COUNTIFS('AFA Rates'!$A$5:$A$1004,$A352,'AFA Rates'!$B$5:$B$1004,J$24)&gt;0,"✓",""))</f>
        <v/>
      </c>
      <c r="K352" s="57">
        <f>IF(OR($A352="",K$24=""),"",IF(COUNTIFS('AFA Rates'!$A$5:$A$1004,$A352,'AFA Rates'!$B$5:$B$1004,K$24)&gt;0,"✓",""))</f>
        <v/>
      </c>
      <c r="L352" s="57">
        <f>IF(OR($A352="",L$24=""),"",IF(COUNTIFS('AFA Rates'!$A$5:$A$1004,$A352,'AFA Rates'!$B$5:$B$1004,L$24)&gt;0,"✓",""))</f>
        <v/>
      </c>
      <c r="M352" s="57">
        <f>IF(OR($A352="",M$24=""),"",IF(COUNTIFS('AFA Rates'!$A$5:$A$1004,$A352,'AFA Rates'!$B$5:$B$1004,M$24)&gt;0,"✓",""))</f>
        <v/>
      </c>
    </row>
    <row r="353">
      <c r="A353" s="63">
        <f>IFERROR(INDEX(Firms!$A$5:$A$1004,MATCH(329,Firms!$S$5:$S$1004,0)),"")</f>
        <v/>
      </c>
      <c r="B353" s="57">
        <f>IF($A353="","",INDEX(Firms!$B$5:$B$1004,MATCH(329,Firms!$S$5:$S$1004,0)))</f>
        <v/>
      </c>
      <c r="C353" s="57">
        <f>IF($A353="","",COUNTIF('AFA Rates'!$A$5:$A$1004,$A353))</f>
        <v/>
      </c>
      <c r="D353" s="57">
        <f>IF(OR($A353="",D$24=""),"",IF(COUNTIFS('AFA Rates'!$A$5:$A$1004,$A353,'AFA Rates'!$B$5:$B$1004,D$24)&gt;0,"✓",""))</f>
        <v/>
      </c>
      <c r="E353" s="57">
        <f>IF(OR($A353="",E$24=""),"",IF(COUNTIFS('AFA Rates'!$A$5:$A$1004,$A353,'AFA Rates'!$B$5:$B$1004,E$24)&gt;0,"✓",""))</f>
        <v/>
      </c>
      <c r="F353" s="57">
        <f>IF(OR($A353="",F$24=""),"",IF(COUNTIFS('AFA Rates'!$A$5:$A$1004,$A353,'AFA Rates'!$B$5:$B$1004,F$24)&gt;0,"✓",""))</f>
        <v/>
      </c>
      <c r="G353" s="57">
        <f>IF(OR($A353="",G$24=""),"",IF(COUNTIFS('AFA Rates'!$A$5:$A$1004,$A353,'AFA Rates'!$B$5:$B$1004,G$24)&gt;0,"✓",""))</f>
        <v/>
      </c>
      <c r="H353" s="57">
        <f>IF(OR($A353="",H$24=""),"",IF(COUNTIFS('AFA Rates'!$A$5:$A$1004,$A353,'AFA Rates'!$B$5:$B$1004,H$24)&gt;0,"✓",""))</f>
        <v/>
      </c>
      <c r="I353" s="57">
        <f>IF(OR($A353="",I$24=""),"",IF(COUNTIFS('AFA Rates'!$A$5:$A$1004,$A353,'AFA Rates'!$B$5:$B$1004,I$24)&gt;0,"✓",""))</f>
        <v/>
      </c>
      <c r="J353" s="57">
        <f>IF(OR($A353="",J$24=""),"",IF(COUNTIFS('AFA Rates'!$A$5:$A$1004,$A353,'AFA Rates'!$B$5:$B$1004,J$24)&gt;0,"✓",""))</f>
        <v/>
      </c>
      <c r="K353" s="57">
        <f>IF(OR($A353="",K$24=""),"",IF(COUNTIFS('AFA Rates'!$A$5:$A$1004,$A353,'AFA Rates'!$B$5:$B$1004,K$24)&gt;0,"✓",""))</f>
        <v/>
      </c>
      <c r="L353" s="57">
        <f>IF(OR($A353="",L$24=""),"",IF(COUNTIFS('AFA Rates'!$A$5:$A$1004,$A353,'AFA Rates'!$B$5:$B$1004,L$24)&gt;0,"✓",""))</f>
        <v/>
      </c>
      <c r="M353" s="57">
        <f>IF(OR($A353="",M$24=""),"",IF(COUNTIFS('AFA Rates'!$A$5:$A$1004,$A353,'AFA Rates'!$B$5:$B$1004,M$24)&gt;0,"✓",""))</f>
        <v/>
      </c>
    </row>
    <row r="354">
      <c r="A354" s="63">
        <f>IFERROR(INDEX(Firms!$A$5:$A$1004,MATCH(330,Firms!$S$5:$S$1004,0)),"")</f>
        <v/>
      </c>
      <c r="B354" s="57">
        <f>IF($A354="","",INDEX(Firms!$B$5:$B$1004,MATCH(330,Firms!$S$5:$S$1004,0)))</f>
        <v/>
      </c>
      <c r="C354" s="57">
        <f>IF($A354="","",COUNTIF('AFA Rates'!$A$5:$A$1004,$A354))</f>
        <v/>
      </c>
      <c r="D354" s="57">
        <f>IF(OR($A354="",D$24=""),"",IF(COUNTIFS('AFA Rates'!$A$5:$A$1004,$A354,'AFA Rates'!$B$5:$B$1004,D$24)&gt;0,"✓",""))</f>
        <v/>
      </c>
      <c r="E354" s="57">
        <f>IF(OR($A354="",E$24=""),"",IF(COUNTIFS('AFA Rates'!$A$5:$A$1004,$A354,'AFA Rates'!$B$5:$B$1004,E$24)&gt;0,"✓",""))</f>
        <v/>
      </c>
      <c r="F354" s="57">
        <f>IF(OR($A354="",F$24=""),"",IF(COUNTIFS('AFA Rates'!$A$5:$A$1004,$A354,'AFA Rates'!$B$5:$B$1004,F$24)&gt;0,"✓",""))</f>
        <v/>
      </c>
      <c r="G354" s="57">
        <f>IF(OR($A354="",G$24=""),"",IF(COUNTIFS('AFA Rates'!$A$5:$A$1004,$A354,'AFA Rates'!$B$5:$B$1004,G$24)&gt;0,"✓",""))</f>
        <v/>
      </c>
      <c r="H354" s="57">
        <f>IF(OR($A354="",H$24=""),"",IF(COUNTIFS('AFA Rates'!$A$5:$A$1004,$A354,'AFA Rates'!$B$5:$B$1004,H$24)&gt;0,"✓",""))</f>
        <v/>
      </c>
      <c r="I354" s="57">
        <f>IF(OR($A354="",I$24=""),"",IF(COUNTIFS('AFA Rates'!$A$5:$A$1004,$A354,'AFA Rates'!$B$5:$B$1004,I$24)&gt;0,"✓",""))</f>
        <v/>
      </c>
      <c r="J354" s="57">
        <f>IF(OR($A354="",J$24=""),"",IF(COUNTIFS('AFA Rates'!$A$5:$A$1004,$A354,'AFA Rates'!$B$5:$B$1004,J$24)&gt;0,"✓",""))</f>
        <v/>
      </c>
      <c r="K354" s="57">
        <f>IF(OR($A354="",K$24=""),"",IF(COUNTIFS('AFA Rates'!$A$5:$A$1004,$A354,'AFA Rates'!$B$5:$B$1004,K$24)&gt;0,"✓",""))</f>
        <v/>
      </c>
      <c r="L354" s="57">
        <f>IF(OR($A354="",L$24=""),"",IF(COUNTIFS('AFA Rates'!$A$5:$A$1004,$A354,'AFA Rates'!$B$5:$B$1004,L$24)&gt;0,"✓",""))</f>
        <v/>
      </c>
      <c r="M354" s="57">
        <f>IF(OR($A354="",M$24=""),"",IF(COUNTIFS('AFA Rates'!$A$5:$A$1004,$A354,'AFA Rates'!$B$5:$B$1004,M$24)&gt;0,"✓",""))</f>
        <v/>
      </c>
    </row>
    <row r="355">
      <c r="A355" s="63">
        <f>IFERROR(INDEX(Firms!$A$5:$A$1004,MATCH(331,Firms!$S$5:$S$1004,0)),"")</f>
        <v/>
      </c>
      <c r="B355" s="57">
        <f>IF($A355="","",INDEX(Firms!$B$5:$B$1004,MATCH(331,Firms!$S$5:$S$1004,0)))</f>
        <v/>
      </c>
      <c r="C355" s="57">
        <f>IF($A355="","",COUNTIF('AFA Rates'!$A$5:$A$1004,$A355))</f>
        <v/>
      </c>
      <c r="D355" s="57">
        <f>IF(OR($A355="",D$24=""),"",IF(COUNTIFS('AFA Rates'!$A$5:$A$1004,$A355,'AFA Rates'!$B$5:$B$1004,D$24)&gt;0,"✓",""))</f>
        <v/>
      </c>
      <c r="E355" s="57">
        <f>IF(OR($A355="",E$24=""),"",IF(COUNTIFS('AFA Rates'!$A$5:$A$1004,$A355,'AFA Rates'!$B$5:$B$1004,E$24)&gt;0,"✓",""))</f>
        <v/>
      </c>
      <c r="F355" s="57">
        <f>IF(OR($A355="",F$24=""),"",IF(COUNTIFS('AFA Rates'!$A$5:$A$1004,$A355,'AFA Rates'!$B$5:$B$1004,F$24)&gt;0,"✓",""))</f>
        <v/>
      </c>
      <c r="G355" s="57">
        <f>IF(OR($A355="",G$24=""),"",IF(COUNTIFS('AFA Rates'!$A$5:$A$1004,$A355,'AFA Rates'!$B$5:$B$1004,G$24)&gt;0,"✓",""))</f>
        <v/>
      </c>
      <c r="H355" s="57">
        <f>IF(OR($A355="",H$24=""),"",IF(COUNTIFS('AFA Rates'!$A$5:$A$1004,$A355,'AFA Rates'!$B$5:$B$1004,H$24)&gt;0,"✓",""))</f>
        <v/>
      </c>
      <c r="I355" s="57">
        <f>IF(OR($A355="",I$24=""),"",IF(COUNTIFS('AFA Rates'!$A$5:$A$1004,$A355,'AFA Rates'!$B$5:$B$1004,I$24)&gt;0,"✓",""))</f>
        <v/>
      </c>
      <c r="J355" s="57">
        <f>IF(OR($A355="",J$24=""),"",IF(COUNTIFS('AFA Rates'!$A$5:$A$1004,$A355,'AFA Rates'!$B$5:$B$1004,J$24)&gt;0,"✓",""))</f>
        <v/>
      </c>
      <c r="K355" s="57">
        <f>IF(OR($A355="",K$24=""),"",IF(COUNTIFS('AFA Rates'!$A$5:$A$1004,$A355,'AFA Rates'!$B$5:$B$1004,K$24)&gt;0,"✓",""))</f>
        <v/>
      </c>
      <c r="L355" s="57">
        <f>IF(OR($A355="",L$24=""),"",IF(COUNTIFS('AFA Rates'!$A$5:$A$1004,$A355,'AFA Rates'!$B$5:$B$1004,L$24)&gt;0,"✓",""))</f>
        <v/>
      </c>
      <c r="M355" s="57">
        <f>IF(OR($A355="",M$24=""),"",IF(COUNTIFS('AFA Rates'!$A$5:$A$1004,$A355,'AFA Rates'!$B$5:$B$1004,M$24)&gt;0,"✓",""))</f>
        <v/>
      </c>
    </row>
    <row r="356">
      <c r="A356" s="63">
        <f>IFERROR(INDEX(Firms!$A$5:$A$1004,MATCH(332,Firms!$S$5:$S$1004,0)),"")</f>
        <v/>
      </c>
      <c r="B356" s="57">
        <f>IF($A356="","",INDEX(Firms!$B$5:$B$1004,MATCH(332,Firms!$S$5:$S$1004,0)))</f>
        <v/>
      </c>
      <c r="C356" s="57">
        <f>IF($A356="","",COUNTIF('AFA Rates'!$A$5:$A$1004,$A356))</f>
        <v/>
      </c>
      <c r="D356" s="57">
        <f>IF(OR($A356="",D$24=""),"",IF(COUNTIFS('AFA Rates'!$A$5:$A$1004,$A356,'AFA Rates'!$B$5:$B$1004,D$24)&gt;0,"✓",""))</f>
        <v/>
      </c>
      <c r="E356" s="57">
        <f>IF(OR($A356="",E$24=""),"",IF(COUNTIFS('AFA Rates'!$A$5:$A$1004,$A356,'AFA Rates'!$B$5:$B$1004,E$24)&gt;0,"✓",""))</f>
        <v/>
      </c>
      <c r="F356" s="57">
        <f>IF(OR($A356="",F$24=""),"",IF(COUNTIFS('AFA Rates'!$A$5:$A$1004,$A356,'AFA Rates'!$B$5:$B$1004,F$24)&gt;0,"✓",""))</f>
        <v/>
      </c>
      <c r="G356" s="57">
        <f>IF(OR($A356="",G$24=""),"",IF(COUNTIFS('AFA Rates'!$A$5:$A$1004,$A356,'AFA Rates'!$B$5:$B$1004,G$24)&gt;0,"✓",""))</f>
        <v/>
      </c>
      <c r="H356" s="57">
        <f>IF(OR($A356="",H$24=""),"",IF(COUNTIFS('AFA Rates'!$A$5:$A$1004,$A356,'AFA Rates'!$B$5:$B$1004,H$24)&gt;0,"✓",""))</f>
        <v/>
      </c>
      <c r="I356" s="57">
        <f>IF(OR($A356="",I$24=""),"",IF(COUNTIFS('AFA Rates'!$A$5:$A$1004,$A356,'AFA Rates'!$B$5:$B$1004,I$24)&gt;0,"✓",""))</f>
        <v/>
      </c>
      <c r="J356" s="57">
        <f>IF(OR($A356="",J$24=""),"",IF(COUNTIFS('AFA Rates'!$A$5:$A$1004,$A356,'AFA Rates'!$B$5:$B$1004,J$24)&gt;0,"✓",""))</f>
        <v/>
      </c>
      <c r="K356" s="57">
        <f>IF(OR($A356="",K$24=""),"",IF(COUNTIFS('AFA Rates'!$A$5:$A$1004,$A356,'AFA Rates'!$B$5:$B$1004,K$24)&gt;0,"✓",""))</f>
        <v/>
      </c>
      <c r="L356" s="57">
        <f>IF(OR($A356="",L$24=""),"",IF(COUNTIFS('AFA Rates'!$A$5:$A$1004,$A356,'AFA Rates'!$B$5:$B$1004,L$24)&gt;0,"✓",""))</f>
        <v/>
      </c>
      <c r="M356" s="57">
        <f>IF(OR($A356="",M$24=""),"",IF(COUNTIFS('AFA Rates'!$A$5:$A$1004,$A356,'AFA Rates'!$B$5:$B$1004,M$24)&gt;0,"✓",""))</f>
        <v/>
      </c>
    </row>
    <row r="357">
      <c r="A357" s="63">
        <f>IFERROR(INDEX(Firms!$A$5:$A$1004,MATCH(333,Firms!$S$5:$S$1004,0)),"")</f>
        <v/>
      </c>
      <c r="B357" s="57">
        <f>IF($A357="","",INDEX(Firms!$B$5:$B$1004,MATCH(333,Firms!$S$5:$S$1004,0)))</f>
        <v/>
      </c>
      <c r="C357" s="57">
        <f>IF($A357="","",COUNTIF('AFA Rates'!$A$5:$A$1004,$A357))</f>
        <v/>
      </c>
      <c r="D357" s="57">
        <f>IF(OR($A357="",D$24=""),"",IF(COUNTIFS('AFA Rates'!$A$5:$A$1004,$A357,'AFA Rates'!$B$5:$B$1004,D$24)&gt;0,"✓",""))</f>
        <v/>
      </c>
      <c r="E357" s="57">
        <f>IF(OR($A357="",E$24=""),"",IF(COUNTIFS('AFA Rates'!$A$5:$A$1004,$A357,'AFA Rates'!$B$5:$B$1004,E$24)&gt;0,"✓",""))</f>
        <v/>
      </c>
      <c r="F357" s="57">
        <f>IF(OR($A357="",F$24=""),"",IF(COUNTIFS('AFA Rates'!$A$5:$A$1004,$A357,'AFA Rates'!$B$5:$B$1004,F$24)&gt;0,"✓",""))</f>
        <v/>
      </c>
      <c r="G357" s="57">
        <f>IF(OR($A357="",G$24=""),"",IF(COUNTIFS('AFA Rates'!$A$5:$A$1004,$A357,'AFA Rates'!$B$5:$B$1004,G$24)&gt;0,"✓",""))</f>
        <v/>
      </c>
      <c r="H357" s="57">
        <f>IF(OR($A357="",H$24=""),"",IF(COUNTIFS('AFA Rates'!$A$5:$A$1004,$A357,'AFA Rates'!$B$5:$B$1004,H$24)&gt;0,"✓",""))</f>
        <v/>
      </c>
      <c r="I357" s="57">
        <f>IF(OR($A357="",I$24=""),"",IF(COUNTIFS('AFA Rates'!$A$5:$A$1004,$A357,'AFA Rates'!$B$5:$B$1004,I$24)&gt;0,"✓",""))</f>
        <v/>
      </c>
      <c r="J357" s="57">
        <f>IF(OR($A357="",J$24=""),"",IF(COUNTIFS('AFA Rates'!$A$5:$A$1004,$A357,'AFA Rates'!$B$5:$B$1004,J$24)&gt;0,"✓",""))</f>
        <v/>
      </c>
      <c r="K357" s="57">
        <f>IF(OR($A357="",K$24=""),"",IF(COUNTIFS('AFA Rates'!$A$5:$A$1004,$A357,'AFA Rates'!$B$5:$B$1004,K$24)&gt;0,"✓",""))</f>
        <v/>
      </c>
      <c r="L357" s="57">
        <f>IF(OR($A357="",L$24=""),"",IF(COUNTIFS('AFA Rates'!$A$5:$A$1004,$A357,'AFA Rates'!$B$5:$B$1004,L$24)&gt;0,"✓",""))</f>
        <v/>
      </c>
      <c r="M357" s="57">
        <f>IF(OR($A357="",M$24=""),"",IF(COUNTIFS('AFA Rates'!$A$5:$A$1004,$A357,'AFA Rates'!$B$5:$B$1004,M$24)&gt;0,"✓",""))</f>
        <v/>
      </c>
    </row>
    <row r="358">
      <c r="A358" s="63">
        <f>IFERROR(INDEX(Firms!$A$5:$A$1004,MATCH(334,Firms!$S$5:$S$1004,0)),"")</f>
        <v/>
      </c>
      <c r="B358" s="57">
        <f>IF($A358="","",INDEX(Firms!$B$5:$B$1004,MATCH(334,Firms!$S$5:$S$1004,0)))</f>
        <v/>
      </c>
      <c r="C358" s="57">
        <f>IF($A358="","",COUNTIF('AFA Rates'!$A$5:$A$1004,$A358))</f>
        <v/>
      </c>
      <c r="D358" s="57">
        <f>IF(OR($A358="",D$24=""),"",IF(COUNTIFS('AFA Rates'!$A$5:$A$1004,$A358,'AFA Rates'!$B$5:$B$1004,D$24)&gt;0,"✓",""))</f>
        <v/>
      </c>
      <c r="E358" s="57">
        <f>IF(OR($A358="",E$24=""),"",IF(COUNTIFS('AFA Rates'!$A$5:$A$1004,$A358,'AFA Rates'!$B$5:$B$1004,E$24)&gt;0,"✓",""))</f>
        <v/>
      </c>
      <c r="F358" s="57">
        <f>IF(OR($A358="",F$24=""),"",IF(COUNTIFS('AFA Rates'!$A$5:$A$1004,$A358,'AFA Rates'!$B$5:$B$1004,F$24)&gt;0,"✓",""))</f>
        <v/>
      </c>
      <c r="G358" s="57">
        <f>IF(OR($A358="",G$24=""),"",IF(COUNTIFS('AFA Rates'!$A$5:$A$1004,$A358,'AFA Rates'!$B$5:$B$1004,G$24)&gt;0,"✓",""))</f>
        <v/>
      </c>
      <c r="H358" s="57">
        <f>IF(OR($A358="",H$24=""),"",IF(COUNTIFS('AFA Rates'!$A$5:$A$1004,$A358,'AFA Rates'!$B$5:$B$1004,H$24)&gt;0,"✓",""))</f>
        <v/>
      </c>
      <c r="I358" s="57">
        <f>IF(OR($A358="",I$24=""),"",IF(COUNTIFS('AFA Rates'!$A$5:$A$1004,$A358,'AFA Rates'!$B$5:$B$1004,I$24)&gt;0,"✓",""))</f>
        <v/>
      </c>
      <c r="J358" s="57">
        <f>IF(OR($A358="",J$24=""),"",IF(COUNTIFS('AFA Rates'!$A$5:$A$1004,$A358,'AFA Rates'!$B$5:$B$1004,J$24)&gt;0,"✓",""))</f>
        <v/>
      </c>
      <c r="K358" s="57">
        <f>IF(OR($A358="",K$24=""),"",IF(COUNTIFS('AFA Rates'!$A$5:$A$1004,$A358,'AFA Rates'!$B$5:$B$1004,K$24)&gt;0,"✓",""))</f>
        <v/>
      </c>
      <c r="L358" s="57">
        <f>IF(OR($A358="",L$24=""),"",IF(COUNTIFS('AFA Rates'!$A$5:$A$1004,$A358,'AFA Rates'!$B$5:$B$1004,L$24)&gt;0,"✓",""))</f>
        <v/>
      </c>
      <c r="M358" s="57">
        <f>IF(OR($A358="",M$24=""),"",IF(COUNTIFS('AFA Rates'!$A$5:$A$1004,$A358,'AFA Rates'!$B$5:$B$1004,M$24)&gt;0,"✓",""))</f>
        <v/>
      </c>
    </row>
    <row r="359">
      <c r="A359" s="63">
        <f>IFERROR(INDEX(Firms!$A$5:$A$1004,MATCH(335,Firms!$S$5:$S$1004,0)),"")</f>
        <v/>
      </c>
      <c r="B359" s="57">
        <f>IF($A359="","",INDEX(Firms!$B$5:$B$1004,MATCH(335,Firms!$S$5:$S$1004,0)))</f>
        <v/>
      </c>
      <c r="C359" s="57">
        <f>IF($A359="","",COUNTIF('AFA Rates'!$A$5:$A$1004,$A359))</f>
        <v/>
      </c>
      <c r="D359" s="57">
        <f>IF(OR($A359="",D$24=""),"",IF(COUNTIFS('AFA Rates'!$A$5:$A$1004,$A359,'AFA Rates'!$B$5:$B$1004,D$24)&gt;0,"✓",""))</f>
        <v/>
      </c>
      <c r="E359" s="57">
        <f>IF(OR($A359="",E$24=""),"",IF(COUNTIFS('AFA Rates'!$A$5:$A$1004,$A359,'AFA Rates'!$B$5:$B$1004,E$24)&gt;0,"✓",""))</f>
        <v/>
      </c>
      <c r="F359" s="57">
        <f>IF(OR($A359="",F$24=""),"",IF(COUNTIFS('AFA Rates'!$A$5:$A$1004,$A359,'AFA Rates'!$B$5:$B$1004,F$24)&gt;0,"✓",""))</f>
        <v/>
      </c>
      <c r="G359" s="57">
        <f>IF(OR($A359="",G$24=""),"",IF(COUNTIFS('AFA Rates'!$A$5:$A$1004,$A359,'AFA Rates'!$B$5:$B$1004,G$24)&gt;0,"✓",""))</f>
        <v/>
      </c>
      <c r="H359" s="57">
        <f>IF(OR($A359="",H$24=""),"",IF(COUNTIFS('AFA Rates'!$A$5:$A$1004,$A359,'AFA Rates'!$B$5:$B$1004,H$24)&gt;0,"✓",""))</f>
        <v/>
      </c>
      <c r="I359" s="57">
        <f>IF(OR($A359="",I$24=""),"",IF(COUNTIFS('AFA Rates'!$A$5:$A$1004,$A359,'AFA Rates'!$B$5:$B$1004,I$24)&gt;0,"✓",""))</f>
        <v/>
      </c>
      <c r="J359" s="57">
        <f>IF(OR($A359="",J$24=""),"",IF(COUNTIFS('AFA Rates'!$A$5:$A$1004,$A359,'AFA Rates'!$B$5:$B$1004,J$24)&gt;0,"✓",""))</f>
        <v/>
      </c>
      <c r="K359" s="57">
        <f>IF(OR($A359="",K$24=""),"",IF(COUNTIFS('AFA Rates'!$A$5:$A$1004,$A359,'AFA Rates'!$B$5:$B$1004,K$24)&gt;0,"✓",""))</f>
        <v/>
      </c>
      <c r="L359" s="57">
        <f>IF(OR($A359="",L$24=""),"",IF(COUNTIFS('AFA Rates'!$A$5:$A$1004,$A359,'AFA Rates'!$B$5:$B$1004,L$24)&gt;0,"✓",""))</f>
        <v/>
      </c>
      <c r="M359" s="57">
        <f>IF(OR($A359="",M$24=""),"",IF(COUNTIFS('AFA Rates'!$A$5:$A$1004,$A359,'AFA Rates'!$B$5:$B$1004,M$24)&gt;0,"✓",""))</f>
        <v/>
      </c>
    </row>
    <row r="360">
      <c r="A360" s="63">
        <f>IFERROR(INDEX(Firms!$A$5:$A$1004,MATCH(336,Firms!$S$5:$S$1004,0)),"")</f>
        <v/>
      </c>
      <c r="B360" s="57">
        <f>IF($A360="","",INDEX(Firms!$B$5:$B$1004,MATCH(336,Firms!$S$5:$S$1004,0)))</f>
        <v/>
      </c>
      <c r="C360" s="57">
        <f>IF($A360="","",COUNTIF('AFA Rates'!$A$5:$A$1004,$A360))</f>
        <v/>
      </c>
      <c r="D360" s="57">
        <f>IF(OR($A360="",D$24=""),"",IF(COUNTIFS('AFA Rates'!$A$5:$A$1004,$A360,'AFA Rates'!$B$5:$B$1004,D$24)&gt;0,"✓",""))</f>
        <v/>
      </c>
      <c r="E360" s="57">
        <f>IF(OR($A360="",E$24=""),"",IF(COUNTIFS('AFA Rates'!$A$5:$A$1004,$A360,'AFA Rates'!$B$5:$B$1004,E$24)&gt;0,"✓",""))</f>
        <v/>
      </c>
      <c r="F360" s="57">
        <f>IF(OR($A360="",F$24=""),"",IF(COUNTIFS('AFA Rates'!$A$5:$A$1004,$A360,'AFA Rates'!$B$5:$B$1004,F$24)&gt;0,"✓",""))</f>
        <v/>
      </c>
      <c r="G360" s="57">
        <f>IF(OR($A360="",G$24=""),"",IF(COUNTIFS('AFA Rates'!$A$5:$A$1004,$A360,'AFA Rates'!$B$5:$B$1004,G$24)&gt;0,"✓",""))</f>
        <v/>
      </c>
      <c r="H360" s="57">
        <f>IF(OR($A360="",H$24=""),"",IF(COUNTIFS('AFA Rates'!$A$5:$A$1004,$A360,'AFA Rates'!$B$5:$B$1004,H$24)&gt;0,"✓",""))</f>
        <v/>
      </c>
      <c r="I360" s="57">
        <f>IF(OR($A360="",I$24=""),"",IF(COUNTIFS('AFA Rates'!$A$5:$A$1004,$A360,'AFA Rates'!$B$5:$B$1004,I$24)&gt;0,"✓",""))</f>
        <v/>
      </c>
      <c r="J360" s="57">
        <f>IF(OR($A360="",J$24=""),"",IF(COUNTIFS('AFA Rates'!$A$5:$A$1004,$A360,'AFA Rates'!$B$5:$B$1004,J$24)&gt;0,"✓",""))</f>
        <v/>
      </c>
      <c r="K360" s="57">
        <f>IF(OR($A360="",K$24=""),"",IF(COUNTIFS('AFA Rates'!$A$5:$A$1004,$A360,'AFA Rates'!$B$5:$B$1004,K$24)&gt;0,"✓",""))</f>
        <v/>
      </c>
      <c r="L360" s="57">
        <f>IF(OR($A360="",L$24=""),"",IF(COUNTIFS('AFA Rates'!$A$5:$A$1004,$A360,'AFA Rates'!$B$5:$B$1004,L$24)&gt;0,"✓",""))</f>
        <v/>
      </c>
      <c r="M360" s="57">
        <f>IF(OR($A360="",M$24=""),"",IF(COUNTIFS('AFA Rates'!$A$5:$A$1004,$A360,'AFA Rates'!$B$5:$B$1004,M$24)&gt;0,"✓",""))</f>
        <v/>
      </c>
    </row>
    <row r="361">
      <c r="A361" s="63">
        <f>IFERROR(INDEX(Firms!$A$5:$A$1004,MATCH(337,Firms!$S$5:$S$1004,0)),"")</f>
        <v/>
      </c>
      <c r="B361" s="57">
        <f>IF($A361="","",INDEX(Firms!$B$5:$B$1004,MATCH(337,Firms!$S$5:$S$1004,0)))</f>
        <v/>
      </c>
      <c r="C361" s="57">
        <f>IF($A361="","",COUNTIF('AFA Rates'!$A$5:$A$1004,$A361))</f>
        <v/>
      </c>
      <c r="D361" s="57">
        <f>IF(OR($A361="",D$24=""),"",IF(COUNTIFS('AFA Rates'!$A$5:$A$1004,$A361,'AFA Rates'!$B$5:$B$1004,D$24)&gt;0,"✓",""))</f>
        <v/>
      </c>
      <c r="E361" s="57">
        <f>IF(OR($A361="",E$24=""),"",IF(COUNTIFS('AFA Rates'!$A$5:$A$1004,$A361,'AFA Rates'!$B$5:$B$1004,E$24)&gt;0,"✓",""))</f>
        <v/>
      </c>
      <c r="F361" s="57">
        <f>IF(OR($A361="",F$24=""),"",IF(COUNTIFS('AFA Rates'!$A$5:$A$1004,$A361,'AFA Rates'!$B$5:$B$1004,F$24)&gt;0,"✓",""))</f>
        <v/>
      </c>
      <c r="G361" s="57">
        <f>IF(OR($A361="",G$24=""),"",IF(COUNTIFS('AFA Rates'!$A$5:$A$1004,$A361,'AFA Rates'!$B$5:$B$1004,G$24)&gt;0,"✓",""))</f>
        <v/>
      </c>
      <c r="H361" s="57">
        <f>IF(OR($A361="",H$24=""),"",IF(COUNTIFS('AFA Rates'!$A$5:$A$1004,$A361,'AFA Rates'!$B$5:$B$1004,H$24)&gt;0,"✓",""))</f>
        <v/>
      </c>
      <c r="I361" s="57">
        <f>IF(OR($A361="",I$24=""),"",IF(COUNTIFS('AFA Rates'!$A$5:$A$1004,$A361,'AFA Rates'!$B$5:$B$1004,I$24)&gt;0,"✓",""))</f>
        <v/>
      </c>
      <c r="J361" s="57">
        <f>IF(OR($A361="",J$24=""),"",IF(COUNTIFS('AFA Rates'!$A$5:$A$1004,$A361,'AFA Rates'!$B$5:$B$1004,J$24)&gt;0,"✓",""))</f>
        <v/>
      </c>
      <c r="K361" s="57">
        <f>IF(OR($A361="",K$24=""),"",IF(COUNTIFS('AFA Rates'!$A$5:$A$1004,$A361,'AFA Rates'!$B$5:$B$1004,K$24)&gt;0,"✓",""))</f>
        <v/>
      </c>
      <c r="L361" s="57">
        <f>IF(OR($A361="",L$24=""),"",IF(COUNTIFS('AFA Rates'!$A$5:$A$1004,$A361,'AFA Rates'!$B$5:$B$1004,L$24)&gt;0,"✓",""))</f>
        <v/>
      </c>
      <c r="M361" s="57">
        <f>IF(OR($A361="",M$24=""),"",IF(COUNTIFS('AFA Rates'!$A$5:$A$1004,$A361,'AFA Rates'!$B$5:$B$1004,M$24)&gt;0,"✓",""))</f>
        <v/>
      </c>
    </row>
    <row r="362">
      <c r="A362" s="63">
        <f>IFERROR(INDEX(Firms!$A$5:$A$1004,MATCH(338,Firms!$S$5:$S$1004,0)),"")</f>
        <v/>
      </c>
      <c r="B362" s="57">
        <f>IF($A362="","",INDEX(Firms!$B$5:$B$1004,MATCH(338,Firms!$S$5:$S$1004,0)))</f>
        <v/>
      </c>
      <c r="C362" s="57">
        <f>IF($A362="","",COUNTIF('AFA Rates'!$A$5:$A$1004,$A362))</f>
        <v/>
      </c>
      <c r="D362" s="57">
        <f>IF(OR($A362="",D$24=""),"",IF(COUNTIFS('AFA Rates'!$A$5:$A$1004,$A362,'AFA Rates'!$B$5:$B$1004,D$24)&gt;0,"✓",""))</f>
        <v/>
      </c>
      <c r="E362" s="57">
        <f>IF(OR($A362="",E$24=""),"",IF(COUNTIFS('AFA Rates'!$A$5:$A$1004,$A362,'AFA Rates'!$B$5:$B$1004,E$24)&gt;0,"✓",""))</f>
        <v/>
      </c>
      <c r="F362" s="57">
        <f>IF(OR($A362="",F$24=""),"",IF(COUNTIFS('AFA Rates'!$A$5:$A$1004,$A362,'AFA Rates'!$B$5:$B$1004,F$24)&gt;0,"✓",""))</f>
        <v/>
      </c>
      <c r="G362" s="57">
        <f>IF(OR($A362="",G$24=""),"",IF(COUNTIFS('AFA Rates'!$A$5:$A$1004,$A362,'AFA Rates'!$B$5:$B$1004,G$24)&gt;0,"✓",""))</f>
        <v/>
      </c>
      <c r="H362" s="57">
        <f>IF(OR($A362="",H$24=""),"",IF(COUNTIFS('AFA Rates'!$A$5:$A$1004,$A362,'AFA Rates'!$B$5:$B$1004,H$24)&gt;0,"✓",""))</f>
        <v/>
      </c>
      <c r="I362" s="57">
        <f>IF(OR($A362="",I$24=""),"",IF(COUNTIFS('AFA Rates'!$A$5:$A$1004,$A362,'AFA Rates'!$B$5:$B$1004,I$24)&gt;0,"✓",""))</f>
        <v/>
      </c>
      <c r="J362" s="57">
        <f>IF(OR($A362="",J$24=""),"",IF(COUNTIFS('AFA Rates'!$A$5:$A$1004,$A362,'AFA Rates'!$B$5:$B$1004,J$24)&gt;0,"✓",""))</f>
        <v/>
      </c>
      <c r="K362" s="57">
        <f>IF(OR($A362="",K$24=""),"",IF(COUNTIFS('AFA Rates'!$A$5:$A$1004,$A362,'AFA Rates'!$B$5:$B$1004,K$24)&gt;0,"✓",""))</f>
        <v/>
      </c>
      <c r="L362" s="57">
        <f>IF(OR($A362="",L$24=""),"",IF(COUNTIFS('AFA Rates'!$A$5:$A$1004,$A362,'AFA Rates'!$B$5:$B$1004,L$24)&gt;0,"✓",""))</f>
        <v/>
      </c>
      <c r="M362" s="57">
        <f>IF(OR($A362="",M$24=""),"",IF(COUNTIFS('AFA Rates'!$A$5:$A$1004,$A362,'AFA Rates'!$B$5:$B$1004,M$24)&gt;0,"✓",""))</f>
        <v/>
      </c>
    </row>
    <row r="363">
      <c r="A363" s="63">
        <f>IFERROR(INDEX(Firms!$A$5:$A$1004,MATCH(339,Firms!$S$5:$S$1004,0)),"")</f>
        <v/>
      </c>
      <c r="B363" s="57">
        <f>IF($A363="","",INDEX(Firms!$B$5:$B$1004,MATCH(339,Firms!$S$5:$S$1004,0)))</f>
        <v/>
      </c>
      <c r="C363" s="57">
        <f>IF($A363="","",COUNTIF('AFA Rates'!$A$5:$A$1004,$A363))</f>
        <v/>
      </c>
      <c r="D363" s="57">
        <f>IF(OR($A363="",D$24=""),"",IF(COUNTIFS('AFA Rates'!$A$5:$A$1004,$A363,'AFA Rates'!$B$5:$B$1004,D$24)&gt;0,"✓",""))</f>
        <v/>
      </c>
      <c r="E363" s="57">
        <f>IF(OR($A363="",E$24=""),"",IF(COUNTIFS('AFA Rates'!$A$5:$A$1004,$A363,'AFA Rates'!$B$5:$B$1004,E$24)&gt;0,"✓",""))</f>
        <v/>
      </c>
      <c r="F363" s="57">
        <f>IF(OR($A363="",F$24=""),"",IF(COUNTIFS('AFA Rates'!$A$5:$A$1004,$A363,'AFA Rates'!$B$5:$B$1004,F$24)&gt;0,"✓",""))</f>
        <v/>
      </c>
      <c r="G363" s="57">
        <f>IF(OR($A363="",G$24=""),"",IF(COUNTIFS('AFA Rates'!$A$5:$A$1004,$A363,'AFA Rates'!$B$5:$B$1004,G$24)&gt;0,"✓",""))</f>
        <v/>
      </c>
      <c r="H363" s="57">
        <f>IF(OR($A363="",H$24=""),"",IF(COUNTIFS('AFA Rates'!$A$5:$A$1004,$A363,'AFA Rates'!$B$5:$B$1004,H$24)&gt;0,"✓",""))</f>
        <v/>
      </c>
      <c r="I363" s="57">
        <f>IF(OR($A363="",I$24=""),"",IF(COUNTIFS('AFA Rates'!$A$5:$A$1004,$A363,'AFA Rates'!$B$5:$B$1004,I$24)&gt;0,"✓",""))</f>
        <v/>
      </c>
      <c r="J363" s="57">
        <f>IF(OR($A363="",J$24=""),"",IF(COUNTIFS('AFA Rates'!$A$5:$A$1004,$A363,'AFA Rates'!$B$5:$B$1004,J$24)&gt;0,"✓",""))</f>
        <v/>
      </c>
      <c r="K363" s="57">
        <f>IF(OR($A363="",K$24=""),"",IF(COUNTIFS('AFA Rates'!$A$5:$A$1004,$A363,'AFA Rates'!$B$5:$B$1004,K$24)&gt;0,"✓",""))</f>
        <v/>
      </c>
      <c r="L363" s="57">
        <f>IF(OR($A363="",L$24=""),"",IF(COUNTIFS('AFA Rates'!$A$5:$A$1004,$A363,'AFA Rates'!$B$5:$B$1004,L$24)&gt;0,"✓",""))</f>
        <v/>
      </c>
      <c r="M363" s="57">
        <f>IF(OR($A363="",M$24=""),"",IF(COUNTIFS('AFA Rates'!$A$5:$A$1004,$A363,'AFA Rates'!$B$5:$B$1004,M$24)&gt;0,"✓",""))</f>
        <v/>
      </c>
    </row>
    <row r="364">
      <c r="A364" s="63">
        <f>IFERROR(INDEX(Firms!$A$5:$A$1004,MATCH(340,Firms!$S$5:$S$1004,0)),"")</f>
        <v/>
      </c>
      <c r="B364" s="57">
        <f>IF($A364="","",INDEX(Firms!$B$5:$B$1004,MATCH(340,Firms!$S$5:$S$1004,0)))</f>
        <v/>
      </c>
      <c r="C364" s="57">
        <f>IF($A364="","",COUNTIF('AFA Rates'!$A$5:$A$1004,$A364))</f>
        <v/>
      </c>
      <c r="D364" s="57">
        <f>IF(OR($A364="",D$24=""),"",IF(COUNTIFS('AFA Rates'!$A$5:$A$1004,$A364,'AFA Rates'!$B$5:$B$1004,D$24)&gt;0,"✓",""))</f>
        <v/>
      </c>
      <c r="E364" s="57">
        <f>IF(OR($A364="",E$24=""),"",IF(COUNTIFS('AFA Rates'!$A$5:$A$1004,$A364,'AFA Rates'!$B$5:$B$1004,E$24)&gt;0,"✓",""))</f>
        <v/>
      </c>
      <c r="F364" s="57">
        <f>IF(OR($A364="",F$24=""),"",IF(COUNTIFS('AFA Rates'!$A$5:$A$1004,$A364,'AFA Rates'!$B$5:$B$1004,F$24)&gt;0,"✓",""))</f>
        <v/>
      </c>
      <c r="G364" s="57">
        <f>IF(OR($A364="",G$24=""),"",IF(COUNTIFS('AFA Rates'!$A$5:$A$1004,$A364,'AFA Rates'!$B$5:$B$1004,G$24)&gt;0,"✓",""))</f>
        <v/>
      </c>
      <c r="H364" s="57">
        <f>IF(OR($A364="",H$24=""),"",IF(COUNTIFS('AFA Rates'!$A$5:$A$1004,$A364,'AFA Rates'!$B$5:$B$1004,H$24)&gt;0,"✓",""))</f>
        <v/>
      </c>
      <c r="I364" s="57">
        <f>IF(OR($A364="",I$24=""),"",IF(COUNTIFS('AFA Rates'!$A$5:$A$1004,$A364,'AFA Rates'!$B$5:$B$1004,I$24)&gt;0,"✓",""))</f>
        <v/>
      </c>
      <c r="J364" s="57">
        <f>IF(OR($A364="",J$24=""),"",IF(COUNTIFS('AFA Rates'!$A$5:$A$1004,$A364,'AFA Rates'!$B$5:$B$1004,J$24)&gt;0,"✓",""))</f>
        <v/>
      </c>
      <c r="K364" s="57">
        <f>IF(OR($A364="",K$24=""),"",IF(COUNTIFS('AFA Rates'!$A$5:$A$1004,$A364,'AFA Rates'!$B$5:$B$1004,K$24)&gt;0,"✓",""))</f>
        <v/>
      </c>
      <c r="L364" s="57">
        <f>IF(OR($A364="",L$24=""),"",IF(COUNTIFS('AFA Rates'!$A$5:$A$1004,$A364,'AFA Rates'!$B$5:$B$1004,L$24)&gt;0,"✓",""))</f>
        <v/>
      </c>
      <c r="M364" s="57">
        <f>IF(OR($A364="",M$24=""),"",IF(COUNTIFS('AFA Rates'!$A$5:$A$1004,$A364,'AFA Rates'!$B$5:$B$1004,M$24)&gt;0,"✓",""))</f>
        <v/>
      </c>
    </row>
    <row r="365">
      <c r="A365" s="63">
        <f>IFERROR(INDEX(Firms!$A$5:$A$1004,MATCH(341,Firms!$S$5:$S$1004,0)),"")</f>
        <v/>
      </c>
      <c r="B365" s="57">
        <f>IF($A365="","",INDEX(Firms!$B$5:$B$1004,MATCH(341,Firms!$S$5:$S$1004,0)))</f>
        <v/>
      </c>
      <c r="C365" s="57">
        <f>IF($A365="","",COUNTIF('AFA Rates'!$A$5:$A$1004,$A365))</f>
        <v/>
      </c>
      <c r="D365" s="57">
        <f>IF(OR($A365="",D$24=""),"",IF(COUNTIFS('AFA Rates'!$A$5:$A$1004,$A365,'AFA Rates'!$B$5:$B$1004,D$24)&gt;0,"✓",""))</f>
        <v/>
      </c>
      <c r="E365" s="57">
        <f>IF(OR($A365="",E$24=""),"",IF(COUNTIFS('AFA Rates'!$A$5:$A$1004,$A365,'AFA Rates'!$B$5:$B$1004,E$24)&gt;0,"✓",""))</f>
        <v/>
      </c>
      <c r="F365" s="57">
        <f>IF(OR($A365="",F$24=""),"",IF(COUNTIFS('AFA Rates'!$A$5:$A$1004,$A365,'AFA Rates'!$B$5:$B$1004,F$24)&gt;0,"✓",""))</f>
        <v/>
      </c>
      <c r="G365" s="57">
        <f>IF(OR($A365="",G$24=""),"",IF(COUNTIFS('AFA Rates'!$A$5:$A$1004,$A365,'AFA Rates'!$B$5:$B$1004,G$24)&gt;0,"✓",""))</f>
        <v/>
      </c>
      <c r="H365" s="57">
        <f>IF(OR($A365="",H$24=""),"",IF(COUNTIFS('AFA Rates'!$A$5:$A$1004,$A365,'AFA Rates'!$B$5:$B$1004,H$24)&gt;0,"✓",""))</f>
        <v/>
      </c>
      <c r="I365" s="57">
        <f>IF(OR($A365="",I$24=""),"",IF(COUNTIFS('AFA Rates'!$A$5:$A$1004,$A365,'AFA Rates'!$B$5:$B$1004,I$24)&gt;0,"✓",""))</f>
        <v/>
      </c>
      <c r="J365" s="57">
        <f>IF(OR($A365="",J$24=""),"",IF(COUNTIFS('AFA Rates'!$A$5:$A$1004,$A365,'AFA Rates'!$B$5:$B$1004,J$24)&gt;0,"✓",""))</f>
        <v/>
      </c>
      <c r="K365" s="57">
        <f>IF(OR($A365="",K$24=""),"",IF(COUNTIFS('AFA Rates'!$A$5:$A$1004,$A365,'AFA Rates'!$B$5:$B$1004,K$24)&gt;0,"✓",""))</f>
        <v/>
      </c>
      <c r="L365" s="57">
        <f>IF(OR($A365="",L$24=""),"",IF(COUNTIFS('AFA Rates'!$A$5:$A$1004,$A365,'AFA Rates'!$B$5:$B$1004,L$24)&gt;0,"✓",""))</f>
        <v/>
      </c>
      <c r="M365" s="57">
        <f>IF(OR($A365="",M$24=""),"",IF(COUNTIFS('AFA Rates'!$A$5:$A$1004,$A365,'AFA Rates'!$B$5:$B$1004,M$24)&gt;0,"✓",""))</f>
        <v/>
      </c>
    </row>
    <row r="366">
      <c r="A366" s="63">
        <f>IFERROR(INDEX(Firms!$A$5:$A$1004,MATCH(342,Firms!$S$5:$S$1004,0)),"")</f>
        <v/>
      </c>
      <c r="B366" s="57">
        <f>IF($A366="","",INDEX(Firms!$B$5:$B$1004,MATCH(342,Firms!$S$5:$S$1004,0)))</f>
        <v/>
      </c>
      <c r="C366" s="57">
        <f>IF($A366="","",COUNTIF('AFA Rates'!$A$5:$A$1004,$A366))</f>
        <v/>
      </c>
      <c r="D366" s="57">
        <f>IF(OR($A366="",D$24=""),"",IF(COUNTIFS('AFA Rates'!$A$5:$A$1004,$A366,'AFA Rates'!$B$5:$B$1004,D$24)&gt;0,"✓",""))</f>
        <v/>
      </c>
      <c r="E366" s="57">
        <f>IF(OR($A366="",E$24=""),"",IF(COUNTIFS('AFA Rates'!$A$5:$A$1004,$A366,'AFA Rates'!$B$5:$B$1004,E$24)&gt;0,"✓",""))</f>
        <v/>
      </c>
      <c r="F366" s="57">
        <f>IF(OR($A366="",F$24=""),"",IF(COUNTIFS('AFA Rates'!$A$5:$A$1004,$A366,'AFA Rates'!$B$5:$B$1004,F$24)&gt;0,"✓",""))</f>
        <v/>
      </c>
      <c r="G366" s="57">
        <f>IF(OR($A366="",G$24=""),"",IF(COUNTIFS('AFA Rates'!$A$5:$A$1004,$A366,'AFA Rates'!$B$5:$B$1004,G$24)&gt;0,"✓",""))</f>
        <v/>
      </c>
      <c r="H366" s="57">
        <f>IF(OR($A366="",H$24=""),"",IF(COUNTIFS('AFA Rates'!$A$5:$A$1004,$A366,'AFA Rates'!$B$5:$B$1004,H$24)&gt;0,"✓",""))</f>
        <v/>
      </c>
      <c r="I366" s="57">
        <f>IF(OR($A366="",I$24=""),"",IF(COUNTIFS('AFA Rates'!$A$5:$A$1004,$A366,'AFA Rates'!$B$5:$B$1004,I$24)&gt;0,"✓",""))</f>
        <v/>
      </c>
      <c r="J366" s="57">
        <f>IF(OR($A366="",J$24=""),"",IF(COUNTIFS('AFA Rates'!$A$5:$A$1004,$A366,'AFA Rates'!$B$5:$B$1004,J$24)&gt;0,"✓",""))</f>
        <v/>
      </c>
      <c r="K366" s="57">
        <f>IF(OR($A366="",K$24=""),"",IF(COUNTIFS('AFA Rates'!$A$5:$A$1004,$A366,'AFA Rates'!$B$5:$B$1004,K$24)&gt;0,"✓",""))</f>
        <v/>
      </c>
      <c r="L366" s="57">
        <f>IF(OR($A366="",L$24=""),"",IF(COUNTIFS('AFA Rates'!$A$5:$A$1004,$A366,'AFA Rates'!$B$5:$B$1004,L$24)&gt;0,"✓",""))</f>
        <v/>
      </c>
      <c r="M366" s="57">
        <f>IF(OR($A366="",M$24=""),"",IF(COUNTIFS('AFA Rates'!$A$5:$A$1004,$A366,'AFA Rates'!$B$5:$B$1004,M$24)&gt;0,"✓",""))</f>
        <v/>
      </c>
    </row>
    <row r="367">
      <c r="A367" s="63">
        <f>IFERROR(INDEX(Firms!$A$5:$A$1004,MATCH(343,Firms!$S$5:$S$1004,0)),"")</f>
        <v/>
      </c>
      <c r="B367" s="57">
        <f>IF($A367="","",INDEX(Firms!$B$5:$B$1004,MATCH(343,Firms!$S$5:$S$1004,0)))</f>
        <v/>
      </c>
      <c r="C367" s="57">
        <f>IF($A367="","",COUNTIF('AFA Rates'!$A$5:$A$1004,$A367))</f>
        <v/>
      </c>
      <c r="D367" s="57">
        <f>IF(OR($A367="",D$24=""),"",IF(COUNTIFS('AFA Rates'!$A$5:$A$1004,$A367,'AFA Rates'!$B$5:$B$1004,D$24)&gt;0,"✓",""))</f>
        <v/>
      </c>
      <c r="E367" s="57">
        <f>IF(OR($A367="",E$24=""),"",IF(COUNTIFS('AFA Rates'!$A$5:$A$1004,$A367,'AFA Rates'!$B$5:$B$1004,E$24)&gt;0,"✓",""))</f>
        <v/>
      </c>
      <c r="F367" s="57">
        <f>IF(OR($A367="",F$24=""),"",IF(COUNTIFS('AFA Rates'!$A$5:$A$1004,$A367,'AFA Rates'!$B$5:$B$1004,F$24)&gt;0,"✓",""))</f>
        <v/>
      </c>
      <c r="G367" s="57">
        <f>IF(OR($A367="",G$24=""),"",IF(COUNTIFS('AFA Rates'!$A$5:$A$1004,$A367,'AFA Rates'!$B$5:$B$1004,G$24)&gt;0,"✓",""))</f>
        <v/>
      </c>
      <c r="H367" s="57">
        <f>IF(OR($A367="",H$24=""),"",IF(COUNTIFS('AFA Rates'!$A$5:$A$1004,$A367,'AFA Rates'!$B$5:$B$1004,H$24)&gt;0,"✓",""))</f>
        <v/>
      </c>
      <c r="I367" s="57">
        <f>IF(OR($A367="",I$24=""),"",IF(COUNTIFS('AFA Rates'!$A$5:$A$1004,$A367,'AFA Rates'!$B$5:$B$1004,I$24)&gt;0,"✓",""))</f>
        <v/>
      </c>
      <c r="J367" s="57">
        <f>IF(OR($A367="",J$24=""),"",IF(COUNTIFS('AFA Rates'!$A$5:$A$1004,$A367,'AFA Rates'!$B$5:$B$1004,J$24)&gt;0,"✓",""))</f>
        <v/>
      </c>
      <c r="K367" s="57">
        <f>IF(OR($A367="",K$24=""),"",IF(COUNTIFS('AFA Rates'!$A$5:$A$1004,$A367,'AFA Rates'!$B$5:$B$1004,K$24)&gt;0,"✓",""))</f>
        <v/>
      </c>
      <c r="L367" s="57">
        <f>IF(OR($A367="",L$24=""),"",IF(COUNTIFS('AFA Rates'!$A$5:$A$1004,$A367,'AFA Rates'!$B$5:$B$1004,L$24)&gt;0,"✓",""))</f>
        <v/>
      </c>
      <c r="M367" s="57">
        <f>IF(OR($A367="",M$24=""),"",IF(COUNTIFS('AFA Rates'!$A$5:$A$1004,$A367,'AFA Rates'!$B$5:$B$1004,M$24)&gt;0,"✓",""))</f>
        <v/>
      </c>
    </row>
    <row r="368">
      <c r="A368" s="63">
        <f>IFERROR(INDEX(Firms!$A$5:$A$1004,MATCH(344,Firms!$S$5:$S$1004,0)),"")</f>
        <v/>
      </c>
      <c r="B368" s="57">
        <f>IF($A368="","",INDEX(Firms!$B$5:$B$1004,MATCH(344,Firms!$S$5:$S$1004,0)))</f>
        <v/>
      </c>
      <c r="C368" s="57">
        <f>IF($A368="","",COUNTIF('AFA Rates'!$A$5:$A$1004,$A368))</f>
        <v/>
      </c>
      <c r="D368" s="57">
        <f>IF(OR($A368="",D$24=""),"",IF(COUNTIFS('AFA Rates'!$A$5:$A$1004,$A368,'AFA Rates'!$B$5:$B$1004,D$24)&gt;0,"✓",""))</f>
        <v/>
      </c>
      <c r="E368" s="57">
        <f>IF(OR($A368="",E$24=""),"",IF(COUNTIFS('AFA Rates'!$A$5:$A$1004,$A368,'AFA Rates'!$B$5:$B$1004,E$24)&gt;0,"✓",""))</f>
        <v/>
      </c>
      <c r="F368" s="57">
        <f>IF(OR($A368="",F$24=""),"",IF(COUNTIFS('AFA Rates'!$A$5:$A$1004,$A368,'AFA Rates'!$B$5:$B$1004,F$24)&gt;0,"✓",""))</f>
        <v/>
      </c>
      <c r="G368" s="57">
        <f>IF(OR($A368="",G$24=""),"",IF(COUNTIFS('AFA Rates'!$A$5:$A$1004,$A368,'AFA Rates'!$B$5:$B$1004,G$24)&gt;0,"✓",""))</f>
        <v/>
      </c>
      <c r="H368" s="57">
        <f>IF(OR($A368="",H$24=""),"",IF(COUNTIFS('AFA Rates'!$A$5:$A$1004,$A368,'AFA Rates'!$B$5:$B$1004,H$24)&gt;0,"✓",""))</f>
        <v/>
      </c>
      <c r="I368" s="57">
        <f>IF(OR($A368="",I$24=""),"",IF(COUNTIFS('AFA Rates'!$A$5:$A$1004,$A368,'AFA Rates'!$B$5:$B$1004,I$24)&gt;0,"✓",""))</f>
        <v/>
      </c>
      <c r="J368" s="57">
        <f>IF(OR($A368="",J$24=""),"",IF(COUNTIFS('AFA Rates'!$A$5:$A$1004,$A368,'AFA Rates'!$B$5:$B$1004,J$24)&gt;0,"✓",""))</f>
        <v/>
      </c>
      <c r="K368" s="57">
        <f>IF(OR($A368="",K$24=""),"",IF(COUNTIFS('AFA Rates'!$A$5:$A$1004,$A368,'AFA Rates'!$B$5:$B$1004,K$24)&gt;0,"✓",""))</f>
        <v/>
      </c>
      <c r="L368" s="57">
        <f>IF(OR($A368="",L$24=""),"",IF(COUNTIFS('AFA Rates'!$A$5:$A$1004,$A368,'AFA Rates'!$B$5:$B$1004,L$24)&gt;0,"✓",""))</f>
        <v/>
      </c>
      <c r="M368" s="57">
        <f>IF(OR($A368="",M$24=""),"",IF(COUNTIFS('AFA Rates'!$A$5:$A$1004,$A368,'AFA Rates'!$B$5:$B$1004,M$24)&gt;0,"✓",""))</f>
        <v/>
      </c>
    </row>
    <row r="369">
      <c r="A369" s="63">
        <f>IFERROR(INDEX(Firms!$A$5:$A$1004,MATCH(345,Firms!$S$5:$S$1004,0)),"")</f>
        <v/>
      </c>
      <c r="B369" s="57">
        <f>IF($A369="","",INDEX(Firms!$B$5:$B$1004,MATCH(345,Firms!$S$5:$S$1004,0)))</f>
        <v/>
      </c>
      <c r="C369" s="57">
        <f>IF($A369="","",COUNTIF('AFA Rates'!$A$5:$A$1004,$A369))</f>
        <v/>
      </c>
      <c r="D369" s="57">
        <f>IF(OR($A369="",D$24=""),"",IF(COUNTIFS('AFA Rates'!$A$5:$A$1004,$A369,'AFA Rates'!$B$5:$B$1004,D$24)&gt;0,"✓",""))</f>
        <v/>
      </c>
      <c r="E369" s="57">
        <f>IF(OR($A369="",E$24=""),"",IF(COUNTIFS('AFA Rates'!$A$5:$A$1004,$A369,'AFA Rates'!$B$5:$B$1004,E$24)&gt;0,"✓",""))</f>
        <v/>
      </c>
      <c r="F369" s="57">
        <f>IF(OR($A369="",F$24=""),"",IF(COUNTIFS('AFA Rates'!$A$5:$A$1004,$A369,'AFA Rates'!$B$5:$B$1004,F$24)&gt;0,"✓",""))</f>
        <v/>
      </c>
      <c r="G369" s="57">
        <f>IF(OR($A369="",G$24=""),"",IF(COUNTIFS('AFA Rates'!$A$5:$A$1004,$A369,'AFA Rates'!$B$5:$B$1004,G$24)&gt;0,"✓",""))</f>
        <v/>
      </c>
      <c r="H369" s="57">
        <f>IF(OR($A369="",H$24=""),"",IF(COUNTIFS('AFA Rates'!$A$5:$A$1004,$A369,'AFA Rates'!$B$5:$B$1004,H$24)&gt;0,"✓",""))</f>
        <v/>
      </c>
      <c r="I369" s="57">
        <f>IF(OR($A369="",I$24=""),"",IF(COUNTIFS('AFA Rates'!$A$5:$A$1004,$A369,'AFA Rates'!$B$5:$B$1004,I$24)&gt;0,"✓",""))</f>
        <v/>
      </c>
      <c r="J369" s="57">
        <f>IF(OR($A369="",J$24=""),"",IF(COUNTIFS('AFA Rates'!$A$5:$A$1004,$A369,'AFA Rates'!$B$5:$B$1004,J$24)&gt;0,"✓",""))</f>
        <v/>
      </c>
      <c r="K369" s="57">
        <f>IF(OR($A369="",K$24=""),"",IF(COUNTIFS('AFA Rates'!$A$5:$A$1004,$A369,'AFA Rates'!$B$5:$B$1004,K$24)&gt;0,"✓",""))</f>
        <v/>
      </c>
      <c r="L369" s="57">
        <f>IF(OR($A369="",L$24=""),"",IF(COUNTIFS('AFA Rates'!$A$5:$A$1004,$A369,'AFA Rates'!$B$5:$B$1004,L$24)&gt;0,"✓",""))</f>
        <v/>
      </c>
      <c r="M369" s="57">
        <f>IF(OR($A369="",M$24=""),"",IF(COUNTIFS('AFA Rates'!$A$5:$A$1004,$A369,'AFA Rates'!$B$5:$B$1004,M$24)&gt;0,"✓",""))</f>
        <v/>
      </c>
    </row>
    <row r="370">
      <c r="A370" s="63">
        <f>IFERROR(INDEX(Firms!$A$5:$A$1004,MATCH(346,Firms!$S$5:$S$1004,0)),"")</f>
        <v/>
      </c>
      <c r="B370" s="57">
        <f>IF($A370="","",INDEX(Firms!$B$5:$B$1004,MATCH(346,Firms!$S$5:$S$1004,0)))</f>
        <v/>
      </c>
      <c r="C370" s="57">
        <f>IF($A370="","",COUNTIF('AFA Rates'!$A$5:$A$1004,$A370))</f>
        <v/>
      </c>
      <c r="D370" s="57">
        <f>IF(OR($A370="",D$24=""),"",IF(COUNTIFS('AFA Rates'!$A$5:$A$1004,$A370,'AFA Rates'!$B$5:$B$1004,D$24)&gt;0,"✓",""))</f>
        <v/>
      </c>
      <c r="E370" s="57">
        <f>IF(OR($A370="",E$24=""),"",IF(COUNTIFS('AFA Rates'!$A$5:$A$1004,$A370,'AFA Rates'!$B$5:$B$1004,E$24)&gt;0,"✓",""))</f>
        <v/>
      </c>
      <c r="F370" s="57">
        <f>IF(OR($A370="",F$24=""),"",IF(COUNTIFS('AFA Rates'!$A$5:$A$1004,$A370,'AFA Rates'!$B$5:$B$1004,F$24)&gt;0,"✓",""))</f>
        <v/>
      </c>
      <c r="G370" s="57">
        <f>IF(OR($A370="",G$24=""),"",IF(COUNTIFS('AFA Rates'!$A$5:$A$1004,$A370,'AFA Rates'!$B$5:$B$1004,G$24)&gt;0,"✓",""))</f>
        <v/>
      </c>
      <c r="H370" s="57">
        <f>IF(OR($A370="",H$24=""),"",IF(COUNTIFS('AFA Rates'!$A$5:$A$1004,$A370,'AFA Rates'!$B$5:$B$1004,H$24)&gt;0,"✓",""))</f>
        <v/>
      </c>
      <c r="I370" s="57">
        <f>IF(OR($A370="",I$24=""),"",IF(COUNTIFS('AFA Rates'!$A$5:$A$1004,$A370,'AFA Rates'!$B$5:$B$1004,I$24)&gt;0,"✓",""))</f>
        <v/>
      </c>
      <c r="J370" s="57">
        <f>IF(OR($A370="",J$24=""),"",IF(COUNTIFS('AFA Rates'!$A$5:$A$1004,$A370,'AFA Rates'!$B$5:$B$1004,J$24)&gt;0,"✓",""))</f>
        <v/>
      </c>
      <c r="K370" s="57">
        <f>IF(OR($A370="",K$24=""),"",IF(COUNTIFS('AFA Rates'!$A$5:$A$1004,$A370,'AFA Rates'!$B$5:$B$1004,K$24)&gt;0,"✓",""))</f>
        <v/>
      </c>
      <c r="L370" s="57">
        <f>IF(OR($A370="",L$24=""),"",IF(COUNTIFS('AFA Rates'!$A$5:$A$1004,$A370,'AFA Rates'!$B$5:$B$1004,L$24)&gt;0,"✓",""))</f>
        <v/>
      </c>
      <c r="M370" s="57">
        <f>IF(OR($A370="",M$24=""),"",IF(COUNTIFS('AFA Rates'!$A$5:$A$1004,$A370,'AFA Rates'!$B$5:$B$1004,M$24)&gt;0,"✓",""))</f>
        <v/>
      </c>
    </row>
    <row r="371">
      <c r="A371" s="63">
        <f>IFERROR(INDEX(Firms!$A$5:$A$1004,MATCH(347,Firms!$S$5:$S$1004,0)),"")</f>
        <v/>
      </c>
      <c r="B371" s="57">
        <f>IF($A371="","",INDEX(Firms!$B$5:$B$1004,MATCH(347,Firms!$S$5:$S$1004,0)))</f>
        <v/>
      </c>
      <c r="C371" s="57">
        <f>IF($A371="","",COUNTIF('AFA Rates'!$A$5:$A$1004,$A371))</f>
        <v/>
      </c>
      <c r="D371" s="57">
        <f>IF(OR($A371="",D$24=""),"",IF(COUNTIFS('AFA Rates'!$A$5:$A$1004,$A371,'AFA Rates'!$B$5:$B$1004,D$24)&gt;0,"✓",""))</f>
        <v/>
      </c>
      <c r="E371" s="57">
        <f>IF(OR($A371="",E$24=""),"",IF(COUNTIFS('AFA Rates'!$A$5:$A$1004,$A371,'AFA Rates'!$B$5:$B$1004,E$24)&gt;0,"✓",""))</f>
        <v/>
      </c>
      <c r="F371" s="57">
        <f>IF(OR($A371="",F$24=""),"",IF(COUNTIFS('AFA Rates'!$A$5:$A$1004,$A371,'AFA Rates'!$B$5:$B$1004,F$24)&gt;0,"✓",""))</f>
        <v/>
      </c>
      <c r="G371" s="57">
        <f>IF(OR($A371="",G$24=""),"",IF(COUNTIFS('AFA Rates'!$A$5:$A$1004,$A371,'AFA Rates'!$B$5:$B$1004,G$24)&gt;0,"✓",""))</f>
        <v/>
      </c>
      <c r="H371" s="57">
        <f>IF(OR($A371="",H$24=""),"",IF(COUNTIFS('AFA Rates'!$A$5:$A$1004,$A371,'AFA Rates'!$B$5:$B$1004,H$24)&gt;0,"✓",""))</f>
        <v/>
      </c>
      <c r="I371" s="57">
        <f>IF(OR($A371="",I$24=""),"",IF(COUNTIFS('AFA Rates'!$A$5:$A$1004,$A371,'AFA Rates'!$B$5:$B$1004,I$24)&gt;0,"✓",""))</f>
        <v/>
      </c>
      <c r="J371" s="57">
        <f>IF(OR($A371="",J$24=""),"",IF(COUNTIFS('AFA Rates'!$A$5:$A$1004,$A371,'AFA Rates'!$B$5:$B$1004,J$24)&gt;0,"✓",""))</f>
        <v/>
      </c>
      <c r="K371" s="57">
        <f>IF(OR($A371="",K$24=""),"",IF(COUNTIFS('AFA Rates'!$A$5:$A$1004,$A371,'AFA Rates'!$B$5:$B$1004,K$24)&gt;0,"✓",""))</f>
        <v/>
      </c>
      <c r="L371" s="57">
        <f>IF(OR($A371="",L$24=""),"",IF(COUNTIFS('AFA Rates'!$A$5:$A$1004,$A371,'AFA Rates'!$B$5:$B$1004,L$24)&gt;0,"✓",""))</f>
        <v/>
      </c>
      <c r="M371" s="57">
        <f>IF(OR($A371="",M$24=""),"",IF(COUNTIFS('AFA Rates'!$A$5:$A$1004,$A371,'AFA Rates'!$B$5:$B$1004,M$24)&gt;0,"✓",""))</f>
        <v/>
      </c>
    </row>
    <row r="372">
      <c r="A372" s="63">
        <f>IFERROR(INDEX(Firms!$A$5:$A$1004,MATCH(348,Firms!$S$5:$S$1004,0)),"")</f>
        <v/>
      </c>
      <c r="B372" s="57">
        <f>IF($A372="","",INDEX(Firms!$B$5:$B$1004,MATCH(348,Firms!$S$5:$S$1004,0)))</f>
        <v/>
      </c>
      <c r="C372" s="57">
        <f>IF($A372="","",COUNTIF('AFA Rates'!$A$5:$A$1004,$A372))</f>
        <v/>
      </c>
      <c r="D372" s="57">
        <f>IF(OR($A372="",D$24=""),"",IF(COUNTIFS('AFA Rates'!$A$5:$A$1004,$A372,'AFA Rates'!$B$5:$B$1004,D$24)&gt;0,"✓",""))</f>
        <v/>
      </c>
      <c r="E372" s="57">
        <f>IF(OR($A372="",E$24=""),"",IF(COUNTIFS('AFA Rates'!$A$5:$A$1004,$A372,'AFA Rates'!$B$5:$B$1004,E$24)&gt;0,"✓",""))</f>
        <v/>
      </c>
      <c r="F372" s="57">
        <f>IF(OR($A372="",F$24=""),"",IF(COUNTIFS('AFA Rates'!$A$5:$A$1004,$A372,'AFA Rates'!$B$5:$B$1004,F$24)&gt;0,"✓",""))</f>
        <v/>
      </c>
      <c r="G372" s="57">
        <f>IF(OR($A372="",G$24=""),"",IF(COUNTIFS('AFA Rates'!$A$5:$A$1004,$A372,'AFA Rates'!$B$5:$B$1004,G$24)&gt;0,"✓",""))</f>
        <v/>
      </c>
      <c r="H372" s="57">
        <f>IF(OR($A372="",H$24=""),"",IF(COUNTIFS('AFA Rates'!$A$5:$A$1004,$A372,'AFA Rates'!$B$5:$B$1004,H$24)&gt;0,"✓",""))</f>
        <v/>
      </c>
      <c r="I372" s="57">
        <f>IF(OR($A372="",I$24=""),"",IF(COUNTIFS('AFA Rates'!$A$5:$A$1004,$A372,'AFA Rates'!$B$5:$B$1004,I$24)&gt;0,"✓",""))</f>
        <v/>
      </c>
      <c r="J372" s="57">
        <f>IF(OR($A372="",J$24=""),"",IF(COUNTIFS('AFA Rates'!$A$5:$A$1004,$A372,'AFA Rates'!$B$5:$B$1004,J$24)&gt;0,"✓",""))</f>
        <v/>
      </c>
      <c r="K372" s="57">
        <f>IF(OR($A372="",K$24=""),"",IF(COUNTIFS('AFA Rates'!$A$5:$A$1004,$A372,'AFA Rates'!$B$5:$B$1004,K$24)&gt;0,"✓",""))</f>
        <v/>
      </c>
      <c r="L372" s="57">
        <f>IF(OR($A372="",L$24=""),"",IF(COUNTIFS('AFA Rates'!$A$5:$A$1004,$A372,'AFA Rates'!$B$5:$B$1004,L$24)&gt;0,"✓",""))</f>
        <v/>
      </c>
      <c r="M372" s="57">
        <f>IF(OR($A372="",M$24=""),"",IF(COUNTIFS('AFA Rates'!$A$5:$A$1004,$A372,'AFA Rates'!$B$5:$B$1004,M$24)&gt;0,"✓",""))</f>
        <v/>
      </c>
    </row>
    <row r="373">
      <c r="A373" s="63">
        <f>IFERROR(INDEX(Firms!$A$5:$A$1004,MATCH(349,Firms!$S$5:$S$1004,0)),"")</f>
        <v/>
      </c>
      <c r="B373" s="57">
        <f>IF($A373="","",INDEX(Firms!$B$5:$B$1004,MATCH(349,Firms!$S$5:$S$1004,0)))</f>
        <v/>
      </c>
      <c r="C373" s="57">
        <f>IF($A373="","",COUNTIF('AFA Rates'!$A$5:$A$1004,$A373))</f>
        <v/>
      </c>
      <c r="D373" s="57">
        <f>IF(OR($A373="",D$24=""),"",IF(COUNTIFS('AFA Rates'!$A$5:$A$1004,$A373,'AFA Rates'!$B$5:$B$1004,D$24)&gt;0,"✓",""))</f>
        <v/>
      </c>
      <c r="E373" s="57">
        <f>IF(OR($A373="",E$24=""),"",IF(COUNTIFS('AFA Rates'!$A$5:$A$1004,$A373,'AFA Rates'!$B$5:$B$1004,E$24)&gt;0,"✓",""))</f>
        <v/>
      </c>
      <c r="F373" s="57">
        <f>IF(OR($A373="",F$24=""),"",IF(COUNTIFS('AFA Rates'!$A$5:$A$1004,$A373,'AFA Rates'!$B$5:$B$1004,F$24)&gt;0,"✓",""))</f>
        <v/>
      </c>
      <c r="G373" s="57">
        <f>IF(OR($A373="",G$24=""),"",IF(COUNTIFS('AFA Rates'!$A$5:$A$1004,$A373,'AFA Rates'!$B$5:$B$1004,G$24)&gt;0,"✓",""))</f>
        <v/>
      </c>
      <c r="H373" s="57">
        <f>IF(OR($A373="",H$24=""),"",IF(COUNTIFS('AFA Rates'!$A$5:$A$1004,$A373,'AFA Rates'!$B$5:$B$1004,H$24)&gt;0,"✓",""))</f>
        <v/>
      </c>
      <c r="I373" s="57">
        <f>IF(OR($A373="",I$24=""),"",IF(COUNTIFS('AFA Rates'!$A$5:$A$1004,$A373,'AFA Rates'!$B$5:$B$1004,I$24)&gt;0,"✓",""))</f>
        <v/>
      </c>
      <c r="J373" s="57">
        <f>IF(OR($A373="",J$24=""),"",IF(COUNTIFS('AFA Rates'!$A$5:$A$1004,$A373,'AFA Rates'!$B$5:$B$1004,J$24)&gt;0,"✓",""))</f>
        <v/>
      </c>
      <c r="K373" s="57">
        <f>IF(OR($A373="",K$24=""),"",IF(COUNTIFS('AFA Rates'!$A$5:$A$1004,$A373,'AFA Rates'!$B$5:$B$1004,K$24)&gt;0,"✓",""))</f>
        <v/>
      </c>
      <c r="L373" s="57">
        <f>IF(OR($A373="",L$24=""),"",IF(COUNTIFS('AFA Rates'!$A$5:$A$1004,$A373,'AFA Rates'!$B$5:$B$1004,L$24)&gt;0,"✓",""))</f>
        <v/>
      </c>
      <c r="M373" s="57">
        <f>IF(OR($A373="",M$24=""),"",IF(COUNTIFS('AFA Rates'!$A$5:$A$1004,$A373,'AFA Rates'!$B$5:$B$1004,M$24)&gt;0,"✓",""))</f>
        <v/>
      </c>
    </row>
    <row r="374">
      <c r="A374" s="63">
        <f>IFERROR(INDEX(Firms!$A$5:$A$1004,MATCH(350,Firms!$S$5:$S$1004,0)),"")</f>
        <v/>
      </c>
      <c r="B374" s="57">
        <f>IF($A374="","",INDEX(Firms!$B$5:$B$1004,MATCH(350,Firms!$S$5:$S$1004,0)))</f>
        <v/>
      </c>
      <c r="C374" s="57">
        <f>IF($A374="","",COUNTIF('AFA Rates'!$A$5:$A$1004,$A374))</f>
        <v/>
      </c>
      <c r="D374" s="57">
        <f>IF(OR($A374="",D$24=""),"",IF(COUNTIFS('AFA Rates'!$A$5:$A$1004,$A374,'AFA Rates'!$B$5:$B$1004,D$24)&gt;0,"✓",""))</f>
        <v/>
      </c>
      <c r="E374" s="57">
        <f>IF(OR($A374="",E$24=""),"",IF(COUNTIFS('AFA Rates'!$A$5:$A$1004,$A374,'AFA Rates'!$B$5:$B$1004,E$24)&gt;0,"✓",""))</f>
        <v/>
      </c>
      <c r="F374" s="57">
        <f>IF(OR($A374="",F$24=""),"",IF(COUNTIFS('AFA Rates'!$A$5:$A$1004,$A374,'AFA Rates'!$B$5:$B$1004,F$24)&gt;0,"✓",""))</f>
        <v/>
      </c>
      <c r="G374" s="57">
        <f>IF(OR($A374="",G$24=""),"",IF(COUNTIFS('AFA Rates'!$A$5:$A$1004,$A374,'AFA Rates'!$B$5:$B$1004,G$24)&gt;0,"✓",""))</f>
        <v/>
      </c>
      <c r="H374" s="57">
        <f>IF(OR($A374="",H$24=""),"",IF(COUNTIFS('AFA Rates'!$A$5:$A$1004,$A374,'AFA Rates'!$B$5:$B$1004,H$24)&gt;0,"✓",""))</f>
        <v/>
      </c>
      <c r="I374" s="57">
        <f>IF(OR($A374="",I$24=""),"",IF(COUNTIFS('AFA Rates'!$A$5:$A$1004,$A374,'AFA Rates'!$B$5:$B$1004,I$24)&gt;0,"✓",""))</f>
        <v/>
      </c>
      <c r="J374" s="57">
        <f>IF(OR($A374="",J$24=""),"",IF(COUNTIFS('AFA Rates'!$A$5:$A$1004,$A374,'AFA Rates'!$B$5:$B$1004,J$24)&gt;0,"✓",""))</f>
        <v/>
      </c>
      <c r="K374" s="57">
        <f>IF(OR($A374="",K$24=""),"",IF(COUNTIFS('AFA Rates'!$A$5:$A$1004,$A374,'AFA Rates'!$B$5:$B$1004,K$24)&gt;0,"✓",""))</f>
        <v/>
      </c>
      <c r="L374" s="57">
        <f>IF(OR($A374="",L$24=""),"",IF(COUNTIFS('AFA Rates'!$A$5:$A$1004,$A374,'AFA Rates'!$B$5:$B$1004,L$24)&gt;0,"✓",""))</f>
        <v/>
      </c>
      <c r="M374" s="57">
        <f>IF(OR($A374="",M$24=""),"",IF(COUNTIFS('AFA Rates'!$A$5:$A$1004,$A374,'AFA Rates'!$B$5:$B$1004,M$24)&gt;0,"✓",""))</f>
        <v/>
      </c>
    </row>
    <row r="375">
      <c r="A375" s="63">
        <f>IFERROR(INDEX(Firms!$A$5:$A$1004,MATCH(351,Firms!$S$5:$S$1004,0)),"")</f>
        <v/>
      </c>
      <c r="B375" s="57">
        <f>IF($A375="","",INDEX(Firms!$B$5:$B$1004,MATCH(351,Firms!$S$5:$S$1004,0)))</f>
        <v/>
      </c>
      <c r="C375" s="57">
        <f>IF($A375="","",COUNTIF('AFA Rates'!$A$5:$A$1004,$A375))</f>
        <v/>
      </c>
      <c r="D375" s="57">
        <f>IF(OR($A375="",D$24=""),"",IF(COUNTIFS('AFA Rates'!$A$5:$A$1004,$A375,'AFA Rates'!$B$5:$B$1004,D$24)&gt;0,"✓",""))</f>
        <v/>
      </c>
      <c r="E375" s="57">
        <f>IF(OR($A375="",E$24=""),"",IF(COUNTIFS('AFA Rates'!$A$5:$A$1004,$A375,'AFA Rates'!$B$5:$B$1004,E$24)&gt;0,"✓",""))</f>
        <v/>
      </c>
      <c r="F375" s="57">
        <f>IF(OR($A375="",F$24=""),"",IF(COUNTIFS('AFA Rates'!$A$5:$A$1004,$A375,'AFA Rates'!$B$5:$B$1004,F$24)&gt;0,"✓",""))</f>
        <v/>
      </c>
      <c r="G375" s="57">
        <f>IF(OR($A375="",G$24=""),"",IF(COUNTIFS('AFA Rates'!$A$5:$A$1004,$A375,'AFA Rates'!$B$5:$B$1004,G$24)&gt;0,"✓",""))</f>
        <v/>
      </c>
      <c r="H375" s="57">
        <f>IF(OR($A375="",H$24=""),"",IF(COUNTIFS('AFA Rates'!$A$5:$A$1004,$A375,'AFA Rates'!$B$5:$B$1004,H$24)&gt;0,"✓",""))</f>
        <v/>
      </c>
      <c r="I375" s="57">
        <f>IF(OR($A375="",I$24=""),"",IF(COUNTIFS('AFA Rates'!$A$5:$A$1004,$A375,'AFA Rates'!$B$5:$B$1004,I$24)&gt;0,"✓",""))</f>
        <v/>
      </c>
      <c r="J375" s="57">
        <f>IF(OR($A375="",J$24=""),"",IF(COUNTIFS('AFA Rates'!$A$5:$A$1004,$A375,'AFA Rates'!$B$5:$B$1004,J$24)&gt;0,"✓",""))</f>
        <v/>
      </c>
      <c r="K375" s="57">
        <f>IF(OR($A375="",K$24=""),"",IF(COUNTIFS('AFA Rates'!$A$5:$A$1004,$A375,'AFA Rates'!$B$5:$B$1004,K$24)&gt;0,"✓",""))</f>
        <v/>
      </c>
      <c r="L375" s="57">
        <f>IF(OR($A375="",L$24=""),"",IF(COUNTIFS('AFA Rates'!$A$5:$A$1004,$A375,'AFA Rates'!$B$5:$B$1004,L$24)&gt;0,"✓",""))</f>
        <v/>
      </c>
      <c r="M375" s="57">
        <f>IF(OR($A375="",M$24=""),"",IF(COUNTIFS('AFA Rates'!$A$5:$A$1004,$A375,'AFA Rates'!$B$5:$B$1004,M$24)&gt;0,"✓",""))</f>
        <v/>
      </c>
    </row>
    <row r="376">
      <c r="A376" s="63">
        <f>IFERROR(INDEX(Firms!$A$5:$A$1004,MATCH(352,Firms!$S$5:$S$1004,0)),"")</f>
        <v/>
      </c>
      <c r="B376" s="57">
        <f>IF($A376="","",INDEX(Firms!$B$5:$B$1004,MATCH(352,Firms!$S$5:$S$1004,0)))</f>
        <v/>
      </c>
      <c r="C376" s="57">
        <f>IF($A376="","",COUNTIF('AFA Rates'!$A$5:$A$1004,$A376))</f>
        <v/>
      </c>
      <c r="D376" s="57">
        <f>IF(OR($A376="",D$24=""),"",IF(COUNTIFS('AFA Rates'!$A$5:$A$1004,$A376,'AFA Rates'!$B$5:$B$1004,D$24)&gt;0,"✓",""))</f>
        <v/>
      </c>
      <c r="E376" s="57">
        <f>IF(OR($A376="",E$24=""),"",IF(COUNTIFS('AFA Rates'!$A$5:$A$1004,$A376,'AFA Rates'!$B$5:$B$1004,E$24)&gt;0,"✓",""))</f>
        <v/>
      </c>
      <c r="F376" s="57">
        <f>IF(OR($A376="",F$24=""),"",IF(COUNTIFS('AFA Rates'!$A$5:$A$1004,$A376,'AFA Rates'!$B$5:$B$1004,F$24)&gt;0,"✓",""))</f>
        <v/>
      </c>
      <c r="G376" s="57">
        <f>IF(OR($A376="",G$24=""),"",IF(COUNTIFS('AFA Rates'!$A$5:$A$1004,$A376,'AFA Rates'!$B$5:$B$1004,G$24)&gt;0,"✓",""))</f>
        <v/>
      </c>
      <c r="H376" s="57">
        <f>IF(OR($A376="",H$24=""),"",IF(COUNTIFS('AFA Rates'!$A$5:$A$1004,$A376,'AFA Rates'!$B$5:$B$1004,H$24)&gt;0,"✓",""))</f>
        <v/>
      </c>
      <c r="I376" s="57">
        <f>IF(OR($A376="",I$24=""),"",IF(COUNTIFS('AFA Rates'!$A$5:$A$1004,$A376,'AFA Rates'!$B$5:$B$1004,I$24)&gt;0,"✓",""))</f>
        <v/>
      </c>
      <c r="J376" s="57">
        <f>IF(OR($A376="",J$24=""),"",IF(COUNTIFS('AFA Rates'!$A$5:$A$1004,$A376,'AFA Rates'!$B$5:$B$1004,J$24)&gt;0,"✓",""))</f>
        <v/>
      </c>
      <c r="K376" s="57">
        <f>IF(OR($A376="",K$24=""),"",IF(COUNTIFS('AFA Rates'!$A$5:$A$1004,$A376,'AFA Rates'!$B$5:$B$1004,K$24)&gt;0,"✓",""))</f>
        <v/>
      </c>
      <c r="L376" s="57">
        <f>IF(OR($A376="",L$24=""),"",IF(COUNTIFS('AFA Rates'!$A$5:$A$1004,$A376,'AFA Rates'!$B$5:$B$1004,L$24)&gt;0,"✓",""))</f>
        <v/>
      </c>
      <c r="M376" s="57">
        <f>IF(OR($A376="",M$24=""),"",IF(COUNTIFS('AFA Rates'!$A$5:$A$1004,$A376,'AFA Rates'!$B$5:$B$1004,M$24)&gt;0,"✓",""))</f>
        <v/>
      </c>
    </row>
    <row r="377">
      <c r="A377" s="63">
        <f>IFERROR(INDEX(Firms!$A$5:$A$1004,MATCH(353,Firms!$S$5:$S$1004,0)),"")</f>
        <v/>
      </c>
      <c r="B377" s="57">
        <f>IF($A377="","",INDEX(Firms!$B$5:$B$1004,MATCH(353,Firms!$S$5:$S$1004,0)))</f>
        <v/>
      </c>
      <c r="C377" s="57">
        <f>IF($A377="","",COUNTIF('AFA Rates'!$A$5:$A$1004,$A377))</f>
        <v/>
      </c>
      <c r="D377" s="57">
        <f>IF(OR($A377="",D$24=""),"",IF(COUNTIFS('AFA Rates'!$A$5:$A$1004,$A377,'AFA Rates'!$B$5:$B$1004,D$24)&gt;0,"✓",""))</f>
        <v/>
      </c>
      <c r="E377" s="57">
        <f>IF(OR($A377="",E$24=""),"",IF(COUNTIFS('AFA Rates'!$A$5:$A$1004,$A377,'AFA Rates'!$B$5:$B$1004,E$24)&gt;0,"✓",""))</f>
        <v/>
      </c>
      <c r="F377" s="57">
        <f>IF(OR($A377="",F$24=""),"",IF(COUNTIFS('AFA Rates'!$A$5:$A$1004,$A377,'AFA Rates'!$B$5:$B$1004,F$24)&gt;0,"✓",""))</f>
        <v/>
      </c>
      <c r="G377" s="57">
        <f>IF(OR($A377="",G$24=""),"",IF(COUNTIFS('AFA Rates'!$A$5:$A$1004,$A377,'AFA Rates'!$B$5:$B$1004,G$24)&gt;0,"✓",""))</f>
        <v/>
      </c>
      <c r="H377" s="57">
        <f>IF(OR($A377="",H$24=""),"",IF(COUNTIFS('AFA Rates'!$A$5:$A$1004,$A377,'AFA Rates'!$B$5:$B$1004,H$24)&gt;0,"✓",""))</f>
        <v/>
      </c>
      <c r="I377" s="57">
        <f>IF(OR($A377="",I$24=""),"",IF(COUNTIFS('AFA Rates'!$A$5:$A$1004,$A377,'AFA Rates'!$B$5:$B$1004,I$24)&gt;0,"✓",""))</f>
        <v/>
      </c>
      <c r="J377" s="57">
        <f>IF(OR($A377="",J$24=""),"",IF(COUNTIFS('AFA Rates'!$A$5:$A$1004,$A377,'AFA Rates'!$B$5:$B$1004,J$24)&gt;0,"✓",""))</f>
        <v/>
      </c>
      <c r="K377" s="57">
        <f>IF(OR($A377="",K$24=""),"",IF(COUNTIFS('AFA Rates'!$A$5:$A$1004,$A377,'AFA Rates'!$B$5:$B$1004,K$24)&gt;0,"✓",""))</f>
        <v/>
      </c>
      <c r="L377" s="57">
        <f>IF(OR($A377="",L$24=""),"",IF(COUNTIFS('AFA Rates'!$A$5:$A$1004,$A377,'AFA Rates'!$B$5:$B$1004,L$24)&gt;0,"✓",""))</f>
        <v/>
      </c>
      <c r="M377" s="57">
        <f>IF(OR($A377="",M$24=""),"",IF(COUNTIFS('AFA Rates'!$A$5:$A$1004,$A377,'AFA Rates'!$B$5:$B$1004,M$24)&gt;0,"✓",""))</f>
        <v/>
      </c>
    </row>
    <row r="378">
      <c r="A378" s="63">
        <f>IFERROR(INDEX(Firms!$A$5:$A$1004,MATCH(354,Firms!$S$5:$S$1004,0)),"")</f>
        <v/>
      </c>
      <c r="B378" s="57">
        <f>IF($A378="","",INDEX(Firms!$B$5:$B$1004,MATCH(354,Firms!$S$5:$S$1004,0)))</f>
        <v/>
      </c>
      <c r="C378" s="57">
        <f>IF($A378="","",COUNTIF('AFA Rates'!$A$5:$A$1004,$A378))</f>
        <v/>
      </c>
      <c r="D378" s="57">
        <f>IF(OR($A378="",D$24=""),"",IF(COUNTIFS('AFA Rates'!$A$5:$A$1004,$A378,'AFA Rates'!$B$5:$B$1004,D$24)&gt;0,"✓",""))</f>
        <v/>
      </c>
      <c r="E378" s="57">
        <f>IF(OR($A378="",E$24=""),"",IF(COUNTIFS('AFA Rates'!$A$5:$A$1004,$A378,'AFA Rates'!$B$5:$B$1004,E$24)&gt;0,"✓",""))</f>
        <v/>
      </c>
      <c r="F378" s="57">
        <f>IF(OR($A378="",F$24=""),"",IF(COUNTIFS('AFA Rates'!$A$5:$A$1004,$A378,'AFA Rates'!$B$5:$B$1004,F$24)&gt;0,"✓",""))</f>
        <v/>
      </c>
      <c r="G378" s="57">
        <f>IF(OR($A378="",G$24=""),"",IF(COUNTIFS('AFA Rates'!$A$5:$A$1004,$A378,'AFA Rates'!$B$5:$B$1004,G$24)&gt;0,"✓",""))</f>
        <v/>
      </c>
      <c r="H378" s="57">
        <f>IF(OR($A378="",H$24=""),"",IF(COUNTIFS('AFA Rates'!$A$5:$A$1004,$A378,'AFA Rates'!$B$5:$B$1004,H$24)&gt;0,"✓",""))</f>
        <v/>
      </c>
      <c r="I378" s="57">
        <f>IF(OR($A378="",I$24=""),"",IF(COUNTIFS('AFA Rates'!$A$5:$A$1004,$A378,'AFA Rates'!$B$5:$B$1004,I$24)&gt;0,"✓",""))</f>
        <v/>
      </c>
      <c r="J378" s="57">
        <f>IF(OR($A378="",J$24=""),"",IF(COUNTIFS('AFA Rates'!$A$5:$A$1004,$A378,'AFA Rates'!$B$5:$B$1004,J$24)&gt;0,"✓",""))</f>
        <v/>
      </c>
      <c r="K378" s="57">
        <f>IF(OR($A378="",K$24=""),"",IF(COUNTIFS('AFA Rates'!$A$5:$A$1004,$A378,'AFA Rates'!$B$5:$B$1004,K$24)&gt;0,"✓",""))</f>
        <v/>
      </c>
      <c r="L378" s="57">
        <f>IF(OR($A378="",L$24=""),"",IF(COUNTIFS('AFA Rates'!$A$5:$A$1004,$A378,'AFA Rates'!$B$5:$B$1004,L$24)&gt;0,"✓",""))</f>
        <v/>
      </c>
      <c r="M378" s="57">
        <f>IF(OR($A378="",M$24=""),"",IF(COUNTIFS('AFA Rates'!$A$5:$A$1004,$A378,'AFA Rates'!$B$5:$B$1004,M$24)&gt;0,"✓",""))</f>
        <v/>
      </c>
    </row>
    <row r="379">
      <c r="A379" s="63">
        <f>IFERROR(INDEX(Firms!$A$5:$A$1004,MATCH(355,Firms!$S$5:$S$1004,0)),"")</f>
        <v/>
      </c>
      <c r="B379" s="57">
        <f>IF($A379="","",INDEX(Firms!$B$5:$B$1004,MATCH(355,Firms!$S$5:$S$1004,0)))</f>
        <v/>
      </c>
      <c r="C379" s="57">
        <f>IF($A379="","",COUNTIF('AFA Rates'!$A$5:$A$1004,$A379))</f>
        <v/>
      </c>
      <c r="D379" s="57">
        <f>IF(OR($A379="",D$24=""),"",IF(COUNTIFS('AFA Rates'!$A$5:$A$1004,$A379,'AFA Rates'!$B$5:$B$1004,D$24)&gt;0,"✓",""))</f>
        <v/>
      </c>
      <c r="E379" s="57">
        <f>IF(OR($A379="",E$24=""),"",IF(COUNTIFS('AFA Rates'!$A$5:$A$1004,$A379,'AFA Rates'!$B$5:$B$1004,E$24)&gt;0,"✓",""))</f>
        <v/>
      </c>
      <c r="F379" s="57">
        <f>IF(OR($A379="",F$24=""),"",IF(COUNTIFS('AFA Rates'!$A$5:$A$1004,$A379,'AFA Rates'!$B$5:$B$1004,F$24)&gt;0,"✓",""))</f>
        <v/>
      </c>
      <c r="G379" s="57">
        <f>IF(OR($A379="",G$24=""),"",IF(COUNTIFS('AFA Rates'!$A$5:$A$1004,$A379,'AFA Rates'!$B$5:$B$1004,G$24)&gt;0,"✓",""))</f>
        <v/>
      </c>
      <c r="H379" s="57">
        <f>IF(OR($A379="",H$24=""),"",IF(COUNTIFS('AFA Rates'!$A$5:$A$1004,$A379,'AFA Rates'!$B$5:$B$1004,H$24)&gt;0,"✓",""))</f>
        <v/>
      </c>
      <c r="I379" s="57">
        <f>IF(OR($A379="",I$24=""),"",IF(COUNTIFS('AFA Rates'!$A$5:$A$1004,$A379,'AFA Rates'!$B$5:$B$1004,I$24)&gt;0,"✓",""))</f>
        <v/>
      </c>
      <c r="J379" s="57">
        <f>IF(OR($A379="",J$24=""),"",IF(COUNTIFS('AFA Rates'!$A$5:$A$1004,$A379,'AFA Rates'!$B$5:$B$1004,J$24)&gt;0,"✓",""))</f>
        <v/>
      </c>
      <c r="K379" s="57">
        <f>IF(OR($A379="",K$24=""),"",IF(COUNTIFS('AFA Rates'!$A$5:$A$1004,$A379,'AFA Rates'!$B$5:$B$1004,K$24)&gt;0,"✓",""))</f>
        <v/>
      </c>
      <c r="L379" s="57">
        <f>IF(OR($A379="",L$24=""),"",IF(COUNTIFS('AFA Rates'!$A$5:$A$1004,$A379,'AFA Rates'!$B$5:$B$1004,L$24)&gt;0,"✓",""))</f>
        <v/>
      </c>
      <c r="M379" s="57">
        <f>IF(OR($A379="",M$24=""),"",IF(COUNTIFS('AFA Rates'!$A$5:$A$1004,$A379,'AFA Rates'!$B$5:$B$1004,M$24)&gt;0,"✓",""))</f>
        <v/>
      </c>
    </row>
    <row r="380">
      <c r="A380" s="63">
        <f>IFERROR(INDEX(Firms!$A$5:$A$1004,MATCH(356,Firms!$S$5:$S$1004,0)),"")</f>
        <v/>
      </c>
      <c r="B380" s="57">
        <f>IF($A380="","",INDEX(Firms!$B$5:$B$1004,MATCH(356,Firms!$S$5:$S$1004,0)))</f>
        <v/>
      </c>
      <c r="C380" s="57">
        <f>IF($A380="","",COUNTIF('AFA Rates'!$A$5:$A$1004,$A380))</f>
        <v/>
      </c>
      <c r="D380" s="57">
        <f>IF(OR($A380="",D$24=""),"",IF(COUNTIFS('AFA Rates'!$A$5:$A$1004,$A380,'AFA Rates'!$B$5:$B$1004,D$24)&gt;0,"✓",""))</f>
        <v/>
      </c>
      <c r="E380" s="57">
        <f>IF(OR($A380="",E$24=""),"",IF(COUNTIFS('AFA Rates'!$A$5:$A$1004,$A380,'AFA Rates'!$B$5:$B$1004,E$24)&gt;0,"✓",""))</f>
        <v/>
      </c>
      <c r="F380" s="57">
        <f>IF(OR($A380="",F$24=""),"",IF(COUNTIFS('AFA Rates'!$A$5:$A$1004,$A380,'AFA Rates'!$B$5:$B$1004,F$24)&gt;0,"✓",""))</f>
        <v/>
      </c>
      <c r="G380" s="57">
        <f>IF(OR($A380="",G$24=""),"",IF(COUNTIFS('AFA Rates'!$A$5:$A$1004,$A380,'AFA Rates'!$B$5:$B$1004,G$24)&gt;0,"✓",""))</f>
        <v/>
      </c>
      <c r="H380" s="57">
        <f>IF(OR($A380="",H$24=""),"",IF(COUNTIFS('AFA Rates'!$A$5:$A$1004,$A380,'AFA Rates'!$B$5:$B$1004,H$24)&gt;0,"✓",""))</f>
        <v/>
      </c>
      <c r="I380" s="57">
        <f>IF(OR($A380="",I$24=""),"",IF(COUNTIFS('AFA Rates'!$A$5:$A$1004,$A380,'AFA Rates'!$B$5:$B$1004,I$24)&gt;0,"✓",""))</f>
        <v/>
      </c>
      <c r="J380" s="57">
        <f>IF(OR($A380="",J$24=""),"",IF(COUNTIFS('AFA Rates'!$A$5:$A$1004,$A380,'AFA Rates'!$B$5:$B$1004,J$24)&gt;0,"✓",""))</f>
        <v/>
      </c>
      <c r="K380" s="57">
        <f>IF(OR($A380="",K$24=""),"",IF(COUNTIFS('AFA Rates'!$A$5:$A$1004,$A380,'AFA Rates'!$B$5:$B$1004,K$24)&gt;0,"✓",""))</f>
        <v/>
      </c>
      <c r="L380" s="57">
        <f>IF(OR($A380="",L$24=""),"",IF(COUNTIFS('AFA Rates'!$A$5:$A$1004,$A380,'AFA Rates'!$B$5:$B$1004,L$24)&gt;0,"✓",""))</f>
        <v/>
      </c>
      <c r="M380" s="57">
        <f>IF(OR($A380="",M$24=""),"",IF(COUNTIFS('AFA Rates'!$A$5:$A$1004,$A380,'AFA Rates'!$B$5:$B$1004,M$24)&gt;0,"✓",""))</f>
        <v/>
      </c>
    </row>
    <row r="381">
      <c r="A381" s="63">
        <f>IFERROR(INDEX(Firms!$A$5:$A$1004,MATCH(357,Firms!$S$5:$S$1004,0)),"")</f>
        <v/>
      </c>
      <c r="B381" s="57">
        <f>IF($A381="","",INDEX(Firms!$B$5:$B$1004,MATCH(357,Firms!$S$5:$S$1004,0)))</f>
        <v/>
      </c>
      <c r="C381" s="57">
        <f>IF($A381="","",COUNTIF('AFA Rates'!$A$5:$A$1004,$A381))</f>
        <v/>
      </c>
      <c r="D381" s="57">
        <f>IF(OR($A381="",D$24=""),"",IF(COUNTIFS('AFA Rates'!$A$5:$A$1004,$A381,'AFA Rates'!$B$5:$B$1004,D$24)&gt;0,"✓",""))</f>
        <v/>
      </c>
      <c r="E381" s="57">
        <f>IF(OR($A381="",E$24=""),"",IF(COUNTIFS('AFA Rates'!$A$5:$A$1004,$A381,'AFA Rates'!$B$5:$B$1004,E$24)&gt;0,"✓",""))</f>
        <v/>
      </c>
      <c r="F381" s="57">
        <f>IF(OR($A381="",F$24=""),"",IF(COUNTIFS('AFA Rates'!$A$5:$A$1004,$A381,'AFA Rates'!$B$5:$B$1004,F$24)&gt;0,"✓",""))</f>
        <v/>
      </c>
      <c r="G381" s="57">
        <f>IF(OR($A381="",G$24=""),"",IF(COUNTIFS('AFA Rates'!$A$5:$A$1004,$A381,'AFA Rates'!$B$5:$B$1004,G$24)&gt;0,"✓",""))</f>
        <v/>
      </c>
      <c r="H381" s="57">
        <f>IF(OR($A381="",H$24=""),"",IF(COUNTIFS('AFA Rates'!$A$5:$A$1004,$A381,'AFA Rates'!$B$5:$B$1004,H$24)&gt;0,"✓",""))</f>
        <v/>
      </c>
      <c r="I381" s="57">
        <f>IF(OR($A381="",I$24=""),"",IF(COUNTIFS('AFA Rates'!$A$5:$A$1004,$A381,'AFA Rates'!$B$5:$B$1004,I$24)&gt;0,"✓",""))</f>
        <v/>
      </c>
      <c r="J381" s="57">
        <f>IF(OR($A381="",J$24=""),"",IF(COUNTIFS('AFA Rates'!$A$5:$A$1004,$A381,'AFA Rates'!$B$5:$B$1004,J$24)&gt;0,"✓",""))</f>
        <v/>
      </c>
      <c r="K381" s="57">
        <f>IF(OR($A381="",K$24=""),"",IF(COUNTIFS('AFA Rates'!$A$5:$A$1004,$A381,'AFA Rates'!$B$5:$B$1004,K$24)&gt;0,"✓",""))</f>
        <v/>
      </c>
      <c r="L381" s="57">
        <f>IF(OR($A381="",L$24=""),"",IF(COUNTIFS('AFA Rates'!$A$5:$A$1004,$A381,'AFA Rates'!$B$5:$B$1004,L$24)&gt;0,"✓",""))</f>
        <v/>
      </c>
      <c r="M381" s="57">
        <f>IF(OR($A381="",M$24=""),"",IF(COUNTIFS('AFA Rates'!$A$5:$A$1004,$A381,'AFA Rates'!$B$5:$B$1004,M$24)&gt;0,"✓",""))</f>
        <v/>
      </c>
    </row>
    <row r="382">
      <c r="A382" s="63">
        <f>IFERROR(INDEX(Firms!$A$5:$A$1004,MATCH(358,Firms!$S$5:$S$1004,0)),"")</f>
        <v/>
      </c>
      <c r="B382" s="57">
        <f>IF($A382="","",INDEX(Firms!$B$5:$B$1004,MATCH(358,Firms!$S$5:$S$1004,0)))</f>
        <v/>
      </c>
      <c r="C382" s="57">
        <f>IF($A382="","",COUNTIF('AFA Rates'!$A$5:$A$1004,$A382))</f>
        <v/>
      </c>
      <c r="D382" s="57">
        <f>IF(OR($A382="",D$24=""),"",IF(COUNTIFS('AFA Rates'!$A$5:$A$1004,$A382,'AFA Rates'!$B$5:$B$1004,D$24)&gt;0,"✓",""))</f>
        <v/>
      </c>
      <c r="E382" s="57">
        <f>IF(OR($A382="",E$24=""),"",IF(COUNTIFS('AFA Rates'!$A$5:$A$1004,$A382,'AFA Rates'!$B$5:$B$1004,E$24)&gt;0,"✓",""))</f>
        <v/>
      </c>
      <c r="F382" s="57">
        <f>IF(OR($A382="",F$24=""),"",IF(COUNTIFS('AFA Rates'!$A$5:$A$1004,$A382,'AFA Rates'!$B$5:$B$1004,F$24)&gt;0,"✓",""))</f>
        <v/>
      </c>
      <c r="G382" s="57">
        <f>IF(OR($A382="",G$24=""),"",IF(COUNTIFS('AFA Rates'!$A$5:$A$1004,$A382,'AFA Rates'!$B$5:$B$1004,G$24)&gt;0,"✓",""))</f>
        <v/>
      </c>
      <c r="H382" s="57">
        <f>IF(OR($A382="",H$24=""),"",IF(COUNTIFS('AFA Rates'!$A$5:$A$1004,$A382,'AFA Rates'!$B$5:$B$1004,H$24)&gt;0,"✓",""))</f>
        <v/>
      </c>
      <c r="I382" s="57">
        <f>IF(OR($A382="",I$24=""),"",IF(COUNTIFS('AFA Rates'!$A$5:$A$1004,$A382,'AFA Rates'!$B$5:$B$1004,I$24)&gt;0,"✓",""))</f>
        <v/>
      </c>
      <c r="J382" s="57">
        <f>IF(OR($A382="",J$24=""),"",IF(COUNTIFS('AFA Rates'!$A$5:$A$1004,$A382,'AFA Rates'!$B$5:$B$1004,J$24)&gt;0,"✓",""))</f>
        <v/>
      </c>
      <c r="K382" s="57">
        <f>IF(OR($A382="",K$24=""),"",IF(COUNTIFS('AFA Rates'!$A$5:$A$1004,$A382,'AFA Rates'!$B$5:$B$1004,K$24)&gt;0,"✓",""))</f>
        <v/>
      </c>
      <c r="L382" s="57">
        <f>IF(OR($A382="",L$24=""),"",IF(COUNTIFS('AFA Rates'!$A$5:$A$1004,$A382,'AFA Rates'!$B$5:$B$1004,L$24)&gt;0,"✓",""))</f>
        <v/>
      </c>
      <c r="M382" s="57">
        <f>IF(OR($A382="",M$24=""),"",IF(COUNTIFS('AFA Rates'!$A$5:$A$1004,$A382,'AFA Rates'!$B$5:$B$1004,M$24)&gt;0,"✓",""))</f>
        <v/>
      </c>
    </row>
    <row r="383">
      <c r="A383" s="63">
        <f>IFERROR(INDEX(Firms!$A$5:$A$1004,MATCH(359,Firms!$S$5:$S$1004,0)),"")</f>
        <v/>
      </c>
      <c r="B383" s="57">
        <f>IF($A383="","",INDEX(Firms!$B$5:$B$1004,MATCH(359,Firms!$S$5:$S$1004,0)))</f>
        <v/>
      </c>
      <c r="C383" s="57">
        <f>IF($A383="","",COUNTIF('AFA Rates'!$A$5:$A$1004,$A383))</f>
        <v/>
      </c>
      <c r="D383" s="57">
        <f>IF(OR($A383="",D$24=""),"",IF(COUNTIFS('AFA Rates'!$A$5:$A$1004,$A383,'AFA Rates'!$B$5:$B$1004,D$24)&gt;0,"✓",""))</f>
        <v/>
      </c>
      <c r="E383" s="57">
        <f>IF(OR($A383="",E$24=""),"",IF(COUNTIFS('AFA Rates'!$A$5:$A$1004,$A383,'AFA Rates'!$B$5:$B$1004,E$24)&gt;0,"✓",""))</f>
        <v/>
      </c>
      <c r="F383" s="57">
        <f>IF(OR($A383="",F$24=""),"",IF(COUNTIFS('AFA Rates'!$A$5:$A$1004,$A383,'AFA Rates'!$B$5:$B$1004,F$24)&gt;0,"✓",""))</f>
        <v/>
      </c>
      <c r="G383" s="57">
        <f>IF(OR($A383="",G$24=""),"",IF(COUNTIFS('AFA Rates'!$A$5:$A$1004,$A383,'AFA Rates'!$B$5:$B$1004,G$24)&gt;0,"✓",""))</f>
        <v/>
      </c>
      <c r="H383" s="57">
        <f>IF(OR($A383="",H$24=""),"",IF(COUNTIFS('AFA Rates'!$A$5:$A$1004,$A383,'AFA Rates'!$B$5:$B$1004,H$24)&gt;0,"✓",""))</f>
        <v/>
      </c>
      <c r="I383" s="57">
        <f>IF(OR($A383="",I$24=""),"",IF(COUNTIFS('AFA Rates'!$A$5:$A$1004,$A383,'AFA Rates'!$B$5:$B$1004,I$24)&gt;0,"✓",""))</f>
        <v/>
      </c>
      <c r="J383" s="57">
        <f>IF(OR($A383="",J$24=""),"",IF(COUNTIFS('AFA Rates'!$A$5:$A$1004,$A383,'AFA Rates'!$B$5:$B$1004,J$24)&gt;0,"✓",""))</f>
        <v/>
      </c>
      <c r="K383" s="57">
        <f>IF(OR($A383="",K$24=""),"",IF(COUNTIFS('AFA Rates'!$A$5:$A$1004,$A383,'AFA Rates'!$B$5:$B$1004,K$24)&gt;0,"✓",""))</f>
        <v/>
      </c>
      <c r="L383" s="57">
        <f>IF(OR($A383="",L$24=""),"",IF(COUNTIFS('AFA Rates'!$A$5:$A$1004,$A383,'AFA Rates'!$B$5:$B$1004,L$24)&gt;0,"✓",""))</f>
        <v/>
      </c>
      <c r="M383" s="57">
        <f>IF(OR($A383="",M$24=""),"",IF(COUNTIFS('AFA Rates'!$A$5:$A$1004,$A383,'AFA Rates'!$B$5:$B$1004,M$24)&gt;0,"✓",""))</f>
        <v/>
      </c>
    </row>
    <row r="384">
      <c r="A384" s="63">
        <f>IFERROR(INDEX(Firms!$A$5:$A$1004,MATCH(360,Firms!$S$5:$S$1004,0)),"")</f>
        <v/>
      </c>
      <c r="B384" s="57">
        <f>IF($A384="","",INDEX(Firms!$B$5:$B$1004,MATCH(360,Firms!$S$5:$S$1004,0)))</f>
        <v/>
      </c>
      <c r="C384" s="57">
        <f>IF($A384="","",COUNTIF('AFA Rates'!$A$5:$A$1004,$A384))</f>
        <v/>
      </c>
      <c r="D384" s="57">
        <f>IF(OR($A384="",D$24=""),"",IF(COUNTIFS('AFA Rates'!$A$5:$A$1004,$A384,'AFA Rates'!$B$5:$B$1004,D$24)&gt;0,"✓",""))</f>
        <v/>
      </c>
      <c r="E384" s="57">
        <f>IF(OR($A384="",E$24=""),"",IF(COUNTIFS('AFA Rates'!$A$5:$A$1004,$A384,'AFA Rates'!$B$5:$B$1004,E$24)&gt;0,"✓",""))</f>
        <v/>
      </c>
      <c r="F384" s="57">
        <f>IF(OR($A384="",F$24=""),"",IF(COUNTIFS('AFA Rates'!$A$5:$A$1004,$A384,'AFA Rates'!$B$5:$B$1004,F$24)&gt;0,"✓",""))</f>
        <v/>
      </c>
      <c r="G384" s="57">
        <f>IF(OR($A384="",G$24=""),"",IF(COUNTIFS('AFA Rates'!$A$5:$A$1004,$A384,'AFA Rates'!$B$5:$B$1004,G$24)&gt;0,"✓",""))</f>
        <v/>
      </c>
      <c r="H384" s="57">
        <f>IF(OR($A384="",H$24=""),"",IF(COUNTIFS('AFA Rates'!$A$5:$A$1004,$A384,'AFA Rates'!$B$5:$B$1004,H$24)&gt;0,"✓",""))</f>
        <v/>
      </c>
      <c r="I384" s="57">
        <f>IF(OR($A384="",I$24=""),"",IF(COUNTIFS('AFA Rates'!$A$5:$A$1004,$A384,'AFA Rates'!$B$5:$B$1004,I$24)&gt;0,"✓",""))</f>
        <v/>
      </c>
      <c r="J384" s="57">
        <f>IF(OR($A384="",J$24=""),"",IF(COUNTIFS('AFA Rates'!$A$5:$A$1004,$A384,'AFA Rates'!$B$5:$B$1004,J$24)&gt;0,"✓",""))</f>
        <v/>
      </c>
      <c r="K384" s="57">
        <f>IF(OR($A384="",K$24=""),"",IF(COUNTIFS('AFA Rates'!$A$5:$A$1004,$A384,'AFA Rates'!$B$5:$B$1004,K$24)&gt;0,"✓",""))</f>
        <v/>
      </c>
      <c r="L384" s="57">
        <f>IF(OR($A384="",L$24=""),"",IF(COUNTIFS('AFA Rates'!$A$5:$A$1004,$A384,'AFA Rates'!$B$5:$B$1004,L$24)&gt;0,"✓",""))</f>
        <v/>
      </c>
      <c r="M384" s="57">
        <f>IF(OR($A384="",M$24=""),"",IF(COUNTIFS('AFA Rates'!$A$5:$A$1004,$A384,'AFA Rates'!$B$5:$B$1004,M$24)&gt;0,"✓",""))</f>
        <v/>
      </c>
    </row>
    <row r="385">
      <c r="A385" s="63">
        <f>IFERROR(INDEX(Firms!$A$5:$A$1004,MATCH(361,Firms!$S$5:$S$1004,0)),"")</f>
        <v/>
      </c>
      <c r="B385" s="57">
        <f>IF($A385="","",INDEX(Firms!$B$5:$B$1004,MATCH(361,Firms!$S$5:$S$1004,0)))</f>
        <v/>
      </c>
      <c r="C385" s="57">
        <f>IF($A385="","",COUNTIF('AFA Rates'!$A$5:$A$1004,$A385))</f>
        <v/>
      </c>
      <c r="D385" s="57">
        <f>IF(OR($A385="",D$24=""),"",IF(COUNTIFS('AFA Rates'!$A$5:$A$1004,$A385,'AFA Rates'!$B$5:$B$1004,D$24)&gt;0,"✓",""))</f>
        <v/>
      </c>
      <c r="E385" s="57">
        <f>IF(OR($A385="",E$24=""),"",IF(COUNTIFS('AFA Rates'!$A$5:$A$1004,$A385,'AFA Rates'!$B$5:$B$1004,E$24)&gt;0,"✓",""))</f>
        <v/>
      </c>
      <c r="F385" s="57">
        <f>IF(OR($A385="",F$24=""),"",IF(COUNTIFS('AFA Rates'!$A$5:$A$1004,$A385,'AFA Rates'!$B$5:$B$1004,F$24)&gt;0,"✓",""))</f>
        <v/>
      </c>
      <c r="G385" s="57">
        <f>IF(OR($A385="",G$24=""),"",IF(COUNTIFS('AFA Rates'!$A$5:$A$1004,$A385,'AFA Rates'!$B$5:$B$1004,G$24)&gt;0,"✓",""))</f>
        <v/>
      </c>
      <c r="H385" s="57">
        <f>IF(OR($A385="",H$24=""),"",IF(COUNTIFS('AFA Rates'!$A$5:$A$1004,$A385,'AFA Rates'!$B$5:$B$1004,H$24)&gt;0,"✓",""))</f>
        <v/>
      </c>
      <c r="I385" s="57">
        <f>IF(OR($A385="",I$24=""),"",IF(COUNTIFS('AFA Rates'!$A$5:$A$1004,$A385,'AFA Rates'!$B$5:$B$1004,I$24)&gt;0,"✓",""))</f>
        <v/>
      </c>
      <c r="J385" s="57">
        <f>IF(OR($A385="",J$24=""),"",IF(COUNTIFS('AFA Rates'!$A$5:$A$1004,$A385,'AFA Rates'!$B$5:$B$1004,J$24)&gt;0,"✓",""))</f>
        <v/>
      </c>
      <c r="K385" s="57">
        <f>IF(OR($A385="",K$24=""),"",IF(COUNTIFS('AFA Rates'!$A$5:$A$1004,$A385,'AFA Rates'!$B$5:$B$1004,K$24)&gt;0,"✓",""))</f>
        <v/>
      </c>
      <c r="L385" s="57">
        <f>IF(OR($A385="",L$24=""),"",IF(COUNTIFS('AFA Rates'!$A$5:$A$1004,$A385,'AFA Rates'!$B$5:$B$1004,L$24)&gt;0,"✓",""))</f>
        <v/>
      </c>
      <c r="M385" s="57">
        <f>IF(OR($A385="",M$24=""),"",IF(COUNTIFS('AFA Rates'!$A$5:$A$1004,$A385,'AFA Rates'!$B$5:$B$1004,M$24)&gt;0,"✓",""))</f>
        <v/>
      </c>
    </row>
    <row r="386">
      <c r="A386" s="63">
        <f>IFERROR(INDEX(Firms!$A$5:$A$1004,MATCH(362,Firms!$S$5:$S$1004,0)),"")</f>
        <v/>
      </c>
      <c r="B386" s="57">
        <f>IF($A386="","",INDEX(Firms!$B$5:$B$1004,MATCH(362,Firms!$S$5:$S$1004,0)))</f>
        <v/>
      </c>
      <c r="C386" s="57">
        <f>IF($A386="","",COUNTIF('AFA Rates'!$A$5:$A$1004,$A386))</f>
        <v/>
      </c>
      <c r="D386" s="57">
        <f>IF(OR($A386="",D$24=""),"",IF(COUNTIFS('AFA Rates'!$A$5:$A$1004,$A386,'AFA Rates'!$B$5:$B$1004,D$24)&gt;0,"✓",""))</f>
        <v/>
      </c>
      <c r="E386" s="57">
        <f>IF(OR($A386="",E$24=""),"",IF(COUNTIFS('AFA Rates'!$A$5:$A$1004,$A386,'AFA Rates'!$B$5:$B$1004,E$24)&gt;0,"✓",""))</f>
        <v/>
      </c>
      <c r="F386" s="57">
        <f>IF(OR($A386="",F$24=""),"",IF(COUNTIFS('AFA Rates'!$A$5:$A$1004,$A386,'AFA Rates'!$B$5:$B$1004,F$24)&gt;0,"✓",""))</f>
        <v/>
      </c>
      <c r="G386" s="57">
        <f>IF(OR($A386="",G$24=""),"",IF(COUNTIFS('AFA Rates'!$A$5:$A$1004,$A386,'AFA Rates'!$B$5:$B$1004,G$24)&gt;0,"✓",""))</f>
        <v/>
      </c>
      <c r="H386" s="57">
        <f>IF(OR($A386="",H$24=""),"",IF(COUNTIFS('AFA Rates'!$A$5:$A$1004,$A386,'AFA Rates'!$B$5:$B$1004,H$24)&gt;0,"✓",""))</f>
        <v/>
      </c>
      <c r="I386" s="57">
        <f>IF(OR($A386="",I$24=""),"",IF(COUNTIFS('AFA Rates'!$A$5:$A$1004,$A386,'AFA Rates'!$B$5:$B$1004,I$24)&gt;0,"✓",""))</f>
        <v/>
      </c>
      <c r="J386" s="57">
        <f>IF(OR($A386="",J$24=""),"",IF(COUNTIFS('AFA Rates'!$A$5:$A$1004,$A386,'AFA Rates'!$B$5:$B$1004,J$24)&gt;0,"✓",""))</f>
        <v/>
      </c>
      <c r="K386" s="57">
        <f>IF(OR($A386="",K$24=""),"",IF(COUNTIFS('AFA Rates'!$A$5:$A$1004,$A386,'AFA Rates'!$B$5:$B$1004,K$24)&gt;0,"✓",""))</f>
        <v/>
      </c>
      <c r="L386" s="57">
        <f>IF(OR($A386="",L$24=""),"",IF(COUNTIFS('AFA Rates'!$A$5:$A$1004,$A386,'AFA Rates'!$B$5:$B$1004,L$24)&gt;0,"✓",""))</f>
        <v/>
      </c>
      <c r="M386" s="57">
        <f>IF(OR($A386="",M$24=""),"",IF(COUNTIFS('AFA Rates'!$A$5:$A$1004,$A386,'AFA Rates'!$B$5:$B$1004,M$24)&gt;0,"✓",""))</f>
        <v/>
      </c>
    </row>
    <row r="387">
      <c r="A387" s="63">
        <f>IFERROR(INDEX(Firms!$A$5:$A$1004,MATCH(363,Firms!$S$5:$S$1004,0)),"")</f>
        <v/>
      </c>
      <c r="B387" s="57">
        <f>IF($A387="","",INDEX(Firms!$B$5:$B$1004,MATCH(363,Firms!$S$5:$S$1004,0)))</f>
        <v/>
      </c>
      <c r="C387" s="57">
        <f>IF($A387="","",COUNTIF('AFA Rates'!$A$5:$A$1004,$A387))</f>
        <v/>
      </c>
      <c r="D387" s="57">
        <f>IF(OR($A387="",D$24=""),"",IF(COUNTIFS('AFA Rates'!$A$5:$A$1004,$A387,'AFA Rates'!$B$5:$B$1004,D$24)&gt;0,"✓",""))</f>
        <v/>
      </c>
      <c r="E387" s="57">
        <f>IF(OR($A387="",E$24=""),"",IF(COUNTIFS('AFA Rates'!$A$5:$A$1004,$A387,'AFA Rates'!$B$5:$B$1004,E$24)&gt;0,"✓",""))</f>
        <v/>
      </c>
      <c r="F387" s="57">
        <f>IF(OR($A387="",F$24=""),"",IF(COUNTIFS('AFA Rates'!$A$5:$A$1004,$A387,'AFA Rates'!$B$5:$B$1004,F$24)&gt;0,"✓",""))</f>
        <v/>
      </c>
      <c r="G387" s="57">
        <f>IF(OR($A387="",G$24=""),"",IF(COUNTIFS('AFA Rates'!$A$5:$A$1004,$A387,'AFA Rates'!$B$5:$B$1004,G$24)&gt;0,"✓",""))</f>
        <v/>
      </c>
      <c r="H387" s="57">
        <f>IF(OR($A387="",H$24=""),"",IF(COUNTIFS('AFA Rates'!$A$5:$A$1004,$A387,'AFA Rates'!$B$5:$B$1004,H$24)&gt;0,"✓",""))</f>
        <v/>
      </c>
      <c r="I387" s="57">
        <f>IF(OR($A387="",I$24=""),"",IF(COUNTIFS('AFA Rates'!$A$5:$A$1004,$A387,'AFA Rates'!$B$5:$B$1004,I$24)&gt;0,"✓",""))</f>
        <v/>
      </c>
      <c r="J387" s="57">
        <f>IF(OR($A387="",J$24=""),"",IF(COUNTIFS('AFA Rates'!$A$5:$A$1004,$A387,'AFA Rates'!$B$5:$B$1004,J$24)&gt;0,"✓",""))</f>
        <v/>
      </c>
      <c r="K387" s="57">
        <f>IF(OR($A387="",K$24=""),"",IF(COUNTIFS('AFA Rates'!$A$5:$A$1004,$A387,'AFA Rates'!$B$5:$B$1004,K$24)&gt;0,"✓",""))</f>
        <v/>
      </c>
      <c r="L387" s="57">
        <f>IF(OR($A387="",L$24=""),"",IF(COUNTIFS('AFA Rates'!$A$5:$A$1004,$A387,'AFA Rates'!$B$5:$B$1004,L$24)&gt;0,"✓",""))</f>
        <v/>
      </c>
      <c r="M387" s="57">
        <f>IF(OR($A387="",M$24=""),"",IF(COUNTIFS('AFA Rates'!$A$5:$A$1004,$A387,'AFA Rates'!$B$5:$B$1004,M$24)&gt;0,"✓",""))</f>
        <v/>
      </c>
    </row>
    <row r="388">
      <c r="A388" s="63">
        <f>IFERROR(INDEX(Firms!$A$5:$A$1004,MATCH(364,Firms!$S$5:$S$1004,0)),"")</f>
        <v/>
      </c>
      <c r="B388" s="57">
        <f>IF($A388="","",INDEX(Firms!$B$5:$B$1004,MATCH(364,Firms!$S$5:$S$1004,0)))</f>
        <v/>
      </c>
      <c r="C388" s="57">
        <f>IF($A388="","",COUNTIF('AFA Rates'!$A$5:$A$1004,$A388))</f>
        <v/>
      </c>
      <c r="D388" s="57">
        <f>IF(OR($A388="",D$24=""),"",IF(COUNTIFS('AFA Rates'!$A$5:$A$1004,$A388,'AFA Rates'!$B$5:$B$1004,D$24)&gt;0,"✓",""))</f>
        <v/>
      </c>
      <c r="E388" s="57">
        <f>IF(OR($A388="",E$24=""),"",IF(COUNTIFS('AFA Rates'!$A$5:$A$1004,$A388,'AFA Rates'!$B$5:$B$1004,E$24)&gt;0,"✓",""))</f>
        <v/>
      </c>
      <c r="F388" s="57">
        <f>IF(OR($A388="",F$24=""),"",IF(COUNTIFS('AFA Rates'!$A$5:$A$1004,$A388,'AFA Rates'!$B$5:$B$1004,F$24)&gt;0,"✓",""))</f>
        <v/>
      </c>
      <c r="G388" s="57">
        <f>IF(OR($A388="",G$24=""),"",IF(COUNTIFS('AFA Rates'!$A$5:$A$1004,$A388,'AFA Rates'!$B$5:$B$1004,G$24)&gt;0,"✓",""))</f>
        <v/>
      </c>
      <c r="H388" s="57">
        <f>IF(OR($A388="",H$24=""),"",IF(COUNTIFS('AFA Rates'!$A$5:$A$1004,$A388,'AFA Rates'!$B$5:$B$1004,H$24)&gt;0,"✓",""))</f>
        <v/>
      </c>
      <c r="I388" s="57">
        <f>IF(OR($A388="",I$24=""),"",IF(COUNTIFS('AFA Rates'!$A$5:$A$1004,$A388,'AFA Rates'!$B$5:$B$1004,I$24)&gt;0,"✓",""))</f>
        <v/>
      </c>
      <c r="J388" s="57">
        <f>IF(OR($A388="",J$24=""),"",IF(COUNTIFS('AFA Rates'!$A$5:$A$1004,$A388,'AFA Rates'!$B$5:$B$1004,J$24)&gt;0,"✓",""))</f>
        <v/>
      </c>
      <c r="K388" s="57">
        <f>IF(OR($A388="",K$24=""),"",IF(COUNTIFS('AFA Rates'!$A$5:$A$1004,$A388,'AFA Rates'!$B$5:$B$1004,K$24)&gt;0,"✓",""))</f>
        <v/>
      </c>
      <c r="L388" s="57">
        <f>IF(OR($A388="",L$24=""),"",IF(COUNTIFS('AFA Rates'!$A$5:$A$1004,$A388,'AFA Rates'!$B$5:$B$1004,L$24)&gt;0,"✓",""))</f>
        <v/>
      </c>
      <c r="M388" s="57">
        <f>IF(OR($A388="",M$24=""),"",IF(COUNTIFS('AFA Rates'!$A$5:$A$1004,$A388,'AFA Rates'!$B$5:$B$1004,M$24)&gt;0,"✓",""))</f>
        <v/>
      </c>
    </row>
    <row r="389">
      <c r="A389" s="63">
        <f>IFERROR(INDEX(Firms!$A$5:$A$1004,MATCH(365,Firms!$S$5:$S$1004,0)),"")</f>
        <v/>
      </c>
      <c r="B389" s="57">
        <f>IF($A389="","",INDEX(Firms!$B$5:$B$1004,MATCH(365,Firms!$S$5:$S$1004,0)))</f>
        <v/>
      </c>
      <c r="C389" s="57">
        <f>IF($A389="","",COUNTIF('AFA Rates'!$A$5:$A$1004,$A389))</f>
        <v/>
      </c>
      <c r="D389" s="57">
        <f>IF(OR($A389="",D$24=""),"",IF(COUNTIFS('AFA Rates'!$A$5:$A$1004,$A389,'AFA Rates'!$B$5:$B$1004,D$24)&gt;0,"✓",""))</f>
        <v/>
      </c>
      <c r="E389" s="57">
        <f>IF(OR($A389="",E$24=""),"",IF(COUNTIFS('AFA Rates'!$A$5:$A$1004,$A389,'AFA Rates'!$B$5:$B$1004,E$24)&gt;0,"✓",""))</f>
        <v/>
      </c>
      <c r="F389" s="57">
        <f>IF(OR($A389="",F$24=""),"",IF(COUNTIFS('AFA Rates'!$A$5:$A$1004,$A389,'AFA Rates'!$B$5:$B$1004,F$24)&gt;0,"✓",""))</f>
        <v/>
      </c>
      <c r="G389" s="57">
        <f>IF(OR($A389="",G$24=""),"",IF(COUNTIFS('AFA Rates'!$A$5:$A$1004,$A389,'AFA Rates'!$B$5:$B$1004,G$24)&gt;0,"✓",""))</f>
        <v/>
      </c>
      <c r="H389" s="57">
        <f>IF(OR($A389="",H$24=""),"",IF(COUNTIFS('AFA Rates'!$A$5:$A$1004,$A389,'AFA Rates'!$B$5:$B$1004,H$24)&gt;0,"✓",""))</f>
        <v/>
      </c>
      <c r="I389" s="57">
        <f>IF(OR($A389="",I$24=""),"",IF(COUNTIFS('AFA Rates'!$A$5:$A$1004,$A389,'AFA Rates'!$B$5:$B$1004,I$24)&gt;0,"✓",""))</f>
        <v/>
      </c>
      <c r="J389" s="57">
        <f>IF(OR($A389="",J$24=""),"",IF(COUNTIFS('AFA Rates'!$A$5:$A$1004,$A389,'AFA Rates'!$B$5:$B$1004,J$24)&gt;0,"✓",""))</f>
        <v/>
      </c>
      <c r="K389" s="57">
        <f>IF(OR($A389="",K$24=""),"",IF(COUNTIFS('AFA Rates'!$A$5:$A$1004,$A389,'AFA Rates'!$B$5:$B$1004,K$24)&gt;0,"✓",""))</f>
        <v/>
      </c>
      <c r="L389" s="57">
        <f>IF(OR($A389="",L$24=""),"",IF(COUNTIFS('AFA Rates'!$A$5:$A$1004,$A389,'AFA Rates'!$B$5:$B$1004,L$24)&gt;0,"✓",""))</f>
        <v/>
      </c>
      <c r="M389" s="57">
        <f>IF(OR($A389="",M$24=""),"",IF(COUNTIFS('AFA Rates'!$A$5:$A$1004,$A389,'AFA Rates'!$B$5:$B$1004,M$24)&gt;0,"✓",""))</f>
        <v/>
      </c>
    </row>
    <row r="390">
      <c r="A390" s="63">
        <f>IFERROR(INDEX(Firms!$A$5:$A$1004,MATCH(366,Firms!$S$5:$S$1004,0)),"")</f>
        <v/>
      </c>
      <c r="B390" s="57">
        <f>IF($A390="","",INDEX(Firms!$B$5:$B$1004,MATCH(366,Firms!$S$5:$S$1004,0)))</f>
        <v/>
      </c>
      <c r="C390" s="57">
        <f>IF($A390="","",COUNTIF('AFA Rates'!$A$5:$A$1004,$A390))</f>
        <v/>
      </c>
      <c r="D390" s="57">
        <f>IF(OR($A390="",D$24=""),"",IF(COUNTIFS('AFA Rates'!$A$5:$A$1004,$A390,'AFA Rates'!$B$5:$B$1004,D$24)&gt;0,"✓",""))</f>
        <v/>
      </c>
      <c r="E390" s="57">
        <f>IF(OR($A390="",E$24=""),"",IF(COUNTIFS('AFA Rates'!$A$5:$A$1004,$A390,'AFA Rates'!$B$5:$B$1004,E$24)&gt;0,"✓",""))</f>
        <v/>
      </c>
      <c r="F390" s="57">
        <f>IF(OR($A390="",F$24=""),"",IF(COUNTIFS('AFA Rates'!$A$5:$A$1004,$A390,'AFA Rates'!$B$5:$B$1004,F$24)&gt;0,"✓",""))</f>
        <v/>
      </c>
      <c r="G390" s="57">
        <f>IF(OR($A390="",G$24=""),"",IF(COUNTIFS('AFA Rates'!$A$5:$A$1004,$A390,'AFA Rates'!$B$5:$B$1004,G$24)&gt;0,"✓",""))</f>
        <v/>
      </c>
      <c r="H390" s="57">
        <f>IF(OR($A390="",H$24=""),"",IF(COUNTIFS('AFA Rates'!$A$5:$A$1004,$A390,'AFA Rates'!$B$5:$B$1004,H$24)&gt;0,"✓",""))</f>
        <v/>
      </c>
      <c r="I390" s="57">
        <f>IF(OR($A390="",I$24=""),"",IF(COUNTIFS('AFA Rates'!$A$5:$A$1004,$A390,'AFA Rates'!$B$5:$B$1004,I$24)&gt;0,"✓",""))</f>
        <v/>
      </c>
      <c r="J390" s="57">
        <f>IF(OR($A390="",J$24=""),"",IF(COUNTIFS('AFA Rates'!$A$5:$A$1004,$A390,'AFA Rates'!$B$5:$B$1004,J$24)&gt;0,"✓",""))</f>
        <v/>
      </c>
      <c r="K390" s="57">
        <f>IF(OR($A390="",K$24=""),"",IF(COUNTIFS('AFA Rates'!$A$5:$A$1004,$A390,'AFA Rates'!$B$5:$B$1004,K$24)&gt;0,"✓",""))</f>
        <v/>
      </c>
      <c r="L390" s="57">
        <f>IF(OR($A390="",L$24=""),"",IF(COUNTIFS('AFA Rates'!$A$5:$A$1004,$A390,'AFA Rates'!$B$5:$B$1004,L$24)&gt;0,"✓",""))</f>
        <v/>
      </c>
      <c r="M390" s="57">
        <f>IF(OR($A390="",M$24=""),"",IF(COUNTIFS('AFA Rates'!$A$5:$A$1004,$A390,'AFA Rates'!$B$5:$B$1004,M$24)&gt;0,"✓",""))</f>
        <v/>
      </c>
    </row>
    <row r="391">
      <c r="A391" s="63">
        <f>IFERROR(INDEX(Firms!$A$5:$A$1004,MATCH(367,Firms!$S$5:$S$1004,0)),"")</f>
        <v/>
      </c>
      <c r="B391" s="57">
        <f>IF($A391="","",INDEX(Firms!$B$5:$B$1004,MATCH(367,Firms!$S$5:$S$1004,0)))</f>
        <v/>
      </c>
      <c r="C391" s="57">
        <f>IF($A391="","",COUNTIF('AFA Rates'!$A$5:$A$1004,$A391))</f>
        <v/>
      </c>
      <c r="D391" s="57">
        <f>IF(OR($A391="",D$24=""),"",IF(COUNTIFS('AFA Rates'!$A$5:$A$1004,$A391,'AFA Rates'!$B$5:$B$1004,D$24)&gt;0,"✓",""))</f>
        <v/>
      </c>
      <c r="E391" s="57">
        <f>IF(OR($A391="",E$24=""),"",IF(COUNTIFS('AFA Rates'!$A$5:$A$1004,$A391,'AFA Rates'!$B$5:$B$1004,E$24)&gt;0,"✓",""))</f>
        <v/>
      </c>
      <c r="F391" s="57">
        <f>IF(OR($A391="",F$24=""),"",IF(COUNTIFS('AFA Rates'!$A$5:$A$1004,$A391,'AFA Rates'!$B$5:$B$1004,F$24)&gt;0,"✓",""))</f>
        <v/>
      </c>
      <c r="G391" s="57">
        <f>IF(OR($A391="",G$24=""),"",IF(COUNTIFS('AFA Rates'!$A$5:$A$1004,$A391,'AFA Rates'!$B$5:$B$1004,G$24)&gt;0,"✓",""))</f>
        <v/>
      </c>
      <c r="H391" s="57">
        <f>IF(OR($A391="",H$24=""),"",IF(COUNTIFS('AFA Rates'!$A$5:$A$1004,$A391,'AFA Rates'!$B$5:$B$1004,H$24)&gt;0,"✓",""))</f>
        <v/>
      </c>
      <c r="I391" s="57">
        <f>IF(OR($A391="",I$24=""),"",IF(COUNTIFS('AFA Rates'!$A$5:$A$1004,$A391,'AFA Rates'!$B$5:$B$1004,I$24)&gt;0,"✓",""))</f>
        <v/>
      </c>
      <c r="J391" s="57">
        <f>IF(OR($A391="",J$24=""),"",IF(COUNTIFS('AFA Rates'!$A$5:$A$1004,$A391,'AFA Rates'!$B$5:$B$1004,J$24)&gt;0,"✓",""))</f>
        <v/>
      </c>
      <c r="K391" s="57">
        <f>IF(OR($A391="",K$24=""),"",IF(COUNTIFS('AFA Rates'!$A$5:$A$1004,$A391,'AFA Rates'!$B$5:$B$1004,K$24)&gt;0,"✓",""))</f>
        <v/>
      </c>
      <c r="L391" s="57">
        <f>IF(OR($A391="",L$24=""),"",IF(COUNTIFS('AFA Rates'!$A$5:$A$1004,$A391,'AFA Rates'!$B$5:$B$1004,L$24)&gt;0,"✓",""))</f>
        <v/>
      </c>
      <c r="M391" s="57">
        <f>IF(OR($A391="",M$24=""),"",IF(COUNTIFS('AFA Rates'!$A$5:$A$1004,$A391,'AFA Rates'!$B$5:$B$1004,M$24)&gt;0,"✓",""))</f>
        <v/>
      </c>
    </row>
    <row r="392">
      <c r="A392" s="63">
        <f>IFERROR(INDEX(Firms!$A$5:$A$1004,MATCH(368,Firms!$S$5:$S$1004,0)),"")</f>
        <v/>
      </c>
      <c r="B392" s="57">
        <f>IF($A392="","",INDEX(Firms!$B$5:$B$1004,MATCH(368,Firms!$S$5:$S$1004,0)))</f>
        <v/>
      </c>
      <c r="C392" s="57">
        <f>IF($A392="","",COUNTIF('AFA Rates'!$A$5:$A$1004,$A392))</f>
        <v/>
      </c>
      <c r="D392" s="57">
        <f>IF(OR($A392="",D$24=""),"",IF(COUNTIFS('AFA Rates'!$A$5:$A$1004,$A392,'AFA Rates'!$B$5:$B$1004,D$24)&gt;0,"✓",""))</f>
        <v/>
      </c>
      <c r="E392" s="57">
        <f>IF(OR($A392="",E$24=""),"",IF(COUNTIFS('AFA Rates'!$A$5:$A$1004,$A392,'AFA Rates'!$B$5:$B$1004,E$24)&gt;0,"✓",""))</f>
        <v/>
      </c>
      <c r="F392" s="57">
        <f>IF(OR($A392="",F$24=""),"",IF(COUNTIFS('AFA Rates'!$A$5:$A$1004,$A392,'AFA Rates'!$B$5:$B$1004,F$24)&gt;0,"✓",""))</f>
        <v/>
      </c>
      <c r="G392" s="57">
        <f>IF(OR($A392="",G$24=""),"",IF(COUNTIFS('AFA Rates'!$A$5:$A$1004,$A392,'AFA Rates'!$B$5:$B$1004,G$24)&gt;0,"✓",""))</f>
        <v/>
      </c>
      <c r="H392" s="57">
        <f>IF(OR($A392="",H$24=""),"",IF(COUNTIFS('AFA Rates'!$A$5:$A$1004,$A392,'AFA Rates'!$B$5:$B$1004,H$24)&gt;0,"✓",""))</f>
        <v/>
      </c>
      <c r="I392" s="57">
        <f>IF(OR($A392="",I$24=""),"",IF(COUNTIFS('AFA Rates'!$A$5:$A$1004,$A392,'AFA Rates'!$B$5:$B$1004,I$24)&gt;0,"✓",""))</f>
        <v/>
      </c>
      <c r="J392" s="57">
        <f>IF(OR($A392="",J$24=""),"",IF(COUNTIFS('AFA Rates'!$A$5:$A$1004,$A392,'AFA Rates'!$B$5:$B$1004,J$24)&gt;0,"✓",""))</f>
        <v/>
      </c>
      <c r="K392" s="57">
        <f>IF(OR($A392="",K$24=""),"",IF(COUNTIFS('AFA Rates'!$A$5:$A$1004,$A392,'AFA Rates'!$B$5:$B$1004,K$24)&gt;0,"✓",""))</f>
        <v/>
      </c>
      <c r="L392" s="57">
        <f>IF(OR($A392="",L$24=""),"",IF(COUNTIFS('AFA Rates'!$A$5:$A$1004,$A392,'AFA Rates'!$B$5:$B$1004,L$24)&gt;0,"✓",""))</f>
        <v/>
      </c>
      <c r="M392" s="57">
        <f>IF(OR($A392="",M$24=""),"",IF(COUNTIFS('AFA Rates'!$A$5:$A$1004,$A392,'AFA Rates'!$B$5:$B$1004,M$24)&gt;0,"✓",""))</f>
        <v/>
      </c>
    </row>
    <row r="393">
      <c r="A393" s="63">
        <f>IFERROR(INDEX(Firms!$A$5:$A$1004,MATCH(369,Firms!$S$5:$S$1004,0)),"")</f>
        <v/>
      </c>
      <c r="B393" s="57">
        <f>IF($A393="","",INDEX(Firms!$B$5:$B$1004,MATCH(369,Firms!$S$5:$S$1004,0)))</f>
        <v/>
      </c>
      <c r="C393" s="57">
        <f>IF($A393="","",COUNTIF('AFA Rates'!$A$5:$A$1004,$A393))</f>
        <v/>
      </c>
      <c r="D393" s="57">
        <f>IF(OR($A393="",D$24=""),"",IF(COUNTIFS('AFA Rates'!$A$5:$A$1004,$A393,'AFA Rates'!$B$5:$B$1004,D$24)&gt;0,"✓",""))</f>
        <v/>
      </c>
      <c r="E393" s="57">
        <f>IF(OR($A393="",E$24=""),"",IF(COUNTIFS('AFA Rates'!$A$5:$A$1004,$A393,'AFA Rates'!$B$5:$B$1004,E$24)&gt;0,"✓",""))</f>
        <v/>
      </c>
      <c r="F393" s="57">
        <f>IF(OR($A393="",F$24=""),"",IF(COUNTIFS('AFA Rates'!$A$5:$A$1004,$A393,'AFA Rates'!$B$5:$B$1004,F$24)&gt;0,"✓",""))</f>
        <v/>
      </c>
      <c r="G393" s="57">
        <f>IF(OR($A393="",G$24=""),"",IF(COUNTIFS('AFA Rates'!$A$5:$A$1004,$A393,'AFA Rates'!$B$5:$B$1004,G$24)&gt;0,"✓",""))</f>
        <v/>
      </c>
      <c r="H393" s="57">
        <f>IF(OR($A393="",H$24=""),"",IF(COUNTIFS('AFA Rates'!$A$5:$A$1004,$A393,'AFA Rates'!$B$5:$B$1004,H$24)&gt;0,"✓",""))</f>
        <v/>
      </c>
      <c r="I393" s="57">
        <f>IF(OR($A393="",I$24=""),"",IF(COUNTIFS('AFA Rates'!$A$5:$A$1004,$A393,'AFA Rates'!$B$5:$B$1004,I$24)&gt;0,"✓",""))</f>
        <v/>
      </c>
      <c r="J393" s="57">
        <f>IF(OR($A393="",J$24=""),"",IF(COUNTIFS('AFA Rates'!$A$5:$A$1004,$A393,'AFA Rates'!$B$5:$B$1004,J$24)&gt;0,"✓",""))</f>
        <v/>
      </c>
      <c r="K393" s="57">
        <f>IF(OR($A393="",K$24=""),"",IF(COUNTIFS('AFA Rates'!$A$5:$A$1004,$A393,'AFA Rates'!$B$5:$B$1004,K$24)&gt;0,"✓",""))</f>
        <v/>
      </c>
      <c r="L393" s="57">
        <f>IF(OR($A393="",L$24=""),"",IF(COUNTIFS('AFA Rates'!$A$5:$A$1004,$A393,'AFA Rates'!$B$5:$B$1004,L$24)&gt;0,"✓",""))</f>
        <v/>
      </c>
      <c r="M393" s="57">
        <f>IF(OR($A393="",M$24=""),"",IF(COUNTIFS('AFA Rates'!$A$5:$A$1004,$A393,'AFA Rates'!$B$5:$B$1004,M$24)&gt;0,"✓",""))</f>
        <v/>
      </c>
    </row>
    <row r="394">
      <c r="A394" s="63">
        <f>IFERROR(INDEX(Firms!$A$5:$A$1004,MATCH(370,Firms!$S$5:$S$1004,0)),"")</f>
        <v/>
      </c>
      <c r="B394" s="57">
        <f>IF($A394="","",INDEX(Firms!$B$5:$B$1004,MATCH(370,Firms!$S$5:$S$1004,0)))</f>
        <v/>
      </c>
      <c r="C394" s="57">
        <f>IF($A394="","",COUNTIF('AFA Rates'!$A$5:$A$1004,$A394))</f>
        <v/>
      </c>
      <c r="D394" s="57">
        <f>IF(OR($A394="",D$24=""),"",IF(COUNTIFS('AFA Rates'!$A$5:$A$1004,$A394,'AFA Rates'!$B$5:$B$1004,D$24)&gt;0,"✓",""))</f>
        <v/>
      </c>
      <c r="E394" s="57">
        <f>IF(OR($A394="",E$24=""),"",IF(COUNTIFS('AFA Rates'!$A$5:$A$1004,$A394,'AFA Rates'!$B$5:$B$1004,E$24)&gt;0,"✓",""))</f>
        <v/>
      </c>
      <c r="F394" s="57">
        <f>IF(OR($A394="",F$24=""),"",IF(COUNTIFS('AFA Rates'!$A$5:$A$1004,$A394,'AFA Rates'!$B$5:$B$1004,F$24)&gt;0,"✓",""))</f>
        <v/>
      </c>
      <c r="G394" s="57">
        <f>IF(OR($A394="",G$24=""),"",IF(COUNTIFS('AFA Rates'!$A$5:$A$1004,$A394,'AFA Rates'!$B$5:$B$1004,G$24)&gt;0,"✓",""))</f>
        <v/>
      </c>
      <c r="H394" s="57">
        <f>IF(OR($A394="",H$24=""),"",IF(COUNTIFS('AFA Rates'!$A$5:$A$1004,$A394,'AFA Rates'!$B$5:$B$1004,H$24)&gt;0,"✓",""))</f>
        <v/>
      </c>
      <c r="I394" s="57">
        <f>IF(OR($A394="",I$24=""),"",IF(COUNTIFS('AFA Rates'!$A$5:$A$1004,$A394,'AFA Rates'!$B$5:$B$1004,I$24)&gt;0,"✓",""))</f>
        <v/>
      </c>
      <c r="J394" s="57">
        <f>IF(OR($A394="",J$24=""),"",IF(COUNTIFS('AFA Rates'!$A$5:$A$1004,$A394,'AFA Rates'!$B$5:$B$1004,J$24)&gt;0,"✓",""))</f>
        <v/>
      </c>
      <c r="K394" s="57">
        <f>IF(OR($A394="",K$24=""),"",IF(COUNTIFS('AFA Rates'!$A$5:$A$1004,$A394,'AFA Rates'!$B$5:$B$1004,K$24)&gt;0,"✓",""))</f>
        <v/>
      </c>
      <c r="L394" s="57">
        <f>IF(OR($A394="",L$24=""),"",IF(COUNTIFS('AFA Rates'!$A$5:$A$1004,$A394,'AFA Rates'!$B$5:$B$1004,L$24)&gt;0,"✓",""))</f>
        <v/>
      </c>
      <c r="M394" s="57">
        <f>IF(OR($A394="",M$24=""),"",IF(COUNTIFS('AFA Rates'!$A$5:$A$1004,$A394,'AFA Rates'!$B$5:$B$1004,M$24)&gt;0,"✓",""))</f>
        <v/>
      </c>
    </row>
    <row r="395">
      <c r="A395" s="63">
        <f>IFERROR(INDEX(Firms!$A$5:$A$1004,MATCH(371,Firms!$S$5:$S$1004,0)),"")</f>
        <v/>
      </c>
      <c r="B395" s="57">
        <f>IF($A395="","",INDEX(Firms!$B$5:$B$1004,MATCH(371,Firms!$S$5:$S$1004,0)))</f>
        <v/>
      </c>
      <c r="C395" s="57">
        <f>IF($A395="","",COUNTIF('AFA Rates'!$A$5:$A$1004,$A395))</f>
        <v/>
      </c>
      <c r="D395" s="57">
        <f>IF(OR($A395="",D$24=""),"",IF(COUNTIFS('AFA Rates'!$A$5:$A$1004,$A395,'AFA Rates'!$B$5:$B$1004,D$24)&gt;0,"✓",""))</f>
        <v/>
      </c>
      <c r="E395" s="57">
        <f>IF(OR($A395="",E$24=""),"",IF(COUNTIFS('AFA Rates'!$A$5:$A$1004,$A395,'AFA Rates'!$B$5:$B$1004,E$24)&gt;0,"✓",""))</f>
        <v/>
      </c>
      <c r="F395" s="57">
        <f>IF(OR($A395="",F$24=""),"",IF(COUNTIFS('AFA Rates'!$A$5:$A$1004,$A395,'AFA Rates'!$B$5:$B$1004,F$24)&gt;0,"✓",""))</f>
        <v/>
      </c>
      <c r="G395" s="57">
        <f>IF(OR($A395="",G$24=""),"",IF(COUNTIFS('AFA Rates'!$A$5:$A$1004,$A395,'AFA Rates'!$B$5:$B$1004,G$24)&gt;0,"✓",""))</f>
        <v/>
      </c>
      <c r="H395" s="57">
        <f>IF(OR($A395="",H$24=""),"",IF(COUNTIFS('AFA Rates'!$A$5:$A$1004,$A395,'AFA Rates'!$B$5:$B$1004,H$24)&gt;0,"✓",""))</f>
        <v/>
      </c>
      <c r="I395" s="57">
        <f>IF(OR($A395="",I$24=""),"",IF(COUNTIFS('AFA Rates'!$A$5:$A$1004,$A395,'AFA Rates'!$B$5:$B$1004,I$24)&gt;0,"✓",""))</f>
        <v/>
      </c>
      <c r="J395" s="57">
        <f>IF(OR($A395="",J$24=""),"",IF(COUNTIFS('AFA Rates'!$A$5:$A$1004,$A395,'AFA Rates'!$B$5:$B$1004,J$24)&gt;0,"✓",""))</f>
        <v/>
      </c>
      <c r="K395" s="57">
        <f>IF(OR($A395="",K$24=""),"",IF(COUNTIFS('AFA Rates'!$A$5:$A$1004,$A395,'AFA Rates'!$B$5:$B$1004,K$24)&gt;0,"✓",""))</f>
        <v/>
      </c>
      <c r="L395" s="57">
        <f>IF(OR($A395="",L$24=""),"",IF(COUNTIFS('AFA Rates'!$A$5:$A$1004,$A395,'AFA Rates'!$B$5:$B$1004,L$24)&gt;0,"✓",""))</f>
        <v/>
      </c>
      <c r="M395" s="57">
        <f>IF(OR($A395="",M$24=""),"",IF(COUNTIFS('AFA Rates'!$A$5:$A$1004,$A395,'AFA Rates'!$B$5:$B$1004,M$24)&gt;0,"✓",""))</f>
        <v/>
      </c>
    </row>
    <row r="396">
      <c r="A396" s="63">
        <f>IFERROR(INDEX(Firms!$A$5:$A$1004,MATCH(372,Firms!$S$5:$S$1004,0)),"")</f>
        <v/>
      </c>
      <c r="B396" s="57">
        <f>IF($A396="","",INDEX(Firms!$B$5:$B$1004,MATCH(372,Firms!$S$5:$S$1004,0)))</f>
        <v/>
      </c>
      <c r="C396" s="57">
        <f>IF($A396="","",COUNTIF('AFA Rates'!$A$5:$A$1004,$A396))</f>
        <v/>
      </c>
      <c r="D396" s="57">
        <f>IF(OR($A396="",D$24=""),"",IF(COUNTIFS('AFA Rates'!$A$5:$A$1004,$A396,'AFA Rates'!$B$5:$B$1004,D$24)&gt;0,"✓",""))</f>
        <v/>
      </c>
      <c r="E396" s="57">
        <f>IF(OR($A396="",E$24=""),"",IF(COUNTIFS('AFA Rates'!$A$5:$A$1004,$A396,'AFA Rates'!$B$5:$B$1004,E$24)&gt;0,"✓",""))</f>
        <v/>
      </c>
      <c r="F396" s="57">
        <f>IF(OR($A396="",F$24=""),"",IF(COUNTIFS('AFA Rates'!$A$5:$A$1004,$A396,'AFA Rates'!$B$5:$B$1004,F$24)&gt;0,"✓",""))</f>
        <v/>
      </c>
      <c r="G396" s="57">
        <f>IF(OR($A396="",G$24=""),"",IF(COUNTIFS('AFA Rates'!$A$5:$A$1004,$A396,'AFA Rates'!$B$5:$B$1004,G$24)&gt;0,"✓",""))</f>
        <v/>
      </c>
      <c r="H396" s="57">
        <f>IF(OR($A396="",H$24=""),"",IF(COUNTIFS('AFA Rates'!$A$5:$A$1004,$A396,'AFA Rates'!$B$5:$B$1004,H$24)&gt;0,"✓",""))</f>
        <v/>
      </c>
      <c r="I396" s="57">
        <f>IF(OR($A396="",I$24=""),"",IF(COUNTIFS('AFA Rates'!$A$5:$A$1004,$A396,'AFA Rates'!$B$5:$B$1004,I$24)&gt;0,"✓",""))</f>
        <v/>
      </c>
      <c r="J396" s="57">
        <f>IF(OR($A396="",J$24=""),"",IF(COUNTIFS('AFA Rates'!$A$5:$A$1004,$A396,'AFA Rates'!$B$5:$B$1004,J$24)&gt;0,"✓",""))</f>
        <v/>
      </c>
      <c r="K396" s="57">
        <f>IF(OR($A396="",K$24=""),"",IF(COUNTIFS('AFA Rates'!$A$5:$A$1004,$A396,'AFA Rates'!$B$5:$B$1004,K$24)&gt;0,"✓",""))</f>
        <v/>
      </c>
      <c r="L396" s="57">
        <f>IF(OR($A396="",L$24=""),"",IF(COUNTIFS('AFA Rates'!$A$5:$A$1004,$A396,'AFA Rates'!$B$5:$B$1004,L$24)&gt;0,"✓",""))</f>
        <v/>
      </c>
      <c r="M396" s="57">
        <f>IF(OR($A396="",M$24=""),"",IF(COUNTIFS('AFA Rates'!$A$5:$A$1004,$A396,'AFA Rates'!$B$5:$B$1004,M$24)&gt;0,"✓",""))</f>
        <v/>
      </c>
    </row>
    <row r="397">
      <c r="A397" s="63">
        <f>IFERROR(INDEX(Firms!$A$5:$A$1004,MATCH(373,Firms!$S$5:$S$1004,0)),"")</f>
        <v/>
      </c>
      <c r="B397" s="57">
        <f>IF($A397="","",INDEX(Firms!$B$5:$B$1004,MATCH(373,Firms!$S$5:$S$1004,0)))</f>
        <v/>
      </c>
      <c r="C397" s="57">
        <f>IF($A397="","",COUNTIF('AFA Rates'!$A$5:$A$1004,$A397))</f>
        <v/>
      </c>
      <c r="D397" s="57">
        <f>IF(OR($A397="",D$24=""),"",IF(COUNTIFS('AFA Rates'!$A$5:$A$1004,$A397,'AFA Rates'!$B$5:$B$1004,D$24)&gt;0,"✓",""))</f>
        <v/>
      </c>
      <c r="E397" s="57">
        <f>IF(OR($A397="",E$24=""),"",IF(COUNTIFS('AFA Rates'!$A$5:$A$1004,$A397,'AFA Rates'!$B$5:$B$1004,E$24)&gt;0,"✓",""))</f>
        <v/>
      </c>
      <c r="F397" s="57">
        <f>IF(OR($A397="",F$24=""),"",IF(COUNTIFS('AFA Rates'!$A$5:$A$1004,$A397,'AFA Rates'!$B$5:$B$1004,F$24)&gt;0,"✓",""))</f>
        <v/>
      </c>
      <c r="G397" s="57">
        <f>IF(OR($A397="",G$24=""),"",IF(COUNTIFS('AFA Rates'!$A$5:$A$1004,$A397,'AFA Rates'!$B$5:$B$1004,G$24)&gt;0,"✓",""))</f>
        <v/>
      </c>
      <c r="H397" s="57">
        <f>IF(OR($A397="",H$24=""),"",IF(COUNTIFS('AFA Rates'!$A$5:$A$1004,$A397,'AFA Rates'!$B$5:$B$1004,H$24)&gt;0,"✓",""))</f>
        <v/>
      </c>
      <c r="I397" s="57">
        <f>IF(OR($A397="",I$24=""),"",IF(COUNTIFS('AFA Rates'!$A$5:$A$1004,$A397,'AFA Rates'!$B$5:$B$1004,I$24)&gt;0,"✓",""))</f>
        <v/>
      </c>
      <c r="J397" s="57">
        <f>IF(OR($A397="",J$24=""),"",IF(COUNTIFS('AFA Rates'!$A$5:$A$1004,$A397,'AFA Rates'!$B$5:$B$1004,J$24)&gt;0,"✓",""))</f>
        <v/>
      </c>
      <c r="K397" s="57">
        <f>IF(OR($A397="",K$24=""),"",IF(COUNTIFS('AFA Rates'!$A$5:$A$1004,$A397,'AFA Rates'!$B$5:$B$1004,K$24)&gt;0,"✓",""))</f>
        <v/>
      </c>
      <c r="L397" s="57">
        <f>IF(OR($A397="",L$24=""),"",IF(COUNTIFS('AFA Rates'!$A$5:$A$1004,$A397,'AFA Rates'!$B$5:$B$1004,L$24)&gt;0,"✓",""))</f>
        <v/>
      </c>
      <c r="M397" s="57">
        <f>IF(OR($A397="",M$24=""),"",IF(COUNTIFS('AFA Rates'!$A$5:$A$1004,$A397,'AFA Rates'!$B$5:$B$1004,M$24)&gt;0,"✓",""))</f>
        <v/>
      </c>
    </row>
    <row r="398">
      <c r="A398" s="63">
        <f>IFERROR(INDEX(Firms!$A$5:$A$1004,MATCH(374,Firms!$S$5:$S$1004,0)),"")</f>
        <v/>
      </c>
      <c r="B398" s="57">
        <f>IF($A398="","",INDEX(Firms!$B$5:$B$1004,MATCH(374,Firms!$S$5:$S$1004,0)))</f>
        <v/>
      </c>
      <c r="C398" s="57">
        <f>IF($A398="","",COUNTIF('AFA Rates'!$A$5:$A$1004,$A398))</f>
        <v/>
      </c>
      <c r="D398" s="57">
        <f>IF(OR($A398="",D$24=""),"",IF(COUNTIFS('AFA Rates'!$A$5:$A$1004,$A398,'AFA Rates'!$B$5:$B$1004,D$24)&gt;0,"✓",""))</f>
        <v/>
      </c>
      <c r="E398" s="57">
        <f>IF(OR($A398="",E$24=""),"",IF(COUNTIFS('AFA Rates'!$A$5:$A$1004,$A398,'AFA Rates'!$B$5:$B$1004,E$24)&gt;0,"✓",""))</f>
        <v/>
      </c>
      <c r="F398" s="57">
        <f>IF(OR($A398="",F$24=""),"",IF(COUNTIFS('AFA Rates'!$A$5:$A$1004,$A398,'AFA Rates'!$B$5:$B$1004,F$24)&gt;0,"✓",""))</f>
        <v/>
      </c>
      <c r="G398" s="57">
        <f>IF(OR($A398="",G$24=""),"",IF(COUNTIFS('AFA Rates'!$A$5:$A$1004,$A398,'AFA Rates'!$B$5:$B$1004,G$24)&gt;0,"✓",""))</f>
        <v/>
      </c>
      <c r="H398" s="57">
        <f>IF(OR($A398="",H$24=""),"",IF(COUNTIFS('AFA Rates'!$A$5:$A$1004,$A398,'AFA Rates'!$B$5:$B$1004,H$24)&gt;0,"✓",""))</f>
        <v/>
      </c>
      <c r="I398" s="57">
        <f>IF(OR($A398="",I$24=""),"",IF(COUNTIFS('AFA Rates'!$A$5:$A$1004,$A398,'AFA Rates'!$B$5:$B$1004,I$24)&gt;0,"✓",""))</f>
        <v/>
      </c>
      <c r="J398" s="57">
        <f>IF(OR($A398="",J$24=""),"",IF(COUNTIFS('AFA Rates'!$A$5:$A$1004,$A398,'AFA Rates'!$B$5:$B$1004,J$24)&gt;0,"✓",""))</f>
        <v/>
      </c>
      <c r="K398" s="57">
        <f>IF(OR($A398="",K$24=""),"",IF(COUNTIFS('AFA Rates'!$A$5:$A$1004,$A398,'AFA Rates'!$B$5:$B$1004,K$24)&gt;0,"✓",""))</f>
        <v/>
      </c>
      <c r="L398" s="57">
        <f>IF(OR($A398="",L$24=""),"",IF(COUNTIFS('AFA Rates'!$A$5:$A$1004,$A398,'AFA Rates'!$B$5:$B$1004,L$24)&gt;0,"✓",""))</f>
        <v/>
      </c>
      <c r="M398" s="57">
        <f>IF(OR($A398="",M$24=""),"",IF(COUNTIFS('AFA Rates'!$A$5:$A$1004,$A398,'AFA Rates'!$B$5:$B$1004,M$24)&gt;0,"✓",""))</f>
        <v/>
      </c>
    </row>
    <row r="399">
      <c r="A399" s="63">
        <f>IFERROR(INDEX(Firms!$A$5:$A$1004,MATCH(375,Firms!$S$5:$S$1004,0)),"")</f>
        <v/>
      </c>
      <c r="B399" s="57">
        <f>IF($A399="","",INDEX(Firms!$B$5:$B$1004,MATCH(375,Firms!$S$5:$S$1004,0)))</f>
        <v/>
      </c>
      <c r="C399" s="57">
        <f>IF($A399="","",COUNTIF('AFA Rates'!$A$5:$A$1004,$A399))</f>
        <v/>
      </c>
      <c r="D399" s="57">
        <f>IF(OR($A399="",D$24=""),"",IF(COUNTIFS('AFA Rates'!$A$5:$A$1004,$A399,'AFA Rates'!$B$5:$B$1004,D$24)&gt;0,"✓",""))</f>
        <v/>
      </c>
      <c r="E399" s="57">
        <f>IF(OR($A399="",E$24=""),"",IF(COUNTIFS('AFA Rates'!$A$5:$A$1004,$A399,'AFA Rates'!$B$5:$B$1004,E$24)&gt;0,"✓",""))</f>
        <v/>
      </c>
      <c r="F399" s="57">
        <f>IF(OR($A399="",F$24=""),"",IF(COUNTIFS('AFA Rates'!$A$5:$A$1004,$A399,'AFA Rates'!$B$5:$B$1004,F$24)&gt;0,"✓",""))</f>
        <v/>
      </c>
      <c r="G399" s="57">
        <f>IF(OR($A399="",G$24=""),"",IF(COUNTIFS('AFA Rates'!$A$5:$A$1004,$A399,'AFA Rates'!$B$5:$B$1004,G$24)&gt;0,"✓",""))</f>
        <v/>
      </c>
      <c r="H399" s="57">
        <f>IF(OR($A399="",H$24=""),"",IF(COUNTIFS('AFA Rates'!$A$5:$A$1004,$A399,'AFA Rates'!$B$5:$B$1004,H$24)&gt;0,"✓",""))</f>
        <v/>
      </c>
      <c r="I399" s="57">
        <f>IF(OR($A399="",I$24=""),"",IF(COUNTIFS('AFA Rates'!$A$5:$A$1004,$A399,'AFA Rates'!$B$5:$B$1004,I$24)&gt;0,"✓",""))</f>
        <v/>
      </c>
      <c r="J399" s="57">
        <f>IF(OR($A399="",J$24=""),"",IF(COUNTIFS('AFA Rates'!$A$5:$A$1004,$A399,'AFA Rates'!$B$5:$B$1004,J$24)&gt;0,"✓",""))</f>
        <v/>
      </c>
      <c r="K399" s="57">
        <f>IF(OR($A399="",K$24=""),"",IF(COUNTIFS('AFA Rates'!$A$5:$A$1004,$A399,'AFA Rates'!$B$5:$B$1004,K$24)&gt;0,"✓",""))</f>
        <v/>
      </c>
      <c r="L399" s="57">
        <f>IF(OR($A399="",L$24=""),"",IF(COUNTIFS('AFA Rates'!$A$5:$A$1004,$A399,'AFA Rates'!$B$5:$B$1004,L$24)&gt;0,"✓",""))</f>
        <v/>
      </c>
      <c r="M399" s="57">
        <f>IF(OR($A399="",M$24=""),"",IF(COUNTIFS('AFA Rates'!$A$5:$A$1004,$A399,'AFA Rates'!$B$5:$B$1004,M$24)&gt;0,"✓",""))</f>
        <v/>
      </c>
    </row>
    <row r="400">
      <c r="A400" s="63">
        <f>IFERROR(INDEX(Firms!$A$5:$A$1004,MATCH(376,Firms!$S$5:$S$1004,0)),"")</f>
        <v/>
      </c>
      <c r="B400" s="57">
        <f>IF($A400="","",INDEX(Firms!$B$5:$B$1004,MATCH(376,Firms!$S$5:$S$1004,0)))</f>
        <v/>
      </c>
      <c r="C400" s="57">
        <f>IF($A400="","",COUNTIF('AFA Rates'!$A$5:$A$1004,$A400))</f>
        <v/>
      </c>
      <c r="D400" s="57">
        <f>IF(OR($A400="",D$24=""),"",IF(COUNTIFS('AFA Rates'!$A$5:$A$1004,$A400,'AFA Rates'!$B$5:$B$1004,D$24)&gt;0,"✓",""))</f>
        <v/>
      </c>
      <c r="E400" s="57">
        <f>IF(OR($A400="",E$24=""),"",IF(COUNTIFS('AFA Rates'!$A$5:$A$1004,$A400,'AFA Rates'!$B$5:$B$1004,E$24)&gt;0,"✓",""))</f>
        <v/>
      </c>
      <c r="F400" s="57">
        <f>IF(OR($A400="",F$24=""),"",IF(COUNTIFS('AFA Rates'!$A$5:$A$1004,$A400,'AFA Rates'!$B$5:$B$1004,F$24)&gt;0,"✓",""))</f>
        <v/>
      </c>
      <c r="G400" s="57">
        <f>IF(OR($A400="",G$24=""),"",IF(COUNTIFS('AFA Rates'!$A$5:$A$1004,$A400,'AFA Rates'!$B$5:$B$1004,G$24)&gt;0,"✓",""))</f>
        <v/>
      </c>
      <c r="H400" s="57">
        <f>IF(OR($A400="",H$24=""),"",IF(COUNTIFS('AFA Rates'!$A$5:$A$1004,$A400,'AFA Rates'!$B$5:$B$1004,H$24)&gt;0,"✓",""))</f>
        <v/>
      </c>
      <c r="I400" s="57">
        <f>IF(OR($A400="",I$24=""),"",IF(COUNTIFS('AFA Rates'!$A$5:$A$1004,$A400,'AFA Rates'!$B$5:$B$1004,I$24)&gt;0,"✓",""))</f>
        <v/>
      </c>
      <c r="J400" s="57">
        <f>IF(OR($A400="",J$24=""),"",IF(COUNTIFS('AFA Rates'!$A$5:$A$1004,$A400,'AFA Rates'!$B$5:$B$1004,J$24)&gt;0,"✓",""))</f>
        <v/>
      </c>
      <c r="K400" s="57">
        <f>IF(OR($A400="",K$24=""),"",IF(COUNTIFS('AFA Rates'!$A$5:$A$1004,$A400,'AFA Rates'!$B$5:$B$1004,K$24)&gt;0,"✓",""))</f>
        <v/>
      </c>
      <c r="L400" s="57">
        <f>IF(OR($A400="",L$24=""),"",IF(COUNTIFS('AFA Rates'!$A$5:$A$1004,$A400,'AFA Rates'!$B$5:$B$1004,L$24)&gt;0,"✓",""))</f>
        <v/>
      </c>
      <c r="M400" s="57">
        <f>IF(OR($A400="",M$24=""),"",IF(COUNTIFS('AFA Rates'!$A$5:$A$1004,$A400,'AFA Rates'!$B$5:$B$1004,M$24)&gt;0,"✓",""))</f>
        <v/>
      </c>
    </row>
    <row r="401">
      <c r="A401" s="63">
        <f>IFERROR(INDEX(Firms!$A$5:$A$1004,MATCH(377,Firms!$S$5:$S$1004,0)),"")</f>
        <v/>
      </c>
      <c r="B401" s="57">
        <f>IF($A401="","",INDEX(Firms!$B$5:$B$1004,MATCH(377,Firms!$S$5:$S$1004,0)))</f>
        <v/>
      </c>
      <c r="C401" s="57">
        <f>IF($A401="","",COUNTIF('AFA Rates'!$A$5:$A$1004,$A401))</f>
        <v/>
      </c>
      <c r="D401" s="57">
        <f>IF(OR($A401="",D$24=""),"",IF(COUNTIFS('AFA Rates'!$A$5:$A$1004,$A401,'AFA Rates'!$B$5:$B$1004,D$24)&gt;0,"✓",""))</f>
        <v/>
      </c>
      <c r="E401" s="57">
        <f>IF(OR($A401="",E$24=""),"",IF(COUNTIFS('AFA Rates'!$A$5:$A$1004,$A401,'AFA Rates'!$B$5:$B$1004,E$24)&gt;0,"✓",""))</f>
        <v/>
      </c>
      <c r="F401" s="57">
        <f>IF(OR($A401="",F$24=""),"",IF(COUNTIFS('AFA Rates'!$A$5:$A$1004,$A401,'AFA Rates'!$B$5:$B$1004,F$24)&gt;0,"✓",""))</f>
        <v/>
      </c>
      <c r="G401" s="57">
        <f>IF(OR($A401="",G$24=""),"",IF(COUNTIFS('AFA Rates'!$A$5:$A$1004,$A401,'AFA Rates'!$B$5:$B$1004,G$24)&gt;0,"✓",""))</f>
        <v/>
      </c>
      <c r="H401" s="57">
        <f>IF(OR($A401="",H$24=""),"",IF(COUNTIFS('AFA Rates'!$A$5:$A$1004,$A401,'AFA Rates'!$B$5:$B$1004,H$24)&gt;0,"✓",""))</f>
        <v/>
      </c>
      <c r="I401" s="57">
        <f>IF(OR($A401="",I$24=""),"",IF(COUNTIFS('AFA Rates'!$A$5:$A$1004,$A401,'AFA Rates'!$B$5:$B$1004,I$24)&gt;0,"✓",""))</f>
        <v/>
      </c>
      <c r="J401" s="57">
        <f>IF(OR($A401="",J$24=""),"",IF(COUNTIFS('AFA Rates'!$A$5:$A$1004,$A401,'AFA Rates'!$B$5:$B$1004,J$24)&gt;0,"✓",""))</f>
        <v/>
      </c>
      <c r="K401" s="57">
        <f>IF(OR($A401="",K$24=""),"",IF(COUNTIFS('AFA Rates'!$A$5:$A$1004,$A401,'AFA Rates'!$B$5:$B$1004,K$24)&gt;0,"✓",""))</f>
        <v/>
      </c>
      <c r="L401" s="57">
        <f>IF(OR($A401="",L$24=""),"",IF(COUNTIFS('AFA Rates'!$A$5:$A$1004,$A401,'AFA Rates'!$B$5:$B$1004,L$24)&gt;0,"✓",""))</f>
        <v/>
      </c>
      <c r="M401" s="57">
        <f>IF(OR($A401="",M$24=""),"",IF(COUNTIFS('AFA Rates'!$A$5:$A$1004,$A401,'AFA Rates'!$B$5:$B$1004,M$24)&gt;0,"✓",""))</f>
        <v/>
      </c>
    </row>
    <row r="402">
      <c r="A402" s="63">
        <f>IFERROR(INDEX(Firms!$A$5:$A$1004,MATCH(378,Firms!$S$5:$S$1004,0)),"")</f>
        <v/>
      </c>
      <c r="B402" s="57">
        <f>IF($A402="","",INDEX(Firms!$B$5:$B$1004,MATCH(378,Firms!$S$5:$S$1004,0)))</f>
        <v/>
      </c>
      <c r="C402" s="57">
        <f>IF($A402="","",COUNTIF('AFA Rates'!$A$5:$A$1004,$A402))</f>
        <v/>
      </c>
      <c r="D402" s="57">
        <f>IF(OR($A402="",D$24=""),"",IF(COUNTIFS('AFA Rates'!$A$5:$A$1004,$A402,'AFA Rates'!$B$5:$B$1004,D$24)&gt;0,"✓",""))</f>
        <v/>
      </c>
      <c r="E402" s="57">
        <f>IF(OR($A402="",E$24=""),"",IF(COUNTIFS('AFA Rates'!$A$5:$A$1004,$A402,'AFA Rates'!$B$5:$B$1004,E$24)&gt;0,"✓",""))</f>
        <v/>
      </c>
      <c r="F402" s="57">
        <f>IF(OR($A402="",F$24=""),"",IF(COUNTIFS('AFA Rates'!$A$5:$A$1004,$A402,'AFA Rates'!$B$5:$B$1004,F$24)&gt;0,"✓",""))</f>
        <v/>
      </c>
      <c r="G402" s="57">
        <f>IF(OR($A402="",G$24=""),"",IF(COUNTIFS('AFA Rates'!$A$5:$A$1004,$A402,'AFA Rates'!$B$5:$B$1004,G$24)&gt;0,"✓",""))</f>
        <v/>
      </c>
      <c r="H402" s="57">
        <f>IF(OR($A402="",H$24=""),"",IF(COUNTIFS('AFA Rates'!$A$5:$A$1004,$A402,'AFA Rates'!$B$5:$B$1004,H$24)&gt;0,"✓",""))</f>
        <v/>
      </c>
      <c r="I402" s="57">
        <f>IF(OR($A402="",I$24=""),"",IF(COUNTIFS('AFA Rates'!$A$5:$A$1004,$A402,'AFA Rates'!$B$5:$B$1004,I$24)&gt;0,"✓",""))</f>
        <v/>
      </c>
      <c r="J402" s="57">
        <f>IF(OR($A402="",J$24=""),"",IF(COUNTIFS('AFA Rates'!$A$5:$A$1004,$A402,'AFA Rates'!$B$5:$B$1004,J$24)&gt;0,"✓",""))</f>
        <v/>
      </c>
      <c r="K402" s="57">
        <f>IF(OR($A402="",K$24=""),"",IF(COUNTIFS('AFA Rates'!$A$5:$A$1004,$A402,'AFA Rates'!$B$5:$B$1004,K$24)&gt;0,"✓",""))</f>
        <v/>
      </c>
      <c r="L402" s="57">
        <f>IF(OR($A402="",L$24=""),"",IF(COUNTIFS('AFA Rates'!$A$5:$A$1004,$A402,'AFA Rates'!$B$5:$B$1004,L$24)&gt;0,"✓",""))</f>
        <v/>
      </c>
      <c r="M402" s="57">
        <f>IF(OR($A402="",M$24=""),"",IF(COUNTIFS('AFA Rates'!$A$5:$A$1004,$A402,'AFA Rates'!$B$5:$B$1004,M$24)&gt;0,"✓",""))</f>
        <v/>
      </c>
    </row>
    <row r="403">
      <c r="A403" s="63">
        <f>IFERROR(INDEX(Firms!$A$5:$A$1004,MATCH(379,Firms!$S$5:$S$1004,0)),"")</f>
        <v/>
      </c>
      <c r="B403" s="57">
        <f>IF($A403="","",INDEX(Firms!$B$5:$B$1004,MATCH(379,Firms!$S$5:$S$1004,0)))</f>
        <v/>
      </c>
      <c r="C403" s="57">
        <f>IF($A403="","",COUNTIF('AFA Rates'!$A$5:$A$1004,$A403))</f>
        <v/>
      </c>
      <c r="D403" s="57">
        <f>IF(OR($A403="",D$24=""),"",IF(COUNTIFS('AFA Rates'!$A$5:$A$1004,$A403,'AFA Rates'!$B$5:$B$1004,D$24)&gt;0,"✓",""))</f>
        <v/>
      </c>
      <c r="E403" s="57">
        <f>IF(OR($A403="",E$24=""),"",IF(COUNTIFS('AFA Rates'!$A$5:$A$1004,$A403,'AFA Rates'!$B$5:$B$1004,E$24)&gt;0,"✓",""))</f>
        <v/>
      </c>
      <c r="F403" s="57">
        <f>IF(OR($A403="",F$24=""),"",IF(COUNTIFS('AFA Rates'!$A$5:$A$1004,$A403,'AFA Rates'!$B$5:$B$1004,F$24)&gt;0,"✓",""))</f>
        <v/>
      </c>
      <c r="G403" s="57">
        <f>IF(OR($A403="",G$24=""),"",IF(COUNTIFS('AFA Rates'!$A$5:$A$1004,$A403,'AFA Rates'!$B$5:$B$1004,G$24)&gt;0,"✓",""))</f>
        <v/>
      </c>
      <c r="H403" s="57">
        <f>IF(OR($A403="",H$24=""),"",IF(COUNTIFS('AFA Rates'!$A$5:$A$1004,$A403,'AFA Rates'!$B$5:$B$1004,H$24)&gt;0,"✓",""))</f>
        <v/>
      </c>
      <c r="I403" s="57">
        <f>IF(OR($A403="",I$24=""),"",IF(COUNTIFS('AFA Rates'!$A$5:$A$1004,$A403,'AFA Rates'!$B$5:$B$1004,I$24)&gt;0,"✓",""))</f>
        <v/>
      </c>
      <c r="J403" s="57">
        <f>IF(OR($A403="",J$24=""),"",IF(COUNTIFS('AFA Rates'!$A$5:$A$1004,$A403,'AFA Rates'!$B$5:$B$1004,J$24)&gt;0,"✓",""))</f>
        <v/>
      </c>
      <c r="K403" s="57">
        <f>IF(OR($A403="",K$24=""),"",IF(COUNTIFS('AFA Rates'!$A$5:$A$1004,$A403,'AFA Rates'!$B$5:$B$1004,K$24)&gt;0,"✓",""))</f>
        <v/>
      </c>
      <c r="L403" s="57">
        <f>IF(OR($A403="",L$24=""),"",IF(COUNTIFS('AFA Rates'!$A$5:$A$1004,$A403,'AFA Rates'!$B$5:$B$1004,L$24)&gt;0,"✓",""))</f>
        <v/>
      </c>
      <c r="M403" s="57">
        <f>IF(OR($A403="",M$24=""),"",IF(COUNTIFS('AFA Rates'!$A$5:$A$1004,$A403,'AFA Rates'!$B$5:$B$1004,M$24)&gt;0,"✓",""))</f>
        <v/>
      </c>
    </row>
    <row r="404">
      <c r="A404" s="63">
        <f>IFERROR(INDEX(Firms!$A$5:$A$1004,MATCH(380,Firms!$S$5:$S$1004,0)),"")</f>
        <v/>
      </c>
      <c r="B404" s="57">
        <f>IF($A404="","",INDEX(Firms!$B$5:$B$1004,MATCH(380,Firms!$S$5:$S$1004,0)))</f>
        <v/>
      </c>
      <c r="C404" s="57">
        <f>IF($A404="","",COUNTIF('AFA Rates'!$A$5:$A$1004,$A404))</f>
        <v/>
      </c>
      <c r="D404" s="57">
        <f>IF(OR($A404="",D$24=""),"",IF(COUNTIFS('AFA Rates'!$A$5:$A$1004,$A404,'AFA Rates'!$B$5:$B$1004,D$24)&gt;0,"✓",""))</f>
        <v/>
      </c>
      <c r="E404" s="57">
        <f>IF(OR($A404="",E$24=""),"",IF(COUNTIFS('AFA Rates'!$A$5:$A$1004,$A404,'AFA Rates'!$B$5:$B$1004,E$24)&gt;0,"✓",""))</f>
        <v/>
      </c>
      <c r="F404" s="57">
        <f>IF(OR($A404="",F$24=""),"",IF(COUNTIFS('AFA Rates'!$A$5:$A$1004,$A404,'AFA Rates'!$B$5:$B$1004,F$24)&gt;0,"✓",""))</f>
        <v/>
      </c>
      <c r="G404" s="57">
        <f>IF(OR($A404="",G$24=""),"",IF(COUNTIFS('AFA Rates'!$A$5:$A$1004,$A404,'AFA Rates'!$B$5:$B$1004,G$24)&gt;0,"✓",""))</f>
        <v/>
      </c>
      <c r="H404" s="57">
        <f>IF(OR($A404="",H$24=""),"",IF(COUNTIFS('AFA Rates'!$A$5:$A$1004,$A404,'AFA Rates'!$B$5:$B$1004,H$24)&gt;0,"✓",""))</f>
        <v/>
      </c>
      <c r="I404" s="57">
        <f>IF(OR($A404="",I$24=""),"",IF(COUNTIFS('AFA Rates'!$A$5:$A$1004,$A404,'AFA Rates'!$B$5:$B$1004,I$24)&gt;0,"✓",""))</f>
        <v/>
      </c>
      <c r="J404" s="57">
        <f>IF(OR($A404="",J$24=""),"",IF(COUNTIFS('AFA Rates'!$A$5:$A$1004,$A404,'AFA Rates'!$B$5:$B$1004,J$24)&gt;0,"✓",""))</f>
        <v/>
      </c>
      <c r="K404" s="57">
        <f>IF(OR($A404="",K$24=""),"",IF(COUNTIFS('AFA Rates'!$A$5:$A$1004,$A404,'AFA Rates'!$B$5:$B$1004,K$24)&gt;0,"✓",""))</f>
        <v/>
      </c>
      <c r="L404" s="57">
        <f>IF(OR($A404="",L$24=""),"",IF(COUNTIFS('AFA Rates'!$A$5:$A$1004,$A404,'AFA Rates'!$B$5:$B$1004,L$24)&gt;0,"✓",""))</f>
        <v/>
      </c>
      <c r="M404" s="57">
        <f>IF(OR($A404="",M$24=""),"",IF(COUNTIFS('AFA Rates'!$A$5:$A$1004,$A404,'AFA Rates'!$B$5:$B$1004,M$24)&gt;0,"✓",""))</f>
        <v/>
      </c>
    </row>
    <row r="405">
      <c r="A405" s="63">
        <f>IFERROR(INDEX(Firms!$A$5:$A$1004,MATCH(381,Firms!$S$5:$S$1004,0)),"")</f>
        <v/>
      </c>
      <c r="B405" s="57">
        <f>IF($A405="","",INDEX(Firms!$B$5:$B$1004,MATCH(381,Firms!$S$5:$S$1004,0)))</f>
        <v/>
      </c>
      <c r="C405" s="57">
        <f>IF($A405="","",COUNTIF('AFA Rates'!$A$5:$A$1004,$A405))</f>
        <v/>
      </c>
      <c r="D405" s="57">
        <f>IF(OR($A405="",D$24=""),"",IF(COUNTIFS('AFA Rates'!$A$5:$A$1004,$A405,'AFA Rates'!$B$5:$B$1004,D$24)&gt;0,"✓",""))</f>
        <v/>
      </c>
      <c r="E405" s="57">
        <f>IF(OR($A405="",E$24=""),"",IF(COUNTIFS('AFA Rates'!$A$5:$A$1004,$A405,'AFA Rates'!$B$5:$B$1004,E$24)&gt;0,"✓",""))</f>
        <v/>
      </c>
      <c r="F405" s="57">
        <f>IF(OR($A405="",F$24=""),"",IF(COUNTIFS('AFA Rates'!$A$5:$A$1004,$A405,'AFA Rates'!$B$5:$B$1004,F$24)&gt;0,"✓",""))</f>
        <v/>
      </c>
      <c r="G405" s="57">
        <f>IF(OR($A405="",G$24=""),"",IF(COUNTIFS('AFA Rates'!$A$5:$A$1004,$A405,'AFA Rates'!$B$5:$B$1004,G$24)&gt;0,"✓",""))</f>
        <v/>
      </c>
      <c r="H405" s="57">
        <f>IF(OR($A405="",H$24=""),"",IF(COUNTIFS('AFA Rates'!$A$5:$A$1004,$A405,'AFA Rates'!$B$5:$B$1004,H$24)&gt;0,"✓",""))</f>
        <v/>
      </c>
      <c r="I405" s="57">
        <f>IF(OR($A405="",I$24=""),"",IF(COUNTIFS('AFA Rates'!$A$5:$A$1004,$A405,'AFA Rates'!$B$5:$B$1004,I$24)&gt;0,"✓",""))</f>
        <v/>
      </c>
      <c r="J405" s="57">
        <f>IF(OR($A405="",J$24=""),"",IF(COUNTIFS('AFA Rates'!$A$5:$A$1004,$A405,'AFA Rates'!$B$5:$B$1004,J$24)&gt;0,"✓",""))</f>
        <v/>
      </c>
      <c r="K405" s="57">
        <f>IF(OR($A405="",K$24=""),"",IF(COUNTIFS('AFA Rates'!$A$5:$A$1004,$A405,'AFA Rates'!$B$5:$B$1004,K$24)&gt;0,"✓",""))</f>
        <v/>
      </c>
      <c r="L405" s="57">
        <f>IF(OR($A405="",L$24=""),"",IF(COUNTIFS('AFA Rates'!$A$5:$A$1004,$A405,'AFA Rates'!$B$5:$B$1004,L$24)&gt;0,"✓",""))</f>
        <v/>
      </c>
      <c r="M405" s="57">
        <f>IF(OR($A405="",M$24=""),"",IF(COUNTIFS('AFA Rates'!$A$5:$A$1004,$A405,'AFA Rates'!$B$5:$B$1004,M$24)&gt;0,"✓",""))</f>
        <v/>
      </c>
    </row>
    <row r="406">
      <c r="A406" s="63">
        <f>IFERROR(INDEX(Firms!$A$5:$A$1004,MATCH(382,Firms!$S$5:$S$1004,0)),"")</f>
        <v/>
      </c>
      <c r="B406" s="57">
        <f>IF($A406="","",INDEX(Firms!$B$5:$B$1004,MATCH(382,Firms!$S$5:$S$1004,0)))</f>
        <v/>
      </c>
      <c r="C406" s="57">
        <f>IF($A406="","",COUNTIF('AFA Rates'!$A$5:$A$1004,$A406))</f>
        <v/>
      </c>
      <c r="D406" s="57">
        <f>IF(OR($A406="",D$24=""),"",IF(COUNTIFS('AFA Rates'!$A$5:$A$1004,$A406,'AFA Rates'!$B$5:$B$1004,D$24)&gt;0,"✓",""))</f>
        <v/>
      </c>
      <c r="E406" s="57">
        <f>IF(OR($A406="",E$24=""),"",IF(COUNTIFS('AFA Rates'!$A$5:$A$1004,$A406,'AFA Rates'!$B$5:$B$1004,E$24)&gt;0,"✓",""))</f>
        <v/>
      </c>
      <c r="F406" s="57">
        <f>IF(OR($A406="",F$24=""),"",IF(COUNTIFS('AFA Rates'!$A$5:$A$1004,$A406,'AFA Rates'!$B$5:$B$1004,F$24)&gt;0,"✓",""))</f>
        <v/>
      </c>
      <c r="G406" s="57">
        <f>IF(OR($A406="",G$24=""),"",IF(COUNTIFS('AFA Rates'!$A$5:$A$1004,$A406,'AFA Rates'!$B$5:$B$1004,G$24)&gt;0,"✓",""))</f>
        <v/>
      </c>
      <c r="H406" s="57">
        <f>IF(OR($A406="",H$24=""),"",IF(COUNTIFS('AFA Rates'!$A$5:$A$1004,$A406,'AFA Rates'!$B$5:$B$1004,H$24)&gt;0,"✓",""))</f>
        <v/>
      </c>
      <c r="I406" s="57">
        <f>IF(OR($A406="",I$24=""),"",IF(COUNTIFS('AFA Rates'!$A$5:$A$1004,$A406,'AFA Rates'!$B$5:$B$1004,I$24)&gt;0,"✓",""))</f>
        <v/>
      </c>
      <c r="J406" s="57">
        <f>IF(OR($A406="",J$24=""),"",IF(COUNTIFS('AFA Rates'!$A$5:$A$1004,$A406,'AFA Rates'!$B$5:$B$1004,J$24)&gt;0,"✓",""))</f>
        <v/>
      </c>
      <c r="K406" s="57">
        <f>IF(OR($A406="",K$24=""),"",IF(COUNTIFS('AFA Rates'!$A$5:$A$1004,$A406,'AFA Rates'!$B$5:$B$1004,K$24)&gt;0,"✓",""))</f>
        <v/>
      </c>
      <c r="L406" s="57">
        <f>IF(OR($A406="",L$24=""),"",IF(COUNTIFS('AFA Rates'!$A$5:$A$1004,$A406,'AFA Rates'!$B$5:$B$1004,L$24)&gt;0,"✓",""))</f>
        <v/>
      </c>
      <c r="M406" s="57">
        <f>IF(OR($A406="",M$24=""),"",IF(COUNTIFS('AFA Rates'!$A$5:$A$1004,$A406,'AFA Rates'!$B$5:$B$1004,M$24)&gt;0,"✓",""))</f>
        <v/>
      </c>
    </row>
    <row r="407">
      <c r="A407" s="63">
        <f>IFERROR(INDEX(Firms!$A$5:$A$1004,MATCH(383,Firms!$S$5:$S$1004,0)),"")</f>
        <v/>
      </c>
      <c r="B407" s="57">
        <f>IF($A407="","",INDEX(Firms!$B$5:$B$1004,MATCH(383,Firms!$S$5:$S$1004,0)))</f>
        <v/>
      </c>
      <c r="C407" s="57">
        <f>IF($A407="","",COUNTIF('AFA Rates'!$A$5:$A$1004,$A407))</f>
        <v/>
      </c>
      <c r="D407" s="57">
        <f>IF(OR($A407="",D$24=""),"",IF(COUNTIFS('AFA Rates'!$A$5:$A$1004,$A407,'AFA Rates'!$B$5:$B$1004,D$24)&gt;0,"✓",""))</f>
        <v/>
      </c>
      <c r="E407" s="57">
        <f>IF(OR($A407="",E$24=""),"",IF(COUNTIFS('AFA Rates'!$A$5:$A$1004,$A407,'AFA Rates'!$B$5:$B$1004,E$24)&gt;0,"✓",""))</f>
        <v/>
      </c>
      <c r="F407" s="57">
        <f>IF(OR($A407="",F$24=""),"",IF(COUNTIFS('AFA Rates'!$A$5:$A$1004,$A407,'AFA Rates'!$B$5:$B$1004,F$24)&gt;0,"✓",""))</f>
        <v/>
      </c>
      <c r="G407" s="57">
        <f>IF(OR($A407="",G$24=""),"",IF(COUNTIFS('AFA Rates'!$A$5:$A$1004,$A407,'AFA Rates'!$B$5:$B$1004,G$24)&gt;0,"✓",""))</f>
        <v/>
      </c>
      <c r="H407" s="57">
        <f>IF(OR($A407="",H$24=""),"",IF(COUNTIFS('AFA Rates'!$A$5:$A$1004,$A407,'AFA Rates'!$B$5:$B$1004,H$24)&gt;0,"✓",""))</f>
        <v/>
      </c>
      <c r="I407" s="57">
        <f>IF(OR($A407="",I$24=""),"",IF(COUNTIFS('AFA Rates'!$A$5:$A$1004,$A407,'AFA Rates'!$B$5:$B$1004,I$24)&gt;0,"✓",""))</f>
        <v/>
      </c>
      <c r="J407" s="57">
        <f>IF(OR($A407="",J$24=""),"",IF(COUNTIFS('AFA Rates'!$A$5:$A$1004,$A407,'AFA Rates'!$B$5:$B$1004,J$24)&gt;0,"✓",""))</f>
        <v/>
      </c>
      <c r="K407" s="57">
        <f>IF(OR($A407="",K$24=""),"",IF(COUNTIFS('AFA Rates'!$A$5:$A$1004,$A407,'AFA Rates'!$B$5:$B$1004,K$24)&gt;0,"✓",""))</f>
        <v/>
      </c>
      <c r="L407" s="57">
        <f>IF(OR($A407="",L$24=""),"",IF(COUNTIFS('AFA Rates'!$A$5:$A$1004,$A407,'AFA Rates'!$B$5:$B$1004,L$24)&gt;0,"✓",""))</f>
        <v/>
      </c>
      <c r="M407" s="57">
        <f>IF(OR($A407="",M$24=""),"",IF(COUNTIFS('AFA Rates'!$A$5:$A$1004,$A407,'AFA Rates'!$B$5:$B$1004,M$24)&gt;0,"✓",""))</f>
        <v/>
      </c>
    </row>
    <row r="408">
      <c r="A408" s="63">
        <f>IFERROR(INDEX(Firms!$A$5:$A$1004,MATCH(384,Firms!$S$5:$S$1004,0)),"")</f>
        <v/>
      </c>
      <c r="B408" s="57">
        <f>IF($A408="","",INDEX(Firms!$B$5:$B$1004,MATCH(384,Firms!$S$5:$S$1004,0)))</f>
        <v/>
      </c>
      <c r="C408" s="57">
        <f>IF($A408="","",COUNTIF('AFA Rates'!$A$5:$A$1004,$A408))</f>
        <v/>
      </c>
      <c r="D408" s="57">
        <f>IF(OR($A408="",D$24=""),"",IF(COUNTIFS('AFA Rates'!$A$5:$A$1004,$A408,'AFA Rates'!$B$5:$B$1004,D$24)&gt;0,"✓",""))</f>
        <v/>
      </c>
      <c r="E408" s="57">
        <f>IF(OR($A408="",E$24=""),"",IF(COUNTIFS('AFA Rates'!$A$5:$A$1004,$A408,'AFA Rates'!$B$5:$B$1004,E$24)&gt;0,"✓",""))</f>
        <v/>
      </c>
      <c r="F408" s="57">
        <f>IF(OR($A408="",F$24=""),"",IF(COUNTIFS('AFA Rates'!$A$5:$A$1004,$A408,'AFA Rates'!$B$5:$B$1004,F$24)&gt;0,"✓",""))</f>
        <v/>
      </c>
      <c r="G408" s="57">
        <f>IF(OR($A408="",G$24=""),"",IF(COUNTIFS('AFA Rates'!$A$5:$A$1004,$A408,'AFA Rates'!$B$5:$B$1004,G$24)&gt;0,"✓",""))</f>
        <v/>
      </c>
      <c r="H408" s="57">
        <f>IF(OR($A408="",H$24=""),"",IF(COUNTIFS('AFA Rates'!$A$5:$A$1004,$A408,'AFA Rates'!$B$5:$B$1004,H$24)&gt;0,"✓",""))</f>
        <v/>
      </c>
      <c r="I408" s="57">
        <f>IF(OR($A408="",I$24=""),"",IF(COUNTIFS('AFA Rates'!$A$5:$A$1004,$A408,'AFA Rates'!$B$5:$B$1004,I$24)&gt;0,"✓",""))</f>
        <v/>
      </c>
      <c r="J408" s="57">
        <f>IF(OR($A408="",J$24=""),"",IF(COUNTIFS('AFA Rates'!$A$5:$A$1004,$A408,'AFA Rates'!$B$5:$B$1004,J$24)&gt;0,"✓",""))</f>
        <v/>
      </c>
      <c r="K408" s="57">
        <f>IF(OR($A408="",K$24=""),"",IF(COUNTIFS('AFA Rates'!$A$5:$A$1004,$A408,'AFA Rates'!$B$5:$B$1004,K$24)&gt;0,"✓",""))</f>
        <v/>
      </c>
      <c r="L408" s="57">
        <f>IF(OR($A408="",L$24=""),"",IF(COUNTIFS('AFA Rates'!$A$5:$A$1004,$A408,'AFA Rates'!$B$5:$B$1004,L$24)&gt;0,"✓",""))</f>
        <v/>
      </c>
      <c r="M408" s="57">
        <f>IF(OR($A408="",M$24=""),"",IF(COUNTIFS('AFA Rates'!$A$5:$A$1004,$A408,'AFA Rates'!$B$5:$B$1004,M$24)&gt;0,"✓",""))</f>
        <v/>
      </c>
    </row>
    <row r="409">
      <c r="A409" s="63">
        <f>IFERROR(INDEX(Firms!$A$5:$A$1004,MATCH(385,Firms!$S$5:$S$1004,0)),"")</f>
        <v/>
      </c>
      <c r="B409" s="57">
        <f>IF($A409="","",INDEX(Firms!$B$5:$B$1004,MATCH(385,Firms!$S$5:$S$1004,0)))</f>
        <v/>
      </c>
      <c r="C409" s="57">
        <f>IF($A409="","",COUNTIF('AFA Rates'!$A$5:$A$1004,$A409))</f>
        <v/>
      </c>
      <c r="D409" s="57">
        <f>IF(OR($A409="",D$24=""),"",IF(COUNTIFS('AFA Rates'!$A$5:$A$1004,$A409,'AFA Rates'!$B$5:$B$1004,D$24)&gt;0,"✓",""))</f>
        <v/>
      </c>
      <c r="E409" s="57">
        <f>IF(OR($A409="",E$24=""),"",IF(COUNTIFS('AFA Rates'!$A$5:$A$1004,$A409,'AFA Rates'!$B$5:$B$1004,E$24)&gt;0,"✓",""))</f>
        <v/>
      </c>
      <c r="F409" s="57">
        <f>IF(OR($A409="",F$24=""),"",IF(COUNTIFS('AFA Rates'!$A$5:$A$1004,$A409,'AFA Rates'!$B$5:$B$1004,F$24)&gt;0,"✓",""))</f>
        <v/>
      </c>
      <c r="G409" s="57">
        <f>IF(OR($A409="",G$24=""),"",IF(COUNTIFS('AFA Rates'!$A$5:$A$1004,$A409,'AFA Rates'!$B$5:$B$1004,G$24)&gt;0,"✓",""))</f>
        <v/>
      </c>
      <c r="H409" s="57">
        <f>IF(OR($A409="",H$24=""),"",IF(COUNTIFS('AFA Rates'!$A$5:$A$1004,$A409,'AFA Rates'!$B$5:$B$1004,H$24)&gt;0,"✓",""))</f>
        <v/>
      </c>
      <c r="I409" s="57">
        <f>IF(OR($A409="",I$24=""),"",IF(COUNTIFS('AFA Rates'!$A$5:$A$1004,$A409,'AFA Rates'!$B$5:$B$1004,I$24)&gt;0,"✓",""))</f>
        <v/>
      </c>
      <c r="J409" s="57">
        <f>IF(OR($A409="",J$24=""),"",IF(COUNTIFS('AFA Rates'!$A$5:$A$1004,$A409,'AFA Rates'!$B$5:$B$1004,J$24)&gt;0,"✓",""))</f>
        <v/>
      </c>
      <c r="K409" s="57">
        <f>IF(OR($A409="",K$24=""),"",IF(COUNTIFS('AFA Rates'!$A$5:$A$1004,$A409,'AFA Rates'!$B$5:$B$1004,K$24)&gt;0,"✓",""))</f>
        <v/>
      </c>
      <c r="L409" s="57">
        <f>IF(OR($A409="",L$24=""),"",IF(COUNTIFS('AFA Rates'!$A$5:$A$1004,$A409,'AFA Rates'!$B$5:$B$1004,L$24)&gt;0,"✓",""))</f>
        <v/>
      </c>
      <c r="M409" s="57">
        <f>IF(OR($A409="",M$24=""),"",IF(COUNTIFS('AFA Rates'!$A$5:$A$1004,$A409,'AFA Rates'!$B$5:$B$1004,M$24)&gt;0,"✓",""))</f>
        <v/>
      </c>
    </row>
    <row r="410">
      <c r="A410" s="63">
        <f>IFERROR(INDEX(Firms!$A$5:$A$1004,MATCH(386,Firms!$S$5:$S$1004,0)),"")</f>
        <v/>
      </c>
      <c r="B410" s="57">
        <f>IF($A410="","",INDEX(Firms!$B$5:$B$1004,MATCH(386,Firms!$S$5:$S$1004,0)))</f>
        <v/>
      </c>
      <c r="C410" s="57">
        <f>IF($A410="","",COUNTIF('AFA Rates'!$A$5:$A$1004,$A410))</f>
        <v/>
      </c>
      <c r="D410" s="57">
        <f>IF(OR($A410="",D$24=""),"",IF(COUNTIFS('AFA Rates'!$A$5:$A$1004,$A410,'AFA Rates'!$B$5:$B$1004,D$24)&gt;0,"✓",""))</f>
        <v/>
      </c>
      <c r="E410" s="57">
        <f>IF(OR($A410="",E$24=""),"",IF(COUNTIFS('AFA Rates'!$A$5:$A$1004,$A410,'AFA Rates'!$B$5:$B$1004,E$24)&gt;0,"✓",""))</f>
        <v/>
      </c>
      <c r="F410" s="57">
        <f>IF(OR($A410="",F$24=""),"",IF(COUNTIFS('AFA Rates'!$A$5:$A$1004,$A410,'AFA Rates'!$B$5:$B$1004,F$24)&gt;0,"✓",""))</f>
        <v/>
      </c>
      <c r="G410" s="57">
        <f>IF(OR($A410="",G$24=""),"",IF(COUNTIFS('AFA Rates'!$A$5:$A$1004,$A410,'AFA Rates'!$B$5:$B$1004,G$24)&gt;0,"✓",""))</f>
        <v/>
      </c>
      <c r="H410" s="57">
        <f>IF(OR($A410="",H$24=""),"",IF(COUNTIFS('AFA Rates'!$A$5:$A$1004,$A410,'AFA Rates'!$B$5:$B$1004,H$24)&gt;0,"✓",""))</f>
        <v/>
      </c>
      <c r="I410" s="57">
        <f>IF(OR($A410="",I$24=""),"",IF(COUNTIFS('AFA Rates'!$A$5:$A$1004,$A410,'AFA Rates'!$B$5:$B$1004,I$24)&gt;0,"✓",""))</f>
        <v/>
      </c>
      <c r="J410" s="57">
        <f>IF(OR($A410="",J$24=""),"",IF(COUNTIFS('AFA Rates'!$A$5:$A$1004,$A410,'AFA Rates'!$B$5:$B$1004,J$24)&gt;0,"✓",""))</f>
        <v/>
      </c>
      <c r="K410" s="57">
        <f>IF(OR($A410="",K$24=""),"",IF(COUNTIFS('AFA Rates'!$A$5:$A$1004,$A410,'AFA Rates'!$B$5:$B$1004,K$24)&gt;0,"✓",""))</f>
        <v/>
      </c>
      <c r="L410" s="57">
        <f>IF(OR($A410="",L$24=""),"",IF(COUNTIFS('AFA Rates'!$A$5:$A$1004,$A410,'AFA Rates'!$B$5:$B$1004,L$24)&gt;0,"✓",""))</f>
        <v/>
      </c>
      <c r="M410" s="57">
        <f>IF(OR($A410="",M$24=""),"",IF(COUNTIFS('AFA Rates'!$A$5:$A$1004,$A410,'AFA Rates'!$B$5:$B$1004,M$24)&gt;0,"✓",""))</f>
        <v/>
      </c>
    </row>
    <row r="411">
      <c r="A411" s="63">
        <f>IFERROR(INDEX(Firms!$A$5:$A$1004,MATCH(387,Firms!$S$5:$S$1004,0)),"")</f>
        <v/>
      </c>
      <c r="B411" s="57">
        <f>IF($A411="","",INDEX(Firms!$B$5:$B$1004,MATCH(387,Firms!$S$5:$S$1004,0)))</f>
        <v/>
      </c>
      <c r="C411" s="57">
        <f>IF($A411="","",COUNTIF('AFA Rates'!$A$5:$A$1004,$A411))</f>
        <v/>
      </c>
      <c r="D411" s="57">
        <f>IF(OR($A411="",D$24=""),"",IF(COUNTIFS('AFA Rates'!$A$5:$A$1004,$A411,'AFA Rates'!$B$5:$B$1004,D$24)&gt;0,"✓",""))</f>
        <v/>
      </c>
      <c r="E411" s="57">
        <f>IF(OR($A411="",E$24=""),"",IF(COUNTIFS('AFA Rates'!$A$5:$A$1004,$A411,'AFA Rates'!$B$5:$B$1004,E$24)&gt;0,"✓",""))</f>
        <v/>
      </c>
      <c r="F411" s="57">
        <f>IF(OR($A411="",F$24=""),"",IF(COUNTIFS('AFA Rates'!$A$5:$A$1004,$A411,'AFA Rates'!$B$5:$B$1004,F$24)&gt;0,"✓",""))</f>
        <v/>
      </c>
      <c r="G411" s="57">
        <f>IF(OR($A411="",G$24=""),"",IF(COUNTIFS('AFA Rates'!$A$5:$A$1004,$A411,'AFA Rates'!$B$5:$B$1004,G$24)&gt;0,"✓",""))</f>
        <v/>
      </c>
      <c r="H411" s="57">
        <f>IF(OR($A411="",H$24=""),"",IF(COUNTIFS('AFA Rates'!$A$5:$A$1004,$A411,'AFA Rates'!$B$5:$B$1004,H$24)&gt;0,"✓",""))</f>
        <v/>
      </c>
      <c r="I411" s="57">
        <f>IF(OR($A411="",I$24=""),"",IF(COUNTIFS('AFA Rates'!$A$5:$A$1004,$A411,'AFA Rates'!$B$5:$B$1004,I$24)&gt;0,"✓",""))</f>
        <v/>
      </c>
      <c r="J411" s="57">
        <f>IF(OR($A411="",J$24=""),"",IF(COUNTIFS('AFA Rates'!$A$5:$A$1004,$A411,'AFA Rates'!$B$5:$B$1004,J$24)&gt;0,"✓",""))</f>
        <v/>
      </c>
      <c r="K411" s="57">
        <f>IF(OR($A411="",K$24=""),"",IF(COUNTIFS('AFA Rates'!$A$5:$A$1004,$A411,'AFA Rates'!$B$5:$B$1004,K$24)&gt;0,"✓",""))</f>
        <v/>
      </c>
      <c r="L411" s="57">
        <f>IF(OR($A411="",L$24=""),"",IF(COUNTIFS('AFA Rates'!$A$5:$A$1004,$A411,'AFA Rates'!$B$5:$B$1004,L$24)&gt;0,"✓",""))</f>
        <v/>
      </c>
      <c r="M411" s="57">
        <f>IF(OR($A411="",M$24=""),"",IF(COUNTIFS('AFA Rates'!$A$5:$A$1004,$A411,'AFA Rates'!$B$5:$B$1004,M$24)&gt;0,"✓",""))</f>
        <v/>
      </c>
    </row>
    <row r="412">
      <c r="A412" s="63">
        <f>IFERROR(INDEX(Firms!$A$5:$A$1004,MATCH(388,Firms!$S$5:$S$1004,0)),"")</f>
        <v/>
      </c>
      <c r="B412" s="57">
        <f>IF($A412="","",INDEX(Firms!$B$5:$B$1004,MATCH(388,Firms!$S$5:$S$1004,0)))</f>
        <v/>
      </c>
      <c r="C412" s="57">
        <f>IF($A412="","",COUNTIF('AFA Rates'!$A$5:$A$1004,$A412))</f>
        <v/>
      </c>
      <c r="D412" s="57">
        <f>IF(OR($A412="",D$24=""),"",IF(COUNTIFS('AFA Rates'!$A$5:$A$1004,$A412,'AFA Rates'!$B$5:$B$1004,D$24)&gt;0,"✓",""))</f>
        <v/>
      </c>
      <c r="E412" s="57">
        <f>IF(OR($A412="",E$24=""),"",IF(COUNTIFS('AFA Rates'!$A$5:$A$1004,$A412,'AFA Rates'!$B$5:$B$1004,E$24)&gt;0,"✓",""))</f>
        <v/>
      </c>
      <c r="F412" s="57">
        <f>IF(OR($A412="",F$24=""),"",IF(COUNTIFS('AFA Rates'!$A$5:$A$1004,$A412,'AFA Rates'!$B$5:$B$1004,F$24)&gt;0,"✓",""))</f>
        <v/>
      </c>
      <c r="G412" s="57">
        <f>IF(OR($A412="",G$24=""),"",IF(COUNTIFS('AFA Rates'!$A$5:$A$1004,$A412,'AFA Rates'!$B$5:$B$1004,G$24)&gt;0,"✓",""))</f>
        <v/>
      </c>
      <c r="H412" s="57">
        <f>IF(OR($A412="",H$24=""),"",IF(COUNTIFS('AFA Rates'!$A$5:$A$1004,$A412,'AFA Rates'!$B$5:$B$1004,H$24)&gt;0,"✓",""))</f>
        <v/>
      </c>
      <c r="I412" s="57">
        <f>IF(OR($A412="",I$24=""),"",IF(COUNTIFS('AFA Rates'!$A$5:$A$1004,$A412,'AFA Rates'!$B$5:$B$1004,I$24)&gt;0,"✓",""))</f>
        <v/>
      </c>
      <c r="J412" s="57">
        <f>IF(OR($A412="",J$24=""),"",IF(COUNTIFS('AFA Rates'!$A$5:$A$1004,$A412,'AFA Rates'!$B$5:$B$1004,J$24)&gt;0,"✓",""))</f>
        <v/>
      </c>
      <c r="K412" s="57">
        <f>IF(OR($A412="",K$24=""),"",IF(COUNTIFS('AFA Rates'!$A$5:$A$1004,$A412,'AFA Rates'!$B$5:$B$1004,K$24)&gt;0,"✓",""))</f>
        <v/>
      </c>
      <c r="L412" s="57">
        <f>IF(OR($A412="",L$24=""),"",IF(COUNTIFS('AFA Rates'!$A$5:$A$1004,$A412,'AFA Rates'!$B$5:$B$1004,L$24)&gt;0,"✓",""))</f>
        <v/>
      </c>
      <c r="M412" s="57">
        <f>IF(OR($A412="",M$24=""),"",IF(COUNTIFS('AFA Rates'!$A$5:$A$1004,$A412,'AFA Rates'!$B$5:$B$1004,M$24)&gt;0,"✓",""))</f>
        <v/>
      </c>
    </row>
    <row r="413">
      <c r="A413" s="63">
        <f>IFERROR(INDEX(Firms!$A$5:$A$1004,MATCH(389,Firms!$S$5:$S$1004,0)),"")</f>
        <v/>
      </c>
      <c r="B413" s="57">
        <f>IF($A413="","",INDEX(Firms!$B$5:$B$1004,MATCH(389,Firms!$S$5:$S$1004,0)))</f>
        <v/>
      </c>
      <c r="C413" s="57">
        <f>IF($A413="","",COUNTIF('AFA Rates'!$A$5:$A$1004,$A413))</f>
        <v/>
      </c>
      <c r="D413" s="57">
        <f>IF(OR($A413="",D$24=""),"",IF(COUNTIFS('AFA Rates'!$A$5:$A$1004,$A413,'AFA Rates'!$B$5:$B$1004,D$24)&gt;0,"✓",""))</f>
        <v/>
      </c>
      <c r="E413" s="57">
        <f>IF(OR($A413="",E$24=""),"",IF(COUNTIFS('AFA Rates'!$A$5:$A$1004,$A413,'AFA Rates'!$B$5:$B$1004,E$24)&gt;0,"✓",""))</f>
        <v/>
      </c>
      <c r="F413" s="57">
        <f>IF(OR($A413="",F$24=""),"",IF(COUNTIFS('AFA Rates'!$A$5:$A$1004,$A413,'AFA Rates'!$B$5:$B$1004,F$24)&gt;0,"✓",""))</f>
        <v/>
      </c>
      <c r="G413" s="57">
        <f>IF(OR($A413="",G$24=""),"",IF(COUNTIFS('AFA Rates'!$A$5:$A$1004,$A413,'AFA Rates'!$B$5:$B$1004,G$24)&gt;0,"✓",""))</f>
        <v/>
      </c>
      <c r="H413" s="57">
        <f>IF(OR($A413="",H$24=""),"",IF(COUNTIFS('AFA Rates'!$A$5:$A$1004,$A413,'AFA Rates'!$B$5:$B$1004,H$24)&gt;0,"✓",""))</f>
        <v/>
      </c>
      <c r="I413" s="57">
        <f>IF(OR($A413="",I$24=""),"",IF(COUNTIFS('AFA Rates'!$A$5:$A$1004,$A413,'AFA Rates'!$B$5:$B$1004,I$24)&gt;0,"✓",""))</f>
        <v/>
      </c>
      <c r="J413" s="57">
        <f>IF(OR($A413="",J$24=""),"",IF(COUNTIFS('AFA Rates'!$A$5:$A$1004,$A413,'AFA Rates'!$B$5:$B$1004,J$24)&gt;0,"✓",""))</f>
        <v/>
      </c>
      <c r="K413" s="57">
        <f>IF(OR($A413="",K$24=""),"",IF(COUNTIFS('AFA Rates'!$A$5:$A$1004,$A413,'AFA Rates'!$B$5:$B$1004,K$24)&gt;0,"✓",""))</f>
        <v/>
      </c>
      <c r="L413" s="57">
        <f>IF(OR($A413="",L$24=""),"",IF(COUNTIFS('AFA Rates'!$A$5:$A$1004,$A413,'AFA Rates'!$B$5:$B$1004,L$24)&gt;0,"✓",""))</f>
        <v/>
      </c>
      <c r="M413" s="57">
        <f>IF(OR($A413="",M$24=""),"",IF(COUNTIFS('AFA Rates'!$A$5:$A$1004,$A413,'AFA Rates'!$B$5:$B$1004,M$24)&gt;0,"✓",""))</f>
        <v/>
      </c>
    </row>
    <row r="414">
      <c r="A414" s="63">
        <f>IFERROR(INDEX(Firms!$A$5:$A$1004,MATCH(390,Firms!$S$5:$S$1004,0)),"")</f>
        <v/>
      </c>
      <c r="B414" s="57">
        <f>IF($A414="","",INDEX(Firms!$B$5:$B$1004,MATCH(390,Firms!$S$5:$S$1004,0)))</f>
        <v/>
      </c>
      <c r="C414" s="57">
        <f>IF($A414="","",COUNTIF('AFA Rates'!$A$5:$A$1004,$A414))</f>
        <v/>
      </c>
      <c r="D414" s="57">
        <f>IF(OR($A414="",D$24=""),"",IF(COUNTIFS('AFA Rates'!$A$5:$A$1004,$A414,'AFA Rates'!$B$5:$B$1004,D$24)&gt;0,"✓",""))</f>
        <v/>
      </c>
      <c r="E414" s="57">
        <f>IF(OR($A414="",E$24=""),"",IF(COUNTIFS('AFA Rates'!$A$5:$A$1004,$A414,'AFA Rates'!$B$5:$B$1004,E$24)&gt;0,"✓",""))</f>
        <v/>
      </c>
      <c r="F414" s="57">
        <f>IF(OR($A414="",F$24=""),"",IF(COUNTIFS('AFA Rates'!$A$5:$A$1004,$A414,'AFA Rates'!$B$5:$B$1004,F$24)&gt;0,"✓",""))</f>
        <v/>
      </c>
      <c r="G414" s="57">
        <f>IF(OR($A414="",G$24=""),"",IF(COUNTIFS('AFA Rates'!$A$5:$A$1004,$A414,'AFA Rates'!$B$5:$B$1004,G$24)&gt;0,"✓",""))</f>
        <v/>
      </c>
      <c r="H414" s="57">
        <f>IF(OR($A414="",H$24=""),"",IF(COUNTIFS('AFA Rates'!$A$5:$A$1004,$A414,'AFA Rates'!$B$5:$B$1004,H$24)&gt;0,"✓",""))</f>
        <v/>
      </c>
      <c r="I414" s="57">
        <f>IF(OR($A414="",I$24=""),"",IF(COUNTIFS('AFA Rates'!$A$5:$A$1004,$A414,'AFA Rates'!$B$5:$B$1004,I$24)&gt;0,"✓",""))</f>
        <v/>
      </c>
      <c r="J414" s="57">
        <f>IF(OR($A414="",J$24=""),"",IF(COUNTIFS('AFA Rates'!$A$5:$A$1004,$A414,'AFA Rates'!$B$5:$B$1004,J$24)&gt;0,"✓",""))</f>
        <v/>
      </c>
      <c r="K414" s="57">
        <f>IF(OR($A414="",K$24=""),"",IF(COUNTIFS('AFA Rates'!$A$5:$A$1004,$A414,'AFA Rates'!$B$5:$B$1004,K$24)&gt;0,"✓",""))</f>
        <v/>
      </c>
      <c r="L414" s="57">
        <f>IF(OR($A414="",L$24=""),"",IF(COUNTIFS('AFA Rates'!$A$5:$A$1004,$A414,'AFA Rates'!$B$5:$B$1004,L$24)&gt;0,"✓",""))</f>
        <v/>
      </c>
      <c r="M414" s="57">
        <f>IF(OR($A414="",M$24=""),"",IF(COUNTIFS('AFA Rates'!$A$5:$A$1004,$A414,'AFA Rates'!$B$5:$B$1004,M$24)&gt;0,"✓",""))</f>
        <v/>
      </c>
    </row>
    <row r="415">
      <c r="A415" s="63">
        <f>IFERROR(INDEX(Firms!$A$5:$A$1004,MATCH(391,Firms!$S$5:$S$1004,0)),"")</f>
        <v/>
      </c>
      <c r="B415" s="57">
        <f>IF($A415="","",INDEX(Firms!$B$5:$B$1004,MATCH(391,Firms!$S$5:$S$1004,0)))</f>
        <v/>
      </c>
      <c r="C415" s="57">
        <f>IF($A415="","",COUNTIF('AFA Rates'!$A$5:$A$1004,$A415))</f>
        <v/>
      </c>
      <c r="D415" s="57">
        <f>IF(OR($A415="",D$24=""),"",IF(COUNTIFS('AFA Rates'!$A$5:$A$1004,$A415,'AFA Rates'!$B$5:$B$1004,D$24)&gt;0,"✓",""))</f>
        <v/>
      </c>
      <c r="E415" s="57">
        <f>IF(OR($A415="",E$24=""),"",IF(COUNTIFS('AFA Rates'!$A$5:$A$1004,$A415,'AFA Rates'!$B$5:$B$1004,E$24)&gt;0,"✓",""))</f>
        <v/>
      </c>
      <c r="F415" s="57">
        <f>IF(OR($A415="",F$24=""),"",IF(COUNTIFS('AFA Rates'!$A$5:$A$1004,$A415,'AFA Rates'!$B$5:$B$1004,F$24)&gt;0,"✓",""))</f>
        <v/>
      </c>
      <c r="G415" s="57">
        <f>IF(OR($A415="",G$24=""),"",IF(COUNTIFS('AFA Rates'!$A$5:$A$1004,$A415,'AFA Rates'!$B$5:$B$1004,G$24)&gt;0,"✓",""))</f>
        <v/>
      </c>
      <c r="H415" s="57">
        <f>IF(OR($A415="",H$24=""),"",IF(COUNTIFS('AFA Rates'!$A$5:$A$1004,$A415,'AFA Rates'!$B$5:$B$1004,H$24)&gt;0,"✓",""))</f>
        <v/>
      </c>
      <c r="I415" s="57">
        <f>IF(OR($A415="",I$24=""),"",IF(COUNTIFS('AFA Rates'!$A$5:$A$1004,$A415,'AFA Rates'!$B$5:$B$1004,I$24)&gt;0,"✓",""))</f>
        <v/>
      </c>
      <c r="J415" s="57">
        <f>IF(OR($A415="",J$24=""),"",IF(COUNTIFS('AFA Rates'!$A$5:$A$1004,$A415,'AFA Rates'!$B$5:$B$1004,J$24)&gt;0,"✓",""))</f>
        <v/>
      </c>
      <c r="K415" s="57">
        <f>IF(OR($A415="",K$24=""),"",IF(COUNTIFS('AFA Rates'!$A$5:$A$1004,$A415,'AFA Rates'!$B$5:$B$1004,K$24)&gt;0,"✓",""))</f>
        <v/>
      </c>
      <c r="L415" s="57">
        <f>IF(OR($A415="",L$24=""),"",IF(COUNTIFS('AFA Rates'!$A$5:$A$1004,$A415,'AFA Rates'!$B$5:$B$1004,L$24)&gt;0,"✓",""))</f>
        <v/>
      </c>
      <c r="M415" s="57">
        <f>IF(OR($A415="",M$24=""),"",IF(COUNTIFS('AFA Rates'!$A$5:$A$1004,$A415,'AFA Rates'!$B$5:$B$1004,M$24)&gt;0,"✓",""))</f>
        <v/>
      </c>
    </row>
    <row r="416">
      <c r="A416" s="63">
        <f>IFERROR(INDEX(Firms!$A$5:$A$1004,MATCH(392,Firms!$S$5:$S$1004,0)),"")</f>
        <v/>
      </c>
      <c r="B416" s="57">
        <f>IF($A416="","",INDEX(Firms!$B$5:$B$1004,MATCH(392,Firms!$S$5:$S$1004,0)))</f>
        <v/>
      </c>
      <c r="C416" s="57">
        <f>IF($A416="","",COUNTIF('AFA Rates'!$A$5:$A$1004,$A416))</f>
        <v/>
      </c>
      <c r="D416" s="57">
        <f>IF(OR($A416="",D$24=""),"",IF(COUNTIFS('AFA Rates'!$A$5:$A$1004,$A416,'AFA Rates'!$B$5:$B$1004,D$24)&gt;0,"✓",""))</f>
        <v/>
      </c>
      <c r="E416" s="57">
        <f>IF(OR($A416="",E$24=""),"",IF(COUNTIFS('AFA Rates'!$A$5:$A$1004,$A416,'AFA Rates'!$B$5:$B$1004,E$24)&gt;0,"✓",""))</f>
        <v/>
      </c>
      <c r="F416" s="57">
        <f>IF(OR($A416="",F$24=""),"",IF(COUNTIFS('AFA Rates'!$A$5:$A$1004,$A416,'AFA Rates'!$B$5:$B$1004,F$24)&gt;0,"✓",""))</f>
        <v/>
      </c>
      <c r="G416" s="57">
        <f>IF(OR($A416="",G$24=""),"",IF(COUNTIFS('AFA Rates'!$A$5:$A$1004,$A416,'AFA Rates'!$B$5:$B$1004,G$24)&gt;0,"✓",""))</f>
        <v/>
      </c>
      <c r="H416" s="57">
        <f>IF(OR($A416="",H$24=""),"",IF(COUNTIFS('AFA Rates'!$A$5:$A$1004,$A416,'AFA Rates'!$B$5:$B$1004,H$24)&gt;0,"✓",""))</f>
        <v/>
      </c>
      <c r="I416" s="57">
        <f>IF(OR($A416="",I$24=""),"",IF(COUNTIFS('AFA Rates'!$A$5:$A$1004,$A416,'AFA Rates'!$B$5:$B$1004,I$24)&gt;0,"✓",""))</f>
        <v/>
      </c>
      <c r="J416" s="57">
        <f>IF(OR($A416="",J$24=""),"",IF(COUNTIFS('AFA Rates'!$A$5:$A$1004,$A416,'AFA Rates'!$B$5:$B$1004,J$24)&gt;0,"✓",""))</f>
        <v/>
      </c>
      <c r="K416" s="57">
        <f>IF(OR($A416="",K$24=""),"",IF(COUNTIFS('AFA Rates'!$A$5:$A$1004,$A416,'AFA Rates'!$B$5:$B$1004,K$24)&gt;0,"✓",""))</f>
        <v/>
      </c>
      <c r="L416" s="57">
        <f>IF(OR($A416="",L$24=""),"",IF(COUNTIFS('AFA Rates'!$A$5:$A$1004,$A416,'AFA Rates'!$B$5:$B$1004,L$24)&gt;0,"✓",""))</f>
        <v/>
      </c>
      <c r="M416" s="57">
        <f>IF(OR($A416="",M$24=""),"",IF(COUNTIFS('AFA Rates'!$A$5:$A$1004,$A416,'AFA Rates'!$B$5:$B$1004,M$24)&gt;0,"✓",""))</f>
        <v/>
      </c>
    </row>
    <row r="417">
      <c r="A417" s="63">
        <f>IFERROR(INDEX(Firms!$A$5:$A$1004,MATCH(393,Firms!$S$5:$S$1004,0)),"")</f>
        <v/>
      </c>
      <c r="B417" s="57">
        <f>IF($A417="","",INDEX(Firms!$B$5:$B$1004,MATCH(393,Firms!$S$5:$S$1004,0)))</f>
        <v/>
      </c>
      <c r="C417" s="57">
        <f>IF($A417="","",COUNTIF('AFA Rates'!$A$5:$A$1004,$A417))</f>
        <v/>
      </c>
      <c r="D417" s="57">
        <f>IF(OR($A417="",D$24=""),"",IF(COUNTIFS('AFA Rates'!$A$5:$A$1004,$A417,'AFA Rates'!$B$5:$B$1004,D$24)&gt;0,"✓",""))</f>
        <v/>
      </c>
      <c r="E417" s="57">
        <f>IF(OR($A417="",E$24=""),"",IF(COUNTIFS('AFA Rates'!$A$5:$A$1004,$A417,'AFA Rates'!$B$5:$B$1004,E$24)&gt;0,"✓",""))</f>
        <v/>
      </c>
      <c r="F417" s="57">
        <f>IF(OR($A417="",F$24=""),"",IF(COUNTIFS('AFA Rates'!$A$5:$A$1004,$A417,'AFA Rates'!$B$5:$B$1004,F$24)&gt;0,"✓",""))</f>
        <v/>
      </c>
      <c r="G417" s="57">
        <f>IF(OR($A417="",G$24=""),"",IF(COUNTIFS('AFA Rates'!$A$5:$A$1004,$A417,'AFA Rates'!$B$5:$B$1004,G$24)&gt;0,"✓",""))</f>
        <v/>
      </c>
      <c r="H417" s="57">
        <f>IF(OR($A417="",H$24=""),"",IF(COUNTIFS('AFA Rates'!$A$5:$A$1004,$A417,'AFA Rates'!$B$5:$B$1004,H$24)&gt;0,"✓",""))</f>
        <v/>
      </c>
      <c r="I417" s="57">
        <f>IF(OR($A417="",I$24=""),"",IF(COUNTIFS('AFA Rates'!$A$5:$A$1004,$A417,'AFA Rates'!$B$5:$B$1004,I$24)&gt;0,"✓",""))</f>
        <v/>
      </c>
      <c r="J417" s="57">
        <f>IF(OR($A417="",J$24=""),"",IF(COUNTIFS('AFA Rates'!$A$5:$A$1004,$A417,'AFA Rates'!$B$5:$B$1004,J$24)&gt;0,"✓",""))</f>
        <v/>
      </c>
      <c r="K417" s="57">
        <f>IF(OR($A417="",K$24=""),"",IF(COUNTIFS('AFA Rates'!$A$5:$A$1004,$A417,'AFA Rates'!$B$5:$B$1004,K$24)&gt;0,"✓",""))</f>
        <v/>
      </c>
      <c r="L417" s="57">
        <f>IF(OR($A417="",L$24=""),"",IF(COUNTIFS('AFA Rates'!$A$5:$A$1004,$A417,'AFA Rates'!$B$5:$B$1004,L$24)&gt;0,"✓",""))</f>
        <v/>
      </c>
      <c r="M417" s="57">
        <f>IF(OR($A417="",M$24=""),"",IF(COUNTIFS('AFA Rates'!$A$5:$A$1004,$A417,'AFA Rates'!$B$5:$B$1004,M$24)&gt;0,"✓",""))</f>
        <v/>
      </c>
    </row>
    <row r="418">
      <c r="A418" s="63">
        <f>IFERROR(INDEX(Firms!$A$5:$A$1004,MATCH(394,Firms!$S$5:$S$1004,0)),"")</f>
        <v/>
      </c>
      <c r="B418" s="57">
        <f>IF($A418="","",INDEX(Firms!$B$5:$B$1004,MATCH(394,Firms!$S$5:$S$1004,0)))</f>
        <v/>
      </c>
      <c r="C418" s="57">
        <f>IF($A418="","",COUNTIF('AFA Rates'!$A$5:$A$1004,$A418))</f>
        <v/>
      </c>
      <c r="D418" s="57">
        <f>IF(OR($A418="",D$24=""),"",IF(COUNTIFS('AFA Rates'!$A$5:$A$1004,$A418,'AFA Rates'!$B$5:$B$1004,D$24)&gt;0,"✓",""))</f>
        <v/>
      </c>
      <c r="E418" s="57">
        <f>IF(OR($A418="",E$24=""),"",IF(COUNTIFS('AFA Rates'!$A$5:$A$1004,$A418,'AFA Rates'!$B$5:$B$1004,E$24)&gt;0,"✓",""))</f>
        <v/>
      </c>
      <c r="F418" s="57">
        <f>IF(OR($A418="",F$24=""),"",IF(COUNTIFS('AFA Rates'!$A$5:$A$1004,$A418,'AFA Rates'!$B$5:$B$1004,F$24)&gt;0,"✓",""))</f>
        <v/>
      </c>
      <c r="G418" s="57">
        <f>IF(OR($A418="",G$24=""),"",IF(COUNTIFS('AFA Rates'!$A$5:$A$1004,$A418,'AFA Rates'!$B$5:$B$1004,G$24)&gt;0,"✓",""))</f>
        <v/>
      </c>
      <c r="H418" s="57">
        <f>IF(OR($A418="",H$24=""),"",IF(COUNTIFS('AFA Rates'!$A$5:$A$1004,$A418,'AFA Rates'!$B$5:$B$1004,H$24)&gt;0,"✓",""))</f>
        <v/>
      </c>
      <c r="I418" s="57">
        <f>IF(OR($A418="",I$24=""),"",IF(COUNTIFS('AFA Rates'!$A$5:$A$1004,$A418,'AFA Rates'!$B$5:$B$1004,I$24)&gt;0,"✓",""))</f>
        <v/>
      </c>
      <c r="J418" s="57">
        <f>IF(OR($A418="",J$24=""),"",IF(COUNTIFS('AFA Rates'!$A$5:$A$1004,$A418,'AFA Rates'!$B$5:$B$1004,J$24)&gt;0,"✓",""))</f>
        <v/>
      </c>
      <c r="K418" s="57">
        <f>IF(OR($A418="",K$24=""),"",IF(COUNTIFS('AFA Rates'!$A$5:$A$1004,$A418,'AFA Rates'!$B$5:$B$1004,K$24)&gt;0,"✓",""))</f>
        <v/>
      </c>
      <c r="L418" s="57">
        <f>IF(OR($A418="",L$24=""),"",IF(COUNTIFS('AFA Rates'!$A$5:$A$1004,$A418,'AFA Rates'!$B$5:$B$1004,L$24)&gt;0,"✓",""))</f>
        <v/>
      </c>
      <c r="M418" s="57">
        <f>IF(OR($A418="",M$24=""),"",IF(COUNTIFS('AFA Rates'!$A$5:$A$1004,$A418,'AFA Rates'!$B$5:$B$1004,M$24)&gt;0,"✓",""))</f>
        <v/>
      </c>
    </row>
    <row r="419">
      <c r="A419" s="63">
        <f>IFERROR(INDEX(Firms!$A$5:$A$1004,MATCH(395,Firms!$S$5:$S$1004,0)),"")</f>
        <v/>
      </c>
      <c r="B419" s="57">
        <f>IF($A419="","",INDEX(Firms!$B$5:$B$1004,MATCH(395,Firms!$S$5:$S$1004,0)))</f>
        <v/>
      </c>
      <c r="C419" s="57">
        <f>IF($A419="","",COUNTIF('AFA Rates'!$A$5:$A$1004,$A419))</f>
        <v/>
      </c>
      <c r="D419" s="57">
        <f>IF(OR($A419="",D$24=""),"",IF(COUNTIFS('AFA Rates'!$A$5:$A$1004,$A419,'AFA Rates'!$B$5:$B$1004,D$24)&gt;0,"✓",""))</f>
        <v/>
      </c>
      <c r="E419" s="57">
        <f>IF(OR($A419="",E$24=""),"",IF(COUNTIFS('AFA Rates'!$A$5:$A$1004,$A419,'AFA Rates'!$B$5:$B$1004,E$24)&gt;0,"✓",""))</f>
        <v/>
      </c>
      <c r="F419" s="57">
        <f>IF(OR($A419="",F$24=""),"",IF(COUNTIFS('AFA Rates'!$A$5:$A$1004,$A419,'AFA Rates'!$B$5:$B$1004,F$24)&gt;0,"✓",""))</f>
        <v/>
      </c>
      <c r="G419" s="57">
        <f>IF(OR($A419="",G$24=""),"",IF(COUNTIFS('AFA Rates'!$A$5:$A$1004,$A419,'AFA Rates'!$B$5:$B$1004,G$24)&gt;0,"✓",""))</f>
        <v/>
      </c>
      <c r="H419" s="57">
        <f>IF(OR($A419="",H$24=""),"",IF(COUNTIFS('AFA Rates'!$A$5:$A$1004,$A419,'AFA Rates'!$B$5:$B$1004,H$24)&gt;0,"✓",""))</f>
        <v/>
      </c>
      <c r="I419" s="57">
        <f>IF(OR($A419="",I$24=""),"",IF(COUNTIFS('AFA Rates'!$A$5:$A$1004,$A419,'AFA Rates'!$B$5:$B$1004,I$24)&gt;0,"✓",""))</f>
        <v/>
      </c>
      <c r="J419" s="57">
        <f>IF(OR($A419="",J$24=""),"",IF(COUNTIFS('AFA Rates'!$A$5:$A$1004,$A419,'AFA Rates'!$B$5:$B$1004,J$24)&gt;0,"✓",""))</f>
        <v/>
      </c>
      <c r="K419" s="57">
        <f>IF(OR($A419="",K$24=""),"",IF(COUNTIFS('AFA Rates'!$A$5:$A$1004,$A419,'AFA Rates'!$B$5:$B$1004,K$24)&gt;0,"✓",""))</f>
        <v/>
      </c>
      <c r="L419" s="57">
        <f>IF(OR($A419="",L$24=""),"",IF(COUNTIFS('AFA Rates'!$A$5:$A$1004,$A419,'AFA Rates'!$B$5:$B$1004,L$24)&gt;0,"✓",""))</f>
        <v/>
      </c>
      <c r="M419" s="57">
        <f>IF(OR($A419="",M$24=""),"",IF(COUNTIFS('AFA Rates'!$A$5:$A$1004,$A419,'AFA Rates'!$B$5:$B$1004,M$24)&gt;0,"✓",""))</f>
        <v/>
      </c>
    </row>
    <row r="420">
      <c r="A420" s="63">
        <f>IFERROR(INDEX(Firms!$A$5:$A$1004,MATCH(396,Firms!$S$5:$S$1004,0)),"")</f>
        <v/>
      </c>
      <c r="B420" s="57">
        <f>IF($A420="","",INDEX(Firms!$B$5:$B$1004,MATCH(396,Firms!$S$5:$S$1004,0)))</f>
        <v/>
      </c>
      <c r="C420" s="57">
        <f>IF($A420="","",COUNTIF('AFA Rates'!$A$5:$A$1004,$A420))</f>
        <v/>
      </c>
      <c r="D420" s="57">
        <f>IF(OR($A420="",D$24=""),"",IF(COUNTIFS('AFA Rates'!$A$5:$A$1004,$A420,'AFA Rates'!$B$5:$B$1004,D$24)&gt;0,"✓",""))</f>
        <v/>
      </c>
      <c r="E420" s="57">
        <f>IF(OR($A420="",E$24=""),"",IF(COUNTIFS('AFA Rates'!$A$5:$A$1004,$A420,'AFA Rates'!$B$5:$B$1004,E$24)&gt;0,"✓",""))</f>
        <v/>
      </c>
      <c r="F420" s="57">
        <f>IF(OR($A420="",F$24=""),"",IF(COUNTIFS('AFA Rates'!$A$5:$A$1004,$A420,'AFA Rates'!$B$5:$B$1004,F$24)&gt;0,"✓",""))</f>
        <v/>
      </c>
      <c r="G420" s="57">
        <f>IF(OR($A420="",G$24=""),"",IF(COUNTIFS('AFA Rates'!$A$5:$A$1004,$A420,'AFA Rates'!$B$5:$B$1004,G$24)&gt;0,"✓",""))</f>
        <v/>
      </c>
      <c r="H420" s="57">
        <f>IF(OR($A420="",H$24=""),"",IF(COUNTIFS('AFA Rates'!$A$5:$A$1004,$A420,'AFA Rates'!$B$5:$B$1004,H$24)&gt;0,"✓",""))</f>
        <v/>
      </c>
      <c r="I420" s="57">
        <f>IF(OR($A420="",I$24=""),"",IF(COUNTIFS('AFA Rates'!$A$5:$A$1004,$A420,'AFA Rates'!$B$5:$B$1004,I$24)&gt;0,"✓",""))</f>
        <v/>
      </c>
      <c r="J420" s="57">
        <f>IF(OR($A420="",J$24=""),"",IF(COUNTIFS('AFA Rates'!$A$5:$A$1004,$A420,'AFA Rates'!$B$5:$B$1004,J$24)&gt;0,"✓",""))</f>
        <v/>
      </c>
      <c r="K420" s="57">
        <f>IF(OR($A420="",K$24=""),"",IF(COUNTIFS('AFA Rates'!$A$5:$A$1004,$A420,'AFA Rates'!$B$5:$B$1004,K$24)&gt;0,"✓",""))</f>
        <v/>
      </c>
      <c r="L420" s="57">
        <f>IF(OR($A420="",L$24=""),"",IF(COUNTIFS('AFA Rates'!$A$5:$A$1004,$A420,'AFA Rates'!$B$5:$B$1004,L$24)&gt;0,"✓",""))</f>
        <v/>
      </c>
      <c r="M420" s="57">
        <f>IF(OR($A420="",M$24=""),"",IF(COUNTIFS('AFA Rates'!$A$5:$A$1004,$A420,'AFA Rates'!$B$5:$B$1004,M$24)&gt;0,"✓",""))</f>
        <v/>
      </c>
    </row>
    <row r="421">
      <c r="A421" s="63">
        <f>IFERROR(INDEX(Firms!$A$5:$A$1004,MATCH(397,Firms!$S$5:$S$1004,0)),"")</f>
        <v/>
      </c>
      <c r="B421" s="57">
        <f>IF($A421="","",INDEX(Firms!$B$5:$B$1004,MATCH(397,Firms!$S$5:$S$1004,0)))</f>
        <v/>
      </c>
      <c r="C421" s="57">
        <f>IF($A421="","",COUNTIF('AFA Rates'!$A$5:$A$1004,$A421))</f>
        <v/>
      </c>
      <c r="D421" s="57">
        <f>IF(OR($A421="",D$24=""),"",IF(COUNTIFS('AFA Rates'!$A$5:$A$1004,$A421,'AFA Rates'!$B$5:$B$1004,D$24)&gt;0,"✓",""))</f>
        <v/>
      </c>
      <c r="E421" s="57">
        <f>IF(OR($A421="",E$24=""),"",IF(COUNTIFS('AFA Rates'!$A$5:$A$1004,$A421,'AFA Rates'!$B$5:$B$1004,E$24)&gt;0,"✓",""))</f>
        <v/>
      </c>
      <c r="F421" s="57">
        <f>IF(OR($A421="",F$24=""),"",IF(COUNTIFS('AFA Rates'!$A$5:$A$1004,$A421,'AFA Rates'!$B$5:$B$1004,F$24)&gt;0,"✓",""))</f>
        <v/>
      </c>
      <c r="G421" s="57">
        <f>IF(OR($A421="",G$24=""),"",IF(COUNTIFS('AFA Rates'!$A$5:$A$1004,$A421,'AFA Rates'!$B$5:$B$1004,G$24)&gt;0,"✓",""))</f>
        <v/>
      </c>
      <c r="H421" s="57">
        <f>IF(OR($A421="",H$24=""),"",IF(COUNTIFS('AFA Rates'!$A$5:$A$1004,$A421,'AFA Rates'!$B$5:$B$1004,H$24)&gt;0,"✓",""))</f>
        <v/>
      </c>
      <c r="I421" s="57">
        <f>IF(OR($A421="",I$24=""),"",IF(COUNTIFS('AFA Rates'!$A$5:$A$1004,$A421,'AFA Rates'!$B$5:$B$1004,I$24)&gt;0,"✓",""))</f>
        <v/>
      </c>
      <c r="J421" s="57">
        <f>IF(OR($A421="",J$24=""),"",IF(COUNTIFS('AFA Rates'!$A$5:$A$1004,$A421,'AFA Rates'!$B$5:$B$1004,J$24)&gt;0,"✓",""))</f>
        <v/>
      </c>
      <c r="K421" s="57">
        <f>IF(OR($A421="",K$24=""),"",IF(COUNTIFS('AFA Rates'!$A$5:$A$1004,$A421,'AFA Rates'!$B$5:$B$1004,K$24)&gt;0,"✓",""))</f>
        <v/>
      </c>
      <c r="L421" s="57">
        <f>IF(OR($A421="",L$24=""),"",IF(COUNTIFS('AFA Rates'!$A$5:$A$1004,$A421,'AFA Rates'!$B$5:$B$1004,L$24)&gt;0,"✓",""))</f>
        <v/>
      </c>
      <c r="M421" s="57">
        <f>IF(OR($A421="",M$24=""),"",IF(COUNTIFS('AFA Rates'!$A$5:$A$1004,$A421,'AFA Rates'!$B$5:$B$1004,M$24)&gt;0,"✓",""))</f>
        <v/>
      </c>
    </row>
    <row r="422">
      <c r="A422" s="63">
        <f>IFERROR(INDEX(Firms!$A$5:$A$1004,MATCH(398,Firms!$S$5:$S$1004,0)),"")</f>
        <v/>
      </c>
      <c r="B422" s="57">
        <f>IF($A422="","",INDEX(Firms!$B$5:$B$1004,MATCH(398,Firms!$S$5:$S$1004,0)))</f>
        <v/>
      </c>
      <c r="C422" s="57">
        <f>IF($A422="","",COUNTIF('AFA Rates'!$A$5:$A$1004,$A422))</f>
        <v/>
      </c>
      <c r="D422" s="57">
        <f>IF(OR($A422="",D$24=""),"",IF(COUNTIFS('AFA Rates'!$A$5:$A$1004,$A422,'AFA Rates'!$B$5:$B$1004,D$24)&gt;0,"✓",""))</f>
        <v/>
      </c>
      <c r="E422" s="57">
        <f>IF(OR($A422="",E$24=""),"",IF(COUNTIFS('AFA Rates'!$A$5:$A$1004,$A422,'AFA Rates'!$B$5:$B$1004,E$24)&gt;0,"✓",""))</f>
        <v/>
      </c>
      <c r="F422" s="57">
        <f>IF(OR($A422="",F$24=""),"",IF(COUNTIFS('AFA Rates'!$A$5:$A$1004,$A422,'AFA Rates'!$B$5:$B$1004,F$24)&gt;0,"✓",""))</f>
        <v/>
      </c>
      <c r="G422" s="57">
        <f>IF(OR($A422="",G$24=""),"",IF(COUNTIFS('AFA Rates'!$A$5:$A$1004,$A422,'AFA Rates'!$B$5:$B$1004,G$24)&gt;0,"✓",""))</f>
        <v/>
      </c>
      <c r="H422" s="57">
        <f>IF(OR($A422="",H$24=""),"",IF(COUNTIFS('AFA Rates'!$A$5:$A$1004,$A422,'AFA Rates'!$B$5:$B$1004,H$24)&gt;0,"✓",""))</f>
        <v/>
      </c>
      <c r="I422" s="57">
        <f>IF(OR($A422="",I$24=""),"",IF(COUNTIFS('AFA Rates'!$A$5:$A$1004,$A422,'AFA Rates'!$B$5:$B$1004,I$24)&gt;0,"✓",""))</f>
        <v/>
      </c>
      <c r="J422" s="57">
        <f>IF(OR($A422="",J$24=""),"",IF(COUNTIFS('AFA Rates'!$A$5:$A$1004,$A422,'AFA Rates'!$B$5:$B$1004,J$24)&gt;0,"✓",""))</f>
        <v/>
      </c>
      <c r="K422" s="57">
        <f>IF(OR($A422="",K$24=""),"",IF(COUNTIFS('AFA Rates'!$A$5:$A$1004,$A422,'AFA Rates'!$B$5:$B$1004,K$24)&gt;0,"✓",""))</f>
        <v/>
      </c>
      <c r="L422" s="57">
        <f>IF(OR($A422="",L$24=""),"",IF(COUNTIFS('AFA Rates'!$A$5:$A$1004,$A422,'AFA Rates'!$B$5:$B$1004,L$24)&gt;0,"✓",""))</f>
        <v/>
      </c>
      <c r="M422" s="57">
        <f>IF(OR($A422="",M$24=""),"",IF(COUNTIFS('AFA Rates'!$A$5:$A$1004,$A422,'AFA Rates'!$B$5:$B$1004,M$24)&gt;0,"✓",""))</f>
        <v/>
      </c>
    </row>
    <row r="423">
      <c r="A423" s="63">
        <f>IFERROR(INDEX(Firms!$A$5:$A$1004,MATCH(399,Firms!$S$5:$S$1004,0)),"")</f>
        <v/>
      </c>
      <c r="B423" s="57">
        <f>IF($A423="","",INDEX(Firms!$B$5:$B$1004,MATCH(399,Firms!$S$5:$S$1004,0)))</f>
        <v/>
      </c>
      <c r="C423" s="57">
        <f>IF($A423="","",COUNTIF('AFA Rates'!$A$5:$A$1004,$A423))</f>
        <v/>
      </c>
      <c r="D423" s="57">
        <f>IF(OR($A423="",D$24=""),"",IF(COUNTIFS('AFA Rates'!$A$5:$A$1004,$A423,'AFA Rates'!$B$5:$B$1004,D$24)&gt;0,"✓",""))</f>
        <v/>
      </c>
      <c r="E423" s="57">
        <f>IF(OR($A423="",E$24=""),"",IF(COUNTIFS('AFA Rates'!$A$5:$A$1004,$A423,'AFA Rates'!$B$5:$B$1004,E$24)&gt;0,"✓",""))</f>
        <v/>
      </c>
      <c r="F423" s="57">
        <f>IF(OR($A423="",F$24=""),"",IF(COUNTIFS('AFA Rates'!$A$5:$A$1004,$A423,'AFA Rates'!$B$5:$B$1004,F$24)&gt;0,"✓",""))</f>
        <v/>
      </c>
      <c r="G423" s="57">
        <f>IF(OR($A423="",G$24=""),"",IF(COUNTIFS('AFA Rates'!$A$5:$A$1004,$A423,'AFA Rates'!$B$5:$B$1004,G$24)&gt;0,"✓",""))</f>
        <v/>
      </c>
      <c r="H423" s="57">
        <f>IF(OR($A423="",H$24=""),"",IF(COUNTIFS('AFA Rates'!$A$5:$A$1004,$A423,'AFA Rates'!$B$5:$B$1004,H$24)&gt;0,"✓",""))</f>
        <v/>
      </c>
      <c r="I423" s="57">
        <f>IF(OR($A423="",I$24=""),"",IF(COUNTIFS('AFA Rates'!$A$5:$A$1004,$A423,'AFA Rates'!$B$5:$B$1004,I$24)&gt;0,"✓",""))</f>
        <v/>
      </c>
      <c r="J423" s="57">
        <f>IF(OR($A423="",J$24=""),"",IF(COUNTIFS('AFA Rates'!$A$5:$A$1004,$A423,'AFA Rates'!$B$5:$B$1004,J$24)&gt;0,"✓",""))</f>
        <v/>
      </c>
      <c r="K423" s="57">
        <f>IF(OR($A423="",K$24=""),"",IF(COUNTIFS('AFA Rates'!$A$5:$A$1004,$A423,'AFA Rates'!$B$5:$B$1004,K$24)&gt;0,"✓",""))</f>
        <v/>
      </c>
      <c r="L423" s="57">
        <f>IF(OR($A423="",L$24=""),"",IF(COUNTIFS('AFA Rates'!$A$5:$A$1004,$A423,'AFA Rates'!$B$5:$B$1004,L$24)&gt;0,"✓",""))</f>
        <v/>
      </c>
      <c r="M423" s="57">
        <f>IF(OR($A423="",M$24=""),"",IF(COUNTIFS('AFA Rates'!$A$5:$A$1004,$A423,'AFA Rates'!$B$5:$B$1004,M$24)&gt;0,"✓",""))</f>
        <v/>
      </c>
    </row>
    <row r="424">
      <c r="A424" s="63">
        <f>IFERROR(INDEX(Firms!$A$5:$A$1004,MATCH(400,Firms!$S$5:$S$1004,0)),"")</f>
        <v/>
      </c>
      <c r="B424" s="57">
        <f>IF($A424="","",INDEX(Firms!$B$5:$B$1004,MATCH(400,Firms!$S$5:$S$1004,0)))</f>
        <v/>
      </c>
      <c r="C424" s="57">
        <f>IF($A424="","",COUNTIF('AFA Rates'!$A$5:$A$1004,$A424))</f>
        <v/>
      </c>
      <c r="D424" s="57">
        <f>IF(OR($A424="",D$24=""),"",IF(COUNTIFS('AFA Rates'!$A$5:$A$1004,$A424,'AFA Rates'!$B$5:$B$1004,D$24)&gt;0,"✓",""))</f>
        <v/>
      </c>
      <c r="E424" s="57">
        <f>IF(OR($A424="",E$24=""),"",IF(COUNTIFS('AFA Rates'!$A$5:$A$1004,$A424,'AFA Rates'!$B$5:$B$1004,E$24)&gt;0,"✓",""))</f>
        <v/>
      </c>
      <c r="F424" s="57">
        <f>IF(OR($A424="",F$24=""),"",IF(COUNTIFS('AFA Rates'!$A$5:$A$1004,$A424,'AFA Rates'!$B$5:$B$1004,F$24)&gt;0,"✓",""))</f>
        <v/>
      </c>
      <c r="G424" s="57">
        <f>IF(OR($A424="",G$24=""),"",IF(COUNTIFS('AFA Rates'!$A$5:$A$1004,$A424,'AFA Rates'!$B$5:$B$1004,G$24)&gt;0,"✓",""))</f>
        <v/>
      </c>
      <c r="H424" s="57">
        <f>IF(OR($A424="",H$24=""),"",IF(COUNTIFS('AFA Rates'!$A$5:$A$1004,$A424,'AFA Rates'!$B$5:$B$1004,H$24)&gt;0,"✓",""))</f>
        <v/>
      </c>
      <c r="I424" s="57">
        <f>IF(OR($A424="",I$24=""),"",IF(COUNTIFS('AFA Rates'!$A$5:$A$1004,$A424,'AFA Rates'!$B$5:$B$1004,I$24)&gt;0,"✓",""))</f>
        <v/>
      </c>
      <c r="J424" s="57">
        <f>IF(OR($A424="",J$24=""),"",IF(COUNTIFS('AFA Rates'!$A$5:$A$1004,$A424,'AFA Rates'!$B$5:$B$1004,J$24)&gt;0,"✓",""))</f>
        <v/>
      </c>
      <c r="K424" s="57">
        <f>IF(OR($A424="",K$24=""),"",IF(COUNTIFS('AFA Rates'!$A$5:$A$1004,$A424,'AFA Rates'!$B$5:$B$1004,K$24)&gt;0,"✓",""))</f>
        <v/>
      </c>
      <c r="L424" s="57">
        <f>IF(OR($A424="",L$24=""),"",IF(COUNTIFS('AFA Rates'!$A$5:$A$1004,$A424,'AFA Rates'!$B$5:$B$1004,L$24)&gt;0,"✓",""))</f>
        <v/>
      </c>
      <c r="M424" s="57">
        <f>IF(OR($A424="",M$24=""),"",IF(COUNTIFS('AFA Rates'!$A$5:$A$1004,$A424,'AFA Rates'!$B$5:$B$1004,M$24)&gt;0,"✓",""))</f>
        <v/>
      </c>
    </row>
    <row r="425">
      <c r="A425" s="63">
        <f>IFERROR(INDEX(Firms!$A$5:$A$1004,MATCH(401,Firms!$S$5:$S$1004,0)),"")</f>
        <v/>
      </c>
      <c r="B425" s="57">
        <f>IF($A425="","",INDEX(Firms!$B$5:$B$1004,MATCH(401,Firms!$S$5:$S$1004,0)))</f>
        <v/>
      </c>
      <c r="C425" s="57">
        <f>IF($A425="","",COUNTIF('AFA Rates'!$A$5:$A$1004,$A425))</f>
        <v/>
      </c>
      <c r="D425" s="57">
        <f>IF(OR($A425="",D$24=""),"",IF(COUNTIFS('AFA Rates'!$A$5:$A$1004,$A425,'AFA Rates'!$B$5:$B$1004,D$24)&gt;0,"✓",""))</f>
        <v/>
      </c>
      <c r="E425" s="57">
        <f>IF(OR($A425="",E$24=""),"",IF(COUNTIFS('AFA Rates'!$A$5:$A$1004,$A425,'AFA Rates'!$B$5:$B$1004,E$24)&gt;0,"✓",""))</f>
        <v/>
      </c>
      <c r="F425" s="57">
        <f>IF(OR($A425="",F$24=""),"",IF(COUNTIFS('AFA Rates'!$A$5:$A$1004,$A425,'AFA Rates'!$B$5:$B$1004,F$24)&gt;0,"✓",""))</f>
        <v/>
      </c>
      <c r="G425" s="57">
        <f>IF(OR($A425="",G$24=""),"",IF(COUNTIFS('AFA Rates'!$A$5:$A$1004,$A425,'AFA Rates'!$B$5:$B$1004,G$24)&gt;0,"✓",""))</f>
        <v/>
      </c>
      <c r="H425" s="57">
        <f>IF(OR($A425="",H$24=""),"",IF(COUNTIFS('AFA Rates'!$A$5:$A$1004,$A425,'AFA Rates'!$B$5:$B$1004,H$24)&gt;0,"✓",""))</f>
        <v/>
      </c>
      <c r="I425" s="57">
        <f>IF(OR($A425="",I$24=""),"",IF(COUNTIFS('AFA Rates'!$A$5:$A$1004,$A425,'AFA Rates'!$B$5:$B$1004,I$24)&gt;0,"✓",""))</f>
        <v/>
      </c>
      <c r="J425" s="57">
        <f>IF(OR($A425="",J$24=""),"",IF(COUNTIFS('AFA Rates'!$A$5:$A$1004,$A425,'AFA Rates'!$B$5:$B$1004,J$24)&gt;0,"✓",""))</f>
        <v/>
      </c>
      <c r="K425" s="57">
        <f>IF(OR($A425="",K$24=""),"",IF(COUNTIFS('AFA Rates'!$A$5:$A$1004,$A425,'AFA Rates'!$B$5:$B$1004,K$24)&gt;0,"✓",""))</f>
        <v/>
      </c>
      <c r="L425" s="57">
        <f>IF(OR($A425="",L$24=""),"",IF(COUNTIFS('AFA Rates'!$A$5:$A$1004,$A425,'AFA Rates'!$B$5:$B$1004,L$24)&gt;0,"✓",""))</f>
        <v/>
      </c>
      <c r="M425" s="57">
        <f>IF(OR($A425="",M$24=""),"",IF(COUNTIFS('AFA Rates'!$A$5:$A$1004,$A425,'AFA Rates'!$B$5:$B$1004,M$24)&gt;0,"✓",""))</f>
        <v/>
      </c>
    </row>
    <row r="426">
      <c r="A426" s="63">
        <f>IFERROR(INDEX(Firms!$A$5:$A$1004,MATCH(402,Firms!$S$5:$S$1004,0)),"")</f>
        <v/>
      </c>
      <c r="B426" s="57">
        <f>IF($A426="","",INDEX(Firms!$B$5:$B$1004,MATCH(402,Firms!$S$5:$S$1004,0)))</f>
        <v/>
      </c>
      <c r="C426" s="57">
        <f>IF($A426="","",COUNTIF('AFA Rates'!$A$5:$A$1004,$A426))</f>
        <v/>
      </c>
      <c r="D426" s="57">
        <f>IF(OR($A426="",D$24=""),"",IF(COUNTIFS('AFA Rates'!$A$5:$A$1004,$A426,'AFA Rates'!$B$5:$B$1004,D$24)&gt;0,"✓",""))</f>
        <v/>
      </c>
      <c r="E426" s="57">
        <f>IF(OR($A426="",E$24=""),"",IF(COUNTIFS('AFA Rates'!$A$5:$A$1004,$A426,'AFA Rates'!$B$5:$B$1004,E$24)&gt;0,"✓",""))</f>
        <v/>
      </c>
      <c r="F426" s="57">
        <f>IF(OR($A426="",F$24=""),"",IF(COUNTIFS('AFA Rates'!$A$5:$A$1004,$A426,'AFA Rates'!$B$5:$B$1004,F$24)&gt;0,"✓",""))</f>
        <v/>
      </c>
      <c r="G426" s="57">
        <f>IF(OR($A426="",G$24=""),"",IF(COUNTIFS('AFA Rates'!$A$5:$A$1004,$A426,'AFA Rates'!$B$5:$B$1004,G$24)&gt;0,"✓",""))</f>
        <v/>
      </c>
      <c r="H426" s="57">
        <f>IF(OR($A426="",H$24=""),"",IF(COUNTIFS('AFA Rates'!$A$5:$A$1004,$A426,'AFA Rates'!$B$5:$B$1004,H$24)&gt;0,"✓",""))</f>
        <v/>
      </c>
      <c r="I426" s="57">
        <f>IF(OR($A426="",I$24=""),"",IF(COUNTIFS('AFA Rates'!$A$5:$A$1004,$A426,'AFA Rates'!$B$5:$B$1004,I$24)&gt;0,"✓",""))</f>
        <v/>
      </c>
      <c r="J426" s="57">
        <f>IF(OR($A426="",J$24=""),"",IF(COUNTIFS('AFA Rates'!$A$5:$A$1004,$A426,'AFA Rates'!$B$5:$B$1004,J$24)&gt;0,"✓",""))</f>
        <v/>
      </c>
      <c r="K426" s="57">
        <f>IF(OR($A426="",K$24=""),"",IF(COUNTIFS('AFA Rates'!$A$5:$A$1004,$A426,'AFA Rates'!$B$5:$B$1004,K$24)&gt;0,"✓",""))</f>
        <v/>
      </c>
      <c r="L426" s="57">
        <f>IF(OR($A426="",L$24=""),"",IF(COUNTIFS('AFA Rates'!$A$5:$A$1004,$A426,'AFA Rates'!$B$5:$B$1004,L$24)&gt;0,"✓",""))</f>
        <v/>
      </c>
      <c r="M426" s="57">
        <f>IF(OR($A426="",M$24=""),"",IF(COUNTIFS('AFA Rates'!$A$5:$A$1004,$A426,'AFA Rates'!$B$5:$B$1004,M$24)&gt;0,"✓",""))</f>
        <v/>
      </c>
    </row>
    <row r="427">
      <c r="A427" s="63">
        <f>IFERROR(INDEX(Firms!$A$5:$A$1004,MATCH(403,Firms!$S$5:$S$1004,0)),"")</f>
        <v/>
      </c>
      <c r="B427" s="57">
        <f>IF($A427="","",INDEX(Firms!$B$5:$B$1004,MATCH(403,Firms!$S$5:$S$1004,0)))</f>
        <v/>
      </c>
      <c r="C427" s="57">
        <f>IF($A427="","",COUNTIF('AFA Rates'!$A$5:$A$1004,$A427))</f>
        <v/>
      </c>
      <c r="D427" s="57">
        <f>IF(OR($A427="",D$24=""),"",IF(COUNTIFS('AFA Rates'!$A$5:$A$1004,$A427,'AFA Rates'!$B$5:$B$1004,D$24)&gt;0,"✓",""))</f>
        <v/>
      </c>
      <c r="E427" s="57">
        <f>IF(OR($A427="",E$24=""),"",IF(COUNTIFS('AFA Rates'!$A$5:$A$1004,$A427,'AFA Rates'!$B$5:$B$1004,E$24)&gt;0,"✓",""))</f>
        <v/>
      </c>
      <c r="F427" s="57">
        <f>IF(OR($A427="",F$24=""),"",IF(COUNTIFS('AFA Rates'!$A$5:$A$1004,$A427,'AFA Rates'!$B$5:$B$1004,F$24)&gt;0,"✓",""))</f>
        <v/>
      </c>
      <c r="G427" s="57">
        <f>IF(OR($A427="",G$24=""),"",IF(COUNTIFS('AFA Rates'!$A$5:$A$1004,$A427,'AFA Rates'!$B$5:$B$1004,G$24)&gt;0,"✓",""))</f>
        <v/>
      </c>
      <c r="H427" s="57">
        <f>IF(OR($A427="",H$24=""),"",IF(COUNTIFS('AFA Rates'!$A$5:$A$1004,$A427,'AFA Rates'!$B$5:$B$1004,H$24)&gt;0,"✓",""))</f>
        <v/>
      </c>
      <c r="I427" s="57">
        <f>IF(OR($A427="",I$24=""),"",IF(COUNTIFS('AFA Rates'!$A$5:$A$1004,$A427,'AFA Rates'!$B$5:$B$1004,I$24)&gt;0,"✓",""))</f>
        <v/>
      </c>
      <c r="J427" s="57">
        <f>IF(OR($A427="",J$24=""),"",IF(COUNTIFS('AFA Rates'!$A$5:$A$1004,$A427,'AFA Rates'!$B$5:$B$1004,J$24)&gt;0,"✓",""))</f>
        <v/>
      </c>
      <c r="K427" s="57">
        <f>IF(OR($A427="",K$24=""),"",IF(COUNTIFS('AFA Rates'!$A$5:$A$1004,$A427,'AFA Rates'!$B$5:$B$1004,K$24)&gt;0,"✓",""))</f>
        <v/>
      </c>
      <c r="L427" s="57">
        <f>IF(OR($A427="",L$24=""),"",IF(COUNTIFS('AFA Rates'!$A$5:$A$1004,$A427,'AFA Rates'!$B$5:$B$1004,L$24)&gt;0,"✓",""))</f>
        <v/>
      </c>
      <c r="M427" s="57">
        <f>IF(OR($A427="",M$24=""),"",IF(COUNTIFS('AFA Rates'!$A$5:$A$1004,$A427,'AFA Rates'!$B$5:$B$1004,M$24)&gt;0,"✓",""))</f>
        <v/>
      </c>
    </row>
    <row r="428">
      <c r="A428" s="63">
        <f>IFERROR(INDEX(Firms!$A$5:$A$1004,MATCH(404,Firms!$S$5:$S$1004,0)),"")</f>
        <v/>
      </c>
      <c r="B428" s="57">
        <f>IF($A428="","",INDEX(Firms!$B$5:$B$1004,MATCH(404,Firms!$S$5:$S$1004,0)))</f>
        <v/>
      </c>
      <c r="C428" s="57">
        <f>IF($A428="","",COUNTIF('AFA Rates'!$A$5:$A$1004,$A428))</f>
        <v/>
      </c>
      <c r="D428" s="57">
        <f>IF(OR($A428="",D$24=""),"",IF(COUNTIFS('AFA Rates'!$A$5:$A$1004,$A428,'AFA Rates'!$B$5:$B$1004,D$24)&gt;0,"✓",""))</f>
        <v/>
      </c>
      <c r="E428" s="57">
        <f>IF(OR($A428="",E$24=""),"",IF(COUNTIFS('AFA Rates'!$A$5:$A$1004,$A428,'AFA Rates'!$B$5:$B$1004,E$24)&gt;0,"✓",""))</f>
        <v/>
      </c>
      <c r="F428" s="57">
        <f>IF(OR($A428="",F$24=""),"",IF(COUNTIFS('AFA Rates'!$A$5:$A$1004,$A428,'AFA Rates'!$B$5:$B$1004,F$24)&gt;0,"✓",""))</f>
        <v/>
      </c>
      <c r="G428" s="57">
        <f>IF(OR($A428="",G$24=""),"",IF(COUNTIFS('AFA Rates'!$A$5:$A$1004,$A428,'AFA Rates'!$B$5:$B$1004,G$24)&gt;0,"✓",""))</f>
        <v/>
      </c>
      <c r="H428" s="57">
        <f>IF(OR($A428="",H$24=""),"",IF(COUNTIFS('AFA Rates'!$A$5:$A$1004,$A428,'AFA Rates'!$B$5:$B$1004,H$24)&gt;0,"✓",""))</f>
        <v/>
      </c>
      <c r="I428" s="57">
        <f>IF(OR($A428="",I$24=""),"",IF(COUNTIFS('AFA Rates'!$A$5:$A$1004,$A428,'AFA Rates'!$B$5:$B$1004,I$24)&gt;0,"✓",""))</f>
        <v/>
      </c>
      <c r="J428" s="57">
        <f>IF(OR($A428="",J$24=""),"",IF(COUNTIFS('AFA Rates'!$A$5:$A$1004,$A428,'AFA Rates'!$B$5:$B$1004,J$24)&gt;0,"✓",""))</f>
        <v/>
      </c>
      <c r="K428" s="57">
        <f>IF(OR($A428="",K$24=""),"",IF(COUNTIFS('AFA Rates'!$A$5:$A$1004,$A428,'AFA Rates'!$B$5:$B$1004,K$24)&gt;0,"✓",""))</f>
        <v/>
      </c>
      <c r="L428" s="57">
        <f>IF(OR($A428="",L$24=""),"",IF(COUNTIFS('AFA Rates'!$A$5:$A$1004,$A428,'AFA Rates'!$B$5:$B$1004,L$24)&gt;0,"✓",""))</f>
        <v/>
      </c>
      <c r="M428" s="57">
        <f>IF(OR($A428="",M$24=""),"",IF(COUNTIFS('AFA Rates'!$A$5:$A$1004,$A428,'AFA Rates'!$B$5:$B$1004,M$24)&gt;0,"✓",""))</f>
        <v/>
      </c>
    </row>
    <row r="429">
      <c r="A429" s="63">
        <f>IFERROR(INDEX(Firms!$A$5:$A$1004,MATCH(405,Firms!$S$5:$S$1004,0)),"")</f>
        <v/>
      </c>
      <c r="B429" s="57">
        <f>IF($A429="","",INDEX(Firms!$B$5:$B$1004,MATCH(405,Firms!$S$5:$S$1004,0)))</f>
        <v/>
      </c>
      <c r="C429" s="57">
        <f>IF($A429="","",COUNTIF('AFA Rates'!$A$5:$A$1004,$A429))</f>
        <v/>
      </c>
      <c r="D429" s="57">
        <f>IF(OR($A429="",D$24=""),"",IF(COUNTIFS('AFA Rates'!$A$5:$A$1004,$A429,'AFA Rates'!$B$5:$B$1004,D$24)&gt;0,"✓",""))</f>
        <v/>
      </c>
      <c r="E429" s="57">
        <f>IF(OR($A429="",E$24=""),"",IF(COUNTIFS('AFA Rates'!$A$5:$A$1004,$A429,'AFA Rates'!$B$5:$B$1004,E$24)&gt;0,"✓",""))</f>
        <v/>
      </c>
      <c r="F429" s="57">
        <f>IF(OR($A429="",F$24=""),"",IF(COUNTIFS('AFA Rates'!$A$5:$A$1004,$A429,'AFA Rates'!$B$5:$B$1004,F$24)&gt;0,"✓",""))</f>
        <v/>
      </c>
      <c r="G429" s="57">
        <f>IF(OR($A429="",G$24=""),"",IF(COUNTIFS('AFA Rates'!$A$5:$A$1004,$A429,'AFA Rates'!$B$5:$B$1004,G$24)&gt;0,"✓",""))</f>
        <v/>
      </c>
      <c r="H429" s="57">
        <f>IF(OR($A429="",H$24=""),"",IF(COUNTIFS('AFA Rates'!$A$5:$A$1004,$A429,'AFA Rates'!$B$5:$B$1004,H$24)&gt;0,"✓",""))</f>
        <v/>
      </c>
      <c r="I429" s="57">
        <f>IF(OR($A429="",I$24=""),"",IF(COUNTIFS('AFA Rates'!$A$5:$A$1004,$A429,'AFA Rates'!$B$5:$B$1004,I$24)&gt;0,"✓",""))</f>
        <v/>
      </c>
      <c r="J429" s="57">
        <f>IF(OR($A429="",J$24=""),"",IF(COUNTIFS('AFA Rates'!$A$5:$A$1004,$A429,'AFA Rates'!$B$5:$B$1004,J$24)&gt;0,"✓",""))</f>
        <v/>
      </c>
      <c r="K429" s="57">
        <f>IF(OR($A429="",K$24=""),"",IF(COUNTIFS('AFA Rates'!$A$5:$A$1004,$A429,'AFA Rates'!$B$5:$B$1004,K$24)&gt;0,"✓",""))</f>
        <v/>
      </c>
      <c r="L429" s="57">
        <f>IF(OR($A429="",L$24=""),"",IF(COUNTIFS('AFA Rates'!$A$5:$A$1004,$A429,'AFA Rates'!$B$5:$B$1004,L$24)&gt;0,"✓",""))</f>
        <v/>
      </c>
      <c r="M429" s="57">
        <f>IF(OR($A429="",M$24=""),"",IF(COUNTIFS('AFA Rates'!$A$5:$A$1004,$A429,'AFA Rates'!$B$5:$B$1004,M$24)&gt;0,"✓",""))</f>
        <v/>
      </c>
    </row>
    <row r="430">
      <c r="A430" s="63">
        <f>IFERROR(INDEX(Firms!$A$5:$A$1004,MATCH(406,Firms!$S$5:$S$1004,0)),"")</f>
        <v/>
      </c>
      <c r="B430" s="57">
        <f>IF($A430="","",INDEX(Firms!$B$5:$B$1004,MATCH(406,Firms!$S$5:$S$1004,0)))</f>
        <v/>
      </c>
      <c r="C430" s="57">
        <f>IF($A430="","",COUNTIF('AFA Rates'!$A$5:$A$1004,$A430))</f>
        <v/>
      </c>
      <c r="D430" s="57">
        <f>IF(OR($A430="",D$24=""),"",IF(COUNTIFS('AFA Rates'!$A$5:$A$1004,$A430,'AFA Rates'!$B$5:$B$1004,D$24)&gt;0,"✓",""))</f>
        <v/>
      </c>
      <c r="E430" s="57">
        <f>IF(OR($A430="",E$24=""),"",IF(COUNTIFS('AFA Rates'!$A$5:$A$1004,$A430,'AFA Rates'!$B$5:$B$1004,E$24)&gt;0,"✓",""))</f>
        <v/>
      </c>
      <c r="F430" s="57">
        <f>IF(OR($A430="",F$24=""),"",IF(COUNTIFS('AFA Rates'!$A$5:$A$1004,$A430,'AFA Rates'!$B$5:$B$1004,F$24)&gt;0,"✓",""))</f>
        <v/>
      </c>
      <c r="G430" s="57">
        <f>IF(OR($A430="",G$24=""),"",IF(COUNTIFS('AFA Rates'!$A$5:$A$1004,$A430,'AFA Rates'!$B$5:$B$1004,G$24)&gt;0,"✓",""))</f>
        <v/>
      </c>
      <c r="H430" s="57">
        <f>IF(OR($A430="",H$24=""),"",IF(COUNTIFS('AFA Rates'!$A$5:$A$1004,$A430,'AFA Rates'!$B$5:$B$1004,H$24)&gt;0,"✓",""))</f>
        <v/>
      </c>
      <c r="I430" s="57">
        <f>IF(OR($A430="",I$24=""),"",IF(COUNTIFS('AFA Rates'!$A$5:$A$1004,$A430,'AFA Rates'!$B$5:$B$1004,I$24)&gt;0,"✓",""))</f>
        <v/>
      </c>
      <c r="J430" s="57">
        <f>IF(OR($A430="",J$24=""),"",IF(COUNTIFS('AFA Rates'!$A$5:$A$1004,$A430,'AFA Rates'!$B$5:$B$1004,J$24)&gt;0,"✓",""))</f>
        <v/>
      </c>
      <c r="K430" s="57">
        <f>IF(OR($A430="",K$24=""),"",IF(COUNTIFS('AFA Rates'!$A$5:$A$1004,$A430,'AFA Rates'!$B$5:$B$1004,K$24)&gt;0,"✓",""))</f>
        <v/>
      </c>
      <c r="L430" s="57">
        <f>IF(OR($A430="",L$24=""),"",IF(COUNTIFS('AFA Rates'!$A$5:$A$1004,$A430,'AFA Rates'!$B$5:$B$1004,L$24)&gt;0,"✓",""))</f>
        <v/>
      </c>
      <c r="M430" s="57">
        <f>IF(OR($A430="",M$24=""),"",IF(COUNTIFS('AFA Rates'!$A$5:$A$1004,$A430,'AFA Rates'!$B$5:$B$1004,M$24)&gt;0,"✓",""))</f>
        <v/>
      </c>
    </row>
    <row r="431">
      <c r="A431" s="63">
        <f>IFERROR(INDEX(Firms!$A$5:$A$1004,MATCH(407,Firms!$S$5:$S$1004,0)),"")</f>
        <v/>
      </c>
      <c r="B431" s="57">
        <f>IF($A431="","",INDEX(Firms!$B$5:$B$1004,MATCH(407,Firms!$S$5:$S$1004,0)))</f>
        <v/>
      </c>
      <c r="C431" s="57">
        <f>IF($A431="","",COUNTIF('AFA Rates'!$A$5:$A$1004,$A431))</f>
        <v/>
      </c>
      <c r="D431" s="57">
        <f>IF(OR($A431="",D$24=""),"",IF(COUNTIFS('AFA Rates'!$A$5:$A$1004,$A431,'AFA Rates'!$B$5:$B$1004,D$24)&gt;0,"✓",""))</f>
        <v/>
      </c>
      <c r="E431" s="57">
        <f>IF(OR($A431="",E$24=""),"",IF(COUNTIFS('AFA Rates'!$A$5:$A$1004,$A431,'AFA Rates'!$B$5:$B$1004,E$24)&gt;0,"✓",""))</f>
        <v/>
      </c>
      <c r="F431" s="57">
        <f>IF(OR($A431="",F$24=""),"",IF(COUNTIFS('AFA Rates'!$A$5:$A$1004,$A431,'AFA Rates'!$B$5:$B$1004,F$24)&gt;0,"✓",""))</f>
        <v/>
      </c>
      <c r="G431" s="57">
        <f>IF(OR($A431="",G$24=""),"",IF(COUNTIFS('AFA Rates'!$A$5:$A$1004,$A431,'AFA Rates'!$B$5:$B$1004,G$24)&gt;0,"✓",""))</f>
        <v/>
      </c>
      <c r="H431" s="57">
        <f>IF(OR($A431="",H$24=""),"",IF(COUNTIFS('AFA Rates'!$A$5:$A$1004,$A431,'AFA Rates'!$B$5:$B$1004,H$24)&gt;0,"✓",""))</f>
        <v/>
      </c>
      <c r="I431" s="57">
        <f>IF(OR($A431="",I$24=""),"",IF(COUNTIFS('AFA Rates'!$A$5:$A$1004,$A431,'AFA Rates'!$B$5:$B$1004,I$24)&gt;0,"✓",""))</f>
        <v/>
      </c>
      <c r="J431" s="57">
        <f>IF(OR($A431="",J$24=""),"",IF(COUNTIFS('AFA Rates'!$A$5:$A$1004,$A431,'AFA Rates'!$B$5:$B$1004,J$24)&gt;0,"✓",""))</f>
        <v/>
      </c>
      <c r="K431" s="57">
        <f>IF(OR($A431="",K$24=""),"",IF(COUNTIFS('AFA Rates'!$A$5:$A$1004,$A431,'AFA Rates'!$B$5:$B$1004,K$24)&gt;0,"✓",""))</f>
        <v/>
      </c>
      <c r="L431" s="57">
        <f>IF(OR($A431="",L$24=""),"",IF(COUNTIFS('AFA Rates'!$A$5:$A$1004,$A431,'AFA Rates'!$B$5:$B$1004,L$24)&gt;0,"✓",""))</f>
        <v/>
      </c>
      <c r="M431" s="57">
        <f>IF(OR($A431="",M$24=""),"",IF(COUNTIFS('AFA Rates'!$A$5:$A$1004,$A431,'AFA Rates'!$B$5:$B$1004,M$24)&gt;0,"✓",""))</f>
        <v/>
      </c>
    </row>
    <row r="432">
      <c r="A432" s="63">
        <f>IFERROR(INDEX(Firms!$A$5:$A$1004,MATCH(408,Firms!$S$5:$S$1004,0)),"")</f>
        <v/>
      </c>
      <c r="B432" s="57">
        <f>IF($A432="","",INDEX(Firms!$B$5:$B$1004,MATCH(408,Firms!$S$5:$S$1004,0)))</f>
        <v/>
      </c>
      <c r="C432" s="57">
        <f>IF($A432="","",COUNTIF('AFA Rates'!$A$5:$A$1004,$A432))</f>
        <v/>
      </c>
      <c r="D432" s="57">
        <f>IF(OR($A432="",D$24=""),"",IF(COUNTIFS('AFA Rates'!$A$5:$A$1004,$A432,'AFA Rates'!$B$5:$B$1004,D$24)&gt;0,"✓",""))</f>
        <v/>
      </c>
      <c r="E432" s="57">
        <f>IF(OR($A432="",E$24=""),"",IF(COUNTIFS('AFA Rates'!$A$5:$A$1004,$A432,'AFA Rates'!$B$5:$B$1004,E$24)&gt;0,"✓",""))</f>
        <v/>
      </c>
      <c r="F432" s="57">
        <f>IF(OR($A432="",F$24=""),"",IF(COUNTIFS('AFA Rates'!$A$5:$A$1004,$A432,'AFA Rates'!$B$5:$B$1004,F$24)&gt;0,"✓",""))</f>
        <v/>
      </c>
      <c r="G432" s="57">
        <f>IF(OR($A432="",G$24=""),"",IF(COUNTIFS('AFA Rates'!$A$5:$A$1004,$A432,'AFA Rates'!$B$5:$B$1004,G$24)&gt;0,"✓",""))</f>
        <v/>
      </c>
      <c r="H432" s="57">
        <f>IF(OR($A432="",H$24=""),"",IF(COUNTIFS('AFA Rates'!$A$5:$A$1004,$A432,'AFA Rates'!$B$5:$B$1004,H$24)&gt;0,"✓",""))</f>
        <v/>
      </c>
      <c r="I432" s="57">
        <f>IF(OR($A432="",I$24=""),"",IF(COUNTIFS('AFA Rates'!$A$5:$A$1004,$A432,'AFA Rates'!$B$5:$B$1004,I$24)&gt;0,"✓",""))</f>
        <v/>
      </c>
      <c r="J432" s="57">
        <f>IF(OR($A432="",J$24=""),"",IF(COUNTIFS('AFA Rates'!$A$5:$A$1004,$A432,'AFA Rates'!$B$5:$B$1004,J$24)&gt;0,"✓",""))</f>
        <v/>
      </c>
      <c r="K432" s="57">
        <f>IF(OR($A432="",K$24=""),"",IF(COUNTIFS('AFA Rates'!$A$5:$A$1004,$A432,'AFA Rates'!$B$5:$B$1004,K$24)&gt;0,"✓",""))</f>
        <v/>
      </c>
      <c r="L432" s="57">
        <f>IF(OR($A432="",L$24=""),"",IF(COUNTIFS('AFA Rates'!$A$5:$A$1004,$A432,'AFA Rates'!$B$5:$B$1004,L$24)&gt;0,"✓",""))</f>
        <v/>
      </c>
      <c r="M432" s="57">
        <f>IF(OR($A432="",M$24=""),"",IF(COUNTIFS('AFA Rates'!$A$5:$A$1004,$A432,'AFA Rates'!$B$5:$B$1004,M$24)&gt;0,"✓",""))</f>
        <v/>
      </c>
    </row>
    <row r="433">
      <c r="A433" s="63">
        <f>IFERROR(INDEX(Firms!$A$5:$A$1004,MATCH(409,Firms!$S$5:$S$1004,0)),"")</f>
        <v/>
      </c>
      <c r="B433" s="57">
        <f>IF($A433="","",INDEX(Firms!$B$5:$B$1004,MATCH(409,Firms!$S$5:$S$1004,0)))</f>
        <v/>
      </c>
      <c r="C433" s="57">
        <f>IF($A433="","",COUNTIF('AFA Rates'!$A$5:$A$1004,$A433))</f>
        <v/>
      </c>
      <c r="D433" s="57">
        <f>IF(OR($A433="",D$24=""),"",IF(COUNTIFS('AFA Rates'!$A$5:$A$1004,$A433,'AFA Rates'!$B$5:$B$1004,D$24)&gt;0,"✓",""))</f>
        <v/>
      </c>
      <c r="E433" s="57">
        <f>IF(OR($A433="",E$24=""),"",IF(COUNTIFS('AFA Rates'!$A$5:$A$1004,$A433,'AFA Rates'!$B$5:$B$1004,E$24)&gt;0,"✓",""))</f>
        <v/>
      </c>
      <c r="F433" s="57">
        <f>IF(OR($A433="",F$24=""),"",IF(COUNTIFS('AFA Rates'!$A$5:$A$1004,$A433,'AFA Rates'!$B$5:$B$1004,F$24)&gt;0,"✓",""))</f>
        <v/>
      </c>
      <c r="G433" s="57">
        <f>IF(OR($A433="",G$24=""),"",IF(COUNTIFS('AFA Rates'!$A$5:$A$1004,$A433,'AFA Rates'!$B$5:$B$1004,G$24)&gt;0,"✓",""))</f>
        <v/>
      </c>
      <c r="H433" s="57">
        <f>IF(OR($A433="",H$24=""),"",IF(COUNTIFS('AFA Rates'!$A$5:$A$1004,$A433,'AFA Rates'!$B$5:$B$1004,H$24)&gt;0,"✓",""))</f>
        <v/>
      </c>
      <c r="I433" s="57">
        <f>IF(OR($A433="",I$24=""),"",IF(COUNTIFS('AFA Rates'!$A$5:$A$1004,$A433,'AFA Rates'!$B$5:$B$1004,I$24)&gt;0,"✓",""))</f>
        <v/>
      </c>
      <c r="J433" s="57">
        <f>IF(OR($A433="",J$24=""),"",IF(COUNTIFS('AFA Rates'!$A$5:$A$1004,$A433,'AFA Rates'!$B$5:$B$1004,J$24)&gt;0,"✓",""))</f>
        <v/>
      </c>
      <c r="K433" s="57">
        <f>IF(OR($A433="",K$24=""),"",IF(COUNTIFS('AFA Rates'!$A$5:$A$1004,$A433,'AFA Rates'!$B$5:$B$1004,K$24)&gt;0,"✓",""))</f>
        <v/>
      </c>
      <c r="L433" s="57">
        <f>IF(OR($A433="",L$24=""),"",IF(COUNTIFS('AFA Rates'!$A$5:$A$1004,$A433,'AFA Rates'!$B$5:$B$1004,L$24)&gt;0,"✓",""))</f>
        <v/>
      </c>
      <c r="M433" s="57">
        <f>IF(OR($A433="",M$24=""),"",IF(COUNTIFS('AFA Rates'!$A$5:$A$1004,$A433,'AFA Rates'!$B$5:$B$1004,M$24)&gt;0,"✓",""))</f>
        <v/>
      </c>
    </row>
    <row r="434">
      <c r="A434" s="63">
        <f>IFERROR(INDEX(Firms!$A$5:$A$1004,MATCH(410,Firms!$S$5:$S$1004,0)),"")</f>
        <v/>
      </c>
      <c r="B434" s="57">
        <f>IF($A434="","",INDEX(Firms!$B$5:$B$1004,MATCH(410,Firms!$S$5:$S$1004,0)))</f>
        <v/>
      </c>
      <c r="C434" s="57">
        <f>IF($A434="","",COUNTIF('AFA Rates'!$A$5:$A$1004,$A434))</f>
        <v/>
      </c>
      <c r="D434" s="57">
        <f>IF(OR($A434="",D$24=""),"",IF(COUNTIFS('AFA Rates'!$A$5:$A$1004,$A434,'AFA Rates'!$B$5:$B$1004,D$24)&gt;0,"✓",""))</f>
        <v/>
      </c>
      <c r="E434" s="57">
        <f>IF(OR($A434="",E$24=""),"",IF(COUNTIFS('AFA Rates'!$A$5:$A$1004,$A434,'AFA Rates'!$B$5:$B$1004,E$24)&gt;0,"✓",""))</f>
        <v/>
      </c>
      <c r="F434" s="57">
        <f>IF(OR($A434="",F$24=""),"",IF(COUNTIFS('AFA Rates'!$A$5:$A$1004,$A434,'AFA Rates'!$B$5:$B$1004,F$24)&gt;0,"✓",""))</f>
        <v/>
      </c>
      <c r="G434" s="57">
        <f>IF(OR($A434="",G$24=""),"",IF(COUNTIFS('AFA Rates'!$A$5:$A$1004,$A434,'AFA Rates'!$B$5:$B$1004,G$24)&gt;0,"✓",""))</f>
        <v/>
      </c>
      <c r="H434" s="57">
        <f>IF(OR($A434="",H$24=""),"",IF(COUNTIFS('AFA Rates'!$A$5:$A$1004,$A434,'AFA Rates'!$B$5:$B$1004,H$24)&gt;0,"✓",""))</f>
        <v/>
      </c>
      <c r="I434" s="57">
        <f>IF(OR($A434="",I$24=""),"",IF(COUNTIFS('AFA Rates'!$A$5:$A$1004,$A434,'AFA Rates'!$B$5:$B$1004,I$24)&gt;0,"✓",""))</f>
        <v/>
      </c>
      <c r="J434" s="57">
        <f>IF(OR($A434="",J$24=""),"",IF(COUNTIFS('AFA Rates'!$A$5:$A$1004,$A434,'AFA Rates'!$B$5:$B$1004,J$24)&gt;0,"✓",""))</f>
        <v/>
      </c>
      <c r="K434" s="57">
        <f>IF(OR($A434="",K$24=""),"",IF(COUNTIFS('AFA Rates'!$A$5:$A$1004,$A434,'AFA Rates'!$B$5:$B$1004,K$24)&gt;0,"✓",""))</f>
        <v/>
      </c>
      <c r="L434" s="57">
        <f>IF(OR($A434="",L$24=""),"",IF(COUNTIFS('AFA Rates'!$A$5:$A$1004,$A434,'AFA Rates'!$B$5:$B$1004,L$24)&gt;0,"✓",""))</f>
        <v/>
      </c>
      <c r="M434" s="57">
        <f>IF(OR($A434="",M$24=""),"",IF(COUNTIFS('AFA Rates'!$A$5:$A$1004,$A434,'AFA Rates'!$B$5:$B$1004,M$24)&gt;0,"✓",""))</f>
        <v/>
      </c>
    </row>
    <row r="435">
      <c r="A435" s="63">
        <f>IFERROR(INDEX(Firms!$A$5:$A$1004,MATCH(411,Firms!$S$5:$S$1004,0)),"")</f>
        <v/>
      </c>
      <c r="B435" s="57">
        <f>IF($A435="","",INDEX(Firms!$B$5:$B$1004,MATCH(411,Firms!$S$5:$S$1004,0)))</f>
        <v/>
      </c>
      <c r="C435" s="57">
        <f>IF($A435="","",COUNTIF('AFA Rates'!$A$5:$A$1004,$A435))</f>
        <v/>
      </c>
      <c r="D435" s="57">
        <f>IF(OR($A435="",D$24=""),"",IF(COUNTIFS('AFA Rates'!$A$5:$A$1004,$A435,'AFA Rates'!$B$5:$B$1004,D$24)&gt;0,"✓",""))</f>
        <v/>
      </c>
      <c r="E435" s="57">
        <f>IF(OR($A435="",E$24=""),"",IF(COUNTIFS('AFA Rates'!$A$5:$A$1004,$A435,'AFA Rates'!$B$5:$B$1004,E$24)&gt;0,"✓",""))</f>
        <v/>
      </c>
      <c r="F435" s="57">
        <f>IF(OR($A435="",F$24=""),"",IF(COUNTIFS('AFA Rates'!$A$5:$A$1004,$A435,'AFA Rates'!$B$5:$B$1004,F$24)&gt;0,"✓",""))</f>
        <v/>
      </c>
      <c r="G435" s="57">
        <f>IF(OR($A435="",G$24=""),"",IF(COUNTIFS('AFA Rates'!$A$5:$A$1004,$A435,'AFA Rates'!$B$5:$B$1004,G$24)&gt;0,"✓",""))</f>
        <v/>
      </c>
      <c r="H435" s="57">
        <f>IF(OR($A435="",H$24=""),"",IF(COUNTIFS('AFA Rates'!$A$5:$A$1004,$A435,'AFA Rates'!$B$5:$B$1004,H$24)&gt;0,"✓",""))</f>
        <v/>
      </c>
      <c r="I435" s="57">
        <f>IF(OR($A435="",I$24=""),"",IF(COUNTIFS('AFA Rates'!$A$5:$A$1004,$A435,'AFA Rates'!$B$5:$B$1004,I$24)&gt;0,"✓",""))</f>
        <v/>
      </c>
      <c r="J435" s="57">
        <f>IF(OR($A435="",J$24=""),"",IF(COUNTIFS('AFA Rates'!$A$5:$A$1004,$A435,'AFA Rates'!$B$5:$B$1004,J$24)&gt;0,"✓",""))</f>
        <v/>
      </c>
      <c r="K435" s="57">
        <f>IF(OR($A435="",K$24=""),"",IF(COUNTIFS('AFA Rates'!$A$5:$A$1004,$A435,'AFA Rates'!$B$5:$B$1004,K$24)&gt;0,"✓",""))</f>
        <v/>
      </c>
      <c r="L435" s="57">
        <f>IF(OR($A435="",L$24=""),"",IF(COUNTIFS('AFA Rates'!$A$5:$A$1004,$A435,'AFA Rates'!$B$5:$B$1004,L$24)&gt;0,"✓",""))</f>
        <v/>
      </c>
      <c r="M435" s="57">
        <f>IF(OR($A435="",M$24=""),"",IF(COUNTIFS('AFA Rates'!$A$5:$A$1004,$A435,'AFA Rates'!$B$5:$B$1004,M$24)&gt;0,"✓",""))</f>
        <v/>
      </c>
    </row>
    <row r="436">
      <c r="A436" s="63">
        <f>IFERROR(INDEX(Firms!$A$5:$A$1004,MATCH(412,Firms!$S$5:$S$1004,0)),"")</f>
        <v/>
      </c>
      <c r="B436" s="57">
        <f>IF($A436="","",INDEX(Firms!$B$5:$B$1004,MATCH(412,Firms!$S$5:$S$1004,0)))</f>
        <v/>
      </c>
      <c r="C436" s="57">
        <f>IF($A436="","",COUNTIF('AFA Rates'!$A$5:$A$1004,$A436))</f>
        <v/>
      </c>
      <c r="D436" s="57">
        <f>IF(OR($A436="",D$24=""),"",IF(COUNTIFS('AFA Rates'!$A$5:$A$1004,$A436,'AFA Rates'!$B$5:$B$1004,D$24)&gt;0,"✓",""))</f>
        <v/>
      </c>
      <c r="E436" s="57">
        <f>IF(OR($A436="",E$24=""),"",IF(COUNTIFS('AFA Rates'!$A$5:$A$1004,$A436,'AFA Rates'!$B$5:$B$1004,E$24)&gt;0,"✓",""))</f>
        <v/>
      </c>
      <c r="F436" s="57">
        <f>IF(OR($A436="",F$24=""),"",IF(COUNTIFS('AFA Rates'!$A$5:$A$1004,$A436,'AFA Rates'!$B$5:$B$1004,F$24)&gt;0,"✓",""))</f>
        <v/>
      </c>
      <c r="G436" s="57">
        <f>IF(OR($A436="",G$24=""),"",IF(COUNTIFS('AFA Rates'!$A$5:$A$1004,$A436,'AFA Rates'!$B$5:$B$1004,G$24)&gt;0,"✓",""))</f>
        <v/>
      </c>
      <c r="H436" s="57">
        <f>IF(OR($A436="",H$24=""),"",IF(COUNTIFS('AFA Rates'!$A$5:$A$1004,$A436,'AFA Rates'!$B$5:$B$1004,H$24)&gt;0,"✓",""))</f>
        <v/>
      </c>
      <c r="I436" s="57">
        <f>IF(OR($A436="",I$24=""),"",IF(COUNTIFS('AFA Rates'!$A$5:$A$1004,$A436,'AFA Rates'!$B$5:$B$1004,I$24)&gt;0,"✓",""))</f>
        <v/>
      </c>
      <c r="J436" s="57">
        <f>IF(OR($A436="",J$24=""),"",IF(COUNTIFS('AFA Rates'!$A$5:$A$1004,$A436,'AFA Rates'!$B$5:$B$1004,J$24)&gt;0,"✓",""))</f>
        <v/>
      </c>
      <c r="K436" s="57">
        <f>IF(OR($A436="",K$24=""),"",IF(COUNTIFS('AFA Rates'!$A$5:$A$1004,$A436,'AFA Rates'!$B$5:$B$1004,K$24)&gt;0,"✓",""))</f>
        <v/>
      </c>
      <c r="L436" s="57">
        <f>IF(OR($A436="",L$24=""),"",IF(COUNTIFS('AFA Rates'!$A$5:$A$1004,$A436,'AFA Rates'!$B$5:$B$1004,L$24)&gt;0,"✓",""))</f>
        <v/>
      </c>
      <c r="M436" s="57">
        <f>IF(OR($A436="",M$24=""),"",IF(COUNTIFS('AFA Rates'!$A$5:$A$1004,$A436,'AFA Rates'!$B$5:$B$1004,M$24)&gt;0,"✓",""))</f>
        <v/>
      </c>
    </row>
    <row r="437">
      <c r="A437" s="63">
        <f>IFERROR(INDEX(Firms!$A$5:$A$1004,MATCH(413,Firms!$S$5:$S$1004,0)),"")</f>
        <v/>
      </c>
      <c r="B437" s="57">
        <f>IF($A437="","",INDEX(Firms!$B$5:$B$1004,MATCH(413,Firms!$S$5:$S$1004,0)))</f>
        <v/>
      </c>
      <c r="C437" s="57">
        <f>IF($A437="","",COUNTIF('AFA Rates'!$A$5:$A$1004,$A437))</f>
        <v/>
      </c>
      <c r="D437" s="57">
        <f>IF(OR($A437="",D$24=""),"",IF(COUNTIFS('AFA Rates'!$A$5:$A$1004,$A437,'AFA Rates'!$B$5:$B$1004,D$24)&gt;0,"✓",""))</f>
        <v/>
      </c>
      <c r="E437" s="57">
        <f>IF(OR($A437="",E$24=""),"",IF(COUNTIFS('AFA Rates'!$A$5:$A$1004,$A437,'AFA Rates'!$B$5:$B$1004,E$24)&gt;0,"✓",""))</f>
        <v/>
      </c>
      <c r="F437" s="57">
        <f>IF(OR($A437="",F$24=""),"",IF(COUNTIFS('AFA Rates'!$A$5:$A$1004,$A437,'AFA Rates'!$B$5:$B$1004,F$24)&gt;0,"✓",""))</f>
        <v/>
      </c>
      <c r="G437" s="57">
        <f>IF(OR($A437="",G$24=""),"",IF(COUNTIFS('AFA Rates'!$A$5:$A$1004,$A437,'AFA Rates'!$B$5:$B$1004,G$24)&gt;0,"✓",""))</f>
        <v/>
      </c>
      <c r="H437" s="57">
        <f>IF(OR($A437="",H$24=""),"",IF(COUNTIFS('AFA Rates'!$A$5:$A$1004,$A437,'AFA Rates'!$B$5:$B$1004,H$24)&gt;0,"✓",""))</f>
        <v/>
      </c>
      <c r="I437" s="57">
        <f>IF(OR($A437="",I$24=""),"",IF(COUNTIFS('AFA Rates'!$A$5:$A$1004,$A437,'AFA Rates'!$B$5:$B$1004,I$24)&gt;0,"✓",""))</f>
        <v/>
      </c>
      <c r="J437" s="57">
        <f>IF(OR($A437="",J$24=""),"",IF(COUNTIFS('AFA Rates'!$A$5:$A$1004,$A437,'AFA Rates'!$B$5:$B$1004,J$24)&gt;0,"✓",""))</f>
        <v/>
      </c>
      <c r="K437" s="57">
        <f>IF(OR($A437="",K$24=""),"",IF(COUNTIFS('AFA Rates'!$A$5:$A$1004,$A437,'AFA Rates'!$B$5:$B$1004,K$24)&gt;0,"✓",""))</f>
        <v/>
      </c>
      <c r="L437" s="57">
        <f>IF(OR($A437="",L$24=""),"",IF(COUNTIFS('AFA Rates'!$A$5:$A$1004,$A437,'AFA Rates'!$B$5:$B$1004,L$24)&gt;0,"✓",""))</f>
        <v/>
      </c>
      <c r="M437" s="57">
        <f>IF(OR($A437="",M$24=""),"",IF(COUNTIFS('AFA Rates'!$A$5:$A$1004,$A437,'AFA Rates'!$B$5:$B$1004,M$24)&gt;0,"✓",""))</f>
        <v/>
      </c>
    </row>
    <row r="438">
      <c r="A438" s="63">
        <f>IFERROR(INDEX(Firms!$A$5:$A$1004,MATCH(414,Firms!$S$5:$S$1004,0)),"")</f>
        <v/>
      </c>
      <c r="B438" s="57">
        <f>IF($A438="","",INDEX(Firms!$B$5:$B$1004,MATCH(414,Firms!$S$5:$S$1004,0)))</f>
        <v/>
      </c>
      <c r="C438" s="57">
        <f>IF($A438="","",COUNTIF('AFA Rates'!$A$5:$A$1004,$A438))</f>
        <v/>
      </c>
      <c r="D438" s="57">
        <f>IF(OR($A438="",D$24=""),"",IF(COUNTIFS('AFA Rates'!$A$5:$A$1004,$A438,'AFA Rates'!$B$5:$B$1004,D$24)&gt;0,"✓",""))</f>
        <v/>
      </c>
      <c r="E438" s="57">
        <f>IF(OR($A438="",E$24=""),"",IF(COUNTIFS('AFA Rates'!$A$5:$A$1004,$A438,'AFA Rates'!$B$5:$B$1004,E$24)&gt;0,"✓",""))</f>
        <v/>
      </c>
      <c r="F438" s="57">
        <f>IF(OR($A438="",F$24=""),"",IF(COUNTIFS('AFA Rates'!$A$5:$A$1004,$A438,'AFA Rates'!$B$5:$B$1004,F$24)&gt;0,"✓",""))</f>
        <v/>
      </c>
      <c r="G438" s="57">
        <f>IF(OR($A438="",G$24=""),"",IF(COUNTIFS('AFA Rates'!$A$5:$A$1004,$A438,'AFA Rates'!$B$5:$B$1004,G$24)&gt;0,"✓",""))</f>
        <v/>
      </c>
      <c r="H438" s="57">
        <f>IF(OR($A438="",H$24=""),"",IF(COUNTIFS('AFA Rates'!$A$5:$A$1004,$A438,'AFA Rates'!$B$5:$B$1004,H$24)&gt;0,"✓",""))</f>
        <v/>
      </c>
      <c r="I438" s="57">
        <f>IF(OR($A438="",I$24=""),"",IF(COUNTIFS('AFA Rates'!$A$5:$A$1004,$A438,'AFA Rates'!$B$5:$B$1004,I$24)&gt;0,"✓",""))</f>
        <v/>
      </c>
      <c r="J438" s="57">
        <f>IF(OR($A438="",J$24=""),"",IF(COUNTIFS('AFA Rates'!$A$5:$A$1004,$A438,'AFA Rates'!$B$5:$B$1004,J$24)&gt;0,"✓",""))</f>
        <v/>
      </c>
      <c r="K438" s="57">
        <f>IF(OR($A438="",K$24=""),"",IF(COUNTIFS('AFA Rates'!$A$5:$A$1004,$A438,'AFA Rates'!$B$5:$B$1004,K$24)&gt;0,"✓",""))</f>
        <v/>
      </c>
      <c r="L438" s="57">
        <f>IF(OR($A438="",L$24=""),"",IF(COUNTIFS('AFA Rates'!$A$5:$A$1004,$A438,'AFA Rates'!$B$5:$B$1004,L$24)&gt;0,"✓",""))</f>
        <v/>
      </c>
      <c r="M438" s="57">
        <f>IF(OR($A438="",M$24=""),"",IF(COUNTIFS('AFA Rates'!$A$5:$A$1004,$A438,'AFA Rates'!$B$5:$B$1004,M$24)&gt;0,"✓",""))</f>
        <v/>
      </c>
    </row>
    <row r="439">
      <c r="A439" s="63">
        <f>IFERROR(INDEX(Firms!$A$5:$A$1004,MATCH(415,Firms!$S$5:$S$1004,0)),"")</f>
        <v/>
      </c>
      <c r="B439" s="57">
        <f>IF($A439="","",INDEX(Firms!$B$5:$B$1004,MATCH(415,Firms!$S$5:$S$1004,0)))</f>
        <v/>
      </c>
      <c r="C439" s="57">
        <f>IF($A439="","",COUNTIF('AFA Rates'!$A$5:$A$1004,$A439))</f>
        <v/>
      </c>
      <c r="D439" s="57">
        <f>IF(OR($A439="",D$24=""),"",IF(COUNTIFS('AFA Rates'!$A$5:$A$1004,$A439,'AFA Rates'!$B$5:$B$1004,D$24)&gt;0,"✓",""))</f>
        <v/>
      </c>
      <c r="E439" s="57">
        <f>IF(OR($A439="",E$24=""),"",IF(COUNTIFS('AFA Rates'!$A$5:$A$1004,$A439,'AFA Rates'!$B$5:$B$1004,E$24)&gt;0,"✓",""))</f>
        <v/>
      </c>
      <c r="F439" s="57">
        <f>IF(OR($A439="",F$24=""),"",IF(COUNTIFS('AFA Rates'!$A$5:$A$1004,$A439,'AFA Rates'!$B$5:$B$1004,F$24)&gt;0,"✓",""))</f>
        <v/>
      </c>
      <c r="G439" s="57">
        <f>IF(OR($A439="",G$24=""),"",IF(COUNTIFS('AFA Rates'!$A$5:$A$1004,$A439,'AFA Rates'!$B$5:$B$1004,G$24)&gt;0,"✓",""))</f>
        <v/>
      </c>
      <c r="H439" s="57">
        <f>IF(OR($A439="",H$24=""),"",IF(COUNTIFS('AFA Rates'!$A$5:$A$1004,$A439,'AFA Rates'!$B$5:$B$1004,H$24)&gt;0,"✓",""))</f>
        <v/>
      </c>
      <c r="I439" s="57">
        <f>IF(OR($A439="",I$24=""),"",IF(COUNTIFS('AFA Rates'!$A$5:$A$1004,$A439,'AFA Rates'!$B$5:$B$1004,I$24)&gt;0,"✓",""))</f>
        <v/>
      </c>
      <c r="J439" s="57">
        <f>IF(OR($A439="",J$24=""),"",IF(COUNTIFS('AFA Rates'!$A$5:$A$1004,$A439,'AFA Rates'!$B$5:$B$1004,J$24)&gt;0,"✓",""))</f>
        <v/>
      </c>
      <c r="K439" s="57">
        <f>IF(OR($A439="",K$24=""),"",IF(COUNTIFS('AFA Rates'!$A$5:$A$1004,$A439,'AFA Rates'!$B$5:$B$1004,K$24)&gt;0,"✓",""))</f>
        <v/>
      </c>
      <c r="L439" s="57">
        <f>IF(OR($A439="",L$24=""),"",IF(COUNTIFS('AFA Rates'!$A$5:$A$1004,$A439,'AFA Rates'!$B$5:$B$1004,L$24)&gt;0,"✓",""))</f>
        <v/>
      </c>
      <c r="M439" s="57">
        <f>IF(OR($A439="",M$24=""),"",IF(COUNTIFS('AFA Rates'!$A$5:$A$1004,$A439,'AFA Rates'!$B$5:$B$1004,M$24)&gt;0,"✓",""))</f>
        <v/>
      </c>
    </row>
    <row r="440">
      <c r="A440" s="63">
        <f>IFERROR(INDEX(Firms!$A$5:$A$1004,MATCH(416,Firms!$S$5:$S$1004,0)),"")</f>
        <v/>
      </c>
      <c r="B440" s="57">
        <f>IF($A440="","",INDEX(Firms!$B$5:$B$1004,MATCH(416,Firms!$S$5:$S$1004,0)))</f>
        <v/>
      </c>
      <c r="C440" s="57">
        <f>IF($A440="","",COUNTIF('AFA Rates'!$A$5:$A$1004,$A440))</f>
        <v/>
      </c>
      <c r="D440" s="57">
        <f>IF(OR($A440="",D$24=""),"",IF(COUNTIFS('AFA Rates'!$A$5:$A$1004,$A440,'AFA Rates'!$B$5:$B$1004,D$24)&gt;0,"✓",""))</f>
        <v/>
      </c>
      <c r="E440" s="57">
        <f>IF(OR($A440="",E$24=""),"",IF(COUNTIFS('AFA Rates'!$A$5:$A$1004,$A440,'AFA Rates'!$B$5:$B$1004,E$24)&gt;0,"✓",""))</f>
        <v/>
      </c>
      <c r="F440" s="57">
        <f>IF(OR($A440="",F$24=""),"",IF(COUNTIFS('AFA Rates'!$A$5:$A$1004,$A440,'AFA Rates'!$B$5:$B$1004,F$24)&gt;0,"✓",""))</f>
        <v/>
      </c>
      <c r="G440" s="57">
        <f>IF(OR($A440="",G$24=""),"",IF(COUNTIFS('AFA Rates'!$A$5:$A$1004,$A440,'AFA Rates'!$B$5:$B$1004,G$24)&gt;0,"✓",""))</f>
        <v/>
      </c>
      <c r="H440" s="57">
        <f>IF(OR($A440="",H$24=""),"",IF(COUNTIFS('AFA Rates'!$A$5:$A$1004,$A440,'AFA Rates'!$B$5:$B$1004,H$24)&gt;0,"✓",""))</f>
        <v/>
      </c>
      <c r="I440" s="57">
        <f>IF(OR($A440="",I$24=""),"",IF(COUNTIFS('AFA Rates'!$A$5:$A$1004,$A440,'AFA Rates'!$B$5:$B$1004,I$24)&gt;0,"✓",""))</f>
        <v/>
      </c>
      <c r="J440" s="57">
        <f>IF(OR($A440="",J$24=""),"",IF(COUNTIFS('AFA Rates'!$A$5:$A$1004,$A440,'AFA Rates'!$B$5:$B$1004,J$24)&gt;0,"✓",""))</f>
        <v/>
      </c>
      <c r="K440" s="57">
        <f>IF(OR($A440="",K$24=""),"",IF(COUNTIFS('AFA Rates'!$A$5:$A$1004,$A440,'AFA Rates'!$B$5:$B$1004,K$24)&gt;0,"✓",""))</f>
        <v/>
      </c>
      <c r="L440" s="57">
        <f>IF(OR($A440="",L$24=""),"",IF(COUNTIFS('AFA Rates'!$A$5:$A$1004,$A440,'AFA Rates'!$B$5:$B$1004,L$24)&gt;0,"✓",""))</f>
        <v/>
      </c>
      <c r="M440" s="57">
        <f>IF(OR($A440="",M$24=""),"",IF(COUNTIFS('AFA Rates'!$A$5:$A$1004,$A440,'AFA Rates'!$B$5:$B$1004,M$24)&gt;0,"✓",""))</f>
        <v/>
      </c>
    </row>
    <row r="441">
      <c r="A441" s="63">
        <f>IFERROR(INDEX(Firms!$A$5:$A$1004,MATCH(417,Firms!$S$5:$S$1004,0)),"")</f>
        <v/>
      </c>
      <c r="B441" s="57">
        <f>IF($A441="","",INDEX(Firms!$B$5:$B$1004,MATCH(417,Firms!$S$5:$S$1004,0)))</f>
        <v/>
      </c>
      <c r="C441" s="57">
        <f>IF($A441="","",COUNTIF('AFA Rates'!$A$5:$A$1004,$A441))</f>
        <v/>
      </c>
      <c r="D441" s="57">
        <f>IF(OR($A441="",D$24=""),"",IF(COUNTIFS('AFA Rates'!$A$5:$A$1004,$A441,'AFA Rates'!$B$5:$B$1004,D$24)&gt;0,"✓",""))</f>
        <v/>
      </c>
      <c r="E441" s="57">
        <f>IF(OR($A441="",E$24=""),"",IF(COUNTIFS('AFA Rates'!$A$5:$A$1004,$A441,'AFA Rates'!$B$5:$B$1004,E$24)&gt;0,"✓",""))</f>
        <v/>
      </c>
      <c r="F441" s="57">
        <f>IF(OR($A441="",F$24=""),"",IF(COUNTIFS('AFA Rates'!$A$5:$A$1004,$A441,'AFA Rates'!$B$5:$B$1004,F$24)&gt;0,"✓",""))</f>
        <v/>
      </c>
      <c r="G441" s="57">
        <f>IF(OR($A441="",G$24=""),"",IF(COUNTIFS('AFA Rates'!$A$5:$A$1004,$A441,'AFA Rates'!$B$5:$B$1004,G$24)&gt;0,"✓",""))</f>
        <v/>
      </c>
      <c r="H441" s="57">
        <f>IF(OR($A441="",H$24=""),"",IF(COUNTIFS('AFA Rates'!$A$5:$A$1004,$A441,'AFA Rates'!$B$5:$B$1004,H$24)&gt;0,"✓",""))</f>
        <v/>
      </c>
      <c r="I441" s="57">
        <f>IF(OR($A441="",I$24=""),"",IF(COUNTIFS('AFA Rates'!$A$5:$A$1004,$A441,'AFA Rates'!$B$5:$B$1004,I$24)&gt;0,"✓",""))</f>
        <v/>
      </c>
      <c r="J441" s="57">
        <f>IF(OR($A441="",J$24=""),"",IF(COUNTIFS('AFA Rates'!$A$5:$A$1004,$A441,'AFA Rates'!$B$5:$B$1004,J$24)&gt;0,"✓",""))</f>
        <v/>
      </c>
      <c r="K441" s="57">
        <f>IF(OR($A441="",K$24=""),"",IF(COUNTIFS('AFA Rates'!$A$5:$A$1004,$A441,'AFA Rates'!$B$5:$B$1004,K$24)&gt;0,"✓",""))</f>
        <v/>
      </c>
      <c r="L441" s="57">
        <f>IF(OR($A441="",L$24=""),"",IF(COUNTIFS('AFA Rates'!$A$5:$A$1004,$A441,'AFA Rates'!$B$5:$B$1004,L$24)&gt;0,"✓",""))</f>
        <v/>
      </c>
      <c r="M441" s="57">
        <f>IF(OR($A441="",M$24=""),"",IF(COUNTIFS('AFA Rates'!$A$5:$A$1004,$A441,'AFA Rates'!$B$5:$B$1004,M$24)&gt;0,"✓",""))</f>
        <v/>
      </c>
    </row>
    <row r="442">
      <c r="A442" s="63">
        <f>IFERROR(INDEX(Firms!$A$5:$A$1004,MATCH(418,Firms!$S$5:$S$1004,0)),"")</f>
        <v/>
      </c>
      <c r="B442" s="57">
        <f>IF($A442="","",INDEX(Firms!$B$5:$B$1004,MATCH(418,Firms!$S$5:$S$1004,0)))</f>
        <v/>
      </c>
      <c r="C442" s="57">
        <f>IF($A442="","",COUNTIF('AFA Rates'!$A$5:$A$1004,$A442))</f>
        <v/>
      </c>
      <c r="D442" s="57">
        <f>IF(OR($A442="",D$24=""),"",IF(COUNTIFS('AFA Rates'!$A$5:$A$1004,$A442,'AFA Rates'!$B$5:$B$1004,D$24)&gt;0,"✓",""))</f>
        <v/>
      </c>
      <c r="E442" s="57">
        <f>IF(OR($A442="",E$24=""),"",IF(COUNTIFS('AFA Rates'!$A$5:$A$1004,$A442,'AFA Rates'!$B$5:$B$1004,E$24)&gt;0,"✓",""))</f>
        <v/>
      </c>
      <c r="F442" s="57">
        <f>IF(OR($A442="",F$24=""),"",IF(COUNTIFS('AFA Rates'!$A$5:$A$1004,$A442,'AFA Rates'!$B$5:$B$1004,F$24)&gt;0,"✓",""))</f>
        <v/>
      </c>
      <c r="G442" s="57">
        <f>IF(OR($A442="",G$24=""),"",IF(COUNTIFS('AFA Rates'!$A$5:$A$1004,$A442,'AFA Rates'!$B$5:$B$1004,G$24)&gt;0,"✓",""))</f>
        <v/>
      </c>
      <c r="H442" s="57">
        <f>IF(OR($A442="",H$24=""),"",IF(COUNTIFS('AFA Rates'!$A$5:$A$1004,$A442,'AFA Rates'!$B$5:$B$1004,H$24)&gt;0,"✓",""))</f>
        <v/>
      </c>
      <c r="I442" s="57">
        <f>IF(OR($A442="",I$24=""),"",IF(COUNTIFS('AFA Rates'!$A$5:$A$1004,$A442,'AFA Rates'!$B$5:$B$1004,I$24)&gt;0,"✓",""))</f>
        <v/>
      </c>
      <c r="J442" s="57">
        <f>IF(OR($A442="",J$24=""),"",IF(COUNTIFS('AFA Rates'!$A$5:$A$1004,$A442,'AFA Rates'!$B$5:$B$1004,J$24)&gt;0,"✓",""))</f>
        <v/>
      </c>
      <c r="K442" s="57">
        <f>IF(OR($A442="",K$24=""),"",IF(COUNTIFS('AFA Rates'!$A$5:$A$1004,$A442,'AFA Rates'!$B$5:$B$1004,K$24)&gt;0,"✓",""))</f>
        <v/>
      </c>
      <c r="L442" s="57">
        <f>IF(OR($A442="",L$24=""),"",IF(COUNTIFS('AFA Rates'!$A$5:$A$1004,$A442,'AFA Rates'!$B$5:$B$1004,L$24)&gt;0,"✓",""))</f>
        <v/>
      </c>
      <c r="M442" s="57">
        <f>IF(OR($A442="",M$24=""),"",IF(COUNTIFS('AFA Rates'!$A$5:$A$1004,$A442,'AFA Rates'!$B$5:$B$1004,M$24)&gt;0,"✓",""))</f>
        <v/>
      </c>
    </row>
    <row r="443">
      <c r="A443" s="63">
        <f>IFERROR(INDEX(Firms!$A$5:$A$1004,MATCH(419,Firms!$S$5:$S$1004,0)),"")</f>
        <v/>
      </c>
      <c r="B443" s="57">
        <f>IF($A443="","",INDEX(Firms!$B$5:$B$1004,MATCH(419,Firms!$S$5:$S$1004,0)))</f>
        <v/>
      </c>
      <c r="C443" s="57">
        <f>IF($A443="","",COUNTIF('AFA Rates'!$A$5:$A$1004,$A443))</f>
        <v/>
      </c>
      <c r="D443" s="57">
        <f>IF(OR($A443="",D$24=""),"",IF(COUNTIFS('AFA Rates'!$A$5:$A$1004,$A443,'AFA Rates'!$B$5:$B$1004,D$24)&gt;0,"✓",""))</f>
        <v/>
      </c>
      <c r="E443" s="57">
        <f>IF(OR($A443="",E$24=""),"",IF(COUNTIFS('AFA Rates'!$A$5:$A$1004,$A443,'AFA Rates'!$B$5:$B$1004,E$24)&gt;0,"✓",""))</f>
        <v/>
      </c>
      <c r="F443" s="57">
        <f>IF(OR($A443="",F$24=""),"",IF(COUNTIFS('AFA Rates'!$A$5:$A$1004,$A443,'AFA Rates'!$B$5:$B$1004,F$24)&gt;0,"✓",""))</f>
        <v/>
      </c>
      <c r="G443" s="57">
        <f>IF(OR($A443="",G$24=""),"",IF(COUNTIFS('AFA Rates'!$A$5:$A$1004,$A443,'AFA Rates'!$B$5:$B$1004,G$24)&gt;0,"✓",""))</f>
        <v/>
      </c>
      <c r="H443" s="57">
        <f>IF(OR($A443="",H$24=""),"",IF(COUNTIFS('AFA Rates'!$A$5:$A$1004,$A443,'AFA Rates'!$B$5:$B$1004,H$24)&gt;0,"✓",""))</f>
        <v/>
      </c>
      <c r="I443" s="57">
        <f>IF(OR($A443="",I$24=""),"",IF(COUNTIFS('AFA Rates'!$A$5:$A$1004,$A443,'AFA Rates'!$B$5:$B$1004,I$24)&gt;0,"✓",""))</f>
        <v/>
      </c>
      <c r="J443" s="57">
        <f>IF(OR($A443="",J$24=""),"",IF(COUNTIFS('AFA Rates'!$A$5:$A$1004,$A443,'AFA Rates'!$B$5:$B$1004,J$24)&gt;0,"✓",""))</f>
        <v/>
      </c>
      <c r="K443" s="57">
        <f>IF(OR($A443="",K$24=""),"",IF(COUNTIFS('AFA Rates'!$A$5:$A$1004,$A443,'AFA Rates'!$B$5:$B$1004,K$24)&gt;0,"✓",""))</f>
        <v/>
      </c>
      <c r="L443" s="57">
        <f>IF(OR($A443="",L$24=""),"",IF(COUNTIFS('AFA Rates'!$A$5:$A$1004,$A443,'AFA Rates'!$B$5:$B$1004,L$24)&gt;0,"✓",""))</f>
        <v/>
      </c>
      <c r="M443" s="57">
        <f>IF(OR($A443="",M$24=""),"",IF(COUNTIFS('AFA Rates'!$A$5:$A$1004,$A443,'AFA Rates'!$B$5:$B$1004,M$24)&gt;0,"✓",""))</f>
        <v/>
      </c>
    </row>
    <row r="444">
      <c r="A444" s="63">
        <f>IFERROR(INDEX(Firms!$A$5:$A$1004,MATCH(420,Firms!$S$5:$S$1004,0)),"")</f>
        <v/>
      </c>
      <c r="B444" s="57">
        <f>IF($A444="","",INDEX(Firms!$B$5:$B$1004,MATCH(420,Firms!$S$5:$S$1004,0)))</f>
        <v/>
      </c>
      <c r="C444" s="57">
        <f>IF($A444="","",COUNTIF('AFA Rates'!$A$5:$A$1004,$A444))</f>
        <v/>
      </c>
      <c r="D444" s="57">
        <f>IF(OR($A444="",D$24=""),"",IF(COUNTIFS('AFA Rates'!$A$5:$A$1004,$A444,'AFA Rates'!$B$5:$B$1004,D$24)&gt;0,"✓",""))</f>
        <v/>
      </c>
      <c r="E444" s="57">
        <f>IF(OR($A444="",E$24=""),"",IF(COUNTIFS('AFA Rates'!$A$5:$A$1004,$A444,'AFA Rates'!$B$5:$B$1004,E$24)&gt;0,"✓",""))</f>
        <v/>
      </c>
      <c r="F444" s="57">
        <f>IF(OR($A444="",F$24=""),"",IF(COUNTIFS('AFA Rates'!$A$5:$A$1004,$A444,'AFA Rates'!$B$5:$B$1004,F$24)&gt;0,"✓",""))</f>
        <v/>
      </c>
      <c r="G444" s="57">
        <f>IF(OR($A444="",G$24=""),"",IF(COUNTIFS('AFA Rates'!$A$5:$A$1004,$A444,'AFA Rates'!$B$5:$B$1004,G$24)&gt;0,"✓",""))</f>
        <v/>
      </c>
      <c r="H444" s="57">
        <f>IF(OR($A444="",H$24=""),"",IF(COUNTIFS('AFA Rates'!$A$5:$A$1004,$A444,'AFA Rates'!$B$5:$B$1004,H$24)&gt;0,"✓",""))</f>
        <v/>
      </c>
      <c r="I444" s="57">
        <f>IF(OR($A444="",I$24=""),"",IF(COUNTIFS('AFA Rates'!$A$5:$A$1004,$A444,'AFA Rates'!$B$5:$B$1004,I$24)&gt;0,"✓",""))</f>
        <v/>
      </c>
      <c r="J444" s="57">
        <f>IF(OR($A444="",J$24=""),"",IF(COUNTIFS('AFA Rates'!$A$5:$A$1004,$A444,'AFA Rates'!$B$5:$B$1004,J$24)&gt;0,"✓",""))</f>
        <v/>
      </c>
      <c r="K444" s="57">
        <f>IF(OR($A444="",K$24=""),"",IF(COUNTIFS('AFA Rates'!$A$5:$A$1004,$A444,'AFA Rates'!$B$5:$B$1004,K$24)&gt;0,"✓",""))</f>
        <v/>
      </c>
      <c r="L444" s="57">
        <f>IF(OR($A444="",L$24=""),"",IF(COUNTIFS('AFA Rates'!$A$5:$A$1004,$A444,'AFA Rates'!$B$5:$B$1004,L$24)&gt;0,"✓",""))</f>
        <v/>
      </c>
      <c r="M444" s="57">
        <f>IF(OR($A444="",M$24=""),"",IF(COUNTIFS('AFA Rates'!$A$5:$A$1004,$A444,'AFA Rates'!$B$5:$B$1004,M$24)&gt;0,"✓",""))</f>
        <v/>
      </c>
    </row>
    <row r="445">
      <c r="A445" s="63">
        <f>IFERROR(INDEX(Firms!$A$5:$A$1004,MATCH(421,Firms!$S$5:$S$1004,0)),"")</f>
        <v/>
      </c>
      <c r="B445" s="57">
        <f>IF($A445="","",INDEX(Firms!$B$5:$B$1004,MATCH(421,Firms!$S$5:$S$1004,0)))</f>
        <v/>
      </c>
      <c r="C445" s="57">
        <f>IF($A445="","",COUNTIF('AFA Rates'!$A$5:$A$1004,$A445))</f>
        <v/>
      </c>
      <c r="D445" s="57">
        <f>IF(OR($A445="",D$24=""),"",IF(COUNTIFS('AFA Rates'!$A$5:$A$1004,$A445,'AFA Rates'!$B$5:$B$1004,D$24)&gt;0,"✓",""))</f>
        <v/>
      </c>
      <c r="E445" s="57">
        <f>IF(OR($A445="",E$24=""),"",IF(COUNTIFS('AFA Rates'!$A$5:$A$1004,$A445,'AFA Rates'!$B$5:$B$1004,E$24)&gt;0,"✓",""))</f>
        <v/>
      </c>
      <c r="F445" s="57">
        <f>IF(OR($A445="",F$24=""),"",IF(COUNTIFS('AFA Rates'!$A$5:$A$1004,$A445,'AFA Rates'!$B$5:$B$1004,F$24)&gt;0,"✓",""))</f>
        <v/>
      </c>
      <c r="G445" s="57">
        <f>IF(OR($A445="",G$24=""),"",IF(COUNTIFS('AFA Rates'!$A$5:$A$1004,$A445,'AFA Rates'!$B$5:$B$1004,G$24)&gt;0,"✓",""))</f>
        <v/>
      </c>
      <c r="H445" s="57">
        <f>IF(OR($A445="",H$24=""),"",IF(COUNTIFS('AFA Rates'!$A$5:$A$1004,$A445,'AFA Rates'!$B$5:$B$1004,H$24)&gt;0,"✓",""))</f>
        <v/>
      </c>
      <c r="I445" s="57">
        <f>IF(OR($A445="",I$24=""),"",IF(COUNTIFS('AFA Rates'!$A$5:$A$1004,$A445,'AFA Rates'!$B$5:$B$1004,I$24)&gt;0,"✓",""))</f>
        <v/>
      </c>
      <c r="J445" s="57">
        <f>IF(OR($A445="",J$24=""),"",IF(COUNTIFS('AFA Rates'!$A$5:$A$1004,$A445,'AFA Rates'!$B$5:$B$1004,J$24)&gt;0,"✓",""))</f>
        <v/>
      </c>
      <c r="K445" s="57">
        <f>IF(OR($A445="",K$24=""),"",IF(COUNTIFS('AFA Rates'!$A$5:$A$1004,$A445,'AFA Rates'!$B$5:$B$1004,K$24)&gt;0,"✓",""))</f>
        <v/>
      </c>
      <c r="L445" s="57">
        <f>IF(OR($A445="",L$24=""),"",IF(COUNTIFS('AFA Rates'!$A$5:$A$1004,$A445,'AFA Rates'!$B$5:$B$1004,L$24)&gt;0,"✓",""))</f>
        <v/>
      </c>
      <c r="M445" s="57">
        <f>IF(OR($A445="",M$24=""),"",IF(COUNTIFS('AFA Rates'!$A$5:$A$1004,$A445,'AFA Rates'!$B$5:$B$1004,M$24)&gt;0,"✓",""))</f>
        <v/>
      </c>
    </row>
    <row r="446">
      <c r="A446" s="63">
        <f>IFERROR(INDEX(Firms!$A$5:$A$1004,MATCH(422,Firms!$S$5:$S$1004,0)),"")</f>
        <v/>
      </c>
      <c r="B446" s="57">
        <f>IF($A446="","",INDEX(Firms!$B$5:$B$1004,MATCH(422,Firms!$S$5:$S$1004,0)))</f>
        <v/>
      </c>
      <c r="C446" s="57">
        <f>IF($A446="","",COUNTIF('AFA Rates'!$A$5:$A$1004,$A446))</f>
        <v/>
      </c>
      <c r="D446" s="57">
        <f>IF(OR($A446="",D$24=""),"",IF(COUNTIFS('AFA Rates'!$A$5:$A$1004,$A446,'AFA Rates'!$B$5:$B$1004,D$24)&gt;0,"✓",""))</f>
        <v/>
      </c>
      <c r="E446" s="57">
        <f>IF(OR($A446="",E$24=""),"",IF(COUNTIFS('AFA Rates'!$A$5:$A$1004,$A446,'AFA Rates'!$B$5:$B$1004,E$24)&gt;0,"✓",""))</f>
        <v/>
      </c>
      <c r="F446" s="57">
        <f>IF(OR($A446="",F$24=""),"",IF(COUNTIFS('AFA Rates'!$A$5:$A$1004,$A446,'AFA Rates'!$B$5:$B$1004,F$24)&gt;0,"✓",""))</f>
        <v/>
      </c>
      <c r="G446" s="57">
        <f>IF(OR($A446="",G$24=""),"",IF(COUNTIFS('AFA Rates'!$A$5:$A$1004,$A446,'AFA Rates'!$B$5:$B$1004,G$24)&gt;0,"✓",""))</f>
        <v/>
      </c>
      <c r="H446" s="57">
        <f>IF(OR($A446="",H$24=""),"",IF(COUNTIFS('AFA Rates'!$A$5:$A$1004,$A446,'AFA Rates'!$B$5:$B$1004,H$24)&gt;0,"✓",""))</f>
        <v/>
      </c>
      <c r="I446" s="57">
        <f>IF(OR($A446="",I$24=""),"",IF(COUNTIFS('AFA Rates'!$A$5:$A$1004,$A446,'AFA Rates'!$B$5:$B$1004,I$24)&gt;0,"✓",""))</f>
        <v/>
      </c>
      <c r="J446" s="57">
        <f>IF(OR($A446="",J$24=""),"",IF(COUNTIFS('AFA Rates'!$A$5:$A$1004,$A446,'AFA Rates'!$B$5:$B$1004,J$24)&gt;0,"✓",""))</f>
        <v/>
      </c>
      <c r="K446" s="57">
        <f>IF(OR($A446="",K$24=""),"",IF(COUNTIFS('AFA Rates'!$A$5:$A$1004,$A446,'AFA Rates'!$B$5:$B$1004,K$24)&gt;0,"✓",""))</f>
        <v/>
      </c>
      <c r="L446" s="57">
        <f>IF(OR($A446="",L$24=""),"",IF(COUNTIFS('AFA Rates'!$A$5:$A$1004,$A446,'AFA Rates'!$B$5:$B$1004,L$24)&gt;0,"✓",""))</f>
        <v/>
      </c>
      <c r="M446" s="57">
        <f>IF(OR($A446="",M$24=""),"",IF(COUNTIFS('AFA Rates'!$A$5:$A$1004,$A446,'AFA Rates'!$B$5:$B$1004,M$24)&gt;0,"✓",""))</f>
        <v/>
      </c>
    </row>
    <row r="447">
      <c r="A447" s="63">
        <f>IFERROR(INDEX(Firms!$A$5:$A$1004,MATCH(423,Firms!$S$5:$S$1004,0)),"")</f>
        <v/>
      </c>
      <c r="B447" s="57">
        <f>IF($A447="","",INDEX(Firms!$B$5:$B$1004,MATCH(423,Firms!$S$5:$S$1004,0)))</f>
        <v/>
      </c>
      <c r="C447" s="57">
        <f>IF($A447="","",COUNTIF('AFA Rates'!$A$5:$A$1004,$A447))</f>
        <v/>
      </c>
      <c r="D447" s="57">
        <f>IF(OR($A447="",D$24=""),"",IF(COUNTIFS('AFA Rates'!$A$5:$A$1004,$A447,'AFA Rates'!$B$5:$B$1004,D$24)&gt;0,"✓",""))</f>
        <v/>
      </c>
      <c r="E447" s="57">
        <f>IF(OR($A447="",E$24=""),"",IF(COUNTIFS('AFA Rates'!$A$5:$A$1004,$A447,'AFA Rates'!$B$5:$B$1004,E$24)&gt;0,"✓",""))</f>
        <v/>
      </c>
      <c r="F447" s="57">
        <f>IF(OR($A447="",F$24=""),"",IF(COUNTIFS('AFA Rates'!$A$5:$A$1004,$A447,'AFA Rates'!$B$5:$B$1004,F$24)&gt;0,"✓",""))</f>
        <v/>
      </c>
      <c r="G447" s="57">
        <f>IF(OR($A447="",G$24=""),"",IF(COUNTIFS('AFA Rates'!$A$5:$A$1004,$A447,'AFA Rates'!$B$5:$B$1004,G$24)&gt;0,"✓",""))</f>
        <v/>
      </c>
      <c r="H447" s="57">
        <f>IF(OR($A447="",H$24=""),"",IF(COUNTIFS('AFA Rates'!$A$5:$A$1004,$A447,'AFA Rates'!$B$5:$B$1004,H$24)&gt;0,"✓",""))</f>
        <v/>
      </c>
      <c r="I447" s="57">
        <f>IF(OR($A447="",I$24=""),"",IF(COUNTIFS('AFA Rates'!$A$5:$A$1004,$A447,'AFA Rates'!$B$5:$B$1004,I$24)&gt;0,"✓",""))</f>
        <v/>
      </c>
      <c r="J447" s="57">
        <f>IF(OR($A447="",J$24=""),"",IF(COUNTIFS('AFA Rates'!$A$5:$A$1004,$A447,'AFA Rates'!$B$5:$B$1004,J$24)&gt;0,"✓",""))</f>
        <v/>
      </c>
      <c r="K447" s="57">
        <f>IF(OR($A447="",K$24=""),"",IF(COUNTIFS('AFA Rates'!$A$5:$A$1004,$A447,'AFA Rates'!$B$5:$B$1004,K$24)&gt;0,"✓",""))</f>
        <v/>
      </c>
      <c r="L447" s="57">
        <f>IF(OR($A447="",L$24=""),"",IF(COUNTIFS('AFA Rates'!$A$5:$A$1004,$A447,'AFA Rates'!$B$5:$B$1004,L$24)&gt;0,"✓",""))</f>
        <v/>
      </c>
      <c r="M447" s="57">
        <f>IF(OR($A447="",M$24=""),"",IF(COUNTIFS('AFA Rates'!$A$5:$A$1004,$A447,'AFA Rates'!$B$5:$B$1004,M$24)&gt;0,"✓",""))</f>
        <v/>
      </c>
    </row>
    <row r="448">
      <c r="A448" s="63">
        <f>IFERROR(INDEX(Firms!$A$5:$A$1004,MATCH(424,Firms!$S$5:$S$1004,0)),"")</f>
        <v/>
      </c>
      <c r="B448" s="57">
        <f>IF($A448="","",INDEX(Firms!$B$5:$B$1004,MATCH(424,Firms!$S$5:$S$1004,0)))</f>
        <v/>
      </c>
      <c r="C448" s="57">
        <f>IF($A448="","",COUNTIF('AFA Rates'!$A$5:$A$1004,$A448))</f>
        <v/>
      </c>
      <c r="D448" s="57">
        <f>IF(OR($A448="",D$24=""),"",IF(COUNTIFS('AFA Rates'!$A$5:$A$1004,$A448,'AFA Rates'!$B$5:$B$1004,D$24)&gt;0,"✓",""))</f>
        <v/>
      </c>
      <c r="E448" s="57">
        <f>IF(OR($A448="",E$24=""),"",IF(COUNTIFS('AFA Rates'!$A$5:$A$1004,$A448,'AFA Rates'!$B$5:$B$1004,E$24)&gt;0,"✓",""))</f>
        <v/>
      </c>
      <c r="F448" s="57">
        <f>IF(OR($A448="",F$24=""),"",IF(COUNTIFS('AFA Rates'!$A$5:$A$1004,$A448,'AFA Rates'!$B$5:$B$1004,F$24)&gt;0,"✓",""))</f>
        <v/>
      </c>
      <c r="G448" s="57">
        <f>IF(OR($A448="",G$24=""),"",IF(COUNTIFS('AFA Rates'!$A$5:$A$1004,$A448,'AFA Rates'!$B$5:$B$1004,G$24)&gt;0,"✓",""))</f>
        <v/>
      </c>
      <c r="H448" s="57">
        <f>IF(OR($A448="",H$24=""),"",IF(COUNTIFS('AFA Rates'!$A$5:$A$1004,$A448,'AFA Rates'!$B$5:$B$1004,H$24)&gt;0,"✓",""))</f>
        <v/>
      </c>
      <c r="I448" s="57">
        <f>IF(OR($A448="",I$24=""),"",IF(COUNTIFS('AFA Rates'!$A$5:$A$1004,$A448,'AFA Rates'!$B$5:$B$1004,I$24)&gt;0,"✓",""))</f>
        <v/>
      </c>
      <c r="J448" s="57">
        <f>IF(OR($A448="",J$24=""),"",IF(COUNTIFS('AFA Rates'!$A$5:$A$1004,$A448,'AFA Rates'!$B$5:$B$1004,J$24)&gt;0,"✓",""))</f>
        <v/>
      </c>
      <c r="K448" s="57">
        <f>IF(OR($A448="",K$24=""),"",IF(COUNTIFS('AFA Rates'!$A$5:$A$1004,$A448,'AFA Rates'!$B$5:$B$1004,K$24)&gt;0,"✓",""))</f>
        <v/>
      </c>
      <c r="L448" s="57">
        <f>IF(OR($A448="",L$24=""),"",IF(COUNTIFS('AFA Rates'!$A$5:$A$1004,$A448,'AFA Rates'!$B$5:$B$1004,L$24)&gt;0,"✓",""))</f>
        <v/>
      </c>
      <c r="M448" s="57">
        <f>IF(OR($A448="",M$24=""),"",IF(COUNTIFS('AFA Rates'!$A$5:$A$1004,$A448,'AFA Rates'!$B$5:$B$1004,M$24)&gt;0,"✓",""))</f>
        <v/>
      </c>
    </row>
    <row r="449">
      <c r="A449" s="63">
        <f>IFERROR(INDEX(Firms!$A$5:$A$1004,MATCH(425,Firms!$S$5:$S$1004,0)),"")</f>
        <v/>
      </c>
      <c r="B449" s="57">
        <f>IF($A449="","",INDEX(Firms!$B$5:$B$1004,MATCH(425,Firms!$S$5:$S$1004,0)))</f>
        <v/>
      </c>
      <c r="C449" s="57">
        <f>IF($A449="","",COUNTIF('AFA Rates'!$A$5:$A$1004,$A449))</f>
        <v/>
      </c>
      <c r="D449" s="57">
        <f>IF(OR($A449="",D$24=""),"",IF(COUNTIFS('AFA Rates'!$A$5:$A$1004,$A449,'AFA Rates'!$B$5:$B$1004,D$24)&gt;0,"✓",""))</f>
        <v/>
      </c>
      <c r="E449" s="57">
        <f>IF(OR($A449="",E$24=""),"",IF(COUNTIFS('AFA Rates'!$A$5:$A$1004,$A449,'AFA Rates'!$B$5:$B$1004,E$24)&gt;0,"✓",""))</f>
        <v/>
      </c>
      <c r="F449" s="57">
        <f>IF(OR($A449="",F$24=""),"",IF(COUNTIFS('AFA Rates'!$A$5:$A$1004,$A449,'AFA Rates'!$B$5:$B$1004,F$24)&gt;0,"✓",""))</f>
        <v/>
      </c>
      <c r="G449" s="57">
        <f>IF(OR($A449="",G$24=""),"",IF(COUNTIFS('AFA Rates'!$A$5:$A$1004,$A449,'AFA Rates'!$B$5:$B$1004,G$24)&gt;0,"✓",""))</f>
        <v/>
      </c>
      <c r="H449" s="57">
        <f>IF(OR($A449="",H$24=""),"",IF(COUNTIFS('AFA Rates'!$A$5:$A$1004,$A449,'AFA Rates'!$B$5:$B$1004,H$24)&gt;0,"✓",""))</f>
        <v/>
      </c>
      <c r="I449" s="57">
        <f>IF(OR($A449="",I$24=""),"",IF(COUNTIFS('AFA Rates'!$A$5:$A$1004,$A449,'AFA Rates'!$B$5:$B$1004,I$24)&gt;0,"✓",""))</f>
        <v/>
      </c>
      <c r="J449" s="57">
        <f>IF(OR($A449="",J$24=""),"",IF(COUNTIFS('AFA Rates'!$A$5:$A$1004,$A449,'AFA Rates'!$B$5:$B$1004,J$24)&gt;0,"✓",""))</f>
        <v/>
      </c>
      <c r="K449" s="57">
        <f>IF(OR($A449="",K$24=""),"",IF(COUNTIFS('AFA Rates'!$A$5:$A$1004,$A449,'AFA Rates'!$B$5:$B$1004,K$24)&gt;0,"✓",""))</f>
        <v/>
      </c>
      <c r="L449" s="57">
        <f>IF(OR($A449="",L$24=""),"",IF(COUNTIFS('AFA Rates'!$A$5:$A$1004,$A449,'AFA Rates'!$B$5:$B$1004,L$24)&gt;0,"✓",""))</f>
        <v/>
      </c>
      <c r="M449" s="57">
        <f>IF(OR($A449="",M$24=""),"",IF(COUNTIFS('AFA Rates'!$A$5:$A$1004,$A449,'AFA Rates'!$B$5:$B$1004,M$24)&gt;0,"✓",""))</f>
        <v/>
      </c>
    </row>
    <row r="450">
      <c r="A450" s="63">
        <f>IFERROR(INDEX(Firms!$A$5:$A$1004,MATCH(426,Firms!$S$5:$S$1004,0)),"")</f>
        <v/>
      </c>
      <c r="B450" s="57">
        <f>IF($A450="","",INDEX(Firms!$B$5:$B$1004,MATCH(426,Firms!$S$5:$S$1004,0)))</f>
        <v/>
      </c>
      <c r="C450" s="57">
        <f>IF($A450="","",COUNTIF('AFA Rates'!$A$5:$A$1004,$A450))</f>
        <v/>
      </c>
      <c r="D450" s="57">
        <f>IF(OR($A450="",D$24=""),"",IF(COUNTIFS('AFA Rates'!$A$5:$A$1004,$A450,'AFA Rates'!$B$5:$B$1004,D$24)&gt;0,"✓",""))</f>
        <v/>
      </c>
      <c r="E450" s="57">
        <f>IF(OR($A450="",E$24=""),"",IF(COUNTIFS('AFA Rates'!$A$5:$A$1004,$A450,'AFA Rates'!$B$5:$B$1004,E$24)&gt;0,"✓",""))</f>
        <v/>
      </c>
      <c r="F450" s="57">
        <f>IF(OR($A450="",F$24=""),"",IF(COUNTIFS('AFA Rates'!$A$5:$A$1004,$A450,'AFA Rates'!$B$5:$B$1004,F$24)&gt;0,"✓",""))</f>
        <v/>
      </c>
      <c r="G450" s="57">
        <f>IF(OR($A450="",G$24=""),"",IF(COUNTIFS('AFA Rates'!$A$5:$A$1004,$A450,'AFA Rates'!$B$5:$B$1004,G$24)&gt;0,"✓",""))</f>
        <v/>
      </c>
      <c r="H450" s="57">
        <f>IF(OR($A450="",H$24=""),"",IF(COUNTIFS('AFA Rates'!$A$5:$A$1004,$A450,'AFA Rates'!$B$5:$B$1004,H$24)&gt;0,"✓",""))</f>
        <v/>
      </c>
      <c r="I450" s="57">
        <f>IF(OR($A450="",I$24=""),"",IF(COUNTIFS('AFA Rates'!$A$5:$A$1004,$A450,'AFA Rates'!$B$5:$B$1004,I$24)&gt;0,"✓",""))</f>
        <v/>
      </c>
      <c r="J450" s="57">
        <f>IF(OR($A450="",J$24=""),"",IF(COUNTIFS('AFA Rates'!$A$5:$A$1004,$A450,'AFA Rates'!$B$5:$B$1004,J$24)&gt;0,"✓",""))</f>
        <v/>
      </c>
      <c r="K450" s="57">
        <f>IF(OR($A450="",K$24=""),"",IF(COUNTIFS('AFA Rates'!$A$5:$A$1004,$A450,'AFA Rates'!$B$5:$B$1004,K$24)&gt;0,"✓",""))</f>
        <v/>
      </c>
      <c r="L450" s="57">
        <f>IF(OR($A450="",L$24=""),"",IF(COUNTIFS('AFA Rates'!$A$5:$A$1004,$A450,'AFA Rates'!$B$5:$B$1004,L$24)&gt;0,"✓",""))</f>
        <v/>
      </c>
      <c r="M450" s="57">
        <f>IF(OR($A450="",M$24=""),"",IF(COUNTIFS('AFA Rates'!$A$5:$A$1004,$A450,'AFA Rates'!$B$5:$B$1004,M$24)&gt;0,"✓",""))</f>
        <v/>
      </c>
    </row>
    <row r="451">
      <c r="A451" s="63">
        <f>IFERROR(INDEX(Firms!$A$5:$A$1004,MATCH(427,Firms!$S$5:$S$1004,0)),"")</f>
        <v/>
      </c>
      <c r="B451" s="57">
        <f>IF($A451="","",INDEX(Firms!$B$5:$B$1004,MATCH(427,Firms!$S$5:$S$1004,0)))</f>
        <v/>
      </c>
      <c r="C451" s="57">
        <f>IF($A451="","",COUNTIF('AFA Rates'!$A$5:$A$1004,$A451))</f>
        <v/>
      </c>
      <c r="D451" s="57">
        <f>IF(OR($A451="",D$24=""),"",IF(COUNTIFS('AFA Rates'!$A$5:$A$1004,$A451,'AFA Rates'!$B$5:$B$1004,D$24)&gt;0,"✓",""))</f>
        <v/>
      </c>
      <c r="E451" s="57">
        <f>IF(OR($A451="",E$24=""),"",IF(COUNTIFS('AFA Rates'!$A$5:$A$1004,$A451,'AFA Rates'!$B$5:$B$1004,E$24)&gt;0,"✓",""))</f>
        <v/>
      </c>
      <c r="F451" s="57">
        <f>IF(OR($A451="",F$24=""),"",IF(COUNTIFS('AFA Rates'!$A$5:$A$1004,$A451,'AFA Rates'!$B$5:$B$1004,F$24)&gt;0,"✓",""))</f>
        <v/>
      </c>
      <c r="G451" s="57">
        <f>IF(OR($A451="",G$24=""),"",IF(COUNTIFS('AFA Rates'!$A$5:$A$1004,$A451,'AFA Rates'!$B$5:$B$1004,G$24)&gt;0,"✓",""))</f>
        <v/>
      </c>
      <c r="H451" s="57">
        <f>IF(OR($A451="",H$24=""),"",IF(COUNTIFS('AFA Rates'!$A$5:$A$1004,$A451,'AFA Rates'!$B$5:$B$1004,H$24)&gt;0,"✓",""))</f>
        <v/>
      </c>
      <c r="I451" s="57">
        <f>IF(OR($A451="",I$24=""),"",IF(COUNTIFS('AFA Rates'!$A$5:$A$1004,$A451,'AFA Rates'!$B$5:$B$1004,I$24)&gt;0,"✓",""))</f>
        <v/>
      </c>
      <c r="J451" s="57">
        <f>IF(OR($A451="",J$24=""),"",IF(COUNTIFS('AFA Rates'!$A$5:$A$1004,$A451,'AFA Rates'!$B$5:$B$1004,J$24)&gt;0,"✓",""))</f>
        <v/>
      </c>
      <c r="K451" s="57">
        <f>IF(OR($A451="",K$24=""),"",IF(COUNTIFS('AFA Rates'!$A$5:$A$1004,$A451,'AFA Rates'!$B$5:$B$1004,K$24)&gt;0,"✓",""))</f>
        <v/>
      </c>
      <c r="L451" s="57">
        <f>IF(OR($A451="",L$24=""),"",IF(COUNTIFS('AFA Rates'!$A$5:$A$1004,$A451,'AFA Rates'!$B$5:$B$1004,L$24)&gt;0,"✓",""))</f>
        <v/>
      </c>
      <c r="M451" s="57">
        <f>IF(OR($A451="",M$24=""),"",IF(COUNTIFS('AFA Rates'!$A$5:$A$1004,$A451,'AFA Rates'!$B$5:$B$1004,M$24)&gt;0,"✓",""))</f>
        <v/>
      </c>
    </row>
    <row r="452">
      <c r="A452" s="63">
        <f>IFERROR(INDEX(Firms!$A$5:$A$1004,MATCH(428,Firms!$S$5:$S$1004,0)),"")</f>
        <v/>
      </c>
      <c r="B452" s="57">
        <f>IF($A452="","",INDEX(Firms!$B$5:$B$1004,MATCH(428,Firms!$S$5:$S$1004,0)))</f>
        <v/>
      </c>
      <c r="C452" s="57">
        <f>IF($A452="","",COUNTIF('AFA Rates'!$A$5:$A$1004,$A452))</f>
        <v/>
      </c>
      <c r="D452" s="57">
        <f>IF(OR($A452="",D$24=""),"",IF(COUNTIFS('AFA Rates'!$A$5:$A$1004,$A452,'AFA Rates'!$B$5:$B$1004,D$24)&gt;0,"✓",""))</f>
        <v/>
      </c>
      <c r="E452" s="57">
        <f>IF(OR($A452="",E$24=""),"",IF(COUNTIFS('AFA Rates'!$A$5:$A$1004,$A452,'AFA Rates'!$B$5:$B$1004,E$24)&gt;0,"✓",""))</f>
        <v/>
      </c>
      <c r="F452" s="57">
        <f>IF(OR($A452="",F$24=""),"",IF(COUNTIFS('AFA Rates'!$A$5:$A$1004,$A452,'AFA Rates'!$B$5:$B$1004,F$24)&gt;0,"✓",""))</f>
        <v/>
      </c>
      <c r="G452" s="57">
        <f>IF(OR($A452="",G$24=""),"",IF(COUNTIFS('AFA Rates'!$A$5:$A$1004,$A452,'AFA Rates'!$B$5:$B$1004,G$24)&gt;0,"✓",""))</f>
        <v/>
      </c>
      <c r="H452" s="57">
        <f>IF(OR($A452="",H$24=""),"",IF(COUNTIFS('AFA Rates'!$A$5:$A$1004,$A452,'AFA Rates'!$B$5:$B$1004,H$24)&gt;0,"✓",""))</f>
        <v/>
      </c>
      <c r="I452" s="57">
        <f>IF(OR($A452="",I$24=""),"",IF(COUNTIFS('AFA Rates'!$A$5:$A$1004,$A452,'AFA Rates'!$B$5:$B$1004,I$24)&gt;0,"✓",""))</f>
        <v/>
      </c>
      <c r="J452" s="57">
        <f>IF(OR($A452="",J$24=""),"",IF(COUNTIFS('AFA Rates'!$A$5:$A$1004,$A452,'AFA Rates'!$B$5:$B$1004,J$24)&gt;0,"✓",""))</f>
        <v/>
      </c>
      <c r="K452" s="57">
        <f>IF(OR($A452="",K$24=""),"",IF(COUNTIFS('AFA Rates'!$A$5:$A$1004,$A452,'AFA Rates'!$B$5:$B$1004,K$24)&gt;0,"✓",""))</f>
        <v/>
      </c>
      <c r="L452" s="57">
        <f>IF(OR($A452="",L$24=""),"",IF(COUNTIFS('AFA Rates'!$A$5:$A$1004,$A452,'AFA Rates'!$B$5:$B$1004,L$24)&gt;0,"✓",""))</f>
        <v/>
      </c>
      <c r="M452" s="57">
        <f>IF(OR($A452="",M$24=""),"",IF(COUNTIFS('AFA Rates'!$A$5:$A$1004,$A452,'AFA Rates'!$B$5:$B$1004,M$24)&gt;0,"✓",""))</f>
        <v/>
      </c>
    </row>
    <row r="453">
      <c r="A453" s="63">
        <f>IFERROR(INDEX(Firms!$A$5:$A$1004,MATCH(429,Firms!$S$5:$S$1004,0)),"")</f>
        <v/>
      </c>
      <c r="B453" s="57">
        <f>IF($A453="","",INDEX(Firms!$B$5:$B$1004,MATCH(429,Firms!$S$5:$S$1004,0)))</f>
        <v/>
      </c>
      <c r="C453" s="57">
        <f>IF($A453="","",COUNTIF('AFA Rates'!$A$5:$A$1004,$A453))</f>
        <v/>
      </c>
      <c r="D453" s="57">
        <f>IF(OR($A453="",D$24=""),"",IF(COUNTIFS('AFA Rates'!$A$5:$A$1004,$A453,'AFA Rates'!$B$5:$B$1004,D$24)&gt;0,"✓",""))</f>
        <v/>
      </c>
      <c r="E453" s="57">
        <f>IF(OR($A453="",E$24=""),"",IF(COUNTIFS('AFA Rates'!$A$5:$A$1004,$A453,'AFA Rates'!$B$5:$B$1004,E$24)&gt;0,"✓",""))</f>
        <v/>
      </c>
      <c r="F453" s="57">
        <f>IF(OR($A453="",F$24=""),"",IF(COUNTIFS('AFA Rates'!$A$5:$A$1004,$A453,'AFA Rates'!$B$5:$B$1004,F$24)&gt;0,"✓",""))</f>
        <v/>
      </c>
      <c r="G453" s="57">
        <f>IF(OR($A453="",G$24=""),"",IF(COUNTIFS('AFA Rates'!$A$5:$A$1004,$A453,'AFA Rates'!$B$5:$B$1004,G$24)&gt;0,"✓",""))</f>
        <v/>
      </c>
      <c r="H453" s="57">
        <f>IF(OR($A453="",H$24=""),"",IF(COUNTIFS('AFA Rates'!$A$5:$A$1004,$A453,'AFA Rates'!$B$5:$B$1004,H$24)&gt;0,"✓",""))</f>
        <v/>
      </c>
      <c r="I453" s="57">
        <f>IF(OR($A453="",I$24=""),"",IF(COUNTIFS('AFA Rates'!$A$5:$A$1004,$A453,'AFA Rates'!$B$5:$B$1004,I$24)&gt;0,"✓",""))</f>
        <v/>
      </c>
      <c r="J453" s="57">
        <f>IF(OR($A453="",J$24=""),"",IF(COUNTIFS('AFA Rates'!$A$5:$A$1004,$A453,'AFA Rates'!$B$5:$B$1004,J$24)&gt;0,"✓",""))</f>
        <v/>
      </c>
      <c r="K453" s="57">
        <f>IF(OR($A453="",K$24=""),"",IF(COUNTIFS('AFA Rates'!$A$5:$A$1004,$A453,'AFA Rates'!$B$5:$B$1004,K$24)&gt;0,"✓",""))</f>
        <v/>
      </c>
      <c r="L453" s="57">
        <f>IF(OR($A453="",L$24=""),"",IF(COUNTIFS('AFA Rates'!$A$5:$A$1004,$A453,'AFA Rates'!$B$5:$B$1004,L$24)&gt;0,"✓",""))</f>
        <v/>
      </c>
      <c r="M453" s="57">
        <f>IF(OR($A453="",M$24=""),"",IF(COUNTIFS('AFA Rates'!$A$5:$A$1004,$A453,'AFA Rates'!$B$5:$B$1004,M$24)&gt;0,"✓",""))</f>
        <v/>
      </c>
    </row>
    <row r="454">
      <c r="A454" s="63">
        <f>IFERROR(INDEX(Firms!$A$5:$A$1004,MATCH(430,Firms!$S$5:$S$1004,0)),"")</f>
        <v/>
      </c>
      <c r="B454" s="57">
        <f>IF($A454="","",INDEX(Firms!$B$5:$B$1004,MATCH(430,Firms!$S$5:$S$1004,0)))</f>
        <v/>
      </c>
      <c r="C454" s="57">
        <f>IF($A454="","",COUNTIF('AFA Rates'!$A$5:$A$1004,$A454))</f>
        <v/>
      </c>
      <c r="D454" s="57">
        <f>IF(OR($A454="",D$24=""),"",IF(COUNTIFS('AFA Rates'!$A$5:$A$1004,$A454,'AFA Rates'!$B$5:$B$1004,D$24)&gt;0,"✓",""))</f>
        <v/>
      </c>
      <c r="E454" s="57">
        <f>IF(OR($A454="",E$24=""),"",IF(COUNTIFS('AFA Rates'!$A$5:$A$1004,$A454,'AFA Rates'!$B$5:$B$1004,E$24)&gt;0,"✓",""))</f>
        <v/>
      </c>
      <c r="F454" s="57">
        <f>IF(OR($A454="",F$24=""),"",IF(COUNTIFS('AFA Rates'!$A$5:$A$1004,$A454,'AFA Rates'!$B$5:$B$1004,F$24)&gt;0,"✓",""))</f>
        <v/>
      </c>
      <c r="G454" s="57">
        <f>IF(OR($A454="",G$24=""),"",IF(COUNTIFS('AFA Rates'!$A$5:$A$1004,$A454,'AFA Rates'!$B$5:$B$1004,G$24)&gt;0,"✓",""))</f>
        <v/>
      </c>
      <c r="H454" s="57">
        <f>IF(OR($A454="",H$24=""),"",IF(COUNTIFS('AFA Rates'!$A$5:$A$1004,$A454,'AFA Rates'!$B$5:$B$1004,H$24)&gt;0,"✓",""))</f>
        <v/>
      </c>
      <c r="I454" s="57">
        <f>IF(OR($A454="",I$24=""),"",IF(COUNTIFS('AFA Rates'!$A$5:$A$1004,$A454,'AFA Rates'!$B$5:$B$1004,I$24)&gt;0,"✓",""))</f>
        <v/>
      </c>
      <c r="J454" s="57">
        <f>IF(OR($A454="",J$24=""),"",IF(COUNTIFS('AFA Rates'!$A$5:$A$1004,$A454,'AFA Rates'!$B$5:$B$1004,J$24)&gt;0,"✓",""))</f>
        <v/>
      </c>
      <c r="K454" s="57">
        <f>IF(OR($A454="",K$24=""),"",IF(COUNTIFS('AFA Rates'!$A$5:$A$1004,$A454,'AFA Rates'!$B$5:$B$1004,K$24)&gt;0,"✓",""))</f>
        <v/>
      </c>
      <c r="L454" s="57">
        <f>IF(OR($A454="",L$24=""),"",IF(COUNTIFS('AFA Rates'!$A$5:$A$1004,$A454,'AFA Rates'!$B$5:$B$1004,L$24)&gt;0,"✓",""))</f>
        <v/>
      </c>
      <c r="M454" s="57">
        <f>IF(OR($A454="",M$24=""),"",IF(COUNTIFS('AFA Rates'!$A$5:$A$1004,$A454,'AFA Rates'!$B$5:$B$1004,M$24)&gt;0,"✓",""))</f>
        <v/>
      </c>
    </row>
    <row r="455">
      <c r="A455" s="63">
        <f>IFERROR(INDEX(Firms!$A$5:$A$1004,MATCH(431,Firms!$S$5:$S$1004,0)),"")</f>
        <v/>
      </c>
      <c r="B455" s="57">
        <f>IF($A455="","",INDEX(Firms!$B$5:$B$1004,MATCH(431,Firms!$S$5:$S$1004,0)))</f>
        <v/>
      </c>
      <c r="C455" s="57">
        <f>IF($A455="","",COUNTIF('AFA Rates'!$A$5:$A$1004,$A455))</f>
        <v/>
      </c>
      <c r="D455" s="57">
        <f>IF(OR($A455="",D$24=""),"",IF(COUNTIFS('AFA Rates'!$A$5:$A$1004,$A455,'AFA Rates'!$B$5:$B$1004,D$24)&gt;0,"✓",""))</f>
        <v/>
      </c>
      <c r="E455" s="57">
        <f>IF(OR($A455="",E$24=""),"",IF(COUNTIFS('AFA Rates'!$A$5:$A$1004,$A455,'AFA Rates'!$B$5:$B$1004,E$24)&gt;0,"✓",""))</f>
        <v/>
      </c>
      <c r="F455" s="57">
        <f>IF(OR($A455="",F$24=""),"",IF(COUNTIFS('AFA Rates'!$A$5:$A$1004,$A455,'AFA Rates'!$B$5:$B$1004,F$24)&gt;0,"✓",""))</f>
        <v/>
      </c>
      <c r="G455" s="57">
        <f>IF(OR($A455="",G$24=""),"",IF(COUNTIFS('AFA Rates'!$A$5:$A$1004,$A455,'AFA Rates'!$B$5:$B$1004,G$24)&gt;0,"✓",""))</f>
        <v/>
      </c>
      <c r="H455" s="57">
        <f>IF(OR($A455="",H$24=""),"",IF(COUNTIFS('AFA Rates'!$A$5:$A$1004,$A455,'AFA Rates'!$B$5:$B$1004,H$24)&gt;0,"✓",""))</f>
        <v/>
      </c>
      <c r="I455" s="57">
        <f>IF(OR($A455="",I$24=""),"",IF(COUNTIFS('AFA Rates'!$A$5:$A$1004,$A455,'AFA Rates'!$B$5:$B$1004,I$24)&gt;0,"✓",""))</f>
        <v/>
      </c>
      <c r="J455" s="57">
        <f>IF(OR($A455="",J$24=""),"",IF(COUNTIFS('AFA Rates'!$A$5:$A$1004,$A455,'AFA Rates'!$B$5:$B$1004,J$24)&gt;0,"✓",""))</f>
        <v/>
      </c>
      <c r="K455" s="57">
        <f>IF(OR($A455="",K$24=""),"",IF(COUNTIFS('AFA Rates'!$A$5:$A$1004,$A455,'AFA Rates'!$B$5:$B$1004,K$24)&gt;0,"✓",""))</f>
        <v/>
      </c>
      <c r="L455" s="57">
        <f>IF(OR($A455="",L$24=""),"",IF(COUNTIFS('AFA Rates'!$A$5:$A$1004,$A455,'AFA Rates'!$B$5:$B$1004,L$24)&gt;0,"✓",""))</f>
        <v/>
      </c>
      <c r="M455" s="57">
        <f>IF(OR($A455="",M$24=""),"",IF(COUNTIFS('AFA Rates'!$A$5:$A$1004,$A455,'AFA Rates'!$B$5:$B$1004,M$24)&gt;0,"✓",""))</f>
        <v/>
      </c>
    </row>
    <row r="456">
      <c r="A456" s="63">
        <f>IFERROR(INDEX(Firms!$A$5:$A$1004,MATCH(432,Firms!$S$5:$S$1004,0)),"")</f>
        <v/>
      </c>
      <c r="B456" s="57">
        <f>IF($A456="","",INDEX(Firms!$B$5:$B$1004,MATCH(432,Firms!$S$5:$S$1004,0)))</f>
        <v/>
      </c>
      <c r="C456" s="57">
        <f>IF($A456="","",COUNTIF('AFA Rates'!$A$5:$A$1004,$A456))</f>
        <v/>
      </c>
      <c r="D456" s="57">
        <f>IF(OR($A456="",D$24=""),"",IF(COUNTIFS('AFA Rates'!$A$5:$A$1004,$A456,'AFA Rates'!$B$5:$B$1004,D$24)&gt;0,"✓",""))</f>
        <v/>
      </c>
      <c r="E456" s="57">
        <f>IF(OR($A456="",E$24=""),"",IF(COUNTIFS('AFA Rates'!$A$5:$A$1004,$A456,'AFA Rates'!$B$5:$B$1004,E$24)&gt;0,"✓",""))</f>
        <v/>
      </c>
      <c r="F456" s="57">
        <f>IF(OR($A456="",F$24=""),"",IF(COUNTIFS('AFA Rates'!$A$5:$A$1004,$A456,'AFA Rates'!$B$5:$B$1004,F$24)&gt;0,"✓",""))</f>
        <v/>
      </c>
      <c r="G456" s="57">
        <f>IF(OR($A456="",G$24=""),"",IF(COUNTIFS('AFA Rates'!$A$5:$A$1004,$A456,'AFA Rates'!$B$5:$B$1004,G$24)&gt;0,"✓",""))</f>
        <v/>
      </c>
      <c r="H456" s="57">
        <f>IF(OR($A456="",H$24=""),"",IF(COUNTIFS('AFA Rates'!$A$5:$A$1004,$A456,'AFA Rates'!$B$5:$B$1004,H$24)&gt;0,"✓",""))</f>
        <v/>
      </c>
      <c r="I456" s="57">
        <f>IF(OR($A456="",I$24=""),"",IF(COUNTIFS('AFA Rates'!$A$5:$A$1004,$A456,'AFA Rates'!$B$5:$B$1004,I$24)&gt;0,"✓",""))</f>
        <v/>
      </c>
      <c r="J456" s="57">
        <f>IF(OR($A456="",J$24=""),"",IF(COUNTIFS('AFA Rates'!$A$5:$A$1004,$A456,'AFA Rates'!$B$5:$B$1004,J$24)&gt;0,"✓",""))</f>
        <v/>
      </c>
      <c r="K456" s="57">
        <f>IF(OR($A456="",K$24=""),"",IF(COUNTIFS('AFA Rates'!$A$5:$A$1004,$A456,'AFA Rates'!$B$5:$B$1004,K$24)&gt;0,"✓",""))</f>
        <v/>
      </c>
      <c r="L456" s="57">
        <f>IF(OR($A456="",L$24=""),"",IF(COUNTIFS('AFA Rates'!$A$5:$A$1004,$A456,'AFA Rates'!$B$5:$B$1004,L$24)&gt;0,"✓",""))</f>
        <v/>
      </c>
      <c r="M456" s="57">
        <f>IF(OR($A456="",M$24=""),"",IF(COUNTIFS('AFA Rates'!$A$5:$A$1004,$A456,'AFA Rates'!$B$5:$B$1004,M$24)&gt;0,"✓",""))</f>
        <v/>
      </c>
    </row>
    <row r="457">
      <c r="A457" s="63">
        <f>IFERROR(INDEX(Firms!$A$5:$A$1004,MATCH(433,Firms!$S$5:$S$1004,0)),"")</f>
        <v/>
      </c>
      <c r="B457" s="57">
        <f>IF($A457="","",INDEX(Firms!$B$5:$B$1004,MATCH(433,Firms!$S$5:$S$1004,0)))</f>
        <v/>
      </c>
      <c r="C457" s="57">
        <f>IF($A457="","",COUNTIF('AFA Rates'!$A$5:$A$1004,$A457))</f>
        <v/>
      </c>
      <c r="D457" s="57">
        <f>IF(OR($A457="",D$24=""),"",IF(COUNTIFS('AFA Rates'!$A$5:$A$1004,$A457,'AFA Rates'!$B$5:$B$1004,D$24)&gt;0,"✓",""))</f>
        <v/>
      </c>
      <c r="E457" s="57">
        <f>IF(OR($A457="",E$24=""),"",IF(COUNTIFS('AFA Rates'!$A$5:$A$1004,$A457,'AFA Rates'!$B$5:$B$1004,E$24)&gt;0,"✓",""))</f>
        <v/>
      </c>
      <c r="F457" s="57">
        <f>IF(OR($A457="",F$24=""),"",IF(COUNTIFS('AFA Rates'!$A$5:$A$1004,$A457,'AFA Rates'!$B$5:$B$1004,F$24)&gt;0,"✓",""))</f>
        <v/>
      </c>
      <c r="G457" s="57">
        <f>IF(OR($A457="",G$24=""),"",IF(COUNTIFS('AFA Rates'!$A$5:$A$1004,$A457,'AFA Rates'!$B$5:$B$1004,G$24)&gt;0,"✓",""))</f>
        <v/>
      </c>
      <c r="H457" s="57">
        <f>IF(OR($A457="",H$24=""),"",IF(COUNTIFS('AFA Rates'!$A$5:$A$1004,$A457,'AFA Rates'!$B$5:$B$1004,H$24)&gt;0,"✓",""))</f>
        <v/>
      </c>
      <c r="I457" s="57">
        <f>IF(OR($A457="",I$24=""),"",IF(COUNTIFS('AFA Rates'!$A$5:$A$1004,$A457,'AFA Rates'!$B$5:$B$1004,I$24)&gt;0,"✓",""))</f>
        <v/>
      </c>
      <c r="J457" s="57">
        <f>IF(OR($A457="",J$24=""),"",IF(COUNTIFS('AFA Rates'!$A$5:$A$1004,$A457,'AFA Rates'!$B$5:$B$1004,J$24)&gt;0,"✓",""))</f>
        <v/>
      </c>
      <c r="K457" s="57">
        <f>IF(OR($A457="",K$24=""),"",IF(COUNTIFS('AFA Rates'!$A$5:$A$1004,$A457,'AFA Rates'!$B$5:$B$1004,K$24)&gt;0,"✓",""))</f>
        <v/>
      </c>
      <c r="L457" s="57">
        <f>IF(OR($A457="",L$24=""),"",IF(COUNTIFS('AFA Rates'!$A$5:$A$1004,$A457,'AFA Rates'!$B$5:$B$1004,L$24)&gt;0,"✓",""))</f>
        <v/>
      </c>
      <c r="M457" s="57">
        <f>IF(OR($A457="",M$24=""),"",IF(COUNTIFS('AFA Rates'!$A$5:$A$1004,$A457,'AFA Rates'!$B$5:$B$1004,M$24)&gt;0,"✓",""))</f>
        <v/>
      </c>
    </row>
    <row r="458">
      <c r="A458" s="63">
        <f>IFERROR(INDEX(Firms!$A$5:$A$1004,MATCH(434,Firms!$S$5:$S$1004,0)),"")</f>
        <v/>
      </c>
      <c r="B458" s="57">
        <f>IF($A458="","",INDEX(Firms!$B$5:$B$1004,MATCH(434,Firms!$S$5:$S$1004,0)))</f>
        <v/>
      </c>
      <c r="C458" s="57">
        <f>IF($A458="","",COUNTIF('AFA Rates'!$A$5:$A$1004,$A458))</f>
        <v/>
      </c>
      <c r="D458" s="57">
        <f>IF(OR($A458="",D$24=""),"",IF(COUNTIFS('AFA Rates'!$A$5:$A$1004,$A458,'AFA Rates'!$B$5:$B$1004,D$24)&gt;0,"✓",""))</f>
        <v/>
      </c>
      <c r="E458" s="57">
        <f>IF(OR($A458="",E$24=""),"",IF(COUNTIFS('AFA Rates'!$A$5:$A$1004,$A458,'AFA Rates'!$B$5:$B$1004,E$24)&gt;0,"✓",""))</f>
        <v/>
      </c>
      <c r="F458" s="57">
        <f>IF(OR($A458="",F$24=""),"",IF(COUNTIFS('AFA Rates'!$A$5:$A$1004,$A458,'AFA Rates'!$B$5:$B$1004,F$24)&gt;0,"✓",""))</f>
        <v/>
      </c>
      <c r="G458" s="57">
        <f>IF(OR($A458="",G$24=""),"",IF(COUNTIFS('AFA Rates'!$A$5:$A$1004,$A458,'AFA Rates'!$B$5:$B$1004,G$24)&gt;0,"✓",""))</f>
        <v/>
      </c>
      <c r="H458" s="57">
        <f>IF(OR($A458="",H$24=""),"",IF(COUNTIFS('AFA Rates'!$A$5:$A$1004,$A458,'AFA Rates'!$B$5:$B$1004,H$24)&gt;0,"✓",""))</f>
        <v/>
      </c>
      <c r="I458" s="57">
        <f>IF(OR($A458="",I$24=""),"",IF(COUNTIFS('AFA Rates'!$A$5:$A$1004,$A458,'AFA Rates'!$B$5:$B$1004,I$24)&gt;0,"✓",""))</f>
        <v/>
      </c>
      <c r="J458" s="57">
        <f>IF(OR($A458="",J$24=""),"",IF(COUNTIFS('AFA Rates'!$A$5:$A$1004,$A458,'AFA Rates'!$B$5:$B$1004,J$24)&gt;0,"✓",""))</f>
        <v/>
      </c>
      <c r="K458" s="57">
        <f>IF(OR($A458="",K$24=""),"",IF(COUNTIFS('AFA Rates'!$A$5:$A$1004,$A458,'AFA Rates'!$B$5:$B$1004,K$24)&gt;0,"✓",""))</f>
        <v/>
      </c>
      <c r="L458" s="57">
        <f>IF(OR($A458="",L$24=""),"",IF(COUNTIFS('AFA Rates'!$A$5:$A$1004,$A458,'AFA Rates'!$B$5:$B$1004,L$24)&gt;0,"✓",""))</f>
        <v/>
      </c>
      <c r="M458" s="57">
        <f>IF(OR($A458="",M$24=""),"",IF(COUNTIFS('AFA Rates'!$A$5:$A$1004,$A458,'AFA Rates'!$B$5:$B$1004,M$24)&gt;0,"✓",""))</f>
        <v/>
      </c>
    </row>
    <row r="459">
      <c r="A459" s="63">
        <f>IFERROR(INDEX(Firms!$A$5:$A$1004,MATCH(435,Firms!$S$5:$S$1004,0)),"")</f>
        <v/>
      </c>
      <c r="B459" s="57">
        <f>IF($A459="","",INDEX(Firms!$B$5:$B$1004,MATCH(435,Firms!$S$5:$S$1004,0)))</f>
        <v/>
      </c>
      <c r="C459" s="57">
        <f>IF($A459="","",COUNTIF('AFA Rates'!$A$5:$A$1004,$A459))</f>
        <v/>
      </c>
      <c r="D459" s="57">
        <f>IF(OR($A459="",D$24=""),"",IF(COUNTIFS('AFA Rates'!$A$5:$A$1004,$A459,'AFA Rates'!$B$5:$B$1004,D$24)&gt;0,"✓",""))</f>
        <v/>
      </c>
      <c r="E459" s="57">
        <f>IF(OR($A459="",E$24=""),"",IF(COUNTIFS('AFA Rates'!$A$5:$A$1004,$A459,'AFA Rates'!$B$5:$B$1004,E$24)&gt;0,"✓",""))</f>
        <v/>
      </c>
      <c r="F459" s="57">
        <f>IF(OR($A459="",F$24=""),"",IF(COUNTIFS('AFA Rates'!$A$5:$A$1004,$A459,'AFA Rates'!$B$5:$B$1004,F$24)&gt;0,"✓",""))</f>
        <v/>
      </c>
      <c r="G459" s="57">
        <f>IF(OR($A459="",G$24=""),"",IF(COUNTIFS('AFA Rates'!$A$5:$A$1004,$A459,'AFA Rates'!$B$5:$B$1004,G$24)&gt;0,"✓",""))</f>
        <v/>
      </c>
      <c r="H459" s="57">
        <f>IF(OR($A459="",H$24=""),"",IF(COUNTIFS('AFA Rates'!$A$5:$A$1004,$A459,'AFA Rates'!$B$5:$B$1004,H$24)&gt;0,"✓",""))</f>
        <v/>
      </c>
      <c r="I459" s="57">
        <f>IF(OR($A459="",I$24=""),"",IF(COUNTIFS('AFA Rates'!$A$5:$A$1004,$A459,'AFA Rates'!$B$5:$B$1004,I$24)&gt;0,"✓",""))</f>
        <v/>
      </c>
      <c r="J459" s="57">
        <f>IF(OR($A459="",J$24=""),"",IF(COUNTIFS('AFA Rates'!$A$5:$A$1004,$A459,'AFA Rates'!$B$5:$B$1004,J$24)&gt;0,"✓",""))</f>
        <v/>
      </c>
      <c r="K459" s="57">
        <f>IF(OR($A459="",K$24=""),"",IF(COUNTIFS('AFA Rates'!$A$5:$A$1004,$A459,'AFA Rates'!$B$5:$B$1004,K$24)&gt;0,"✓",""))</f>
        <v/>
      </c>
      <c r="L459" s="57">
        <f>IF(OR($A459="",L$24=""),"",IF(COUNTIFS('AFA Rates'!$A$5:$A$1004,$A459,'AFA Rates'!$B$5:$B$1004,L$24)&gt;0,"✓",""))</f>
        <v/>
      </c>
      <c r="M459" s="57">
        <f>IF(OR($A459="",M$24=""),"",IF(COUNTIFS('AFA Rates'!$A$5:$A$1004,$A459,'AFA Rates'!$B$5:$B$1004,M$24)&gt;0,"✓",""))</f>
        <v/>
      </c>
    </row>
    <row r="460">
      <c r="A460" s="63">
        <f>IFERROR(INDEX(Firms!$A$5:$A$1004,MATCH(436,Firms!$S$5:$S$1004,0)),"")</f>
        <v/>
      </c>
      <c r="B460" s="57">
        <f>IF($A460="","",INDEX(Firms!$B$5:$B$1004,MATCH(436,Firms!$S$5:$S$1004,0)))</f>
        <v/>
      </c>
      <c r="C460" s="57">
        <f>IF($A460="","",COUNTIF('AFA Rates'!$A$5:$A$1004,$A460))</f>
        <v/>
      </c>
      <c r="D460" s="57">
        <f>IF(OR($A460="",D$24=""),"",IF(COUNTIFS('AFA Rates'!$A$5:$A$1004,$A460,'AFA Rates'!$B$5:$B$1004,D$24)&gt;0,"✓",""))</f>
        <v/>
      </c>
      <c r="E460" s="57">
        <f>IF(OR($A460="",E$24=""),"",IF(COUNTIFS('AFA Rates'!$A$5:$A$1004,$A460,'AFA Rates'!$B$5:$B$1004,E$24)&gt;0,"✓",""))</f>
        <v/>
      </c>
      <c r="F460" s="57">
        <f>IF(OR($A460="",F$24=""),"",IF(COUNTIFS('AFA Rates'!$A$5:$A$1004,$A460,'AFA Rates'!$B$5:$B$1004,F$24)&gt;0,"✓",""))</f>
        <v/>
      </c>
      <c r="G460" s="57">
        <f>IF(OR($A460="",G$24=""),"",IF(COUNTIFS('AFA Rates'!$A$5:$A$1004,$A460,'AFA Rates'!$B$5:$B$1004,G$24)&gt;0,"✓",""))</f>
        <v/>
      </c>
      <c r="H460" s="57">
        <f>IF(OR($A460="",H$24=""),"",IF(COUNTIFS('AFA Rates'!$A$5:$A$1004,$A460,'AFA Rates'!$B$5:$B$1004,H$24)&gt;0,"✓",""))</f>
        <v/>
      </c>
      <c r="I460" s="57">
        <f>IF(OR($A460="",I$24=""),"",IF(COUNTIFS('AFA Rates'!$A$5:$A$1004,$A460,'AFA Rates'!$B$5:$B$1004,I$24)&gt;0,"✓",""))</f>
        <v/>
      </c>
      <c r="J460" s="57">
        <f>IF(OR($A460="",J$24=""),"",IF(COUNTIFS('AFA Rates'!$A$5:$A$1004,$A460,'AFA Rates'!$B$5:$B$1004,J$24)&gt;0,"✓",""))</f>
        <v/>
      </c>
      <c r="K460" s="57">
        <f>IF(OR($A460="",K$24=""),"",IF(COUNTIFS('AFA Rates'!$A$5:$A$1004,$A460,'AFA Rates'!$B$5:$B$1004,K$24)&gt;0,"✓",""))</f>
        <v/>
      </c>
      <c r="L460" s="57">
        <f>IF(OR($A460="",L$24=""),"",IF(COUNTIFS('AFA Rates'!$A$5:$A$1004,$A460,'AFA Rates'!$B$5:$B$1004,L$24)&gt;0,"✓",""))</f>
        <v/>
      </c>
      <c r="M460" s="57">
        <f>IF(OR($A460="",M$24=""),"",IF(COUNTIFS('AFA Rates'!$A$5:$A$1004,$A460,'AFA Rates'!$B$5:$B$1004,M$24)&gt;0,"✓",""))</f>
        <v/>
      </c>
    </row>
    <row r="461">
      <c r="A461" s="63">
        <f>IFERROR(INDEX(Firms!$A$5:$A$1004,MATCH(437,Firms!$S$5:$S$1004,0)),"")</f>
        <v/>
      </c>
      <c r="B461" s="57">
        <f>IF($A461="","",INDEX(Firms!$B$5:$B$1004,MATCH(437,Firms!$S$5:$S$1004,0)))</f>
        <v/>
      </c>
      <c r="C461" s="57">
        <f>IF($A461="","",COUNTIF('AFA Rates'!$A$5:$A$1004,$A461))</f>
        <v/>
      </c>
      <c r="D461" s="57">
        <f>IF(OR($A461="",D$24=""),"",IF(COUNTIFS('AFA Rates'!$A$5:$A$1004,$A461,'AFA Rates'!$B$5:$B$1004,D$24)&gt;0,"✓",""))</f>
        <v/>
      </c>
      <c r="E461" s="57">
        <f>IF(OR($A461="",E$24=""),"",IF(COUNTIFS('AFA Rates'!$A$5:$A$1004,$A461,'AFA Rates'!$B$5:$B$1004,E$24)&gt;0,"✓",""))</f>
        <v/>
      </c>
      <c r="F461" s="57">
        <f>IF(OR($A461="",F$24=""),"",IF(COUNTIFS('AFA Rates'!$A$5:$A$1004,$A461,'AFA Rates'!$B$5:$B$1004,F$24)&gt;0,"✓",""))</f>
        <v/>
      </c>
      <c r="G461" s="57">
        <f>IF(OR($A461="",G$24=""),"",IF(COUNTIFS('AFA Rates'!$A$5:$A$1004,$A461,'AFA Rates'!$B$5:$B$1004,G$24)&gt;0,"✓",""))</f>
        <v/>
      </c>
      <c r="H461" s="57">
        <f>IF(OR($A461="",H$24=""),"",IF(COUNTIFS('AFA Rates'!$A$5:$A$1004,$A461,'AFA Rates'!$B$5:$B$1004,H$24)&gt;0,"✓",""))</f>
        <v/>
      </c>
      <c r="I461" s="57">
        <f>IF(OR($A461="",I$24=""),"",IF(COUNTIFS('AFA Rates'!$A$5:$A$1004,$A461,'AFA Rates'!$B$5:$B$1004,I$24)&gt;0,"✓",""))</f>
        <v/>
      </c>
      <c r="J461" s="57">
        <f>IF(OR($A461="",J$24=""),"",IF(COUNTIFS('AFA Rates'!$A$5:$A$1004,$A461,'AFA Rates'!$B$5:$B$1004,J$24)&gt;0,"✓",""))</f>
        <v/>
      </c>
      <c r="K461" s="57">
        <f>IF(OR($A461="",K$24=""),"",IF(COUNTIFS('AFA Rates'!$A$5:$A$1004,$A461,'AFA Rates'!$B$5:$B$1004,K$24)&gt;0,"✓",""))</f>
        <v/>
      </c>
      <c r="L461" s="57">
        <f>IF(OR($A461="",L$24=""),"",IF(COUNTIFS('AFA Rates'!$A$5:$A$1004,$A461,'AFA Rates'!$B$5:$B$1004,L$24)&gt;0,"✓",""))</f>
        <v/>
      </c>
      <c r="M461" s="57">
        <f>IF(OR($A461="",M$24=""),"",IF(COUNTIFS('AFA Rates'!$A$5:$A$1004,$A461,'AFA Rates'!$B$5:$B$1004,M$24)&gt;0,"✓",""))</f>
        <v/>
      </c>
    </row>
    <row r="462">
      <c r="A462" s="63">
        <f>IFERROR(INDEX(Firms!$A$5:$A$1004,MATCH(438,Firms!$S$5:$S$1004,0)),"")</f>
        <v/>
      </c>
      <c r="B462" s="57">
        <f>IF($A462="","",INDEX(Firms!$B$5:$B$1004,MATCH(438,Firms!$S$5:$S$1004,0)))</f>
        <v/>
      </c>
      <c r="C462" s="57">
        <f>IF($A462="","",COUNTIF('AFA Rates'!$A$5:$A$1004,$A462))</f>
        <v/>
      </c>
      <c r="D462" s="57">
        <f>IF(OR($A462="",D$24=""),"",IF(COUNTIFS('AFA Rates'!$A$5:$A$1004,$A462,'AFA Rates'!$B$5:$B$1004,D$24)&gt;0,"✓",""))</f>
        <v/>
      </c>
      <c r="E462" s="57">
        <f>IF(OR($A462="",E$24=""),"",IF(COUNTIFS('AFA Rates'!$A$5:$A$1004,$A462,'AFA Rates'!$B$5:$B$1004,E$24)&gt;0,"✓",""))</f>
        <v/>
      </c>
      <c r="F462" s="57">
        <f>IF(OR($A462="",F$24=""),"",IF(COUNTIFS('AFA Rates'!$A$5:$A$1004,$A462,'AFA Rates'!$B$5:$B$1004,F$24)&gt;0,"✓",""))</f>
        <v/>
      </c>
      <c r="G462" s="57">
        <f>IF(OR($A462="",G$24=""),"",IF(COUNTIFS('AFA Rates'!$A$5:$A$1004,$A462,'AFA Rates'!$B$5:$B$1004,G$24)&gt;0,"✓",""))</f>
        <v/>
      </c>
      <c r="H462" s="57">
        <f>IF(OR($A462="",H$24=""),"",IF(COUNTIFS('AFA Rates'!$A$5:$A$1004,$A462,'AFA Rates'!$B$5:$B$1004,H$24)&gt;0,"✓",""))</f>
        <v/>
      </c>
      <c r="I462" s="57">
        <f>IF(OR($A462="",I$24=""),"",IF(COUNTIFS('AFA Rates'!$A$5:$A$1004,$A462,'AFA Rates'!$B$5:$B$1004,I$24)&gt;0,"✓",""))</f>
        <v/>
      </c>
      <c r="J462" s="57">
        <f>IF(OR($A462="",J$24=""),"",IF(COUNTIFS('AFA Rates'!$A$5:$A$1004,$A462,'AFA Rates'!$B$5:$B$1004,J$24)&gt;0,"✓",""))</f>
        <v/>
      </c>
      <c r="K462" s="57">
        <f>IF(OR($A462="",K$24=""),"",IF(COUNTIFS('AFA Rates'!$A$5:$A$1004,$A462,'AFA Rates'!$B$5:$B$1004,K$24)&gt;0,"✓",""))</f>
        <v/>
      </c>
      <c r="L462" s="57">
        <f>IF(OR($A462="",L$24=""),"",IF(COUNTIFS('AFA Rates'!$A$5:$A$1004,$A462,'AFA Rates'!$B$5:$B$1004,L$24)&gt;0,"✓",""))</f>
        <v/>
      </c>
      <c r="M462" s="57">
        <f>IF(OR($A462="",M$24=""),"",IF(COUNTIFS('AFA Rates'!$A$5:$A$1004,$A462,'AFA Rates'!$B$5:$B$1004,M$24)&gt;0,"✓",""))</f>
        <v/>
      </c>
    </row>
    <row r="463">
      <c r="A463" s="63">
        <f>IFERROR(INDEX(Firms!$A$5:$A$1004,MATCH(439,Firms!$S$5:$S$1004,0)),"")</f>
        <v/>
      </c>
      <c r="B463" s="57">
        <f>IF($A463="","",INDEX(Firms!$B$5:$B$1004,MATCH(439,Firms!$S$5:$S$1004,0)))</f>
        <v/>
      </c>
      <c r="C463" s="57">
        <f>IF($A463="","",COUNTIF('AFA Rates'!$A$5:$A$1004,$A463))</f>
        <v/>
      </c>
      <c r="D463" s="57">
        <f>IF(OR($A463="",D$24=""),"",IF(COUNTIFS('AFA Rates'!$A$5:$A$1004,$A463,'AFA Rates'!$B$5:$B$1004,D$24)&gt;0,"✓",""))</f>
        <v/>
      </c>
      <c r="E463" s="57">
        <f>IF(OR($A463="",E$24=""),"",IF(COUNTIFS('AFA Rates'!$A$5:$A$1004,$A463,'AFA Rates'!$B$5:$B$1004,E$24)&gt;0,"✓",""))</f>
        <v/>
      </c>
      <c r="F463" s="57">
        <f>IF(OR($A463="",F$24=""),"",IF(COUNTIFS('AFA Rates'!$A$5:$A$1004,$A463,'AFA Rates'!$B$5:$B$1004,F$24)&gt;0,"✓",""))</f>
        <v/>
      </c>
      <c r="G463" s="57">
        <f>IF(OR($A463="",G$24=""),"",IF(COUNTIFS('AFA Rates'!$A$5:$A$1004,$A463,'AFA Rates'!$B$5:$B$1004,G$24)&gt;0,"✓",""))</f>
        <v/>
      </c>
      <c r="H463" s="57">
        <f>IF(OR($A463="",H$24=""),"",IF(COUNTIFS('AFA Rates'!$A$5:$A$1004,$A463,'AFA Rates'!$B$5:$B$1004,H$24)&gt;0,"✓",""))</f>
        <v/>
      </c>
      <c r="I463" s="57">
        <f>IF(OR($A463="",I$24=""),"",IF(COUNTIFS('AFA Rates'!$A$5:$A$1004,$A463,'AFA Rates'!$B$5:$B$1004,I$24)&gt;0,"✓",""))</f>
        <v/>
      </c>
      <c r="J463" s="57">
        <f>IF(OR($A463="",J$24=""),"",IF(COUNTIFS('AFA Rates'!$A$5:$A$1004,$A463,'AFA Rates'!$B$5:$B$1004,J$24)&gt;0,"✓",""))</f>
        <v/>
      </c>
      <c r="K463" s="57">
        <f>IF(OR($A463="",K$24=""),"",IF(COUNTIFS('AFA Rates'!$A$5:$A$1004,$A463,'AFA Rates'!$B$5:$B$1004,K$24)&gt;0,"✓",""))</f>
        <v/>
      </c>
      <c r="L463" s="57">
        <f>IF(OR($A463="",L$24=""),"",IF(COUNTIFS('AFA Rates'!$A$5:$A$1004,$A463,'AFA Rates'!$B$5:$B$1004,L$24)&gt;0,"✓",""))</f>
        <v/>
      </c>
      <c r="M463" s="57">
        <f>IF(OR($A463="",M$24=""),"",IF(COUNTIFS('AFA Rates'!$A$5:$A$1004,$A463,'AFA Rates'!$B$5:$B$1004,M$24)&gt;0,"✓",""))</f>
        <v/>
      </c>
    </row>
    <row r="464">
      <c r="A464" s="63">
        <f>IFERROR(INDEX(Firms!$A$5:$A$1004,MATCH(440,Firms!$S$5:$S$1004,0)),"")</f>
        <v/>
      </c>
      <c r="B464" s="57">
        <f>IF($A464="","",INDEX(Firms!$B$5:$B$1004,MATCH(440,Firms!$S$5:$S$1004,0)))</f>
        <v/>
      </c>
      <c r="C464" s="57">
        <f>IF($A464="","",COUNTIF('AFA Rates'!$A$5:$A$1004,$A464))</f>
        <v/>
      </c>
      <c r="D464" s="57">
        <f>IF(OR($A464="",D$24=""),"",IF(COUNTIFS('AFA Rates'!$A$5:$A$1004,$A464,'AFA Rates'!$B$5:$B$1004,D$24)&gt;0,"✓",""))</f>
        <v/>
      </c>
      <c r="E464" s="57">
        <f>IF(OR($A464="",E$24=""),"",IF(COUNTIFS('AFA Rates'!$A$5:$A$1004,$A464,'AFA Rates'!$B$5:$B$1004,E$24)&gt;0,"✓",""))</f>
        <v/>
      </c>
      <c r="F464" s="57">
        <f>IF(OR($A464="",F$24=""),"",IF(COUNTIFS('AFA Rates'!$A$5:$A$1004,$A464,'AFA Rates'!$B$5:$B$1004,F$24)&gt;0,"✓",""))</f>
        <v/>
      </c>
      <c r="G464" s="57">
        <f>IF(OR($A464="",G$24=""),"",IF(COUNTIFS('AFA Rates'!$A$5:$A$1004,$A464,'AFA Rates'!$B$5:$B$1004,G$24)&gt;0,"✓",""))</f>
        <v/>
      </c>
      <c r="H464" s="57">
        <f>IF(OR($A464="",H$24=""),"",IF(COUNTIFS('AFA Rates'!$A$5:$A$1004,$A464,'AFA Rates'!$B$5:$B$1004,H$24)&gt;0,"✓",""))</f>
        <v/>
      </c>
      <c r="I464" s="57">
        <f>IF(OR($A464="",I$24=""),"",IF(COUNTIFS('AFA Rates'!$A$5:$A$1004,$A464,'AFA Rates'!$B$5:$B$1004,I$24)&gt;0,"✓",""))</f>
        <v/>
      </c>
      <c r="J464" s="57">
        <f>IF(OR($A464="",J$24=""),"",IF(COUNTIFS('AFA Rates'!$A$5:$A$1004,$A464,'AFA Rates'!$B$5:$B$1004,J$24)&gt;0,"✓",""))</f>
        <v/>
      </c>
      <c r="K464" s="57">
        <f>IF(OR($A464="",K$24=""),"",IF(COUNTIFS('AFA Rates'!$A$5:$A$1004,$A464,'AFA Rates'!$B$5:$B$1004,K$24)&gt;0,"✓",""))</f>
        <v/>
      </c>
      <c r="L464" s="57">
        <f>IF(OR($A464="",L$24=""),"",IF(COUNTIFS('AFA Rates'!$A$5:$A$1004,$A464,'AFA Rates'!$B$5:$B$1004,L$24)&gt;0,"✓",""))</f>
        <v/>
      </c>
      <c r="M464" s="57">
        <f>IF(OR($A464="",M$24=""),"",IF(COUNTIFS('AFA Rates'!$A$5:$A$1004,$A464,'AFA Rates'!$B$5:$B$1004,M$24)&gt;0,"✓",""))</f>
        <v/>
      </c>
    </row>
    <row r="465">
      <c r="A465" s="63">
        <f>IFERROR(INDEX(Firms!$A$5:$A$1004,MATCH(441,Firms!$S$5:$S$1004,0)),"")</f>
        <v/>
      </c>
      <c r="B465" s="57">
        <f>IF($A465="","",INDEX(Firms!$B$5:$B$1004,MATCH(441,Firms!$S$5:$S$1004,0)))</f>
        <v/>
      </c>
      <c r="C465" s="57">
        <f>IF($A465="","",COUNTIF('AFA Rates'!$A$5:$A$1004,$A465))</f>
        <v/>
      </c>
      <c r="D465" s="57">
        <f>IF(OR($A465="",D$24=""),"",IF(COUNTIFS('AFA Rates'!$A$5:$A$1004,$A465,'AFA Rates'!$B$5:$B$1004,D$24)&gt;0,"✓",""))</f>
        <v/>
      </c>
      <c r="E465" s="57">
        <f>IF(OR($A465="",E$24=""),"",IF(COUNTIFS('AFA Rates'!$A$5:$A$1004,$A465,'AFA Rates'!$B$5:$B$1004,E$24)&gt;0,"✓",""))</f>
        <v/>
      </c>
      <c r="F465" s="57">
        <f>IF(OR($A465="",F$24=""),"",IF(COUNTIFS('AFA Rates'!$A$5:$A$1004,$A465,'AFA Rates'!$B$5:$B$1004,F$24)&gt;0,"✓",""))</f>
        <v/>
      </c>
      <c r="G465" s="57">
        <f>IF(OR($A465="",G$24=""),"",IF(COUNTIFS('AFA Rates'!$A$5:$A$1004,$A465,'AFA Rates'!$B$5:$B$1004,G$24)&gt;0,"✓",""))</f>
        <v/>
      </c>
      <c r="H465" s="57">
        <f>IF(OR($A465="",H$24=""),"",IF(COUNTIFS('AFA Rates'!$A$5:$A$1004,$A465,'AFA Rates'!$B$5:$B$1004,H$24)&gt;0,"✓",""))</f>
        <v/>
      </c>
      <c r="I465" s="57">
        <f>IF(OR($A465="",I$24=""),"",IF(COUNTIFS('AFA Rates'!$A$5:$A$1004,$A465,'AFA Rates'!$B$5:$B$1004,I$24)&gt;0,"✓",""))</f>
        <v/>
      </c>
      <c r="J465" s="57">
        <f>IF(OR($A465="",J$24=""),"",IF(COUNTIFS('AFA Rates'!$A$5:$A$1004,$A465,'AFA Rates'!$B$5:$B$1004,J$24)&gt;0,"✓",""))</f>
        <v/>
      </c>
      <c r="K465" s="57">
        <f>IF(OR($A465="",K$24=""),"",IF(COUNTIFS('AFA Rates'!$A$5:$A$1004,$A465,'AFA Rates'!$B$5:$B$1004,K$24)&gt;0,"✓",""))</f>
        <v/>
      </c>
      <c r="L465" s="57">
        <f>IF(OR($A465="",L$24=""),"",IF(COUNTIFS('AFA Rates'!$A$5:$A$1004,$A465,'AFA Rates'!$B$5:$B$1004,L$24)&gt;0,"✓",""))</f>
        <v/>
      </c>
      <c r="M465" s="57">
        <f>IF(OR($A465="",M$24=""),"",IF(COUNTIFS('AFA Rates'!$A$5:$A$1004,$A465,'AFA Rates'!$B$5:$B$1004,M$24)&gt;0,"✓",""))</f>
        <v/>
      </c>
    </row>
    <row r="466">
      <c r="A466" s="63">
        <f>IFERROR(INDEX(Firms!$A$5:$A$1004,MATCH(442,Firms!$S$5:$S$1004,0)),"")</f>
        <v/>
      </c>
      <c r="B466" s="57">
        <f>IF($A466="","",INDEX(Firms!$B$5:$B$1004,MATCH(442,Firms!$S$5:$S$1004,0)))</f>
        <v/>
      </c>
      <c r="C466" s="57">
        <f>IF($A466="","",COUNTIF('AFA Rates'!$A$5:$A$1004,$A466))</f>
        <v/>
      </c>
      <c r="D466" s="57">
        <f>IF(OR($A466="",D$24=""),"",IF(COUNTIFS('AFA Rates'!$A$5:$A$1004,$A466,'AFA Rates'!$B$5:$B$1004,D$24)&gt;0,"✓",""))</f>
        <v/>
      </c>
      <c r="E466" s="57">
        <f>IF(OR($A466="",E$24=""),"",IF(COUNTIFS('AFA Rates'!$A$5:$A$1004,$A466,'AFA Rates'!$B$5:$B$1004,E$24)&gt;0,"✓",""))</f>
        <v/>
      </c>
      <c r="F466" s="57">
        <f>IF(OR($A466="",F$24=""),"",IF(COUNTIFS('AFA Rates'!$A$5:$A$1004,$A466,'AFA Rates'!$B$5:$B$1004,F$24)&gt;0,"✓",""))</f>
        <v/>
      </c>
      <c r="G466" s="57">
        <f>IF(OR($A466="",G$24=""),"",IF(COUNTIFS('AFA Rates'!$A$5:$A$1004,$A466,'AFA Rates'!$B$5:$B$1004,G$24)&gt;0,"✓",""))</f>
        <v/>
      </c>
      <c r="H466" s="57">
        <f>IF(OR($A466="",H$24=""),"",IF(COUNTIFS('AFA Rates'!$A$5:$A$1004,$A466,'AFA Rates'!$B$5:$B$1004,H$24)&gt;0,"✓",""))</f>
        <v/>
      </c>
      <c r="I466" s="57">
        <f>IF(OR($A466="",I$24=""),"",IF(COUNTIFS('AFA Rates'!$A$5:$A$1004,$A466,'AFA Rates'!$B$5:$B$1004,I$24)&gt;0,"✓",""))</f>
        <v/>
      </c>
      <c r="J466" s="57">
        <f>IF(OR($A466="",J$24=""),"",IF(COUNTIFS('AFA Rates'!$A$5:$A$1004,$A466,'AFA Rates'!$B$5:$B$1004,J$24)&gt;0,"✓",""))</f>
        <v/>
      </c>
      <c r="K466" s="57">
        <f>IF(OR($A466="",K$24=""),"",IF(COUNTIFS('AFA Rates'!$A$5:$A$1004,$A466,'AFA Rates'!$B$5:$B$1004,K$24)&gt;0,"✓",""))</f>
        <v/>
      </c>
      <c r="L466" s="57">
        <f>IF(OR($A466="",L$24=""),"",IF(COUNTIFS('AFA Rates'!$A$5:$A$1004,$A466,'AFA Rates'!$B$5:$B$1004,L$24)&gt;0,"✓",""))</f>
        <v/>
      </c>
      <c r="M466" s="57">
        <f>IF(OR($A466="",M$24=""),"",IF(COUNTIFS('AFA Rates'!$A$5:$A$1004,$A466,'AFA Rates'!$B$5:$B$1004,M$24)&gt;0,"✓",""))</f>
        <v/>
      </c>
    </row>
    <row r="467">
      <c r="A467" s="63">
        <f>IFERROR(INDEX(Firms!$A$5:$A$1004,MATCH(443,Firms!$S$5:$S$1004,0)),"")</f>
        <v/>
      </c>
      <c r="B467" s="57">
        <f>IF($A467="","",INDEX(Firms!$B$5:$B$1004,MATCH(443,Firms!$S$5:$S$1004,0)))</f>
        <v/>
      </c>
      <c r="C467" s="57">
        <f>IF($A467="","",COUNTIF('AFA Rates'!$A$5:$A$1004,$A467))</f>
        <v/>
      </c>
      <c r="D467" s="57">
        <f>IF(OR($A467="",D$24=""),"",IF(COUNTIFS('AFA Rates'!$A$5:$A$1004,$A467,'AFA Rates'!$B$5:$B$1004,D$24)&gt;0,"✓",""))</f>
        <v/>
      </c>
      <c r="E467" s="57">
        <f>IF(OR($A467="",E$24=""),"",IF(COUNTIFS('AFA Rates'!$A$5:$A$1004,$A467,'AFA Rates'!$B$5:$B$1004,E$24)&gt;0,"✓",""))</f>
        <v/>
      </c>
      <c r="F467" s="57">
        <f>IF(OR($A467="",F$24=""),"",IF(COUNTIFS('AFA Rates'!$A$5:$A$1004,$A467,'AFA Rates'!$B$5:$B$1004,F$24)&gt;0,"✓",""))</f>
        <v/>
      </c>
      <c r="G467" s="57">
        <f>IF(OR($A467="",G$24=""),"",IF(COUNTIFS('AFA Rates'!$A$5:$A$1004,$A467,'AFA Rates'!$B$5:$B$1004,G$24)&gt;0,"✓",""))</f>
        <v/>
      </c>
      <c r="H467" s="57">
        <f>IF(OR($A467="",H$24=""),"",IF(COUNTIFS('AFA Rates'!$A$5:$A$1004,$A467,'AFA Rates'!$B$5:$B$1004,H$24)&gt;0,"✓",""))</f>
        <v/>
      </c>
      <c r="I467" s="57">
        <f>IF(OR($A467="",I$24=""),"",IF(COUNTIFS('AFA Rates'!$A$5:$A$1004,$A467,'AFA Rates'!$B$5:$B$1004,I$24)&gt;0,"✓",""))</f>
        <v/>
      </c>
      <c r="J467" s="57">
        <f>IF(OR($A467="",J$24=""),"",IF(COUNTIFS('AFA Rates'!$A$5:$A$1004,$A467,'AFA Rates'!$B$5:$B$1004,J$24)&gt;0,"✓",""))</f>
        <v/>
      </c>
      <c r="K467" s="57">
        <f>IF(OR($A467="",K$24=""),"",IF(COUNTIFS('AFA Rates'!$A$5:$A$1004,$A467,'AFA Rates'!$B$5:$B$1004,K$24)&gt;0,"✓",""))</f>
        <v/>
      </c>
      <c r="L467" s="57">
        <f>IF(OR($A467="",L$24=""),"",IF(COUNTIFS('AFA Rates'!$A$5:$A$1004,$A467,'AFA Rates'!$B$5:$B$1004,L$24)&gt;0,"✓",""))</f>
        <v/>
      </c>
      <c r="M467" s="57">
        <f>IF(OR($A467="",M$24=""),"",IF(COUNTIFS('AFA Rates'!$A$5:$A$1004,$A467,'AFA Rates'!$B$5:$B$1004,M$24)&gt;0,"✓",""))</f>
        <v/>
      </c>
    </row>
    <row r="468">
      <c r="A468" s="63">
        <f>IFERROR(INDEX(Firms!$A$5:$A$1004,MATCH(444,Firms!$S$5:$S$1004,0)),"")</f>
        <v/>
      </c>
      <c r="B468" s="57">
        <f>IF($A468="","",INDEX(Firms!$B$5:$B$1004,MATCH(444,Firms!$S$5:$S$1004,0)))</f>
        <v/>
      </c>
      <c r="C468" s="57">
        <f>IF($A468="","",COUNTIF('AFA Rates'!$A$5:$A$1004,$A468))</f>
        <v/>
      </c>
      <c r="D468" s="57">
        <f>IF(OR($A468="",D$24=""),"",IF(COUNTIFS('AFA Rates'!$A$5:$A$1004,$A468,'AFA Rates'!$B$5:$B$1004,D$24)&gt;0,"✓",""))</f>
        <v/>
      </c>
      <c r="E468" s="57">
        <f>IF(OR($A468="",E$24=""),"",IF(COUNTIFS('AFA Rates'!$A$5:$A$1004,$A468,'AFA Rates'!$B$5:$B$1004,E$24)&gt;0,"✓",""))</f>
        <v/>
      </c>
      <c r="F468" s="57">
        <f>IF(OR($A468="",F$24=""),"",IF(COUNTIFS('AFA Rates'!$A$5:$A$1004,$A468,'AFA Rates'!$B$5:$B$1004,F$24)&gt;0,"✓",""))</f>
        <v/>
      </c>
      <c r="G468" s="57">
        <f>IF(OR($A468="",G$24=""),"",IF(COUNTIFS('AFA Rates'!$A$5:$A$1004,$A468,'AFA Rates'!$B$5:$B$1004,G$24)&gt;0,"✓",""))</f>
        <v/>
      </c>
      <c r="H468" s="57">
        <f>IF(OR($A468="",H$24=""),"",IF(COUNTIFS('AFA Rates'!$A$5:$A$1004,$A468,'AFA Rates'!$B$5:$B$1004,H$24)&gt;0,"✓",""))</f>
        <v/>
      </c>
      <c r="I468" s="57">
        <f>IF(OR($A468="",I$24=""),"",IF(COUNTIFS('AFA Rates'!$A$5:$A$1004,$A468,'AFA Rates'!$B$5:$B$1004,I$24)&gt;0,"✓",""))</f>
        <v/>
      </c>
      <c r="J468" s="57">
        <f>IF(OR($A468="",J$24=""),"",IF(COUNTIFS('AFA Rates'!$A$5:$A$1004,$A468,'AFA Rates'!$B$5:$B$1004,J$24)&gt;0,"✓",""))</f>
        <v/>
      </c>
      <c r="K468" s="57">
        <f>IF(OR($A468="",K$24=""),"",IF(COUNTIFS('AFA Rates'!$A$5:$A$1004,$A468,'AFA Rates'!$B$5:$B$1004,K$24)&gt;0,"✓",""))</f>
        <v/>
      </c>
      <c r="L468" s="57">
        <f>IF(OR($A468="",L$24=""),"",IF(COUNTIFS('AFA Rates'!$A$5:$A$1004,$A468,'AFA Rates'!$B$5:$B$1004,L$24)&gt;0,"✓",""))</f>
        <v/>
      </c>
      <c r="M468" s="57">
        <f>IF(OR($A468="",M$24=""),"",IF(COUNTIFS('AFA Rates'!$A$5:$A$1004,$A468,'AFA Rates'!$B$5:$B$1004,M$24)&gt;0,"✓",""))</f>
        <v/>
      </c>
    </row>
    <row r="469">
      <c r="A469" s="63">
        <f>IFERROR(INDEX(Firms!$A$5:$A$1004,MATCH(445,Firms!$S$5:$S$1004,0)),"")</f>
        <v/>
      </c>
      <c r="B469" s="57">
        <f>IF($A469="","",INDEX(Firms!$B$5:$B$1004,MATCH(445,Firms!$S$5:$S$1004,0)))</f>
        <v/>
      </c>
      <c r="C469" s="57">
        <f>IF($A469="","",COUNTIF('AFA Rates'!$A$5:$A$1004,$A469))</f>
        <v/>
      </c>
      <c r="D469" s="57">
        <f>IF(OR($A469="",D$24=""),"",IF(COUNTIFS('AFA Rates'!$A$5:$A$1004,$A469,'AFA Rates'!$B$5:$B$1004,D$24)&gt;0,"✓",""))</f>
        <v/>
      </c>
      <c r="E469" s="57">
        <f>IF(OR($A469="",E$24=""),"",IF(COUNTIFS('AFA Rates'!$A$5:$A$1004,$A469,'AFA Rates'!$B$5:$B$1004,E$24)&gt;0,"✓",""))</f>
        <v/>
      </c>
      <c r="F469" s="57">
        <f>IF(OR($A469="",F$24=""),"",IF(COUNTIFS('AFA Rates'!$A$5:$A$1004,$A469,'AFA Rates'!$B$5:$B$1004,F$24)&gt;0,"✓",""))</f>
        <v/>
      </c>
      <c r="G469" s="57">
        <f>IF(OR($A469="",G$24=""),"",IF(COUNTIFS('AFA Rates'!$A$5:$A$1004,$A469,'AFA Rates'!$B$5:$B$1004,G$24)&gt;0,"✓",""))</f>
        <v/>
      </c>
      <c r="H469" s="57">
        <f>IF(OR($A469="",H$24=""),"",IF(COUNTIFS('AFA Rates'!$A$5:$A$1004,$A469,'AFA Rates'!$B$5:$B$1004,H$24)&gt;0,"✓",""))</f>
        <v/>
      </c>
      <c r="I469" s="57">
        <f>IF(OR($A469="",I$24=""),"",IF(COUNTIFS('AFA Rates'!$A$5:$A$1004,$A469,'AFA Rates'!$B$5:$B$1004,I$24)&gt;0,"✓",""))</f>
        <v/>
      </c>
      <c r="J469" s="57">
        <f>IF(OR($A469="",J$24=""),"",IF(COUNTIFS('AFA Rates'!$A$5:$A$1004,$A469,'AFA Rates'!$B$5:$B$1004,J$24)&gt;0,"✓",""))</f>
        <v/>
      </c>
      <c r="K469" s="57">
        <f>IF(OR($A469="",K$24=""),"",IF(COUNTIFS('AFA Rates'!$A$5:$A$1004,$A469,'AFA Rates'!$B$5:$B$1004,K$24)&gt;0,"✓",""))</f>
        <v/>
      </c>
      <c r="L469" s="57">
        <f>IF(OR($A469="",L$24=""),"",IF(COUNTIFS('AFA Rates'!$A$5:$A$1004,$A469,'AFA Rates'!$B$5:$B$1004,L$24)&gt;0,"✓",""))</f>
        <v/>
      </c>
      <c r="M469" s="57">
        <f>IF(OR($A469="",M$24=""),"",IF(COUNTIFS('AFA Rates'!$A$5:$A$1004,$A469,'AFA Rates'!$B$5:$B$1004,M$24)&gt;0,"✓",""))</f>
        <v/>
      </c>
    </row>
    <row r="470">
      <c r="A470" s="63">
        <f>IFERROR(INDEX(Firms!$A$5:$A$1004,MATCH(446,Firms!$S$5:$S$1004,0)),"")</f>
        <v/>
      </c>
      <c r="B470" s="57">
        <f>IF($A470="","",INDEX(Firms!$B$5:$B$1004,MATCH(446,Firms!$S$5:$S$1004,0)))</f>
        <v/>
      </c>
      <c r="C470" s="57">
        <f>IF($A470="","",COUNTIF('AFA Rates'!$A$5:$A$1004,$A470))</f>
        <v/>
      </c>
      <c r="D470" s="57">
        <f>IF(OR($A470="",D$24=""),"",IF(COUNTIFS('AFA Rates'!$A$5:$A$1004,$A470,'AFA Rates'!$B$5:$B$1004,D$24)&gt;0,"✓",""))</f>
        <v/>
      </c>
      <c r="E470" s="57">
        <f>IF(OR($A470="",E$24=""),"",IF(COUNTIFS('AFA Rates'!$A$5:$A$1004,$A470,'AFA Rates'!$B$5:$B$1004,E$24)&gt;0,"✓",""))</f>
        <v/>
      </c>
      <c r="F470" s="57">
        <f>IF(OR($A470="",F$24=""),"",IF(COUNTIFS('AFA Rates'!$A$5:$A$1004,$A470,'AFA Rates'!$B$5:$B$1004,F$24)&gt;0,"✓",""))</f>
        <v/>
      </c>
      <c r="G470" s="57">
        <f>IF(OR($A470="",G$24=""),"",IF(COUNTIFS('AFA Rates'!$A$5:$A$1004,$A470,'AFA Rates'!$B$5:$B$1004,G$24)&gt;0,"✓",""))</f>
        <v/>
      </c>
      <c r="H470" s="57">
        <f>IF(OR($A470="",H$24=""),"",IF(COUNTIFS('AFA Rates'!$A$5:$A$1004,$A470,'AFA Rates'!$B$5:$B$1004,H$24)&gt;0,"✓",""))</f>
        <v/>
      </c>
      <c r="I470" s="57">
        <f>IF(OR($A470="",I$24=""),"",IF(COUNTIFS('AFA Rates'!$A$5:$A$1004,$A470,'AFA Rates'!$B$5:$B$1004,I$24)&gt;0,"✓",""))</f>
        <v/>
      </c>
      <c r="J470" s="57">
        <f>IF(OR($A470="",J$24=""),"",IF(COUNTIFS('AFA Rates'!$A$5:$A$1004,$A470,'AFA Rates'!$B$5:$B$1004,J$24)&gt;0,"✓",""))</f>
        <v/>
      </c>
      <c r="K470" s="57">
        <f>IF(OR($A470="",K$24=""),"",IF(COUNTIFS('AFA Rates'!$A$5:$A$1004,$A470,'AFA Rates'!$B$5:$B$1004,K$24)&gt;0,"✓",""))</f>
        <v/>
      </c>
      <c r="L470" s="57">
        <f>IF(OR($A470="",L$24=""),"",IF(COUNTIFS('AFA Rates'!$A$5:$A$1004,$A470,'AFA Rates'!$B$5:$B$1004,L$24)&gt;0,"✓",""))</f>
        <v/>
      </c>
      <c r="M470" s="57">
        <f>IF(OR($A470="",M$24=""),"",IF(COUNTIFS('AFA Rates'!$A$5:$A$1004,$A470,'AFA Rates'!$B$5:$B$1004,M$24)&gt;0,"✓",""))</f>
        <v/>
      </c>
    </row>
    <row r="471">
      <c r="A471" s="63">
        <f>IFERROR(INDEX(Firms!$A$5:$A$1004,MATCH(447,Firms!$S$5:$S$1004,0)),"")</f>
        <v/>
      </c>
      <c r="B471" s="57">
        <f>IF($A471="","",INDEX(Firms!$B$5:$B$1004,MATCH(447,Firms!$S$5:$S$1004,0)))</f>
        <v/>
      </c>
      <c r="C471" s="57">
        <f>IF($A471="","",COUNTIF('AFA Rates'!$A$5:$A$1004,$A471))</f>
        <v/>
      </c>
      <c r="D471" s="57">
        <f>IF(OR($A471="",D$24=""),"",IF(COUNTIFS('AFA Rates'!$A$5:$A$1004,$A471,'AFA Rates'!$B$5:$B$1004,D$24)&gt;0,"✓",""))</f>
        <v/>
      </c>
      <c r="E471" s="57">
        <f>IF(OR($A471="",E$24=""),"",IF(COUNTIFS('AFA Rates'!$A$5:$A$1004,$A471,'AFA Rates'!$B$5:$B$1004,E$24)&gt;0,"✓",""))</f>
        <v/>
      </c>
      <c r="F471" s="57">
        <f>IF(OR($A471="",F$24=""),"",IF(COUNTIFS('AFA Rates'!$A$5:$A$1004,$A471,'AFA Rates'!$B$5:$B$1004,F$24)&gt;0,"✓",""))</f>
        <v/>
      </c>
      <c r="G471" s="57">
        <f>IF(OR($A471="",G$24=""),"",IF(COUNTIFS('AFA Rates'!$A$5:$A$1004,$A471,'AFA Rates'!$B$5:$B$1004,G$24)&gt;0,"✓",""))</f>
        <v/>
      </c>
      <c r="H471" s="57">
        <f>IF(OR($A471="",H$24=""),"",IF(COUNTIFS('AFA Rates'!$A$5:$A$1004,$A471,'AFA Rates'!$B$5:$B$1004,H$24)&gt;0,"✓",""))</f>
        <v/>
      </c>
      <c r="I471" s="57">
        <f>IF(OR($A471="",I$24=""),"",IF(COUNTIFS('AFA Rates'!$A$5:$A$1004,$A471,'AFA Rates'!$B$5:$B$1004,I$24)&gt;0,"✓",""))</f>
        <v/>
      </c>
      <c r="J471" s="57">
        <f>IF(OR($A471="",J$24=""),"",IF(COUNTIFS('AFA Rates'!$A$5:$A$1004,$A471,'AFA Rates'!$B$5:$B$1004,J$24)&gt;0,"✓",""))</f>
        <v/>
      </c>
      <c r="K471" s="57">
        <f>IF(OR($A471="",K$24=""),"",IF(COUNTIFS('AFA Rates'!$A$5:$A$1004,$A471,'AFA Rates'!$B$5:$B$1004,K$24)&gt;0,"✓",""))</f>
        <v/>
      </c>
      <c r="L471" s="57">
        <f>IF(OR($A471="",L$24=""),"",IF(COUNTIFS('AFA Rates'!$A$5:$A$1004,$A471,'AFA Rates'!$B$5:$B$1004,L$24)&gt;0,"✓",""))</f>
        <v/>
      </c>
      <c r="M471" s="57">
        <f>IF(OR($A471="",M$24=""),"",IF(COUNTIFS('AFA Rates'!$A$5:$A$1004,$A471,'AFA Rates'!$B$5:$B$1004,M$24)&gt;0,"✓",""))</f>
        <v/>
      </c>
    </row>
    <row r="472">
      <c r="A472" s="63">
        <f>IFERROR(INDEX(Firms!$A$5:$A$1004,MATCH(448,Firms!$S$5:$S$1004,0)),"")</f>
        <v/>
      </c>
      <c r="B472" s="57">
        <f>IF($A472="","",INDEX(Firms!$B$5:$B$1004,MATCH(448,Firms!$S$5:$S$1004,0)))</f>
        <v/>
      </c>
      <c r="C472" s="57">
        <f>IF($A472="","",COUNTIF('AFA Rates'!$A$5:$A$1004,$A472))</f>
        <v/>
      </c>
      <c r="D472" s="57">
        <f>IF(OR($A472="",D$24=""),"",IF(COUNTIFS('AFA Rates'!$A$5:$A$1004,$A472,'AFA Rates'!$B$5:$B$1004,D$24)&gt;0,"✓",""))</f>
        <v/>
      </c>
      <c r="E472" s="57">
        <f>IF(OR($A472="",E$24=""),"",IF(COUNTIFS('AFA Rates'!$A$5:$A$1004,$A472,'AFA Rates'!$B$5:$B$1004,E$24)&gt;0,"✓",""))</f>
        <v/>
      </c>
      <c r="F472" s="57">
        <f>IF(OR($A472="",F$24=""),"",IF(COUNTIFS('AFA Rates'!$A$5:$A$1004,$A472,'AFA Rates'!$B$5:$B$1004,F$24)&gt;0,"✓",""))</f>
        <v/>
      </c>
      <c r="G472" s="57">
        <f>IF(OR($A472="",G$24=""),"",IF(COUNTIFS('AFA Rates'!$A$5:$A$1004,$A472,'AFA Rates'!$B$5:$B$1004,G$24)&gt;0,"✓",""))</f>
        <v/>
      </c>
      <c r="H472" s="57">
        <f>IF(OR($A472="",H$24=""),"",IF(COUNTIFS('AFA Rates'!$A$5:$A$1004,$A472,'AFA Rates'!$B$5:$B$1004,H$24)&gt;0,"✓",""))</f>
        <v/>
      </c>
      <c r="I472" s="57">
        <f>IF(OR($A472="",I$24=""),"",IF(COUNTIFS('AFA Rates'!$A$5:$A$1004,$A472,'AFA Rates'!$B$5:$B$1004,I$24)&gt;0,"✓",""))</f>
        <v/>
      </c>
      <c r="J472" s="57">
        <f>IF(OR($A472="",J$24=""),"",IF(COUNTIFS('AFA Rates'!$A$5:$A$1004,$A472,'AFA Rates'!$B$5:$B$1004,J$24)&gt;0,"✓",""))</f>
        <v/>
      </c>
      <c r="K472" s="57">
        <f>IF(OR($A472="",K$24=""),"",IF(COUNTIFS('AFA Rates'!$A$5:$A$1004,$A472,'AFA Rates'!$B$5:$B$1004,K$24)&gt;0,"✓",""))</f>
        <v/>
      </c>
      <c r="L472" s="57">
        <f>IF(OR($A472="",L$24=""),"",IF(COUNTIFS('AFA Rates'!$A$5:$A$1004,$A472,'AFA Rates'!$B$5:$B$1004,L$24)&gt;0,"✓",""))</f>
        <v/>
      </c>
      <c r="M472" s="57">
        <f>IF(OR($A472="",M$24=""),"",IF(COUNTIFS('AFA Rates'!$A$5:$A$1004,$A472,'AFA Rates'!$B$5:$B$1004,M$24)&gt;0,"✓",""))</f>
        <v/>
      </c>
    </row>
    <row r="473">
      <c r="A473" s="63">
        <f>IFERROR(INDEX(Firms!$A$5:$A$1004,MATCH(449,Firms!$S$5:$S$1004,0)),"")</f>
        <v/>
      </c>
      <c r="B473" s="57">
        <f>IF($A473="","",INDEX(Firms!$B$5:$B$1004,MATCH(449,Firms!$S$5:$S$1004,0)))</f>
        <v/>
      </c>
      <c r="C473" s="57">
        <f>IF($A473="","",COUNTIF('AFA Rates'!$A$5:$A$1004,$A473))</f>
        <v/>
      </c>
      <c r="D473" s="57">
        <f>IF(OR($A473="",D$24=""),"",IF(COUNTIFS('AFA Rates'!$A$5:$A$1004,$A473,'AFA Rates'!$B$5:$B$1004,D$24)&gt;0,"✓",""))</f>
        <v/>
      </c>
      <c r="E473" s="57">
        <f>IF(OR($A473="",E$24=""),"",IF(COUNTIFS('AFA Rates'!$A$5:$A$1004,$A473,'AFA Rates'!$B$5:$B$1004,E$24)&gt;0,"✓",""))</f>
        <v/>
      </c>
      <c r="F473" s="57">
        <f>IF(OR($A473="",F$24=""),"",IF(COUNTIFS('AFA Rates'!$A$5:$A$1004,$A473,'AFA Rates'!$B$5:$B$1004,F$24)&gt;0,"✓",""))</f>
        <v/>
      </c>
      <c r="G473" s="57">
        <f>IF(OR($A473="",G$24=""),"",IF(COUNTIFS('AFA Rates'!$A$5:$A$1004,$A473,'AFA Rates'!$B$5:$B$1004,G$24)&gt;0,"✓",""))</f>
        <v/>
      </c>
      <c r="H473" s="57">
        <f>IF(OR($A473="",H$24=""),"",IF(COUNTIFS('AFA Rates'!$A$5:$A$1004,$A473,'AFA Rates'!$B$5:$B$1004,H$24)&gt;0,"✓",""))</f>
        <v/>
      </c>
      <c r="I473" s="57">
        <f>IF(OR($A473="",I$24=""),"",IF(COUNTIFS('AFA Rates'!$A$5:$A$1004,$A473,'AFA Rates'!$B$5:$B$1004,I$24)&gt;0,"✓",""))</f>
        <v/>
      </c>
      <c r="J473" s="57">
        <f>IF(OR($A473="",J$24=""),"",IF(COUNTIFS('AFA Rates'!$A$5:$A$1004,$A473,'AFA Rates'!$B$5:$B$1004,J$24)&gt;0,"✓",""))</f>
        <v/>
      </c>
      <c r="K473" s="57">
        <f>IF(OR($A473="",K$24=""),"",IF(COUNTIFS('AFA Rates'!$A$5:$A$1004,$A473,'AFA Rates'!$B$5:$B$1004,K$24)&gt;0,"✓",""))</f>
        <v/>
      </c>
      <c r="L473" s="57">
        <f>IF(OR($A473="",L$24=""),"",IF(COUNTIFS('AFA Rates'!$A$5:$A$1004,$A473,'AFA Rates'!$B$5:$B$1004,L$24)&gt;0,"✓",""))</f>
        <v/>
      </c>
      <c r="M473" s="57">
        <f>IF(OR($A473="",M$24=""),"",IF(COUNTIFS('AFA Rates'!$A$5:$A$1004,$A473,'AFA Rates'!$B$5:$B$1004,M$24)&gt;0,"✓",""))</f>
        <v/>
      </c>
    </row>
    <row r="474">
      <c r="A474" s="63">
        <f>IFERROR(INDEX(Firms!$A$5:$A$1004,MATCH(450,Firms!$S$5:$S$1004,0)),"")</f>
        <v/>
      </c>
      <c r="B474" s="57">
        <f>IF($A474="","",INDEX(Firms!$B$5:$B$1004,MATCH(450,Firms!$S$5:$S$1004,0)))</f>
        <v/>
      </c>
      <c r="C474" s="57">
        <f>IF($A474="","",COUNTIF('AFA Rates'!$A$5:$A$1004,$A474))</f>
        <v/>
      </c>
      <c r="D474" s="57">
        <f>IF(OR($A474="",D$24=""),"",IF(COUNTIFS('AFA Rates'!$A$5:$A$1004,$A474,'AFA Rates'!$B$5:$B$1004,D$24)&gt;0,"✓",""))</f>
        <v/>
      </c>
      <c r="E474" s="57">
        <f>IF(OR($A474="",E$24=""),"",IF(COUNTIFS('AFA Rates'!$A$5:$A$1004,$A474,'AFA Rates'!$B$5:$B$1004,E$24)&gt;0,"✓",""))</f>
        <v/>
      </c>
      <c r="F474" s="57">
        <f>IF(OR($A474="",F$24=""),"",IF(COUNTIFS('AFA Rates'!$A$5:$A$1004,$A474,'AFA Rates'!$B$5:$B$1004,F$24)&gt;0,"✓",""))</f>
        <v/>
      </c>
      <c r="G474" s="57">
        <f>IF(OR($A474="",G$24=""),"",IF(COUNTIFS('AFA Rates'!$A$5:$A$1004,$A474,'AFA Rates'!$B$5:$B$1004,G$24)&gt;0,"✓",""))</f>
        <v/>
      </c>
      <c r="H474" s="57">
        <f>IF(OR($A474="",H$24=""),"",IF(COUNTIFS('AFA Rates'!$A$5:$A$1004,$A474,'AFA Rates'!$B$5:$B$1004,H$24)&gt;0,"✓",""))</f>
        <v/>
      </c>
      <c r="I474" s="57">
        <f>IF(OR($A474="",I$24=""),"",IF(COUNTIFS('AFA Rates'!$A$5:$A$1004,$A474,'AFA Rates'!$B$5:$B$1004,I$24)&gt;0,"✓",""))</f>
        <v/>
      </c>
      <c r="J474" s="57">
        <f>IF(OR($A474="",J$24=""),"",IF(COUNTIFS('AFA Rates'!$A$5:$A$1004,$A474,'AFA Rates'!$B$5:$B$1004,J$24)&gt;0,"✓",""))</f>
        <v/>
      </c>
      <c r="K474" s="57">
        <f>IF(OR($A474="",K$24=""),"",IF(COUNTIFS('AFA Rates'!$A$5:$A$1004,$A474,'AFA Rates'!$B$5:$B$1004,K$24)&gt;0,"✓",""))</f>
        <v/>
      </c>
      <c r="L474" s="57">
        <f>IF(OR($A474="",L$24=""),"",IF(COUNTIFS('AFA Rates'!$A$5:$A$1004,$A474,'AFA Rates'!$B$5:$B$1004,L$24)&gt;0,"✓",""))</f>
        <v/>
      </c>
      <c r="M474" s="57">
        <f>IF(OR($A474="",M$24=""),"",IF(COUNTIFS('AFA Rates'!$A$5:$A$1004,$A474,'AFA Rates'!$B$5:$B$1004,M$24)&gt;0,"✓",""))</f>
        <v/>
      </c>
    </row>
    <row r="475">
      <c r="A475" s="63">
        <f>IFERROR(INDEX(Firms!$A$5:$A$1004,MATCH(451,Firms!$S$5:$S$1004,0)),"")</f>
        <v/>
      </c>
      <c r="B475" s="57">
        <f>IF($A475="","",INDEX(Firms!$B$5:$B$1004,MATCH(451,Firms!$S$5:$S$1004,0)))</f>
        <v/>
      </c>
      <c r="C475" s="57">
        <f>IF($A475="","",COUNTIF('AFA Rates'!$A$5:$A$1004,$A475))</f>
        <v/>
      </c>
      <c r="D475" s="57">
        <f>IF(OR($A475="",D$24=""),"",IF(COUNTIFS('AFA Rates'!$A$5:$A$1004,$A475,'AFA Rates'!$B$5:$B$1004,D$24)&gt;0,"✓",""))</f>
        <v/>
      </c>
      <c r="E475" s="57">
        <f>IF(OR($A475="",E$24=""),"",IF(COUNTIFS('AFA Rates'!$A$5:$A$1004,$A475,'AFA Rates'!$B$5:$B$1004,E$24)&gt;0,"✓",""))</f>
        <v/>
      </c>
      <c r="F475" s="57">
        <f>IF(OR($A475="",F$24=""),"",IF(COUNTIFS('AFA Rates'!$A$5:$A$1004,$A475,'AFA Rates'!$B$5:$B$1004,F$24)&gt;0,"✓",""))</f>
        <v/>
      </c>
      <c r="G475" s="57">
        <f>IF(OR($A475="",G$24=""),"",IF(COUNTIFS('AFA Rates'!$A$5:$A$1004,$A475,'AFA Rates'!$B$5:$B$1004,G$24)&gt;0,"✓",""))</f>
        <v/>
      </c>
      <c r="H475" s="57">
        <f>IF(OR($A475="",H$24=""),"",IF(COUNTIFS('AFA Rates'!$A$5:$A$1004,$A475,'AFA Rates'!$B$5:$B$1004,H$24)&gt;0,"✓",""))</f>
        <v/>
      </c>
      <c r="I475" s="57">
        <f>IF(OR($A475="",I$24=""),"",IF(COUNTIFS('AFA Rates'!$A$5:$A$1004,$A475,'AFA Rates'!$B$5:$B$1004,I$24)&gt;0,"✓",""))</f>
        <v/>
      </c>
      <c r="J475" s="57">
        <f>IF(OR($A475="",J$24=""),"",IF(COUNTIFS('AFA Rates'!$A$5:$A$1004,$A475,'AFA Rates'!$B$5:$B$1004,J$24)&gt;0,"✓",""))</f>
        <v/>
      </c>
      <c r="K475" s="57">
        <f>IF(OR($A475="",K$24=""),"",IF(COUNTIFS('AFA Rates'!$A$5:$A$1004,$A475,'AFA Rates'!$B$5:$B$1004,K$24)&gt;0,"✓",""))</f>
        <v/>
      </c>
      <c r="L475" s="57">
        <f>IF(OR($A475="",L$24=""),"",IF(COUNTIFS('AFA Rates'!$A$5:$A$1004,$A475,'AFA Rates'!$B$5:$B$1004,L$24)&gt;0,"✓",""))</f>
        <v/>
      </c>
      <c r="M475" s="57">
        <f>IF(OR($A475="",M$24=""),"",IF(COUNTIFS('AFA Rates'!$A$5:$A$1004,$A475,'AFA Rates'!$B$5:$B$1004,M$24)&gt;0,"✓",""))</f>
        <v/>
      </c>
    </row>
    <row r="476">
      <c r="A476" s="63">
        <f>IFERROR(INDEX(Firms!$A$5:$A$1004,MATCH(452,Firms!$S$5:$S$1004,0)),"")</f>
        <v/>
      </c>
      <c r="B476" s="57">
        <f>IF($A476="","",INDEX(Firms!$B$5:$B$1004,MATCH(452,Firms!$S$5:$S$1004,0)))</f>
        <v/>
      </c>
      <c r="C476" s="57">
        <f>IF($A476="","",COUNTIF('AFA Rates'!$A$5:$A$1004,$A476))</f>
        <v/>
      </c>
      <c r="D476" s="57">
        <f>IF(OR($A476="",D$24=""),"",IF(COUNTIFS('AFA Rates'!$A$5:$A$1004,$A476,'AFA Rates'!$B$5:$B$1004,D$24)&gt;0,"✓",""))</f>
        <v/>
      </c>
      <c r="E476" s="57">
        <f>IF(OR($A476="",E$24=""),"",IF(COUNTIFS('AFA Rates'!$A$5:$A$1004,$A476,'AFA Rates'!$B$5:$B$1004,E$24)&gt;0,"✓",""))</f>
        <v/>
      </c>
      <c r="F476" s="57">
        <f>IF(OR($A476="",F$24=""),"",IF(COUNTIFS('AFA Rates'!$A$5:$A$1004,$A476,'AFA Rates'!$B$5:$B$1004,F$24)&gt;0,"✓",""))</f>
        <v/>
      </c>
      <c r="G476" s="57">
        <f>IF(OR($A476="",G$24=""),"",IF(COUNTIFS('AFA Rates'!$A$5:$A$1004,$A476,'AFA Rates'!$B$5:$B$1004,G$24)&gt;0,"✓",""))</f>
        <v/>
      </c>
      <c r="H476" s="57">
        <f>IF(OR($A476="",H$24=""),"",IF(COUNTIFS('AFA Rates'!$A$5:$A$1004,$A476,'AFA Rates'!$B$5:$B$1004,H$24)&gt;0,"✓",""))</f>
        <v/>
      </c>
      <c r="I476" s="57">
        <f>IF(OR($A476="",I$24=""),"",IF(COUNTIFS('AFA Rates'!$A$5:$A$1004,$A476,'AFA Rates'!$B$5:$B$1004,I$24)&gt;0,"✓",""))</f>
        <v/>
      </c>
      <c r="J476" s="57">
        <f>IF(OR($A476="",J$24=""),"",IF(COUNTIFS('AFA Rates'!$A$5:$A$1004,$A476,'AFA Rates'!$B$5:$B$1004,J$24)&gt;0,"✓",""))</f>
        <v/>
      </c>
      <c r="K476" s="57">
        <f>IF(OR($A476="",K$24=""),"",IF(COUNTIFS('AFA Rates'!$A$5:$A$1004,$A476,'AFA Rates'!$B$5:$B$1004,K$24)&gt;0,"✓",""))</f>
        <v/>
      </c>
      <c r="L476" s="57">
        <f>IF(OR($A476="",L$24=""),"",IF(COUNTIFS('AFA Rates'!$A$5:$A$1004,$A476,'AFA Rates'!$B$5:$B$1004,L$24)&gt;0,"✓",""))</f>
        <v/>
      </c>
      <c r="M476" s="57">
        <f>IF(OR($A476="",M$24=""),"",IF(COUNTIFS('AFA Rates'!$A$5:$A$1004,$A476,'AFA Rates'!$B$5:$B$1004,M$24)&gt;0,"✓",""))</f>
        <v/>
      </c>
    </row>
    <row r="477">
      <c r="A477" s="63">
        <f>IFERROR(INDEX(Firms!$A$5:$A$1004,MATCH(453,Firms!$S$5:$S$1004,0)),"")</f>
        <v/>
      </c>
      <c r="B477" s="57">
        <f>IF($A477="","",INDEX(Firms!$B$5:$B$1004,MATCH(453,Firms!$S$5:$S$1004,0)))</f>
        <v/>
      </c>
      <c r="C477" s="57">
        <f>IF($A477="","",COUNTIF('AFA Rates'!$A$5:$A$1004,$A477))</f>
        <v/>
      </c>
      <c r="D477" s="57">
        <f>IF(OR($A477="",D$24=""),"",IF(COUNTIFS('AFA Rates'!$A$5:$A$1004,$A477,'AFA Rates'!$B$5:$B$1004,D$24)&gt;0,"✓",""))</f>
        <v/>
      </c>
      <c r="E477" s="57">
        <f>IF(OR($A477="",E$24=""),"",IF(COUNTIFS('AFA Rates'!$A$5:$A$1004,$A477,'AFA Rates'!$B$5:$B$1004,E$24)&gt;0,"✓",""))</f>
        <v/>
      </c>
      <c r="F477" s="57">
        <f>IF(OR($A477="",F$24=""),"",IF(COUNTIFS('AFA Rates'!$A$5:$A$1004,$A477,'AFA Rates'!$B$5:$B$1004,F$24)&gt;0,"✓",""))</f>
        <v/>
      </c>
      <c r="G477" s="57">
        <f>IF(OR($A477="",G$24=""),"",IF(COUNTIFS('AFA Rates'!$A$5:$A$1004,$A477,'AFA Rates'!$B$5:$B$1004,G$24)&gt;0,"✓",""))</f>
        <v/>
      </c>
      <c r="H477" s="57">
        <f>IF(OR($A477="",H$24=""),"",IF(COUNTIFS('AFA Rates'!$A$5:$A$1004,$A477,'AFA Rates'!$B$5:$B$1004,H$24)&gt;0,"✓",""))</f>
        <v/>
      </c>
      <c r="I477" s="57">
        <f>IF(OR($A477="",I$24=""),"",IF(COUNTIFS('AFA Rates'!$A$5:$A$1004,$A477,'AFA Rates'!$B$5:$B$1004,I$24)&gt;0,"✓",""))</f>
        <v/>
      </c>
      <c r="J477" s="57">
        <f>IF(OR($A477="",J$24=""),"",IF(COUNTIFS('AFA Rates'!$A$5:$A$1004,$A477,'AFA Rates'!$B$5:$B$1004,J$24)&gt;0,"✓",""))</f>
        <v/>
      </c>
      <c r="K477" s="57">
        <f>IF(OR($A477="",K$24=""),"",IF(COUNTIFS('AFA Rates'!$A$5:$A$1004,$A477,'AFA Rates'!$B$5:$B$1004,K$24)&gt;0,"✓",""))</f>
        <v/>
      </c>
      <c r="L477" s="57">
        <f>IF(OR($A477="",L$24=""),"",IF(COUNTIFS('AFA Rates'!$A$5:$A$1004,$A477,'AFA Rates'!$B$5:$B$1004,L$24)&gt;0,"✓",""))</f>
        <v/>
      </c>
      <c r="M477" s="57">
        <f>IF(OR($A477="",M$24=""),"",IF(COUNTIFS('AFA Rates'!$A$5:$A$1004,$A477,'AFA Rates'!$B$5:$B$1004,M$24)&gt;0,"✓",""))</f>
        <v/>
      </c>
    </row>
    <row r="478">
      <c r="A478" s="63">
        <f>IFERROR(INDEX(Firms!$A$5:$A$1004,MATCH(454,Firms!$S$5:$S$1004,0)),"")</f>
        <v/>
      </c>
      <c r="B478" s="57">
        <f>IF($A478="","",INDEX(Firms!$B$5:$B$1004,MATCH(454,Firms!$S$5:$S$1004,0)))</f>
        <v/>
      </c>
      <c r="C478" s="57">
        <f>IF($A478="","",COUNTIF('AFA Rates'!$A$5:$A$1004,$A478))</f>
        <v/>
      </c>
      <c r="D478" s="57">
        <f>IF(OR($A478="",D$24=""),"",IF(COUNTIFS('AFA Rates'!$A$5:$A$1004,$A478,'AFA Rates'!$B$5:$B$1004,D$24)&gt;0,"✓",""))</f>
        <v/>
      </c>
      <c r="E478" s="57">
        <f>IF(OR($A478="",E$24=""),"",IF(COUNTIFS('AFA Rates'!$A$5:$A$1004,$A478,'AFA Rates'!$B$5:$B$1004,E$24)&gt;0,"✓",""))</f>
        <v/>
      </c>
      <c r="F478" s="57">
        <f>IF(OR($A478="",F$24=""),"",IF(COUNTIFS('AFA Rates'!$A$5:$A$1004,$A478,'AFA Rates'!$B$5:$B$1004,F$24)&gt;0,"✓",""))</f>
        <v/>
      </c>
      <c r="G478" s="57">
        <f>IF(OR($A478="",G$24=""),"",IF(COUNTIFS('AFA Rates'!$A$5:$A$1004,$A478,'AFA Rates'!$B$5:$B$1004,G$24)&gt;0,"✓",""))</f>
        <v/>
      </c>
      <c r="H478" s="57">
        <f>IF(OR($A478="",H$24=""),"",IF(COUNTIFS('AFA Rates'!$A$5:$A$1004,$A478,'AFA Rates'!$B$5:$B$1004,H$24)&gt;0,"✓",""))</f>
        <v/>
      </c>
      <c r="I478" s="57">
        <f>IF(OR($A478="",I$24=""),"",IF(COUNTIFS('AFA Rates'!$A$5:$A$1004,$A478,'AFA Rates'!$B$5:$B$1004,I$24)&gt;0,"✓",""))</f>
        <v/>
      </c>
      <c r="J478" s="57">
        <f>IF(OR($A478="",J$24=""),"",IF(COUNTIFS('AFA Rates'!$A$5:$A$1004,$A478,'AFA Rates'!$B$5:$B$1004,J$24)&gt;0,"✓",""))</f>
        <v/>
      </c>
      <c r="K478" s="57">
        <f>IF(OR($A478="",K$24=""),"",IF(COUNTIFS('AFA Rates'!$A$5:$A$1004,$A478,'AFA Rates'!$B$5:$B$1004,K$24)&gt;0,"✓",""))</f>
        <v/>
      </c>
      <c r="L478" s="57">
        <f>IF(OR($A478="",L$24=""),"",IF(COUNTIFS('AFA Rates'!$A$5:$A$1004,$A478,'AFA Rates'!$B$5:$B$1004,L$24)&gt;0,"✓",""))</f>
        <v/>
      </c>
      <c r="M478" s="57">
        <f>IF(OR($A478="",M$24=""),"",IF(COUNTIFS('AFA Rates'!$A$5:$A$1004,$A478,'AFA Rates'!$B$5:$B$1004,M$24)&gt;0,"✓",""))</f>
        <v/>
      </c>
    </row>
    <row r="479">
      <c r="A479" s="63">
        <f>IFERROR(INDEX(Firms!$A$5:$A$1004,MATCH(455,Firms!$S$5:$S$1004,0)),"")</f>
        <v/>
      </c>
      <c r="B479" s="57">
        <f>IF($A479="","",INDEX(Firms!$B$5:$B$1004,MATCH(455,Firms!$S$5:$S$1004,0)))</f>
        <v/>
      </c>
      <c r="C479" s="57">
        <f>IF($A479="","",COUNTIF('AFA Rates'!$A$5:$A$1004,$A479))</f>
        <v/>
      </c>
      <c r="D479" s="57">
        <f>IF(OR($A479="",D$24=""),"",IF(COUNTIFS('AFA Rates'!$A$5:$A$1004,$A479,'AFA Rates'!$B$5:$B$1004,D$24)&gt;0,"✓",""))</f>
        <v/>
      </c>
      <c r="E479" s="57">
        <f>IF(OR($A479="",E$24=""),"",IF(COUNTIFS('AFA Rates'!$A$5:$A$1004,$A479,'AFA Rates'!$B$5:$B$1004,E$24)&gt;0,"✓",""))</f>
        <v/>
      </c>
      <c r="F479" s="57">
        <f>IF(OR($A479="",F$24=""),"",IF(COUNTIFS('AFA Rates'!$A$5:$A$1004,$A479,'AFA Rates'!$B$5:$B$1004,F$24)&gt;0,"✓",""))</f>
        <v/>
      </c>
      <c r="G479" s="57">
        <f>IF(OR($A479="",G$24=""),"",IF(COUNTIFS('AFA Rates'!$A$5:$A$1004,$A479,'AFA Rates'!$B$5:$B$1004,G$24)&gt;0,"✓",""))</f>
        <v/>
      </c>
      <c r="H479" s="57">
        <f>IF(OR($A479="",H$24=""),"",IF(COUNTIFS('AFA Rates'!$A$5:$A$1004,$A479,'AFA Rates'!$B$5:$B$1004,H$24)&gt;0,"✓",""))</f>
        <v/>
      </c>
      <c r="I479" s="57">
        <f>IF(OR($A479="",I$24=""),"",IF(COUNTIFS('AFA Rates'!$A$5:$A$1004,$A479,'AFA Rates'!$B$5:$B$1004,I$24)&gt;0,"✓",""))</f>
        <v/>
      </c>
      <c r="J479" s="57">
        <f>IF(OR($A479="",J$24=""),"",IF(COUNTIFS('AFA Rates'!$A$5:$A$1004,$A479,'AFA Rates'!$B$5:$B$1004,J$24)&gt;0,"✓",""))</f>
        <v/>
      </c>
      <c r="K479" s="57">
        <f>IF(OR($A479="",K$24=""),"",IF(COUNTIFS('AFA Rates'!$A$5:$A$1004,$A479,'AFA Rates'!$B$5:$B$1004,K$24)&gt;0,"✓",""))</f>
        <v/>
      </c>
      <c r="L479" s="57">
        <f>IF(OR($A479="",L$24=""),"",IF(COUNTIFS('AFA Rates'!$A$5:$A$1004,$A479,'AFA Rates'!$B$5:$B$1004,L$24)&gt;0,"✓",""))</f>
        <v/>
      </c>
      <c r="M479" s="57">
        <f>IF(OR($A479="",M$24=""),"",IF(COUNTIFS('AFA Rates'!$A$5:$A$1004,$A479,'AFA Rates'!$B$5:$B$1004,M$24)&gt;0,"✓",""))</f>
        <v/>
      </c>
    </row>
    <row r="480">
      <c r="A480" s="63">
        <f>IFERROR(INDEX(Firms!$A$5:$A$1004,MATCH(456,Firms!$S$5:$S$1004,0)),"")</f>
        <v/>
      </c>
      <c r="B480" s="57">
        <f>IF($A480="","",INDEX(Firms!$B$5:$B$1004,MATCH(456,Firms!$S$5:$S$1004,0)))</f>
        <v/>
      </c>
      <c r="C480" s="57">
        <f>IF($A480="","",COUNTIF('AFA Rates'!$A$5:$A$1004,$A480))</f>
        <v/>
      </c>
      <c r="D480" s="57">
        <f>IF(OR($A480="",D$24=""),"",IF(COUNTIFS('AFA Rates'!$A$5:$A$1004,$A480,'AFA Rates'!$B$5:$B$1004,D$24)&gt;0,"✓",""))</f>
        <v/>
      </c>
      <c r="E480" s="57">
        <f>IF(OR($A480="",E$24=""),"",IF(COUNTIFS('AFA Rates'!$A$5:$A$1004,$A480,'AFA Rates'!$B$5:$B$1004,E$24)&gt;0,"✓",""))</f>
        <v/>
      </c>
      <c r="F480" s="57">
        <f>IF(OR($A480="",F$24=""),"",IF(COUNTIFS('AFA Rates'!$A$5:$A$1004,$A480,'AFA Rates'!$B$5:$B$1004,F$24)&gt;0,"✓",""))</f>
        <v/>
      </c>
      <c r="G480" s="57">
        <f>IF(OR($A480="",G$24=""),"",IF(COUNTIFS('AFA Rates'!$A$5:$A$1004,$A480,'AFA Rates'!$B$5:$B$1004,G$24)&gt;0,"✓",""))</f>
        <v/>
      </c>
      <c r="H480" s="57">
        <f>IF(OR($A480="",H$24=""),"",IF(COUNTIFS('AFA Rates'!$A$5:$A$1004,$A480,'AFA Rates'!$B$5:$B$1004,H$24)&gt;0,"✓",""))</f>
        <v/>
      </c>
      <c r="I480" s="57">
        <f>IF(OR($A480="",I$24=""),"",IF(COUNTIFS('AFA Rates'!$A$5:$A$1004,$A480,'AFA Rates'!$B$5:$B$1004,I$24)&gt;0,"✓",""))</f>
        <v/>
      </c>
      <c r="J480" s="57">
        <f>IF(OR($A480="",J$24=""),"",IF(COUNTIFS('AFA Rates'!$A$5:$A$1004,$A480,'AFA Rates'!$B$5:$B$1004,J$24)&gt;0,"✓",""))</f>
        <v/>
      </c>
      <c r="K480" s="57">
        <f>IF(OR($A480="",K$24=""),"",IF(COUNTIFS('AFA Rates'!$A$5:$A$1004,$A480,'AFA Rates'!$B$5:$B$1004,K$24)&gt;0,"✓",""))</f>
        <v/>
      </c>
      <c r="L480" s="57">
        <f>IF(OR($A480="",L$24=""),"",IF(COUNTIFS('AFA Rates'!$A$5:$A$1004,$A480,'AFA Rates'!$B$5:$B$1004,L$24)&gt;0,"✓",""))</f>
        <v/>
      </c>
      <c r="M480" s="57">
        <f>IF(OR($A480="",M$24=""),"",IF(COUNTIFS('AFA Rates'!$A$5:$A$1004,$A480,'AFA Rates'!$B$5:$B$1004,M$24)&gt;0,"✓",""))</f>
        <v/>
      </c>
    </row>
    <row r="481">
      <c r="A481" s="63">
        <f>IFERROR(INDEX(Firms!$A$5:$A$1004,MATCH(457,Firms!$S$5:$S$1004,0)),"")</f>
        <v/>
      </c>
      <c r="B481" s="57">
        <f>IF($A481="","",INDEX(Firms!$B$5:$B$1004,MATCH(457,Firms!$S$5:$S$1004,0)))</f>
        <v/>
      </c>
      <c r="C481" s="57">
        <f>IF($A481="","",COUNTIF('AFA Rates'!$A$5:$A$1004,$A481))</f>
        <v/>
      </c>
      <c r="D481" s="57">
        <f>IF(OR($A481="",D$24=""),"",IF(COUNTIFS('AFA Rates'!$A$5:$A$1004,$A481,'AFA Rates'!$B$5:$B$1004,D$24)&gt;0,"✓",""))</f>
        <v/>
      </c>
      <c r="E481" s="57">
        <f>IF(OR($A481="",E$24=""),"",IF(COUNTIFS('AFA Rates'!$A$5:$A$1004,$A481,'AFA Rates'!$B$5:$B$1004,E$24)&gt;0,"✓",""))</f>
        <v/>
      </c>
      <c r="F481" s="57">
        <f>IF(OR($A481="",F$24=""),"",IF(COUNTIFS('AFA Rates'!$A$5:$A$1004,$A481,'AFA Rates'!$B$5:$B$1004,F$24)&gt;0,"✓",""))</f>
        <v/>
      </c>
      <c r="G481" s="57">
        <f>IF(OR($A481="",G$24=""),"",IF(COUNTIFS('AFA Rates'!$A$5:$A$1004,$A481,'AFA Rates'!$B$5:$B$1004,G$24)&gt;0,"✓",""))</f>
        <v/>
      </c>
      <c r="H481" s="57">
        <f>IF(OR($A481="",H$24=""),"",IF(COUNTIFS('AFA Rates'!$A$5:$A$1004,$A481,'AFA Rates'!$B$5:$B$1004,H$24)&gt;0,"✓",""))</f>
        <v/>
      </c>
      <c r="I481" s="57">
        <f>IF(OR($A481="",I$24=""),"",IF(COUNTIFS('AFA Rates'!$A$5:$A$1004,$A481,'AFA Rates'!$B$5:$B$1004,I$24)&gt;0,"✓",""))</f>
        <v/>
      </c>
      <c r="J481" s="57">
        <f>IF(OR($A481="",J$24=""),"",IF(COUNTIFS('AFA Rates'!$A$5:$A$1004,$A481,'AFA Rates'!$B$5:$B$1004,J$24)&gt;0,"✓",""))</f>
        <v/>
      </c>
      <c r="K481" s="57">
        <f>IF(OR($A481="",K$24=""),"",IF(COUNTIFS('AFA Rates'!$A$5:$A$1004,$A481,'AFA Rates'!$B$5:$B$1004,K$24)&gt;0,"✓",""))</f>
        <v/>
      </c>
      <c r="L481" s="57">
        <f>IF(OR($A481="",L$24=""),"",IF(COUNTIFS('AFA Rates'!$A$5:$A$1004,$A481,'AFA Rates'!$B$5:$B$1004,L$24)&gt;0,"✓",""))</f>
        <v/>
      </c>
      <c r="M481" s="57">
        <f>IF(OR($A481="",M$24=""),"",IF(COUNTIFS('AFA Rates'!$A$5:$A$1004,$A481,'AFA Rates'!$B$5:$B$1004,M$24)&gt;0,"✓",""))</f>
        <v/>
      </c>
    </row>
    <row r="482">
      <c r="A482" s="63">
        <f>IFERROR(INDEX(Firms!$A$5:$A$1004,MATCH(458,Firms!$S$5:$S$1004,0)),"")</f>
        <v/>
      </c>
      <c r="B482" s="57">
        <f>IF($A482="","",INDEX(Firms!$B$5:$B$1004,MATCH(458,Firms!$S$5:$S$1004,0)))</f>
        <v/>
      </c>
      <c r="C482" s="57">
        <f>IF($A482="","",COUNTIF('AFA Rates'!$A$5:$A$1004,$A482))</f>
        <v/>
      </c>
      <c r="D482" s="57">
        <f>IF(OR($A482="",D$24=""),"",IF(COUNTIFS('AFA Rates'!$A$5:$A$1004,$A482,'AFA Rates'!$B$5:$B$1004,D$24)&gt;0,"✓",""))</f>
        <v/>
      </c>
      <c r="E482" s="57">
        <f>IF(OR($A482="",E$24=""),"",IF(COUNTIFS('AFA Rates'!$A$5:$A$1004,$A482,'AFA Rates'!$B$5:$B$1004,E$24)&gt;0,"✓",""))</f>
        <v/>
      </c>
      <c r="F482" s="57">
        <f>IF(OR($A482="",F$24=""),"",IF(COUNTIFS('AFA Rates'!$A$5:$A$1004,$A482,'AFA Rates'!$B$5:$B$1004,F$24)&gt;0,"✓",""))</f>
        <v/>
      </c>
      <c r="G482" s="57">
        <f>IF(OR($A482="",G$24=""),"",IF(COUNTIFS('AFA Rates'!$A$5:$A$1004,$A482,'AFA Rates'!$B$5:$B$1004,G$24)&gt;0,"✓",""))</f>
        <v/>
      </c>
      <c r="H482" s="57">
        <f>IF(OR($A482="",H$24=""),"",IF(COUNTIFS('AFA Rates'!$A$5:$A$1004,$A482,'AFA Rates'!$B$5:$B$1004,H$24)&gt;0,"✓",""))</f>
        <v/>
      </c>
      <c r="I482" s="57">
        <f>IF(OR($A482="",I$24=""),"",IF(COUNTIFS('AFA Rates'!$A$5:$A$1004,$A482,'AFA Rates'!$B$5:$B$1004,I$24)&gt;0,"✓",""))</f>
        <v/>
      </c>
      <c r="J482" s="57">
        <f>IF(OR($A482="",J$24=""),"",IF(COUNTIFS('AFA Rates'!$A$5:$A$1004,$A482,'AFA Rates'!$B$5:$B$1004,J$24)&gt;0,"✓",""))</f>
        <v/>
      </c>
      <c r="K482" s="57">
        <f>IF(OR($A482="",K$24=""),"",IF(COUNTIFS('AFA Rates'!$A$5:$A$1004,$A482,'AFA Rates'!$B$5:$B$1004,K$24)&gt;0,"✓",""))</f>
        <v/>
      </c>
      <c r="L482" s="57">
        <f>IF(OR($A482="",L$24=""),"",IF(COUNTIFS('AFA Rates'!$A$5:$A$1004,$A482,'AFA Rates'!$B$5:$B$1004,L$24)&gt;0,"✓",""))</f>
        <v/>
      </c>
      <c r="M482" s="57">
        <f>IF(OR($A482="",M$24=""),"",IF(COUNTIFS('AFA Rates'!$A$5:$A$1004,$A482,'AFA Rates'!$B$5:$B$1004,M$24)&gt;0,"✓",""))</f>
        <v/>
      </c>
    </row>
    <row r="483">
      <c r="A483" s="63">
        <f>IFERROR(INDEX(Firms!$A$5:$A$1004,MATCH(459,Firms!$S$5:$S$1004,0)),"")</f>
        <v/>
      </c>
      <c r="B483" s="57">
        <f>IF($A483="","",INDEX(Firms!$B$5:$B$1004,MATCH(459,Firms!$S$5:$S$1004,0)))</f>
        <v/>
      </c>
      <c r="C483" s="57">
        <f>IF($A483="","",COUNTIF('AFA Rates'!$A$5:$A$1004,$A483))</f>
        <v/>
      </c>
      <c r="D483" s="57">
        <f>IF(OR($A483="",D$24=""),"",IF(COUNTIFS('AFA Rates'!$A$5:$A$1004,$A483,'AFA Rates'!$B$5:$B$1004,D$24)&gt;0,"✓",""))</f>
        <v/>
      </c>
      <c r="E483" s="57">
        <f>IF(OR($A483="",E$24=""),"",IF(COUNTIFS('AFA Rates'!$A$5:$A$1004,$A483,'AFA Rates'!$B$5:$B$1004,E$24)&gt;0,"✓",""))</f>
        <v/>
      </c>
      <c r="F483" s="57">
        <f>IF(OR($A483="",F$24=""),"",IF(COUNTIFS('AFA Rates'!$A$5:$A$1004,$A483,'AFA Rates'!$B$5:$B$1004,F$24)&gt;0,"✓",""))</f>
        <v/>
      </c>
      <c r="G483" s="57">
        <f>IF(OR($A483="",G$24=""),"",IF(COUNTIFS('AFA Rates'!$A$5:$A$1004,$A483,'AFA Rates'!$B$5:$B$1004,G$24)&gt;0,"✓",""))</f>
        <v/>
      </c>
      <c r="H483" s="57">
        <f>IF(OR($A483="",H$24=""),"",IF(COUNTIFS('AFA Rates'!$A$5:$A$1004,$A483,'AFA Rates'!$B$5:$B$1004,H$24)&gt;0,"✓",""))</f>
        <v/>
      </c>
      <c r="I483" s="57">
        <f>IF(OR($A483="",I$24=""),"",IF(COUNTIFS('AFA Rates'!$A$5:$A$1004,$A483,'AFA Rates'!$B$5:$B$1004,I$24)&gt;0,"✓",""))</f>
        <v/>
      </c>
      <c r="J483" s="57">
        <f>IF(OR($A483="",J$24=""),"",IF(COUNTIFS('AFA Rates'!$A$5:$A$1004,$A483,'AFA Rates'!$B$5:$B$1004,J$24)&gt;0,"✓",""))</f>
        <v/>
      </c>
      <c r="K483" s="57">
        <f>IF(OR($A483="",K$24=""),"",IF(COUNTIFS('AFA Rates'!$A$5:$A$1004,$A483,'AFA Rates'!$B$5:$B$1004,K$24)&gt;0,"✓",""))</f>
        <v/>
      </c>
      <c r="L483" s="57">
        <f>IF(OR($A483="",L$24=""),"",IF(COUNTIFS('AFA Rates'!$A$5:$A$1004,$A483,'AFA Rates'!$B$5:$B$1004,L$24)&gt;0,"✓",""))</f>
        <v/>
      </c>
      <c r="M483" s="57">
        <f>IF(OR($A483="",M$24=""),"",IF(COUNTIFS('AFA Rates'!$A$5:$A$1004,$A483,'AFA Rates'!$B$5:$B$1004,M$24)&gt;0,"✓",""))</f>
        <v/>
      </c>
    </row>
    <row r="484">
      <c r="A484" s="63">
        <f>IFERROR(INDEX(Firms!$A$5:$A$1004,MATCH(460,Firms!$S$5:$S$1004,0)),"")</f>
        <v/>
      </c>
      <c r="B484" s="57">
        <f>IF($A484="","",INDEX(Firms!$B$5:$B$1004,MATCH(460,Firms!$S$5:$S$1004,0)))</f>
        <v/>
      </c>
      <c r="C484" s="57">
        <f>IF($A484="","",COUNTIF('AFA Rates'!$A$5:$A$1004,$A484))</f>
        <v/>
      </c>
      <c r="D484" s="57">
        <f>IF(OR($A484="",D$24=""),"",IF(COUNTIFS('AFA Rates'!$A$5:$A$1004,$A484,'AFA Rates'!$B$5:$B$1004,D$24)&gt;0,"✓",""))</f>
        <v/>
      </c>
      <c r="E484" s="57">
        <f>IF(OR($A484="",E$24=""),"",IF(COUNTIFS('AFA Rates'!$A$5:$A$1004,$A484,'AFA Rates'!$B$5:$B$1004,E$24)&gt;0,"✓",""))</f>
        <v/>
      </c>
      <c r="F484" s="57">
        <f>IF(OR($A484="",F$24=""),"",IF(COUNTIFS('AFA Rates'!$A$5:$A$1004,$A484,'AFA Rates'!$B$5:$B$1004,F$24)&gt;0,"✓",""))</f>
        <v/>
      </c>
      <c r="G484" s="57">
        <f>IF(OR($A484="",G$24=""),"",IF(COUNTIFS('AFA Rates'!$A$5:$A$1004,$A484,'AFA Rates'!$B$5:$B$1004,G$24)&gt;0,"✓",""))</f>
        <v/>
      </c>
      <c r="H484" s="57">
        <f>IF(OR($A484="",H$24=""),"",IF(COUNTIFS('AFA Rates'!$A$5:$A$1004,$A484,'AFA Rates'!$B$5:$B$1004,H$24)&gt;0,"✓",""))</f>
        <v/>
      </c>
      <c r="I484" s="57">
        <f>IF(OR($A484="",I$24=""),"",IF(COUNTIFS('AFA Rates'!$A$5:$A$1004,$A484,'AFA Rates'!$B$5:$B$1004,I$24)&gt;0,"✓",""))</f>
        <v/>
      </c>
      <c r="J484" s="57">
        <f>IF(OR($A484="",J$24=""),"",IF(COUNTIFS('AFA Rates'!$A$5:$A$1004,$A484,'AFA Rates'!$B$5:$B$1004,J$24)&gt;0,"✓",""))</f>
        <v/>
      </c>
      <c r="K484" s="57">
        <f>IF(OR($A484="",K$24=""),"",IF(COUNTIFS('AFA Rates'!$A$5:$A$1004,$A484,'AFA Rates'!$B$5:$B$1004,K$24)&gt;0,"✓",""))</f>
        <v/>
      </c>
      <c r="L484" s="57">
        <f>IF(OR($A484="",L$24=""),"",IF(COUNTIFS('AFA Rates'!$A$5:$A$1004,$A484,'AFA Rates'!$B$5:$B$1004,L$24)&gt;0,"✓",""))</f>
        <v/>
      </c>
      <c r="M484" s="57">
        <f>IF(OR($A484="",M$24=""),"",IF(COUNTIFS('AFA Rates'!$A$5:$A$1004,$A484,'AFA Rates'!$B$5:$B$1004,M$24)&gt;0,"✓",""))</f>
        <v/>
      </c>
    </row>
    <row r="485">
      <c r="A485" s="63">
        <f>IFERROR(INDEX(Firms!$A$5:$A$1004,MATCH(461,Firms!$S$5:$S$1004,0)),"")</f>
        <v/>
      </c>
      <c r="B485" s="57">
        <f>IF($A485="","",INDEX(Firms!$B$5:$B$1004,MATCH(461,Firms!$S$5:$S$1004,0)))</f>
        <v/>
      </c>
      <c r="C485" s="57">
        <f>IF($A485="","",COUNTIF('AFA Rates'!$A$5:$A$1004,$A485))</f>
        <v/>
      </c>
      <c r="D485" s="57">
        <f>IF(OR($A485="",D$24=""),"",IF(COUNTIFS('AFA Rates'!$A$5:$A$1004,$A485,'AFA Rates'!$B$5:$B$1004,D$24)&gt;0,"✓",""))</f>
        <v/>
      </c>
      <c r="E485" s="57">
        <f>IF(OR($A485="",E$24=""),"",IF(COUNTIFS('AFA Rates'!$A$5:$A$1004,$A485,'AFA Rates'!$B$5:$B$1004,E$24)&gt;0,"✓",""))</f>
        <v/>
      </c>
      <c r="F485" s="57">
        <f>IF(OR($A485="",F$24=""),"",IF(COUNTIFS('AFA Rates'!$A$5:$A$1004,$A485,'AFA Rates'!$B$5:$B$1004,F$24)&gt;0,"✓",""))</f>
        <v/>
      </c>
      <c r="G485" s="57">
        <f>IF(OR($A485="",G$24=""),"",IF(COUNTIFS('AFA Rates'!$A$5:$A$1004,$A485,'AFA Rates'!$B$5:$B$1004,G$24)&gt;0,"✓",""))</f>
        <v/>
      </c>
      <c r="H485" s="57">
        <f>IF(OR($A485="",H$24=""),"",IF(COUNTIFS('AFA Rates'!$A$5:$A$1004,$A485,'AFA Rates'!$B$5:$B$1004,H$24)&gt;0,"✓",""))</f>
        <v/>
      </c>
      <c r="I485" s="57">
        <f>IF(OR($A485="",I$24=""),"",IF(COUNTIFS('AFA Rates'!$A$5:$A$1004,$A485,'AFA Rates'!$B$5:$B$1004,I$24)&gt;0,"✓",""))</f>
        <v/>
      </c>
      <c r="J485" s="57">
        <f>IF(OR($A485="",J$24=""),"",IF(COUNTIFS('AFA Rates'!$A$5:$A$1004,$A485,'AFA Rates'!$B$5:$B$1004,J$24)&gt;0,"✓",""))</f>
        <v/>
      </c>
      <c r="K485" s="57">
        <f>IF(OR($A485="",K$24=""),"",IF(COUNTIFS('AFA Rates'!$A$5:$A$1004,$A485,'AFA Rates'!$B$5:$B$1004,K$24)&gt;0,"✓",""))</f>
        <v/>
      </c>
      <c r="L485" s="57">
        <f>IF(OR($A485="",L$24=""),"",IF(COUNTIFS('AFA Rates'!$A$5:$A$1004,$A485,'AFA Rates'!$B$5:$B$1004,L$24)&gt;0,"✓",""))</f>
        <v/>
      </c>
      <c r="M485" s="57">
        <f>IF(OR($A485="",M$24=""),"",IF(COUNTIFS('AFA Rates'!$A$5:$A$1004,$A485,'AFA Rates'!$B$5:$B$1004,M$24)&gt;0,"✓",""))</f>
        <v/>
      </c>
    </row>
    <row r="486">
      <c r="A486" s="63">
        <f>IFERROR(INDEX(Firms!$A$5:$A$1004,MATCH(462,Firms!$S$5:$S$1004,0)),"")</f>
        <v/>
      </c>
      <c r="B486" s="57">
        <f>IF($A486="","",INDEX(Firms!$B$5:$B$1004,MATCH(462,Firms!$S$5:$S$1004,0)))</f>
        <v/>
      </c>
      <c r="C486" s="57">
        <f>IF($A486="","",COUNTIF('AFA Rates'!$A$5:$A$1004,$A486))</f>
        <v/>
      </c>
      <c r="D486" s="57">
        <f>IF(OR($A486="",D$24=""),"",IF(COUNTIFS('AFA Rates'!$A$5:$A$1004,$A486,'AFA Rates'!$B$5:$B$1004,D$24)&gt;0,"✓",""))</f>
        <v/>
      </c>
      <c r="E486" s="57">
        <f>IF(OR($A486="",E$24=""),"",IF(COUNTIFS('AFA Rates'!$A$5:$A$1004,$A486,'AFA Rates'!$B$5:$B$1004,E$24)&gt;0,"✓",""))</f>
        <v/>
      </c>
      <c r="F486" s="57">
        <f>IF(OR($A486="",F$24=""),"",IF(COUNTIFS('AFA Rates'!$A$5:$A$1004,$A486,'AFA Rates'!$B$5:$B$1004,F$24)&gt;0,"✓",""))</f>
        <v/>
      </c>
      <c r="G486" s="57">
        <f>IF(OR($A486="",G$24=""),"",IF(COUNTIFS('AFA Rates'!$A$5:$A$1004,$A486,'AFA Rates'!$B$5:$B$1004,G$24)&gt;0,"✓",""))</f>
        <v/>
      </c>
      <c r="H486" s="57">
        <f>IF(OR($A486="",H$24=""),"",IF(COUNTIFS('AFA Rates'!$A$5:$A$1004,$A486,'AFA Rates'!$B$5:$B$1004,H$24)&gt;0,"✓",""))</f>
        <v/>
      </c>
      <c r="I486" s="57">
        <f>IF(OR($A486="",I$24=""),"",IF(COUNTIFS('AFA Rates'!$A$5:$A$1004,$A486,'AFA Rates'!$B$5:$B$1004,I$24)&gt;0,"✓",""))</f>
        <v/>
      </c>
      <c r="J486" s="57">
        <f>IF(OR($A486="",J$24=""),"",IF(COUNTIFS('AFA Rates'!$A$5:$A$1004,$A486,'AFA Rates'!$B$5:$B$1004,J$24)&gt;0,"✓",""))</f>
        <v/>
      </c>
      <c r="K486" s="57">
        <f>IF(OR($A486="",K$24=""),"",IF(COUNTIFS('AFA Rates'!$A$5:$A$1004,$A486,'AFA Rates'!$B$5:$B$1004,K$24)&gt;0,"✓",""))</f>
        <v/>
      </c>
      <c r="L486" s="57">
        <f>IF(OR($A486="",L$24=""),"",IF(COUNTIFS('AFA Rates'!$A$5:$A$1004,$A486,'AFA Rates'!$B$5:$B$1004,L$24)&gt;0,"✓",""))</f>
        <v/>
      </c>
      <c r="M486" s="57">
        <f>IF(OR($A486="",M$24=""),"",IF(COUNTIFS('AFA Rates'!$A$5:$A$1004,$A486,'AFA Rates'!$B$5:$B$1004,M$24)&gt;0,"✓",""))</f>
        <v/>
      </c>
    </row>
    <row r="487">
      <c r="A487" s="63">
        <f>IFERROR(INDEX(Firms!$A$5:$A$1004,MATCH(463,Firms!$S$5:$S$1004,0)),"")</f>
        <v/>
      </c>
      <c r="B487" s="57">
        <f>IF($A487="","",INDEX(Firms!$B$5:$B$1004,MATCH(463,Firms!$S$5:$S$1004,0)))</f>
        <v/>
      </c>
      <c r="C487" s="57">
        <f>IF($A487="","",COUNTIF('AFA Rates'!$A$5:$A$1004,$A487))</f>
        <v/>
      </c>
      <c r="D487" s="57">
        <f>IF(OR($A487="",D$24=""),"",IF(COUNTIFS('AFA Rates'!$A$5:$A$1004,$A487,'AFA Rates'!$B$5:$B$1004,D$24)&gt;0,"✓",""))</f>
        <v/>
      </c>
      <c r="E487" s="57">
        <f>IF(OR($A487="",E$24=""),"",IF(COUNTIFS('AFA Rates'!$A$5:$A$1004,$A487,'AFA Rates'!$B$5:$B$1004,E$24)&gt;0,"✓",""))</f>
        <v/>
      </c>
      <c r="F487" s="57">
        <f>IF(OR($A487="",F$24=""),"",IF(COUNTIFS('AFA Rates'!$A$5:$A$1004,$A487,'AFA Rates'!$B$5:$B$1004,F$24)&gt;0,"✓",""))</f>
        <v/>
      </c>
      <c r="G487" s="57">
        <f>IF(OR($A487="",G$24=""),"",IF(COUNTIFS('AFA Rates'!$A$5:$A$1004,$A487,'AFA Rates'!$B$5:$B$1004,G$24)&gt;0,"✓",""))</f>
        <v/>
      </c>
      <c r="H487" s="57">
        <f>IF(OR($A487="",H$24=""),"",IF(COUNTIFS('AFA Rates'!$A$5:$A$1004,$A487,'AFA Rates'!$B$5:$B$1004,H$24)&gt;0,"✓",""))</f>
        <v/>
      </c>
      <c r="I487" s="57">
        <f>IF(OR($A487="",I$24=""),"",IF(COUNTIFS('AFA Rates'!$A$5:$A$1004,$A487,'AFA Rates'!$B$5:$B$1004,I$24)&gt;0,"✓",""))</f>
        <v/>
      </c>
      <c r="J487" s="57">
        <f>IF(OR($A487="",J$24=""),"",IF(COUNTIFS('AFA Rates'!$A$5:$A$1004,$A487,'AFA Rates'!$B$5:$B$1004,J$24)&gt;0,"✓",""))</f>
        <v/>
      </c>
      <c r="K487" s="57">
        <f>IF(OR($A487="",K$24=""),"",IF(COUNTIFS('AFA Rates'!$A$5:$A$1004,$A487,'AFA Rates'!$B$5:$B$1004,K$24)&gt;0,"✓",""))</f>
        <v/>
      </c>
      <c r="L487" s="57">
        <f>IF(OR($A487="",L$24=""),"",IF(COUNTIFS('AFA Rates'!$A$5:$A$1004,$A487,'AFA Rates'!$B$5:$B$1004,L$24)&gt;0,"✓",""))</f>
        <v/>
      </c>
      <c r="M487" s="57">
        <f>IF(OR($A487="",M$24=""),"",IF(COUNTIFS('AFA Rates'!$A$5:$A$1004,$A487,'AFA Rates'!$B$5:$B$1004,M$24)&gt;0,"✓",""))</f>
        <v/>
      </c>
    </row>
    <row r="488">
      <c r="A488" s="63">
        <f>IFERROR(INDEX(Firms!$A$5:$A$1004,MATCH(464,Firms!$S$5:$S$1004,0)),"")</f>
        <v/>
      </c>
      <c r="B488" s="57">
        <f>IF($A488="","",INDEX(Firms!$B$5:$B$1004,MATCH(464,Firms!$S$5:$S$1004,0)))</f>
        <v/>
      </c>
      <c r="C488" s="57">
        <f>IF($A488="","",COUNTIF('AFA Rates'!$A$5:$A$1004,$A488))</f>
        <v/>
      </c>
      <c r="D488" s="57">
        <f>IF(OR($A488="",D$24=""),"",IF(COUNTIFS('AFA Rates'!$A$5:$A$1004,$A488,'AFA Rates'!$B$5:$B$1004,D$24)&gt;0,"✓",""))</f>
        <v/>
      </c>
      <c r="E488" s="57">
        <f>IF(OR($A488="",E$24=""),"",IF(COUNTIFS('AFA Rates'!$A$5:$A$1004,$A488,'AFA Rates'!$B$5:$B$1004,E$24)&gt;0,"✓",""))</f>
        <v/>
      </c>
      <c r="F488" s="57">
        <f>IF(OR($A488="",F$24=""),"",IF(COUNTIFS('AFA Rates'!$A$5:$A$1004,$A488,'AFA Rates'!$B$5:$B$1004,F$24)&gt;0,"✓",""))</f>
        <v/>
      </c>
      <c r="G488" s="57">
        <f>IF(OR($A488="",G$24=""),"",IF(COUNTIFS('AFA Rates'!$A$5:$A$1004,$A488,'AFA Rates'!$B$5:$B$1004,G$24)&gt;0,"✓",""))</f>
        <v/>
      </c>
      <c r="H488" s="57">
        <f>IF(OR($A488="",H$24=""),"",IF(COUNTIFS('AFA Rates'!$A$5:$A$1004,$A488,'AFA Rates'!$B$5:$B$1004,H$24)&gt;0,"✓",""))</f>
        <v/>
      </c>
      <c r="I488" s="57">
        <f>IF(OR($A488="",I$24=""),"",IF(COUNTIFS('AFA Rates'!$A$5:$A$1004,$A488,'AFA Rates'!$B$5:$B$1004,I$24)&gt;0,"✓",""))</f>
        <v/>
      </c>
      <c r="J488" s="57">
        <f>IF(OR($A488="",J$24=""),"",IF(COUNTIFS('AFA Rates'!$A$5:$A$1004,$A488,'AFA Rates'!$B$5:$B$1004,J$24)&gt;0,"✓",""))</f>
        <v/>
      </c>
      <c r="K488" s="57">
        <f>IF(OR($A488="",K$24=""),"",IF(COUNTIFS('AFA Rates'!$A$5:$A$1004,$A488,'AFA Rates'!$B$5:$B$1004,K$24)&gt;0,"✓",""))</f>
        <v/>
      </c>
      <c r="L488" s="57">
        <f>IF(OR($A488="",L$24=""),"",IF(COUNTIFS('AFA Rates'!$A$5:$A$1004,$A488,'AFA Rates'!$B$5:$B$1004,L$24)&gt;0,"✓",""))</f>
        <v/>
      </c>
      <c r="M488" s="57">
        <f>IF(OR($A488="",M$24=""),"",IF(COUNTIFS('AFA Rates'!$A$5:$A$1004,$A488,'AFA Rates'!$B$5:$B$1004,M$24)&gt;0,"✓",""))</f>
        <v/>
      </c>
    </row>
    <row r="489">
      <c r="A489" s="63">
        <f>IFERROR(INDEX(Firms!$A$5:$A$1004,MATCH(465,Firms!$S$5:$S$1004,0)),"")</f>
        <v/>
      </c>
      <c r="B489" s="57">
        <f>IF($A489="","",INDEX(Firms!$B$5:$B$1004,MATCH(465,Firms!$S$5:$S$1004,0)))</f>
        <v/>
      </c>
      <c r="C489" s="57">
        <f>IF($A489="","",COUNTIF('AFA Rates'!$A$5:$A$1004,$A489))</f>
        <v/>
      </c>
      <c r="D489" s="57">
        <f>IF(OR($A489="",D$24=""),"",IF(COUNTIFS('AFA Rates'!$A$5:$A$1004,$A489,'AFA Rates'!$B$5:$B$1004,D$24)&gt;0,"✓",""))</f>
        <v/>
      </c>
      <c r="E489" s="57">
        <f>IF(OR($A489="",E$24=""),"",IF(COUNTIFS('AFA Rates'!$A$5:$A$1004,$A489,'AFA Rates'!$B$5:$B$1004,E$24)&gt;0,"✓",""))</f>
        <v/>
      </c>
      <c r="F489" s="57">
        <f>IF(OR($A489="",F$24=""),"",IF(COUNTIFS('AFA Rates'!$A$5:$A$1004,$A489,'AFA Rates'!$B$5:$B$1004,F$24)&gt;0,"✓",""))</f>
        <v/>
      </c>
      <c r="G489" s="57">
        <f>IF(OR($A489="",G$24=""),"",IF(COUNTIFS('AFA Rates'!$A$5:$A$1004,$A489,'AFA Rates'!$B$5:$B$1004,G$24)&gt;0,"✓",""))</f>
        <v/>
      </c>
      <c r="H489" s="57">
        <f>IF(OR($A489="",H$24=""),"",IF(COUNTIFS('AFA Rates'!$A$5:$A$1004,$A489,'AFA Rates'!$B$5:$B$1004,H$24)&gt;0,"✓",""))</f>
        <v/>
      </c>
      <c r="I489" s="57">
        <f>IF(OR($A489="",I$24=""),"",IF(COUNTIFS('AFA Rates'!$A$5:$A$1004,$A489,'AFA Rates'!$B$5:$B$1004,I$24)&gt;0,"✓",""))</f>
        <v/>
      </c>
      <c r="J489" s="57">
        <f>IF(OR($A489="",J$24=""),"",IF(COUNTIFS('AFA Rates'!$A$5:$A$1004,$A489,'AFA Rates'!$B$5:$B$1004,J$24)&gt;0,"✓",""))</f>
        <v/>
      </c>
      <c r="K489" s="57">
        <f>IF(OR($A489="",K$24=""),"",IF(COUNTIFS('AFA Rates'!$A$5:$A$1004,$A489,'AFA Rates'!$B$5:$B$1004,K$24)&gt;0,"✓",""))</f>
        <v/>
      </c>
      <c r="L489" s="57">
        <f>IF(OR($A489="",L$24=""),"",IF(COUNTIFS('AFA Rates'!$A$5:$A$1004,$A489,'AFA Rates'!$B$5:$B$1004,L$24)&gt;0,"✓",""))</f>
        <v/>
      </c>
      <c r="M489" s="57">
        <f>IF(OR($A489="",M$24=""),"",IF(COUNTIFS('AFA Rates'!$A$5:$A$1004,$A489,'AFA Rates'!$B$5:$B$1004,M$24)&gt;0,"✓",""))</f>
        <v/>
      </c>
    </row>
    <row r="490">
      <c r="A490" s="63">
        <f>IFERROR(INDEX(Firms!$A$5:$A$1004,MATCH(466,Firms!$S$5:$S$1004,0)),"")</f>
        <v/>
      </c>
      <c r="B490" s="57">
        <f>IF($A490="","",INDEX(Firms!$B$5:$B$1004,MATCH(466,Firms!$S$5:$S$1004,0)))</f>
        <v/>
      </c>
      <c r="C490" s="57">
        <f>IF($A490="","",COUNTIF('AFA Rates'!$A$5:$A$1004,$A490))</f>
        <v/>
      </c>
      <c r="D490" s="57">
        <f>IF(OR($A490="",D$24=""),"",IF(COUNTIFS('AFA Rates'!$A$5:$A$1004,$A490,'AFA Rates'!$B$5:$B$1004,D$24)&gt;0,"✓",""))</f>
        <v/>
      </c>
      <c r="E490" s="57">
        <f>IF(OR($A490="",E$24=""),"",IF(COUNTIFS('AFA Rates'!$A$5:$A$1004,$A490,'AFA Rates'!$B$5:$B$1004,E$24)&gt;0,"✓",""))</f>
        <v/>
      </c>
      <c r="F490" s="57">
        <f>IF(OR($A490="",F$24=""),"",IF(COUNTIFS('AFA Rates'!$A$5:$A$1004,$A490,'AFA Rates'!$B$5:$B$1004,F$24)&gt;0,"✓",""))</f>
        <v/>
      </c>
      <c r="G490" s="57">
        <f>IF(OR($A490="",G$24=""),"",IF(COUNTIFS('AFA Rates'!$A$5:$A$1004,$A490,'AFA Rates'!$B$5:$B$1004,G$24)&gt;0,"✓",""))</f>
        <v/>
      </c>
      <c r="H490" s="57">
        <f>IF(OR($A490="",H$24=""),"",IF(COUNTIFS('AFA Rates'!$A$5:$A$1004,$A490,'AFA Rates'!$B$5:$B$1004,H$24)&gt;0,"✓",""))</f>
        <v/>
      </c>
      <c r="I490" s="57">
        <f>IF(OR($A490="",I$24=""),"",IF(COUNTIFS('AFA Rates'!$A$5:$A$1004,$A490,'AFA Rates'!$B$5:$B$1004,I$24)&gt;0,"✓",""))</f>
        <v/>
      </c>
      <c r="J490" s="57">
        <f>IF(OR($A490="",J$24=""),"",IF(COUNTIFS('AFA Rates'!$A$5:$A$1004,$A490,'AFA Rates'!$B$5:$B$1004,J$24)&gt;0,"✓",""))</f>
        <v/>
      </c>
      <c r="K490" s="57">
        <f>IF(OR($A490="",K$24=""),"",IF(COUNTIFS('AFA Rates'!$A$5:$A$1004,$A490,'AFA Rates'!$B$5:$B$1004,K$24)&gt;0,"✓",""))</f>
        <v/>
      </c>
      <c r="L490" s="57">
        <f>IF(OR($A490="",L$24=""),"",IF(COUNTIFS('AFA Rates'!$A$5:$A$1004,$A490,'AFA Rates'!$B$5:$B$1004,L$24)&gt;0,"✓",""))</f>
        <v/>
      </c>
      <c r="M490" s="57">
        <f>IF(OR($A490="",M$24=""),"",IF(COUNTIFS('AFA Rates'!$A$5:$A$1004,$A490,'AFA Rates'!$B$5:$B$1004,M$24)&gt;0,"✓",""))</f>
        <v/>
      </c>
    </row>
    <row r="491">
      <c r="A491" s="63">
        <f>IFERROR(INDEX(Firms!$A$5:$A$1004,MATCH(467,Firms!$S$5:$S$1004,0)),"")</f>
        <v/>
      </c>
      <c r="B491" s="57">
        <f>IF($A491="","",INDEX(Firms!$B$5:$B$1004,MATCH(467,Firms!$S$5:$S$1004,0)))</f>
        <v/>
      </c>
      <c r="C491" s="57">
        <f>IF($A491="","",COUNTIF('AFA Rates'!$A$5:$A$1004,$A491))</f>
        <v/>
      </c>
      <c r="D491" s="57">
        <f>IF(OR($A491="",D$24=""),"",IF(COUNTIFS('AFA Rates'!$A$5:$A$1004,$A491,'AFA Rates'!$B$5:$B$1004,D$24)&gt;0,"✓",""))</f>
        <v/>
      </c>
      <c r="E491" s="57">
        <f>IF(OR($A491="",E$24=""),"",IF(COUNTIFS('AFA Rates'!$A$5:$A$1004,$A491,'AFA Rates'!$B$5:$B$1004,E$24)&gt;0,"✓",""))</f>
        <v/>
      </c>
      <c r="F491" s="57">
        <f>IF(OR($A491="",F$24=""),"",IF(COUNTIFS('AFA Rates'!$A$5:$A$1004,$A491,'AFA Rates'!$B$5:$B$1004,F$24)&gt;0,"✓",""))</f>
        <v/>
      </c>
      <c r="G491" s="57">
        <f>IF(OR($A491="",G$24=""),"",IF(COUNTIFS('AFA Rates'!$A$5:$A$1004,$A491,'AFA Rates'!$B$5:$B$1004,G$24)&gt;0,"✓",""))</f>
        <v/>
      </c>
      <c r="H491" s="57">
        <f>IF(OR($A491="",H$24=""),"",IF(COUNTIFS('AFA Rates'!$A$5:$A$1004,$A491,'AFA Rates'!$B$5:$B$1004,H$24)&gt;0,"✓",""))</f>
        <v/>
      </c>
      <c r="I491" s="57">
        <f>IF(OR($A491="",I$24=""),"",IF(COUNTIFS('AFA Rates'!$A$5:$A$1004,$A491,'AFA Rates'!$B$5:$B$1004,I$24)&gt;0,"✓",""))</f>
        <v/>
      </c>
      <c r="J491" s="57">
        <f>IF(OR($A491="",J$24=""),"",IF(COUNTIFS('AFA Rates'!$A$5:$A$1004,$A491,'AFA Rates'!$B$5:$B$1004,J$24)&gt;0,"✓",""))</f>
        <v/>
      </c>
      <c r="K491" s="57">
        <f>IF(OR($A491="",K$24=""),"",IF(COUNTIFS('AFA Rates'!$A$5:$A$1004,$A491,'AFA Rates'!$B$5:$B$1004,K$24)&gt;0,"✓",""))</f>
        <v/>
      </c>
      <c r="L491" s="57">
        <f>IF(OR($A491="",L$24=""),"",IF(COUNTIFS('AFA Rates'!$A$5:$A$1004,$A491,'AFA Rates'!$B$5:$B$1004,L$24)&gt;0,"✓",""))</f>
        <v/>
      </c>
      <c r="M491" s="57">
        <f>IF(OR($A491="",M$24=""),"",IF(COUNTIFS('AFA Rates'!$A$5:$A$1004,$A491,'AFA Rates'!$B$5:$B$1004,M$24)&gt;0,"✓",""))</f>
        <v/>
      </c>
    </row>
    <row r="492">
      <c r="A492" s="63">
        <f>IFERROR(INDEX(Firms!$A$5:$A$1004,MATCH(468,Firms!$S$5:$S$1004,0)),"")</f>
        <v/>
      </c>
      <c r="B492" s="57">
        <f>IF($A492="","",INDEX(Firms!$B$5:$B$1004,MATCH(468,Firms!$S$5:$S$1004,0)))</f>
        <v/>
      </c>
      <c r="C492" s="57">
        <f>IF($A492="","",COUNTIF('AFA Rates'!$A$5:$A$1004,$A492))</f>
        <v/>
      </c>
      <c r="D492" s="57">
        <f>IF(OR($A492="",D$24=""),"",IF(COUNTIFS('AFA Rates'!$A$5:$A$1004,$A492,'AFA Rates'!$B$5:$B$1004,D$24)&gt;0,"✓",""))</f>
        <v/>
      </c>
      <c r="E492" s="57">
        <f>IF(OR($A492="",E$24=""),"",IF(COUNTIFS('AFA Rates'!$A$5:$A$1004,$A492,'AFA Rates'!$B$5:$B$1004,E$24)&gt;0,"✓",""))</f>
        <v/>
      </c>
      <c r="F492" s="57">
        <f>IF(OR($A492="",F$24=""),"",IF(COUNTIFS('AFA Rates'!$A$5:$A$1004,$A492,'AFA Rates'!$B$5:$B$1004,F$24)&gt;0,"✓",""))</f>
        <v/>
      </c>
      <c r="G492" s="57">
        <f>IF(OR($A492="",G$24=""),"",IF(COUNTIFS('AFA Rates'!$A$5:$A$1004,$A492,'AFA Rates'!$B$5:$B$1004,G$24)&gt;0,"✓",""))</f>
        <v/>
      </c>
      <c r="H492" s="57">
        <f>IF(OR($A492="",H$24=""),"",IF(COUNTIFS('AFA Rates'!$A$5:$A$1004,$A492,'AFA Rates'!$B$5:$B$1004,H$24)&gt;0,"✓",""))</f>
        <v/>
      </c>
      <c r="I492" s="57">
        <f>IF(OR($A492="",I$24=""),"",IF(COUNTIFS('AFA Rates'!$A$5:$A$1004,$A492,'AFA Rates'!$B$5:$B$1004,I$24)&gt;0,"✓",""))</f>
        <v/>
      </c>
      <c r="J492" s="57">
        <f>IF(OR($A492="",J$24=""),"",IF(COUNTIFS('AFA Rates'!$A$5:$A$1004,$A492,'AFA Rates'!$B$5:$B$1004,J$24)&gt;0,"✓",""))</f>
        <v/>
      </c>
      <c r="K492" s="57">
        <f>IF(OR($A492="",K$24=""),"",IF(COUNTIFS('AFA Rates'!$A$5:$A$1004,$A492,'AFA Rates'!$B$5:$B$1004,K$24)&gt;0,"✓",""))</f>
        <v/>
      </c>
      <c r="L492" s="57">
        <f>IF(OR($A492="",L$24=""),"",IF(COUNTIFS('AFA Rates'!$A$5:$A$1004,$A492,'AFA Rates'!$B$5:$B$1004,L$24)&gt;0,"✓",""))</f>
        <v/>
      </c>
      <c r="M492" s="57">
        <f>IF(OR($A492="",M$24=""),"",IF(COUNTIFS('AFA Rates'!$A$5:$A$1004,$A492,'AFA Rates'!$B$5:$B$1004,M$24)&gt;0,"✓",""))</f>
        <v/>
      </c>
    </row>
    <row r="493">
      <c r="A493" s="63">
        <f>IFERROR(INDEX(Firms!$A$5:$A$1004,MATCH(469,Firms!$S$5:$S$1004,0)),"")</f>
        <v/>
      </c>
      <c r="B493" s="57">
        <f>IF($A493="","",INDEX(Firms!$B$5:$B$1004,MATCH(469,Firms!$S$5:$S$1004,0)))</f>
        <v/>
      </c>
      <c r="C493" s="57">
        <f>IF($A493="","",COUNTIF('AFA Rates'!$A$5:$A$1004,$A493))</f>
        <v/>
      </c>
      <c r="D493" s="57">
        <f>IF(OR($A493="",D$24=""),"",IF(COUNTIFS('AFA Rates'!$A$5:$A$1004,$A493,'AFA Rates'!$B$5:$B$1004,D$24)&gt;0,"✓",""))</f>
        <v/>
      </c>
      <c r="E493" s="57">
        <f>IF(OR($A493="",E$24=""),"",IF(COUNTIFS('AFA Rates'!$A$5:$A$1004,$A493,'AFA Rates'!$B$5:$B$1004,E$24)&gt;0,"✓",""))</f>
        <v/>
      </c>
      <c r="F493" s="57">
        <f>IF(OR($A493="",F$24=""),"",IF(COUNTIFS('AFA Rates'!$A$5:$A$1004,$A493,'AFA Rates'!$B$5:$B$1004,F$24)&gt;0,"✓",""))</f>
        <v/>
      </c>
      <c r="G493" s="57">
        <f>IF(OR($A493="",G$24=""),"",IF(COUNTIFS('AFA Rates'!$A$5:$A$1004,$A493,'AFA Rates'!$B$5:$B$1004,G$24)&gt;0,"✓",""))</f>
        <v/>
      </c>
      <c r="H493" s="57">
        <f>IF(OR($A493="",H$24=""),"",IF(COUNTIFS('AFA Rates'!$A$5:$A$1004,$A493,'AFA Rates'!$B$5:$B$1004,H$24)&gt;0,"✓",""))</f>
        <v/>
      </c>
      <c r="I493" s="57">
        <f>IF(OR($A493="",I$24=""),"",IF(COUNTIFS('AFA Rates'!$A$5:$A$1004,$A493,'AFA Rates'!$B$5:$B$1004,I$24)&gt;0,"✓",""))</f>
        <v/>
      </c>
      <c r="J493" s="57">
        <f>IF(OR($A493="",J$24=""),"",IF(COUNTIFS('AFA Rates'!$A$5:$A$1004,$A493,'AFA Rates'!$B$5:$B$1004,J$24)&gt;0,"✓",""))</f>
        <v/>
      </c>
      <c r="K493" s="57">
        <f>IF(OR($A493="",K$24=""),"",IF(COUNTIFS('AFA Rates'!$A$5:$A$1004,$A493,'AFA Rates'!$B$5:$B$1004,K$24)&gt;0,"✓",""))</f>
        <v/>
      </c>
      <c r="L493" s="57">
        <f>IF(OR($A493="",L$24=""),"",IF(COUNTIFS('AFA Rates'!$A$5:$A$1004,$A493,'AFA Rates'!$B$5:$B$1004,L$24)&gt;0,"✓",""))</f>
        <v/>
      </c>
      <c r="M493" s="57">
        <f>IF(OR($A493="",M$24=""),"",IF(COUNTIFS('AFA Rates'!$A$5:$A$1004,$A493,'AFA Rates'!$B$5:$B$1004,M$24)&gt;0,"✓",""))</f>
        <v/>
      </c>
    </row>
    <row r="494">
      <c r="A494" s="63">
        <f>IFERROR(INDEX(Firms!$A$5:$A$1004,MATCH(470,Firms!$S$5:$S$1004,0)),"")</f>
        <v/>
      </c>
      <c r="B494" s="57">
        <f>IF($A494="","",INDEX(Firms!$B$5:$B$1004,MATCH(470,Firms!$S$5:$S$1004,0)))</f>
        <v/>
      </c>
      <c r="C494" s="57">
        <f>IF($A494="","",COUNTIF('AFA Rates'!$A$5:$A$1004,$A494))</f>
        <v/>
      </c>
      <c r="D494" s="57">
        <f>IF(OR($A494="",D$24=""),"",IF(COUNTIFS('AFA Rates'!$A$5:$A$1004,$A494,'AFA Rates'!$B$5:$B$1004,D$24)&gt;0,"✓",""))</f>
        <v/>
      </c>
      <c r="E494" s="57">
        <f>IF(OR($A494="",E$24=""),"",IF(COUNTIFS('AFA Rates'!$A$5:$A$1004,$A494,'AFA Rates'!$B$5:$B$1004,E$24)&gt;0,"✓",""))</f>
        <v/>
      </c>
      <c r="F494" s="57">
        <f>IF(OR($A494="",F$24=""),"",IF(COUNTIFS('AFA Rates'!$A$5:$A$1004,$A494,'AFA Rates'!$B$5:$B$1004,F$24)&gt;0,"✓",""))</f>
        <v/>
      </c>
      <c r="G494" s="57">
        <f>IF(OR($A494="",G$24=""),"",IF(COUNTIFS('AFA Rates'!$A$5:$A$1004,$A494,'AFA Rates'!$B$5:$B$1004,G$24)&gt;0,"✓",""))</f>
        <v/>
      </c>
      <c r="H494" s="57">
        <f>IF(OR($A494="",H$24=""),"",IF(COUNTIFS('AFA Rates'!$A$5:$A$1004,$A494,'AFA Rates'!$B$5:$B$1004,H$24)&gt;0,"✓",""))</f>
        <v/>
      </c>
      <c r="I494" s="57">
        <f>IF(OR($A494="",I$24=""),"",IF(COUNTIFS('AFA Rates'!$A$5:$A$1004,$A494,'AFA Rates'!$B$5:$B$1004,I$24)&gt;0,"✓",""))</f>
        <v/>
      </c>
      <c r="J494" s="57">
        <f>IF(OR($A494="",J$24=""),"",IF(COUNTIFS('AFA Rates'!$A$5:$A$1004,$A494,'AFA Rates'!$B$5:$B$1004,J$24)&gt;0,"✓",""))</f>
        <v/>
      </c>
      <c r="K494" s="57">
        <f>IF(OR($A494="",K$24=""),"",IF(COUNTIFS('AFA Rates'!$A$5:$A$1004,$A494,'AFA Rates'!$B$5:$B$1004,K$24)&gt;0,"✓",""))</f>
        <v/>
      </c>
      <c r="L494" s="57">
        <f>IF(OR($A494="",L$24=""),"",IF(COUNTIFS('AFA Rates'!$A$5:$A$1004,$A494,'AFA Rates'!$B$5:$B$1004,L$24)&gt;0,"✓",""))</f>
        <v/>
      </c>
      <c r="M494" s="57">
        <f>IF(OR($A494="",M$24=""),"",IF(COUNTIFS('AFA Rates'!$A$5:$A$1004,$A494,'AFA Rates'!$B$5:$B$1004,M$24)&gt;0,"✓",""))</f>
        <v/>
      </c>
    </row>
    <row r="495">
      <c r="A495" s="63">
        <f>IFERROR(INDEX(Firms!$A$5:$A$1004,MATCH(471,Firms!$S$5:$S$1004,0)),"")</f>
        <v/>
      </c>
      <c r="B495" s="57">
        <f>IF($A495="","",INDEX(Firms!$B$5:$B$1004,MATCH(471,Firms!$S$5:$S$1004,0)))</f>
        <v/>
      </c>
      <c r="C495" s="57">
        <f>IF($A495="","",COUNTIF('AFA Rates'!$A$5:$A$1004,$A495))</f>
        <v/>
      </c>
      <c r="D495" s="57">
        <f>IF(OR($A495="",D$24=""),"",IF(COUNTIFS('AFA Rates'!$A$5:$A$1004,$A495,'AFA Rates'!$B$5:$B$1004,D$24)&gt;0,"✓",""))</f>
        <v/>
      </c>
      <c r="E495" s="57">
        <f>IF(OR($A495="",E$24=""),"",IF(COUNTIFS('AFA Rates'!$A$5:$A$1004,$A495,'AFA Rates'!$B$5:$B$1004,E$24)&gt;0,"✓",""))</f>
        <v/>
      </c>
      <c r="F495" s="57">
        <f>IF(OR($A495="",F$24=""),"",IF(COUNTIFS('AFA Rates'!$A$5:$A$1004,$A495,'AFA Rates'!$B$5:$B$1004,F$24)&gt;0,"✓",""))</f>
        <v/>
      </c>
      <c r="G495" s="57">
        <f>IF(OR($A495="",G$24=""),"",IF(COUNTIFS('AFA Rates'!$A$5:$A$1004,$A495,'AFA Rates'!$B$5:$B$1004,G$24)&gt;0,"✓",""))</f>
        <v/>
      </c>
      <c r="H495" s="57">
        <f>IF(OR($A495="",H$24=""),"",IF(COUNTIFS('AFA Rates'!$A$5:$A$1004,$A495,'AFA Rates'!$B$5:$B$1004,H$24)&gt;0,"✓",""))</f>
        <v/>
      </c>
      <c r="I495" s="57">
        <f>IF(OR($A495="",I$24=""),"",IF(COUNTIFS('AFA Rates'!$A$5:$A$1004,$A495,'AFA Rates'!$B$5:$B$1004,I$24)&gt;0,"✓",""))</f>
        <v/>
      </c>
      <c r="J495" s="57">
        <f>IF(OR($A495="",J$24=""),"",IF(COUNTIFS('AFA Rates'!$A$5:$A$1004,$A495,'AFA Rates'!$B$5:$B$1004,J$24)&gt;0,"✓",""))</f>
        <v/>
      </c>
      <c r="K495" s="57">
        <f>IF(OR($A495="",K$24=""),"",IF(COUNTIFS('AFA Rates'!$A$5:$A$1004,$A495,'AFA Rates'!$B$5:$B$1004,K$24)&gt;0,"✓",""))</f>
        <v/>
      </c>
      <c r="L495" s="57">
        <f>IF(OR($A495="",L$24=""),"",IF(COUNTIFS('AFA Rates'!$A$5:$A$1004,$A495,'AFA Rates'!$B$5:$B$1004,L$24)&gt;0,"✓",""))</f>
        <v/>
      </c>
      <c r="M495" s="57">
        <f>IF(OR($A495="",M$24=""),"",IF(COUNTIFS('AFA Rates'!$A$5:$A$1004,$A495,'AFA Rates'!$B$5:$B$1004,M$24)&gt;0,"✓",""))</f>
        <v/>
      </c>
    </row>
    <row r="496">
      <c r="A496" s="63">
        <f>IFERROR(INDEX(Firms!$A$5:$A$1004,MATCH(472,Firms!$S$5:$S$1004,0)),"")</f>
        <v/>
      </c>
      <c r="B496" s="57">
        <f>IF($A496="","",INDEX(Firms!$B$5:$B$1004,MATCH(472,Firms!$S$5:$S$1004,0)))</f>
        <v/>
      </c>
      <c r="C496" s="57">
        <f>IF($A496="","",COUNTIF('AFA Rates'!$A$5:$A$1004,$A496))</f>
        <v/>
      </c>
      <c r="D496" s="57">
        <f>IF(OR($A496="",D$24=""),"",IF(COUNTIFS('AFA Rates'!$A$5:$A$1004,$A496,'AFA Rates'!$B$5:$B$1004,D$24)&gt;0,"✓",""))</f>
        <v/>
      </c>
      <c r="E496" s="57">
        <f>IF(OR($A496="",E$24=""),"",IF(COUNTIFS('AFA Rates'!$A$5:$A$1004,$A496,'AFA Rates'!$B$5:$B$1004,E$24)&gt;0,"✓",""))</f>
        <v/>
      </c>
      <c r="F496" s="57">
        <f>IF(OR($A496="",F$24=""),"",IF(COUNTIFS('AFA Rates'!$A$5:$A$1004,$A496,'AFA Rates'!$B$5:$B$1004,F$24)&gt;0,"✓",""))</f>
        <v/>
      </c>
      <c r="G496" s="57">
        <f>IF(OR($A496="",G$24=""),"",IF(COUNTIFS('AFA Rates'!$A$5:$A$1004,$A496,'AFA Rates'!$B$5:$B$1004,G$24)&gt;0,"✓",""))</f>
        <v/>
      </c>
      <c r="H496" s="57">
        <f>IF(OR($A496="",H$24=""),"",IF(COUNTIFS('AFA Rates'!$A$5:$A$1004,$A496,'AFA Rates'!$B$5:$B$1004,H$24)&gt;0,"✓",""))</f>
        <v/>
      </c>
      <c r="I496" s="57">
        <f>IF(OR($A496="",I$24=""),"",IF(COUNTIFS('AFA Rates'!$A$5:$A$1004,$A496,'AFA Rates'!$B$5:$B$1004,I$24)&gt;0,"✓",""))</f>
        <v/>
      </c>
      <c r="J496" s="57">
        <f>IF(OR($A496="",J$24=""),"",IF(COUNTIFS('AFA Rates'!$A$5:$A$1004,$A496,'AFA Rates'!$B$5:$B$1004,J$24)&gt;0,"✓",""))</f>
        <v/>
      </c>
      <c r="K496" s="57">
        <f>IF(OR($A496="",K$24=""),"",IF(COUNTIFS('AFA Rates'!$A$5:$A$1004,$A496,'AFA Rates'!$B$5:$B$1004,K$24)&gt;0,"✓",""))</f>
        <v/>
      </c>
      <c r="L496" s="57">
        <f>IF(OR($A496="",L$24=""),"",IF(COUNTIFS('AFA Rates'!$A$5:$A$1004,$A496,'AFA Rates'!$B$5:$B$1004,L$24)&gt;0,"✓",""))</f>
        <v/>
      </c>
      <c r="M496" s="57">
        <f>IF(OR($A496="",M$24=""),"",IF(COUNTIFS('AFA Rates'!$A$5:$A$1004,$A496,'AFA Rates'!$B$5:$B$1004,M$24)&gt;0,"✓",""))</f>
        <v/>
      </c>
    </row>
    <row r="497">
      <c r="A497" s="63">
        <f>IFERROR(INDEX(Firms!$A$5:$A$1004,MATCH(473,Firms!$S$5:$S$1004,0)),"")</f>
        <v/>
      </c>
      <c r="B497" s="57">
        <f>IF($A497="","",INDEX(Firms!$B$5:$B$1004,MATCH(473,Firms!$S$5:$S$1004,0)))</f>
        <v/>
      </c>
      <c r="C497" s="57">
        <f>IF($A497="","",COUNTIF('AFA Rates'!$A$5:$A$1004,$A497))</f>
        <v/>
      </c>
      <c r="D497" s="57">
        <f>IF(OR($A497="",D$24=""),"",IF(COUNTIFS('AFA Rates'!$A$5:$A$1004,$A497,'AFA Rates'!$B$5:$B$1004,D$24)&gt;0,"✓",""))</f>
        <v/>
      </c>
      <c r="E497" s="57">
        <f>IF(OR($A497="",E$24=""),"",IF(COUNTIFS('AFA Rates'!$A$5:$A$1004,$A497,'AFA Rates'!$B$5:$B$1004,E$24)&gt;0,"✓",""))</f>
        <v/>
      </c>
      <c r="F497" s="57">
        <f>IF(OR($A497="",F$24=""),"",IF(COUNTIFS('AFA Rates'!$A$5:$A$1004,$A497,'AFA Rates'!$B$5:$B$1004,F$24)&gt;0,"✓",""))</f>
        <v/>
      </c>
      <c r="G497" s="57">
        <f>IF(OR($A497="",G$24=""),"",IF(COUNTIFS('AFA Rates'!$A$5:$A$1004,$A497,'AFA Rates'!$B$5:$B$1004,G$24)&gt;0,"✓",""))</f>
        <v/>
      </c>
      <c r="H497" s="57">
        <f>IF(OR($A497="",H$24=""),"",IF(COUNTIFS('AFA Rates'!$A$5:$A$1004,$A497,'AFA Rates'!$B$5:$B$1004,H$24)&gt;0,"✓",""))</f>
        <v/>
      </c>
      <c r="I497" s="57">
        <f>IF(OR($A497="",I$24=""),"",IF(COUNTIFS('AFA Rates'!$A$5:$A$1004,$A497,'AFA Rates'!$B$5:$B$1004,I$24)&gt;0,"✓",""))</f>
        <v/>
      </c>
      <c r="J497" s="57">
        <f>IF(OR($A497="",J$24=""),"",IF(COUNTIFS('AFA Rates'!$A$5:$A$1004,$A497,'AFA Rates'!$B$5:$B$1004,J$24)&gt;0,"✓",""))</f>
        <v/>
      </c>
      <c r="K497" s="57">
        <f>IF(OR($A497="",K$24=""),"",IF(COUNTIFS('AFA Rates'!$A$5:$A$1004,$A497,'AFA Rates'!$B$5:$B$1004,K$24)&gt;0,"✓",""))</f>
        <v/>
      </c>
      <c r="L497" s="57">
        <f>IF(OR($A497="",L$24=""),"",IF(COUNTIFS('AFA Rates'!$A$5:$A$1004,$A497,'AFA Rates'!$B$5:$B$1004,L$24)&gt;0,"✓",""))</f>
        <v/>
      </c>
      <c r="M497" s="57">
        <f>IF(OR($A497="",M$24=""),"",IF(COUNTIFS('AFA Rates'!$A$5:$A$1004,$A497,'AFA Rates'!$B$5:$B$1004,M$24)&gt;0,"✓",""))</f>
        <v/>
      </c>
    </row>
    <row r="498">
      <c r="A498" s="63">
        <f>IFERROR(INDEX(Firms!$A$5:$A$1004,MATCH(474,Firms!$S$5:$S$1004,0)),"")</f>
        <v/>
      </c>
      <c r="B498" s="57">
        <f>IF($A498="","",INDEX(Firms!$B$5:$B$1004,MATCH(474,Firms!$S$5:$S$1004,0)))</f>
        <v/>
      </c>
      <c r="C498" s="57">
        <f>IF($A498="","",COUNTIF('AFA Rates'!$A$5:$A$1004,$A498))</f>
        <v/>
      </c>
      <c r="D498" s="57">
        <f>IF(OR($A498="",D$24=""),"",IF(COUNTIFS('AFA Rates'!$A$5:$A$1004,$A498,'AFA Rates'!$B$5:$B$1004,D$24)&gt;0,"✓",""))</f>
        <v/>
      </c>
      <c r="E498" s="57">
        <f>IF(OR($A498="",E$24=""),"",IF(COUNTIFS('AFA Rates'!$A$5:$A$1004,$A498,'AFA Rates'!$B$5:$B$1004,E$24)&gt;0,"✓",""))</f>
        <v/>
      </c>
      <c r="F498" s="57">
        <f>IF(OR($A498="",F$24=""),"",IF(COUNTIFS('AFA Rates'!$A$5:$A$1004,$A498,'AFA Rates'!$B$5:$B$1004,F$24)&gt;0,"✓",""))</f>
        <v/>
      </c>
      <c r="G498" s="57">
        <f>IF(OR($A498="",G$24=""),"",IF(COUNTIFS('AFA Rates'!$A$5:$A$1004,$A498,'AFA Rates'!$B$5:$B$1004,G$24)&gt;0,"✓",""))</f>
        <v/>
      </c>
      <c r="H498" s="57">
        <f>IF(OR($A498="",H$24=""),"",IF(COUNTIFS('AFA Rates'!$A$5:$A$1004,$A498,'AFA Rates'!$B$5:$B$1004,H$24)&gt;0,"✓",""))</f>
        <v/>
      </c>
      <c r="I498" s="57">
        <f>IF(OR($A498="",I$24=""),"",IF(COUNTIFS('AFA Rates'!$A$5:$A$1004,$A498,'AFA Rates'!$B$5:$B$1004,I$24)&gt;0,"✓",""))</f>
        <v/>
      </c>
      <c r="J498" s="57">
        <f>IF(OR($A498="",J$24=""),"",IF(COUNTIFS('AFA Rates'!$A$5:$A$1004,$A498,'AFA Rates'!$B$5:$B$1004,J$24)&gt;0,"✓",""))</f>
        <v/>
      </c>
      <c r="K498" s="57">
        <f>IF(OR($A498="",K$24=""),"",IF(COUNTIFS('AFA Rates'!$A$5:$A$1004,$A498,'AFA Rates'!$B$5:$B$1004,K$24)&gt;0,"✓",""))</f>
        <v/>
      </c>
      <c r="L498" s="57">
        <f>IF(OR($A498="",L$24=""),"",IF(COUNTIFS('AFA Rates'!$A$5:$A$1004,$A498,'AFA Rates'!$B$5:$B$1004,L$24)&gt;0,"✓",""))</f>
        <v/>
      </c>
      <c r="M498" s="57">
        <f>IF(OR($A498="",M$24=""),"",IF(COUNTIFS('AFA Rates'!$A$5:$A$1004,$A498,'AFA Rates'!$B$5:$B$1004,M$24)&gt;0,"✓",""))</f>
        <v/>
      </c>
    </row>
    <row r="499">
      <c r="A499" s="63">
        <f>IFERROR(INDEX(Firms!$A$5:$A$1004,MATCH(475,Firms!$S$5:$S$1004,0)),"")</f>
        <v/>
      </c>
      <c r="B499" s="57">
        <f>IF($A499="","",INDEX(Firms!$B$5:$B$1004,MATCH(475,Firms!$S$5:$S$1004,0)))</f>
        <v/>
      </c>
      <c r="C499" s="57">
        <f>IF($A499="","",COUNTIF('AFA Rates'!$A$5:$A$1004,$A499))</f>
        <v/>
      </c>
      <c r="D499" s="57">
        <f>IF(OR($A499="",D$24=""),"",IF(COUNTIFS('AFA Rates'!$A$5:$A$1004,$A499,'AFA Rates'!$B$5:$B$1004,D$24)&gt;0,"✓",""))</f>
        <v/>
      </c>
      <c r="E499" s="57">
        <f>IF(OR($A499="",E$24=""),"",IF(COUNTIFS('AFA Rates'!$A$5:$A$1004,$A499,'AFA Rates'!$B$5:$B$1004,E$24)&gt;0,"✓",""))</f>
        <v/>
      </c>
      <c r="F499" s="57">
        <f>IF(OR($A499="",F$24=""),"",IF(COUNTIFS('AFA Rates'!$A$5:$A$1004,$A499,'AFA Rates'!$B$5:$B$1004,F$24)&gt;0,"✓",""))</f>
        <v/>
      </c>
      <c r="G499" s="57">
        <f>IF(OR($A499="",G$24=""),"",IF(COUNTIFS('AFA Rates'!$A$5:$A$1004,$A499,'AFA Rates'!$B$5:$B$1004,G$24)&gt;0,"✓",""))</f>
        <v/>
      </c>
      <c r="H499" s="57">
        <f>IF(OR($A499="",H$24=""),"",IF(COUNTIFS('AFA Rates'!$A$5:$A$1004,$A499,'AFA Rates'!$B$5:$B$1004,H$24)&gt;0,"✓",""))</f>
        <v/>
      </c>
      <c r="I499" s="57">
        <f>IF(OR($A499="",I$24=""),"",IF(COUNTIFS('AFA Rates'!$A$5:$A$1004,$A499,'AFA Rates'!$B$5:$B$1004,I$24)&gt;0,"✓",""))</f>
        <v/>
      </c>
      <c r="J499" s="57">
        <f>IF(OR($A499="",J$24=""),"",IF(COUNTIFS('AFA Rates'!$A$5:$A$1004,$A499,'AFA Rates'!$B$5:$B$1004,J$24)&gt;0,"✓",""))</f>
        <v/>
      </c>
      <c r="K499" s="57">
        <f>IF(OR($A499="",K$24=""),"",IF(COUNTIFS('AFA Rates'!$A$5:$A$1004,$A499,'AFA Rates'!$B$5:$B$1004,K$24)&gt;0,"✓",""))</f>
        <v/>
      </c>
      <c r="L499" s="57">
        <f>IF(OR($A499="",L$24=""),"",IF(COUNTIFS('AFA Rates'!$A$5:$A$1004,$A499,'AFA Rates'!$B$5:$B$1004,L$24)&gt;0,"✓",""))</f>
        <v/>
      </c>
      <c r="M499" s="57">
        <f>IF(OR($A499="",M$24=""),"",IF(COUNTIFS('AFA Rates'!$A$5:$A$1004,$A499,'AFA Rates'!$B$5:$B$1004,M$24)&gt;0,"✓",""))</f>
        <v/>
      </c>
    </row>
    <row r="500">
      <c r="A500" s="63">
        <f>IFERROR(INDEX(Firms!$A$5:$A$1004,MATCH(476,Firms!$S$5:$S$1004,0)),"")</f>
        <v/>
      </c>
      <c r="B500" s="57">
        <f>IF($A500="","",INDEX(Firms!$B$5:$B$1004,MATCH(476,Firms!$S$5:$S$1004,0)))</f>
        <v/>
      </c>
      <c r="C500" s="57">
        <f>IF($A500="","",COUNTIF('AFA Rates'!$A$5:$A$1004,$A500))</f>
        <v/>
      </c>
      <c r="D500" s="57">
        <f>IF(OR($A500="",D$24=""),"",IF(COUNTIFS('AFA Rates'!$A$5:$A$1004,$A500,'AFA Rates'!$B$5:$B$1004,D$24)&gt;0,"✓",""))</f>
        <v/>
      </c>
      <c r="E500" s="57">
        <f>IF(OR($A500="",E$24=""),"",IF(COUNTIFS('AFA Rates'!$A$5:$A$1004,$A500,'AFA Rates'!$B$5:$B$1004,E$24)&gt;0,"✓",""))</f>
        <v/>
      </c>
      <c r="F500" s="57">
        <f>IF(OR($A500="",F$24=""),"",IF(COUNTIFS('AFA Rates'!$A$5:$A$1004,$A500,'AFA Rates'!$B$5:$B$1004,F$24)&gt;0,"✓",""))</f>
        <v/>
      </c>
      <c r="G500" s="57">
        <f>IF(OR($A500="",G$24=""),"",IF(COUNTIFS('AFA Rates'!$A$5:$A$1004,$A500,'AFA Rates'!$B$5:$B$1004,G$24)&gt;0,"✓",""))</f>
        <v/>
      </c>
      <c r="H500" s="57">
        <f>IF(OR($A500="",H$24=""),"",IF(COUNTIFS('AFA Rates'!$A$5:$A$1004,$A500,'AFA Rates'!$B$5:$B$1004,H$24)&gt;0,"✓",""))</f>
        <v/>
      </c>
      <c r="I500" s="57">
        <f>IF(OR($A500="",I$24=""),"",IF(COUNTIFS('AFA Rates'!$A$5:$A$1004,$A500,'AFA Rates'!$B$5:$B$1004,I$24)&gt;0,"✓",""))</f>
        <v/>
      </c>
      <c r="J500" s="57">
        <f>IF(OR($A500="",J$24=""),"",IF(COUNTIFS('AFA Rates'!$A$5:$A$1004,$A500,'AFA Rates'!$B$5:$B$1004,J$24)&gt;0,"✓",""))</f>
        <v/>
      </c>
      <c r="K500" s="57">
        <f>IF(OR($A500="",K$24=""),"",IF(COUNTIFS('AFA Rates'!$A$5:$A$1004,$A500,'AFA Rates'!$B$5:$B$1004,K$24)&gt;0,"✓",""))</f>
        <v/>
      </c>
      <c r="L500" s="57">
        <f>IF(OR($A500="",L$24=""),"",IF(COUNTIFS('AFA Rates'!$A$5:$A$1004,$A500,'AFA Rates'!$B$5:$B$1004,L$24)&gt;0,"✓",""))</f>
        <v/>
      </c>
      <c r="M500" s="57">
        <f>IF(OR($A500="",M$24=""),"",IF(COUNTIFS('AFA Rates'!$A$5:$A$1004,$A500,'AFA Rates'!$B$5:$B$1004,M$24)&gt;0,"✓",""))</f>
        <v/>
      </c>
    </row>
    <row r="501">
      <c r="A501" s="63">
        <f>IFERROR(INDEX(Firms!$A$5:$A$1004,MATCH(477,Firms!$S$5:$S$1004,0)),"")</f>
        <v/>
      </c>
      <c r="B501" s="57">
        <f>IF($A501="","",INDEX(Firms!$B$5:$B$1004,MATCH(477,Firms!$S$5:$S$1004,0)))</f>
        <v/>
      </c>
      <c r="C501" s="57">
        <f>IF($A501="","",COUNTIF('AFA Rates'!$A$5:$A$1004,$A501))</f>
        <v/>
      </c>
      <c r="D501" s="57">
        <f>IF(OR($A501="",D$24=""),"",IF(COUNTIFS('AFA Rates'!$A$5:$A$1004,$A501,'AFA Rates'!$B$5:$B$1004,D$24)&gt;0,"✓",""))</f>
        <v/>
      </c>
      <c r="E501" s="57">
        <f>IF(OR($A501="",E$24=""),"",IF(COUNTIFS('AFA Rates'!$A$5:$A$1004,$A501,'AFA Rates'!$B$5:$B$1004,E$24)&gt;0,"✓",""))</f>
        <v/>
      </c>
      <c r="F501" s="57">
        <f>IF(OR($A501="",F$24=""),"",IF(COUNTIFS('AFA Rates'!$A$5:$A$1004,$A501,'AFA Rates'!$B$5:$B$1004,F$24)&gt;0,"✓",""))</f>
        <v/>
      </c>
      <c r="G501" s="57">
        <f>IF(OR($A501="",G$24=""),"",IF(COUNTIFS('AFA Rates'!$A$5:$A$1004,$A501,'AFA Rates'!$B$5:$B$1004,G$24)&gt;0,"✓",""))</f>
        <v/>
      </c>
      <c r="H501" s="57">
        <f>IF(OR($A501="",H$24=""),"",IF(COUNTIFS('AFA Rates'!$A$5:$A$1004,$A501,'AFA Rates'!$B$5:$B$1004,H$24)&gt;0,"✓",""))</f>
        <v/>
      </c>
      <c r="I501" s="57">
        <f>IF(OR($A501="",I$24=""),"",IF(COUNTIFS('AFA Rates'!$A$5:$A$1004,$A501,'AFA Rates'!$B$5:$B$1004,I$24)&gt;0,"✓",""))</f>
        <v/>
      </c>
      <c r="J501" s="57">
        <f>IF(OR($A501="",J$24=""),"",IF(COUNTIFS('AFA Rates'!$A$5:$A$1004,$A501,'AFA Rates'!$B$5:$B$1004,J$24)&gt;0,"✓",""))</f>
        <v/>
      </c>
      <c r="K501" s="57">
        <f>IF(OR($A501="",K$24=""),"",IF(COUNTIFS('AFA Rates'!$A$5:$A$1004,$A501,'AFA Rates'!$B$5:$B$1004,K$24)&gt;0,"✓",""))</f>
        <v/>
      </c>
      <c r="L501" s="57">
        <f>IF(OR($A501="",L$24=""),"",IF(COUNTIFS('AFA Rates'!$A$5:$A$1004,$A501,'AFA Rates'!$B$5:$B$1004,L$24)&gt;0,"✓",""))</f>
        <v/>
      </c>
      <c r="M501" s="57">
        <f>IF(OR($A501="",M$24=""),"",IF(COUNTIFS('AFA Rates'!$A$5:$A$1004,$A501,'AFA Rates'!$B$5:$B$1004,M$24)&gt;0,"✓",""))</f>
        <v/>
      </c>
    </row>
    <row r="502">
      <c r="A502" s="63">
        <f>IFERROR(INDEX(Firms!$A$5:$A$1004,MATCH(478,Firms!$S$5:$S$1004,0)),"")</f>
        <v/>
      </c>
      <c r="B502" s="57">
        <f>IF($A502="","",INDEX(Firms!$B$5:$B$1004,MATCH(478,Firms!$S$5:$S$1004,0)))</f>
        <v/>
      </c>
      <c r="C502" s="57">
        <f>IF($A502="","",COUNTIF('AFA Rates'!$A$5:$A$1004,$A502))</f>
        <v/>
      </c>
      <c r="D502" s="57">
        <f>IF(OR($A502="",D$24=""),"",IF(COUNTIFS('AFA Rates'!$A$5:$A$1004,$A502,'AFA Rates'!$B$5:$B$1004,D$24)&gt;0,"✓",""))</f>
        <v/>
      </c>
      <c r="E502" s="57">
        <f>IF(OR($A502="",E$24=""),"",IF(COUNTIFS('AFA Rates'!$A$5:$A$1004,$A502,'AFA Rates'!$B$5:$B$1004,E$24)&gt;0,"✓",""))</f>
        <v/>
      </c>
      <c r="F502" s="57">
        <f>IF(OR($A502="",F$24=""),"",IF(COUNTIFS('AFA Rates'!$A$5:$A$1004,$A502,'AFA Rates'!$B$5:$B$1004,F$24)&gt;0,"✓",""))</f>
        <v/>
      </c>
      <c r="G502" s="57">
        <f>IF(OR($A502="",G$24=""),"",IF(COUNTIFS('AFA Rates'!$A$5:$A$1004,$A502,'AFA Rates'!$B$5:$B$1004,G$24)&gt;0,"✓",""))</f>
        <v/>
      </c>
      <c r="H502" s="57">
        <f>IF(OR($A502="",H$24=""),"",IF(COUNTIFS('AFA Rates'!$A$5:$A$1004,$A502,'AFA Rates'!$B$5:$B$1004,H$24)&gt;0,"✓",""))</f>
        <v/>
      </c>
      <c r="I502" s="57">
        <f>IF(OR($A502="",I$24=""),"",IF(COUNTIFS('AFA Rates'!$A$5:$A$1004,$A502,'AFA Rates'!$B$5:$B$1004,I$24)&gt;0,"✓",""))</f>
        <v/>
      </c>
      <c r="J502" s="57">
        <f>IF(OR($A502="",J$24=""),"",IF(COUNTIFS('AFA Rates'!$A$5:$A$1004,$A502,'AFA Rates'!$B$5:$B$1004,J$24)&gt;0,"✓",""))</f>
        <v/>
      </c>
      <c r="K502" s="57">
        <f>IF(OR($A502="",K$24=""),"",IF(COUNTIFS('AFA Rates'!$A$5:$A$1004,$A502,'AFA Rates'!$B$5:$B$1004,K$24)&gt;0,"✓",""))</f>
        <v/>
      </c>
      <c r="L502" s="57">
        <f>IF(OR($A502="",L$24=""),"",IF(COUNTIFS('AFA Rates'!$A$5:$A$1004,$A502,'AFA Rates'!$B$5:$B$1004,L$24)&gt;0,"✓",""))</f>
        <v/>
      </c>
      <c r="M502" s="57">
        <f>IF(OR($A502="",M$24=""),"",IF(COUNTIFS('AFA Rates'!$A$5:$A$1004,$A502,'AFA Rates'!$B$5:$B$1004,M$24)&gt;0,"✓",""))</f>
        <v/>
      </c>
    </row>
    <row r="503">
      <c r="A503" s="63">
        <f>IFERROR(INDEX(Firms!$A$5:$A$1004,MATCH(479,Firms!$S$5:$S$1004,0)),"")</f>
        <v/>
      </c>
      <c r="B503" s="57">
        <f>IF($A503="","",INDEX(Firms!$B$5:$B$1004,MATCH(479,Firms!$S$5:$S$1004,0)))</f>
        <v/>
      </c>
      <c r="C503" s="57">
        <f>IF($A503="","",COUNTIF('AFA Rates'!$A$5:$A$1004,$A503))</f>
        <v/>
      </c>
      <c r="D503" s="57">
        <f>IF(OR($A503="",D$24=""),"",IF(COUNTIFS('AFA Rates'!$A$5:$A$1004,$A503,'AFA Rates'!$B$5:$B$1004,D$24)&gt;0,"✓",""))</f>
        <v/>
      </c>
      <c r="E503" s="57">
        <f>IF(OR($A503="",E$24=""),"",IF(COUNTIFS('AFA Rates'!$A$5:$A$1004,$A503,'AFA Rates'!$B$5:$B$1004,E$24)&gt;0,"✓",""))</f>
        <v/>
      </c>
      <c r="F503" s="57">
        <f>IF(OR($A503="",F$24=""),"",IF(COUNTIFS('AFA Rates'!$A$5:$A$1004,$A503,'AFA Rates'!$B$5:$B$1004,F$24)&gt;0,"✓",""))</f>
        <v/>
      </c>
      <c r="G503" s="57">
        <f>IF(OR($A503="",G$24=""),"",IF(COUNTIFS('AFA Rates'!$A$5:$A$1004,$A503,'AFA Rates'!$B$5:$B$1004,G$24)&gt;0,"✓",""))</f>
        <v/>
      </c>
      <c r="H503" s="57">
        <f>IF(OR($A503="",H$24=""),"",IF(COUNTIFS('AFA Rates'!$A$5:$A$1004,$A503,'AFA Rates'!$B$5:$B$1004,H$24)&gt;0,"✓",""))</f>
        <v/>
      </c>
      <c r="I503" s="57">
        <f>IF(OR($A503="",I$24=""),"",IF(COUNTIFS('AFA Rates'!$A$5:$A$1004,$A503,'AFA Rates'!$B$5:$B$1004,I$24)&gt;0,"✓",""))</f>
        <v/>
      </c>
      <c r="J503" s="57">
        <f>IF(OR($A503="",J$24=""),"",IF(COUNTIFS('AFA Rates'!$A$5:$A$1004,$A503,'AFA Rates'!$B$5:$B$1004,J$24)&gt;0,"✓",""))</f>
        <v/>
      </c>
      <c r="K503" s="57">
        <f>IF(OR($A503="",K$24=""),"",IF(COUNTIFS('AFA Rates'!$A$5:$A$1004,$A503,'AFA Rates'!$B$5:$B$1004,K$24)&gt;0,"✓",""))</f>
        <v/>
      </c>
      <c r="L503" s="57">
        <f>IF(OR($A503="",L$24=""),"",IF(COUNTIFS('AFA Rates'!$A$5:$A$1004,$A503,'AFA Rates'!$B$5:$B$1004,L$24)&gt;0,"✓",""))</f>
        <v/>
      </c>
      <c r="M503" s="57">
        <f>IF(OR($A503="",M$24=""),"",IF(COUNTIFS('AFA Rates'!$A$5:$A$1004,$A503,'AFA Rates'!$B$5:$B$1004,M$24)&gt;0,"✓",""))</f>
        <v/>
      </c>
    </row>
    <row r="504">
      <c r="A504" s="63">
        <f>IFERROR(INDEX(Firms!$A$5:$A$1004,MATCH(480,Firms!$S$5:$S$1004,0)),"")</f>
        <v/>
      </c>
      <c r="B504" s="57">
        <f>IF($A504="","",INDEX(Firms!$B$5:$B$1004,MATCH(480,Firms!$S$5:$S$1004,0)))</f>
        <v/>
      </c>
      <c r="C504" s="57">
        <f>IF($A504="","",COUNTIF('AFA Rates'!$A$5:$A$1004,$A504))</f>
        <v/>
      </c>
      <c r="D504" s="57">
        <f>IF(OR($A504="",D$24=""),"",IF(COUNTIFS('AFA Rates'!$A$5:$A$1004,$A504,'AFA Rates'!$B$5:$B$1004,D$24)&gt;0,"✓",""))</f>
        <v/>
      </c>
      <c r="E504" s="57">
        <f>IF(OR($A504="",E$24=""),"",IF(COUNTIFS('AFA Rates'!$A$5:$A$1004,$A504,'AFA Rates'!$B$5:$B$1004,E$24)&gt;0,"✓",""))</f>
        <v/>
      </c>
      <c r="F504" s="57">
        <f>IF(OR($A504="",F$24=""),"",IF(COUNTIFS('AFA Rates'!$A$5:$A$1004,$A504,'AFA Rates'!$B$5:$B$1004,F$24)&gt;0,"✓",""))</f>
        <v/>
      </c>
      <c r="G504" s="57">
        <f>IF(OR($A504="",G$24=""),"",IF(COUNTIFS('AFA Rates'!$A$5:$A$1004,$A504,'AFA Rates'!$B$5:$B$1004,G$24)&gt;0,"✓",""))</f>
        <v/>
      </c>
      <c r="H504" s="57">
        <f>IF(OR($A504="",H$24=""),"",IF(COUNTIFS('AFA Rates'!$A$5:$A$1004,$A504,'AFA Rates'!$B$5:$B$1004,H$24)&gt;0,"✓",""))</f>
        <v/>
      </c>
      <c r="I504" s="57">
        <f>IF(OR($A504="",I$24=""),"",IF(COUNTIFS('AFA Rates'!$A$5:$A$1004,$A504,'AFA Rates'!$B$5:$B$1004,I$24)&gt;0,"✓",""))</f>
        <v/>
      </c>
      <c r="J504" s="57">
        <f>IF(OR($A504="",J$24=""),"",IF(COUNTIFS('AFA Rates'!$A$5:$A$1004,$A504,'AFA Rates'!$B$5:$B$1004,J$24)&gt;0,"✓",""))</f>
        <v/>
      </c>
      <c r="K504" s="57">
        <f>IF(OR($A504="",K$24=""),"",IF(COUNTIFS('AFA Rates'!$A$5:$A$1004,$A504,'AFA Rates'!$B$5:$B$1004,K$24)&gt;0,"✓",""))</f>
        <v/>
      </c>
      <c r="L504" s="57">
        <f>IF(OR($A504="",L$24=""),"",IF(COUNTIFS('AFA Rates'!$A$5:$A$1004,$A504,'AFA Rates'!$B$5:$B$1004,L$24)&gt;0,"✓",""))</f>
        <v/>
      </c>
      <c r="M504" s="57">
        <f>IF(OR($A504="",M$24=""),"",IF(COUNTIFS('AFA Rates'!$A$5:$A$1004,$A504,'AFA Rates'!$B$5:$B$1004,M$24)&gt;0,"✓",""))</f>
        <v/>
      </c>
    </row>
    <row r="505">
      <c r="A505" s="63">
        <f>IFERROR(INDEX(Firms!$A$5:$A$1004,MATCH(481,Firms!$S$5:$S$1004,0)),"")</f>
        <v/>
      </c>
      <c r="B505" s="57">
        <f>IF($A505="","",INDEX(Firms!$B$5:$B$1004,MATCH(481,Firms!$S$5:$S$1004,0)))</f>
        <v/>
      </c>
      <c r="C505" s="57">
        <f>IF($A505="","",COUNTIF('AFA Rates'!$A$5:$A$1004,$A505))</f>
        <v/>
      </c>
      <c r="D505" s="57">
        <f>IF(OR($A505="",D$24=""),"",IF(COUNTIFS('AFA Rates'!$A$5:$A$1004,$A505,'AFA Rates'!$B$5:$B$1004,D$24)&gt;0,"✓",""))</f>
        <v/>
      </c>
      <c r="E505" s="57">
        <f>IF(OR($A505="",E$24=""),"",IF(COUNTIFS('AFA Rates'!$A$5:$A$1004,$A505,'AFA Rates'!$B$5:$B$1004,E$24)&gt;0,"✓",""))</f>
        <v/>
      </c>
      <c r="F505" s="57">
        <f>IF(OR($A505="",F$24=""),"",IF(COUNTIFS('AFA Rates'!$A$5:$A$1004,$A505,'AFA Rates'!$B$5:$B$1004,F$24)&gt;0,"✓",""))</f>
        <v/>
      </c>
      <c r="G505" s="57">
        <f>IF(OR($A505="",G$24=""),"",IF(COUNTIFS('AFA Rates'!$A$5:$A$1004,$A505,'AFA Rates'!$B$5:$B$1004,G$24)&gt;0,"✓",""))</f>
        <v/>
      </c>
      <c r="H505" s="57">
        <f>IF(OR($A505="",H$24=""),"",IF(COUNTIFS('AFA Rates'!$A$5:$A$1004,$A505,'AFA Rates'!$B$5:$B$1004,H$24)&gt;0,"✓",""))</f>
        <v/>
      </c>
      <c r="I505" s="57">
        <f>IF(OR($A505="",I$24=""),"",IF(COUNTIFS('AFA Rates'!$A$5:$A$1004,$A505,'AFA Rates'!$B$5:$B$1004,I$24)&gt;0,"✓",""))</f>
        <v/>
      </c>
      <c r="J505" s="57">
        <f>IF(OR($A505="",J$24=""),"",IF(COUNTIFS('AFA Rates'!$A$5:$A$1004,$A505,'AFA Rates'!$B$5:$B$1004,J$24)&gt;0,"✓",""))</f>
        <v/>
      </c>
      <c r="K505" s="57">
        <f>IF(OR($A505="",K$24=""),"",IF(COUNTIFS('AFA Rates'!$A$5:$A$1004,$A505,'AFA Rates'!$B$5:$B$1004,K$24)&gt;0,"✓",""))</f>
        <v/>
      </c>
      <c r="L505" s="57">
        <f>IF(OR($A505="",L$24=""),"",IF(COUNTIFS('AFA Rates'!$A$5:$A$1004,$A505,'AFA Rates'!$B$5:$B$1004,L$24)&gt;0,"✓",""))</f>
        <v/>
      </c>
      <c r="M505" s="57">
        <f>IF(OR($A505="",M$24=""),"",IF(COUNTIFS('AFA Rates'!$A$5:$A$1004,$A505,'AFA Rates'!$B$5:$B$1004,M$24)&gt;0,"✓",""))</f>
        <v/>
      </c>
    </row>
    <row r="506">
      <c r="A506" s="63">
        <f>IFERROR(INDEX(Firms!$A$5:$A$1004,MATCH(482,Firms!$S$5:$S$1004,0)),"")</f>
        <v/>
      </c>
      <c r="B506" s="57">
        <f>IF($A506="","",INDEX(Firms!$B$5:$B$1004,MATCH(482,Firms!$S$5:$S$1004,0)))</f>
        <v/>
      </c>
      <c r="C506" s="57">
        <f>IF($A506="","",COUNTIF('AFA Rates'!$A$5:$A$1004,$A506))</f>
        <v/>
      </c>
      <c r="D506" s="57">
        <f>IF(OR($A506="",D$24=""),"",IF(COUNTIFS('AFA Rates'!$A$5:$A$1004,$A506,'AFA Rates'!$B$5:$B$1004,D$24)&gt;0,"✓",""))</f>
        <v/>
      </c>
      <c r="E506" s="57">
        <f>IF(OR($A506="",E$24=""),"",IF(COUNTIFS('AFA Rates'!$A$5:$A$1004,$A506,'AFA Rates'!$B$5:$B$1004,E$24)&gt;0,"✓",""))</f>
        <v/>
      </c>
      <c r="F506" s="57">
        <f>IF(OR($A506="",F$24=""),"",IF(COUNTIFS('AFA Rates'!$A$5:$A$1004,$A506,'AFA Rates'!$B$5:$B$1004,F$24)&gt;0,"✓",""))</f>
        <v/>
      </c>
      <c r="G506" s="57">
        <f>IF(OR($A506="",G$24=""),"",IF(COUNTIFS('AFA Rates'!$A$5:$A$1004,$A506,'AFA Rates'!$B$5:$B$1004,G$24)&gt;0,"✓",""))</f>
        <v/>
      </c>
      <c r="H506" s="57">
        <f>IF(OR($A506="",H$24=""),"",IF(COUNTIFS('AFA Rates'!$A$5:$A$1004,$A506,'AFA Rates'!$B$5:$B$1004,H$24)&gt;0,"✓",""))</f>
        <v/>
      </c>
      <c r="I506" s="57">
        <f>IF(OR($A506="",I$24=""),"",IF(COUNTIFS('AFA Rates'!$A$5:$A$1004,$A506,'AFA Rates'!$B$5:$B$1004,I$24)&gt;0,"✓",""))</f>
        <v/>
      </c>
      <c r="J506" s="57">
        <f>IF(OR($A506="",J$24=""),"",IF(COUNTIFS('AFA Rates'!$A$5:$A$1004,$A506,'AFA Rates'!$B$5:$B$1004,J$24)&gt;0,"✓",""))</f>
        <v/>
      </c>
      <c r="K506" s="57">
        <f>IF(OR($A506="",K$24=""),"",IF(COUNTIFS('AFA Rates'!$A$5:$A$1004,$A506,'AFA Rates'!$B$5:$B$1004,K$24)&gt;0,"✓",""))</f>
        <v/>
      </c>
      <c r="L506" s="57">
        <f>IF(OR($A506="",L$24=""),"",IF(COUNTIFS('AFA Rates'!$A$5:$A$1004,$A506,'AFA Rates'!$B$5:$B$1004,L$24)&gt;0,"✓",""))</f>
        <v/>
      </c>
      <c r="M506" s="57">
        <f>IF(OR($A506="",M$24=""),"",IF(COUNTIFS('AFA Rates'!$A$5:$A$1004,$A506,'AFA Rates'!$B$5:$B$1004,M$24)&gt;0,"✓",""))</f>
        <v/>
      </c>
    </row>
    <row r="507">
      <c r="A507" s="63">
        <f>IFERROR(INDEX(Firms!$A$5:$A$1004,MATCH(483,Firms!$S$5:$S$1004,0)),"")</f>
        <v/>
      </c>
      <c r="B507" s="57">
        <f>IF($A507="","",INDEX(Firms!$B$5:$B$1004,MATCH(483,Firms!$S$5:$S$1004,0)))</f>
        <v/>
      </c>
      <c r="C507" s="57">
        <f>IF($A507="","",COUNTIF('AFA Rates'!$A$5:$A$1004,$A507))</f>
        <v/>
      </c>
      <c r="D507" s="57">
        <f>IF(OR($A507="",D$24=""),"",IF(COUNTIFS('AFA Rates'!$A$5:$A$1004,$A507,'AFA Rates'!$B$5:$B$1004,D$24)&gt;0,"✓",""))</f>
        <v/>
      </c>
      <c r="E507" s="57">
        <f>IF(OR($A507="",E$24=""),"",IF(COUNTIFS('AFA Rates'!$A$5:$A$1004,$A507,'AFA Rates'!$B$5:$B$1004,E$24)&gt;0,"✓",""))</f>
        <v/>
      </c>
      <c r="F507" s="57">
        <f>IF(OR($A507="",F$24=""),"",IF(COUNTIFS('AFA Rates'!$A$5:$A$1004,$A507,'AFA Rates'!$B$5:$B$1004,F$24)&gt;0,"✓",""))</f>
        <v/>
      </c>
      <c r="G507" s="57">
        <f>IF(OR($A507="",G$24=""),"",IF(COUNTIFS('AFA Rates'!$A$5:$A$1004,$A507,'AFA Rates'!$B$5:$B$1004,G$24)&gt;0,"✓",""))</f>
        <v/>
      </c>
      <c r="H507" s="57">
        <f>IF(OR($A507="",H$24=""),"",IF(COUNTIFS('AFA Rates'!$A$5:$A$1004,$A507,'AFA Rates'!$B$5:$B$1004,H$24)&gt;0,"✓",""))</f>
        <v/>
      </c>
      <c r="I507" s="57">
        <f>IF(OR($A507="",I$24=""),"",IF(COUNTIFS('AFA Rates'!$A$5:$A$1004,$A507,'AFA Rates'!$B$5:$B$1004,I$24)&gt;0,"✓",""))</f>
        <v/>
      </c>
      <c r="J507" s="57">
        <f>IF(OR($A507="",J$24=""),"",IF(COUNTIFS('AFA Rates'!$A$5:$A$1004,$A507,'AFA Rates'!$B$5:$B$1004,J$24)&gt;0,"✓",""))</f>
        <v/>
      </c>
      <c r="K507" s="57">
        <f>IF(OR($A507="",K$24=""),"",IF(COUNTIFS('AFA Rates'!$A$5:$A$1004,$A507,'AFA Rates'!$B$5:$B$1004,K$24)&gt;0,"✓",""))</f>
        <v/>
      </c>
      <c r="L507" s="57">
        <f>IF(OR($A507="",L$24=""),"",IF(COUNTIFS('AFA Rates'!$A$5:$A$1004,$A507,'AFA Rates'!$B$5:$B$1004,L$24)&gt;0,"✓",""))</f>
        <v/>
      </c>
      <c r="M507" s="57">
        <f>IF(OR($A507="",M$24=""),"",IF(COUNTIFS('AFA Rates'!$A$5:$A$1004,$A507,'AFA Rates'!$B$5:$B$1004,M$24)&gt;0,"✓",""))</f>
        <v/>
      </c>
    </row>
    <row r="508">
      <c r="A508" s="63">
        <f>IFERROR(INDEX(Firms!$A$5:$A$1004,MATCH(484,Firms!$S$5:$S$1004,0)),"")</f>
        <v/>
      </c>
      <c r="B508" s="57">
        <f>IF($A508="","",INDEX(Firms!$B$5:$B$1004,MATCH(484,Firms!$S$5:$S$1004,0)))</f>
        <v/>
      </c>
      <c r="C508" s="57">
        <f>IF($A508="","",COUNTIF('AFA Rates'!$A$5:$A$1004,$A508))</f>
        <v/>
      </c>
      <c r="D508" s="57">
        <f>IF(OR($A508="",D$24=""),"",IF(COUNTIFS('AFA Rates'!$A$5:$A$1004,$A508,'AFA Rates'!$B$5:$B$1004,D$24)&gt;0,"✓",""))</f>
        <v/>
      </c>
      <c r="E508" s="57">
        <f>IF(OR($A508="",E$24=""),"",IF(COUNTIFS('AFA Rates'!$A$5:$A$1004,$A508,'AFA Rates'!$B$5:$B$1004,E$24)&gt;0,"✓",""))</f>
        <v/>
      </c>
      <c r="F508" s="57">
        <f>IF(OR($A508="",F$24=""),"",IF(COUNTIFS('AFA Rates'!$A$5:$A$1004,$A508,'AFA Rates'!$B$5:$B$1004,F$24)&gt;0,"✓",""))</f>
        <v/>
      </c>
      <c r="G508" s="57">
        <f>IF(OR($A508="",G$24=""),"",IF(COUNTIFS('AFA Rates'!$A$5:$A$1004,$A508,'AFA Rates'!$B$5:$B$1004,G$24)&gt;0,"✓",""))</f>
        <v/>
      </c>
      <c r="H508" s="57">
        <f>IF(OR($A508="",H$24=""),"",IF(COUNTIFS('AFA Rates'!$A$5:$A$1004,$A508,'AFA Rates'!$B$5:$B$1004,H$24)&gt;0,"✓",""))</f>
        <v/>
      </c>
      <c r="I508" s="57">
        <f>IF(OR($A508="",I$24=""),"",IF(COUNTIFS('AFA Rates'!$A$5:$A$1004,$A508,'AFA Rates'!$B$5:$B$1004,I$24)&gt;0,"✓",""))</f>
        <v/>
      </c>
      <c r="J508" s="57">
        <f>IF(OR($A508="",J$24=""),"",IF(COUNTIFS('AFA Rates'!$A$5:$A$1004,$A508,'AFA Rates'!$B$5:$B$1004,J$24)&gt;0,"✓",""))</f>
        <v/>
      </c>
      <c r="K508" s="57">
        <f>IF(OR($A508="",K$24=""),"",IF(COUNTIFS('AFA Rates'!$A$5:$A$1004,$A508,'AFA Rates'!$B$5:$B$1004,K$24)&gt;0,"✓",""))</f>
        <v/>
      </c>
      <c r="L508" s="57">
        <f>IF(OR($A508="",L$24=""),"",IF(COUNTIFS('AFA Rates'!$A$5:$A$1004,$A508,'AFA Rates'!$B$5:$B$1004,L$24)&gt;0,"✓",""))</f>
        <v/>
      </c>
      <c r="M508" s="57">
        <f>IF(OR($A508="",M$24=""),"",IF(COUNTIFS('AFA Rates'!$A$5:$A$1004,$A508,'AFA Rates'!$B$5:$B$1004,M$24)&gt;0,"✓",""))</f>
        <v/>
      </c>
    </row>
    <row r="509">
      <c r="A509" s="63">
        <f>IFERROR(INDEX(Firms!$A$5:$A$1004,MATCH(485,Firms!$S$5:$S$1004,0)),"")</f>
        <v/>
      </c>
      <c r="B509" s="57">
        <f>IF($A509="","",INDEX(Firms!$B$5:$B$1004,MATCH(485,Firms!$S$5:$S$1004,0)))</f>
        <v/>
      </c>
      <c r="C509" s="57">
        <f>IF($A509="","",COUNTIF('AFA Rates'!$A$5:$A$1004,$A509))</f>
        <v/>
      </c>
      <c r="D509" s="57">
        <f>IF(OR($A509="",D$24=""),"",IF(COUNTIFS('AFA Rates'!$A$5:$A$1004,$A509,'AFA Rates'!$B$5:$B$1004,D$24)&gt;0,"✓",""))</f>
        <v/>
      </c>
      <c r="E509" s="57">
        <f>IF(OR($A509="",E$24=""),"",IF(COUNTIFS('AFA Rates'!$A$5:$A$1004,$A509,'AFA Rates'!$B$5:$B$1004,E$24)&gt;0,"✓",""))</f>
        <v/>
      </c>
      <c r="F509" s="57">
        <f>IF(OR($A509="",F$24=""),"",IF(COUNTIFS('AFA Rates'!$A$5:$A$1004,$A509,'AFA Rates'!$B$5:$B$1004,F$24)&gt;0,"✓",""))</f>
        <v/>
      </c>
      <c r="G509" s="57">
        <f>IF(OR($A509="",G$24=""),"",IF(COUNTIFS('AFA Rates'!$A$5:$A$1004,$A509,'AFA Rates'!$B$5:$B$1004,G$24)&gt;0,"✓",""))</f>
        <v/>
      </c>
      <c r="H509" s="57">
        <f>IF(OR($A509="",H$24=""),"",IF(COUNTIFS('AFA Rates'!$A$5:$A$1004,$A509,'AFA Rates'!$B$5:$B$1004,H$24)&gt;0,"✓",""))</f>
        <v/>
      </c>
      <c r="I509" s="57">
        <f>IF(OR($A509="",I$24=""),"",IF(COUNTIFS('AFA Rates'!$A$5:$A$1004,$A509,'AFA Rates'!$B$5:$B$1004,I$24)&gt;0,"✓",""))</f>
        <v/>
      </c>
      <c r="J509" s="57">
        <f>IF(OR($A509="",J$24=""),"",IF(COUNTIFS('AFA Rates'!$A$5:$A$1004,$A509,'AFA Rates'!$B$5:$B$1004,J$24)&gt;0,"✓",""))</f>
        <v/>
      </c>
      <c r="K509" s="57">
        <f>IF(OR($A509="",K$24=""),"",IF(COUNTIFS('AFA Rates'!$A$5:$A$1004,$A509,'AFA Rates'!$B$5:$B$1004,K$24)&gt;0,"✓",""))</f>
        <v/>
      </c>
      <c r="L509" s="57">
        <f>IF(OR($A509="",L$24=""),"",IF(COUNTIFS('AFA Rates'!$A$5:$A$1004,$A509,'AFA Rates'!$B$5:$B$1004,L$24)&gt;0,"✓",""))</f>
        <v/>
      </c>
      <c r="M509" s="57">
        <f>IF(OR($A509="",M$24=""),"",IF(COUNTIFS('AFA Rates'!$A$5:$A$1004,$A509,'AFA Rates'!$B$5:$B$1004,M$24)&gt;0,"✓",""))</f>
        <v/>
      </c>
    </row>
    <row r="510">
      <c r="A510" s="63">
        <f>IFERROR(INDEX(Firms!$A$5:$A$1004,MATCH(486,Firms!$S$5:$S$1004,0)),"")</f>
        <v/>
      </c>
      <c r="B510" s="57">
        <f>IF($A510="","",INDEX(Firms!$B$5:$B$1004,MATCH(486,Firms!$S$5:$S$1004,0)))</f>
        <v/>
      </c>
      <c r="C510" s="57">
        <f>IF($A510="","",COUNTIF('AFA Rates'!$A$5:$A$1004,$A510))</f>
        <v/>
      </c>
      <c r="D510" s="57">
        <f>IF(OR($A510="",D$24=""),"",IF(COUNTIFS('AFA Rates'!$A$5:$A$1004,$A510,'AFA Rates'!$B$5:$B$1004,D$24)&gt;0,"✓",""))</f>
        <v/>
      </c>
      <c r="E510" s="57">
        <f>IF(OR($A510="",E$24=""),"",IF(COUNTIFS('AFA Rates'!$A$5:$A$1004,$A510,'AFA Rates'!$B$5:$B$1004,E$24)&gt;0,"✓",""))</f>
        <v/>
      </c>
      <c r="F510" s="57">
        <f>IF(OR($A510="",F$24=""),"",IF(COUNTIFS('AFA Rates'!$A$5:$A$1004,$A510,'AFA Rates'!$B$5:$B$1004,F$24)&gt;0,"✓",""))</f>
        <v/>
      </c>
      <c r="G510" s="57">
        <f>IF(OR($A510="",G$24=""),"",IF(COUNTIFS('AFA Rates'!$A$5:$A$1004,$A510,'AFA Rates'!$B$5:$B$1004,G$24)&gt;0,"✓",""))</f>
        <v/>
      </c>
      <c r="H510" s="57">
        <f>IF(OR($A510="",H$24=""),"",IF(COUNTIFS('AFA Rates'!$A$5:$A$1004,$A510,'AFA Rates'!$B$5:$B$1004,H$24)&gt;0,"✓",""))</f>
        <v/>
      </c>
      <c r="I510" s="57">
        <f>IF(OR($A510="",I$24=""),"",IF(COUNTIFS('AFA Rates'!$A$5:$A$1004,$A510,'AFA Rates'!$B$5:$B$1004,I$24)&gt;0,"✓",""))</f>
        <v/>
      </c>
      <c r="J510" s="57">
        <f>IF(OR($A510="",J$24=""),"",IF(COUNTIFS('AFA Rates'!$A$5:$A$1004,$A510,'AFA Rates'!$B$5:$B$1004,J$24)&gt;0,"✓",""))</f>
        <v/>
      </c>
      <c r="K510" s="57">
        <f>IF(OR($A510="",K$24=""),"",IF(COUNTIFS('AFA Rates'!$A$5:$A$1004,$A510,'AFA Rates'!$B$5:$B$1004,K$24)&gt;0,"✓",""))</f>
        <v/>
      </c>
      <c r="L510" s="57">
        <f>IF(OR($A510="",L$24=""),"",IF(COUNTIFS('AFA Rates'!$A$5:$A$1004,$A510,'AFA Rates'!$B$5:$B$1004,L$24)&gt;0,"✓",""))</f>
        <v/>
      </c>
      <c r="M510" s="57">
        <f>IF(OR($A510="",M$24=""),"",IF(COUNTIFS('AFA Rates'!$A$5:$A$1004,$A510,'AFA Rates'!$B$5:$B$1004,M$24)&gt;0,"✓",""))</f>
        <v/>
      </c>
    </row>
    <row r="511">
      <c r="A511" s="63">
        <f>IFERROR(INDEX(Firms!$A$5:$A$1004,MATCH(487,Firms!$S$5:$S$1004,0)),"")</f>
        <v/>
      </c>
      <c r="B511" s="57">
        <f>IF($A511="","",INDEX(Firms!$B$5:$B$1004,MATCH(487,Firms!$S$5:$S$1004,0)))</f>
        <v/>
      </c>
      <c r="C511" s="57">
        <f>IF($A511="","",COUNTIF('AFA Rates'!$A$5:$A$1004,$A511))</f>
        <v/>
      </c>
      <c r="D511" s="57">
        <f>IF(OR($A511="",D$24=""),"",IF(COUNTIFS('AFA Rates'!$A$5:$A$1004,$A511,'AFA Rates'!$B$5:$B$1004,D$24)&gt;0,"✓",""))</f>
        <v/>
      </c>
      <c r="E511" s="57">
        <f>IF(OR($A511="",E$24=""),"",IF(COUNTIFS('AFA Rates'!$A$5:$A$1004,$A511,'AFA Rates'!$B$5:$B$1004,E$24)&gt;0,"✓",""))</f>
        <v/>
      </c>
      <c r="F511" s="57">
        <f>IF(OR($A511="",F$24=""),"",IF(COUNTIFS('AFA Rates'!$A$5:$A$1004,$A511,'AFA Rates'!$B$5:$B$1004,F$24)&gt;0,"✓",""))</f>
        <v/>
      </c>
      <c r="G511" s="57">
        <f>IF(OR($A511="",G$24=""),"",IF(COUNTIFS('AFA Rates'!$A$5:$A$1004,$A511,'AFA Rates'!$B$5:$B$1004,G$24)&gt;0,"✓",""))</f>
        <v/>
      </c>
      <c r="H511" s="57">
        <f>IF(OR($A511="",H$24=""),"",IF(COUNTIFS('AFA Rates'!$A$5:$A$1004,$A511,'AFA Rates'!$B$5:$B$1004,H$24)&gt;0,"✓",""))</f>
        <v/>
      </c>
      <c r="I511" s="57">
        <f>IF(OR($A511="",I$24=""),"",IF(COUNTIFS('AFA Rates'!$A$5:$A$1004,$A511,'AFA Rates'!$B$5:$B$1004,I$24)&gt;0,"✓",""))</f>
        <v/>
      </c>
      <c r="J511" s="57">
        <f>IF(OR($A511="",J$24=""),"",IF(COUNTIFS('AFA Rates'!$A$5:$A$1004,$A511,'AFA Rates'!$B$5:$B$1004,J$24)&gt;0,"✓",""))</f>
        <v/>
      </c>
      <c r="K511" s="57">
        <f>IF(OR($A511="",K$24=""),"",IF(COUNTIFS('AFA Rates'!$A$5:$A$1004,$A511,'AFA Rates'!$B$5:$B$1004,K$24)&gt;0,"✓",""))</f>
        <v/>
      </c>
      <c r="L511" s="57">
        <f>IF(OR($A511="",L$24=""),"",IF(COUNTIFS('AFA Rates'!$A$5:$A$1004,$A511,'AFA Rates'!$B$5:$B$1004,L$24)&gt;0,"✓",""))</f>
        <v/>
      </c>
      <c r="M511" s="57">
        <f>IF(OR($A511="",M$24=""),"",IF(COUNTIFS('AFA Rates'!$A$5:$A$1004,$A511,'AFA Rates'!$B$5:$B$1004,M$24)&gt;0,"✓",""))</f>
        <v/>
      </c>
    </row>
    <row r="512">
      <c r="A512" s="63">
        <f>IFERROR(INDEX(Firms!$A$5:$A$1004,MATCH(488,Firms!$S$5:$S$1004,0)),"")</f>
        <v/>
      </c>
      <c r="B512" s="57">
        <f>IF($A512="","",INDEX(Firms!$B$5:$B$1004,MATCH(488,Firms!$S$5:$S$1004,0)))</f>
        <v/>
      </c>
      <c r="C512" s="57">
        <f>IF($A512="","",COUNTIF('AFA Rates'!$A$5:$A$1004,$A512))</f>
        <v/>
      </c>
      <c r="D512" s="57">
        <f>IF(OR($A512="",D$24=""),"",IF(COUNTIFS('AFA Rates'!$A$5:$A$1004,$A512,'AFA Rates'!$B$5:$B$1004,D$24)&gt;0,"✓",""))</f>
        <v/>
      </c>
      <c r="E512" s="57">
        <f>IF(OR($A512="",E$24=""),"",IF(COUNTIFS('AFA Rates'!$A$5:$A$1004,$A512,'AFA Rates'!$B$5:$B$1004,E$24)&gt;0,"✓",""))</f>
        <v/>
      </c>
      <c r="F512" s="57">
        <f>IF(OR($A512="",F$24=""),"",IF(COUNTIFS('AFA Rates'!$A$5:$A$1004,$A512,'AFA Rates'!$B$5:$B$1004,F$24)&gt;0,"✓",""))</f>
        <v/>
      </c>
      <c r="G512" s="57">
        <f>IF(OR($A512="",G$24=""),"",IF(COUNTIFS('AFA Rates'!$A$5:$A$1004,$A512,'AFA Rates'!$B$5:$B$1004,G$24)&gt;0,"✓",""))</f>
        <v/>
      </c>
      <c r="H512" s="57">
        <f>IF(OR($A512="",H$24=""),"",IF(COUNTIFS('AFA Rates'!$A$5:$A$1004,$A512,'AFA Rates'!$B$5:$B$1004,H$24)&gt;0,"✓",""))</f>
        <v/>
      </c>
      <c r="I512" s="57">
        <f>IF(OR($A512="",I$24=""),"",IF(COUNTIFS('AFA Rates'!$A$5:$A$1004,$A512,'AFA Rates'!$B$5:$B$1004,I$24)&gt;0,"✓",""))</f>
        <v/>
      </c>
      <c r="J512" s="57">
        <f>IF(OR($A512="",J$24=""),"",IF(COUNTIFS('AFA Rates'!$A$5:$A$1004,$A512,'AFA Rates'!$B$5:$B$1004,J$24)&gt;0,"✓",""))</f>
        <v/>
      </c>
      <c r="K512" s="57">
        <f>IF(OR($A512="",K$24=""),"",IF(COUNTIFS('AFA Rates'!$A$5:$A$1004,$A512,'AFA Rates'!$B$5:$B$1004,K$24)&gt;0,"✓",""))</f>
        <v/>
      </c>
      <c r="L512" s="57">
        <f>IF(OR($A512="",L$24=""),"",IF(COUNTIFS('AFA Rates'!$A$5:$A$1004,$A512,'AFA Rates'!$B$5:$B$1004,L$24)&gt;0,"✓",""))</f>
        <v/>
      </c>
      <c r="M512" s="57">
        <f>IF(OR($A512="",M$24=""),"",IF(COUNTIFS('AFA Rates'!$A$5:$A$1004,$A512,'AFA Rates'!$B$5:$B$1004,M$24)&gt;0,"✓",""))</f>
        <v/>
      </c>
    </row>
    <row r="513">
      <c r="A513" s="63">
        <f>IFERROR(INDEX(Firms!$A$5:$A$1004,MATCH(489,Firms!$S$5:$S$1004,0)),"")</f>
        <v/>
      </c>
      <c r="B513" s="57">
        <f>IF($A513="","",INDEX(Firms!$B$5:$B$1004,MATCH(489,Firms!$S$5:$S$1004,0)))</f>
        <v/>
      </c>
      <c r="C513" s="57">
        <f>IF($A513="","",COUNTIF('AFA Rates'!$A$5:$A$1004,$A513))</f>
        <v/>
      </c>
      <c r="D513" s="57">
        <f>IF(OR($A513="",D$24=""),"",IF(COUNTIFS('AFA Rates'!$A$5:$A$1004,$A513,'AFA Rates'!$B$5:$B$1004,D$24)&gt;0,"✓",""))</f>
        <v/>
      </c>
      <c r="E513" s="57">
        <f>IF(OR($A513="",E$24=""),"",IF(COUNTIFS('AFA Rates'!$A$5:$A$1004,$A513,'AFA Rates'!$B$5:$B$1004,E$24)&gt;0,"✓",""))</f>
        <v/>
      </c>
      <c r="F513" s="57">
        <f>IF(OR($A513="",F$24=""),"",IF(COUNTIFS('AFA Rates'!$A$5:$A$1004,$A513,'AFA Rates'!$B$5:$B$1004,F$24)&gt;0,"✓",""))</f>
        <v/>
      </c>
      <c r="G513" s="57">
        <f>IF(OR($A513="",G$24=""),"",IF(COUNTIFS('AFA Rates'!$A$5:$A$1004,$A513,'AFA Rates'!$B$5:$B$1004,G$24)&gt;0,"✓",""))</f>
        <v/>
      </c>
      <c r="H513" s="57">
        <f>IF(OR($A513="",H$24=""),"",IF(COUNTIFS('AFA Rates'!$A$5:$A$1004,$A513,'AFA Rates'!$B$5:$B$1004,H$24)&gt;0,"✓",""))</f>
        <v/>
      </c>
      <c r="I513" s="57">
        <f>IF(OR($A513="",I$24=""),"",IF(COUNTIFS('AFA Rates'!$A$5:$A$1004,$A513,'AFA Rates'!$B$5:$B$1004,I$24)&gt;0,"✓",""))</f>
        <v/>
      </c>
      <c r="J513" s="57">
        <f>IF(OR($A513="",J$24=""),"",IF(COUNTIFS('AFA Rates'!$A$5:$A$1004,$A513,'AFA Rates'!$B$5:$B$1004,J$24)&gt;0,"✓",""))</f>
        <v/>
      </c>
      <c r="K513" s="57">
        <f>IF(OR($A513="",K$24=""),"",IF(COUNTIFS('AFA Rates'!$A$5:$A$1004,$A513,'AFA Rates'!$B$5:$B$1004,K$24)&gt;0,"✓",""))</f>
        <v/>
      </c>
      <c r="L513" s="57">
        <f>IF(OR($A513="",L$24=""),"",IF(COUNTIFS('AFA Rates'!$A$5:$A$1004,$A513,'AFA Rates'!$B$5:$B$1004,L$24)&gt;0,"✓",""))</f>
        <v/>
      </c>
      <c r="M513" s="57">
        <f>IF(OR($A513="",M$24=""),"",IF(COUNTIFS('AFA Rates'!$A$5:$A$1004,$A513,'AFA Rates'!$B$5:$B$1004,M$24)&gt;0,"✓",""))</f>
        <v/>
      </c>
    </row>
    <row r="514">
      <c r="A514" s="63">
        <f>IFERROR(INDEX(Firms!$A$5:$A$1004,MATCH(490,Firms!$S$5:$S$1004,0)),"")</f>
        <v/>
      </c>
      <c r="B514" s="57">
        <f>IF($A514="","",INDEX(Firms!$B$5:$B$1004,MATCH(490,Firms!$S$5:$S$1004,0)))</f>
        <v/>
      </c>
      <c r="C514" s="57">
        <f>IF($A514="","",COUNTIF('AFA Rates'!$A$5:$A$1004,$A514))</f>
        <v/>
      </c>
      <c r="D514" s="57">
        <f>IF(OR($A514="",D$24=""),"",IF(COUNTIFS('AFA Rates'!$A$5:$A$1004,$A514,'AFA Rates'!$B$5:$B$1004,D$24)&gt;0,"✓",""))</f>
        <v/>
      </c>
      <c r="E514" s="57">
        <f>IF(OR($A514="",E$24=""),"",IF(COUNTIFS('AFA Rates'!$A$5:$A$1004,$A514,'AFA Rates'!$B$5:$B$1004,E$24)&gt;0,"✓",""))</f>
        <v/>
      </c>
      <c r="F514" s="57">
        <f>IF(OR($A514="",F$24=""),"",IF(COUNTIFS('AFA Rates'!$A$5:$A$1004,$A514,'AFA Rates'!$B$5:$B$1004,F$24)&gt;0,"✓",""))</f>
        <v/>
      </c>
      <c r="G514" s="57">
        <f>IF(OR($A514="",G$24=""),"",IF(COUNTIFS('AFA Rates'!$A$5:$A$1004,$A514,'AFA Rates'!$B$5:$B$1004,G$24)&gt;0,"✓",""))</f>
        <v/>
      </c>
      <c r="H514" s="57">
        <f>IF(OR($A514="",H$24=""),"",IF(COUNTIFS('AFA Rates'!$A$5:$A$1004,$A514,'AFA Rates'!$B$5:$B$1004,H$24)&gt;0,"✓",""))</f>
        <v/>
      </c>
      <c r="I514" s="57">
        <f>IF(OR($A514="",I$24=""),"",IF(COUNTIFS('AFA Rates'!$A$5:$A$1004,$A514,'AFA Rates'!$B$5:$B$1004,I$24)&gt;0,"✓",""))</f>
        <v/>
      </c>
      <c r="J514" s="57">
        <f>IF(OR($A514="",J$24=""),"",IF(COUNTIFS('AFA Rates'!$A$5:$A$1004,$A514,'AFA Rates'!$B$5:$B$1004,J$24)&gt;0,"✓",""))</f>
        <v/>
      </c>
      <c r="K514" s="57">
        <f>IF(OR($A514="",K$24=""),"",IF(COUNTIFS('AFA Rates'!$A$5:$A$1004,$A514,'AFA Rates'!$B$5:$B$1004,K$24)&gt;0,"✓",""))</f>
        <v/>
      </c>
      <c r="L514" s="57">
        <f>IF(OR($A514="",L$24=""),"",IF(COUNTIFS('AFA Rates'!$A$5:$A$1004,$A514,'AFA Rates'!$B$5:$B$1004,L$24)&gt;0,"✓",""))</f>
        <v/>
      </c>
      <c r="M514" s="57">
        <f>IF(OR($A514="",M$24=""),"",IF(COUNTIFS('AFA Rates'!$A$5:$A$1004,$A514,'AFA Rates'!$B$5:$B$1004,M$24)&gt;0,"✓",""))</f>
        <v/>
      </c>
    </row>
    <row r="515">
      <c r="A515" s="63">
        <f>IFERROR(INDEX(Firms!$A$5:$A$1004,MATCH(491,Firms!$S$5:$S$1004,0)),"")</f>
        <v/>
      </c>
      <c r="B515" s="57">
        <f>IF($A515="","",INDEX(Firms!$B$5:$B$1004,MATCH(491,Firms!$S$5:$S$1004,0)))</f>
        <v/>
      </c>
      <c r="C515" s="57">
        <f>IF($A515="","",COUNTIF('AFA Rates'!$A$5:$A$1004,$A515))</f>
        <v/>
      </c>
      <c r="D515" s="57">
        <f>IF(OR($A515="",D$24=""),"",IF(COUNTIFS('AFA Rates'!$A$5:$A$1004,$A515,'AFA Rates'!$B$5:$B$1004,D$24)&gt;0,"✓",""))</f>
        <v/>
      </c>
      <c r="E515" s="57">
        <f>IF(OR($A515="",E$24=""),"",IF(COUNTIFS('AFA Rates'!$A$5:$A$1004,$A515,'AFA Rates'!$B$5:$B$1004,E$24)&gt;0,"✓",""))</f>
        <v/>
      </c>
      <c r="F515" s="57">
        <f>IF(OR($A515="",F$24=""),"",IF(COUNTIFS('AFA Rates'!$A$5:$A$1004,$A515,'AFA Rates'!$B$5:$B$1004,F$24)&gt;0,"✓",""))</f>
        <v/>
      </c>
      <c r="G515" s="57">
        <f>IF(OR($A515="",G$24=""),"",IF(COUNTIFS('AFA Rates'!$A$5:$A$1004,$A515,'AFA Rates'!$B$5:$B$1004,G$24)&gt;0,"✓",""))</f>
        <v/>
      </c>
      <c r="H515" s="57">
        <f>IF(OR($A515="",H$24=""),"",IF(COUNTIFS('AFA Rates'!$A$5:$A$1004,$A515,'AFA Rates'!$B$5:$B$1004,H$24)&gt;0,"✓",""))</f>
        <v/>
      </c>
      <c r="I515" s="57">
        <f>IF(OR($A515="",I$24=""),"",IF(COUNTIFS('AFA Rates'!$A$5:$A$1004,$A515,'AFA Rates'!$B$5:$B$1004,I$24)&gt;0,"✓",""))</f>
        <v/>
      </c>
      <c r="J515" s="57">
        <f>IF(OR($A515="",J$24=""),"",IF(COUNTIFS('AFA Rates'!$A$5:$A$1004,$A515,'AFA Rates'!$B$5:$B$1004,J$24)&gt;0,"✓",""))</f>
        <v/>
      </c>
      <c r="K515" s="57">
        <f>IF(OR($A515="",K$24=""),"",IF(COUNTIFS('AFA Rates'!$A$5:$A$1004,$A515,'AFA Rates'!$B$5:$B$1004,K$24)&gt;0,"✓",""))</f>
        <v/>
      </c>
      <c r="L515" s="57">
        <f>IF(OR($A515="",L$24=""),"",IF(COUNTIFS('AFA Rates'!$A$5:$A$1004,$A515,'AFA Rates'!$B$5:$B$1004,L$24)&gt;0,"✓",""))</f>
        <v/>
      </c>
      <c r="M515" s="57">
        <f>IF(OR($A515="",M$24=""),"",IF(COUNTIFS('AFA Rates'!$A$5:$A$1004,$A515,'AFA Rates'!$B$5:$B$1004,M$24)&gt;0,"✓",""))</f>
        <v/>
      </c>
    </row>
    <row r="516">
      <c r="A516" s="63">
        <f>IFERROR(INDEX(Firms!$A$5:$A$1004,MATCH(492,Firms!$S$5:$S$1004,0)),"")</f>
        <v/>
      </c>
      <c r="B516" s="57">
        <f>IF($A516="","",INDEX(Firms!$B$5:$B$1004,MATCH(492,Firms!$S$5:$S$1004,0)))</f>
        <v/>
      </c>
      <c r="C516" s="57">
        <f>IF($A516="","",COUNTIF('AFA Rates'!$A$5:$A$1004,$A516))</f>
        <v/>
      </c>
      <c r="D516" s="57">
        <f>IF(OR($A516="",D$24=""),"",IF(COUNTIFS('AFA Rates'!$A$5:$A$1004,$A516,'AFA Rates'!$B$5:$B$1004,D$24)&gt;0,"✓",""))</f>
        <v/>
      </c>
      <c r="E516" s="57">
        <f>IF(OR($A516="",E$24=""),"",IF(COUNTIFS('AFA Rates'!$A$5:$A$1004,$A516,'AFA Rates'!$B$5:$B$1004,E$24)&gt;0,"✓",""))</f>
        <v/>
      </c>
      <c r="F516" s="57">
        <f>IF(OR($A516="",F$24=""),"",IF(COUNTIFS('AFA Rates'!$A$5:$A$1004,$A516,'AFA Rates'!$B$5:$B$1004,F$24)&gt;0,"✓",""))</f>
        <v/>
      </c>
      <c r="G516" s="57">
        <f>IF(OR($A516="",G$24=""),"",IF(COUNTIFS('AFA Rates'!$A$5:$A$1004,$A516,'AFA Rates'!$B$5:$B$1004,G$24)&gt;0,"✓",""))</f>
        <v/>
      </c>
      <c r="H516" s="57">
        <f>IF(OR($A516="",H$24=""),"",IF(COUNTIFS('AFA Rates'!$A$5:$A$1004,$A516,'AFA Rates'!$B$5:$B$1004,H$24)&gt;0,"✓",""))</f>
        <v/>
      </c>
      <c r="I516" s="57">
        <f>IF(OR($A516="",I$24=""),"",IF(COUNTIFS('AFA Rates'!$A$5:$A$1004,$A516,'AFA Rates'!$B$5:$B$1004,I$24)&gt;0,"✓",""))</f>
        <v/>
      </c>
      <c r="J516" s="57">
        <f>IF(OR($A516="",J$24=""),"",IF(COUNTIFS('AFA Rates'!$A$5:$A$1004,$A516,'AFA Rates'!$B$5:$B$1004,J$24)&gt;0,"✓",""))</f>
        <v/>
      </c>
      <c r="K516" s="57">
        <f>IF(OR($A516="",K$24=""),"",IF(COUNTIFS('AFA Rates'!$A$5:$A$1004,$A516,'AFA Rates'!$B$5:$B$1004,K$24)&gt;0,"✓",""))</f>
        <v/>
      </c>
      <c r="L516" s="57">
        <f>IF(OR($A516="",L$24=""),"",IF(COUNTIFS('AFA Rates'!$A$5:$A$1004,$A516,'AFA Rates'!$B$5:$B$1004,L$24)&gt;0,"✓",""))</f>
        <v/>
      </c>
      <c r="M516" s="57">
        <f>IF(OR($A516="",M$24=""),"",IF(COUNTIFS('AFA Rates'!$A$5:$A$1004,$A516,'AFA Rates'!$B$5:$B$1004,M$24)&gt;0,"✓",""))</f>
        <v/>
      </c>
    </row>
    <row r="517">
      <c r="A517" s="63">
        <f>IFERROR(INDEX(Firms!$A$5:$A$1004,MATCH(493,Firms!$S$5:$S$1004,0)),"")</f>
        <v/>
      </c>
      <c r="B517" s="57">
        <f>IF($A517="","",INDEX(Firms!$B$5:$B$1004,MATCH(493,Firms!$S$5:$S$1004,0)))</f>
        <v/>
      </c>
      <c r="C517" s="57">
        <f>IF($A517="","",COUNTIF('AFA Rates'!$A$5:$A$1004,$A517))</f>
        <v/>
      </c>
      <c r="D517" s="57">
        <f>IF(OR($A517="",D$24=""),"",IF(COUNTIFS('AFA Rates'!$A$5:$A$1004,$A517,'AFA Rates'!$B$5:$B$1004,D$24)&gt;0,"✓",""))</f>
        <v/>
      </c>
      <c r="E517" s="57">
        <f>IF(OR($A517="",E$24=""),"",IF(COUNTIFS('AFA Rates'!$A$5:$A$1004,$A517,'AFA Rates'!$B$5:$B$1004,E$24)&gt;0,"✓",""))</f>
        <v/>
      </c>
      <c r="F517" s="57">
        <f>IF(OR($A517="",F$24=""),"",IF(COUNTIFS('AFA Rates'!$A$5:$A$1004,$A517,'AFA Rates'!$B$5:$B$1004,F$24)&gt;0,"✓",""))</f>
        <v/>
      </c>
      <c r="G517" s="57">
        <f>IF(OR($A517="",G$24=""),"",IF(COUNTIFS('AFA Rates'!$A$5:$A$1004,$A517,'AFA Rates'!$B$5:$B$1004,G$24)&gt;0,"✓",""))</f>
        <v/>
      </c>
      <c r="H517" s="57">
        <f>IF(OR($A517="",H$24=""),"",IF(COUNTIFS('AFA Rates'!$A$5:$A$1004,$A517,'AFA Rates'!$B$5:$B$1004,H$24)&gt;0,"✓",""))</f>
        <v/>
      </c>
      <c r="I517" s="57">
        <f>IF(OR($A517="",I$24=""),"",IF(COUNTIFS('AFA Rates'!$A$5:$A$1004,$A517,'AFA Rates'!$B$5:$B$1004,I$24)&gt;0,"✓",""))</f>
        <v/>
      </c>
      <c r="J517" s="57">
        <f>IF(OR($A517="",J$24=""),"",IF(COUNTIFS('AFA Rates'!$A$5:$A$1004,$A517,'AFA Rates'!$B$5:$B$1004,J$24)&gt;0,"✓",""))</f>
        <v/>
      </c>
      <c r="K517" s="57">
        <f>IF(OR($A517="",K$24=""),"",IF(COUNTIFS('AFA Rates'!$A$5:$A$1004,$A517,'AFA Rates'!$B$5:$B$1004,K$24)&gt;0,"✓",""))</f>
        <v/>
      </c>
      <c r="L517" s="57">
        <f>IF(OR($A517="",L$24=""),"",IF(COUNTIFS('AFA Rates'!$A$5:$A$1004,$A517,'AFA Rates'!$B$5:$B$1004,L$24)&gt;0,"✓",""))</f>
        <v/>
      </c>
      <c r="M517" s="57">
        <f>IF(OR($A517="",M$24=""),"",IF(COUNTIFS('AFA Rates'!$A$5:$A$1004,$A517,'AFA Rates'!$B$5:$B$1004,M$24)&gt;0,"✓",""))</f>
        <v/>
      </c>
    </row>
    <row r="518">
      <c r="A518" s="63">
        <f>IFERROR(INDEX(Firms!$A$5:$A$1004,MATCH(494,Firms!$S$5:$S$1004,0)),"")</f>
        <v/>
      </c>
      <c r="B518" s="57">
        <f>IF($A518="","",INDEX(Firms!$B$5:$B$1004,MATCH(494,Firms!$S$5:$S$1004,0)))</f>
        <v/>
      </c>
      <c r="C518" s="57">
        <f>IF($A518="","",COUNTIF('AFA Rates'!$A$5:$A$1004,$A518))</f>
        <v/>
      </c>
      <c r="D518" s="57">
        <f>IF(OR($A518="",D$24=""),"",IF(COUNTIFS('AFA Rates'!$A$5:$A$1004,$A518,'AFA Rates'!$B$5:$B$1004,D$24)&gt;0,"✓",""))</f>
        <v/>
      </c>
      <c r="E518" s="57">
        <f>IF(OR($A518="",E$24=""),"",IF(COUNTIFS('AFA Rates'!$A$5:$A$1004,$A518,'AFA Rates'!$B$5:$B$1004,E$24)&gt;0,"✓",""))</f>
        <v/>
      </c>
      <c r="F518" s="57">
        <f>IF(OR($A518="",F$24=""),"",IF(COUNTIFS('AFA Rates'!$A$5:$A$1004,$A518,'AFA Rates'!$B$5:$B$1004,F$24)&gt;0,"✓",""))</f>
        <v/>
      </c>
      <c r="G518" s="57">
        <f>IF(OR($A518="",G$24=""),"",IF(COUNTIFS('AFA Rates'!$A$5:$A$1004,$A518,'AFA Rates'!$B$5:$B$1004,G$24)&gt;0,"✓",""))</f>
        <v/>
      </c>
      <c r="H518" s="57">
        <f>IF(OR($A518="",H$24=""),"",IF(COUNTIFS('AFA Rates'!$A$5:$A$1004,$A518,'AFA Rates'!$B$5:$B$1004,H$24)&gt;0,"✓",""))</f>
        <v/>
      </c>
      <c r="I518" s="57">
        <f>IF(OR($A518="",I$24=""),"",IF(COUNTIFS('AFA Rates'!$A$5:$A$1004,$A518,'AFA Rates'!$B$5:$B$1004,I$24)&gt;0,"✓",""))</f>
        <v/>
      </c>
      <c r="J518" s="57">
        <f>IF(OR($A518="",J$24=""),"",IF(COUNTIFS('AFA Rates'!$A$5:$A$1004,$A518,'AFA Rates'!$B$5:$B$1004,J$24)&gt;0,"✓",""))</f>
        <v/>
      </c>
      <c r="K518" s="57">
        <f>IF(OR($A518="",K$24=""),"",IF(COUNTIFS('AFA Rates'!$A$5:$A$1004,$A518,'AFA Rates'!$B$5:$B$1004,K$24)&gt;0,"✓",""))</f>
        <v/>
      </c>
      <c r="L518" s="57">
        <f>IF(OR($A518="",L$24=""),"",IF(COUNTIFS('AFA Rates'!$A$5:$A$1004,$A518,'AFA Rates'!$B$5:$B$1004,L$24)&gt;0,"✓",""))</f>
        <v/>
      </c>
      <c r="M518" s="57">
        <f>IF(OR($A518="",M$24=""),"",IF(COUNTIFS('AFA Rates'!$A$5:$A$1004,$A518,'AFA Rates'!$B$5:$B$1004,M$24)&gt;0,"✓",""))</f>
        <v/>
      </c>
    </row>
    <row r="519">
      <c r="A519" s="63">
        <f>IFERROR(INDEX(Firms!$A$5:$A$1004,MATCH(495,Firms!$S$5:$S$1004,0)),"")</f>
        <v/>
      </c>
      <c r="B519" s="57">
        <f>IF($A519="","",INDEX(Firms!$B$5:$B$1004,MATCH(495,Firms!$S$5:$S$1004,0)))</f>
        <v/>
      </c>
      <c r="C519" s="57">
        <f>IF($A519="","",COUNTIF('AFA Rates'!$A$5:$A$1004,$A519))</f>
        <v/>
      </c>
      <c r="D519" s="57">
        <f>IF(OR($A519="",D$24=""),"",IF(COUNTIFS('AFA Rates'!$A$5:$A$1004,$A519,'AFA Rates'!$B$5:$B$1004,D$24)&gt;0,"✓",""))</f>
        <v/>
      </c>
      <c r="E519" s="57">
        <f>IF(OR($A519="",E$24=""),"",IF(COUNTIFS('AFA Rates'!$A$5:$A$1004,$A519,'AFA Rates'!$B$5:$B$1004,E$24)&gt;0,"✓",""))</f>
        <v/>
      </c>
      <c r="F519" s="57">
        <f>IF(OR($A519="",F$24=""),"",IF(COUNTIFS('AFA Rates'!$A$5:$A$1004,$A519,'AFA Rates'!$B$5:$B$1004,F$24)&gt;0,"✓",""))</f>
        <v/>
      </c>
      <c r="G519" s="57">
        <f>IF(OR($A519="",G$24=""),"",IF(COUNTIFS('AFA Rates'!$A$5:$A$1004,$A519,'AFA Rates'!$B$5:$B$1004,G$24)&gt;0,"✓",""))</f>
        <v/>
      </c>
      <c r="H519" s="57">
        <f>IF(OR($A519="",H$24=""),"",IF(COUNTIFS('AFA Rates'!$A$5:$A$1004,$A519,'AFA Rates'!$B$5:$B$1004,H$24)&gt;0,"✓",""))</f>
        <v/>
      </c>
      <c r="I519" s="57">
        <f>IF(OR($A519="",I$24=""),"",IF(COUNTIFS('AFA Rates'!$A$5:$A$1004,$A519,'AFA Rates'!$B$5:$B$1004,I$24)&gt;0,"✓",""))</f>
        <v/>
      </c>
      <c r="J519" s="57">
        <f>IF(OR($A519="",J$24=""),"",IF(COUNTIFS('AFA Rates'!$A$5:$A$1004,$A519,'AFA Rates'!$B$5:$B$1004,J$24)&gt;0,"✓",""))</f>
        <v/>
      </c>
      <c r="K519" s="57">
        <f>IF(OR($A519="",K$24=""),"",IF(COUNTIFS('AFA Rates'!$A$5:$A$1004,$A519,'AFA Rates'!$B$5:$B$1004,K$24)&gt;0,"✓",""))</f>
        <v/>
      </c>
      <c r="L519" s="57">
        <f>IF(OR($A519="",L$24=""),"",IF(COUNTIFS('AFA Rates'!$A$5:$A$1004,$A519,'AFA Rates'!$B$5:$B$1004,L$24)&gt;0,"✓",""))</f>
        <v/>
      </c>
      <c r="M519" s="57">
        <f>IF(OR($A519="",M$24=""),"",IF(COUNTIFS('AFA Rates'!$A$5:$A$1004,$A519,'AFA Rates'!$B$5:$B$1004,M$24)&gt;0,"✓",""))</f>
        <v/>
      </c>
    </row>
    <row r="520">
      <c r="A520" s="63">
        <f>IFERROR(INDEX(Firms!$A$5:$A$1004,MATCH(496,Firms!$S$5:$S$1004,0)),"")</f>
        <v/>
      </c>
      <c r="B520" s="57">
        <f>IF($A520="","",INDEX(Firms!$B$5:$B$1004,MATCH(496,Firms!$S$5:$S$1004,0)))</f>
        <v/>
      </c>
      <c r="C520" s="57">
        <f>IF($A520="","",COUNTIF('AFA Rates'!$A$5:$A$1004,$A520))</f>
        <v/>
      </c>
      <c r="D520" s="57">
        <f>IF(OR($A520="",D$24=""),"",IF(COUNTIFS('AFA Rates'!$A$5:$A$1004,$A520,'AFA Rates'!$B$5:$B$1004,D$24)&gt;0,"✓",""))</f>
        <v/>
      </c>
      <c r="E520" s="57">
        <f>IF(OR($A520="",E$24=""),"",IF(COUNTIFS('AFA Rates'!$A$5:$A$1004,$A520,'AFA Rates'!$B$5:$B$1004,E$24)&gt;0,"✓",""))</f>
        <v/>
      </c>
      <c r="F520" s="57">
        <f>IF(OR($A520="",F$24=""),"",IF(COUNTIFS('AFA Rates'!$A$5:$A$1004,$A520,'AFA Rates'!$B$5:$B$1004,F$24)&gt;0,"✓",""))</f>
        <v/>
      </c>
      <c r="G520" s="57">
        <f>IF(OR($A520="",G$24=""),"",IF(COUNTIFS('AFA Rates'!$A$5:$A$1004,$A520,'AFA Rates'!$B$5:$B$1004,G$24)&gt;0,"✓",""))</f>
        <v/>
      </c>
      <c r="H520" s="57">
        <f>IF(OR($A520="",H$24=""),"",IF(COUNTIFS('AFA Rates'!$A$5:$A$1004,$A520,'AFA Rates'!$B$5:$B$1004,H$24)&gt;0,"✓",""))</f>
        <v/>
      </c>
      <c r="I520" s="57">
        <f>IF(OR($A520="",I$24=""),"",IF(COUNTIFS('AFA Rates'!$A$5:$A$1004,$A520,'AFA Rates'!$B$5:$B$1004,I$24)&gt;0,"✓",""))</f>
        <v/>
      </c>
      <c r="J520" s="57">
        <f>IF(OR($A520="",J$24=""),"",IF(COUNTIFS('AFA Rates'!$A$5:$A$1004,$A520,'AFA Rates'!$B$5:$B$1004,J$24)&gt;0,"✓",""))</f>
        <v/>
      </c>
      <c r="K520" s="57">
        <f>IF(OR($A520="",K$24=""),"",IF(COUNTIFS('AFA Rates'!$A$5:$A$1004,$A520,'AFA Rates'!$B$5:$B$1004,K$24)&gt;0,"✓",""))</f>
        <v/>
      </c>
      <c r="L520" s="57">
        <f>IF(OR($A520="",L$24=""),"",IF(COUNTIFS('AFA Rates'!$A$5:$A$1004,$A520,'AFA Rates'!$B$5:$B$1004,L$24)&gt;0,"✓",""))</f>
        <v/>
      </c>
      <c r="M520" s="57">
        <f>IF(OR($A520="",M$24=""),"",IF(COUNTIFS('AFA Rates'!$A$5:$A$1004,$A520,'AFA Rates'!$B$5:$B$1004,M$24)&gt;0,"✓",""))</f>
        <v/>
      </c>
    </row>
    <row r="521">
      <c r="A521" s="63">
        <f>IFERROR(INDEX(Firms!$A$5:$A$1004,MATCH(497,Firms!$S$5:$S$1004,0)),"")</f>
        <v/>
      </c>
      <c r="B521" s="57">
        <f>IF($A521="","",INDEX(Firms!$B$5:$B$1004,MATCH(497,Firms!$S$5:$S$1004,0)))</f>
        <v/>
      </c>
      <c r="C521" s="57">
        <f>IF($A521="","",COUNTIF('AFA Rates'!$A$5:$A$1004,$A521))</f>
        <v/>
      </c>
      <c r="D521" s="57">
        <f>IF(OR($A521="",D$24=""),"",IF(COUNTIFS('AFA Rates'!$A$5:$A$1004,$A521,'AFA Rates'!$B$5:$B$1004,D$24)&gt;0,"✓",""))</f>
        <v/>
      </c>
      <c r="E521" s="57">
        <f>IF(OR($A521="",E$24=""),"",IF(COUNTIFS('AFA Rates'!$A$5:$A$1004,$A521,'AFA Rates'!$B$5:$B$1004,E$24)&gt;0,"✓",""))</f>
        <v/>
      </c>
      <c r="F521" s="57">
        <f>IF(OR($A521="",F$24=""),"",IF(COUNTIFS('AFA Rates'!$A$5:$A$1004,$A521,'AFA Rates'!$B$5:$B$1004,F$24)&gt;0,"✓",""))</f>
        <v/>
      </c>
      <c r="G521" s="57">
        <f>IF(OR($A521="",G$24=""),"",IF(COUNTIFS('AFA Rates'!$A$5:$A$1004,$A521,'AFA Rates'!$B$5:$B$1004,G$24)&gt;0,"✓",""))</f>
        <v/>
      </c>
      <c r="H521" s="57">
        <f>IF(OR($A521="",H$24=""),"",IF(COUNTIFS('AFA Rates'!$A$5:$A$1004,$A521,'AFA Rates'!$B$5:$B$1004,H$24)&gt;0,"✓",""))</f>
        <v/>
      </c>
      <c r="I521" s="57">
        <f>IF(OR($A521="",I$24=""),"",IF(COUNTIFS('AFA Rates'!$A$5:$A$1004,$A521,'AFA Rates'!$B$5:$B$1004,I$24)&gt;0,"✓",""))</f>
        <v/>
      </c>
      <c r="J521" s="57">
        <f>IF(OR($A521="",J$24=""),"",IF(COUNTIFS('AFA Rates'!$A$5:$A$1004,$A521,'AFA Rates'!$B$5:$B$1004,J$24)&gt;0,"✓",""))</f>
        <v/>
      </c>
      <c r="K521" s="57">
        <f>IF(OR($A521="",K$24=""),"",IF(COUNTIFS('AFA Rates'!$A$5:$A$1004,$A521,'AFA Rates'!$B$5:$B$1004,K$24)&gt;0,"✓",""))</f>
        <v/>
      </c>
      <c r="L521" s="57">
        <f>IF(OR($A521="",L$24=""),"",IF(COUNTIFS('AFA Rates'!$A$5:$A$1004,$A521,'AFA Rates'!$B$5:$B$1004,L$24)&gt;0,"✓",""))</f>
        <v/>
      </c>
      <c r="M521" s="57">
        <f>IF(OR($A521="",M$24=""),"",IF(COUNTIFS('AFA Rates'!$A$5:$A$1004,$A521,'AFA Rates'!$B$5:$B$1004,M$24)&gt;0,"✓",""))</f>
        <v/>
      </c>
    </row>
    <row r="522">
      <c r="A522" s="63">
        <f>IFERROR(INDEX(Firms!$A$5:$A$1004,MATCH(498,Firms!$S$5:$S$1004,0)),"")</f>
        <v/>
      </c>
      <c r="B522" s="57">
        <f>IF($A522="","",INDEX(Firms!$B$5:$B$1004,MATCH(498,Firms!$S$5:$S$1004,0)))</f>
        <v/>
      </c>
      <c r="C522" s="57">
        <f>IF($A522="","",COUNTIF('AFA Rates'!$A$5:$A$1004,$A522))</f>
        <v/>
      </c>
      <c r="D522" s="57">
        <f>IF(OR($A522="",D$24=""),"",IF(COUNTIFS('AFA Rates'!$A$5:$A$1004,$A522,'AFA Rates'!$B$5:$B$1004,D$24)&gt;0,"✓",""))</f>
        <v/>
      </c>
      <c r="E522" s="57">
        <f>IF(OR($A522="",E$24=""),"",IF(COUNTIFS('AFA Rates'!$A$5:$A$1004,$A522,'AFA Rates'!$B$5:$B$1004,E$24)&gt;0,"✓",""))</f>
        <v/>
      </c>
      <c r="F522" s="57">
        <f>IF(OR($A522="",F$24=""),"",IF(COUNTIFS('AFA Rates'!$A$5:$A$1004,$A522,'AFA Rates'!$B$5:$B$1004,F$24)&gt;0,"✓",""))</f>
        <v/>
      </c>
      <c r="G522" s="57">
        <f>IF(OR($A522="",G$24=""),"",IF(COUNTIFS('AFA Rates'!$A$5:$A$1004,$A522,'AFA Rates'!$B$5:$B$1004,G$24)&gt;0,"✓",""))</f>
        <v/>
      </c>
      <c r="H522" s="57">
        <f>IF(OR($A522="",H$24=""),"",IF(COUNTIFS('AFA Rates'!$A$5:$A$1004,$A522,'AFA Rates'!$B$5:$B$1004,H$24)&gt;0,"✓",""))</f>
        <v/>
      </c>
      <c r="I522" s="57">
        <f>IF(OR($A522="",I$24=""),"",IF(COUNTIFS('AFA Rates'!$A$5:$A$1004,$A522,'AFA Rates'!$B$5:$B$1004,I$24)&gt;0,"✓",""))</f>
        <v/>
      </c>
      <c r="J522" s="57">
        <f>IF(OR($A522="",J$24=""),"",IF(COUNTIFS('AFA Rates'!$A$5:$A$1004,$A522,'AFA Rates'!$B$5:$B$1004,J$24)&gt;0,"✓",""))</f>
        <v/>
      </c>
      <c r="K522" s="57">
        <f>IF(OR($A522="",K$24=""),"",IF(COUNTIFS('AFA Rates'!$A$5:$A$1004,$A522,'AFA Rates'!$B$5:$B$1004,K$24)&gt;0,"✓",""))</f>
        <v/>
      </c>
      <c r="L522" s="57">
        <f>IF(OR($A522="",L$24=""),"",IF(COUNTIFS('AFA Rates'!$A$5:$A$1004,$A522,'AFA Rates'!$B$5:$B$1004,L$24)&gt;0,"✓",""))</f>
        <v/>
      </c>
      <c r="M522" s="57">
        <f>IF(OR($A522="",M$24=""),"",IF(COUNTIFS('AFA Rates'!$A$5:$A$1004,$A522,'AFA Rates'!$B$5:$B$1004,M$24)&gt;0,"✓",""))</f>
        <v/>
      </c>
    </row>
    <row r="523">
      <c r="A523" s="63">
        <f>IFERROR(INDEX(Firms!$A$5:$A$1004,MATCH(499,Firms!$S$5:$S$1004,0)),"")</f>
        <v/>
      </c>
      <c r="B523" s="57">
        <f>IF($A523="","",INDEX(Firms!$B$5:$B$1004,MATCH(499,Firms!$S$5:$S$1004,0)))</f>
        <v/>
      </c>
      <c r="C523" s="57">
        <f>IF($A523="","",COUNTIF('AFA Rates'!$A$5:$A$1004,$A523))</f>
        <v/>
      </c>
      <c r="D523" s="57">
        <f>IF(OR($A523="",D$24=""),"",IF(COUNTIFS('AFA Rates'!$A$5:$A$1004,$A523,'AFA Rates'!$B$5:$B$1004,D$24)&gt;0,"✓",""))</f>
        <v/>
      </c>
      <c r="E523" s="57">
        <f>IF(OR($A523="",E$24=""),"",IF(COUNTIFS('AFA Rates'!$A$5:$A$1004,$A523,'AFA Rates'!$B$5:$B$1004,E$24)&gt;0,"✓",""))</f>
        <v/>
      </c>
      <c r="F523" s="57">
        <f>IF(OR($A523="",F$24=""),"",IF(COUNTIFS('AFA Rates'!$A$5:$A$1004,$A523,'AFA Rates'!$B$5:$B$1004,F$24)&gt;0,"✓",""))</f>
        <v/>
      </c>
      <c r="G523" s="57">
        <f>IF(OR($A523="",G$24=""),"",IF(COUNTIFS('AFA Rates'!$A$5:$A$1004,$A523,'AFA Rates'!$B$5:$B$1004,G$24)&gt;0,"✓",""))</f>
        <v/>
      </c>
      <c r="H523" s="57">
        <f>IF(OR($A523="",H$24=""),"",IF(COUNTIFS('AFA Rates'!$A$5:$A$1004,$A523,'AFA Rates'!$B$5:$B$1004,H$24)&gt;0,"✓",""))</f>
        <v/>
      </c>
      <c r="I523" s="57">
        <f>IF(OR($A523="",I$24=""),"",IF(COUNTIFS('AFA Rates'!$A$5:$A$1004,$A523,'AFA Rates'!$B$5:$B$1004,I$24)&gt;0,"✓",""))</f>
        <v/>
      </c>
      <c r="J523" s="57">
        <f>IF(OR($A523="",J$24=""),"",IF(COUNTIFS('AFA Rates'!$A$5:$A$1004,$A523,'AFA Rates'!$B$5:$B$1004,J$24)&gt;0,"✓",""))</f>
        <v/>
      </c>
      <c r="K523" s="57">
        <f>IF(OR($A523="",K$24=""),"",IF(COUNTIFS('AFA Rates'!$A$5:$A$1004,$A523,'AFA Rates'!$B$5:$B$1004,K$24)&gt;0,"✓",""))</f>
        <v/>
      </c>
      <c r="L523" s="57">
        <f>IF(OR($A523="",L$24=""),"",IF(COUNTIFS('AFA Rates'!$A$5:$A$1004,$A523,'AFA Rates'!$B$5:$B$1004,L$24)&gt;0,"✓",""))</f>
        <v/>
      </c>
      <c r="M523" s="57">
        <f>IF(OR($A523="",M$24=""),"",IF(COUNTIFS('AFA Rates'!$A$5:$A$1004,$A523,'AFA Rates'!$B$5:$B$1004,M$24)&gt;0,"✓",""))</f>
        <v/>
      </c>
    </row>
    <row r="524">
      <c r="A524" s="63">
        <f>IFERROR(INDEX(Firms!$A$5:$A$1004,MATCH(500,Firms!$S$5:$S$1004,0)),"")</f>
        <v/>
      </c>
      <c r="B524" s="57">
        <f>IF($A524="","",INDEX(Firms!$B$5:$B$1004,MATCH(500,Firms!$S$5:$S$1004,0)))</f>
        <v/>
      </c>
      <c r="C524" s="57">
        <f>IF($A524="","",COUNTIF('AFA Rates'!$A$5:$A$1004,$A524))</f>
        <v/>
      </c>
      <c r="D524" s="57">
        <f>IF(OR($A524="",D$24=""),"",IF(COUNTIFS('AFA Rates'!$A$5:$A$1004,$A524,'AFA Rates'!$B$5:$B$1004,D$24)&gt;0,"✓",""))</f>
        <v/>
      </c>
      <c r="E524" s="57">
        <f>IF(OR($A524="",E$24=""),"",IF(COUNTIFS('AFA Rates'!$A$5:$A$1004,$A524,'AFA Rates'!$B$5:$B$1004,E$24)&gt;0,"✓",""))</f>
        <v/>
      </c>
      <c r="F524" s="57">
        <f>IF(OR($A524="",F$24=""),"",IF(COUNTIFS('AFA Rates'!$A$5:$A$1004,$A524,'AFA Rates'!$B$5:$B$1004,F$24)&gt;0,"✓",""))</f>
        <v/>
      </c>
      <c r="G524" s="57">
        <f>IF(OR($A524="",G$24=""),"",IF(COUNTIFS('AFA Rates'!$A$5:$A$1004,$A524,'AFA Rates'!$B$5:$B$1004,G$24)&gt;0,"✓",""))</f>
        <v/>
      </c>
      <c r="H524" s="57">
        <f>IF(OR($A524="",H$24=""),"",IF(COUNTIFS('AFA Rates'!$A$5:$A$1004,$A524,'AFA Rates'!$B$5:$B$1004,H$24)&gt;0,"✓",""))</f>
        <v/>
      </c>
      <c r="I524" s="57">
        <f>IF(OR($A524="",I$24=""),"",IF(COUNTIFS('AFA Rates'!$A$5:$A$1004,$A524,'AFA Rates'!$B$5:$B$1004,I$24)&gt;0,"✓",""))</f>
        <v/>
      </c>
      <c r="J524" s="57">
        <f>IF(OR($A524="",J$24=""),"",IF(COUNTIFS('AFA Rates'!$A$5:$A$1004,$A524,'AFA Rates'!$B$5:$B$1004,J$24)&gt;0,"✓",""))</f>
        <v/>
      </c>
      <c r="K524" s="57">
        <f>IF(OR($A524="",K$24=""),"",IF(COUNTIFS('AFA Rates'!$A$5:$A$1004,$A524,'AFA Rates'!$B$5:$B$1004,K$24)&gt;0,"✓",""))</f>
        <v/>
      </c>
      <c r="L524" s="57">
        <f>IF(OR($A524="",L$24=""),"",IF(COUNTIFS('AFA Rates'!$A$5:$A$1004,$A524,'AFA Rates'!$B$5:$B$1004,L$24)&gt;0,"✓",""))</f>
        <v/>
      </c>
      <c r="M524" s="57">
        <f>IF(OR($A524="",M$24=""),"",IF(COUNTIFS('AFA Rates'!$A$5:$A$1004,$A524,'AFA Rates'!$B$5:$B$1004,M$24)&gt;0,"✓",""))</f>
        <v/>
      </c>
    </row>
    <row r="525">
      <c r="A525" s="63">
        <f>IFERROR(INDEX(Firms!$A$5:$A$1004,MATCH(501,Firms!$S$5:$S$1004,0)),"")</f>
        <v/>
      </c>
      <c r="B525" s="57">
        <f>IF($A525="","",INDEX(Firms!$B$5:$B$1004,MATCH(501,Firms!$S$5:$S$1004,0)))</f>
        <v/>
      </c>
      <c r="C525" s="57">
        <f>IF($A525="","",COUNTIF('AFA Rates'!$A$5:$A$1004,$A525))</f>
        <v/>
      </c>
      <c r="D525" s="57">
        <f>IF(OR($A525="",D$24=""),"",IF(COUNTIFS('AFA Rates'!$A$5:$A$1004,$A525,'AFA Rates'!$B$5:$B$1004,D$24)&gt;0,"✓",""))</f>
        <v/>
      </c>
      <c r="E525" s="57">
        <f>IF(OR($A525="",E$24=""),"",IF(COUNTIFS('AFA Rates'!$A$5:$A$1004,$A525,'AFA Rates'!$B$5:$B$1004,E$24)&gt;0,"✓",""))</f>
        <v/>
      </c>
      <c r="F525" s="57">
        <f>IF(OR($A525="",F$24=""),"",IF(COUNTIFS('AFA Rates'!$A$5:$A$1004,$A525,'AFA Rates'!$B$5:$B$1004,F$24)&gt;0,"✓",""))</f>
        <v/>
      </c>
      <c r="G525" s="57">
        <f>IF(OR($A525="",G$24=""),"",IF(COUNTIFS('AFA Rates'!$A$5:$A$1004,$A525,'AFA Rates'!$B$5:$B$1004,G$24)&gt;0,"✓",""))</f>
        <v/>
      </c>
      <c r="H525" s="57">
        <f>IF(OR($A525="",H$24=""),"",IF(COUNTIFS('AFA Rates'!$A$5:$A$1004,$A525,'AFA Rates'!$B$5:$B$1004,H$24)&gt;0,"✓",""))</f>
        <v/>
      </c>
      <c r="I525" s="57">
        <f>IF(OR($A525="",I$24=""),"",IF(COUNTIFS('AFA Rates'!$A$5:$A$1004,$A525,'AFA Rates'!$B$5:$B$1004,I$24)&gt;0,"✓",""))</f>
        <v/>
      </c>
      <c r="J525" s="57">
        <f>IF(OR($A525="",J$24=""),"",IF(COUNTIFS('AFA Rates'!$A$5:$A$1004,$A525,'AFA Rates'!$B$5:$B$1004,J$24)&gt;0,"✓",""))</f>
        <v/>
      </c>
      <c r="K525" s="57">
        <f>IF(OR($A525="",K$24=""),"",IF(COUNTIFS('AFA Rates'!$A$5:$A$1004,$A525,'AFA Rates'!$B$5:$B$1004,K$24)&gt;0,"✓",""))</f>
        <v/>
      </c>
      <c r="L525" s="57">
        <f>IF(OR($A525="",L$24=""),"",IF(COUNTIFS('AFA Rates'!$A$5:$A$1004,$A525,'AFA Rates'!$B$5:$B$1004,L$24)&gt;0,"✓",""))</f>
        <v/>
      </c>
      <c r="M525" s="57">
        <f>IF(OR($A525="",M$24=""),"",IF(COUNTIFS('AFA Rates'!$A$5:$A$1004,$A525,'AFA Rates'!$B$5:$B$1004,M$24)&gt;0,"✓",""))</f>
        <v/>
      </c>
    </row>
    <row r="526">
      <c r="A526" s="63">
        <f>IFERROR(INDEX(Firms!$A$5:$A$1004,MATCH(502,Firms!$S$5:$S$1004,0)),"")</f>
        <v/>
      </c>
      <c r="B526" s="57">
        <f>IF($A526="","",INDEX(Firms!$B$5:$B$1004,MATCH(502,Firms!$S$5:$S$1004,0)))</f>
        <v/>
      </c>
      <c r="C526" s="57">
        <f>IF($A526="","",COUNTIF('AFA Rates'!$A$5:$A$1004,$A526))</f>
        <v/>
      </c>
      <c r="D526" s="57">
        <f>IF(OR($A526="",D$24=""),"",IF(COUNTIFS('AFA Rates'!$A$5:$A$1004,$A526,'AFA Rates'!$B$5:$B$1004,D$24)&gt;0,"✓",""))</f>
        <v/>
      </c>
      <c r="E526" s="57">
        <f>IF(OR($A526="",E$24=""),"",IF(COUNTIFS('AFA Rates'!$A$5:$A$1004,$A526,'AFA Rates'!$B$5:$B$1004,E$24)&gt;0,"✓",""))</f>
        <v/>
      </c>
      <c r="F526" s="57">
        <f>IF(OR($A526="",F$24=""),"",IF(COUNTIFS('AFA Rates'!$A$5:$A$1004,$A526,'AFA Rates'!$B$5:$B$1004,F$24)&gt;0,"✓",""))</f>
        <v/>
      </c>
      <c r="G526" s="57">
        <f>IF(OR($A526="",G$24=""),"",IF(COUNTIFS('AFA Rates'!$A$5:$A$1004,$A526,'AFA Rates'!$B$5:$B$1004,G$24)&gt;0,"✓",""))</f>
        <v/>
      </c>
      <c r="H526" s="57">
        <f>IF(OR($A526="",H$24=""),"",IF(COUNTIFS('AFA Rates'!$A$5:$A$1004,$A526,'AFA Rates'!$B$5:$B$1004,H$24)&gt;0,"✓",""))</f>
        <v/>
      </c>
      <c r="I526" s="57">
        <f>IF(OR($A526="",I$24=""),"",IF(COUNTIFS('AFA Rates'!$A$5:$A$1004,$A526,'AFA Rates'!$B$5:$B$1004,I$24)&gt;0,"✓",""))</f>
        <v/>
      </c>
      <c r="J526" s="57">
        <f>IF(OR($A526="",J$24=""),"",IF(COUNTIFS('AFA Rates'!$A$5:$A$1004,$A526,'AFA Rates'!$B$5:$B$1004,J$24)&gt;0,"✓",""))</f>
        <v/>
      </c>
      <c r="K526" s="57">
        <f>IF(OR($A526="",K$24=""),"",IF(COUNTIFS('AFA Rates'!$A$5:$A$1004,$A526,'AFA Rates'!$B$5:$B$1004,K$24)&gt;0,"✓",""))</f>
        <v/>
      </c>
      <c r="L526" s="57">
        <f>IF(OR($A526="",L$24=""),"",IF(COUNTIFS('AFA Rates'!$A$5:$A$1004,$A526,'AFA Rates'!$B$5:$B$1004,L$24)&gt;0,"✓",""))</f>
        <v/>
      </c>
      <c r="M526" s="57">
        <f>IF(OR($A526="",M$24=""),"",IF(COUNTIFS('AFA Rates'!$A$5:$A$1004,$A526,'AFA Rates'!$B$5:$B$1004,M$24)&gt;0,"✓",""))</f>
        <v/>
      </c>
    </row>
    <row r="527">
      <c r="A527" s="63">
        <f>IFERROR(INDEX(Firms!$A$5:$A$1004,MATCH(503,Firms!$S$5:$S$1004,0)),"")</f>
        <v/>
      </c>
      <c r="B527" s="57">
        <f>IF($A527="","",INDEX(Firms!$B$5:$B$1004,MATCH(503,Firms!$S$5:$S$1004,0)))</f>
        <v/>
      </c>
      <c r="C527" s="57">
        <f>IF($A527="","",COUNTIF('AFA Rates'!$A$5:$A$1004,$A527))</f>
        <v/>
      </c>
      <c r="D527" s="57">
        <f>IF(OR($A527="",D$24=""),"",IF(COUNTIFS('AFA Rates'!$A$5:$A$1004,$A527,'AFA Rates'!$B$5:$B$1004,D$24)&gt;0,"✓",""))</f>
        <v/>
      </c>
      <c r="E527" s="57">
        <f>IF(OR($A527="",E$24=""),"",IF(COUNTIFS('AFA Rates'!$A$5:$A$1004,$A527,'AFA Rates'!$B$5:$B$1004,E$24)&gt;0,"✓",""))</f>
        <v/>
      </c>
      <c r="F527" s="57">
        <f>IF(OR($A527="",F$24=""),"",IF(COUNTIFS('AFA Rates'!$A$5:$A$1004,$A527,'AFA Rates'!$B$5:$B$1004,F$24)&gt;0,"✓",""))</f>
        <v/>
      </c>
      <c r="G527" s="57">
        <f>IF(OR($A527="",G$24=""),"",IF(COUNTIFS('AFA Rates'!$A$5:$A$1004,$A527,'AFA Rates'!$B$5:$B$1004,G$24)&gt;0,"✓",""))</f>
        <v/>
      </c>
      <c r="H527" s="57">
        <f>IF(OR($A527="",H$24=""),"",IF(COUNTIFS('AFA Rates'!$A$5:$A$1004,$A527,'AFA Rates'!$B$5:$B$1004,H$24)&gt;0,"✓",""))</f>
        <v/>
      </c>
      <c r="I527" s="57">
        <f>IF(OR($A527="",I$24=""),"",IF(COUNTIFS('AFA Rates'!$A$5:$A$1004,$A527,'AFA Rates'!$B$5:$B$1004,I$24)&gt;0,"✓",""))</f>
        <v/>
      </c>
      <c r="J527" s="57">
        <f>IF(OR($A527="",J$24=""),"",IF(COUNTIFS('AFA Rates'!$A$5:$A$1004,$A527,'AFA Rates'!$B$5:$B$1004,J$24)&gt;0,"✓",""))</f>
        <v/>
      </c>
      <c r="K527" s="57">
        <f>IF(OR($A527="",K$24=""),"",IF(COUNTIFS('AFA Rates'!$A$5:$A$1004,$A527,'AFA Rates'!$B$5:$B$1004,K$24)&gt;0,"✓",""))</f>
        <v/>
      </c>
      <c r="L527" s="57">
        <f>IF(OR($A527="",L$24=""),"",IF(COUNTIFS('AFA Rates'!$A$5:$A$1004,$A527,'AFA Rates'!$B$5:$B$1004,L$24)&gt;0,"✓",""))</f>
        <v/>
      </c>
      <c r="M527" s="57">
        <f>IF(OR($A527="",M$24=""),"",IF(COUNTIFS('AFA Rates'!$A$5:$A$1004,$A527,'AFA Rates'!$B$5:$B$1004,M$24)&gt;0,"✓",""))</f>
        <v/>
      </c>
    </row>
    <row r="528">
      <c r="A528" s="63">
        <f>IFERROR(INDEX(Firms!$A$5:$A$1004,MATCH(504,Firms!$S$5:$S$1004,0)),"")</f>
        <v/>
      </c>
      <c r="B528" s="57">
        <f>IF($A528="","",INDEX(Firms!$B$5:$B$1004,MATCH(504,Firms!$S$5:$S$1004,0)))</f>
        <v/>
      </c>
      <c r="C528" s="57">
        <f>IF($A528="","",COUNTIF('AFA Rates'!$A$5:$A$1004,$A528))</f>
        <v/>
      </c>
      <c r="D528" s="57">
        <f>IF(OR($A528="",D$24=""),"",IF(COUNTIFS('AFA Rates'!$A$5:$A$1004,$A528,'AFA Rates'!$B$5:$B$1004,D$24)&gt;0,"✓",""))</f>
        <v/>
      </c>
      <c r="E528" s="57">
        <f>IF(OR($A528="",E$24=""),"",IF(COUNTIFS('AFA Rates'!$A$5:$A$1004,$A528,'AFA Rates'!$B$5:$B$1004,E$24)&gt;0,"✓",""))</f>
        <v/>
      </c>
      <c r="F528" s="57">
        <f>IF(OR($A528="",F$24=""),"",IF(COUNTIFS('AFA Rates'!$A$5:$A$1004,$A528,'AFA Rates'!$B$5:$B$1004,F$24)&gt;0,"✓",""))</f>
        <v/>
      </c>
      <c r="G528" s="57">
        <f>IF(OR($A528="",G$24=""),"",IF(COUNTIFS('AFA Rates'!$A$5:$A$1004,$A528,'AFA Rates'!$B$5:$B$1004,G$24)&gt;0,"✓",""))</f>
        <v/>
      </c>
      <c r="H528" s="57">
        <f>IF(OR($A528="",H$24=""),"",IF(COUNTIFS('AFA Rates'!$A$5:$A$1004,$A528,'AFA Rates'!$B$5:$B$1004,H$24)&gt;0,"✓",""))</f>
        <v/>
      </c>
      <c r="I528" s="57">
        <f>IF(OR($A528="",I$24=""),"",IF(COUNTIFS('AFA Rates'!$A$5:$A$1004,$A528,'AFA Rates'!$B$5:$B$1004,I$24)&gt;0,"✓",""))</f>
        <v/>
      </c>
      <c r="J528" s="57">
        <f>IF(OR($A528="",J$24=""),"",IF(COUNTIFS('AFA Rates'!$A$5:$A$1004,$A528,'AFA Rates'!$B$5:$B$1004,J$24)&gt;0,"✓",""))</f>
        <v/>
      </c>
      <c r="K528" s="57">
        <f>IF(OR($A528="",K$24=""),"",IF(COUNTIFS('AFA Rates'!$A$5:$A$1004,$A528,'AFA Rates'!$B$5:$B$1004,K$24)&gt;0,"✓",""))</f>
        <v/>
      </c>
      <c r="L528" s="57">
        <f>IF(OR($A528="",L$24=""),"",IF(COUNTIFS('AFA Rates'!$A$5:$A$1004,$A528,'AFA Rates'!$B$5:$B$1004,L$24)&gt;0,"✓",""))</f>
        <v/>
      </c>
      <c r="M528" s="57">
        <f>IF(OR($A528="",M$24=""),"",IF(COUNTIFS('AFA Rates'!$A$5:$A$1004,$A528,'AFA Rates'!$B$5:$B$1004,M$24)&gt;0,"✓",""))</f>
        <v/>
      </c>
    </row>
    <row r="529">
      <c r="A529" s="63">
        <f>IFERROR(INDEX(Firms!$A$5:$A$1004,MATCH(505,Firms!$S$5:$S$1004,0)),"")</f>
        <v/>
      </c>
      <c r="B529" s="57">
        <f>IF($A529="","",INDEX(Firms!$B$5:$B$1004,MATCH(505,Firms!$S$5:$S$1004,0)))</f>
        <v/>
      </c>
      <c r="C529" s="57">
        <f>IF($A529="","",COUNTIF('AFA Rates'!$A$5:$A$1004,$A529))</f>
        <v/>
      </c>
      <c r="D529" s="57">
        <f>IF(OR($A529="",D$24=""),"",IF(COUNTIFS('AFA Rates'!$A$5:$A$1004,$A529,'AFA Rates'!$B$5:$B$1004,D$24)&gt;0,"✓",""))</f>
        <v/>
      </c>
      <c r="E529" s="57">
        <f>IF(OR($A529="",E$24=""),"",IF(COUNTIFS('AFA Rates'!$A$5:$A$1004,$A529,'AFA Rates'!$B$5:$B$1004,E$24)&gt;0,"✓",""))</f>
        <v/>
      </c>
      <c r="F529" s="57">
        <f>IF(OR($A529="",F$24=""),"",IF(COUNTIFS('AFA Rates'!$A$5:$A$1004,$A529,'AFA Rates'!$B$5:$B$1004,F$24)&gt;0,"✓",""))</f>
        <v/>
      </c>
      <c r="G529" s="57">
        <f>IF(OR($A529="",G$24=""),"",IF(COUNTIFS('AFA Rates'!$A$5:$A$1004,$A529,'AFA Rates'!$B$5:$B$1004,G$24)&gt;0,"✓",""))</f>
        <v/>
      </c>
      <c r="H529" s="57">
        <f>IF(OR($A529="",H$24=""),"",IF(COUNTIFS('AFA Rates'!$A$5:$A$1004,$A529,'AFA Rates'!$B$5:$B$1004,H$24)&gt;0,"✓",""))</f>
        <v/>
      </c>
      <c r="I529" s="57">
        <f>IF(OR($A529="",I$24=""),"",IF(COUNTIFS('AFA Rates'!$A$5:$A$1004,$A529,'AFA Rates'!$B$5:$B$1004,I$24)&gt;0,"✓",""))</f>
        <v/>
      </c>
      <c r="J529" s="57">
        <f>IF(OR($A529="",J$24=""),"",IF(COUNTIFS('AFA Rates'!$A$5:$A$1004,$A529,'AFA Rates'!$B$5:$B$1004,J$24)&gt;0,"✓",""))</f>
        <v/>
      </c>
      <c r="K529" s="57">
        <f>IF(OR($A529="",K$24=""),"",IF(COUNTIFS('AFA Rates'!$A$5:$A$1004,$A529,'AFA Rates'!$B$5:$B$1004,K$24)&gt;0,"✓",""))</f>
        <v/>
      </c>
      <c r="L529" s="57">
        <f>IF(OR($A529="",L$24=""),"",IF(COUNTIFS('AFA Rates'!$A$5:$A$1004,$A529,'AFA Rates'!$B$5:$B$1004,L$24)&gt;0,"✓",""))</f>
        <v/>
      </c>
      <c r="M529" s="57">
        <f>IF(OR($A529="",M$24=""),"",IF(COUNTIFS('AFA Rates'!$A$5:$A$1004,$A529,'AFA Rates'!$B$5:$B$1004,M$24)&gt;0,"✓",""))</f>
        <v/>
      </c>
    </row>
    <row r="530">
      <c r="A530" s="63">
        <f>IFERROR(INDEX(Firms!$A$5:$A$1004,MATCH(506,Firms!$S$5:$S$1004,0)),"")</f>
        <v/>
      </c>
      <c r="B530" s="57">
        <f>IF($A530="","",INDEX(Firms!$B$5:$B$1004,MATCH(506,Firms!$S$5:$S$1004,0)))</f>
        <v/>
      </c>
      <c r="C530" s="57">
        <f>IF($A530="","",COUNTIF('AFA Rates'!$A$5:$A$1004,$A530))</f>
        <v/>
      </c>
      <c r="D530" s="57">
        <f>IF(OR($A530="",D$24=""),"",IF(COUNTIFS('AFA Rates'!$A$5:$A$1004,$A530,'AFA Rates'!$B$5:$B$1004,D$24)&gt;0,"✓",""))</f>
        <v/>
      </c>
      <c r="E530" s="57">
        <f>IF(OR($A530="",E$24=""),"",IF(COUNTIFS('AFA Rates'!$A$5:$A$1004,$A530,'AFA Rates'!$B$5:$B$1004,E$24)&gt;0,"✓",""))</f>
        <v/>
      </c>
      <c r="F530" s="57">
        <f>IF(OR($A530="",F$24=""),"",IF(COUNTIFS('AFA Rates'!$A$5:$A$1004,$A530,'AFA Rates'!$B$5:$B$1004,F$24)&gt;0,"✓",""))</f>
        <v/>
      </c>
      <c r="G530" s="57">
        <f>IF(OR($A530="",G$24=""),"",IF(COUNTIFS('AFA Rates'!$A$5:$A$1004,$A530,'AFA Rates'!$B$5:$B$1004,G$24)&gt;0,"✓",""))</f>
        <v/>
      </c>
      <c r="H530" s="57">
        <f>IF(OR($A530="",H$24=""),"",IF(COUNTIFS('AFA Rates'!$A$5:$A$1004,$A530,'AFA Rates'!$B$5:$B$1004,H$24)&gt;0,"✓",""))</f>
        <v/>
      </c>
      <c r="I530" s="57">
        <f>IF(OR($A530="",I$24=""),"",IF(COUNTIFS('AFA Rates'!$A$5:$A$1004,$A530,'AFA Rates'!$B$5:$B$1004,I$24)&gt;0,"✓",""))</f>
        <v/>
      </c>
      <c r="J530" s="57">
        <f>IF(OR($A530="",J$24=""),"",IF(COUNTIFS('AFA Rates'!$A$5:$A$1004,$A530,'AFA Rates'!$B$5:$B$1004,J$24)&gt;0,"✓",""))</f>
        <v/>
      </c>
      <c r="K530" s="57">
        <f>IF(OR($A530="",K$24=""),"",IF(COUNTIFS('AFA Rates'!$A$5:$A$1004,$A530,'AFA Rates'!$B$5:$B$1004,K$24)&gt;0,"✓",""))</f>
        <v/>
      </c>
      <c r="L530" s="57">
        <f>IF(OR($A530="",L$24=""),"",IF(COUNTIFS('AFA Rates'!$A$5:$A$1004,$A530,'AFA Rates'!$B$5:$B$1004,L$24)&gt;0,"✓",""))</f>
        <v/>
      </c>
      <c r="M530" s="57">
        <f>IF(OR($A530="",M$24=""),"",IF(COUNTIFS('AFA Rates'!$A$5:$A$1004,$A530,'AFA Rates'!$B$5:$B$1004,M$24)&gt;0,"✓",""))</f>
        <v/>
      </c>
    </row>
    <row r="531">
      <c r="A531" s="63">
        <f>IFERROR(INDEX(Firms!$A$5:$A$1004,MATCH(507,Firms!$S$5:$S$1004,0)),"")</f>
        <v/>
      </c>
      <c r="B531" s="57">
        <f>IF($A531="","",INDEX(Firms!$B$5:$B$1004,MATCH(507,Firms!$S$5:$S$1004,0)))</f>
        <v/>
      </c>
      <c r="C531" s="57">
        <f>IF($A531="","",COUNTIF('AFA Rates'!$A$5:$A$1004,$A531))</f>
        <v/>
      </c>
      <c r="D531" s="57">
        <f>IF(OR($A531="",D$24=""),"",IF(COUNTIFS('AFA Rates'!$A$5:$A$1004,$A531,'AFA Rates'!$B$5:$B$1004,D$24)&gt;0,"✓",""))</f>
        <v/>
      </c>
      <c r="E531" s="57">
        <f>IF(OR($A531="",E$24=""),"",IF(COUNTIFS('AFA Rates'!$A$5:$A$1004,$A531,'AFA Rates'!$B$5:$B$1004,E$24)&gt;0,"✓",""))</f>
        <v/>
      </c>
      <c r="F531" s="57">
        <f>IF(OR($A531="",F$24=""),"",IF(COUNTIFS('AFA Rates'!$A$5:$A$1004,$A531,'AFA Rates'!$B$5:$B$1004,F$24)&gt;0,"✓",""))</f>
        <v/>
      </c>
      <c r="G531" s="57">
        <f>IF(OR($A531="",G$24=""),"",IF(COUNTIFS('AFA Rates'!$A$5:$A$1004,$A531,'AFA Rates'!$B$5:$B$1004,G$24)&gt;0,"✓",""))</f>
        <v/>
      </c>
      <c r="H531" s="57">
        <f>IF(OR($A531="",H$24=""),"",IF(COUNTIFS('AFA Rates'!$A$5:$A$1004,$A531,'AFA Rates'!$B$5:$B$1004,H$24)&gt;0,"✓",""))</f>
        <v/>
      </c>
      <c r="I531" s="57">
        <f>IF(OR($A531="",I$24=""),"",IF(COUNTIFS('AFA Rates'!$A$5:$A$1004,$A531,'AFA Rates'!$B$5:$B$1004,I$24)&gt;0,"✓",""))</f>
        <v/>
      </c>
      <c r="J531" s="57">
        <f>IF(OR($A531="",J$24=""),"",IF(COUNTIFS('AFA Rates'!$A$5:$A$1004,$A531,'AFA Rates'!$B$5:$B$1004,J$24)&gt;0,"✓",""))</f>
        <v/>
      </c>
      <c r="K531" s="57">
        <f>IF(OR($A531="",K$24=""),"",IF(COUNTIFS('AFA Rates'!$A$5:$A$1004,$A531,'AFA Rates'!$B$5:$B$1004,K$24)&gt;0,"✓",""))</f>
        <v/>
      </c>
      <c r="L531" s="57">
        <f>IF(OR($A531="",L$24=""),"",IF(COUNTIFS('AFA Rates'!$A$5:$A$1004,$A531,'AFA Rates'!$B$5:$B$1004,L$24)&gt;0,"✓",""))</f>
        <v/>
      </c>
      <c r="M531" s="57">
        <f>IF(OR($A531="",M$24=""),"",IF(COUNTIFS('AFA Rates'!$A$5:$A$1004,$A531,'AFA Rates'!$B$5:$B$1004,M$24)&gt;0,"✓",""))</f>
        <v/>
      </c>
    </row>
    <row r="532">
      <c r="A532" s="63">
        <f>IFERROR(INDEX(Firms!$A$5:$A$1004,MATCH(508,Firms!$S$5:$S$1004,0)),"")</f>
        <v/>
      </c>
      <c r="B532" s="57">
        <f>IF($A532="","",INDEX(Firms!$B$5:$B$1004,MATCH(508,Firms!$S$5:$S$1004,0)))</f>
        <v/>
      </c>
      <c r="C532" s="57">
        <f>IF($A532="","",COUNTIF('AFA Rates'!$A$5:$A$1004,$A532))</f>
        <v/>
      </c>
      <c r="D532" s="57">
        <f>IF(OR($A532="",D$24=""),"",IF(COUNTIFS('AFA Rates'!$A$5:$A$1004,$A532,'AFA Rates'!$B$5:$B$1004,D$24)&gt;0,"✓",""))</f>
        <v/>
      </c>
      <c r="E532" s="57">
        <f>IF(OR($A532="",E$24=""),"",IF(COUNTIFS('AFA Rates'!$A$5:$A$1004,$A532,'AFA Rates'!$B$5:$B$1004,E$24)&gt;0,"✓",""))</f>
        <v/>
      </c>
      <c r="F532" s="57">
        <f>IF(OR($A532="",F$24=""),"",IF(COUNTIFS('AFA Rates'!$A$5:$A$1004,$A532,'AFA Rates'!$B$5:$B$1004,F$24)&gt;0,"✓",""))</f>
        <v/>
      </c>
      <c r="G532" s="57">
        <f>IF(OR($A532="",G$24=""),"",IF(COUNTIFS('AFA Rates'!$A$5:$A$1004,$A532,'AFA Rates'!$B$5:$B$1004,G$24)&gt;0,"✓",""))</f>
        <v/>
      </c>
      <c r="H532" s="57">
        <f>IF(OR($A532="",H$24=""),"",IF(COUNTIFS('AFA Rates'!$A$5:$A$1004,$A532,'AFA Rates'!$B$5:$B$1004,H$24)&gt;0,"✓",""))</f>
        <v/>
      </c>
      <c r="I532" s="57">
        <f>IF(OR($A532="",I$24=""),"",IF(COUNTIFS('AFA Rates'!$A$5:$A$1004,$A532,'AFA Rates'!$B$5:$B$1004,I$24)&gt;0,"✓",""))</f>
        <v/>
      </c>
      <c r="J532" s="57">
        <f>IF(OR($A532="",J$24=""),"",IF(COUNTIFS('AFA Rates'!$A$5:$A$1004,$A532,'AFA Rates'!$B$5:$B$1004,J$24)&gt;0,"✓",""))</f>
        <v/>
      </c>
      <c r="K532" s="57">
        <f>IF(OR($A532="",K$24=""),"",IF(COUNTIFS('AFA Rates'!$A$5:$A$1004,$A532,'AFA Rates'!$B$5:$B$1004,K$24)&gt;0,"✓",""))</f>
        <v/>
      </c>
      <c r="L532" s="57">
        <f>IF(OR($A532="",L$24=""),"",IF(COUNTIFS('AFA Rates'!$A$5:$A$1004,$A532,'AFA Rates'!$B$5:$B$1004,L$24)&gt;0,"✓",""))</f>
        <v/>
      </c>
      <c r="M532" s="57">
        <f>IF(OR($A532="",M$24=""),"",IF(COUNTIFS('AFA Rates'!$A$5:$A$1004,$A532,'AFA Rates'!$B$5:$B$1004,M$24)&gt;0,"✓",""))</f>
        <v/>
      </c>
    </row>
    <row r="533">
      <c r="A533" s="63">
        <f>IFERROR(INDEX(Firms!$A$5:$A$1004,MATCH(509,Firms!$S$5:$S$1004,0)),"")</f>
        <v/>
      </c>
      <c r="B533" s="57">
        <f>IF($A533="","",INDEX(Firms!$B$5:$B$1004,MATCH(509,Firms!$S$5:$S$1004,0)))</f>
        <v/>
      </c>
      <c r="C533" s="57">
        <f>IF($A533="","",COUNTIF('AFA Rates'!$A$5:$A$1004,$A533))</f>
        <v/>
      </c>
      <c r="D533" s="57">
        <f>IF(OR($A533="",D$24=""),"",IF(COUNTIFS('AFA Rates'!$A$5:$A$1004,$A533,'AFA Rates'!$B$5:$B$1004,D$24)&gt;0,"✓",""))</f>
        <v/>
      </c>
      <c r="E533" s="57">
        <f>IF(OR($A533="",E$24=""),"",IF(COUNTIFS('AFA Rates'!$A$5:$A$1004,$A533,'AFA Rates'!$B$5:$B$1004,E$24)&gt;0,"✓",""))</f>
        <v/>
      </c>
      <c r="F533" s="57">
        <f>IF(OR($A533="",F$24=""),"",IF(COUNTIFS('AFA Rates'!$A$5:$A$1004,$A533,'AFA Rates'!$B$5:$B$1004,F$24)&gt;0,"✓",""))</f>
        <v/>
      </c>
      <c r="G533" s="57">
        <f>IF(OR($A533="",G$24=""),"",IF(COUNTIFS('AFA Rates'!$A$5:$A$1004,$A533,'AFA Rates'!$B$5:$B$1004,G$24)&gt;0,"✓",""))</f>
        <v/>
      </c>
      <c r="H533" s="57">
        <f>IF(OR($A533="",H$24=""),"",IF(COUNTIFS('AFA Rates'!$A$5:$A$1004,$A533,'AFA Rates'!$B$5:$B$1004,H$24)&gt;0,"✓",""))</f>
        <v/>
      </c>
      <c r="I533" s="57">
        <f>IF(OR($A533="",I$24=""),"",IF(COUNTIFS('AFA Rates'!$A$5:$A$1004,$A533,'AFA Rates'!$B$5:$B$1004,I$24)&gt;0,"✓",""))</f>
        <v/>
      </c>
      <c r="J533" s="57">
        <f>IF(OR($A533="",J$24=""),"",IF(COUNTIFS('AFA Rates'!$A$5:$A$1004,$A533,'AFA Rates'!$B$5:$B$1004,J$24)&gt;0,"✓",""))</f>
        <v/>
      </c>
      <c r="K533" s="57">
        <f>IF(OR($A533="",K$24=""),"",IF(COUNTIFS('AFA Rates'!$A$5:$A$1004,$A533,'AFA Rates'!$B$5:$B$1004,K$24)&gt;0,"✓",""))</f>
        <v/>
      </c>
      <c r="L533" s="57">
        <f>IF(OR($A533="",L$24=""),"",IF(COUNTIFS('AFA Rates'!$A$5:$A$1004,$A533,'AFA Rates'!$B$5:$B$1004,L$24)&gt;0,"✓",""))</f>
        <v/>
      </c>
      <c r="M533" s="57">
        <f>IF(OR($A533="",M$24=""),"",IF(COUNTIFS('AFA Rates'!$A$5:$A$1004,$A533,'AFA Rates'!$B$5:$B$1004,M$24)&gt;0,"✓",""))</f>
        <v/>
      </c>
    </row>
    <row r="534">
      <c r="A534" s="63">
        <f>IFERROR(INDEX(Firms!$A$5:$A$1004,MATCH(510,Firms!$S$5:$S$1004,0)),"")</f>
        <v/>
      </c>
      <c r="B534" s="57">
        <f>IF($A534="","",INDEX(Firms!$B$5:$B$1004,MATCH(510,Firms!$S$5:$S$1004,0)))</f>
        <v/>
      </c>
      <c r="C534" s="57">
        <f>IF($A534="","",COUNTIF('AFA Rates'!$A$5:$A$1004,$A534))</f>
        <v/>
      </c>
      <c r="D534" s="57">
        <f>IF(OR($A534="",D$24=""),"",IF(COUNTIFS('AFA Rates'!$A$5:$A$1004,$A534,'AFA Rates'!$B$5:$B$1004,D$24)&gt;0,"✓",""))</f>
        <v/>
      </c>
      <c r="E534" s="57">
        <f>IF(OR($A534="",E$24=""),"",IF(COUNTIFS('AFA Rates'!$A$5:$A$1004,$A534,'AFA Rates'!$B$5:$B$1004,E$24)&gt;0,"✓",""))</f>
        <v/>
      </c>
      <c r="F534" s="57">
        <f>IF(OR($A534="",F$24=""),"",IF(COUNTIFS('AFA Rates'!$A$5:$A$1004,$A534,'AFA Rates'!$B$5:$B$1004,F$24)&gt;0,"✓",""))</f>
        <v/>
      </c>
      <c r="G534" s="57">
        <f>IF(OR($A534="",G$24=""),"",IF(COUNTIFS('AFA Rates'!$A$5:$A$1004,$A534,'AFA Rates'!$B$5:$B$1004,G$24)&gt;0,"✓",""))</f>
        <v/>
      </c>
      <c r="H534" s="57">
        <f>IF(OR($A534="",H$24=""),"",IF(COUNTIFS('AFA Rates'!$A$5:$A$1004,$A534,'AFA Rates'!$B$5:$B$1004,H$24)&gt;0,"✓",""))</f>
        <v/>
      </c>
      <c r="I534" s="57">
        <f>IF(OR($A534="",I$24=""),"",IF(COUNTIFS('AFA Rates'!$A$5:$A$1004,$A534,'AFA Rates'!$B$5:$B$1004,I$24)&gt;0,"✓",""))</f>
        <v/>
      </c>
      <c r="J534" s="57">
        <f>IF(OR($A534="",J$24=""),"",IF(COUNTIFS('AFA Rates'!$A$5:$A$1004,$A534,'AFA Rates'!$B$5:$B$1004,J$24)&gt;0,"✓",""))</f>
        <v/>
      </c>
      <c r="K534" s="57">
        <f>IF(OR($A534="",K$24=""),"",IF(COUNTIFS('AFA Rates'!$A$5:$A$1004,$A534,'AFA Rates'!$B$5:$B$1004,K$24)&gt;0,"✓",""))</f>
        <v/>
      </c>
      <c r="L534" s="57">
        <f>IF(OR($A534="",L$24=""),"",IF(COUNTIFS('AFA Rates'!$A$5:$A$1004,$A534,'AFA Rates'!$B$5:$B$1004,L$24)&gt;0,"✓",""))</f>
        <v/>
      </c>
      <c r="M534" s="57">
        <f>IF(OR($A534="",M$24=""),"",IF(COUNTIFS('AFA Rates'!$A$5:$A$1004,$A534,'AFA Rates'!$B$5:$B$1004,M$24)&gt;0,"✓",""))</f>
        <v/>
      </c>
    </row>
    <row r="535">
      <c r="A535" s="63">
        <f>IFERROR(INDEX(Firms!$A$5:$A$1004,MATCH(511,Firms!$S$5:$S$1004,0)),"")</f>
        <v/>
      </c>
      <c r="B535" s="57">
        <f>IF($A535="","",INDEX(Firms!$B$5:$B$1004,MATCH(511,Firms!$S$5:$S$1004,0)))</f>
        <v/>
      </c>
      <c r="C535" s="57">
        <f>IF($A535="","",COUNTIF('AFA Rates'!$A$5:$A$1004,$A535))</f>
        <v/>
      </c>
      <c r="D535" s="57">
        <f>IF(OR($A535="",D$24=""),"",IF(COUNTIFS('AFA Rates'!$A$5:$A$1004,$A535,'AFA Rates'!$B$5:$B$1004,D$24)&gt;0,"✓",""))</f>
        <v/>
      </c>
      <c r="E535" s="57">
        <f>IF(OR($A535="",E$24=""),"",IF(COUNTIFS('AFA Rates'!$A$5:$A$1004,$A535,'AFA Rates'!$B$5:$B$1004,E$24)&gt;0,"✓",""))</f>
        <v/>
      </c>
      <c r="F535" s="57">
        <f>IF(OR($A535="",F$24=""),"",IF(COUNTIFS('AFA Rates'!$A$5:$A$1004,$A535,'AFA Rates'!$B$5:$B$1004,F$24)&gt;0,"✓",""))</f>
        <v/>
      </c>
      <c r="G535" s="57">
        <f>IF(OR($A535="",G$24=""),"",IF(COUNTIFS('AFA Rates'!$A$5:$A$1004,$A535,'AFA Rates'!$B$5:$B$1004,G$24)&gt;0,"✓",""))</f>
        <v/>
      </c>
      <c r="H535" s="57">
        <f>IF(OR($A535="",H$24=""),"",IF(COUNTIFS('AFA Rates'!$A$5:$A$1004,$A535,'AFA Rates'!$B$5:$B$1004,H$24)&gt;0,"✓",""))</f>
        <v/>
      </c>
      <c r="I535" s="57">
        <f>IF(OR($A535="",I$24=""),"",IF(COUNTIFS('AFA Rates'!$A$5:$A$1004,$A535,'AFA Rates'!$B$5:$B$1004,I$24)&gt;0,"✓",""))</f>
        <v/>
      </c>
      <c r="J535" s="57">
        <f>IF(OR($A535="",J$24=""),"",IF(COUNTIFS('AFA Rates'!$A$5:$A$1004,$A535,'AFA Rates'!$B$5:$B$1004,J$24)&gt;0,"✓",""))</f>
        <v/>
      </c>
      <c r="K535" s="57">
        <f>IF(OR($A535="",K$24=""),"",IF(COUNTIFS('AFA Rates'!$A$5:$A$1004,$A535,'AFA Rates'!$B$5:$B$1004,K$24)&gt;0,"✓",""))</f>
        <v/>
      </c>
      <c r="L535" s="57">
        <f>IF(OR($A535="",L$24=""),"",IF(COUNTIFS('AFA Rates'!$A$5:$A$1004,$A535,'AFA Rates'!$B$5:$B$1004,L$24)&gt;0,"✓",""))</f>
        <v/>
      </c>
      <c r="M535" s="57">
        <f>IF(OR($A535="",M$24=""),"",IF(COUNTIFS('AFA Rates'!$A$5:$A$1004,$A535,'AFA Rates'!$B$5:$B$1004,M$24)&gt;0,"✓",""))</f>
        <v/>
      </c>
    </row>
    <row r="536">
      <c r="A536" s="63">
        <f>IFERROR(INDEX(Firms!$A$5:$A$1004,MATCH(512,Firms!$S$5:$S$1004,0)),"")</f>
        <v/>
      </c>
      <c r="B536" s="57">
        <f>IF($A536="","",INDEX(Firms!$B$5:$B$1004,MATCH(512,Firms!$S$5:$S$1004,0)))</f>
        <v/>
      </c>
      <c r="C536" s="57">
        <f>IF($A536="","",COUNTIF('AFA Rates'!$A$5:$A$1004,$A536))</f>
        <v/>
      </c>
      <c r="D536" s="57">
        <f>IF(OR($A536="",D$24=""),"",IF(COUNTIFS('AFA Rates'!$A$5:$A$1004,$A536,'AFA Rates'!$B$5:$B$1004,D$24)&gt;0,"✓",""))</f>
        <v/>
      </c>
      <c r="E536" s="57">
        <f>IF(OR($A536="",E$24=""),"",IF(COUNTIFS('AFA Rates'!$A$5:$A$1004,$A536,'AFA Rates'!$B$5:$B$1004,E$24)&gt;0,"✓",""))</f>
        <v/>
      </c>
      <c r="F536" s="57">
        <f>IF(OR($A536="",F$24=""),"",IF(COUNTIFS('AFA Rates'!$A$5:$A$1004,$A536,'AFA Rates'!$B$5:$B$1004,F$24)&gt;0,"✓",""))</f>
        <v/>
      </c>
      <c r="G536" s="57">
        <f>IF(OR($A536="",G$24=""),"",IF(COUNTIFS('AFA Rates'!$A$5:$A$1004,$A536,'AFA Rates'!$B$5:$B$1004,G$24)&gt;0,"✓",""))</f>
        <v/>
      </c>
      <c r="H536" s="57">
        <f>IF(OR($A536="",H$24=""),"",IF(COUNTIFS('AFA Rates'!$A$5:$A$1004,$A536,'AFA Rates'!$B$5:$B$1004,H$24)&gt;0,"✓",""))</f>
        <v/>
      </c>
      <c r="I536" s="57">
        <f>IF(OR($A536="",I$24=""),"",IF(COUNTIFS('AFA Rates'!$A$5:$A$1004,$A536,'AFA Rates'!$B$5:$B$1004,I$24)&gt;0,"✓",""))</f>
        <v/>
      </c>
      <c r="J536" s="57">
        <f>IF(OR($A536="",J$24=""),"",IF(COUNTIFS('AFA Rates'!$A$5:$A$1004,$A536,'AFA Rates'!$B$5:$B$1004,J$24)&gt;0,"✓",""))</f>
        <v/>
      </c>
      <c r="K536" s="57">
        <f>IF(OR($A536="",K$24=""),"",IF(COUNTIFS('AFA Rates'!$A$5:$A$1004,$A536,'AFA Rates'!$B$5:$B$1004,K$24)&gt;0,"✓",""))</f>
        <v/>
      </c>
      <c r="L536" s="57">
        <f>IF(OR($A536="",L$24=""),"",IF(COUNTIFS('AFA Rates'!$A$5:$A$1004,$A536,'AFA Rates'!$B$5:$B$1004,L$24)&gt;0,"✓",""))</f>
        <v/>
      </c>
      <c r="M536" s="57">
        <f>IF(OR($A536="",M$24=""),"",IF(COUNTIFS('AFA Rates'!$A$5:$A$1004,$A536,'AFA Rates'!$B$5:$B$1004,M$24)&gt;0,"✓",""))</f>
        <v/>
      </c>
    </row>
    <row r="537">
      <c r="A537" s="63">
        <f>IFERROR(INDEX(Firms!$A$5:$A$1004,MATCH(513,Firms!$S$5:$S$1004,0)),"")</f>
        <v/>
      </c>
      <c r="B537" s="57">
        <f>IF($A537="","",INDEX(Firms!$B$5:$B$1004,MATCH(513,Firms!$S$5:$S$1004,0)))</f>
        <v/>
      </c>
      <c r="C537" s="57">
        <f>IF($A537="","",COUNTIF('AFA Rates'!$A$5:$A$1004,$A537))</f>
        <v/>
      </c>
      <c r="D537" s="57">
        <f>IF(OR($A537="",D$24=""),"",IF(COUNTIFS('AFA Rates'!$A$5:$A$1004,$A537,'AFA Rates'!$B$5:$B$1004,D$24)&gt;0,"✓",""))</f>
        <v/>
      </c>
      <c r="E537" s="57">
        <f>IF(OR($A537="",E$24=""),"",IF(COUNTIFS('AFA Rates'!$A$5:$A$1004,$A537,'AFA Rates'!$B$5:$B$1004,E$24)&gt;0,"✓",""))</f>
        <v/>
      </c>
      <c r="F537" s="57">
        <f>IF(OR($A537="",F$24=""),"",IF(COUNTIFS('AFA Rates'!$A$5:$A$1004,$A537,'AFA Rates'!$B$5:$B$1004,F$24)&gt;0,"✓",""))</f>
        <v/>
      </c>
      <c r="G537" s="57">
        <f>IF(OR($A537="",G$24=""),"",IF(COUNTIFS('AFA Rates'!$A$5:$A$1004,$A537,'AFA Rates'!$B$5:$B$1004,G$24)&gt;0,"✓",""))</f>
        <v/>
      </c>
      <c r="H537" s="57">
        <f>IF(OR($A537="",H$24=""),"",IF(COUNTIFS('AFA Rates'!$A$5:$A$1004,$A537,'AFA Rates'!$B$5:$B$1004,H$24)&gt;0,"✓",""))</f>
        <v/>
      </c>
      <c r="I537" s="57">
        <f>IF(OR($A537="",I$24=""),"",IF(COUNTIFS('AFA Rates'!$A$5:$A$1004,$A537,'AFA Rates'!$B$5:$B$1004,I$24)&gt;0,"✓",""))</f>
        <v/>
      </c>
      <c r="J537" s="57">
        <f>IF(OR($A537="",J$24=""),"",IF(COUNTIFS('AFA Rates'!$A$5:$A$1004,$A537,'AFA Rates'!$B$5:$B$1004,J$24)&gt;0,"✓",""))</f>
        <v/>
      </c>
      <c r="K537" s="57">
        <f>IF(OR($A537="",K$24=""),"",IF(COUNTIFS('AFA Rates'!$A$5:$A$1004,$A537,'AFA Rates'!$B$5:$B$1004,K$24)&gt;0,"✓",""))</f>
        <v/>
      </c>
      <c r="L537" s="57">
        <f>IF(OR($A537="",L$24=""),"",IF(COUNTIFS('AFA Rates'!$A$5:$A$1004,$A537,'AFA Rates'!$B$5:$B$1004,L$24)&gt;0,"✓",""))</f>
        <v/>
      </c>
      <c r="M537" s="57">
        <f>IF(OR($A537="",M$24=""),"",IF(COUNTIFS('AFA Rates'!$A$5:$A$1004,$A537,'AFA Rates'!$B$5:$B$1004,M$24)&gt;0,"✓",""))</f>
        <v/>
      </c>
    </row>
    <row r="538">
      <c r="A538" s="63">
        <f>IFERROR(INDEX(Firms!$A$5:$A$1004,MATCH(514,Firms!$S$5:$S$1004,0)),"")</f>
        <v/>
      </c>
      <c r="B538" s="57">
        <f>IF($A538="","",INDEX(Firms!$B$5:$B$1004,MATCH(514,Firms!$S$5:$S$1004,0)))</f>
        <v/>
      </c>
      <c r="C538" s="57">
        <f>IF($A538="","",COUNTIF('AFA Rates'!$A$5:$A$1004,$A538))</f>
        <v/>
      </c>
      <c r="D538" s="57">
        <f>IF(OR($A538="",D$24=""),"",IF(COUNTIFS('AFA Rates'!$A$5:$A$1004,$A538,'AFA Rates'!$B$5:$B$1004,D$24)&gt;0,"✓",""))</f>
        <v/>
      </c>
      <c r="E538" s="57">
        <f>IF(OR($A538="",E$24=""),"",IF(COUNTIFS('AFA Rates'!$A$5:$A$1004,$A538,'AFA Rates'!$B$5:$B$1004,E$24)&gt;0,"✓",""))</f>
        <v/>
      </c>
      <c r="F538" s="57">
        <f>IF(OR($A538="",F$24=""),"",IF(COUNTIFS('AFA Rates'!$A$5:$A$1004,$A538,'AFA Rates'!$B$5:$B$1004,F$24)&gt;0,"✓",""))</f>
        <v/>
      </c>
      <c r="G538" s="57">
        <f>IF(OR($A538="",G$24=""),"",IF(COUNTIFS('AFA Rates'!$A$5:$A$1004,$A538,'AFA Rates'!$B$5:$B$1004,G$24)&gt;0,"✓",""))</f>
        <v/>
      </c>
      <c r="H538" s="57">
        <f>IF(OR($A538="",H$24=""),"",IF(COUNTIFS('AFA Rates'!$A$5:$A$1004,$A538,'AFA Rates'!$B$5:$B$1004,H$24)&gt;0,"✓",""))</f>
        <v/>
      </c>
      <c r="I538" s="57">
        <f>IF(OR($A538="",I$24=""),"",IF(COUNTIFS('AFA Rates'!$A$5:$A$1004,$A538,'AFA Rates'!$B$5:$B$1004,I$24)&gt;0,"✓",""))</f>
        <v/>
      </c>
      <c r="J538" s="57">
        <f>IF(OR($A538="",J$24=""),"",IF(COUNTIFS('AFA Rates'!$A$5:$A$1004,$A538,'AFA Rates'!$B$5:$B$1004,J$24)&gt;0,"✓",""))</f>
        <v/>
      </c>
      <c r="K538" s="57">
        <f>IF(OR($A538="",K$24=""),"",IF(COUNTIFS('AFA Rates'!$A$5:$A$1004,$A538,'AFA Rates'!$B$5:$B$1004,K$24)&gt;0,"✓",""))</f>
        <v/>
      </c>
      <c r="L538" s="57">
        <f>IF(OR($A538="",L$24=""),"",IF(COUNTIFS('AFA Rates'!$A$5:$A$1004,$A538,'AFA Rates'!$B$5:$B$1004,L$24)&gt;0,"✓",""))</f>
        <v/>
      </c>
      <c r="M538" s="57">
        <f>IF(OR($A538="",M$24=""),"",IF(COUNTIFS('AFA Rates'!$A$5:$A$1004,$A538,'AFA Rates'!$B$5:$B$1004,M$24)&gt;0,"✓",""))</f>
        <v/>
      </c>
    </row>
    <row r="539">
      <c r="A539" s="63">
        <f>IFERROR(INDEX(Firms!$A$5:$A$1004,MATCH(515,Firms!$S$5:$S$1004,0)),"")</f>
        <v/>
      </c>
      <c r="B539" s="57">
        <f>IF($A539="","",INDEX(Firms!$B$5:$B$1004,MATCH(515,Firms!$S$5:$S$1004,0)))</f>
        <v/>
      </c>
      <c r="C539" s="57">
        <f>IF($A539="","",COUNTIF('AFA Rates'!$A$5:$A$1004,$A539))</f>
        <v/>
      </c>
      <c r="D539" s="57">
        <f>IF(OR($A539="",D$24=""),"",IF(COUNTIFS('AFA Rates'!$A$5:$A$1004,$A539,'AFA Rates'!$B$5:$B$1004,D$24)&gt;0,"✓",""))</f>
        <v/>
      </c>
      <c r="E539" s="57">
        <f>IF(OR($A539="",E$24=""),"",IF(COUNTIFS('AFA Rates'!$A$5:$A$1004,$A539,'AFA Rates'!$B$5:$B$1004,E$24)&gt;0,"✓",""))</f>
        <v/>
      </c>
      <c r="F539" s="57">
        <f>IF(OR($A539="",F$24=""),"",IF(COUNTIFS('AFA Rates'!$A$5:$A$1004,$A539,'AFA Rates'!$B$5:$B$1004,F$24)&gt;0,"✓",""))</f>
        <v/>
      </c>
      <c r="G539" s="57">
        <f>IF(OR($A539="",G$24=""),"",IF(COUNTIFS('AFA Rates'!$A$5:$A$1004,$A539,'AFA Rates'!$B$5:$B$1004,G$24)&gt;0,"✓",""))</f>
        <v/>
      </c>
      <c r="H539" s="57">
        <f>IF(OR($A539="",H$24=""),"",IF(COUNTIFS('AFA Rates'!$A$5:$A$1004,$A539,'AFA Rates'!$B$5:$B$1004,H$24)&gt;0,"✓",""))</f>
        <v/>
      </c>
      <c r="I539" s="57">
        <f>IF(OR($A539="",I$24=""),"",IF(COUNTIFS('AFA Rates'!$A$5:$A$1004,$A539,'AFA Rates'!$B$5:$B$1004,I$24)&gt;0,"✓",""))</f>
        <v/>
      </c>
      <c r="J539" s="57">
        <f>IF(OR($A539="",J$24=""),"",IF(COUNTIFS('AFA Rates'!$A$5:$A$1004,$A539,'AFA Rates'!$B$5:$B$1004,J$24)&gt;0,"✓",""))</f>
        <v/>
      </c>
      <c r="K539" s="57">
        <f>IF(OR($A539="",K$24=""),"",IF(COUNTIFS('AFA Rates'!$A$5:$A$1004,$A539,'AFA Rates'!$B$5:$B$1004,K$24)&gt;0,"✓",""))</f>
        <v/>
      </c>
      <c r="L539" s="57">
        <f>IF(OR($A539="",L$24=""),"",IF(COUNTIFS('AFA Rates'!$A$5:$A$1004,$A539,'AFA Rates'!$B$5:$B$1004,L$24)&gt;0,"✓",""))</f>
        <v/>
      </c>
      <c r="M539" s="57">
        <f>IF(OR($A539="",M$24=""),"",IF(COUNTIFS('AFA Rates'!$A$5:$A$1004,$A539,'AFA Rates'!$B$5:$B$1004,M$24)&gt;0,"✓",""))</f>
        <v/>
      </c>
    </row>
    <row r="540">
      <c r="A540" s="63">
        <f>IFERROR(INDEX(Firms!$A$5:$A$1004,MATCH(516,Firms!$S$5:$S$1004,0)),"")</f>
        <v/>
      </c>
      <c r="B540" s="57">
        <f>IF($A540="","",INDEX(Firms!$B$5:$B$1004,MATCH(516,Firms!$S$5:$S$1004,0)))</f>
        <v/>
      </c>
      <c r="C540" s="57">
        <f>IF($A540="","",COUNTIF('AFA Rates'!$A$5:$A$1004,$A540))</f>
        <v/>
      </c>
      <c r="D540" s="57">
        <f>IF(OR($A540="",D$24=""),"",IF(COUNTIFS('AFA Rates'!$A$5:$A$1004,$A540,'AFA Rates'!$B$5:$B$1004,D$24)&gt;0,"✓",""))</f>
        <v/>
      </c>
      <c r="E540" s="57">
        <f>IF(OR($A540="",E$24=""),"",IF(COUNTIFS('AFA Rates'!$A$5:$A$1004,$A540,'AFA Rates'!$B$5:$B$1004,E$24)&gt;0,"✓",""))</f>
        <v/>
      </c>
      <c r="F540" s="57">
        <f>IF(OR($A540="",F$24=""),"",IF(COUNTIFS('AFA Rates'!$A$5:$A$1004,$A540,'AFA Rates'!$B$5:$B$1004,F$24)&gt;0,"✓",""))</f>
        <v/>
      </c>
      <c r="G540" s="57">
        <f>IF(OR($A540="",G$24=""),"",IF(COUNTIFS('AFA Rates'!$A$5:$A$1004,$A540,'AFA Rates'!$B$5:$B$1004,G$24)&gt;0,"✓",""))</f>
        <v/>
      </c>
      <c r="H540" s="57">
        <f>IF(OR($A540="",H$24=""),"",IF(COUNTIFS('AFA Rates'!$A$5:$A$1004,$A540,'AFA Rates'!$B$5:$B$1004,H$24)&gt;0,"✓",""))</f>
        <v/>
      </c>
      <c r="I540" s="57">
        <f>IF(OR($A540="",I$24=""),"",IF(COUNTIFS('AFA Rates'!$A$5:$A$1004,$A540,'AFA Rates'!$B$5:$B$1004,I$24)&gt;0,"✓",""))</f>
        <v/>
      </c>
      <c r="J540" s="57">
        <f>IF(OR($A540="",J$24=""),"",IF(COUNTIFS('AFA Rates'!$A$5:$A$1004,$A540,'AFA Rates'!$B$5:$B$1004,J$24)&gt;0,"✓",""))</f>
        <v/>
      </c>
      <c r="K540" s="57">
        <f>IF(OR($A540="",K$24=""),"",IF(COUNTIFS('AFA Rates'!$A$5:$A$1004,$A540,'AFA Rates'!$B$5:$B$1004,K$24)&gt;0,"✓",""))</f>
        <v/>
      </c>
      <c r="L540" s="57">
        <f>IF(OR($A540="",L$24=""),"",IF(COUNTIFS('AFA Rates'!$A$5:$A$1004,$A540,'AFA Rates'!$B$5:$B$1004,L$24)&gt;0,"✓",""))</f>
        <v/>
      </c>
      <c r="M540" s="57">
        <f>IF(OR($A540="",M$24=""),"",IF(COUNTIFS('AFA Rates'!$A$5:$A$1004,$A540,'AFA Rates'!$B$5:$B$1004,M$24)&gt;0,"✓",""))</f>
        <v/>
      </c>
    </row>
    <row r="541">
      <c r="A541" s="63">
        <f>IFERROR(INDEX(Firms!$A$5:$A$1004,MATCH(517,Firms!$S$5:$S$1004,0)),"")</f>
        <v/>
      </c>
      <c r="B541" s="57">
        <f>IF($A541="","",INDEX(Firms!$B$5:$B$1004,MATCH(517,Firms!$S$5:$S$1004,0)))</f>
        <v/>
      </c>
      <c r="C541" s="57">
        <f>IF($A541="","",COUNTIF('AFA Rates'!$A$5:$A$1004,$A541))</f>
        <v/>
      </c>
      <c r="D541" s="57">
        <f>IF(OR($A541="",D$24=""),"",IF(COUNTIFS('AFA Rates'!$A$5:$A$1004,$A541,'AFA Rates'!$B$5:$B$1004,D$24)&gt;0,"✓",""))</f>
        <v/>
      </c>
      <c r="E541" s="57">
        <f>IF(OR($A541="",E$24=""),"",IF(COUNTIFS('AFA Rates'!$A$5:$A$1004,$A541,'AFA Rates'!$B$5:$B$1004,E$24)&gt;0,"✓",""))</f>
        <v/>
      </c>
      <c r="F541" s="57">
        <f>IF(OR($A541="",F$24=""),"",IF(COUNTIFS('AFA Rates'!$A$5:$A$1004,$A541,'AFA Rates'!$B$5:$B$1004,F$24)&gt;0,"✓",""))</f>
        <v/>
      </c>
      <c r="G541" s="57">
        <f>IF(OR($A541="",G$24=""),"",IF(COUNTIFS('AFA Rates'!$A$5:$A$1004,$A541,'AFA Rates'!$B$5:$B$1004,G$24)&gt;0,"✓",""))</f>
        <v/>
      </c>
      <c r="H541" s="57">
        <f>IF(OR($A541="",H$24=""),"",IF(COUNTIFS('AFA Rates'!$A$5:$A$1004,$A541,'AFA Rates'!$B$5:$B$1004,H$24)&gt;0,"✓",""))</f>
        <v/>
      </c>
      <c r="I541" s="57">
        <f>IF(OR($A541="",I$24=""),"",IF(COUNTIFS('AFA Rates'!$A$5:$A$1004,$A541,'AFA Rates'!$B$5:$B$1004,I$24)&gt;0,"✓",""))</f>
        <v/>
      </c>
      <c r="J541" s="57">
        <f>IF(OR($A541="",J$24=""),"",IF(COUNTIFS('AFA Rates'!$A$5:$A$1004,$A541,'AFA Rates'!$B$5:$B$1004,J$24)&gt;0,"✓",""))</f>
        <v/>
      </c>
      <c r="K541" s="57">
        <f>IF(OR($A541="",K$24=""),"",IF(COUNTIFS('AFA Rates'!$A$5:$A$1004,$A541,'AFA Rates'!$B$5:$B$1004,K$24)&gt;0,"✓",""))</f>
        <v/>
      </c>
      <c r="L541" s="57">
        <f>IF(OR($A541="",L$24=""),"",IF(COUNTIFS('AFA Rates'!$A$5:$A$1004,$A541,'AFA Rates'!$B$5:$B$1004,L$24)&gt;0,"✓",""))</f>
        <v/>
      </c>
      <c r="M541" s="57">
        <f>IF(OR($A541="",M$24=""),"",IF(COUNTIFS('AFA Rates'!$A$5:$A$1004,$A541,'AFA Rates'!$B$5:$B$1004,M$24)&gt;0,"✓",""))</f>
        <v/>
      </c>
    </row>
    <row r="542">
      <c r="A542" s="63">
        <f>IFERROR(INDEX(Firms!$A$5:$A$1004,MATCH(518,Firms!$S$5:$S$1004,0)),"")</f>
        <v/>
      </c>
      <c r="B542" s="57">
        <f>IF($A542="","",INDEX(Firms!$B$5:$B$1004,MATCH(518,Firms!$S$5:$S$1004,0)))</f>
        <v/>
      </c>
      <c r="C542" s="57">
        <f>IF($A542="","",COUNTIF('AFA Rates'!$A$5:$A$1004,$A542))</f>
        <v/>
      </c>
      <c r="D542" s="57">
        <f>IF(OR($A542="",D$24=""),"",IF(COUNTIFS('AFA Rates'!$A$5:$A$1004,$A542,'AFA Rates'!$B$5:$B$1004,D$24)&gt;0,"✓",""))</f>
        <v/>
      </c>
      <c r="E542" s="57">
        <f>IF(OR($A542="",E$24=""),"",IF(COUNTIFS('AFA Rates'!$A$5:$A$1004,$A542,'AFA Rates'!$B$5:$B$1004,E$24)&gt;0,"✓",""))</f>
        <v/>
      </c>
      <c r="F542" s="57">
        <f>IF(OR($A542="",F$24=""),"",IF(COUNTIFS('AFA Rates'!$A$5:$A$1004,$A542,'AFA Rates'!$B$5:$B$1004,F$24)&gt;0,"✓",""))</f>
        <v/>
      </c>
      <c r="G542" s="57">
        <f>IF(OR($A542="",G$24=""),"",IF(COUNTIFS('AFA Rates'!$A$5:$A$1004,$A542,'AFA Rates'!$B$5:$B$1004,G$24)&gt;0,"✓",""))</f>
        <v/>
      </c>
      <c r="H542" s="57">
        <f>IF(OR($A542="",H$24=""),"",IF(COUNTIFS('AFA Rates'!$A$5:$A$1004,$A542,'AFA Rates'!$B$5:$B$1004,H$24)&gt;0,"✓",""))</f>
        <v/>
      </c>
      <c r="I542" s="57">
        <f>IF(OR($A542="",I$24=""),"",IF(COUNTIFS('AFA Rates'!$A$5:$A$1004,$A542,'AFA Rates'!$B$5:$B$1004,I$24)&gt;0,"✓",""))</f>
        <v/>
      </c>
      <c r="J542" s="57">
        <f>IF(OR($A542="",J$24=""),"",IF(COUNTIFS('AFA Rates'!$A$5:$A$1004,$A542,'AFA Rates'!$B$5:$B$1004,J$24)&gt;0,"✓",""))</f>
        <v/>
      </c>
      <c r="K542" s="57">
        <f>IF(OR($A542="",K$24=""),"",IF(COUNTIFS('AFA Rates'!$A$5:$A$1004,$A542,'AFA Rates'!$B$5:$B$1004,K$24)&gt;0,"✓",""))</f>
        <v/>
      </c>
      <c r="L542" s="57">
        <f>IF(OR($A542="",L$24=""),"",IF(COUNTIFS('AFA Rates'!$A$5:$A$1004,$A542,'AFA Rates'!$B$5:$B$1004,L$24)&gt;0,"✓",""))</f>
        <v/>
      </c>
      <c r="M542" s="57">
        <f>IF(OR($A542="",M$24=""),"",IF(COUNTIFS('AFA Rates'!$A$5:$A$1004,$A542,'AFA Rates'!$B$5:$B$1004,M$24)&gt;0,"✓",""))</f>
        <v/>
      </c>
    </row>
    <row r="543">
      <c r="A543" s="63">
        <f>IFERROR(INDEX(Firms!$A$5:$A$1004,MATCH(519,Firms!$S$5:$S$1004,0)),"")</f>
        <v/>
      </c>
      <c r="B543" s="57">
        <f>IF($A543="","",INDEX(Firms!$B$5:$B$1004,MATCH(519,Firms!$S$5:$S$1004,0)))</f>
        <v/>
      </c>
      <c r="C543" s="57">
        <f>IF($A543="","",COUNTIF('AFA Rates'!$A$5:$A$1004,$A543))</f>
        <v/>
      </c>
      <c r="D543" s="57">
        <f>IF(OR($A543="",D$24=""),"",IF(COUNTIFS('AFA Rates'!$A$5:$A$1004,$A543,'AFA Rates'!$B$5:$B$1004,D$24)&gt;0,"✓",""))</f>
        <v/>
      </c>
      <c r="E543" s="57">
        <f>IF(OR($A543="",E$24=""),"",IF(COUNTIFS('AFA Rates'!$A$5:$A$1004,$A543,'AFA Rates'!$B$5:$B$1004,E$24)&gt;0,"✓",""))</f>
        <v/>
      </c>
      <c r="F543" s="57">
        <f>IF(OR($A543="",F$24=""),"",IF(COUNTIFS('AFA Rates'!$A$5:$A$1004,$A543,'AFA Rates'!$B$5:$B$1004,F$24)&gt;0,"✓",""))</f>
        <v/>
      </c>
      <c r="G543" s="57">
        <f>IF(OR($A543="",G$24=""),"",IF(COUNTIFS('AFA Rates'!$A$5:$A$1004,$A543,'AFA Rates'!$B$5:$B$1004,G$24)&gt;0,"✓",""))</f>
        <v/>
      </c>
      <c r="H543" s="57">
        <f>IF(OR($A543="",H$24=""),"",IF(COUNTIFS('AFA Rates'!$A$5:$A$1004,$A543,'AFA Rates'!$B$5:$B$1004,H$24)&gt;0,"✓",""))</f>
        <v/>
      </c>
      <c r="I543" s="57">
        <f>IF(OR($A543="",I$24=""),"",IF(COUNTIFS('AFA Rates'!$A$5:$A$1004,$A543,'AFA Rates'!$B$5:$B$1004,I$24)&gt;0,"✓",""))</f>
        <v/>
      </c>
      <c r="J543" s="57">
        <f>IF(OR($A543="",J$24=""),"",IF(COUNTIFS('AFA Rates'!$A$5:$A$1004,$A543,'AFA Rates'!$B$5:$B$1004,J$24)&gt;0,"✓",""))</f>
        <v/>
      </c>
      <c r="K543" s="57">
        <f>IF(OR($A543="",K$24=""),"",IF(COUNTIFS('AFA Rates'!$A$5:$A$1004,$A543,'AFA Rates'!$B$5:$B$1004,K$24)&gt;0,"✓",""))</f>
        <v/>
      </c>
      <c r="L543" s="57">
        <f>IF(OR($A543="",L$24=""),"",IF(COUNTIFS('AFA Rates'!$A$5:$A$1004,$A543,'AFA Rates'!$B$5:$B$1004,L$24)&gt;0,"✓",""))</f>
        <v/>
      </c>
      <c r="M543" s="57">
        <f>IF(OR($A543="",M$24=""),"",IF(COUNTIFS('AFA Rates'!$A$5:$A$1004,$A543,'AFA Rates'!$B$5:$B$1004,M$24)&gt;0,"✓",""))</f>
        <v/>
      </c>
    </row>
    <row r="544">
      <c r="A544" s="63">
        <f>IFERROR(INDEX(Firms!$A$5:$A$1004,MATCH(520,Firms!$S$5:$S$1004,0)),"")</f>
        <v/>
      </c>
      <c r="B544" s="57">
        <f>IF($A544="","",INDEX(Firms!$B$5:$B$1004,MATCH(520,Firms!$S$5:$S$1004,0)))</f>
        <v/>
      </c>
      <c r="C544" s="57">
        <f>IF($A544="","",COUNTIF('AFA Rates'!$A$5:$A$1004,$A544))</f>
        <v/>
      </c>
      <c r="D544" s="57">
        <f>IF(OR($A544="",D$24=""),"",IF(COUNTIFS('AFA Rates'!$A$5:$A$1004,$A544,'AFA Rates'!$B$5:$B$1004,D$24)&gt;0,"✓",""))</f>
        <v/>
      </c>
      <c r="E544" s="57">
        <f>IF(OR($A544="",E$24=""),"",IF(COUNTIFS('AFA Rates'!$A$5:$A$1004,$A544,'AFA Rates'!$B$5:$B$1004,E$24)&gt;0,"✓",""))</f>
        <v/>
      </c>
      <c r="F544" s="57">
        <f>IF(OR($A544="",F$24=""),"",IF(COUNTIFS('AFA Rates'!$A$5:$A$1004,$A544,'AFA Rates'!$B$5:$B$1004,F$24)&gt;0,"✓",""))</f>
        <v/>
      </c>
      <c r="G544" s="57">
        <f>IF(OR($A544="",G$24=""),"",IF(COUNTIFS('AFA Rates'!$A$5:$A$1004,$A544,'AFA Rates'!$B$5:$B$1004,G$24)&gt;0,"✓",""))</f>
        <v/>
      </c>
      <c r="H544" s="57">
        <f>IF(OR($A544="",H$24=""),"",IF(COUNTIFS('AFA Rates'!$A$5:$A$1004,$A544,'AFA Rates'!$B$5:$B$1004,H$24)&gt;0,"✓",""))</f>
        <v/>
      </c>
      <c r="I544" s="57">
        <f>IF(OR($A544="",I$24=""),"",IF(COUNTIFS('AFA Rates'!$A$5:$A$1004,$A544,'AFA Rates'!$B$5:$B$1004,I$24)&gt;0,"✓",""))</f>
        <v/>
      </c>
      <c r="J544" s="57">
        <f>IF(OR($A544="",J$24=""),"",IF(COUNTIFS('AFA Rates'!$A$5:$A$1004,$A544,'AFA Rates'!$B$5:$B$1004,J$24)&gt;0,"✓",""))</f>
        <v/>
      </c>
      <c r="K544" s="57">
        <f>IF(OR($A544="",K$24=""),"",IF(COUNTIFS('AFA Rates'!$A$5:$A$1004,$A544,'AFA Rates'!$B$5:$B$1004,K$24)&gt;0,"✓",""))</f>
        <v/>
      </c>
      <c r="L544" s="57">
        <f>IF(OR($A544="",L$24=""),"",IF(COUNTIFS('AFA Rates'!$A$5:$A$1004,$A544,'AFA Rates'!$B$5:$B$1004,L$24)&gt;0,"✓",""))</f>
        <v/>
      </c>
      <c r="M544" s="57">
        <f>IF(OR($A544="",M$24=""),"",IF(COUNTIFS('AFA Rates'!$A$5:$A$1004,$A544,'AFA Rates'!$B$5:$B$1004,M$24)&gt;0,"✓",""))</f>
        <v/>
      </c>
    </row>
    <row r="545">
      <c r="A545" s="63">
        <f>IFERROR(INDEX(Firms!$A$5:$A$1004,MATCH(521,Firms!$S$5:$S$1004,0)),"")</f>
        <v/>
      </c>
      <c r="B545" s="57">
        <f>IF($A545="","",INDEX(Firms!$B$5:$B$1004,MATCH(521,Firms!$S$5:$S$1004,0)))</f>
        <v/>
      </c>
      <c r="C545" s="57">
        <f>IF($A545="","",COUNTIF('AFA Rates'!$A$5:$A$1004,$A545))</f>
        <v/>
      </c>
      <c r="D545" s="57">
        <f>IF(OR($A545="",D$24=""),"",IF(COUNTIFS('AFA Rates'!$A$5:$A$1004,$A545,'AFA Rates'!$B$5:$B$1004,D$24)&gt;0,"✓",""))</f>
        <v/>
      </c>
      <c r="E545" s="57">
        <f>IF(OR($A545="",E$24=""),"",IF(COUNTIFS('AFA Rates'!$A$5:$A$1004,$A545,'AFA Rates'!$B$5:$B$1004,E$24)&gt;0,"✓",""))</f>
        <v/>
      </c>
      <c r="F545" s="57">
        <f>IF(OR($A545="",F$24=""),"",IF(COUNTIFS('AFA Rates'!$A$5:$A$1004,$A545,'AFA Rates'!$B$5:$B$1004,F$24)&gt;0,"✓",""))</f>
        <v/>
      </c>
      <c r="G545" s="57">
        <f>IF(OR($A545="",G$24=""),"",IF(COUNTIFS('AFA Rates'!$A$5:$A$1004,$A545,'AFA Rates'!$B$5:$B$1004,G$24)&gt;0,"✓",""))</f>
        <v/>
      </c>
      <c r="H545" s="57">
        <f>IF(OR($A545="",H$24=""),"",IF(COUNTIFS('AFA Rates'!$A$5:$A$1004,$A545,'AFA Rates'!$B$5:$B$1004,H$24)&gt;0,"✓",""))</f>
        <v/>
      </c>
      <c r="I545" s="57">
        <f>IF(OR($A545="",I$24=""),"",IF(COUNTIFS('AFA Rates'!$A$5:$A$1004,$A545,'AFA Rates'!$B$5:$B$1004,I$24)&gt;0,"✓",""))</f>
        <v/>
      </c>
      <c r="J545" s="57">
        <f>IF(OR($A545="",J$24=""),"",IF(COUNTIFS('AFA Rates'!$A$5:$A$1004,$A545,'AFA Rates'!$B$5:$B$1004,J$24)&gt;0,"✓",""))</f>
        <v/>
      </c>
      <c r="K545" s="57">
        <f>IF(OR($A545="",K$24=""),"",IF(COUNTIFS('AFA Rates'!$A$5:$A$1004,$A545,'AFA Rates'!$B$5:$B$1004,K$24)&gt;0,"✓",""))</f>
        <v/>
      </c>
      <c r="L545" s="57">
        <f>IF(OR($A545="",L$24=""),"",IF(COUNTIFS('AFA Rates'!$A$5:$A$1004,$A545,'AFA Rates'!$B$5:$B$1004,L$24)&gt;0,"✓",""))</f>
        <v/>
      </c>
      <c r="M545" s="57">
        <f>IF(OR($A545="",M$24=""),"",IF(COUNTIFS('AFA Rates'!$A$5:$A$1004,$A545,'AFA Rates'!$B$5:$B$1004,M$24)&gt;0,"✓",""))</f>
        <v/>
      </c>
    </row>
    <row r="546">
      <c r="A546" s="63">
        <f>IFERROR(INDEX(Firms!$A$5:$A$1004,MATCH(522,Firms!$S$5:$S$1004,0)),"")</f>
        <v/>
      </c>
      <c r="B546" s="57">
        <f>IF($A546="","",INDEX(Firms!$B$5:$B$1004,MATCH(522,Firms!$S$5:$S$1004,0)))</f>
        <v/>
      </c>
      <c r="C546" s="57">
        <f>IF($A546="","",COUNTIF('AFA Rates'!$A$5:$A$1004,$A546))</f>
        <v/>
      </c>
      <c r="D546" s="57">
        <f>IF(OR($A546="",D$24=""),"",IF(COUNTIFS('AFA Rates'!$A$5:$A$1004,$A546,'AFA Rates'!$B$5:$B$1004,D$24)&gt;0,"✓",""))</f>
        <v/>
      </c>
      <c r="E546" s="57">
        <f>IF(OR($A546="",E$24=""),"",IF(COUNTIFS('AFA Rates'!$A$5:$A$1004,$A546,'AFA Rates'!$B$5:$B$1004,E$24)&gt;0,"✓",""))</f>
        <v/>
      </c>
      <c r="F546" s="57">
        <f>IF(OR($A546="",F$24=""),"",IF(COUNTIFS('AFA Rates'!$A$5:$A$1004,$A546,'AFA Rates'!$B$5:$B$1004,F$24)&gt;0,"✓",""))</f>
        <v/>
      </c>
      <c r="G546" s="57">
        <f>IF(OR($A546="",G$24=""),"",IF(COUNTIFS('AFA Rates'!$A$5:$A$1004,$A546,'AFA Rates'!$B$5:$B$1004,G$24)&gt;0,"✓",""))</f>
        <v/>
      </c>
      <c r="H546" s="57">
        <f>IF(OR($A546="",H$24=""),"",IF(COUNTIFS('AFA Rates'!$A$5:$A$1004,$A546,'AFA Rates'!$B$5:$B$1004,H$24)&gt;0,"✓",""))</f>
        <v/>
      </c>
      <c r="I546" s="57">
        <f>IF(OR($A546="",I$24=""),"",IF(COUNTIFS('AFA Rates'!$A$5:$A$1004,$A546,'AFA Rates'!$B$5:$B$1004,I$24)&gt;0,"✓",""))</f>
        <v/>
      </c>
      <c r="J546" s="57">
        <f>IF(OR($A546="",J$24=""),"",IF(COUNTIFS('AFA Rates'!$A$5:$A$1004,$A546,'AFA Rates'!$B$5:$B$1004,J$24)&gt;0,"✓",""))</f>
        <v/>
      </c>
      <c r="K546" s="57">
        <f>IF(OR($A546="",K$24=""),"",IF(COUNTIFS('AFA Rates'!$A$5:$A$1004,$A546,'AFA Rates'!$B$5:$B$1004,K$24)&gt;0,"✓",""))</f>
        <v/>
      </c>
      <c r="L546" s="57">
        <f>IF(OR($A546="",L$24=""),"",IF(COUNTIFS('AFA Rates'!$A$5:$A$1004,$A546,'AFA Rates'!$B$5:$B$1004,L$24)&gt;0,"✓",""))</f>
        <v/>
      </c>
      <c r="M546" s="57">
        <f>IF(OR($A546="",M$24=""),"",IF(COUNTIFS('AFA Rates'!$A$5:$A$1004,$A546,'AFA Rates'!$B$5:$B$1004,M$24)&gt;0,"✓",""))</f>
        <v/>
      </c>
    </row>
    <row r="547">
      <c r="A547" s="63">
        <f>IFERROR(INDEX(Firms!$A$5:$A$1004,MATCH(523,Firms!$S$5:$S$1004,0)),"")</f>
        <v/>
      </c>
      <c r="B547" s="57">
        <f>IF($A547="","",INDEX(Firms!$B$5:$B$1004,MATCH(523,Firms!$S$5:$S$1004,0)))</f>
        <v/>
      </c>
      <c r="C547" s="57">
        <f>IF($A547="","",COUNTIF('AFA Rates'!$A$5:$A$1004,$A547))</f>
        <v/>
      </c>
      <c r="D547" s="57">
        <f>IF(OR($A547="",D$24=""),"",IF(COUNTIFS('AFA Rates'!$A$5:$A$1004,$A547,'AFA Rates'!$B$5:$B$1004,D$24)&gt;0,"✓",""))</f>
        <v/>
      </c>
      <c r="E547" s="57">
        <f>IF(OR($A547="",E$24=""),"",IF(COUNTIFS('AFA Rates'!$A$5:$A$1004,$A547,'AFA Rates'!$B$5:$B$1004,E$24)&gt;0,"✓",""))</f>
        <v/>
      </c>
      <c r="F547" s="57">
        <f>IF(OR($A547="",F$24=""),"",IF(COUNTIFS('AFA Rates'!$A$5:$A$1004,$A547,'AFA Rates'!$B$5:$B$1004,F$24)&gt;0,"✓",""))</f>
        <v/>
      </c>
      <c r="G547" s="57">
        <f>IF(OR($A547="",G$24=""),"",IF(COUNTIFS('AFA Rates'!$A$5:$A$1004,$A547,'AFA Rates'!$B$5:$B$1004,G$24)&gt;0,"✓",""))</f>
        <v/>
      </c>
      <c r="H547" s="57">
        <f>IF(OR($A547="",H$24=""),"",IF(COUNTIFS('AFA Rates'!$A$5:$A$1004,$A547,'AFA Rates'!$B$5:$B$1004,H$24)&gt;0,"✓",""))</f>
        <v/>
      </c>
      <c r="I547" s="57">
        <f>IF(OR($A547="",I$24=""),"",IF(COUNTIFS('AFA Rates'!$A$5:$A$1004,$A547,'AFA Rates'!$B$5:$B$1004,I$24)&gt;0,"✓",""))</f>
        <v/>
      </c>
      <c r="J547" s="57">
        <f>IF(OR($A547="",J$24=""),"",IF(COUNTIFS('AFA Rates'!$A$5:$A$1004,$A547,'AFA Rates'!$B$5:$B$1004,J$24)&gt;0,"✓",""))</f>
        <v/>
      </c>
      <c r="K547" s="57">
        <f>IF(OR($A547="",K$24=""),"",IF(COUNTIFS('AFA Rates'!$A$5:$A$1004,$A547,'AFA Rates'!$B$5:$B$1004,K$24)&gt;0,"✓",""))</f>
        <v/>
      </c>
      <c r="L547" s="57">
        <f>IF(OR($A547="",L$24=""),"",IF(COUNTIFS('AFA Rates'!$A$5:$A$1004,$A547,'AFA Rates'!$B$5:$B$1004,L$24)&gt;0,"✓",""))</f>
        <v/>
      </c>
      <c r="M547" s="57">
        <f>IF(OR($A547="",M$24=""),"",IF(COUNTIFS('AFA Rates'!$A$5:$A$1004,$A547,'AFA Rates'!$B$5:$B$1004,M$24)&gt;0,"✓",""))</f>
        <v/>
      </c>
    </row>
    <row r="548">
      <c r="A548" s="63">
        <f>IFERROR(INDEX(Firms!$A$5:$A$1004,MATCH(524,Firms!$S$5:$S$1004,0)),"")</f>
        <v/>
      </c>
      <c r="B548" s="57">
        <f>IF($A548="","",INDEX(Firms!$B$5:$B$1004,MATCH(524,Firms!$S$5:$S$1004,0)))</f>
        <v/>
      </c>
      <c r="C548" s="57">
        <f>IF($A548="","",COUNTIF('AFA Rates'!$A$5:$A$1004,$A548))</f>
        <v/>
      </c>
      <c r="D548" s="57">
        <f>IF(OR($A548="",D$24=""),"",IF(COUNTIFS('AFA Rates'!$A$5:$A$1004,$A548,'AFA Rates'!$B$5:$B$1004,D$24)&gt;0,"✓",""))</f>
        <v/>
      </c>
      <c r="E548" s="57">
        <f>IF(OR($A548="",E$24=""),"",IF(COUNTIFS('AFA Rates'!$A$5:$A$1004,$A548,'AFA Rates'!$B$5:$B$1004,E$24)&gt;0,"✓",""))</f>
        <v/>
      </c>
      <c r="F548" s="57">
        <f>IF(OR($A548="",F$24=""),"",IF(COUNTIFS('AFA Rates'!$A$5:$A$1004,$A548,'AFA Rates'!$B$5:$B$1004,F$24)&gt;0,"✓",""))</f>
        <v/>
      </c>
      <c r="G548" s="57">
        <f>IF(OR($A548="",G$24=""),"",IF(COUNTIFS('AFA Rates'!$A$5:$A$1004,$A548,'AFA Rates'!$B$5:$B$1004,G$24)&gt;0,"✓",""))</f>
        <v/>
      </c>
      <c r="H548" s="57">
        <f>IF(OR($A548="",H$24=""),"",IF(COUNTIFS('AFA Rates'!$A$5:$A$1004,$A548,'AFA Rates'!$B$5:$B$1004,H$24)&gt;0,"✓",""))</f>
        <v/>
      </c>
      <c r="I548" s="57">
        <f>IF(OR($A548="",I$24=""),"",IF(COUNTIFS('AFA Rates'!$A$5:$A$1004,$A548,'AFA Rates'!$B$5:$B$1004,I$24)&gt;0,"✓",""))</f>
        <v/>
      </c>
      <c r="J548" s="57">
        <f>IF(OR($A548="",J$24=""),"",IF(COUNTIFS('AFA Rates'!$A$5:$A$1004,$A548,'AFA Rates'!$B$5:$B$1004,J$24)&gt;0,"✓",""))</f>
        <v/>
      </c>
      <c r="K548" s="57">
        <f>IF(OR($A548="",K$24=""),"",IF(COUNTIFS('AFA Rates'!$A$5:$A$1004,$A548,'AFA Rates'!$B$5:$B$1004,K$24)&gt;0,"✓",""))</f>
        <v/>
      </c>
      <c r="L548" s="57">
        <f>IF(OR($A548="",L$24=""),"",IF(COUNTIFS('AFA Rates'!$A$5:$A$1004,$A548,'AFA Rates'!$B$5:$B$1004,L$24)&gt;0,"✓",""))</f>
        <v/>
      </c>
      <c r="M548" s="57">
        <f>IF(OR($A548="",M$24=""),"",IF(COUNTIFS('AFA Rates'!$A$5:$A$1004,$A548,'AFA Rates'!$B$5:$B$1004,M$24)&gt;0,"✓",""))</f>
        <v/>
      </c>
    </row>
    <row r="549">
      <c r="A549" s="63">
        <f>IFERROR(INDEX(Firms!$A$5:$A$1004,MATCH(525,Firms!$S$5:$S$1004,0)),"")</f>
        <v/>
      </c>
      <c r="B549" s="57">
        <f>IF($A549="","",INDEX(Firms!$B$5:$B$1004,MATCH(525,Firms!$S$5:$S$1004,0)))</f>
        <v/>
      </c>
      <c r="C549" s="57">
        <f>IF($A549="","",COUNTIF('AFA Rates'!$A$5:$A$1004,$A549))</f>
        <v/>
      </c>
      <c r="D549" s="57">
        <f>IF(OR($A549="",D$24=""),"",IF(COUNTIFS('AFA Rates'!$A$5:$A$1004,$A549,'AFA Rates'!$B$5:$B$1004,D$24)&gt;0,"✓",""))</f>
        <v/>
      </c>
      <c r="E549" s="57">
        <f>IF(OR($A549="",E$24=""),"",IF(COUNTIFS('AFA Rates'!$A$5:$A$1004,$A549,'AFA Rates'!$B$5:$B$1004,E$24)&gt;0,"✓",""))</f>
        <v/>
      </c>
      <c r="F549" s="57">
        <f>IF(OR($A549="",F$24=""),"",IF(COUNTIFS('AFA Rates'!$A$5:$A$1004,$A549,'AFA Rates'!$B$5:$B$1004,F$24)&gt;0,"✓",""))</f>
        <v/>
      </c>
      <c r="G549" s="57">
        <f>IF(OR($A549="",G$24=""),"",IF(COUNTIFS('AFA Rates'!$A$5:$A$1004,$A549,'AFA Rates'!$B$5:$B$1004,G$24)&gt;0,"✓",""))</f>
        <v/>
      </c>
      <c r="H549" s="57">
        <f>IF(OR($A549="",H$24=""),"",IF(COUNTIFS('AFA Rates'!$A$5:$A$1004,$A549,'AFA Rates'!$B$5:$B$1004,H$24)&gt;0,"✓",""))</f>
        <v/>
      </c>
      <c r="I549" s="57">
        <f>IF(OR($A549="",I$24=""),"",IF(COUNTIFS('AFA Rates'!$A$5:$A$1004,$A549,'AFA Rates'!$B$5:$B$1004,I$24)&gt;0,"✓",""))</f>
        <v/>
      </c>
      <c r="J549" s="57">
        <f>IF(OR($A549="",J$24=""),"",IF(COUNTIFS('AFA Rates'!$A$5:$A$1004,$A549,'AFA Rates'!$B$5:$B$1004,J$24)&gt;0,"✓",""))</f>
        <v/>
      </c>
      <c r="K549" s="57">
        <f>IF(OR($A549="",K$24=""),"",IF(COUNTIFS('AFA Rates'!$A$5:$A$1004,$A549,'AFA Rates'!$B$5:$B$1004,K$24)&gt;0,"✓",""))</f>
        <v/>
      </c>
      <c r="L549" s="57">
        <f>IF(OR($A549="",L$24=""),"",IF(COUNTIFS('AFA Rates'!$A$5:$A$1004,$A549,'AFA Rates'!$B$5:$B$1004,L$24)&gt;0,"✓",""))</f>
        <v/>
      </c>
      <c r="M549" s="57">
        <f>IF(OR($A549="",M$24=""),"",IF(COUNTIFS('AFA Rates'!$A$5:$A$1004,$A549,'AFA Rates'!$B$5:$B$1004,M$24)&gt;0,"✓",""))</f>
        <v/>
      </c>
    </row>
    <row r="550">
      <c r="A550" s="63">
        <f>IFERROR(INDEX(Firms!$A$5:$A$1004,MATCH(526,Firms!$S$5:$S$1004,0)),"")</f>
        <v/>
      </c>
      <c r="B550" s="57">
        <f>IF($A550="","",INDEX(Firms!$B$5:$B$1004,MATCH(526,Firms!$S$5:$S$1004,0)))</f>
        <v/>
      </c>
      <c r="C550" s="57">
        <f>IF($A550="","",COUNTIF('AFA Rates'!$A$5:$A$1004,$A550))</f>
        <v/>
      </c>
      <c r="D550" s="57">
        <f>IF(OR($A550="",D$24=""),"",IF(COUNTIFS('AFA Rates'!$A$5:$A$1004,$A550,'AFA Rates'!$B$5:$B$1004,D$24)&gt;0,"✓",""))</f>
        <v/>
      </c>
      <c r="E550" s="57">
        <f>IF(OR($A550="",E$24=""),"",IF(COUNTIFS('AFA Rates'!$A$5:$A$1004,$A550,'AFA Rates'!$B$5:$B$1004,E$24)&gt;0,"✓",""))</f>
        <v/>
      </c>
      <c r="F550" s="57">
        <f>IF(OR($A550="",F$24=""),"",IF(COUNTIFS('AFA Rates'!$A$5:$A$1004,$A550,'AFA Rates'!$B$5:$B$1004,F$24)&gt;0,"✓",""))</f>
        <v/>
      </c>
      <c r="G550" s="57">
        <f>IF(OR($A550="",G$24=""),"",IF(COUNTIFS('AFA Rates'!$A$5:$A$1004,$A550,'AFA Rates'!$B$5:$B$1004,G$24)&gt;0,"✓",""))</f>
        <v/>
      </c>
      <c r="H550" s="57">
        <f>IF(OR($A550="",H$24=""),"",IF(COUNTIFS('AFA Rates'!$A$5:$A$1004,$A550,'AFA Rates'!$B$5:$B$1004,H$24)&gt;0,"✓",""))</f>
        <v/>
      </c>
      <c r="I550" s="57">
        <f>IF(OR($A550="",I$24=""),"",IF(COUNTIFS('AFA Rates'!$A$5:$A$1004,$A550,'AFA Rates'!$B$5:$B$1004,I$24)&gt;0,"✓",""))</f>
        <v/>
      </c>
      <c r="J550" s="57">
        <f>IF(OR($A550="",J$24=""),"",IF(COUNTIFS('AFA Rates'!$A$5:$A$1004,$A550,'AFA Rates'!$B$5:$B$1004,J$24)&gt;0,"✓",""))</f>
        <v/>
      </c>
      <c r="K550" s="57">
        <f>IF(OR($A550="",K$24=""),"",IF(COUNTIFS('AFA Rates'!$A$5:$A$1004,$A550,'AFA Rates'!$B$5:$B$1004,K$24)&gt;0,"✓",""))</f>
        <v/>
      </c>
      <c r="L550" s="57">
        <f>IF(OR($A550="",L$24=""),"",IF(COUNTIFS('AFA Rates'!$A$5:$A$1004,$A550,'AFA Rates'!$B$5:$B$1004,L$24)&gt;0,"✓",""))</f>
        <v/>
      </c>
      <c r="M550" s="57">
        <f>IF(OR($A550="",M$24=""),"",IF(COUNTIFS('AFA Rates'!$A$5:$A$1004,$A550,'AFA Rates'!$B$5:$B$1004,M$24)&gt;0,"✓",""))</f>
        <v/>
      </c>
    </row>
    <row r="551">
      <c r="A551" s="63">
        <f>IFERROR(INDEX(Firms!$A$5:$A$1004,MATCH(527,Firms!$S$5:$S$1004,0)),"")</f>
        <v/>
      </c>
      <c r="B551" s="57">
        <f>IF($A551="","",INDEX(Firms!$B$5:$B$1004,MATCH(527,Firms!$S$5:$S$1004,0)))</f>
        <v/>
      </c>
      <c r="C551" s="57">
        <f>IF($A551="","",COUNTIF('AFA Rates'!$A$5:$A$1004,$A551))</f>
        <v/>
      </c>
      <c r="D551" s="57">
        <f>IF(OR($A551="",D$24=""),"",IF(COUNTIFS('AFA Rates'!$A$5:$A$1004,$A551,'AFA Rates'!$B$5:$B$1004,D$24)&gt;0,"✓",""))</f>
        <v/>
      </c>
      <c r="E551" s="57">
        <f>IF(OR($A551="",E$24=""),"",IF(COUNTIFS('AFA Rates'!$A$5:$A$1004,$A551,'AFA Rates'!$B$5:$B$1004,E$24)&gt;0,"✓",""))</f>
        <v/>
      </c>
      <c r="F551" s="57">
        <f>IF(OR($A551="",F$24=""),"",IF(COUNTIFS('AFA Rates'!$A$5:$A$1004,$A551,'AFA Rates'!$B$5:$B$1004,F$24)&gt;0,"✓",""))</f>
        <v/>
      </c>
      <c r="G551" s="57">
        <f>IF(OR($A551="",G$24=""),"",IF(COUNTIFS('AFA Rates'!$A$5:$A$1004,$A551,'AFA Rates'!$B$5:$B$1004,G$24)&gt;0,"✓",""))</f>
        <v/>
      </c>
      <c r="H551" s="57">
        <f>IF(OR($A551="",H$24=""),"",IF(COUNTIFS('AFA Rates'!$A$5:$A$1004,$A551,'AFA Rates'!$B$5:$B$1004,H$24)&gt;0,"✓",""))</f>
        <v/>
      </c>
      <c r="I551" s="57">
        <f>IF(OR($A551="",I$24=""),"",IF(COUNTIFS('AFA Rates'!$A$5:$A$1004,$A551,'AFA Rates'!$B$5:$B$1004,I$24)&gt;0,"✓",""))</f>
        <v/>
      </c>
      <c r="J551" s="57">
        <f>IF(OR($A551="",J$24=""),"",IF(COUNTIFS('AFA Rates'!$A$5:$A$1004,$A551,'AFA Rates'!$B$5:$B$1004,J$24)&gt;0,"✓",""))</f>
        <v/>
      </c>
      <c r="K551" s="57">
        <f>IF(OR($A551="",K$24=""),"",IF(COUNTIFS('AFA Rates'!$A$5:$A$1004,$A551,'AFA Rates'!$B$5:$B$1004,K$24)&gt;0,"✓",""))</f>
        <v/>
      </c>
      <c r="L551" s="57">
        <f>IF(OR($A551="",L$24=""),"",IF(COUNTIFS('AFA Rates'!$A$5:$A$1004,$A551,'AFA Rates'!$B$5:$B$1004,L$24)&gt;0,"✓",""))</f>
        <v/>
      </c>
      <c r="M551" s="57">
        <f>IF(OR($A551="",M$24=""),"",IF(COUNTIFS('AFA Rates'!$A$5:$A$1004,$A551,'AFA Rates'!$B$5:$B$1004,M$24)&gt;0,"✓",""))</f>
        <v/>
      </c>
    </row>
    <row r="552">
      <c r="A552" s="63">
        <f>IFERROR(INDEX(Firms!$A$5:$A$1004,MATCH(528,Firms!$S$5:$S$1004,0)),"")</f>
        <v/>
      </c>
      <c r="B552" s="57">
        <f>IF($A552="","",INDEX(Firms!$B$5:$B$1004,MATCH(528,Firms!$S$5:$S$1004,0)))</f>
        <v/>
      </c>
      <c r="C552" s="57">
        <f>IF($A552="","",COUNTIF('AFA Rates'!$A$5:$A$1004,$A552))</f>
        <v/>
      </c>
      <c r="D552" s="57">
        <f>IF(OR($A552="",D$24=""),"",IF(COUNTIFS('AFA Rates'!$A$5:$A$1004,$A552,'AFA Rates'!$B$5:$B$1004,D$24)&gt;0,"✓",""))</f>
        <v/>
      </c>
      <c r="E552" s="57">
        <f>IF(OR($A552="",E$24=""),"",IF(COUNTIFS('AFA Rates'!$A$5:$A$1004,$A552,'AFA Rates'!$B$5:$B$1004,E$24)&gt;0,"✓",""))</f>
        <v/>
      </c>
      <c r="F552" s="57">
        <f>IF(OR($A552="",F$24=""),"",IF(COUNTIFS('AFA Rates'!$A$5:$A$1004,$A552,'AFA Rates'!$B$5:$B$1004,F$24)&gt;0,"✓",""))</f>
        <v/>
      </c>
      <c r="G552" s="57">
        <f>IF(OR($A552="",G$24=""),"",IF(COUNTIFS('AFA Rates'!$A$5:$A$1004,$A552,'AFA Rates'!$B$5:$B$1004,G$24)&gt;0,"✓",""))</f>
        <v/>
      </c>
      <c r="H552" s="57">
        <f>IF(OR($A552="",H$24=""),"",IF(COUNTIFS('AFA Rates'!$A$5:$A$1004,$A552,'AFA Rates'!$B$5:$B$1004,H$24)&gt;0,"✓",""))</f>
        <v/>
      </c>
      <c r="I552" s="57">
        <f>IF(OR($A552="",I$24=""),"",IF(COUNTIFS('AFA Rates'!$A$5:$A$1004,$A552,'AFA Rates'!$B$5:$B$1004,I$24)&gt;0,"✓",""))</f>
        <v/>
      </c>
      <c r="J552" s="57">
        <f>IF(OR($A552="",J$24=""),"",IF(COUNTIFS('AFA Rates'!$A$5:$A$1004,$A552,'AFA Rates'!$B$5:$B$1004,J$24)&gt;0,"✓",""))</f>
        <v/>
      </c>
      <c r="K552" s="57">
        <f>IF(OR($A552="",K$24=""),"",IF(COUNTIFS('AFA Rates'!$A$5:$A$1004,$A552,'AFA Rates'!$B$5:$B$1004,K$24)&gt;0,"✓",""))</f>
        <v/>
      </c>
      <c r="L552" s="57">
        <f>IF(OR($A552="",L$24=""),"",IF(COUNTIFS('AFA Rates'!$A$5:$A$1004,$A552,'AFA Rates'!$B$5:$B$1004,L$24)&gt;0,"✓",""))</f>
        <v/>
      </c>
      <c r="M552" s="57">
        <f>IF(OR($A552="",M$24=""),"",IF(COUNTIFS('AFA Rates'!$A$5:$A$1004,$A552,'AFA Rates'!$B$5:$B$1004,M$24)&gt;0,"✓",""))</f>
        <v/>
      </c>
    </row>
    <row r="553">
      <c r="A553" s="63">
        <f>IFERROR(INDEX(Firms!$A$5:$A$1004,MATCH(529,Firms!$S$5:$S$1004,0)),"")</f>
        <v/>
      </c>
      <c r="B553" s="57">
        <f>IF($A553="","",INDEX(Firms!$B$5:$B$1004,MATCH(529,Firms!$S$5:$S$1004,0)))</f>
        <v/>
      </c>
      <c r="C553" s="57">
        <f>IF($A553="","",COUNTIF('AFA Rates'!$A$5:$A$1004,$A553))</f>
        <v/>
      </c>
      <c r="D553" s="57">
        <f>IF(OR($A553="",D$24=""),"",IF(COUNTIFS('AFA Rates'!$A$5:$A$1004,$A553,'AFA Rates'!$B$5:$B$1004,D$24)&gt;0,"✓",""))</f>
        <v/>
      </c>
      <c r="E553" s="57">
        <f>IF(OR($A553="",E$24=""),"",IF(COUNTIFS('AFA Rates'!$A$5:$A$1004,$A553,'AFA Rates'!$B$5:$B$1004,E$24)&gt;0,"✓",""))</f>
        <v/>
      </c>
      <c r="F553" s="57">
        <f>IF(OR($A553="",F$24=""),"",IF(COUNTIFS('AFA Rates'!$A$5:$A$1004,$A553,'AFA Rates'!$B$5:$B$1004,F$24)&gt;0,"✓",""))</f>
        <v/>
      </c>
      <c r="G553" s="57">
        <f>IF(OR($A553="",G$24=""),"",IF(COUNTIFS('AFA Rates'!$A$5:$A$1004,$A553,'AFA Rates'!$B$5:$B$1004,G$24)&gt;0,"✓",""))</f>
        <v/>
      </c>
      <c r="H553" s="57">
        <f>IF(OR($A553="",H$24=""),"",IF(COUNTIFS('AFA Rates'!$A$5:$A$1004,$A553,'AFA Rates'!$B$5:$B$1004,H$24)&gt;0,"✓",""))</f>
        <v/>
      </c>
      <c r="I553" s="57">
        <f>IF(OR($A553="",I$24=""),"",IF(COUNTIFS('AFA Rates'!$A$5:$A$1004,$A553,'AFA Rates'!$B$5:$B$1004,I$24)&gt;0,"✓",""))</f>
        <v/>
      </c>
      <c r="J553" s="57">
        <f>IF(OR($A553="",J$24=""),"",IF(COUNTIFS('AFA Rates'!$A$5:$A$1004,$A553,'AFA Rates'!$B$5:$B$1004,J$24)&gt;0,"✓",""))</f>
        <v/>
      </c>
      <c r="K553" s="57">
        <f>IF(OR($A553="",K$24=""),"",IF(COUNTIFS('AFA Rates'!$A$5:$A$1004,$A553,'AFA Rates'!$B$5:$B$1004,K$24)&gt;0,"✓",""))</f>
        <v/>
      </c>
      <c r="L553" s="57">
        <f>IF(OR($A553="",L$24=""),"",IF(COUNTIFS('AFA Rates'!$A$5:$A$1004,$A553,'AFA Rates'!$B$5:$B$1004,L$24)&gt;0,"✓",""))</f>
        <v/>
      </c>
      <c r="M553" s="57">
        <f>IF(OR($A553="",M$24=""),"",IF(COUNTIFS('AFA Rates'!$A$5:$A$1004,$A553,'AFA Rates'!$B$5:$B$1004,M$24)&gt;0,"✓",""))</f>
        <v/>
      </c>
    </row>
    <row r="554">
      <c r="A554" s="63">
        <f>IFERROR(INDEX(Firms!$A$5:$A$1004,MATCH(530,Firms!$S$5:$S$1004,0)),"")</f>
        <v/>
      </c>
      <c r="B554" s="57">
        <f>IF($A554="","",INDEX(Firms!$B$5:$B$1004,MATCH(530,Firms!$S$5:$S$1004,0)))</f>
        <v/>
      </c>
      <c r="C554" s="57">
        <f>IF($A554="","",COUNTIF('AFA Rates'!$A$5:$A$1004,$A554))</f>
        <v/>
      </c>
      <c r="D554" s="57">
        <f>IF(OR($A554="",D$24=""),"",IF(COUNTIFS('AFA Rates'!$A$5:$A$1004,$A554,'AFA Rates'!$B$5:$B$1004,D$24)&gt;0,"✓",""))</f>
        <v/>
      </c>
      <c r="E554" s="57">
        <f>IF(OR($A554="",E$24=""),"",IF(COUNTIFS('AFA Rates'!$A$5:$A$1004,$A554,'AFA Rates'!$B$5:$B$1004,E$24)&gt;0,"✓",""))</f>
        <v/>
      </c>
      <c r="F554" s="57">
        <f>IF(OR($A554="",F$24=""),"",IF(COUNTIFS('AFA Rates'!$A$5:$A$1004,$A554,'AFA Rates'!$B$5:$B$1004,F$24)&gt;0,"✓",""))</f>
        <v/>
      </c>
      <c r="G554" s="57">
        <f>IF(OR($A554="",G$24=""),"",IF(COUNTIFS('AFA Rates'!$A$5:$A$1004,$A554,'AFA Rates'!$B$5:$B$1004,G$24)&gt;0,"✓",""))</f>
        <v/>
      </c>
      <c r="H554" s="57">
        <f>IF(OR($A554="",H$24=""),"",IF(COUNTIFS('AFA Rates'!$A$5:$A$1004,$A554,'AFA Rates'!$B$5:$B$1004,H$24)&gt;0,"✓",""))</f>
        <v/>
      </c>
      <c r="I554" s="57">
        <f>IF(OR($A554="",I$24=""),"",IF(COUNTIFS('AFA Rates'!$A$5:$A$1004,$A554,'AFA Rates'!$B$5:$B$1004,I$24)&gt;0,"✓",""))</f>
        <v/>
      </c>
      <c r="J554" s="57">
        <f>IF(OR($A554="",J$24=""),"",IF(COUNTIFS('AFA Rates'!$A$5:$A$1004,$A554,'AFA Rates'!$B$5:$B$1004,J$24)&gt;0,"✓",""))</f>
        <v/>
      </c>
      <c r="K554" s="57">
        <f>IF(OR($A554="",K$24=""),"",IF(COUNTIFS('AFA Rates'!$A$5:$A$1004,$A554,'AFA Rates'!$B$5:$B$1004,K$24)&gt;0,"✓",""))</f>
        <v/>
      </c>
      <c r="L554" s="57">
        <f>IF(OR($A554="",L$24=""),"",IF(COUNTIFS('AFA Rates'!$A$5:$A$1004,$A554,'AFA Rates'!$B$5:$B$1004,L$24)&gt;0,"✓",""))</f>
        <v/>
      </c>
      <c r="M554" s="57">
        <f>IF(OR($A554="",M$24=""),"",IF(COUNTIFS('AFA Rates'!$A$5:$A$1004,$A554,'AFA Rates'!$B$5:$B$1004,M$24)&gt;0,"✓",""))</f>
        <v/>
      </c>
    </row>
    <row r="555">
      <c r="A555" s="63">
        <f>IFERROR(INDEX(Firms!$A$5:$A$1004,MATCH(531,Firms!$S$5:$S$1004,0)),"")</f>
        <v/>
      </c>
      <c r="B555" s="57">
        <f>IF($A555="","",INDEX(Firms!$B$5:$B$1004,MATCH(531,Firms!$S$5:$S$1004,0)))</f>
        <v/>
      </c>
      <c r="C555" s="57">
        <f>IF($A555="","",COUNTIF('AFA Rates'!$A$5:$A$1004,$A555))</f>
        <v/>
      </c>
      <c r="D555" s="57">
        <f>IF(OR($A555="",D$24=""),"",IF(COUNTIFS('AFA Rates'!$A$5:$A$1004,$A555,'AFA Rates'!$B$5:$B$1004,D$24)&gt;0,"✓",""))</f>
        <v/>
      </c>
      <c r="E555" s="57">
        <f>IF(OR($A555="",E$24=""),"",IF(COUNTIFS('AFA Rates'!$A$5:$A$1004,$A555,'AFA Rates'!$B$5:$B$1004,E$24)&gt;0,"✓",""))</f>
        <v/>
      </c>
      <c r="F555" s="57">
        <f>IF(OR($A555="",F$24=""),"",IF(COUNTIFS('AFA Rates'!$A$5:$A$1004,$A555,'AFA Rates'!$B$5:$B$1004,F$24)&gt;0,"✓",""))</f>
        <v/>
      </c>
      <c r="G555" s="57">
        <f>IF(OR($A555="",G$24=""),"",IF(COUNTIFS('AFA Rates'!$A$5:$A$1004,$A555,'AFA Rates'!$B$5:$B$1004,G$24)&gt;0,"✓",""))</f>
        <v/>
      </c>
      <c r="H555" s="57">
        <f>IF(OR($A555="",H$24=""),"",IF(COUNTIFS('AFA Rates'!$A$5:$A$1004,$A555,'AFA Rates'!$B$5:$B$1004,H$24)&gt;0,"✓",""))</f>
        <v/>
      </c>
      <c r="I555" s="57">
        <f>IF(OR($A555="",I$24=""),"",IF(COUNTIFS('AFA Rates'!$A$5:$A$1004,$A555,'AFA Rates'!$B$5:$B$1004,I$24)&gt;0,"✓",""))</f>
        <v/>
      </c>
      <c r="J555" s="57">
        <f>IF(OR($A555="",J$24=""),"",IF(COUNTIFS('AFA Rates'!$A$5:$A$1004,$A555,'AFA Rates'!$B$5:$B$1004,J$24)&gt;0,"✓",""))</f>
        <v/>
      </c>
      <c r="K555" s="57">
        <f>IF(OR($A555="",K$24=""),"",IF(COUNTIFS('AFA Rates'!$A$5:$A$1004,$A555,'AFA Rates'!$B$5:$B$1004,K$24)&gt;0,"✓",""))</f>
        <v/>
      </c>
      <c r="L555" s="57">
        <f>IF(OR($A555="",L$24=""),"",IF(COUNTIFS('AFA Rates'!$A$5:$A$1004,$A555,'AFA Rates'!$B$5:$B$1004,L$24)&gt;0,"✓",""))</f>
        <v/>
      </c>
      <c r="M555" s="57">
        <f>IF(OR($A555="",M$24=""),"",IF(COUNTIFS('AFA Rates'!$A$5:$A$1004,$A555,'AFA Rates'!$B$5:$B$1004,M$24)&gt;0,"✓",""))</f>
        <v/>
      </c>
    </row>
    <row r="556">
      <c r="A556" s="63">
        <f>IFERROR(INDEX(Firms!$A$5:$A$1004,MATCH(532,Firms!$S$5:$S$1004,0)),"")</f>
        <v/>
      </c>
      <c r="B556" s="57">
        <f>IF($A556="","",INDEX(Firms!$B$5:$B$1004,MATCH(532,Firms!$S$5:$S$1004,0)))</f>
        <v/>
      </c>
      <c r="C556" s="57">
        <f>IF($A556="","",COUNTIF('AFA Rates'!$A$5:$A$1004,$A556))</f>
        <v/>
      </c>
      <c r="D556" s="57">
        <f>IF(OR($A556="",D$24=""),"",IF(COUNTIFS('AFA Rates'!$A$5:$A$1004,$A556,'AFA Rates'!$B$5:$B$1004,D$24)&gt;0,"✓",""))</f>
        <v/>
      </c>
      <c r="E556" s="57">
        <f>IF(OR($A556="",E$24=""),"",IF(COUNTIFS('AFA Rates'!$A$5:$A$1004,$A556,'AFA Rates'!$B$5:$B$1004,E$24)&gt;0,"✓",""))</f>
        <v/>
      </c>
      <c r="F556" s="57">
        <f>IF(OR($A556="",F$24=""),"",IF(COUNTIFS('AFA Rates'!$A$5:$A$1004,$A556,'AFA Rates'!$B$5:$B$1004,F$24)&gt;0,"✓",""))</f>
        <v/>
      </c>
      <c r="G556" s="57">
        <f>IF(OR($A556="",G$24=""),"",IF(COUNTIFS('AFA Rates'!$A$5:$A$1004,$A556,'AFA Rates'!$B$5:$B$1004,G$24)&gt;0,"✓",""))</f>
        <v/>
      </c>
      <c r="H556" s="57">
        <f>IF(OR($A556="",H$24=""),"",IF(COUNTIFS('AFA Rates'!$A$5:$A$1004,$A556,'AFA Rates'!$B$5:$B$1004,H$24)&gt;0,"✓",""))</f>
        <v/>
      </c>
      <c r="I556" s="57">
        <f>IF(OR($A556="",I$24=""),"",IF(COUNTIFS('AFA Rates'!$A$5:$A$1004,$A556,'AFA Rates'!$B$5:$B$1004,I$24)&gt;0,"✓",""))</f>
        <v/>
      </c>
      <c r="J556" s="57">
        <f>IF(OR($A556="",J$24=""),"",IF(COUNTIFS('AFA Rates'!$A$5:$A$1004,$A556,'AFA Rates'!$B$5:$B$1004,J$24)&gt;0,"✓",""))</f>
        <v/>
      </c>
      <c r="K556" s="57">
        <f>IF(OR($A556="",K$24=""),"",IF(COUNTIFS('AFA Rates'!$A$5:$A$1004,$A556,'AFA Rates'!$B$5:$B$1004,K$24)&gt;0,"✓",""))</f>
        <v/>
      </c>
      <c r="L556" s="57">
        <f>IF(OR($A556="",L$24=""),"",IF(COUNTIFS('AFA Rates'!$A$5:$A$1004,$A556,'AFA Rates'!$B$5:$B$1004,L$24)&gt;0,"✓",""))</f>
        <v/>
      </c>
      <c r="M556" s="57">
        <f>IF(OR($A556="",M$24=""),"",IF(COUNTIFS('AFA Rates'!$A$5:$A$1004,$A556,'AFA Rates'!$B$5:$B$1004,M$24)&gt;0,"✓",""))</f>
        <v/>
      </c>
    </row>
    <row r="557">
      <c r="A557" s="63">
        <f>IFERROR(INDEX(Firms!$A$5:$A$1004,MATCH(533,Firms!$S$5:$S$1004,0)),"")</f>
        <v/>
      </c>
      <c r="B557" s="57">
        <f>IF($A557="","",INDEX(Firms!$B$5:$B$1004,MATCH(533,Firms!$S$5:$S$1004,0)))</f>
        <v/>
      </c>
      <c r="C557" s="57">
        <f>IF($A557="","",COUNTIF('AFA Rates'!$A$5:$A$1004,$A557))</f>
        <v/>
      </c>
      <c r="D557" s="57">
        <f>IF(OR($A557="",D$24=""),"",IF(COUNTIFS('AFA Rates'!$A$5:$A$1004,$A557,'AFA Rates'!$B$5:$B$1004,D$24)&gt;0,"✓",""))</f>
        <v/>
      </c>
      <c r="E557" s="57">
        <f>IF(OR($A557="",E$24=""),"",IF(COUNTIFS('AFA Rates'!$A$5:$A$1004,$A557,'AFA Rates'!$B$5:$B$1004,E$24)&gt;0,"✓",""))</f>
        <v/>
      </c>
      <c r="F557" s="57">
        <f>IF(OR($A557="",F$24=""),"",IF(COUNTIFS('AFA Rates'!$A$5:$A$1004,$A557,'AFA Rates'!$B$5:$B$1004,F$24)&gt;0,"✓",""))</f>
        <v/>
      </c>
      <c r="G557" s="57">
        <f>IF(OR($A557="",G$24=""),"",IF(COUNTIFS('AFA Rates'!$A$5:$A$1004,$A557,'AFA Rates'!$B$5:$B$1004,G$24)&gt;0,"✓",""))</f>
        <v/>
      </c>
      <c r="H557" s="57">
        <f>IF(OR($A557="",H$24=""),"",IF(COUNTIFS('AFA Rates'!$A$5:$A$1004,$A557,'AFA Rates'!$B$5:$B$1004,H$24)&gt;0,"✓",""))</f>
        <v/>
      </c>
      <c r="I557" s="57">
        <f>IF(OR($A557="",I$24=""),"",IF(COUNTIFS('AFA Rates'!$A$5:$A$1004,$A557,'AFA Rates'!$B$5:$B$1004,I$24)&gt;0,"✓",""))</f>
        <v/>
      </c>
      <c r="J557" s="57">
        <f>IF(OR($A557="",J$24=""),"",IF(COUNTIFS('AFA Rates'!$A$5:$A$1004,$A557,'AFA Rates'!$B$5:$B$1004,J$24)&gt;0,"✓",""))</f>
        <v/>
      </c>
      <c r="K557" s="57">
        <f>IF(OR($A557="",K$24=""),"",IF(COUNTIFS('AFA Rates'!$A$5:$A$1004,$A557,'AFA Rates'!$B$5:$B$1004,K$24)&gt;0,"✓",""))</f>
        <v/>
      </c>
      <c r="L557" s="57">
        <f>IF(OR($A557="",L$24=""),"",IF(COUNTIFS('AFA Rates'!$A$5:$A$1004,$A557,'AFA Rates'!$B$5:$B$1004,L$24)&gt;0,"✓",""))</f>
        <v/>
      </c>
      <c r="M557" s="57">
        <f>IF(OR($A557="",M$24=""),"",IF(COUNTIFS('AFA Rates'!$A$5:$A$1004,$A557,'AFA Rates'!$B$5:$B$1004,M$24)&gt;0,"✓",""))</f>
        <v/>
      </c>
    </row>
    <row r="558">
      <c r="A558" s="63">
        <f>IFERROR(INDEX(Firms!$A$5:$A$1004,MATCH(534,Firms!$S$5:$S$1004,0)),"")</f>
        <v/>
      </c>
      <c r="B558" s="57">
        <f>IF($A558="","",INDEX(Firms!$B$5:$B$1004,MATCH(534,Firms!$S$5:$S$1004,0)))</f>
        <v/>
      </c>
      <c r="C558" s="57">
        <f>IF($A558="","",COUNTIF('AFA Rates'!$A$5:$A$1004,$A558))</f>
        <v/>
      </c>
      <c r="D558" s="57">
        <f>IF(OR($A558="",D$24=""),"",IF(COUNTIFS('AFA Rates'!$A$5:$A$1004,$A558,'AFA Rates'!$B$5:$B$1004,D$24)&gt;0,"✓",""))</f>
        <v/>
      </c>
      <c r="E558" s="57">
        <f>IF(OR($A558="",E$24=""),"",IF(COUNTIFS('AFA Rates'!$A$5:$A$1004,$A558,'AFA Rates'!$B$5:$B$1004,E$24)&gt;0,"✓",""))</f>
        <v/>
      </c>
      <c r="F558" s="57">
        <f>IF(OR($A558="",F$24=""),"",IF(COUNTIFS('AFA Rates'!$A$5:$A$1004,$A558,'AFA Rates'!$B$5:$B$1004,F$24)&gt;0,"✓",""))</f>
        <v/>
      </c>
      <c r="G558" s="57">
        <f>IF(OR($A558="",G$24=""),"",IF(COUNTIFS('AFA Rates'!$A$5:$A$1004,$A558,'AFA Rates'!$B$5:$B$1004,G$24)&gt;0,"✓",""))</f>
        <v/>
      </c>
      <c r="H558" s="57">
        <f>IF(OR($A558="",H$24=""),"",IF(COUNTIFS('AFA Rates'!$A$5:$A$1004,$A558,'AFA Rates'!$B$5:$B$1004,H$24)&gt;0,"✓",""))</f>
        <v/>
      </c>
      <c r="I558" s="57">
        <f>IF(OR($A558="",I$24=""),"",IF(COUNTIFS('AFA Rates'!$A$5:$A$1004,$A558,'AFA Rates'!$B$5:$B$1004,I$24)&gt;0,"✓",""))</f>
        <v/>
      </c>
      <c r="J558" s="57">
        <f>IF(OR($A558="",J$24=""),"",IF(COUNTIFS('AFA Rates'!$A$5:$A$1004,$A558,'AFA Rates'!$B$5:$B$1004,J$24)&gt;0,"✓",""))</f>
        <v/>
      </c>
      <c r="K558" s="57">
        <f>IF(OR($A558="",K$24=""),"",IF(COUNTIFS('AFA Rates'!$A$5:$A$1004,$A558,'AFA Rates'!$B$5:$B$1004,K$24)&gt;0,"✓",""))</f>
        <v/>
      </c>
      <c r="L558" s="57">
        <f>IF(OR($A558="",L$24=""),"",IF(COUNTIFS('AFA Rates'!$A$5:$A$1004,$A558,'AFA Rates'!$B$5:$B$1004,L$24)&gt;0,"✓",""))</f>
        <v/>
      </c>
      <c r="M558" s="57">
        <f>IF(OR($A558="",M$24=""),"",IF(COUNTIFS('AFA Rates'!$A$5:$A$1004,$A558,'AFA Rates'!$B$5:$B$1004,M$24)&gt;0,"✓",""))</f>
        <v/>
      </c>
    </row>
    <row r="559">
      <c r="A559" s="63">
        <f>IFERROR(INDEX(Firms!$A$5:$A$1004,MATCH(535,Firms!$S$5:$S$1004,0)),"")</f>
        <v/>
      </c>
      <c r="B559" s="57">
        <f>IF($A559="","",INDEX(Firms!$B$5:$B$1004,MATCH(535,Firms!$S$5:$S$1004,0)))</f>
        <v/>
      </c>
      <c r="C559" s="57">
        <f>IF($A559="","",COUNTIF('AFA Rates'!$A$5:$A$1004,$A559))</f>
        <v/>
      </c>
      <c r="D559" s="57">
        <f>IF(OR($A559="",D$24=""),"",IF(COUNTIFS('AFA Rates'!$A$5:$A$1004,$A559,'AFA Rates'!$B$5:$B$1004,D$24)&gt;0,"✓",""))</f>
        <v/>
      </c>
      <c r="E559" s="57">
        <f>IF(OR($A559="",E$24=""),"",IF(COUNTIFS('AFA Rates'!$A$5:$A$1004,$A559,'AFA Rates'!$B$5:$B$1004,E$24)&gt;0,"✓",""))</f>
        <v/>
      </c>
      <c r="F559" s="57">
        <f>IF(OR($A559="",F$24=""),"",IF(COUNTIFS('AFA Rates'!$A$5:$A$1004,$A559,'AFA Rates'!$B$5:$B$1004,F$24)&gt;0,"✓",""))</f>
        <v/>
      </c>
      <c r="G559" s="57">
        <f>IF(OR($A559="",G$24=""),"",IF(COUNTIFS('AFA Rates'!$A$5:$A$1004,$A559,'AFA Rates'!$B$5:$B$1004,G$24)&gt;0,"✓",""))</f>
        <v/>
      </c>
      <c r="H559" s="57">
        <f>IF(OR($A559="",H$24=""),"",IF(COUNTIFS('AFA Rates'!$A$5:$A$1004,$A559,'AFA Rates'!$B$5:$B$1004,H$24)&gt;0,"✓",""))</f>
        <v/>
      </c>
      <c r="I559" s="57">
        <f>IF(OR($A559="",I$24=""),"",IF(COUNTIFS('AFA Rates'!$A$5:$A$1004,$A559,'AFA Rates'!$B$5:$B$1004,I$24)&gt;0,"✓",""))</f>
        <v/>
      </c>
      <c r="J559" s="57">
        <f>IF(OR($A559="",J$24=""),"",IF(COUNTIFS('AFA Rates'!$A$5:$A$1004,$A559,'AFA Rates'!$B$5:$B$1004,J$24)&gt;0,"✓",""))</f>
        <v/>
      </c>
      <c r="K559" s="57">
        <f>IF(OR($A559="",K$24=""),"",IF(COUNTIFS('AFA Rates'!$A$5:$A$1004,$A559,'AFA Rates'!$B$5:$B$1004,K$24)&gt;0,"✓",""))</f>
        <v/>
      </c>
      <c r="L559" s="57">
        <f>IF(OR($A559="",L$24=""),"",IF(COUNTIFS('AFA Rates'!$A$5:$A$1004,$A559,'AFA Rates'!$B$5:$B$1004,L$24)&gt;0,"✓",""))</f>
        <v/>
      </c>
      <c r="M559" s="57">
        <f>IF(OR($A559="",M$24=""),"",IF(COUNTIFS('AFA Rates'!$A$5:$A$1004,$A559,'AFA Rates'!$B$5:$B$1004,M$24)&gt;0,"✓",""))</f>
        <v/>
      </c>
    </row>
    <row r="560">
      <c r="A560" s="63">
        <f>IFERROR(INDEX(Firms!$A$5:$A$1004,MATCH(536,Firms!$S$5:$S$1004,0)),"")</f>
        <v/>
      </c>
      <c r="B560" s="57">
        <f>IF($A560="","",INDEX(Firms!$B$5:$B$1004,MATCH(536,Firms!$S$5:$S$1004,0)))</f>
        <v/>
      </c>
      <c r="C560" s="57">
        <f>IF($A560="","",COUNTIF('AFA Rates'!$A$5:$A$1004,$A560))</f>
        <v/>
      </c>
      <c r="D560" s="57">
        <f>IF(OR($A560="",D$24=""),"",IF(COUNTIFS('AFA Rates'!$A$5:$A$1004,$A560,'AFA Rates'!$B$5:$B$1004,D$24)&gt;0,"✓",""))</f>
        <v/>
      </c>
      <c r="E560" s="57">
        <f>IF(OR($A560="",E$24=""),"",IF(COUNTIFS('AFA Rates'!$A$5:$A$1004,$A560,'AFA Rates'!$B$5:$B$1004,E$24)&gt;0,"✓",""))</f>
        <v/>
      </c>
      <c r="F560" s="57">
        <f>IF(OR($A560="",F$24=""),"",IF(COUNTIFS('AFA Rates'!$A$5:$A$1004,$A560,'AFA Rates'!$B$5:$B$1004,F$24)&gt;0,"✓",""))</f>
        <v/>
      </c>
      <c r="G560" s="57">
        <f>IF(OR($A560="",G$24=""),"",IF(COUNTIFS('AFA Rates'!$A$5:$A$1004,$A560,'AFA Rates'!$B$5:$B$1004,G$24)&gt;0,"✓",""))</f>
        <v/>
      </c>
      <c r="H560" s="57">
        <f>IF(OR($A560="",H$24=""),"",IF(COUNTIFS('AFA Rates'!$A$5:$A$1004,$A560,'AFA Rates'!$B$5:$B$1004,H$24)&gt;0,"✓",""))</f>
        <v/>
      </c>
      <c r="I560" s="57">
        <f>IF(OR($A560="",I$24=""),"",IF(COUNTIFS('AFA Rates'!$A$5:$A$1004,$A560,'AFA Rates'!$B$5:$B$1004,I$24)&gt;0,"✓",""))</f>
        <v/>
      </c>
      <c r="J560" s="57">
        <f>IF(OR($A560="",J$24=""),"",IF(COUNTIFS('AFA Rates'!$A$5:$A$1004,$A560,'AFA Rates'!$B$5:$B$1004,J$24)&gt;0,"✓",""))</f>
        <v/>
      </c>
      <c r="K560" s="57">
        <f>IF(OR($A560="",K$24=""),"",IF(COUNTIFS('AFA Rates'!$A$5:$A$1004,$A560,'AFA Rates'!$B$5:$B$1004,K$24)&gt;0,"✓",""))</f>
        <v/>
      </c>
      <c r="L560" s="57">
        <f>IF(OR($A560="",L$24=""),"",IF(COUNTIFS('AFA Rates'!$A$5:$A$1004,$A560,'AFA Rates'!$B$5:$B$1004,L$24)&gt;0,"✓",""))</f>
        <v/>
      </c>
      <c r="M560" s="57">
        <f>IF(OR($A560="",M$24=""),"",IF(COUNTIFS('AFA Rates'!$A$5:$A$1004,$A560,'AFA Rates'!$B$5:$B$1004,M$24)&gt;0,"✓",""))</f>
        <v/>
      </c>
    </row>
    <row r="561">
      <c r="A561" s="63">
        <f>IFERROR(INDEX(Firms!$A$5:$A$1004,MATCH(537,Firms!$S$5:$S$1004,0)),"")</f>
        <v/>
      </c>
      <c r="B561" s="57">
        <f>IF($A561="","",INDEX(Firms!$B$5:$B$1004,MATCH(537,Firms!$S$5:$S$1004,0)))</f>
        <v/>
      </c>
      <c r="C561" s="57">
        <f>IF($A561="","",COUNTIF('AFA Rates'!$A$5:$A$1004,$A561))</f>
        <v/>
      </c>
      <c r="D561" s="57">
        <f>IF(OR($A561="",D$24=""),"",IF(COUNTIFS('AFA Rates'!$A$5:$A$1004,$A561,'AFA Rates'!$B$5:$B$1004,D$24)&gt;0,"✓",""))</f>
        <v/>
      </c>
      <c r="E561" s="57">
        <f>IF(OR($A561="",E$24=""),"",IF(COUNTIFS('AFA Rates'!$A$5:$A$1004,$A561,'AFA Rates'!$B$5:$B$1004,E$24)&gt;0,"✓",""))</f>
        <v/>
      </c>
      <c r="F561" s="57">
        <f>IF(OR($A561="",F$24=""),"",IF(COUNTIFS('AFA Rates'!$A$5:$A$1004,$A561,'AFA Rates'!$B$5:$B$1004,F$24)&gt;0,"✓",""))</f>
        <v/>
      </c>
      <c r="G561" s="57">
        <f>IF(OR($A561="",G$24=""),"",IF(COUNTIFS('AFA Rates'!$A$5:$A$1004,$A561,'AFA Rates'!$B$5:$B$1004,G$24)&gt;0,"✓",""))</f>
        <v/>
      </c>
      <c r="H561" s="57">
        <f>IF(OR($A561="",H$24=""),"",IF(COUNTIFS('AFA Rates'!$A$5:$A$1004,$A561,'AFA Rates'!$B$5:$B$1004,H$24)&gt;0,"✓",""))</f>
        <v/>
      </c>
      <c r="I561" s="57">
        <f>IF(OR($A561="",I$24=""),"",IF(COUNTIFS('AFA Rates'!$A$5:$A$1004,$A561,'AFA Rates'!$B$5:$B$1004,I$24)&gt;0,"✓",""))</f>
        <v/>
      </c>
      <c r="J561" s="57">
        <f>IF(OR($A561="",J$24=""),"",IF(COUNTIFS('AFA Rates'!$A$5:$A$1004,$A561,'AFA Rates'!$B$5:$B$1004,J$24)&gt;0,"✓",""))</f>
        <v/>
      </c>
      <c r="K561" s="57">
        <f>IF(OR($A561="",K$24=""),"",IF(COUNTIFS('AFA Rates'!$A$5:$A$1004,$A561,'AFA Rates'!$B$5:$B$1004,K$24)&gt;0,"✓",""))</f>
        <v/>
      </c>
      <c r="L561" s="57">
        <f>IF(OR($A561="",L$24=""),"",IF(COUNTIFS('AFA Rates'!$A$5:$A$1004,$A561,'AFA Rates'!$B$5:$B$1004,L$24)&gt;0,"✓",""))</f>
        <v/>
      </c>
      <c r="M561" s="57">
        <f>IF(OR($A561="",M$24=""),"",IF(COUNTIFS('AFA Rates'!$A$5:$A$1004,$A561,'AFA Rates'!$B$5:$B$1004,M$24)&gt;0,"✓",""))</f>
        <v/>
      </c>
    </row>
    <row r="562">
      <c r="A562" s="63">
        <f>IFERROR(INDEX(Firms!$A$5:$A$1004,MATCH(538,Firms!$S$5:$S$1004,0)),"")</f>
        <v/>
      </c>
      <c r="B562" s="57">
        <f>IF($A562="","",INDEX(Firms!$B$5:$B$1004,MATCH(538,Firms!$S$5:$S$1004,0)))</f>
        <v/>
      </c>
      <c r="C562" s="57">
        <f>IF($A562="","",COUNTIF('AFA Rates'!$A$5:$A$1004,$A562))</f>
        <v/>
      </c>
      <c r="D562" s="57">
        <f>IF(OR($A562="",D$24=""),"",IF(COUNTIFS('AFA Rates'!$A$5:$A$1004,$A562,'AFA Rates'!$B$5:$B$1004,D$24)&gt;0,"✓",""))</f>
        <v/>
      </c>
      <c r="E562" s="57">
        <f>IF(OR($A562="",E$24=""),"",IF(COUNTIFS('AFA Rates'!$A$5:$A$1004,$A562,'AFA Rates'!$B$5:$B$1004,E$24)&gt;0,"✓",""))</f>
        <v/>
      </c>
      <c r="F562" s="57">
        <f>IF(OR($A562="",F$24=""),"",IF(COUNTIFS('AFA Rates'!$A$5:$A$1004,$A562,'AFA Rates'!$B$5:$B$1004,F$24)&gt;0,"✓",""))</f>
        <v/>
      </c>
      <c r="G562" s="57">
        <f>IF(OR($A562="",G$24=""),"",IF(COUNTIFS('AFA Rates'!$A$5:$A$1004,$A562,'AFA Rates'!$B$5:$B$1004,G$24)&gt;0,"✓",""))</f>
        <v/>
      </c>
      <c r="H562" s="57">
        <f>IF(OR($A562="",H$24=""),"",IF(COUNTIFS('AFA Rates'!$A$5:$A$1004,$A562,'AFA Rates'!$B$5:$B$1004,H$24)&gt;0,"✓",""))</f>
        <v/>
      </c>
      <c r="I562" s="57">
        <f>IF(OR($A562="",I$24=""),"",IF(COUNTIFS('AFA Rates'!$A$5:$A$1004,$A562,'AFA Rates'!$B$5:$B$1004,I$24)&gt;0,"✓",""))</f>
        <v/>
      </c>
      <c r="J562" s="57">
        <f>IF(OR($A562="",J$24=""),"",IF(COUNTIFS('AFA Rates'!$A$5:$A$1004,$A562,'AFA Rates'!$B$5:$B$1004,J$24)&gt;0,"✓",""))</f>
        <v/>
      </c>
      <c r="K562" s="57">
        <f>IF(OR($A562="",K$24=""),"",IF(COUNTIFS('AFA Rates'!$A$5:$A$1004,$A562,'AFA Rates'!$B$5:$B$1004,K$24)&gt;0,"✓",""))</f>
        <v/>
      </c>
      <c r="L562" s="57">
        <f>IF(OR($A562="",L$24=""),"",IF(COUNTIFS('AFA Rates'!$A$5:$A$1004,$A562,'AFA Rates'!$B$5:$B$1004,L$24)&gt;0,"✓",""))</f>
        <v/>
      </c>
      <c r="M562" s="57">
        <f>IF(OR($A562="",M$24=""),"",IF(COUNTIFS('AFA Rates'!$A$5:$A$1004,$A562,'AFA Rates'!$B$5:$B$1004,M$24)&gt;0,"✓",""))</f>
        <v/>
      </c>
    </row>
    <row r="563">
      <c r="A563" s="63">
        <f>IFERROR(INDEX(Firms!$A$5:$A$1004,MATCH(539,Firms!$S$5:$S$1004,0)),"")</f>
        <v/>
      </c>
      <c r="B563" s="57">
        <f>IF($A563="","",INDEX(Firms!$B$5:$B$1004,MATCH(539,Firms!$S$5:$S$1004,0)))</f>
        <v/>
      </c>
      <c r="C563" s="57">
        <f>IF($A563="","",COUNTIF('AFA Rates'!$A$5:$A$1004,$A563))</f>
        <v/>
      </c>
      <c r="D563" s="57">
        <f>IF(OR($A563="",D$24=""),"",IF(COUNTIFS('AFA Rates'!$A$5:$A$1004,$A563,'AFA Rates'!$B$5:$B$1004,D$24)&gt;0,"✓",""))</f>
        <v/>
      </c>
      <c r="E563" s="57">
        <f>IF(OR($A563="",E$24=""),"",IF(COUNTIFS('AFA Rates'!$A$5:$A$1004,$A563,'AFA Rates'!$B$5:$B$1004,E$24)&gt;0,"✓",""))</f>
        <v/>
      </c>
      <c r="F563" s="57">
        <f>IF(OR($A563="",F$24=""),"",IF(COUNTIFS('AFA Rates'!$A$5:$A$1004,$A563,'AFA Rates'!$B$5:$B$1004,F$24)&gt;0,"✓",""))</f>
        <v/>
      </c>
      <c r="G563" s="57">
        <f>IF(OR($A563="",G$24=""),"",IF(COUNTIFS('AFA Rates'!$A$5:$A$1004,$A563,'AFA Rates'!$B$5:$B$1004,G$24)&gt;0,"✓",""))</f>
        <v/>
      </c>
      <c r="H563" s="57">
        <f>IF(OR($A563="",H$24=""),"",IF(COUNTIFS('AFA Rates'!$A$5:$A$1004,$A563,'AFA Rates'!$B$5:$B$1004,H$24)&gt;0,"✓",""))</f>
        <v/>
      </c>
      <c r="I563" s="57">
        <f>IF(OR($A563="",I$24=""),"",IF(COUNTIFS('AFA Rates'!$A$5:$A$1004,$A563,'AFA Rates'!$B$5:$B$1004,I$24)&gt;0,"✓",""))</f>
        <v/>
      </c>
      <c r="J563" s="57">
        <f>IF(OR($A563="",J$24=""),"",IF(COUNTIFS('AFA Rates'!$A$5:$A$1004,$A563,'AFA Rates'!$B$5:$B$1004,J$24)&gt;0,"✓",""))</f>
        <v/>
      </c>
      <c r="K563" s="57">
        <f>IF(OR($A563="",K$24=""),"",IF(COUNTIFS('AFA Rates'!$A$5:$A$1004,$A563,'AFA Rates'!$B$5:$B$1004,K$24)&gt;0,"✓",""))</f>
        <v/>
      </c>
      <c r="L563" s="57">
        <f>IF(OR($A563="",L$24=""),"",IF(COUNTIFS('AFA Rates'!$A$5:$A$1004,$A563,'AFA Rates'!$B$5:$B$1004,L$24)&gt;0,"✓",""))</f>
        <v/>
      </c>
      <c r="M563" s="57">
        <f>IF(OR($A563="",M$24=""),"",IF(COUNTIFS('AFA Rates'!$A$5:$A$1004,$A563,'AFA Rates'!$B$5:$B$1004,M$24)&gt;0,"✓",""))</f>
        <v/>
      </c>
    </row>
    <row r="564">
      <c r="A564" s="63">
        <f>IFERROR(INDEX(Firms!$A$5:$A$1004,MATCH(540,Firms!$S$5:$S$1004,0)),"")</f>
        <v/>
      </c>
      <c r="B564" s="57">
        <f>IF($A564="","",INDEX(Firms!$B$5:$B$1004,MATCH(540,Firms!$S$5:$S$1004,0)))</f>
        <v/>
      </c>
      <c r="C564" s="57">
        <f>IF($A564="","",COUNTIF('AFA Rates'!$A$5:$A$1004,$A564))</f>
        <v/>
      </c>
      <c r="D564" s="57">
        <f>IF(OR($A564="",D$24=""),"",IF(COUNTIFS('AFA Rates'!$A$5:$A$1004,$A564,'AFA Rates'!$B$5:$B$1004,D$24)&gt;0,"✓",""))</f>
        <v/>
      </c>
      <c r="E564" s="57">
        <f>IF(OR($A564="",E$24=""),"",IF(COUNTIFS('AFA Rates'!$A$5:$A$1004,$A564,'AFA Rates'!$B$5:$B$1004,E$24)&gt;0,"✓",""))</f>
        <v/>
      </c>
      <c r="F564" s="57">
        <f>IF(OR($A564="",F$24=""),"",IF(COUNTIFS('AFA Rates'!$A$5:$A$1004,$A564,'AFA Rates'!$B$5:$B$1004,F$24)&gt;0,"✓",""))</f>
        <v/>
      </c>
      <c r="G564" s="57">
        <f>IF(OR($A564="",G$24=""),"",IF(COUNTIFS('AFA Rates'!$A$5:$A$1004,$A564,'AFA Rates'!$B$5:$B$1004,G$24)&gt;0,"✓",""))</f>
        <v/>
      </c>
      <c r="H564" s="57">
        <f>IF(OR($A564="",H$24=""),"",IF(COUNTIFS('AFA Rates'!$A$5:$A$1004,$A564,'AFA Rates'!$B$5:$B$1004,H$24)&gt;0,"✓",""))</f>
        <v/>
      </c>
      <c r="I564" s="57">
        <f>IF(OR($A564="",I$24=""),"",IF(COUNTIFS('AFA Rates'!$A$5:$A$1004,$A564,'AFA Rates'!$B$5:$B$1004,I$24)&gt;0,"✓",""))</f>
        <v/>
      </c>
      <c r="J564" s="57">
        <f>IF(OR($A564="",J$24=""),"",IF(COUNTIFS('AFA Rates'!$A$5:$A$1004,$A564,'AFA Rates'!$B$5:$B$1004,J$24)&gt;0,"✓",""))</f>
        <v/>
      </c>
      <c r="K564" s="57">
        <f>IF(OR($A564="",K$24=""),"",IF(COUNTIFS('AFA Rates'!$A$5:$A$1004,$A564,'AFA Rates'!$B$5:$B$1004,K$24)&gt;0,"✓",""))</f>
        <v/>
      </c>
      <c r="L564" s="57">
        <f>IF(OR($A564="",L$24=""),"",IF(COUNTIFS('AFA Rates'!$A$5:$A$1004,$A564,'AFA Rates'!$B$5:$B$1004,L$24)&gt;0,"✓",""))</f>
        <v/>
      </c>
      <c r="M564" s="57">
        <f>IF(OR($A564="",M$24=""),"",IF(COUNTIFS('AFA Rates'!$A$5:$A$1004,$A564,'AFA Rates'!$B$5:$B$1004,M$24)&gt;0,"✓",""))</f>
        <v/>
      </c>
    </row>
    <row r="565">
      <c r="A565" s="63">
        <f>IFERROR(INDEX(Firms!$A$5:$A$1004,MATCH(541,Firms!$S$5:$S$1004,0)),"")</f>
        <v/>
      </c>
      <c r="B565" s="57">
        <f>IF($A565="","",INDEX(Firms!$B$5:$B$1004,MATCH(541,Firms!$S$5:$S$1004,0)))</f>
        <v/>
      </c>
      <c r="C565" s="57">
        <f>IF($A565="","",COUNTIF('AFA Rates'!$A$5:$A$1004,$A565))</f>
        <v/>
      </c>
      <c r="D565" s="57">
        <f>IF(OR($A565="",D$24=""),"",IF(COUNTIFS('AFA Rates'!$A$5:$A$1004,$A565,'AFA Rates'!$B$5:$B$1004,D$24)&gt;0,"✓",""))</f>
        <v/>
      </c>
      <c r="E565" s="57">
        <f>IF(OR($A565="",E$24=""),"",IF(COUNTIFS('AFA Rates'!$A$5:$A$1004,$A565,'AFA Rates'!$B$5:$B$1004,E$24)&gt;0,"✓",""))</f>
        <v/>
      </c>
      <c r="F565" s="57">
        <f>IF(OR($A565="",F$24=""),"",IF(COUNTIFS('AFA Rates'!$A$5:$A$1004,$A565,'AFA Rates'!$B$5:$B$1004,F$24)&gt;0,"✓",""))</f>
        <v/>
      </c>
      <c r="G565" s="57">
        <f>IF(OR($A565="",G$24=""),"",IF(COUNTIFS('AFA Rates'!$A$5:$A$1004,$A565,'AFA Rates'!$B$5:$B$1004,G$24)&gt;0,"✓",""))</f>
        <v/>
      </c>
      <c r="H565" s="57">
        <f>IF(OR($A565="",H$24=""),"",IF(COUNTIFS('AFA Rates'!$A$5:$A$1004,$A565,'AFA Rates'!$B$5:$B$1004,H$24)&gt;0,"✓",""))</f>
        <v/>
      </c>
      <c r="I565" s="57">
        <f>IF(OR($A565="",I$24=""),"",IF(COUNTIFS('AFA Rates'!$A$5:$A$1004,$A565,'AFA Rates'!$B$5:$B$1004,I$24)&gt;0,"✓",""))</f>
        <v/>
      </c>
      <c r="J565" s="57">
        <f>IF(OR($A565="",J$24=""),"",IF(COUNTIFS('AFA Rates'!$A$5:$A$1004,$A565,'AFA Rates'!$B$5:$B$1004,J$24)&gt;0,"✓",""))</f>
        <v/>
      </c>
      <c r="K565" s="57">
        <f>IF(OR($A565="",K$24=""),"",IF(COUNTIFS('AFA Rates'!$A$5:$A$1004,$A565,'AFA Rates'!$B$5:$B$1004,K$24)&gt;0,"✓",""))</f>
        <v/>
      </c>
      <c r="L565" s="57">
        <f>IF(OR($A565="",L$24=""),"",IF(COUNTIFS('AFA Rates'!$A$5:$A$1004,$A565,'AFA Rates'!$B$5:$B$1004,L$24)&gt;0,"✓",""))</f>
        <v/>
      </c>
      <c r="M565" s="57">
        <f>IF(OR($A565="",M$24=""),"",IF(COUNTIFS('AFA Rates'!$A$5:$A$1004,$A565,'AFA Rates'!$B$5:$B$1004,M$24)&gt;0,"✓",""))</f>
        <v/>
      </c>
    </row>
    <row r="566">
      <c r="A566" s="63">
        <f>IFERROR(INDEX(Firms!$A$5:$A$1004,MATCH(542,Firms!$S$5:$S$1004,0)),"")</f>
        <v/>
      </c>
      <c r="B566" s="57">
        <f>IF($A566="","",INDEX(Firms!$B$5:$B$1004,MATCH(542,Firms!$S$5:$S$1004,0)))</f>
        <v/>
      </c>
      <c r="C566" s="57">
        <f>IF($A566="","",COUNTIF('AFA Rates'!$A$5:$A$1004,$A566))</f>
        <v/>
      </c>
      <c r="D566" s="57">
        <f>IF(OR($A566="",D$24=""),"",IF(COUNTIFS('AFA Rates'!$A$5:$A$1004,$A566,'AFA Rates'!$B$5:$B$1004,D$24)&gt;0,"✓",""))</f>
        <v/>
      </c>
      <c r="E566" s="57">
        <f>IF(OR($A566="",E$24=""),"",IF(COUNTIFS('AFA Rates'!$A$5:$A$1004,$A566,'AFA Rates'!$B$5:$B$1004,E$24)&gt;0,"✓",""))</f>
        <v/>
      </c>
      <c r="F566" s="57">
        <f>IF(OR($A566="",F$24=""),"",IF(COUNTIFS('AFA Rates'!$A$5:$A$1004,$A566,'AFA Rates'!$B$5:$B$1004,F$24)&gt;0,"✓",""))</f>
        <v/>
      </c>
      <c r="G566" s="57">
        <f>IF(OR($A566="",G$24=""),"",IF(COUNTIFS('AFA Rates'!$A$5:$A$1004,$A566,'AFA Rates'!$B$5:$B$1004,G$24)&gt;0,"✓",""))</f>
        <v/>
      </c>
      <c r="H566" s="57">
        <f>IF(OR($A566="",H$24=""),"",IF(COUNTIFS('AFA Rates'!$A$5:$A$1004,$A566,'AFA Rates'!$B$5:$B$1004,H$24)&gt;0,"✓",""))</f>
        <v/>
      </c>
      <c r="I566" s="57">
        <f>IF(OR($A566="",I$24=""),"",IF(COUNTIFS('AFA Rates'!$A$5:$A$1004,$A566,'AFA Rates'!$B$5:$B$1004,I$24)&gt;0,"✓",""))</f>
        <v/>
      </c>
      <c r="J566" s="57">
        <f>IF(OR($A566="",J$24=""),"",IF(COUNTIFS('AFA Rates'!$A$5:$A$1004,$A566,'AFA Rates'!$B$5:$B$1004,J$24)&gt;0,"✓",""))</f>
        <v/>
      </c>
      <c r="K566" s="57">
        <f>IF(OR($A566="",K$24=""),"",IF(COUNTIFS('AFA Rates'!$A$5:$A$1004,$A566,'AFA Rates'!$B$5:$B$1004,K$24)&gt;0,"✓",""))</f>
        <v/>
      </c>
      <c r="L566" s="57">
        <f>IF(OR($A566="",L$24=""),"",IF(COUNTIFS('AFA Rates'!$A$5:$A$1004,$A566,'AFA Rates'!$B$5:$B$1004,L$24)&gt;0,"✓",""))</f>
        <v/>
      </c>
      <c r="M566" s="57">
        <f>IF(OR($A566="",M$24=""),"",IF(COUNTIFS('AFA Rates'!$A$5:$A$1004,$A566,'AFA Rates'!$B$5:$B$1004,M$24)&gt;0,"✓",""))</f>
        <v/>
      </c>
    </row>
    <row r="567">
      <c r="A567" s="63">
        <f>IFERROR(INDEX(Firms!$A$5:$A$1004,MATCH(543,Firms!$S$5:$S$1004,0)),"")</f>
        <v/>
      </c>
      <c r="B567" s="57">
        <f>IF($A567="","",INDEX(Firms!$B$5:$B$1004,MATCH(543,Firms!$S$5:$S$1004,0)))</f>
        <v/>
      </c>
      <c r="C567" s="57">
        <f>IF($A567="","",COUNTIF('AFA Rates'!$A$5:$A$1004,$A567))</f>
        <v/>
      </c>
      <c r="D567" s="57">
        <f>IF(OR($A567="",D$24=""),"",IF(COUNTIFS('AFA Rates'!$A$5:$A$1004,$A567,'AFA Rates'!$B$5:$B$1004,D$24)&gt;0,"✓",""))</f>
        <v/>
      </c>
      <c r="E567" s="57">
        <f>IF(OR($A567="",E$24=""),"",IF(COUNTIFS('AFA Rates'!$A$5:$A$1004,$A567,'AFA Rates'!$B$5:$B$1004,E$24)&gt;0,"✓",""))</f>
        <v/>
      </c>
      <c r="F567" s="57">
        <f>IF(OR($A567="",F$24=""),"",IF(COUNTIFS('AFA Rates'!$A$5:$A$1004,$A567,'AFA Rates'!$B$5:$B$1004,F$24)&gt;0,"✓",""))</f>
        <v/>
      </c>
      <c r="G567" s="57">
        <f>IF(OR($A567="",G$24=""),"",IF(COUNTIFS('AFA Rates'!$A$5:$A$1004,$A567,'AFA Rates'!$B$5:$B$1004,G$24)&gt;0,"✓",""))</f>
        <v/>
      </c>
      <c r="H567" s="57">
        <f>IF(OR($A567="",H$24=""),"",IF(COUNTIFS('AFA Rates'!$A$5:$A$1004,$A567,'AFA Rates'!$B$5:$B$1004,H$24)&gt;0,"✓",""))</f>
        <v/>
      </c>
      <c r="I567" s="57">
        <f>IF(OR($A567="",I$24=""),"",IF(COUNTIFS('AFA Rates'!$A$5:$A$1004,$A567,'AFA Rates'!$B$5:$B$1004,I$24)&gt;0,"✓",""))</f>
        <v/>
      </c>
      <c r="J567" s="57">
        <f>IF(OR($A567="",J$24=""),"",IF(COUNTIFS('AFA Rates'!$A$5:$A$1004,$A567,'AFA Rates'!$B$5:$B$1004,J$24)&gt;0,"✓",""))</f>
        <v/>
      </c>
      <c r="K567" s="57">
        <f>IF(OR($A567="",K$24=""),"",IF(COUNTIFS('AFA Rates'!$A$5:$A$1004,$A567,'AFA Rates'!$B$5:$B$1004,K$24)&gt;0,"✓",""))</f>
        <v/>
      </c>
      <c r="L567" s="57">
        <f>IF(OR($A567="",L$24=""),"",IF(COUNTIFS('AFA Rates'!$A$5:$A$1004,$A567,'AFA Rates'!$B$5:$B$1004,L$24)&gt;0,"✓",""))</f>
        <v/>
      </c>
      <c r="M567" s="57">
        <f>IF(OR($A567="",M$24=""),"",IF(COUNTIFS('AFA Rates'!$A$5:$A$1004,$A567,'AFA Rates'!$B$5:$B$1004,M$24)&gt;0,"✓",""))</f>
        <v/>
      </c>
    </row>
    <row r="568">
      <c r="A568" s="63">
        <f>IFERROR(INDEX(Firms!$A$5:$A$1004,MATCH(544,Firms!$S$5:$S$1004,0)),"")</f>
        <v/>
      </c>
      <c r="B568" s="57">
        <f>IF($A568="","",INDEX(Firms!$B$5:$B$1004,MATCH(544,Firms!$S$5:$S$1004,0)))</f>
        <v/>
      </c>
      <c r="C568" s="57">
        <f>IF($A568="","",COUNTIF('AFA Rates'!$A$5:$A$1004,$A568))</f>
        <v/>
      </c>
      <c r="D568" s="57">
        <f>IF(OR($A568="",D$24=""),"",IF(COUNTIFS('AFA Rates'!$A$5:$A$1004,$A568,'AFA Rates'!$B$5:$B$1004,D$24)&gt;0,"✓",""))</f>
        <v/>
      </c>
      <c r="E568" s="57">
        <f>IF(OR($A568="",E$24=""),"",IF(COUNTIFS('AFA Rates'!$A$5:$A$1004,$A568,'AFA Rates'!$B$5:$B$1004,E$24)&gt;0,"✓",""))</f>
        <v/>
      </c>
      <c r="F568" s="57">
        <f>IF(OR($A568="",F$24=""),"",IF(COUNTIFS('AFA Rates'!$A$5:$A$1004,$A568,'AFA Rates'!$B$5:$B$1004,F$24)&gt;0,"✓",""))</f>
        <v/>
      </c>
      <c r="G568" s="57">
        <f>IF(OR($A568="",G$24=""),"",IF(COUNTIFS('AFA Rates'!$A$5:$A$1004,$A568,'AFA Rates'!$B$5:$B$1004,G$24)&gt;0,"✓",""))</f>
        <v/>
      </c>
      <c r="H568" s="57">
        <f>IF(OR($A568="",H$24=""),"",IF(COUNTIFS('AFA Rates'!$A$5:$A$1004,$A568,'AFA Rates'!$B$5:$B$1004,H$24)&gt;0,"✓",""))</f>
        <v/>
      </c>
      <c r="I568" s="57">
        <f>IF(OR($A568="",I$24=""),"",IF(COUNTIFS('AFA Rates'!$A$5:$A$1004,$A568,'AFA Rates'!$B$5:$B$1004,I$24)&gt;0,"✓",""))</f>
        <v/>
      </c>
      <c r="J568" s="57">
        <f>IF(OR($A568="",J$24=""),"",IF(COUNTIFS('AFA Rates'!$A$5:$A$1004,$A568,'AFA Rates'!$B$5:$B$1004,J$24)&gt;0,"✓",""))</f>
        <v/>
      </c>
      <c r="K568" s="57">
        <f>IF(OR($A568="",K$24=""),"",IF(COUNTIFS('AFA Rates'!$A$5:$A$1004,$A568,'AFA Rates'!$B$5:$B$1004,K$24)&gt;0,"✓",""))</f>
        <v/>
      </c>
      <c r="L568" s="57">
        <f>IF(OR($A568="",L$24=""),"",IF(COUNTIFS('AFA Rates'!$A$5:$A$1004,$A568,'AFA Rates'!$B$5:$B$1004,L$24)&gt;0,"✓",""))</f>
        <v/>
      </c>
      <c r="M568" s="57">
        <f>IF(OR($A568="",M$24=""),"",IF(COUNTIFS('AFA Rates'!$A$5:$A$1004,$A568,'AFA Rates'!$B$5:$B$1004,M$24)&gt;0,"✓",""))</f>
        <v/>
      </c>
    </row>
    <row r="569">
      <c r="A569" s="63">
        <f>IFERROR(INDEX(Firms!$A$5:$A$1004,MATCH(545,Firms!$S$5:$S$1004,0)),"")</f>
        <v/>
      </c>
      <c r="B569" s="57">
        <f>IF($A569="","",INDEX(Firms!$B$5:$B$1004,MATCH(545,Firms!$S$5:$S$1004,0)))</f>
        <v/>
      </c>
      <c r="C569" s="57">
        <f>IF($A569="","",COUNTIF('AFA Rates'!$A$5:$A$1004,$A569))</f>
        <v/>
      </c>
      <c r="D569" s="57">
        <f>IF(OR($A569="",D$24=""),"",IF(COUNTIFS('AFA Rates'!$A$5:$A$1004,$A569,'AFA Rates'!$B$5:$B$1004,D$24)&gt;0,"✓",""))</f>
        <v/>
      </c>
      <c r="E569" s="57">
        <f>IF(OR($A569="",E$24=""),"",IF(COUNTIFS('AFA Rates'!$A$5:$A$1004,$A569,'AFA Rates'!$B$5:$B$1004,E$24)&gt;0,"✓",""))</f>
        <v/>
      </c>
      <c r="F569" s="57">
        <f>IF(OR($A569="",F$24=""),"",IF(COUNTIFS('AFA Rates'!$A$5:$A$1004,$A569,'AFA Rates'!$B$5:$B$1004,F$24)&gt;0,"✓",""))</f>
        <v/>
      </c>
      <c r="G569" s="57">
        <f>IF(OR($A569="",G$24=""),"",IF(COUNTIFS('AFA Rates'!$A$5:$A$1004,$A569,'AFA Rates'!$B$5:$B$1004,G$24)&gt;0,"✓",""))</f>
        <v/>
      </c>
      <c r="H569" s="57">
        <f>IF(OR($A569="",H$24=""),"",IF(COUNTIFS('AFA Rates'!$A$5:$A$1004,$A569,'AFA Rates'!$B$5:$B$1004,H$24)&gt;0,"✓",""))</f>
        <v/>
      </c>
      <c r="I569" s="57">
        <f>IF(OR($A569="",I$24=""),"",IF(COUNTIFS('AFA Rates'!$A$5:$A$1004,$A569,'AFA Rates'!$B$5:$B$1004,I$24)&gt;0,"✓",""))</f>
        <v/>
      </c>
      <c r="J569" s="57">
        <f>IF(OR($A569="",J$24=""),"",IF(COUNTIFS('AFA Rates'!$A$5:$A$1004,$A569,'AFA Rates'!$B$5:$B$1004,J$24)&gt;0,"✓",""))</f>
        <v/>
      </c>
      <c r="K569" s="57">
        <f>IF(OR($A569="",K$24=""),"",IF(COUNTIFS('AFA Rates'!$A$5:$A$1004,$A569,'AFA Rates'!$B$5:$B$1004,K$24)&gt;0,"✓",""))</f>
        <v/>
      </c>
      <c r="L569" s="57">
        <f>IF(OR($A569="",L$24=""),"",IF(COUNTIFS('AFA Rates'!$A$5:$A$1004,$A569,'AFA Rates'!$B$5:$B$1004,L$24)&gt;0,"✓",""))</f>
        <v/>
      </c>
      <c r="M569" s="57">
        <f>IF(OR($A569="",M$24=""),"",IF(COUNTIFS('AFA Rates'!$A$5:$A$1004,$A569,'AFA Rates'!$B$5:$B$1004,M$24)&gt;0,"✓",""))</f>
        <v/>
      </c>
    </row>
    <row r="570">
      <c r="A570" s="63">
        <f>IFERROR(INDEX(Firms!$A$5:$A$1004,MATCH(546,Firms!$S$5:$S$1004,0)),"")</f>
        <v/>
      </c>
      <c r="B570" s="57">
        <f>IF($A570="","",INDEX(Firms!$B$5:$B$1004,MATCH(546,Firms!$S$5:$S$1004,0)))</f>
        <v/>
      </c>
      <c r="C570" s="57">
        <f>IF($A570="","",COUNTIF('AFA Rates'!$A$5:$A$1004,$A570))</f>
        <v/>
      </c>
      <c r="D570" s="57">
        <f>IF(OR($A570="",D$24=""),"",IF(COUNTIFS('AFA Rates'!$A$5:$A$1004,$A570,'AFA Rates'!$B$5:$B$1004,D$24)&gt;0,"✓",""))</f>
        <v/>
      </c>
      <c r="E570" s="57">
        <f>IF(OR($A570="",E$24=""),"",IF(COUNTIFS('AFA Rates'!$A$5:$A$1004,$A570,'AFA Rates'!$B$5:$B$1004,E$24)&gt;0,"✓",""))</f>
        <v/>
      </c>
      <c r="F570" s="57">
        <f>IF(OR($A570="",F$24=""),"",IF(COUNTIFS('AFA Rates'!$A$5:$A$1004,$A570,'AFA Rates'!$B$5:$B$1004,F$24)&gt;0,"✓",""))</f>
        <v/>
      </c>
      <c r="G570" s="57">
        <f>IF(OR($A570="",G$24=""),"",IF(COUNTIFS('AFA Rates'!$A$5:$A$1004,$A570,'AFA Rates'!$B$5:$B$1004,G$24)&gt;0,"✓",""))</f>
        <v/>
      </c>
      <c r="H570" s="57">
        <f>IF(OR($A570="",H$24=""),"",IF(COUNTIFS('AFA Rates'!$A$5:$A$1004,$A570,'AFA Rates'!$B$5:$B$1004,H$24)&gt;0,"✓",""))</f>
        <v/>
      </c>
      <c r="I570" s="57">
        <f>IF(OR($A570="",I$24=""),"",IF(COUNTIFS('AFA Rates'!$A$5:$A$1004,$A570,'AFA Rates'!$B$5:$B$1004,I$24)&gt;0,"✓",""))</f>
        <v/>
      </c>
      <c r="J570" s="57">
        <f>IF(OR($A570="",J$24=""),"",IF(COUNTIFS('AFA Rates'!$A$5:$A$1004,$A570,'AFA Rates'!$B$5:$B$1004,J$24)&gt;0,"✓",""))</f>
        <v/>
      </c>
      <c r="K570" s="57">
        <f>IF(OR($A570="",K$24=""),"",IF(COUNTIFS('AFA Rates'!$A$5:$A$1004,$A570,'AFA Rates'!$B$5:$B$1004,K$24)&gt;0,"✓",""))</f>
        <v/>
      </c>
      <c r="L570" s="57">
        <f>IF(OR($A570="",L$24=""),"",IF(COUNTIFS('AFA Rates'!$A$5:$A$1004,$A570,'AFA Rates'!$B$5:$B$1004,L$24)&gt;0,"✓",""))</f>
        <v/>
      </c>
      <c r="M570" s="57">
        <f>IF(OR($A570="",M$24=""),"",IF(COUNTIFS('AFA Rates'!$A$5:$A$1004,$A570,'AFA Rates'!$B$5:$B$1004,M$24)&gt;0,"✓",""))</f>
        <v/>
      </c>
    </row>
    <row r="571">
      <c r="A571" s="63">
        <f>IFERROR(INDEX(Firms!$A$5:$A$1004,MATCH(547,Firms!$S$5:$S$1004,0)),"")</f>
        <v/>
      </c>
      <c r="B571" s="57">
        <f>IF($A571="","",INDEX(Firms!$B$5:$B$1004,MATCH(547,Firms!$S$5:$S$1004,0)))</f>
        <v/>
      </c>
      <c r="C571" s="57">
        <f>IF($A571="","",COUNTIF('AFA Rates'!$A$5:$A$1004,$A571))</f>
        <v/>
      </c>
      <c r="D571" s="57">
        <f>IF(OR($A571="",D$24=""),"",IF(COUNTIFS('AFA Rates'!$A$5:$A$1004,$A571,'AFA Rates'!$B$5:$B$1004,D$24)&gt;0,"✓",""))</f>
        <v/>
      </c>
      <c r="E571" s="57">
        <f>IF(OR($A571="",E$24=""),"",IF(COUNTIFS('AFA Rates'!$A$5:$A$1004,$A571,'AFA Rates'!$B$5:$B$1004,E$24)&gt;0,"✓",""))</f>
        <v/>
      </c>
      <c r="F571" s="57">
        <f>IF(OR($A571="",F$24=""),"",IF(COUNTIFS('AFA Rates'!$A$5:$A$1004,$A571,'AFA Rates'!$B$5:$B$1004,F$24)&gt;0,"✓",""))</f>
        <v/>
      </c>
      <c r="G571" s="57">
        <f>IF(OR($A571="",G$24=""),"",IF(COUNTIFS('AFA Rates'!$A$5:$A$1004,$A571,'AFA Rates'!$B$5:$B$1004,G$24)&gt;0,"✓",""))</f>
        <v/>
      </c>
      <c r="H571" s="57">
        <f>IF(OR($A571="",H$24=""),"",IF(COUNTIFS('AFA Rates'!$A$5:$A$1004,$A571,'AFA Rates'!$B$5:$B$1004,H$24)&gt;0,"✓",""))</f>
        <v/>
      </c>
      <c r="I571" s="57">
        <f>IF(OR($A571="",I$24=""),"",IF(COUNTIFS('AFA Rates'!$A$5:$A$1004,$A571,'AFA Rates'!$B$5:$B$1004,I$24)&gt;0,"✓",""))</f>
        <v/>
      </c>
      <c r="J571" s="57">
        <f>IF(OR($A571="",J$24=""),"",IF(COUNTIFS('AFA Rates'!$A$5:$A$1004,$A571,'AFA Rates'!$B$5:$B$1004,J$24)&gt;0,"✓",""))</f>
        <v/>
      </c>
      <c r="K571" s="57">
        <f>IF(OR($A571="",K$24=""),"",IF(COUNTIFS('AFA Rates'!$A$5:$A$1004,$A571,'AFA Rates'!$B$5:$B$1004,K$24)&gt;0,"✓",""))</f>
        <v/>
      </c>
      <c r="L571" s="57">
        <f>IF(OR($A571="",L$24=""),"",IF(COUNTIFS('AFA Rates'!$A$5:$A$1004,$A571,'AFA Rates'!$B$5:$B$1004,L$24)&gt;0,"✓",""))</f>
        <v/>
      </c>
      <c r="M571" s="57">
        <f>IF(OR($A571="",M$24=""),"",IF(COUNTIFS('AFA Rates'!$A$5:$A$1004,$A571,'AFA Rates'!$B$5:$B$1004,M$24)&gt;0,"✓",""))</f>
        <v/>
      </c>
    </row>
    <row r="572">
      <c r="A572" s="63">
        <f>IFERROR(INDEX(Firms!$A$5:$A$1004,MATCH(548,Firms!$S$5:$S$1004,0)),"")</f>
        <v/>
      </c>
      <c r="B572" s="57">
        <f>IF($A572="","",INDEX(Firms!$B$5:$B$1004,MATCH(548,Firms!$S$5:$S$1004,0)))</f>
        <v/>
      </c>
      <c r="C572" s="57">
        <f>IF($A572="","",COUNTIF('AFA Rates'!$A$5:$A$1004,$A572))</f>
        <v/>
      </c>
      <c r="D572" s="57">
        <f>IF(OR($A572="",D$24=""),"",IF(COUNTIFS('AFA Rates'!$A$5:$A$1004,$A572,'AFA Rates'!$B$5:$B$1004,D$24)&gt;0,"✓",""))</f>
        <v/>
      </c>
      <c r="E572" s="57">
        <f>IF(OR($A572="",E$24=""),"",IF(COUNTIFS('AFA Rates'!$A$5:$A$1004,$A572,'AFA Rates'!$B$5:$B$1004,E$24)&gt;0,"✓",""))</f>
        <v/>
      </c>
      <c r="F572" s="57">
        <f>IF(OR($A572="",F$24=""),"",IF(COUNTIFS('AFA Rates'!$A$5:$A$1004,$A572,'AFA Rates'!$B$5:$B$1004,F$24)&gt;0,"✓",""))</f>
        <v/>
      </c>
      <c r="G572" s="57">
        <f>IF(OR($A572="",G$24=""),"",IF(COUNTIFS('AFA Rates'!$A$5:$A$1004,$A572,'AFA Rates'!$B$5:$B$1004,G$24)&gt;0,"✓",""))</f>
        <v/>
      </c>
      <c r="H572" s="57">
        <f>IF(OR($A572="",H$24=""),"",IF(COUNTIFS('AFA Rates'!$A$5:$A$1004,$A572,'AFA Rates'!$B$5:$B$1004,H$24)&gt;0,"✓",""))</f>
        <v/>
      </c>
      <c r="I572" s="57">
        <f>IF(OR($A572="",I$24=""),"",IF(COUNTIFS('AFA Rates'!$A$5:$A$1004,$A572,'AFA Rates'!$B$5:$B$1004,I$24)&gt;0,"✓",""))</f>
        <v/>
      </c>
      <c r="J572" s="57">
        <f>IF(OR($A572="",J$24=""),"",IF(COUNTIFS('AFA Rates'!$A$5:$A$1004,$A572,'AFA Rates'!$B$5:$B$1004,J$24)&gt;0,"✓",""))</f>
        <v/>
      </c>
      <c r="K572" s="57">
        <f>IF(OR($A572="",K$24=""),"",IF(COUNTIFS('AFA Rates'!$A$5:$A$1004,$A572,'AFA Rates'!$B$5:$B$1004,K$24)&gt;0,"✓",""))</f>
        <v/>
      </c>
      <c r="L572" s="57">
        <f>IF(OR($A572="",L$24=""),"",IF(COUNTIFS('AFA Rates'!$A$5:$A$1004,$A572,'AFA Rates'!$B$5:$B$1004,L$24)&gt;0,"✓",""))</f>
        <v/>
      </c>
      <c r="M572" s="57">
        <f>IF(OR($A572="",M$24=""),"",IF(COUNTIFS('AFA Rates'!$A$5:$A$1004,$A572,'AFA Rates'!$B$5:$B$1004,M$24)&gt;0,"✓",""))</f>
        <v/>
      </c>
    </row>
    <row r="573">
      <c r="A573" s="63">
        <f>IFERROR(INDEX(Firms!$A$5:$A$1004,MATCH(549,Firms!$S$5:$S$1004,0)),"")</f>
        <v/>
      </c>
      <c r="B573" s="57">
        <f>IF($A573="","",INDEX(Firms!$B$5:$B$1004,MATCH(549,Firms!$S$5:$S$1004,0)))</f>
        <v/>
      </c>
      <c r="C573" s="57">
        <f>IF($A573="","",COUNTIF('AFA Rates'!$A$5:$A$1004,$A573))</f>
        <v/>
      </c>
      <c r="D573" s="57">
        <f>IF(OR($A573="",D$24=""),"",IF(COUNTIFS('AFA Rates'!$A$5:$A$1004,$A573,'AFA Rates'!$B$5:$B$1004,D$24)&gt;0,"✓",""))</f>
        <v/>
      </c>
      <c r="E573" s="57">
        <f>IF(OR($A573="",E$24=""),"",IF(COUNTIFS('AFA Rates'!$A$5:$A$1004,$A573,'AFA Rates'!$B$5:$B$1004,E$24)&gt;0,"✓",""))</f>
        <v/>
      </c>
      <c r="F573" s="57">
        <f>IF(OR($A573="",F$24=""),"",IF(COUNTIFS('AFA Rates'!$A$5:$A$1004,$A573,'AFA Rates'!$B$5:$B$1004,F$24)&gt;0,"✓",""))</f>
        <v/>
      </c>
      <c r="G573" s="57">
        <f>IF(OR($A573="",G$24=""),"",IF(COUNTIFS('AFA Rates'!$A$5:$A$1004,$A573,'AFA Rates'!$B$5:$B$1004,G$24)&gt;0,"✓",""))</f>
        <v/>
      </c>
      <c r="H573" s="57">
        <f>IF(OR($A573="",H$24=""),"",IF(COUNTIFS('AFA Rates'!$A$5:$A$1004,$A573,'AFA Rates'!$B$5:$B$1004,H$24)&gt;0,"✓",""))</f>
        <v/>
      </c>
      <c r="I573" s="57">
        <f>IF(OR($A573="",I$24=""),"",IF(COUNTIFS('AFA Rates'!$A$5:$A$1004,$A573,'AFA Rates'!$B$5:$B$1004,I$24)&gt;0,"✓",""))</f>
        <v/>
      </c>
      <c r="J573" s="57">
        <f>IF(OR($A573="",J$24=""),"",IF(COUNTIFS('AFA Rates'!$A$5:$A$1004,$A573,'AFA Rates'!$B$5:$B$1004,J$24)&gt;0,"✓",""))</f>
        <v/>
      </c>
      <c r="K573" s="57">
        <f>IF(OR($A573="",K$24=""),"",IF(COUNTIFS('AFA Rates'!$A$5:$A$1004,$A573,'AFA Rates'!$B$5:$B$1004,K$24)&gt;0,"✓",""))</f>
        <v/>
      </c>
      <c r="L573" s="57">
        <f>IF(OR($A573="",L$24=""),"",IF(COUNTIFS('AFA Rates'!$A$5:$A$1004,$A573,'AFA Rates'!$B$5:$B$1004,L$24)&gt;0,"✓",""))</f>
        <v/>
      </c>
      <c r="M573" s="57">
        <f>IF(OR($A573="",M$24=""),"",IF(COUNTIFS('AFA Rates'!$A$5:$A$1004,$A573,'AFA Rates'!$B$5:$B$1004,M$24)&gt;0,"✓",""))</f>
        <v/>
      </c>
    </row>
    <row r="574">
      <c r="A574" s="63">
        <f>IFERROR(INDEX(Firms!$A$5:$A$1004,MATCH(550,Firms!$S$5:$S$1004,0)),"")</f>
        <v/>
      </c>
      <c r="B574" s="57">
        <f>IF($A574="","",INDEX(Firms!$B$5:$B$1004,MATCH(550,Firms!$S$5:$S$1004,0)))</f>
        <v/>
      </c>
      <c r="C574" s="57">
        <f>IF($A574="","",COUNTIF('AFA Rates'!$A$5:$A$1004,$A574))</f>
        <v/>
      </c>
      <c r="D574" s="57">
        <f>IF(OR($A574="",D$24=""),"",IF(COUNTIFS('AFA Rates'!$A$5:$A$1004,$A574,'AFA Rates'!$B$5:$B$1004,D$24)&gt;0,"✓",""))</f>
        <v/>
      </c>
      <c r="E574" s="57">
        <f>IF(OR($A574="",E$24=""),"",IF(COUNTIFS('AFA Rates'!$A$5:$A$1004,$A574,'AFA Rates'!$B$5:$B$1004,E$24)&gt;0,"✓",""))</f>
        <v/>
      </c>
      <c r="F574" s="57">
        <f>IF(OR($A574="",F$24=""),"",IF(COUNTIFS('AFA Rates'!$A$5:$A$1004,$A574,'AFA Rates'!$B$5:$B$1004,F$24)&gt;0,"✓",""))</f>
        <v/>
      </c>
      <c r="G574" s="57">
        <f>IF(OR($A574="",G$24=""),"",IF(COUNTIFS('AFA Rates'!$A$5:$A$1004,$A574,'AFA Rates'!$B$5:$B$1004,G$24)&gt;0,"✓",""))</f>
        <v/>
      </c>
      <c r="H574" s="57">
        <f>IF(OR($A574="",H$24=""),"",IF(COUNTIFS('AFA Rates'!$A$5:$A$1004,$A574,'AFA Rates'!$B$5:$B$1004,H$24)&gt;0,"✓",""))</f>
        <v/>
      </c>
      <c r="I574" s="57">
        <f>IF(OR($A574="",I$24=""),"",IF(COUNTIFS('AFA Rates'!$A$5:$A$1004,$A574,'AFA Rates'!$B$5:$B$1004,I$24)&gt;0,"✓",""))</f>
        <v/>
      </c>
      <c r="J574" s="57">
        <f>IF(OR($A574="",J$24=""),"",IF(COUNTIFS('AFA Rates'!$A$5:$A$1004,$A574,'AFA Rates'!$B$5:$B$1004,J$24)&gt;0,"✓",""))</f>
        <v/>
      </c>
      <c r="K574" s="57">
        <f>IF(OR($A574="",K$24=""),"",IF(COUNTIFS('AFA Rates'!$A$5:$A$1004,$A574,'AFA Rates'!$B$5:$B$1004,K$24)&gt;0,"✓",""))</f>
        <v/>
      </c>
      <c r="L574" s="57">
        <f>IF(OR($A574="",L$24=""),"",IF(COUNTIFS('AFA Rates'!$A$5:$A$1004,$A574,'AFA Rates'!$B$5:$B$1004,L$24)&gt;0,"✓",""))</f>
        <v/>
      </c>
      <c r="M574" s="57">
        <f>IF(OR($A574="",M$24=""),"",IF(COUNTIFS('AFA Rates'!$A$5:$A$1004,$A574,'AFA Rates'!$B$5:$B$1004,M$24)&gt;0,"✓",""))</f>
        <v/>
      </c>
    </row>
    <row r="575">
      <c r="A575" s="63">
        <f>IFERROR(INDEX(Firms!$A$5:$A$1004,MATCH(551,Firms!$S$5:$S$1004,0)),"")</f>
        <v/>
      </c>
      <c r="B575" s="57">
        <f>IF($A575="","",INDEX(Firms!$B$5:$B$1004,MATCH(551,Firms!$S$5:$S$1004,0)))</f>
        <v/>
      </c>
      <c r="C575" s="57">
        <f>IF($A575="","",COUNTIF('AFA Rates'!$A$5:$A$1004,$A575))</f>
        <v/>
      </c>
      <c r="D575" s="57">
        <f>IF(OR($A575="",D$24=""),"",IF(COUNTIFS('AFA Rates'!$A$5:$A$1004,$A575,'AFA Rates'!$B$5:$B$1004,D$24)&gt;0,"✓",""))</f>
        <v/>
      </c>
      <c r="E575" s="57">
        <f>IF(OR($A575="",E$24=""),"",IF(COUNTIFS('AFA Rates'!$A$5:$A$1004,$A575,'AFA Rates'!$B$5:$B$1004,E$24)&gt;0,"✓",""))</f>
        <v/>
      </c>
      <c r="F575" s="57">
        <f>IF(OR($A575="",F$24=""),"",IF(COUNTIFS('AFA Rates'!$A$5:$A$1004,$A575,'AFA Rates'!$B$5:$B$1004,F$24)&gt;0,"✓",""))</f>
        <v/>
      </c>
      <c r="G575" s="57">
        <f>IF(OR($A575="",G$24=""),"",IF(COUNTIFS('AFA Rates'!$A$5:$A$1004,$A575,'AFA Rates'!$B$5:$B$1004,G$24)&gt;0,"✓",""))</f>
        <v/>
      </c>
      <c r="H575" s="57">
        <f>IF(OR($A575="",H$24=""),"",IF(COUNTIFS('AFA Rates'!$A$5:$A$1004,$A575,'AFA Rates'!$B$5:$B$1004,H$24)&gt;0,"✓",""))</f>
        <v/>
      </c>
      <c r="I575" s="57">
        <f>IF(OR($A575="",I$24=""),"",IF(COUNTIFS('AFA Rates'!$A$5:$A$1004,$A575,'AFA Rates'!$B$5:$B$1004,I$24)&gt;0,"✓",""))</f>
        <v/>
      </c>
      <c r="J575" s="57">
        <f>IF(OR($A575="",J$24=""),"",IF(COUNTIFS('AFA Rates'!$A$5:$A$1004,$A575,'AFA Rates'!$B$5:$B$1004,J$24)&gt;0,"✓",""))</f>
        <v/>
      </c>
      <c r="K575" s="57">
        <f>IF(OR($A575="",K$24=""),"",IF(COUNTIFS('AFA Rates'!$A$5:$A$1004,$A575,'AFA Rates'!$B$5:$B$1004,K$24)&gt;0,"✓",""))</f>
        <v/>
      </c>
      <c r="L575" s="57">
        <f>IF(OR($A575="",L$24=""),"",IF(COUNTIFS('AFA Rates'!$A$5:$A$1004,$A575,'AFA Rates'!$B$5:$B$1004,L$24)&gt;0,"✓",""))</f>
        <v/>
      </c>
      <c r="M575" s="57">
        <f>IF(OR($A575="",M$24=""),"",IF(COUNTIFS('AFA Rates'!$A$5:$A$1004,$A575,'AFA Rates'!$B$5:$B$1004,M$24)&gt;0,"✓",""))</f>
        <v/>
      </c>
    </row>
    <row r="576">
      <c r="A576" s="63">
        <f>IFERROR(INDEX(Firms!$A$5:$A$1004,MATCH(552,Firms!$S$5:$S$1004,0)),"")</f>
        <v/>
      </c>
      <c r="B576" s="57">
        <f>IF($A576="","",INDEX(Firms!$B$5:$B$1004,MATCH(552,Firms!$S$5:$S$1004,0)))</f>
        <v/>
      </c>
      <c r="C576" s="57">
        <f>IF($A576="","",COUNTIF('AFA Rates'!$A$5:$A$1004,$A576))</f>
        <v/>
      </c>
      <c r="D576" s="57">
        <f>IF(OR($A576="",D$24=""),"",IF(COUNTIFS('AFA Rates'!$A$5:$A$1004,$A576,'AFA Rates'!$B$5:$B$1004,D$24)&gt;0,"✓",""))</f>
        <v/>
      </c>
      <c r="E576" s="57">
        <f>IF(OR($A576="",E$24=""),"",IF(COUNTIFS('AFA Rates'!$A$5:$A$1004,$A576,'AFA Rates'!$B$5:$B$1004,E$24)&gt;0,"✓",""))</f>
        <v/>
      </c>
      <c r="F576" s="57">
        <f>IF(OR($A576="",F$24=""),"",IF(COUNTIFS('AFA Rates'!$A$5:$A$1004,$A576,'AFA Rates'!$B$5:$B$1004,F$24)&gt;0,"✓",""))</f>
        <v/>
      </c>
      <c r="G576" s="57">
        <f>IF(OR($A576="",G$24=""),"",IF(COUNTIFS('AFA Rates'!$A$5:$A$1004,$A576,'AFA Rates'!$B$5:$B$1004,G$24)&gt;0,"✓",""))</f>
        <v/>
      </c>
      <c r="H576" s="57">
        <f>IF(OR($A576="",H$24=""),"",IF(COUNTIFS('AFA Rates'!$A$5:$A$1004,$A576,'AFA Rates'!$B$5:$B$1004,H$24)&gt;0,"✓",""))</f>
        <v/>
      </c>
      <c r="I576" s="57">
        <f>IF(OR($A576="",I$24=""),"",IF(COUNTIFS('AFA Rates'!$A$5:$A$1004,$A576,'AFA Rates'!$B$5:$B$1004,I$24)&gt;0,"✓",""))</f>
        <v/>
      </c>
      <c r="J576" s="57">
        <f>IF(OR($A576="",J$24=""),"",IF(COUNTIFS('AFA Rates'!$A$5:$A$1004,$A576,'AFA Rates'!$B$5:$B$1004,J$24)&gt;0,"✓",""))</f>
        <v/>
      </c>
      <c r="K576" s="57">
        <f>IF(OR($A576="",K$24=""),"",IF(COUNTIFS('AFA Rates'!$A$5:$A$1004,$A576,'AFA Rates'!$B$5:$B$1004,K$24)&gt;0,"✓",""))</f>
        <v/>
      </c>
      <c r="L576" s="57">
        <f>IF(OR($A576="",L$24=""),"",IF(COUNTIFS('AFA Rates'!$A$5:$A$1004,$A576,'AFA Rates'!$B$5:$B$1004,L$24)&gt;0,"✓",""))</f>
        <v/>
      </c>
      <c r="M576" s="57">
        <f>IF(OR($A576="",M$24=""),"",IF(COUNTIFS('AFA Rates'!$A$5:$A$1004,$A576,'AFA Rates'!$B$5:$B$1004,M$24)&gt;0,"✓",""))</f>
        <v/>
      </c>
    </row>
    <row r="577">
      <c r="A577" s="63">
        <f>IFERROR(INDEX(Firms!$A$5:$A$1004,MATCH(553,Firms!$S$5:$S$1004,0)),"")</f>
        <v/>
      </c>
      <c r="B577" s="57">
        <f>IF($A577="","",INDEX(Firms!$B$5:$B$1004,MATCH(553,Firms!$S$5:$S$1004,0)))</f>
        <v/>
      </c>
      <c r="C577" s="57">
        <f>IF($A577="","",COUNTIF('AFA Rates'!$A$5:$A$1004,$A577))</f>
        <v/>
      </c>
      <c r="D577" s="57">
        <f>IF(OR($A577="",D$24=""),"",IF(COUNTIFS('AFA Rates'!$A$5:$A$1004,$A577,'AFA Rates'!$B$5:$B$1004,D$24)&gt;0,"✓",""))</f>
        <v/>
      </c>
      <c r="E577" s="57">
        <f>IF(OR($A577="",E$24=""),"",IF(COUNTIFS('AFA Rates'!$A$5:$A$1004,$A577,'AFA Rates'!$B$5:$B$1004,E$24)&gt;0,"✓",""))</f>
        <v/>
      </c>
      <c r="F577" s="57">
        <f>IF(OR($A577="",F$24=""),"",IF(COUNTIFS('AFA Rates'!$A$5:$A$1004,$A577,'AFA Rates'!$B$5:$B$1004,F$24)&gt;0,"✓",""))</f>
        <v/>
      </c>
      <c r="G577" s="57">
        <f>IF(OR($A577="",G$24=""),"",IF(COUNTIFS('AFA Rates'!$A$5:$A$1004,$A577,'AFA Rates'!$B$5:$B$1004,G$24)&gt;0,"✓",""))</f>
        <v/>
      </c>
      <c r="H577" s="57">
        <f>IF(OR($A577="",H$24=""),"",IF(COUNTIFS('AFA Rates'!$A$5:$A$1004,$A577,'AFA Rates'!$B$5:$B$1004,H$24)&gt;0,"✓",""))</f>
        <v/>
      </c>
      <c r="I577" s="57">
        <f>IF(OR($A577="",I$24=""),"",IF(COUNTIFS('AFA Rates'!$A$5:$A$1004,$A577,'AFA Rates'!$B$5:$B$1004,I$24)&gt;0,"✓",""))</f>
        <v/>
      </c>
      <c r="J577" s="57">
        <f>IF(OR($A577="",J$24=""),"",IF(COUNTIFS('AFA Rates'!$A$5:$A$1004,$A577,'AFA Rates'!$B$5:$B$1004,J$24)&gt;0,"✓",""))</f>
        <v/>
      </c>
      <c r="K577" s="57">
        <f>IF(OR($A577="",K$24=""),"",IF(COUNTIFS('AFA Rates'!$A$5:$A$1004,$A577,'AFA Rates'!$B$5:$B$1004,K$24)&gt;0,"✓",""))</f>
        <v/>
      </c>
      <c r="L577" s="57">
        <f>IF(OR($A577="",L$24=""),"",IF(COUNTIFS('AFA Rates'!$A$5:$A$1004,$A577,'AFA Rates'!$B$5:$B$1004,L$24)&gt;0,"✓",""))</f>
        <v/>
      </c>
      <c r="M577" s="57">
        <f>IF(OR($A577="",M$24=""),"",IF(COUNTIFS('AFA Rates'!$A$5:$A$1004,$A577,'AFA Rates'!$B$5:$B$1004,M$24)&gt;0,"✓",""))</f>
        <v/>
      </c>
    </row>
    <row r="578">
      <c r="A578" s="63">
        <f>IFERROR(INDEX(Firms!$A$5:$A$1004,MATCH(554,Firms!$S$5:$S$1004,0)),"")</f>
        <v/>
      </c>
      <c r="B578" s="57">
        <f>IF($A578="","",INDEX(Firms!$B$5:$B$1004,MATCH(554,Firms!$S$5:$S$1004,0)))</f>
        <v/>
      </c>
      <c r="C578" s="57">
        <f>IF($A578="","",COUNTIF('AFA Rates'!$A$5:$A$1004,$A578))</f>
        <v/>
      </c>
      <c r="D578" s="57">
        <f>IF(OR($A578="",D$24=""),"",IF(COUNTIFS('AFA Rates'!$A$5:$A$1004,$A578,'AFA Rates'!$B$5:$B$1004,D$24)&gt;0,"✓",""))</f>
        <v/>
      </c>
      <c r="E578" s="57">
        <f>IF(OR($A578="",E$24=""),"",IF(COUNTIFS('AFA Rates'!$A$5:$A$1004,$A578,'AFA Rates'!$B$5:$B$1004,E$24)&gt;0,"✓",""))</f>
        <v/>
      </c>
      <c r="F578" s="57">
        <f>IF(OR($A578="",F$24=""),"",IF(COUNTIFS('AFA Rates'!$A$5:$A$1004,$A578,'AFA Rates'!$B$5:$B$1004,F$24)&gt;0,"✓",""))</f>
        <v/>
      </c>
      <c r="G578" s="57">
        <f>IF(OR($A578="",G$24=""),"",IF(COUNTIFS('AFA Rates'!$A$5:$A$1004,$A578,'AFA Rates'!$B$5:$B$1004,G$24)&gt;0,"✓",""))</f>
        <v/>
      </c>
      <c r="H578" s="57">
        <f>IF(OR($A578="",H$24=""),"",IF(COUNTIFS('AFA Rates'!$A$5:$A$1004,$A578,'AFA Rates'!$B$5:$B$1004,H$24)&gt;0,"✓",""))</f>
        <v/>
      </c>
      <c r="I578" s="57">
        <f>IF(OR($A578="",I$24=""),"",IF(COUNTIFS('AFA Rates'!$A$5:$A$1004,$A578,'AFA Rates'!$B$5:$B$1004,I$24)&gt;0,"✓",""))</f>
        <v/>
      </c>
      <c r="J578" s="57">
        <f>IF(OR($A578="",J$24=""),"",IF(COUNTIFS('AFA Rates'!$A$5:$A$1004,$A578,'AFA Rates'!$B$5:$B$1004,J$24)&gt;0,"✓",""))</f>
        <v/>
      </c>
      <c r="K578" s="57">
        <f>IF(OR($A578="",K$24=""),"",IF(COUNTIFS('AFA Rates'!$A$5:$A$1004,$A578,'AFA Rates'!$B$5:$B$1004,K$24)&gt;0,"✓",""))</f>
        <v/>
      </c>
      <c r="L578" s="57">
        <f>IF(OR($A578="",L$24=""),"",IF(COUNTIFS('AFA Rates'!$A$5:$A$1004,$A578,'AFA Rates'!$B$5:$B$1004,L$24)&gt;0,"✓",""))</f>
        <v/>
      </c>
      <c r="M578" s="57">
        <f>IF(OR($A578="",M$24=""),"",IF(COUNTIFS('AFA Rates'!$A$5:$A$1004,$A578,'AFA Rates'!$B$5:$B$1004,M$24)&gt;0,"✓",""))</f>
        <v/>
      </c>
    </row>
    <row r="579">
      <c r="A579" s="63">
        <f>IFERROR(INDEX(Firms!$A$5:$A$1004,MATCH(555,Firms!$S$5:$S$1004,0)),"")</f>
        <v/>
      </c>
      <c r="B579" s="57">
        <f>IF($A579="","",INDEX(Firms!$B$5:$B$1004,MATCH(555,Firms!$S$5:$S$1004,0)))</f>
        <v/>
      </c>
      <c r="C579" s="57">
        <f>IF($A579="","",COUNTIF('AFA Rates'!$A$5:$A$1004,$A579))</f>
        <v/>
      </c>
      <c r="D579" s="57">
        <f>IF(OR($A579="",D$24=""),"",IF(COUNTIFS('AFA Rates'!$A$5:$A$1004,$A579,'AFA Rates'!$B$5:$B$1004,D$24)&gt;0,"✓",""))</f>
        <v/>
      </c>
      <c r="E579" s="57">
        <f>IF(OR($A579="",E$24=""),"",IF(COUNTIFS('AFA Rates'!$A$5:$A$1004,$A579,'AFA Rates'!$B$5:$B$1004,E$24)&gt;0,"✓",""))</f>
        <v/>
      </c>
      <c r="F579" s="57">
        <f>IF(OR($A579="",F$24=""),"",IF(COUNTIFS('AFA Rates'!$A$5:$A$1004,$A579,'AFA Rates'!$B$5:$B$1004,F$24)&gt;0,"✓",""))</f>
        <v/>
      </c>
      <c r="G579" s="57">
        <f>IF(OR($A579="",G$24=""),"",IF(COUNTIFS('AFA Rates'!$A$5:$A$1004,$A579,'AFA Rates'!$B$5:$B$1004,G$24)&gt;0,"✓",""))</f>
        <v/>
      </c>
      <c r="H579" s="57">
        <f>IF(OR($A579="",H$24=""),"",IF(COUNTIFS('AFA Rates'!$A$5:$A$1004,$A579,'AFA Rates'!$B$5:$B$1004,H$24)&gt;0,"✓",""))</f>
        <v/>
      </c>
      <c r="I579" s="57">
        <f>IF(OR($A579="",I$24=""),"",IF(COUNTIFS('AFA Rates'!$A$5:$A$1004,$A579,'AFA Rates'!$B$5:$B$1004,I$24)&gt;0,"✓",""))</f>
        <v/>
      </c>
      <c r="J579" s="57">
        <f>IF(OR($A579="",J$24=""),"",IF(COUNTIFS('AFA Rates'!$A$5:$A$1004,$A579,'AFA Rates'!$B$5:$B$1004,J$24)&gt;0,"✓",""))</f>
        <v/>
      </c>
      <c r="K579" s="57">
        <f>IF(OR($A579="",K$24=""),"",IF(COUNTIFS('AFA Rates'!$A$5:$A$1004,$A579,'AFA Rates'!$B$5:$B$1004,K$24)&gt;0,"✓",""))</f>
        <v/>
      </c>
      <c r="L579" s="57">
        <f>IF(OR($A579="",L$24=""),"",IF(COUNTIFS('AFA Rates'!$A$5:$A$1004,$A579,'AFA Rates'!$B$5:$B$1004,L$24)&gt;0,"✓",""))</f>
        <v/>
      </c>
      <c r="M579" s="57">
        <f>IF(OR($A579="",M$24=""),"",IF(COUNTIFS('AFA Rates'!$A$5:$A$1004,$A579,'AFA Rates'!$B$5:$B$1004,M$24)&gt;0,"✓",""))</f>
        <v/>
      </c>
    </row>
    <row r="580">
      <c r="A580" s="63">
        <f>IFERROR(INDEX(Firms!$A$5:$A$1004,MATCH(556,Firms!$S$5:$S$1004,0)),"")</f>
        <v/>
      </c>
      <c r="B580" s="57">
        <f>IF($A580="","",INDEX(Firms!$B$5:$B$1004,MATCH(556,Firms!$S$5:$S$1004,0)))</f>
        <v/>
      </c>
      <c r="C580" s="57">
        <f>IF($A580="","",COUNTIF('AFA Rates'!$A$5:$A$1004,$A580))</f>
        <v/>
      </c>
      <c r="D580" s="57">
        <f>IF(OR($A580="",D$24=""),"",IF(COUNTIFS('AFA Rates'!$A$5:$A$1004,$A580,'AFA Rates'!$B$5:$B$1004,D$24)&gt;0,"✓",""))</f>
        <v/>
      </c>
      <c r="E580" s="57">
        <f>IF(OR($A580="",E$24=""),"",IF(COUNTIFS('AFA Rates'!$A$5:$A$1004,$A580,'AFA Rates'!$B$5:$B$1004,E$24)&gt;0,"✓",""))</f>
        <v/>
      </c>
      <c r="F580" s="57">
        <f>IF(OR($A580="",F$24=""),"",IF(COUNTIFS('AFA Rates'!$A$5:$A$1004,$A580,'AFA Rates'!$B$5:$B$1004,F$24)&gt;0,"✓",""))</f>
        <v/>
      </c>
      <c r="G580" s="57">
        <f>IF(OR($A580="",G$24=""),"",IF(COUNTIFS('AFA Rates'!$A$5:$A$1004,$A580,'AFA Rates'!$B$5:$B$1004,G$24)&gt;0,"✓",""))</f>
        <v/>
      </c>
      <c r="H580" s="57">
        <f>IF(OR($A580="",H$24=""),"",IF(COUNTIFS('AFA Rates'!$A$5:$A$1004,$A580,'AFA Rates'!$B$5:$B$1004,H$24)&gt;0,"✓",""))</f>
        <v/>
      </c>
      <c r="I580" s="57">
        <f>IF(OR($A580="",I$24=""),"",IF(COUNTIFS('AFA Rates'!$A$5:$A$1004,$A580,'AFA Rates'!$B$5:$B$1004,I$24)&gt;0,"✓",""))</f>
        <v/>
      </c>
      <c r="J580" s="57">
        <f>IF(OR($A580="",J$24=""),"",IF(COUNTIFS('AFA Rates'!$A$5:$A$1004,$A580,'AFA Rates'!$B$5:$B$1004,J$24)&gt;0,"✓",""))</f>
        <v/>
      </c>
      <c r="K580" s="57">
        <f>IF(OR($A580="",K$24=""),"",IF(COUNTIFS('AFA Rates'!$A$5:$A$1004,$A580,'AFA Rates'!$B$5:$B$1004,K$24)&gt;0,"✓",""))</f>
        <v/>
      </c>
      <c r="L580" s="57">
        <f>IF(OR($A580="",L$24=""),"",IF(COUNTIFS('AFA Rates'!$A$5:$A$1004,$A580,'AFA Rates'!$B$5:$B$1004,L$24)&gt;0,"✓",""))</f>
        <v/>
      </c>
      <c r="M580" s="57">
        <f>IF(OR($A580="",M$24=""),"",IF(COUNTIFS('AFA Rates'!$A$5:$A$1004,$A580,'AFA Rates'!$B$5:$B$1004,M$24)&gt;0,"✓",""))</f>
        <v/>
      </c>
    </row>
    <row r="581">
      <c r="A581" s="63">
        <f>IFERROR(INDEX(Firms!$A$5:$A$1004,MATCH(557,Firms!$S$5:$S$1004,0)),"")</f>
        <v/>
      </c>
      <c r="B581" s="57">
        <f>IF($A581="","",INDEX(Firms!$B$5:$B$1004,MATCH(557,Firms!$S$5:$S$1004,0)))</f>
        <v/>
      </c>
      <c r="C581" s="57">
        <f>IF($A581="","",COUNTIF('AFA Rates'!$A$5:$A$1004,$A581))</f>
        <v/>
      </c>
      <c r="D581" s="57">
        <f>IF(OR($A581="",D$24=""),"",IF(COUNTIFS('AFA Rates'!$A$5:$A$1004,$A581,'AFA Rates'!$B$5:$B$1004,D$24)&gt;0,"✓",""))</f>
        <v/>
      </c>
      <c r="E581" s="57">
        <f>IF(OR($A581="",E$24=""),"",IF(COUNTIFS('AFA Rates'!$A$5:$A$1004,$A581,'AFA Rates'!$B$5:$B$1004,E$24)&gt;0,"✓",""))</f>
        <v/>
      </c>
      <c r="F581" s="57">
        <f>IF(OR($A581="",F$24=""),"",IF(COUNTIFS('AFA Rates'!$A$5:$A$1004,$A581,'AFA Rates'!$B$5:$B$1004,F$24)&gt;0,"✓",""))</f>
        <v/>
      </c>
      <c r="G581" s="57">
        <f>IF(OR($A581="",G$24=""),"",IF(COUNTIFS('AFA Rates'!$A$5:$A$1004,$A581,'AFA Rates'!$B$5:$B$1004,G$24)&gt;0,"✓",""))</f>
        <v/>
      </c>
      <c r="H581" s="57">
        <f>IF(OR($A581="",H$24=""),"",IF(COUNTIFS('AFA Rates'!$A$5:$A$1004,$A581,'AFA Rates'!$B$5:$B$1004,H$24)&gt;0,"✓",""))</f>
        <v/>
      </c>
      <c r="I581" s="57">
        <f>IF(OR($A581="",I$24=""),"",IF(COUNTIFS('AFA Rates'!$A$5:$A$1004,$A581,'AFA Rates'!$B$5:$B$1004,I$24)&gt;0,"✓",""))</f>
        <v/>
      </c>
      <c r="J581" s="57">
        <f>IF(OR($A581="",J$24=""),"",IF(COUNTIFS('AFA Rates'!$A$5:$A$1004,$A581,'AFA Rates'!$B$5:$B$1004,J$24)&gt;0,"✓",""))</f>
        <v/>
      </c>
      <c r="K581" s="57">
        <f>IF(OR($A581="",K$24=""),"",IF(COUNTIFS('AFA Rates'!$A$5:$A$1004,$A581,'AFA Rates'!$B$5:$B$1004,K$24)&gt;0,"✓",""))</f>
        <v/>
      </c>
      <c r="L581" s="57">
        <f>IF(OR($A581="",L$24=""),"",IF(COUNTIFS('AFA Rates'!$A$5:$A$1004,$A581,'AFA Rates'!$B$5:$B$1004,L$24)&gt;0,"✓",""))</f>
        <v/>
      </c>
      <c r="M581" s="57">
        <f>IF(OR($A581="",M$24=""),"",IF(COUNTIFS('AFA Rates'!$A$5:$A$1004,$A581,'AFA Rates'!$B$5:$B$1004,M$24)&gt;0,"✓",""))</f>
        <v/>
      </c>
    </row>
    <row r="582">
      <c r="A582" s="63">
        <f>IFERROR(INDEX(Firms!$A$5:$A$1004,MATCH(558,Firms!$S$5:$S$1004,0)),"")</f>
        <v/>
      </c>
      <c r="B582" s="57">
        <f>IF($A582="","",INDEX(Firms!$B$5:$B$1004,MATCH(558,Firms!$S$5:$S$1004,0)))</f>
        <v/>
      </c>
      <c r="C582" s="57">
        <f>IF($A582="","",COUNTIF('AFA Rates'!$A$5:$A$1004,$A582))</f>
        <v/>
      </c>
      <c r="D582" s="57">
        <f>IF(OR($A582="",D$24=""),"",IF(COUNTIFS('AFA Rates'!$A$5:$A$1004,$A582,'AFA Rates'!$B$5:$B$1004,D$24)&gt;0,"✓",""))</f>
        <v/>
      </c>
      <c r="E582" s="57">
        <f>IF(OR($A582="",E$24=""),"",IF(COUNTIFS('AFA Rates'!$A$5:$A$1004,$A582,'AFA Rates'!$B$5:$B$1004,E$24)&gt;0,"✓",""))</f>
        <v/>
      </c>
      <c r="F582" s="57">
        <f>IF(OR($A582="",F$24=""),"",IF(COUNTIFS('AFA Rates'!$A$5:$A$1004,$A582,'AFA Rates'!$B$5:$B$1004,F$24)&gt;0,"✓",""))</f>
        <v/>
      </c>
      <c r="G582" s="57">
        <f>IF(OR($A582="",G$24=""),"",IF(COUNTIFS('AFA Rates'!$A$5:$A$1004,$A582,'AFA Rates'!$B$5:$B$1004,G$24)&gt;0,"✓",""))</f>
        <v/>
      </c>
      <c r="H582" s="57">
        <f>IF(OR($A582="",H$24=""),"",IF(COUNTIFS('AFA Rates'!$A$5:$A$1004,$A582,'AFA Rates'!$B$5:$B$1004,H$24)&gt;0,"✓",""))</f>
        <v/>
      </c>
      <c r="I582" s="57">
        <f>IF(OR($A582="",I$24=""),"",IF(COUNTIFS('AFA Rates'!$A$5:$A$1004,$A582,'AFA Rates'!$B$5:$B$1004,I$24)&gt;0,"✓",""))</f>
        <v/>
      </c>
      <c r="J582" s="57">
        <f>IF(OR($A582="",J$24=""),"",IF(COUNTIFS('AFA Rates'!$A$5:$A$1004,$A582,'AFA Rates'!$B$5:$B$1004,J$24)&gt;0,"✓",""))</f>
        <v/>
      </c>
      <c r="K582" s="57">
        <f>IF(OR($A582="",K$24=""),"",IF(COUNTIFS('AFA Rates'!$A$5:$A$1004,$A582,'AFA Rates'!$B$5:$B$1004,K$24)&gt;0,"✓",""))</f>
        <v/>
      </c>
      <c r="L582" s="57">
        <f>IF(OR($A582="",L$24=""),"",IF(COUNTIFS('AFA Rates'!$A$5:$A$1004,$A582,'AFA Rates'!$B$5:$B$1004,L$24)&gt;0,"✓",""))</f>
        <v/>
      </c>
      <c r="M582" s="57">
        <f>IF(OR($A582="",M$24=""),"",IF(COUNTIFS('AFA Rates'!$A$5:$A$1004,$A582,'AFA Rates'!$B$5:$B$1004,M$24)&gt;0,"✓",""))</f>
        <v/>
      </c>
    </row>
    <row r="583">
      <c r="A583" s="63">
        <f>IFERROR(INDEX(Firms!$A$5:$A$1004,MATCH(559,Firms!$S$5:$S$1004,0)),"")</f>
        <v/>
      </c>
      <c r="B583" s="57">
        <f>IF($A583="","",INDEX(Firms!$B$5:$B$1004,MATCH(559,Firms!$S$5:$S$1004,0)))</f>
        <v/>
      </c>
      <c r="C583" s="57">
        <f>IF($A583="","",COUNTIF('AFA Rates'!$A$5:$A$1004,$A583))</f>
        <v/>
      </c>
      <c r="D583" s="57">
        <f>IF(OR($A583="",D$24=""),"",IF(COUNTIFS('AFA Rates'!$A$5:$A$1004,$A583,'AFA Rates'!$B$5:$B$1004,D$24)&gt;0,"✓",""))</f>
        <v/>
      </c>
      <c r="E583" s="57">
        <f>IF(OR($A583="",E$24=""),"",IF(COUNTIFS('AFA Rates'!$A$5:$A$1004,$A583,'AFA Rates'!$B$5:$B$1004,E$24)&gt;0,"✓",""))</f>
        <v/>
      </c>
      <c r="F583" s="57">
        <f>IF(OR($A583="",F$24=""),"",IF(COUNTIFS('AFA Rates'!$A$5:$A$1004,$A583,'AFA Rates'!$B$5:$B$1004,F$24)&gt;0,"✓",""))</f>
        <v/>
      </c>
      <c r="G583" s="57">
        <f>IF(OR($A583="",G$24=""),"",IF(COUNTIFS('AFA Rates'!$A$5:$A$1004,$A583,'AFA Rates'!$B$5:$B$1004,G$24)&gt;0,"✓",""))</f>
        <v/>
      </c>
      <c r="H583" s="57">
        <f>IF(OR($A583="",H$24=""),"",IF(COUNTIFS('AFA Rates'!$A$5:$A$1004,$A583,'AFA Rates'!$B$5:$B$1004,H$24)&gt;0,"✓",""))</f>
        <v/>
      </c>
      <c r="I583" s="57">
        <f>IF(OR($A583="",I$24=""),"",IF(COUNTIFS('AFA Rates'!$A$5:$A$1004,$A583,'AFA Rates'!$B$5:$B$1004,I$24)&gt;0,"✓",""))</f>
        <v/>
      </c>
      <c r="J583" s="57">
        <f>IF(OR($A583="",J$24=""),"",IF(COUNTIFS('AFA Rates'!$A$5:$A$1004,$A583,'AFA Rates'!$B$5:$B$1004,J$24)&gt;0,"✓",""))</f>
        <v/>
      </c>
      <c r="K583" s="57">
        <f>IF(OR($A583="",K$24=""),"",IF(COUNTIFS('AFA Rates'!$A$5:$A$1004,$A583,'AFA Rates'!$B$5:$B$1004,K$24)&gt;0,"✓",""))</f>
        <v/>
      </c>
      <c r="L583" s="57">
        <f>IF(OR($A583="",L$24=""),"",IF(COUNTIFS('AFA Rates'!$A$5:$A$1004,$A583,'AFA Rates'!$B$5:$B$1004,L$24)&gt;0,"✓",""))</f>
        <v/>
      </c>
      <c r="M583" s="57">
        <f>IF(OR($A583="",M$24=""),"",IF(COUNTIFS('AFA Rates'!$A$5:$A$1004,$A583,'AFA Rates'!$B$5:$B$1004,M$24)&gt;0,"✓",""))</f>
        <v/>
      </c>
    </row>
    <row r="584">
      <c r="A584" s="63">
        <f>IFERROR(INDEX(Firms!$A$5:$A$1004,MATCH(560,Firms!$S$5:$S$1004,0)),"")</f>
        <v/>
      </c>
      <c r="B584" s="57">
        <f>IF($A584="","",INDEX(Firms!$B$5:$B$1004,MATCH(560,Firms!$S$5:$S$1004,0)))</f>
        <v/>
      </c>
      <c r="C584" s="57">
        <f>IF($A584="","",COUNTIF('AFA Rates'!$A$5:$A$1004,$A584))</f>
        <v/>
      </c>
      <c r="D584" s="57">
        <f>IF(OR($A584="",D$24=""),"",IF(COUNTIFS('AFA Rates'!$A$5:$A$1004,$A584,'AFA Rates'!$B$5:$B$1004,D$24)&gt;0,"✓",""))</f>
        <v/>
      </c>
      <c r="E584" s="57">
        <f>IF(OR($A584="",E$24=""),"",IF(COUNTIFS('AFA Rates'!$A$5:$A$1004,$A584,'AFA Rates'!$B$5:$B$1004,E$24)&gt;0,"✓",""))</f>
        <v/>
      </c>
      <c r="F584" s="57">
        <f>IF(OR($A584="",F$24=""),"",IF(COUNTIFS('AFA Rates'!$A$5:$A$1004,$A584,'AFA Rates'!$B$5:$B$1004,F$24)&gt;0,"✓",""))</f>
        <v/>
      </c>
      <c r="G584" s="57">
        <f>IF(OR($A584="",G$24=""),"",IF(COUNTIFS('AFA Rates'!$A$5:$A$1004,$A584,'AFA Rates'!$B$5:$B$1004,G$24)&gt;0,"✓",""))</f>
        <v/>
      </c>
      <c r="H584" s="57">
        <f>IF(OR($A584="",H$24=""),"",IF(COUNTIFS('AFA Rates'!$A$5:$A$1004,$A584,'AFA Rates'!$B$5:$B$1004,H$24)&gt;0,"✓",""))</f>
        <v/>
      </c>
      <c r="I584" s="57">
        <f>IF(OR($A584="",I$24=""),"",IF(COUNTIFS('AFA Rates'!$A$5:$A$1004,$A584,'AFA Rates'!$B$5:$B$1004,I$24)&gt;0,"✓",""))</f>
        <v/>
      </c>
      <c r="J584" s="57">
        <f>IF(OR($A584="",J$24=""),"",IF(COUNTIFS('AFA Rates'!$A$5:$A$1004,$A584,'AFA Rates'!$B$5:$B$1004,J$24)&gt;0,"✓",""))</f>
        <v/>
      </c>
      <c r="K584" s="57">
        <f>IF(OR($A584="",K$24=""),"",IF(COUNTIFS('AFA Rates'!$A$5:$A$1004,$A584,'AFA Rates'!$B$5:$B$1004,K$24)&gt;0,"✓",""))</f>
        <v/>
      </c>
      <c r="L584" s="57">
        <f>IF(OR($A584="",L$24=""),"",IF(COUNTIFS('AFA Rates'!$A$5:$A$1004,$A584,'AFA Rates'!$B$5:$B$1004,L$24)&gt;0,"✓",""))</f>
        <v/>
      </c>
      <c r="M584" s="57">
        <f>IF(OR($A584="",M$24=""),"",IF(COUNTIFS('AFA Rates'!$A$5:$A$1004,$A584,'AFA Rates'!$B$5:$B$1004,M$24)&gt;0,"✓",""))</f>
        <v/>
      </c>
    </row>
    <row r="585">
      <c r="A585" s="63">
        <f>IFERROR(INDEX(Firms!$A$5:$A$1004,MATCH(561,Firms!$S$5:$S$1004,0)),"")</f>
        <v/>
      </c>
      <c r="B585" s="57">
        <f>IF($A585="","",INDEX(Firms!$B$5:$B$1004,MATCH(561,Firms!$S$5:$S$1004,0)))</f>
        <v/>
      </c>
      <c r="C585" s="57">
        <f>IF($A585="","",COUNTIF('AFA Rates'!$A$5:$A$1004,$A585))</f>
        <v/>
      </c>
      <c r="D585" s="57">
        <f>IF(OR($A585="",D$24=""),"",IF(COUNTIFS('AFA Rates'!$A$5:$A$1004,$A585,'AFA Rates'!$B$5:$B$1004,D$24)&gt;0,"✓",""))</f>
        <v/>
      </c>
      <c r="E585" s="57">
        <f>IF(OR($A585="",E$24=""),"",IF(COUNTIFS('AFA Rates'!$A$5:$A$1004,$A585,'AFA Rates'!$B$5:$B$1004,E$24)&gt;0,"✓",""))</f>
        <v/>
      </c>
      <c r="F585" s="57">
        <f>IF(OR($A585="",F$24=""),"",IF(COUNTIFS('AFA Rates'!$A$5:$A$1004,$A585,'AFA Rates'!$B$5:$B$1004,F$24)&gt;0,"✓",""))</f>
        <v/>
      </c>
      <c r="G585" s="57">
        <f>IF(OR($A585="",G$24=""),"",IF(COUNTIFS('AFA Rates'!$A$5:$A$1004,$A585,'AFA Rates'!$B$5:$B$1004,G$24)&gt;0,"✓",""))</f>
        <v/>
      </c>
      <c r="H585" s="57">
        <f>IF(OR($A585="",H$24=""),"",IF(COUNTIFS('AFA Rates'!$A$5:$A$1004,$A585,'AFA Rates'!$B$5:$B$1004,H$24)&gt;0,"✓",""))</f>
        <v/>
      </c>
      <c r="I585" s="57">
        <f>IF(OR($A585="",I$24=""),"",IF(COUNTIFS('AFA Rates'!$A$5:$A$1004,$A585,'AFA Rates'!$B$5:$B$1004,I$24)&gt;0,"✓",""))</f>
        <v/>
      </c>
      <c r="J585" s="57">
        <f>IF(OR($A585="",J$24=""),"",IF(COUNTIFS('AFA Rates'!$A$5:$A$1004,$A585,'AFA Rates'!$B$5:$B$1004,J$24)&gt;0,"✓",""))</f>
        <v/>
      </c>
      <c r="K585" s="57">
        <f>IF(OR($A585="",K$24=""),"",IF(COUNTIFS('AFA Rates'!$A$5:$A$1004,$A585,'AFA Rates'!$B$5:$B$1004,K$24)&gt;0,"✓",""))</f>
        <v/>
      </c>
      <c r="L585" s="57">
        <f>IF(OR($A585="",L$24=""),"",IF(COUNTIFS('AFA Rates'!$A$5:$A$1004,$A585,'AFA Rates'!$B$5:$B$1004,L$24)&gt;0,"✓",""))</f>
        <v/>
      </c>
      <c r="M585" s="57">
        <f>IF(OR($A585="",M$24=""),"",IF(COUNTIFS('AFA Rates'!$A$5:$A$1004,$A585,'AFA Rates'!$B$5:$B$1004,M$24)&gt;0,"✓",""))</f>
        <v/>
      </c>
    </row>
    <row r="586">
      <c r="A586" s="63">
        <f>IFERROR(INDEX(Firms!$A$5:$A$1004,MATCH(562,Firms!$S$5:$S$1004,0)),"")</f>
        <v/>
      </c>
      <c r="B586" s="57">
        <f>IF($A586="","",INDEX(Firms!$B$5:$B$1004,MATCH(562,Firms!$S$5:$S$1004,0)))</f>
        <v/>
      </c>
      <c r="C586" s="57">
        <f>IF($A586="","",COUNTIF('AFA Rates'!$A$5:$A$1004,$A586))</f>
        <v/>
      </c>
      <c r="D586" s="57">
        <f>IF(OR($A586="",D$24=""),"",IF(COUNTIFS('AFA Rates'!$A$5:$A$1004,$A586,'AFA Rates'!$B$5:$B$1004,D$24)&gt;0,"✓",""))</f>
        <v/>
      </c>
      <c r="E586" s="57">
        <f>IF(OR($A586="",E$24=""),"",IF(COUNTIFS('AFA Rates'!$A$5:$A$1004,$A586,'AFA Rates'!$B$5:$B$1004,E$24)&gt;0,"✓",""))</f>
        <v/>
      </c>
      <c r="F586" s="57">
        <f>IF(OR($A586="",F$24=""),"",IF(COUNTIFS('AFA Rates'!$A$5:$A$1004,$A586,'AFA Rates'!$B$5:$B$1004,F$24)&gt;0,"✓",""))</f>
        <v/>
      </c>
      <c r="G586" s="57">
        <f>IF(OR($A586="",G$24=""),"",IF(COUNTIFS('AFA Rates'!$A$5:$A$1004,$A586,'AFA Rates'!$B$5:$B$1004,G$24)&gt;0,"✓",""))</f>
        <v/>
      </c>
      <c r="H586" s="57">
        <f>IF(OR($A586="",H$24=""),"",IF(COUNTIFS('AFA Rates'!$A$5:$A$1004,$A586,'AFA Rates'!$B$5:$B$1004,H$24)&gt;0,"✓",""))</f>
        <v/>
      </c>
      <c r="I586" s="57">
        <f>IF(OR($A586="",I$24=""),"",IF(COUNTIFS('AFA Rates'!$A$5:$A$1004,$A586,'AFA Rates'!$B$5:$B$1004,I$24)&gt;0,"✓",""))</f>
        <v/>
      </c>
      <c r="J586" s="57">
        <f>IF(OR($A586="",J$24=""),"",IF(COUNTIFS('AFA Rates'!$A$5:$A$1004,$A586,'AFA Rates'!$B$5:$B$1004,J$24)&gt;0,"✓",""))</f>
        <v/>
      </c>
      <c r="K586" s="57">
        <f>IF(OR($A586="",K$24=""),"",IF(COUNTIFS('AFA Rates'!$A$5:$A$1004,$A586,'AFA Rates'!$B$5:$B$1004,K$24)&gt;0,"✓",""))</f>
        <v/>
      </c>
      <c r="L586" s="57">
        <f>IF(OR($A586="",L$24=""),"",IF(COUNTIFS('AFA Rates'!$A$5:$A$1004,$A586,'AFA Rates'!$B$5:$B$1004,L$24)&gt;0,"✓",""))</f>
        <v/>
      </c>
      <c r="M586" s="57">
        <f>IF(OR($A586="",M$24=""),"",IF(COUNTIFS('AFA Rates'!$A$5:$A$1004,$A586,'AFA Rates'!$B$5:$B$1004,M$24)&gt;0,"✓",""))</f>
        <v/>
      </c>
    </row>
    <row r="587">
      <c r="A587" s="63">
        <f>IFERROR(INDEX(Firms!$A$5:$A$1004,MATCH(563,Firms!$S$5:$S$1004,0)),"")</f>
        <v/>
      </c>
      <c r="B587" s="57">
        <f>IF($A587="","",INDEX(Firms!$B$5:$B$1004,MATCH(563,Firms!$S$5:$S$1004,0)))</f>
        <v/>
      </c>
      <c r="C587" s="57">
        <f>IF($A587="","",COUNTIF('AFA Rates'!$A$5:$A$1004,$A587))</f>
        <v/>
      </c>
      <c r="D587" s="57">
        <f>IF(OR($A587="",D$24=""),"",IF(COUNTIFS('AFA Rates'!$A$5:$A$1004,$A587,'AFA Rates'!$B$5:$B$1004,D$24)&gt;0,"✓",""))</f>
        <v/>
      </c>
      <c r="E587" s="57">
        <f>IF(OR($A587="",E$24=""),"",IF(COUNTIFS('AFA Rates'!$A$5:$A$1004,$A587,'AFA Rates'!$B$5:$B$1004,E$24)&gt;0,"✓",""))</f>
        <v/>
      </c>
      <c r="F587" s="57">
        <f>IF(OR($A587="",F$24=""),"",IF(COUNTIFS('AFA Rates'!$A$5:$A$1004,$A587,'AFA Rates'!$B$5:$B$1004,F$24)&gt;0,"✓",""))</f>
        <v/>
      </c>
      <c r="G587" s="57">
        <f>IF(OR($A587="",G$24=""),"",IF(COUNTIFS('AFA Rates'!$A$5:$A$1004,$A587,'AFA Rates'!$B$5:$B$1004,G$24)&gt;0,"✓",""))</f>
        <v/>
      </c>
      <c r="H587" s="57">
        <f>IF(OR($A587="",H$24=""),"",IF(COUNTIFS('AFA Rates'!$A$5:$A$1004,$A587,'AFA Rates'!$B$5:$B$1004,H$24)&gt;0,"✓",""))</f>
        <v/>
      </c>
      <c r="I587" s="57">
        <f>IF(OR($A587="",I$24=""),"",IF(COUNTIFS('AFA Rates'!$A$5:$A$1004,$A587,'AFA Rates'!$B$5:$B$1004,I$24)&gt;0,"✓",""))</f>
        <v/>
      </c>
      <c r="J587" s="57">
        <f>IF(OR($A587="",J$24=""),"",IF(COUNTIFS('AFA Rates'!$A$5:$A$1004,$A587,'AFA Rates'!$B$5:$B$1004,J$24)&gt;0,"✓",""))</f>
        <v/>
      </c>
      <c r="K587" s="57">
        <f>IF(OR($A587="",K$24=""),"",IF(COUNTIFS('AFA Rates'!$A$5:$A$1004,$A587,'AFA Rates'!$B$5:$B$1004,K$24)&gt;0,"✓",""))</f>
        <v/>
      </c>
      <c r="L587" s="57">
        <f>IF(OR($A587="",L$24=""),"",IF(COUNTIFS('AFA Rates'!$A$5:$A$1004,$A587,'AFA Rates'!$B$5:$B$1004,L$24)&gt;0,"✓",""))</f>
        <v/>
      </c>
      <c r="M587" s="57">
        <f>IF(OR($A587="",M$24=""),"",IF(COUNTIFS('AFA Rates'!$A$5:$A$1004,$A587,'AFA Rates'!$B$5:$B$1004,M$24)&gt;0,"✓",""))</f>
        <v/>
      </c>
    </row>
    <row r="588">
      <c r="A588" s="63">
        <f>IFERROR(INDEX(Firms!$A$5:$A$1004,MATCH(564,Firms!$S$5:$S$1004,0)),"")</f>
        <v/>
      </c>
      <c r="B588" s="57">
        <f>IF($A588="","",INDEX(Firms!$B$5:$B$1004,MATCH(564,Firms!$S$5:$S$1004,0)))</f>
        <v/>
      </c>
      <c r="C588" s="57">
        <f>IF($A588="","",COUNTIF('AFA Rates'!$A$5:$A$1004,$A588))</f>
        <v/>
      </c>
      <c r="D588" s="57">
        <f>IF(OR($A588="",D$24=""),"",IF(COUNTIFS('AFA Rates'!$A$5:$A$1004,$A588,'AFA Rates'!$B$5:$B$1004,D$24)&gt;0,"✓",""))</f>
        <v/>
      </c>
      <c r="E588" s="57">
        <f>IF(OR($A588="",E$24=""),"",IF(COUNTIFS('AFA Rates'!$A$5:$A$1004,$A588,'AFA Rates'!$B$5:$B$1004,E$24)&gt;0,"✓",""))</f>
        <v/>
      </c>
      <c r="F588" s="57">
        <f>IF(OR($A588="",F$24=""),"",IF(COUNTIFS('AFA Rates'!$A$5:$A$1004,$A588,'AFA Rates'!$B$5:$B$1004,F$24)&gt;0,"✓",""))</f>
        <v/>
      </c>
      <c r="G588" s="57">
        <f>IF(OR($A588="",G$24=""),"",IF(COUNTIFS('AFA Rates'!$A$5:$A$1004,$A588,'AFA Rates'!$B$5:$B$1004,G$24)&gt;0,"✓",""))</f>
        <v/>
      </c>
      <c r="H588" s="57">
        <f>IF(OR($A588="",H$24=""),"",IF(COUNTIFS('AFA Rates'!$A$5:$A$1004,$A588,'AFA Rates'!$B$5:$B$1004,H$24)&gt;0,"✓",""))</f>
        <v/>
      </c>
      <c r="I588" s="57">
        <f>IF(OR($A588="",I$24=""),"",IF(COUNTIFS('AFA Rates'!$A$5:$A$1004,$A588,'AFA Rates'!$B$5:$B$1004,I$24)&gt;0,"✓",""))</f>
        <v/>
      </c>
      <c r="J588" s="57">
        <f>IF(OR($A588="",J$24=""),"",IF(COUNTIFS('AFA Rates'!$A$5:$A$1004,$A588,'AFA Rates'!$B$5:$B$1004,J$24)&gt;0,"✓",""))</f>
        <v/>
      </c>
      <c r="K588" s="57">
        <f>IF(OR($A588="",K$24=""),"",IF(COUNTIFS('AFA Rates'!$A$5:$A$1004,$A588,'AFA Rates'!$B$5:$B$1004,K$24)&gt;0,"✓",""))</f>
        <v/>
      </c>
      <c r="L588" s="57">
        <f>IF(OR($A588="",L$24=""),"",IF(COUNTIFS('AFA Rates'!$A$5:$A$1004,$A588,'AFA Rates'!$B$5:$B$1004,L$24)&gt;0,"✓",""))</f>
        <v/>
      </c>
      <c r="M588" s="57">
        <f>IF(OR($A588="",M$24=""),"",IF(COUNTIFS('AFA Rates'!$A$5:$A$1004,$A588,'AFA Rates'!$B$5:$B$1004,M$24)&gt;0,"✓",""))</f>
        <v/>
      </c>
    </row>
    <row r="589">
      <c r="A589" s="63">
        <f>IFERROR(INDEX(Firms!$A$5:$A$1004,MATCH(565,Firms!$S$5:$S$1004,0)),"")</f>
        <v/>
      </c>
      <c r="B589" s="57">
        <f>IF($A589="","",INDEX(Firms!$B$5:$B$1004,MATCH(565,Firms!$S$5:$S$1004,0)))</f>
        <v/>
      </c>
      <c r="C589" s="57">
        <f>IF($A589="","",COUNTIF('AFA Rates'!$A$5:$A$1004,$A589))</f>
        <v/>
      </c>
      <c r="D589" s="57">
        <f>IF(OR($A589="",D$24=""),"",IF(COUNTIFS('AFA Rates'!$A$5:$A$1004,$A589,'AFA Rates'!$B$5:$B$1004,D$24)&gt;0,"✓",""))</f>
        <v/>
      </c>
      <c r="E589" s="57">
        <f>IF(OR($A589="",E$24=""),"",IF(COUNTIFS('AFA Rates'!$A$5:$A$1004,$A589,'AFA Rates'!$B$5:$B$1004,E$24)&gt;0,"✓",""))</f>
        <v/>
      </c>
      <c r="F589" s="57">
        <f>IF(OR($A589="",F$24=""),"",IF(COUNTIFS('AFA Rates'!$A$5:$A$1004,$A589,'AFA Rates'!$B$5:$B$1004,F$24)&gt;0,"✓",""))</f>
        <v/>
      </c>
      <c r="G589" s="57">
        <f>IF(OR($A589="",G$24=""),"",IF(COUNTIFS('AFA Rates'!$A$5:$A$1004,$A589,'AFA Rates'!$B$5:$B$1004,G$24)&gt;0,"✓",""))</f>
        <v/>
      </c>
      <c r="H589" s="57">
        <f>IF(OR($A589="",H$24=""),"",IF(COUNTIFS('AFA Rates'!$A$5:$A$1004,$A589,'AFA Rates'!$B$5:$B$1004,H$24)&gt;0,"✓",""))</f>
        <v/>
      </c>
      <c r="I589" s="57">
        <f>IF(OR($A589="",I$24=""),"",IF(COUNTIFS('AFA Rates'!$A$5:$A$1004,$A589,'AFA Rates'!$B$5:$B$1004,I$24)&gt;0,"✓",""))</f>
        <v/>
      </c>
      <c r="J589" s="57">
        <f>IF(OR($A589="",J$24=""),"",IF(COUNTIFS('AFA Rates'!$A$5:$A$1004,$A589,'AFA Rates'!$B$5:$B$1004,J$24)&gt;0,"✓",""))</f>
        <v/>
      </c>
      <c r="K589" s="57">
        <f>IF(OR($A589="",K$24=""),"",IF(COUNTIFS('AFA Rates'!$A$5:$A$1004,$A589,'AFA Rates'!$B$5:$B$1004,K$24)&gt;0,"✓",""))</f>
        <v/>
      </c>
      <c r="L589" s="57">
        <f>IF(OR($A589="",L$24=""),"",IF(COUNTIFS('AFA Rates'!$A$5:$A$1004,$A589,'AFA Rates'!$B$5:$B$1004,L$24)&gt;0,"✓",""))</f>
        <v/>
      </c>
      <c r="M589" s="57">
        <f>IF(OR($A589="",M$24=""),"",IF(COUNTIFS('AFA Rates'!$A$5:$A$1004,$A589,'AFA Rates'!$B$5:$B$1004,M$24)&gt;0,"✓",""))</f>
        <v/>
      </c>
    </row>
    <row r="590">
      <c r="A590" s="63">
        <f>IFERROR(INDEX(Firms!$A$5:$A$1004,MATCH(566,Firms!$S$5:$S$1004,0)),"")</f>
        <v/>
      </c>
      <c r="B590" s="57">
        <f>IF($A590="","",INDEX(Firms!$B$5:$B$1004,MATCH(566,Firms!$S$5:$S$1004,0)))</f>
        <v/>
      </c>
      <c r="C590" s="57">
        <f>IF($A590="","",COUNTIF('AFA Rates'!$A$5:$A$1004,$A590))</f>
        <v/>
      </c>
      <c r="D590" s="57">
        <f>IF(OR($A590="",D$24=""),"",IF(COUNTIFS('AFA Rates'!$A$5:$A$1004,$A590,'AFA Rates'!$B$5:$B$1004,D$24)&gt;0,"✓",""))</f>
        <v/>
      </c>
      <c r="E590" s="57">
        <f>IF(OR($A590="",E$24=""),"",IF(COUNTIFS('AFA Rates'!$A$5:$A$1004,$A590,'AFA Rates'!$B$5:$B$1004,E$24)&gt;0,"✓",""))</f>
        <v/>
      </c>
      <c r="F590" s="57">
        <f>IF(OR($A590="",F$24=""),"",IF(COUNTIFS('AFA Rates'!$A$5:$A$1004,$A590,'AFA Rates'!$B$5:$B$1004,F$24)&gt;0,"✓",""))</f>
        <v/>
      </c>
      <c r="G590" s="57">
        <f>IF(OR($A590="",G$24=""),"",IF(COUNTIFS('AFA Rates'!$A$5:$A$1004,$A590,'AFA Rates'!$B$5:$B$1004,G$24)&gt;0,"✓",""))</f>
        <v/>
      </c>
      <c r="H590" s="57">
        <f>IF(OR($A590="",H$24=""),"",IF(COUNTIFS('AFA Rates'!$A$5:$A$1004,$A590,'AFA Rates'!$B$5:$B$1004,H$24)&gt;0,"✓",""))</f>
        <v/>
      </c>
      <c r="I590" s="57">
        <f>IF(OR($A590="",I$24=""),"",IF(COUNTIFS('AFA Rates'!$A$5:$A$1004,$A590,'AFA Rates'!$B$5:$B$1004,I$24)&gt;0,"✓",""))</f>
        <v/>
      </c>
      <c r="J590" s="57">
        <f>IF(OR($A590="",J$24=""),"",IF(COUNTIFS('AFA Rates'!$A$5:$A$1004,$A590,'AFA Rates'!$B$5:$B$1004,J$24)&gt;0,"✓",""))</f>
        <v/>
      </c>
      <c r="K590" s="57">
        <f>IF(OR($A590="",K$24=""),"",IF(COUNTIFS('AFA Rates'!$A$5:$A$1004,$A590,'AFA Rates'!$B$5:$B$1004,K$24)&gt;0,"✓",""))</f>
        <v/>
      </c>
      <c r="L590" s="57">
        <f>IF(OR($A590="",L$24=""),"",IF(COUNTIFS('AFA Rates'!$A$5:$A$1004,$A590,'AFA Rates'!$B$5:$B$1004,L$24)&gt;0,"✓",""))</f>
        <v/>
      </c>
      <c r="M590" s="57">
        <f>IF(OR($A590="",M$24=""),"",IF(COUNTIFS('AFA Rates'!$A$5:$A$1004,$A590,'AFA Rates'!$B$5:$B$1004,M$24)&gt;0,"✓",""))</f>
        <v/>
      </c>
    </row>
    <row r="591">
      <c r="A591" s="63">
        <f>IFERROR(INDEX(Firms!$A$5:$A$1004,MATCH(567,Firms!$S$5:$S$1004,0)),"")</f>
        <v/>
      </c>
      <c r="B591" s="57">
        <f>IF($A591="","",INDEX(Firms!$B$5:$B$1004,MATCH(567,Firms!$S$5:$S$1004,0)))</f>
        <v/>
      </c>
      <c r="C591" s="57">
        <f>IF($A591="","",COUNTIF('AFA Rates'!$A$5:$A$1004,$A591))</f>
        <v/>
      </c>
      <c r="D591" s="57">
        <f>IF(OR($A591="",D$24=""),"",IF(COUNTIFS('AFA Rates'!$A$5:$A$1004,$A591,'AFA Rates'!$B$5:$B$1004,D$24)&gt;0,"✓",""))</f>
        <v/>
      </c>
      <c r="E591" s="57">
        <f>IF(OR($A591="",E$24=""),"",IF(COUNTIFS('AFA Rates'!$A$5:$A$1004,$A591,'AFA Rates'!$B$5:$B$1004,E$24)&gt;0,"✓",""))</f>
        <v/>
      </c>
      <c r="F591" s="57">
        <f>IF(OR($A591="",F$24=""),"",IF(COUNTIFS('AFA Rates'!$A$5:$A$1004,$A591,'AFA Rates'!$B$5:$B$1004,F$24)&gt;0,"✓",""))</f>
        <v/>
      </c>
      <c r="G591" s="57">
        <f>IF(OR($A591="",G$24=""),"",IF(COUNTIFS('AFA Rates'!$A$5:$A$1004,$A591,'AFA Rates'!$B$5:$B$1004,G$24)&gt;0,"✓",""))</f>
        <v/>
      </c>
      <c r="H591" s="57">
        <f>IF(OR($A591="",H$24=""),"",IF(COUNTIFS('AFA Rates'!$A$5:$A$1004,$A591,'AFA Rates'!$B$5:$B$1004,H$24)&gt;0,"✓",""))</f>
        <v/>
      </c>
      <c r="I591" s="57">
        <f>IF(OR($A591="",I$24=""),"",IF(COUNTIFS('AFA Rates'!$A$5:$A$1004,$A591,'AFA Rates'!$B$5:$B$1004,I$24)&gt;0,"✓",""))</f>
        <v/>
      </c>
      <c r="J591" s="57">
        <f>IF(OR($A591="",J$24=""),"",IF(COUNTIFS('AFA Rates'!$A$5:$A$1004,$A591,'AFA Rates'!$B$5:$B$1004,J$24)&gt;0,"✓",""))</f>
        <v/>
      </c>
      <c r="K591" s="57">
        <f>IF(OR($A591="",K$24=""),"",IF(COUNTIFS('AFA Rates'!$A$5:$A$1004,$A591,'AFA Rates'!$B$5:$B$1004,K$24)&gt;0,"✓",""))</f>
        <v/>
      </c>
      <c r="L591" s="57">
        <f>IF(OR($A591="",L$24=""),"",IF(COUNTIFS('AFA Rates'!$A$5:$A$1004,$A591,'AFA Rates'!$B$5:$B$1004,L$24)&gt;0,"✓",""))</f>
        <v/>
      </c>
      <c r="M591" s="57">
        <f>IF(OR($A591="",M$24=""),"",IF(COUNTIFS('AFA Rates'!$A$5:$A$1004,$A591,'AFA Rates'!$B$5:$B$1004,M$24)&gt;0,"✓",""))</f>
        <v/>
      </c>
    </row>
    <row r="592">
      <c r="A592" s="63">
        <f>IFERROR(INDEX(Firms!$A$5:$A$1004,MATCH(568,Firms!$S$5:$S$1004,0)),"")</f>
        <v/>
      </c>
      <c r="B592" s="57">
        <f>IF($A592="","",INDEX(Firms!$B$5:$B$1004,MATCH(568,Firms!$S$5:$S$1004,0)))</f>
        <v/>
      </c>
      <c r="C592" s="57">
        <f>IF($A592="","",COUNTIF('AFA Rates'!$A$5:$A$1004,$A592))</f>
        <v/>
      </c>
      <c r="D592" s="57">
        <f>IF(OR($A592="",D$24=""),"",IF(COUNTIFS('AFA Rates'!$A$5:$A$1004,$A592,'AFA Rates'!$B$5:$B$1004,D$24)&gt;0,"✓",""))</f>
        <v/>
      </c>
      <c r="E592" s="57">
        <f>IF(OR($A592="",E$24=""),"",IF(COUNTIFS('AFA Rates'!$A$5:$A$1004,$A592,'AFA Rates'!$B$5:$B$1004,E$24)&gt;0,"✓",""))</f>
        <v/>
      </c>
      <c r="F592" s="57">
        <f>IF(OR($A592="",F$24=""),"",IF(COUNTIFS('AFA Rates'!$A$5:$A$1004,$A592,'AFA Rates'!$B$5:$B$1004,F$24)&gt;0,"✓",""))</f>
        <v/>
      </c>
      <c r="G592" s="57">
        <f>IF(OR($A592="",G$24=""),"",IF(COUNTIFS('AFA Rates'!$A$5:$A$1004,$A592,'AFA Rates'!$B$5:$B$1004,G$24)&gt;0,"✓",""))</f>
        <v/>
      </c>
      <c r="H592" s="57">
        <f>IF(OR($A592="",H$24=""),"",IF(COUNTIFS('AFA Rates'!$A$5:$A$1004,$A592,'AFA Rates'!$B$5:$B$1004,H$24)&gt;0,"✓",""))</f>
        <v/>
      </c>
      <c r="I592" s="57">
        <f>IF(OR($A592="",I$24=""),"",IF(COUNTIFS('AFA Rates'!$A$5:$A$1004,$A592,'AFA Rates'!$B$5:$B$1004,I$24)&gt;0,"✓",""))</f>
        <v/>
      </c>
      <c r="J592" s="57">
        <f>IF(OR($A592="",J$24=""),"",IF(COUNTIFS('AFA Rates'!$A$5:$A$1004,$A592,'AFA Rates'!$B$5:$B$1004,J$24)&gt;0,"✓",""))</f>
        <v/>
      </c>
      <c r="K592" s="57">
        <f>IF(OR($A592="",K$24=""),"",IF(COUNTIFS('AFA Rates'!$A$5:$A$1004,$A592,'AFA Rates'!$B$5:$B$1004,K$24)&gt;0,"✓",""))</f>
        <v/>
      </c>
      <c r="L592" s="57">
        <f>IF(OR($A592="",L$24=""),"",IF(COUNTIFS('AFA Rates'!$A$5:$A$1004,$A592,'AFA Rates'!$B$5:$B$1004,L$24)&gt;0,"✓",""))</f>
        <v/>
      </c>
      <c r="M592" s="57">
        <f>IF(OR($A592="",M$24=""),"",IF(COUNTIFS('AFA Rates'!$A$5:$A$1004,$A592,'AFA Rates'!$B$5:$B$1004,M$24)&gt;0,"✓",""))</f>
        <v/>
      </c>
    </row>
    <row r="593">
      <c r="A593" s="63">
        <f>IFERROR(INDEX(Firms!$A$5:$A$1004,MATCH(569,Firms!$S$5:$S$1004,0)),"")</f>
        <v/>
      </c>
      <c r="B593" s="57">
        <f>IF($A593="","",INDEX(Firms!$B$5:$B$1004,MATCH(569,Firms!$S$5:$S$1004,0)))</f>
        <v/>
      </c>
      <c r="C593" s="57">
        <f>IF($A593="","",COUNTIF('AFA Rates'!$A$5:$A$1004,$A593))</f>
        <v/>
      </c>
      <c r="D593" s="57">
        <f>IF(OR($A593="",D$24=""),"",IF(COUNTIFS('AFA Rates'!$A$5:$A$1004,$A593,'AFA Rates'!$B$5:$B$1004,D$24)&gt;0,"✓",""))</f>
        <v/>
      </c>
      <c r="E593" s="57">
        <f>IF(OR($A593="",E$24=""),"",IF(COUNTIFS('AFA Rates'!$A$5:$A$1004,$A593,'AFA Rates'!$B$5:$B$1004,E$24)&gt;0,"✓",""))</f>
        <v/>
      </c>
      <c r="F593" s="57">
        <f>IF(OR($A593="",F$24=""),"",IF(COUNTIFS('AFA Rates'!$A$5:$A$1004,$A593,'AFA Rates'!$B$5:$B$1004,F$24)&gt;0,"✓",""))</f>
        <v/>
      </c>
      <c r="G593" s="57">
        <f>IF(OR($A593="",G$24=""),"",IF(COUNTIFS('AFA Rates'!$A$5:$A$1004,$A593,'AFA Rates'!$B$5:$B$1004,G$24)&gt;0,"✓",""))</f>
        <v/>
      </c>
      <c r="H593" s="57">
        <f>IF(OR($A593="",H$24=""),"",IF(COUNTIFS('AFA Rates'!$A$5:$A$1004,$A593,'AFA Rates'!$B$5:$B$1004,H$24)&gt;0,"✓",""))</f>
        <v/>
      </c>
      <c r="I593" s="57">
        <f>IF(OR($A593="",I$24=""),"",IF(COUNTIFS('AFA Rates'!$A$5:$A$1004,$A593,'AFA Rates'!$B$5:$B$1004,I$24)&gt;0,"✓",""))</f>
        <v/>
      </c>
      <c r="J593" s="57">
        <f>IF(OR($A593="",J$24=""),"",IF(COUNTIFS('AFA Rates'!$A$5:$A$1004,$A593,'AFA Rates'!$B$5:$B$1004,J$24)&gt;0,"✓",""))</f>
        <v/>
      </c>
      <c r="K593" s="57">
        <f>IF(OR($A593="",K$24=""),"",IF(COUNTIFS('AFA Rates'!$A$5:$A$1004,$A593,'AFA Rates'!$B$5:$B$1004,K$24)&gt;0,"✓",""))</f>
        <v/>
      </c>
      <c r="L593" s="57">
        <f>IF(OR($A593="",L$24=""),"",IF(COUNTIFS('AFA Rates'!$A$5:$A$1004,$A593,'AFA Rates'!$B$5:$B$1004,L$24)&gt;0,"✓",""))</f>
        <v/>
      </c>
      <c r="M593" s="57">
        <f>IF(OR($A593="",M$24=""),"",IF(COUNTIFS('AFA Rates'!$A$5:$A$1004,$A593,'AFA Rates'!$B$5:$B$1004,M$24)&gt;0,"✓",""))</f>
        <v/>
      </c>
    </row>
    <row r="594">
      <c r="A594" s="63">
        <f>IFERROR(INDEX(Firms!$A$5:$A$1004,MATCH(570,Firms!$S$5:$S$1004,0)),"")</f>
        <v/>
      </c>
      <c r="B594" s="57">
        <f>IF($A594="","",INDEX(Firms!$B$5:$B$1004,MATCH(570,Firms!$S$5:$S$1004,0)))</f>
        <v/>
      </c>
      <c r="C594" s="57">
        <f>IF($A594="","",COUNTIF('AFA Rates'!$A$5:$A$1004,$A594))</f>
        <v/>
      </c>
      <c r="D594" s="57">
        <f>IF(OR($A594="",D$24=""),"",IF(COUNTIFS('AFA Rates'!$A$5:$A$1004,$A594,'AFA Rates'!$B$5:$B$1004,D$24)&gt;0,"✓",""))</f>
        <v/>
      </c>
      <c r="E594" s="57">
        <f>IF(OR($A594="",E$24=""),"",IF(COUNTIFS('AFA Rates'!$A$5:$A$1004,$A594,'AFA Rates'!$B$5:$B$1004,E$24)&gt;0,"✓",""))</f>
        <v/>
      </c>
      <c r="F594" s="57">
        <f>IF(OR($A594="",F$24=""),"",IF(COUNTIFS('AFA Rates'!$A$5:$A$1004,$A594,'AFA Rates'!$B$5:$B$1004,F$24)&gt;0,"✓",""))</f>
        <v/>
      </c>
      <c r="G594" s="57">
        <f>IF(OR($A594="",G$24=""),"",IF(COUNTIFS('AFA Rates'!$A$5:$A$1004,$A594,'AFA Rates'!$B$5:$B$1004,G$24)&gt;0,"✓",""))</f>
        <v/>
      </c>
      <c r="H594" s="57">
        <f>IF(OR($A594="",H$24=""),"",IF(COUNTIFS('AFA Rates'!$A$5:$A$1004,$A594,'AFA Rates'!$B$5:$B$1004,H$24)&gt;0,"✓",""))</f>
        <v/>
      </c>
      <c r="I594" s="57">
        <f>IF(OR($A594="",I$24=""),"",IF(COUNTIFS('AFA Rates'!$A$5:$A$1004,$A594,'AFA Rates'!$B$5:$B$1004,I$24)&gt;0,"✓",""))</f>
        <v/>
      </c>
      <c r="J594" s="57">
        <f>IF(OR($A594="",J$24=""),"",IF(COUNTIFS('AFA Rates'!$A$5:$A$1004,$A594,'AFA Rates'!$B$5:$B$1004,J$24)&gt;0,"✓",""))</f>
        <v/>
      </c>
      <c r="K594" s="57">
        <f>IF(OR($A594="",K$24=""),"",IF(COUNTIFS('AFA Rates'!$A$5:$A$1004,$A594,'AFA Rates'!$B$5:$B$1004,K$24)&gt;0,"✓",""))</f>
        <v/>
      </c>
      <c r="L594" s="57">
        <f>IF(OR($A594="",L$24=""),"",IF(COUNTIFS('AFA Rates'!$A$5:$A$1004,$A594,'AFA Rates'!$B$5:$B$1004,L$24)&gt;0,"✓",""))</f>
        <v/>
      </c>
      <c r="M594" s="57">
        <f>IF(OR($A594="",M$24=""),"",IF(COUNTIFS('AFA Rates'!$A$5:$A$1004,$A594,'AFA Rates'!$B$5:$B$1004,M$24)&gt;0,"✓",""))</f>
        <v/>
      </c>
    </row>
    <row r="595">
      <c r="A595" s="63">
        <f>IFERROR(INDEX(Firms!$A$5:$A$1004,MATCH(571,Firms!$S$5:$S$1004,0)),"")</f>
        <v/>
      </c>
      <c r="B595" s="57">
        <f>IF($A595="","",INDEX(Firms!$B$5:$B$1004,MATCH(571,Firms!$S$5:$S$1004,0)))</f>
        <v/>
      </c>
      <c r="C595" s="57">
        <f>IF($A595="","",COUNTIF('AFA Rates'!$A$5:$A$1004,$A595))</f>
        <v/>
      </c>
      <c r="D595" s="57">
        <f>IF(OR($A595="",D$24=""),"",IF(COUNTIFS('AFA Rates'!$A$5:$A$1004,$A595,'AFA Rates'!$B$5:$B$1004,D$24)&gt;0,"✓",""))</f>
        <v/>
      </c>
      <c r="E595" s="57">
        <f>IF(OR($A595="",E$24=""),"",IF(COUNTIFS('AFA Rates'!$A$5:$A$1004,$A595,'AFA Rates'!$B$5:$B$1004,E$24)&gt;0,"✓",""))</f>
        <v/>
      </c>
      <c r="F595" s="57">
        <f>IF(OR($A595="",F$24=""),"",IF(COUNTIFS('AFA Rates'!$A$5:$A$1004,$A595,'AFA Rates'!$B$5:$B$1004,F$24)&gt;0,"✓",""))</f>
        <v/>
      </c>
      <c r="G595" s="57">
        <f>IF(OR($A595="",G$24=""),"",IF(COUNTIFS('AFA Rates'!$A$5:$A$1004,$A595,'AFA Rates'!$B$5:$B$1004,G$24)&gt;0,"✓",""))</f>
        <v/>
      </c>
      <c r="H595" s="57">
        <f>IF(OR($A595="",H$24=""),"",IF(COUNTIFS('AFA Rates'!$A$5:$A$1004,$A595,'AFA Rates'!$B$5:$B$1004,H$24)&gt;0,"✓",""))</f>
        <v/>
      </c>
      <c r="I595" s="57">
        <f>IF(OR($A595="",I$24=""),"",IF(COUNTIFS('AFA Rates'!$A$5:$A$1004,$A595,'AFA Rates'!$B$5:$B$1004,I$24)&gt;0,"✓",""))</f>
        <v/>
      </c>
      <c r="J595" s="57">
        <f>IF(OR($A595="",J$24=""),"",IF(COUNTIFS('AFA Rates'!$A$5:$A$1004,$A595,'AFA Rates'!$B$5:$B$1004,J$24)&gt;0,"✓",""))</f>
        <v/>
      </c>
      <c r="K595" s="57">
        <f>IF(OR($A595="",K$24=""),"",IF(COUNTIFS('AFA Rates'!$A$5:$A$1004,$A595,'AFA Rates'!$B$5:$B$1004,K$24)&gt;0,"✓",""))</f>
        <v/>
      </c>
      <c r="L595" s="57">
        <f>IF(OR($A595="",L$24=""),"",IF(COUNTIFS('AFA Rates'!$A$5:$A$1004,$A595,'AFA Rates'!$B$5:$B$1004,L$24)&gt;0,"✓",""))</f>
        <v/>
      </c>
      <c r="M595" s="57">
        <f>IF(OR($A595="",M$24=""),"",IF(COUNTIFS('AFA Rates'!$A$5:$A$1004,$A595,'AFA Rates'!$B$5:$B$1004,M$24)&gt;0,"✓",""))</f>
        <v/>
      </c>
    </row>
    <row r="596">
      <c r="A596" s="63">
        <f>IFERROR(INDEX(Firms!$A$5:$A$1004,MATCH(572,Firms!$S$5:$S$1004,0)),"")</f>
        <v/>
      </c>
      <c r="B596" s="57">
        <f>IF($A596="","",INDEX(Firms!$B$5:$B$1004,MATCH(572,Firms!$S$5:$S$1004,0)))</f>
        <v/>
      </c>
      <c r="C596" s="57">
        <f>IF($A596="","",COUNTIF('AFA Rates'!$A$5:$A$1004,$A596))</f>
        <v/>
      </c>
      <c r="D596" s="57">
        <f>IF(OR($A596="",D$24=""),"",IF(COUNTIFS('AFA Rates'!$A$5:$A$1004,$A596,'AFA Rates'!$B$5:$B$1004,D$24)&gt;0,"✓",""))</f>
        <v/>
      </c>
      <c r="E596" s="57">
        <f>IF(OR($A596="",E$24=""),"",IF(COUNTIFS('AFA Rates'!$A$5:$A$1004,$A596,'AFA Rates'!$B$5:$B$1004,E$24)&gt;0,"✓",""))</f>
        <v/>
      </c>
      <c r="F596" s="57">
        <f>IF(OR($A596="",F$24=""),"",IF(COUNTIFS('AFA Rates'!$A$5:$A$1004,$A596,'AFA Rates'!$B$5:$B$1004,F$24)&gt;0,"✓",""))</f>
        <v/>
      </c>
      <c r="G596" s="57">
        <f>IF(OR($A596="",G$24=""),"",IF(COUNTIFS('AFA Rates'!$A$5:$A$1004,$A596,'AFA Rates'!$B$5:$B$1004,G$24)&gt;0,"✓",""))</f>
        <v/>
      </c>
      <c r="H596" s="57">
        <f>IF(OR($A596="",H$24=""),"",IF(COUNTIFS('AFA Rates'!$A$5:$A$1004,$A596,'AFA Rates'!$B$5:$B$1004,H$24)&gt;0,"✓",""))</f>
        <v/>
      </c>
      <c r="I596" s="57">
        <f>IF(OR($A596="",I$24=""),"",IF(COUNTIFS('AFA Rates'!$A$5:$A$1004,$A596,'AFA Rates'!$B$5:$B$1004,I$24)&gt;0,"✓",""))</f>
        <v/>
      </c>
      <c r="J596" s="57">
        <f>IF(OR($A596="",J$24=""),"",IF(COUNTIFS('AFA Rates'!$A$5:$A$1004,$A596,'AFA Rates'!$B$5:$B$1004,J$24)&gt;0,"✓",""))</f>
        <v/>
      </c>
      <c r="K596" s="57">
        <f>IF(OR($A596="",K$24=""),"",IF(COUNTIFS('AFA Rates'!$A$5:$A$1004,$A596,'AFA Rates'!$B$5:$B$1004,K$24)&gt;0,"✓",""))</f>
        <v/>
      </c>
      <c r="L596" s="57">
        <f>IF(OR($A596="",L$24=""),"",IF(COUNTIFS('AFA Rates'!$A$5:$A$1004,$A596,'AFA Rates'!$B$5:$B$1004,L$24)&gt;0,"✓",""))</f>
        <v/>
      </c>
      <c r="M596" s="57">
        <f>IF(OR($A596="",M$24=""),"",IF(COUNTIFS('AFA Rates'!$A$5:$A$1004,$A596,'AFA Rates'!$B$5:$B$1004,M$24)&gt;0,"✓",""))</f>
        <v/>
      </c>
    </row>
    <row r="597">
      <c r="A597" s="63">
        <f>IFERROR(INDEX(Firms!$A$5:$A$1004,MATCH(573,Firms!$S$5:$S$1004,0)),"")</f>
        <v/>
      </c>
      <c r="B597" s="57">
        <f>IF($A597="","",INDEX(Firms!$B$5:$B$1004,MATCH(573,Firms!$S$5:$S$1004,0)))</f>
        <v/>
      </c>
      <c r="C597" s="57">
        <f>IF($A597="","",COUNTIF('AFA Rates'!$A$5:$A$1004,$A597))</f>
        <v/>
      </c>
      <c r="D597" s="57">
        <f>IF(OR($A597="",D$24=""),"",IF(COUNTIFS('AFA Rates'!$A$5:$A$1004,$A597,'AFA Rates'!$B$5:$B$1004,D$24)&gt;0,"✓",""))</f>
        <v/>
      </c>
      <c r="E597" s="57">
        <f>IF(OR($A597="",E$24=""),"",IF(COUNTIFS('AFA Rates'!$A$5:$A$1004,$A597,'AFA Rates'!$B$5:$B$1004,E$24)&gt;0,"✓",""))</f>
        <v/>
      </c>
      <c r="F597" s="57">
        <f>IF(OR($A597="",F$24=""),"",IF(COUNTIFS('AFA Rates'!$A$5:$A$1004,$A597,'AFA Rates'!$B$5:$B$1004,F$24)&gt;0,"✓",""))</f>
        <v/>
      </c>
      <c r="G597" s="57">
        <f>IF(OR($A597="",G$24=""),"",IF(COUNTIFS('AFA Rates'!$A$5:$A$1004,$A597,'AFA Rates'!$B$5:$B$1004,G$24)&gt;0,"✓",""))</f>
        <v/>
      </c>
      <c r="H597" s="57">
        <f>IF(OR($A597="",H$24=""),"",IF(COUNTIFS('AFA Rates'!$A$5:$A$1004,$A597,'AFA Rates'!$B$5:$B$1004,H$24)&gt;0,"✓",""))</f>
        <v/>
      </c>
      <c r="I597" s="57">
        <f>IF(OR($A597="",I$24=""),"",IF(COUNTIFS('AFA Rates'!$A$5:$A$1004,$A597,'AFA Rates'!$B$5:$B$1004,I$24)&gt;0,"✓",""))</f>
        <v/>
      </c>
      <c r="J597" s="57">
        <f>IF(OR($A597="",J$24=""),"",IF(COUNTIFS('AFA Rates'!$A$5:$A$1004,$A597,'AFA Rates'!$B$5:$B$1004,J$24)&gt;0,"✓",""))</f>
        <v/>
      </c>
      <c r="K597" s="57">
        <f>IF(OR($A597="",K$24=""),"",IF(COUNTIFS('AFA Rates'!$A$5:$A$1004,$A597,'AFA Rates'!$B$5:$B$1004,K$24)&gt;0,"✓",""))</f>
        <v/>
      </c>
      <c r="L597" s="57">
        <f>IF(OR($A597="",L$24=""),"",IF(COUNTIFS('AFA Rates'!$A$5:$A$1004,$A597,'AFA Rates'!$B$5:$B$1004,L$24)&gt;0,"✓",""))</f>
        <v/>
      </c>
      <c r="M597" s="57">
        <f>IF(OR($A597="",M$24=""),"",IF(COUNTIFS('AFA Rates'!$A$5:$A$1004,$A597,'AFA Rates'!$B$5:$B$1004,M$24)&gt;0,"✓",""))</f>
        <v/>
      </c>
    </row>
    <row r="598">
      <c r="A598" s="63">
        <f>IFERROR(INDEX(Firms!$A$5:$A$1004,MATCH(574,Firms!$S$5:$S$1004,0)),"")</f>
        <v/>
      </c>
      <c r="B598" s="57">
        <f>IF($A598="","",INDEX(Firms!$B$5:$B$1004,MATCH(574,Firms!$S$5:$S$1004,0)))</f>
        <v/>
      </c>
      <c r="C598" s="57">
        <f>IF($A598="","",COUNTIF('AFA Rates'!$A$5:$A$1004,$A598))</f>
        <v/>
      </c>
      <c r="D598" s="57">
        <f>IF(OR($A598="",D$24=""),"",IF(COUNTIFS('AFA Rates'!$A$5:$A$1004,$A598,'AFA Rates'!$B$5:$B$1004,D$24)&gt;0,"✓",""))</f>
        <v/>
      </c>
      <c r="E598" s="57">
        <f>IF(OR($A598="",E$24=""),"",IF(COUNTIFS('AFA Rates'!$A$5:$A$1004,$A598,'AFA Rates'!$B$5:$B$1004,E$24)&gt;0,"✓",""))</f>
        <v/>
      </c>
      <c r="F598" s="57">
        <f>IF(OR($A598="",F$24=""),"",IF(COUNTIFS('AFA Rates'!$A$5:$A$1004,$A598,'AFA Rates'!$B$5:$B$1004,F$24)&gt;0,"✓",""))</f>
        <v/>
      </c>
      <c r="G598" s="57">
        <f>IF(OR($A598="",G$24=""),"",IF(COUNTIFS('AFA Rates'!$A$5:$A$1004,$A598,'AFA Rates'!$B$5:$B$1004,G$24)&gt;0,"✓",""))</f>
        <v/>
      </c>
      <c r="H598" s="57">
        <f>IF(OR($A598="",H$24=""),"",IF(COUNTIFS('AFA Rates'!$A$5:$A$1004,$A598,'AFA Rates'!$B$5:$B$1004,H$24)&gt;0,"✓",""))</f>
        <v/>
      </c>
      <c r="I598" s="57">
        <f>IF(OR($A598="",I$24=""),"",IF(COUNTIFS('AFA Rates'!$A$5:$A$1004,$A598,'AFA Rates'!$B$5:$B$1004,I$24)&gt;0,"✓",""))</f>
        <v/>
      </c>
      <c r="J598" s="57">
        <f>IF(OR($A598="",J$24=""),"",IF(COUNTIFS('AFA Rates'!$A$5:$A$1004,$A598,'AFA Rates'!$B$5:$B$1004,J$24)&gt;0,"✓",""))</f>
        <v/>
      </c>
      <c r="K598" s="57">
        <f>IF(OR($A598="",K$24=""),"",IF(COUNTIFS('AFA Rates'!$A$5:$A$1004,$A598,'AFA Rates'!$B$5:$B$1004,K$24)&gt;0,"✓",""))</f>
        <v/>
      </c>
      <c r="L598" s="57">
        <f>IF(OR($A598="",L$24=""),"",IF(COUNTIFS('AFA Rates'!$A$5:$A$1004,$A598,'AFA Rates'!$B$5:$B$1004,L$24)&gt;0,"✓",""))</f>
        <v/>
      </c>
      <c r="M598" s="57">
        <f>IF(OR($A598="",M$24=""),"",IF(COUNTIFS('AFA Rates'!$A$5:$A$1004,$A598,'AFA Rates'!$B$5:$B$1004,M$24)&gt;0,"✓",""))</f>
        <v/>
      </c>
    </row>
    <row r="599">
      <c r="A599" s="63">
        <f>IFERROR(INDEX(Firms!$A$5:$A$1004,MATCH(575,Firms!$S$5:$S$1004,0)),"")</f>
        <v/>
      </c>
      <c r="B599" s="57">
        <f>IF($A599="","",INDEX(Firms!$B$5:$B$1004,MATCH(575,Firms!$S$5:$S$1004,0)))</f>
        <v/>
      </c>
      <c r="C599" s="57">
        <f>IF($A599="","",COUNTIF('AFA Rates'!$A$5:$A$1004,$A599))</f>
        <v/>
      </c>
      <c r="D599" s="57">
        <f>IF(OR($A599="",D$24=""),"",IF(COUNTIFS('AFA Rates'!$A$5:$A$1004,$A599,'AFA Rates'!$B$5:$B$1004,D$24)&gt;0,"✓",""))</f>
        <v/>
      </c>
      <c r="E599" s="57">
        <f>IF(OR($A599="",E$24=""),"",IF(COUNTIFS('AFA Rates'!$A$5:$A$1004,$A599,'AFA Rates'!$B$5:$B$1004,E$24)&gt;0,"✓",""))</f>
        <v/>
      </c>
      <c r="F599" s="57">
        <f>IF(OR($A599="",F$24=""),"",IF(COUNTIFS('AFA Rates'!$A$5:$A$1004,$A599,'AFA Rates'!$B$5:$B$1004,F$24)&gt;0,"✓",""))</f>
        <v/>
      </c>
      <c r="G599" s="57">
        <f>IF(OR($A599="",G$24=""),"",IF(COUNTIFS('AFA Rates'!$A$5:$A$1004,$A599,'AFA Rates'!$B$5:$B$1004,G$24)&gt;0,"✓",""))</f>
        <v/>
      </c>
      <c r="H599" s="57">
        <f>IF(OR($A599="",H$24=""),"",IF(COUNTIFS('AFA Rates'!$A$5:$A$1004,$A599,'AFA Rates'!$B$5:$B$1004,H$24)&gt;0,"✓",""))</f>
        <v/>
      </c>
      <c r="I599" s="57">
        <f>IF(OR($A599="",I$24=""),"",IF(COUNTIFS('AFA Rates'!$A$5:$A$1004,$A599,'AFA Rates'!$B$5:$B$1004,I$24)&gt;0,"✓",""))</f>
        <v/>
      </c>
      <c r="J599" s="57">
        <f>IF(OR($A599="",J$24=""),"",IF(COUNTIFS('AFA Rates'!$A$5:$A$1004,$A599,'AFA Rates'!$B$5:$B$1004,J$24)&gt;0,"✓",""))</f>
        <v/>
      </c>
      <c r="K599" s="57">
        <f>IF(OR($A599="",K$24=""),"",IF(COUNTIFS('AFA Rates'!$A$5:$A$1004,$A599,'AFA Rates'!$B$5:$B$1004,K$24)&gt;0,"✓",""))</f>
        <v/>
      </c>
      <c r="L599" s="57">
        <f>IF(OR($A599="",L$24=""),"",IF(COUNTIFS('AFA Rates'!$A$5:$A$1004,$A599,'AFA Rates'!$B$5:$B$1004,L$24)&gt;0,"✓",""))</f>
        <v/>
      </c>
      <c r="M599" s="57">
        <f>IF(OR($A599="",M$24=""),"",IF(COUNTIFS('AFA Rates'!$A$5:$A$1004,$A599,'AFA Rates'!$B$5:$B$1004,M$24)&gt;0,"✓",""))</f>
        <v/>
      </c>
    </row>
    <row r="600">
      <c r="A600" s="63">
        <f>IFERROR(INDEX(Firms!$A$5:$A$1004,MATCH(576,Firms!$S$5:$S$1004,0)),"")</f>
        <v/>
      </c>
      <c r="B600" s="57">
        <f>IF($A600="","",INDEX(Firms!$B$5:$B$1004,MATCH(576,Firms!$S$5:$S$1004,0)))</f>
        <v/>
      </c>
      <c r="C600" s="57">
        <f>IF($A600="","",COUNTIF('AFA Rates'!$A$5:$A$1004,$A600))</f>
        <v/>
      </c>
      <c r="D600" s="57">
        <f>IF(OR($A600="",D$24=""),"",IF(COUNTIFS('AFA Rates'!$A$5:$A$1004,$A600,'AFA Rates'!$B$5:$B$1004,D$24)&gt;0,"✓",""))</f>
        <v/>
      </c>
      <c r="E600" s="57">
        <f>IF(OR($A600="",E$24=""),"",IF(COUNTIFS('AFA Rates'!$A$5:$A$1004,$A600,'AFA Rates'!$B$5:$B$1004,E$24)&gt;0,"✓",""))</f>
        <v/>
      </c>
      <c r="F600" s="57">
        <f>IF(OR($A600="",F$24=""),"",IF(COUNTIFS('AFA Rates'!$A$5:$A$1004,$A600,'AFA Rates'!$B$5:$B$1004,F$24)&gt;0,"✓",""))</f>
        <v/>
      </c>
      <c r="G600" s="57">
        <f>IF(OR($A600="",G$24=""),"",IF(COUNTIFS('AFA Rates'!$A$5:$A$1004,$A600,'AFA Rates'!$B$5:$B$1004,G$24)&gt;0,"✓",""))</f>
        <v/>
      </c>
      <c r="H600" s="57">
        <f>IF(OR($A600="",H$24=""),"",IF(COUNTIFS('AFA Rates'!$A$5:$A$1004,$A600,'AFA Rates'!$B$5:$B$1004,H$24)&gt;0,"✓",""))</f>
        <v/>
      </c>
      <c r="I600" s="57">
        <f>IF(OR($A600="",I$24=""),"",IF(COUNTIFS('AFA Rates'!$A$5:$A$1004,$A600,'AFA Rates'!$B$5:$B$1004,I$24)&gt;0,"✓",""))</f>
        <v/>
      </c>
      <c r="J600" s="57">
        <f>IF(OR($A600="",J$24=""),"",IF(COUNTIFS('AFA Rates'!$A$5:$A$1004,$A600,'AFA Rates'!$B$5:$B$1004,J$24)&gt;0,"✓",""))</f>
        <v/>
      </c>
      <c r="K600" s="57">
        <f>IF(OR($A600="",K$24=""),"",IF(COUNTIFS('AFA Rates'!$A$5:$A$1004,$A600,'AFA Rates'!$B$5:$B$1004,K$24)&gt;0,"✓",""))</f>
        <v/>
      </c>
      <c r="L600" s="57">
        <f>IF(OR($A600="",L$24=""),"",IF(COUNTIFS('AFA Rates'!$A$5:$A$1004,$A600,'AFA Rates'!$B$5:$B$1004,L$24)&gt;0,"✓",""))</f>
        <v/>
      </c>
      <c r="M600" s="57">
        <f>IF(OR($A600="",M$24=""),"",IF(COUNTIFS('AFA Rates'!$A$5:$A$1004,$A600,'AFA Rates'!$B$5:$B$1004,M$24)&gt;0,"✓",""))</f>
        <v/>
      </c>
    </row>
    <row r="601">
      <c r="A601" s="63">
        <f>IFERROR(INDEX(Firms!$A$5:$A$1004,MATCH(577,Firms!$S$5:$S$1004,0)),"")</f>
        <v/>
      </c>
      <c r="B601" s="57">
        <f>IF($A601="","",INDEX(Firms!$B$5:$B$1004,MATCH(577,Firms!$S$5:$S$1004,0)))</f>
        <v/>
      </c>
      <c r="C601" s="57">
        <f>IF($A601="","",COUNTIF('AFA Rates'!$A$5:$A$1004,$A601))</f>
        <v/>
      </c>
      <c r="D601" s="57">
        <f>IF(OR($A601="",D$24=""),"",IF(COUNTIFS('AFA Rates'!$A$5:$A$1004,$A601,'AFA Rates'!$B$5:$B$1004,D$24)&gt;0,"✓",""))</f>
        <v/>
      </c>
      <c r="E601" s="57">
        <f>IF(OR($A601="",E$24=""),"",IF(COUNTIFS('AFA Rates'!$A$5:$A$1004,$A601,'AFA Rates'!$B$5:$B$1004,E$24)&gt;0,"✓",""))</f>
        <v/>
      </c>
      <c r="F601" s="57">
        <f>IF(OR($A601="",F$24=""),"",IF(COUNTIFS('AFA Rates'!$A$5:$A$1004,$A601,'AFA Rates'!$B$5:$B$1004,F$24)&gt;0,"✓",""))</f>
        <v/>
      </c>
      <c r="G601" s="57">
        <f>IF(OR($A601="",G$24=""),"",IF(COUNTIFS('AFA Rates'!$A$5:$A$1004,$A601,'AFA Rates'!$B$5:$B$1004,G$24)&gt;0,"✓",""))</f>
        <v/>
      </c>
      <c r="H601" s="57">
        <f>IF(OR($A601="",H$24=""),"",IF(COUNTIFS('AFA Rates'!$A$5:$A$1004,$A601,'AFA Rates'!$B$5:$B$1004,H$24)&gt;0,"✓",""))</f>
        <v/>
      </c>
      <c r="I601" s="57">
        <f>IF(OR($A601="",I$24=""),"",IF(COUNTIFS('AFA Rates'!$A$5:$A$1004,$A601,'AFA Rates'!$B$5:$B$1004,I$24)&gt;0,"✓",""))</f>
        <v/>
      </c>
      <c r="J601" s="57">
        <f>IF(OR($A601="",J$24=""),"",IF(COUNTIFS('AFA Rates'!$A$5:$A$1004,$A601,'AFA Rates'!$B$5:$B$1004,J$24)&gt;0,"✓",""))</f>
        <v/>
      </c>
      <c r="K601" s="57">
        <f>IF(OR($A601="",K$24=""),"",IF(COUNTIFS('AFA Rates'!$A$5:$A$1004,$A601,'AFA Rates'!$B$5:$B$1004,K$24)&gt;0,"✓",""))</f>
        <v/>
      </c>
      <c r="L601" s="57">
        <f>IF(OR($A601="",L$24=""),"",IF(COUNTIFS('AFA Rates'!$A$5:$A$1004,$A601,'AFA Rates'!$B$5:$B$1004,L$24)&gt;0,"✓",""))</f>
        <v/>
      </c>
      <c r="M601" s="57">
        <f>IF(OR($A601="",M$24=""),"",IF(COUNTIFS('AFA Rates'!$A$5:$A$1004,$A601,'AFA Rates'!$B$5:$B$1004,M$24)&gt;0,"✓",""))</f>
        <v/>
      </c>
    </row>
    <row r="602">
      <c r="A602" s="63">
        <f>IFERROR(INDEX(Firms!$A$5:$A$1004,MATCH(578,Firms!$S$5:$S$1004,0)),"")</f>
        <v/>
      </c>
      <c r="B602" s="57">
        <f>IF($A602="","",INDEX(Firms!$B$5:$B$1004,MATCH(578,Firms!$S$5:$S$1004,0)))</f>
        <v/>
      </c>
      <c r="C602" s="57">
        <f>IF($A602="","",COUNTIF('AFA Rates'!$A$5:$A$1004,$A602))</f>
        <v/>
      </c>
      <c r="D602" s="57">
        <f>IF(OR($A602="",D$24=""),"",IF(COUNTIFS('AFA Rates'!$A$5:$A$1004,$A602,'AFA Rates'!$B$5:$B$1004,D$24)&gt;0,"✓",""))</f>
        <v/>
      </c>
      <c r="E602" s="57">
        <f>IF(OR($A602="",E$24=""),"",IF(COUNTIFS('AFA Rates'!$A$5:$A$1004,$A602,'AFA Rates'!$B$5:$B$1004,E$24)&gt;0,"✓",""))</f>
        <v/>
      </c>
      <c r="F602" s="57">
        <f>IF(OR($A602="",F$24=""),"",IF(COUNTIFS('AFA Rates'!$A$5:$A$1004,$A602,'AFA Rates'!$B$5:$B$1004,F$24)&gt;0,"✓",""))</f>
        <v/>
      </c>
      <c r="G602" s="57">
        <f>IF(OR($A602="",G$24=""),"",IF(COUNTIFS('AFA Rates'!$A$5:$A$1004,$A602,'AFA Rates'!$B$5:$B$1004,G$24)&gt;0,"✓",""))</f>
        <v/>
      </c>
      <c r="H602" s="57">
        <f>IF(OR($A602="",H$24=""),"",IF(COUNTIFS('AFA Rates'!$A$5:$A$1004,$A602,'AFA Rates'!$B$5:$B$1004,H$24)&gt;0,"✓",""))</f>
        <v/>
      </c>
      <c r="I602" s="57">
        <f>IF(OR($A602="",I$24=""),"",IF(COUNTIFS('AFA Rates'!$A$5:$A$1004,$A602,'AFA Rates'!$B$5:$B$1004,I$24)&gt;0,"✓",""))</f>
        <v/>
      </c>
      <c r="J602" s="57">
        <f>IF(OR($A602="",J$24=""),"",IF(COUNTIFS('AFA Rates'!$A$5:$A$1004,$A602,'AFA Rates'!$B$5:$B$1004,J$24)&gt;0,"✓",""))</f>
        <v/>
      </c>
      <c r="K602" s="57">
        <f>IF(OR($A602="",K$24=""),"",IF(COUNTIFS('AFA Rates'!$A$5:$A$1004,$A602,'AFA Rates'!$B$5:$B$1004,K$24)&gt;0,"✓",""))</f>
        <v/>
      </c>
      <c r="L602" s="57">
        <f>IF(OR($A602="",L$24=""),"",IF(COUNTIFS('AFA Rates'!$A$5:$A$1004,$A602,'AFA Rates'!$B$5:$B$1004,L$24)&gt;0,"✓",""))</f>
        <v/>
      </c>
      <c r="M602" s="57">
        <f>IF(OR($A602="",M$24=""),"",IF(COUNTIFS('AFA Rates'!$A$5:$A$1004,$A602,'AFA Rates'!$B$5:$B$1004,M$24)&gt;0,"✓",""))</f>
        <v/>
      </c>
    </row>
    <row r="603">
      <c r="A603" s="63">
        <f>IFERROR(INDEX(Firms!$A$5:$A$1004,MATCH(579,Firms!$S$5:$S$1004,0)),"")</f>
        <v/>
      </c>
      <c r="B603" s="57">
        <f>IF($A603="","",INDEX(Firms!$B$5:$B$1004,MATCH(579,Firms!$S$5:$S$1004,0)))</f>
        <v/>
      </c>
      <c r="C603" s="57">
        <f>IF($A603="","",COUNTIF('AFA Rates'!$A$5:$A$1004,$A603))</f>
        <v/>
      </c>
      <c r="D603" s="57">
        <f>IF(OR($A603="",D$24=""),"",IF(COUNTIFS('AFA Rates'!$A$5:$A$1004,$A603,'AFA Rates'!$B$5:$B$1004,D$24)&gt;0,"✓",""))</f>
        <v/>
      </c>
      <c r="E603" s="57">
        <f>IF(OR($A603="",E$24=""),"",IF(COUNTIFS('AFA Rates'!$A$5:$A$1004,$A603,'AFA Rates'!$B$5:$B$1004,E$24)&gt;0,"✓",""))</f>
        <v/>
      </c>
      <c r="F603" s="57">
        <f>IF(OR($A603="",F$24=""),"",IF(COUNTIFS('AFA Rates'!$A$5:$A$1004,$A603,'AFA Rates'!$B$5:$B$1004,F$24)&gt;0,"✓",""))</f>
        <v/>
      </c>
      <c r="G603" s="57">
        <f>IF(OR($A603="",G$24=""),"",IF(COUNTIFS('AFA Rates'!$A$5:$A$1004,$A603,'AFA Rates'!$B$5:$B$1004,G$24)&gt;0,"✓",""))</f>
        <v/>
      </c>
      <c r="H603" s="57">
        <f>IF(OR($A603="",H$24=""),"",IF(COUNTIFS('AFA Rates'!$A$5:$A$1004,$A603,'AFA Rates'!$B$5:$B$1004,H$24)&gt;0,"✓",""))</f>
        <v/>
      </c>
      <c r="I603" s="57">
        <f>IF(OR($A603="",I$24=""),"",IF(COUNTIFS('AFA Rates'!$A$5:$A$1004,$A603,'AFA Rates'!$B$5:$B$1004,I$24)&gt;0,"✓",""))</f>
        <v/>
      </c>
      <c r="J603" s="57">
        <f>IF(OR($A603="",J$24=""),"",IF(COUNTIFS('AFA Rates'!$A$5:$A$1004,$A603,'AFA Rates'!$B$5:$B$1004,J$24)&gt;0,"✓",""))</f>
        <v/>
      </c>
      <c r="K603" s="57">
        <f>IF(OR($A603="",K$24=""),"",IF(COUNTIFS('AFA Rates'!$A$5:$A$1004,$A603,'AFA Rates'!$B$5:$B$1004,K$24)&gt;0,"✓",""))</f>
        <v/>
      </c>
      <c r="L603" s="57">
        <f>IF(OR($A603="",L$24=""),"",IF(COUNTIFS('AFA Rates'!$A$5:$A$1004,$A603,'AFA Rates'!$B$5:$B$1004,L$24)&gt;0,"✓",""))</f>
        <v/>
      </c>
      <c r="M603" s="57">
        <f>IF(OR($A603="",M$24=""),"",IF(COUNTIFS('AFA Rates'!$A$5:$A$1004,$A603,'AFA Rates'!$B$5:$B$1004,M$24)&gt;0,"✓",""))</f>
        <v/>
      </c>
    </row>
    <row r="604">
      <c r="A604" s="63">
        <f>IFERROR(INDEX(Firms!$A$5:$A$1004,MATCH(580,Firms!$S$5:$S$1004,0)),"")</f>
        <v/>
      </c>
      <c r="B604" s="57">
        <f>IF($A604="","",INDEX(Firms!$B$5:$B$1004,MATCH(580,Firms!$S$5:$S$1004,0)))</f>
        <v/>
      </c>
      <c r="C604" s="57">
        <f>IF($A604="","",COUNTIF('AFA Rates'!$A$5:$A$1004,$A604))</f>
        <v/>
      </c>
      <c r="D604" s="57">
        <f>IF(OR($A604="",D$24=""),"",IF(COUNTIFS('AFA Rates'!$A$5:$A$1004,$A604,'AFA Rates'!$B$5:$B$1004,D$24)&gt;0,"✓",""))</f>
        <v/>
      </c>
      <c r="E604" s="57">
        <f>IF(OR($A604="",E$24=""),"",IF(COUNTIFS('AFA Rates'!$A$5:$A$1004,$A604,'AFA Rates'!$B$5:$B$1004,E$24)&gt;0,"✓",""))</f>
        <v/>
      </c>
      <c r="F604" s="57">
        <f>IF(OR($A604="",F$24=""),"",IF(COUNTIFS('AFA Rates'!$A$5:$A$1004,$A604,'AFA Rates'!$B$5:$B$1004,F$24)&gt;0,"✓",""))</f>
        <v/>
      </c>
      <c r="G604" s="57">
        <f>IF(OR($A604="",G$24=""),"",IF(COUNTIFS('AFA Rates'!$A$5:$A$1004,$A604,'AFA Rates'!$B$5:$B$1004,G$24)&gt;0,"✓",""))</f>
        <v/>
      </c>
      <c r="H604" s="57">
        <f>IF(OR($A604="",H$24=""),"",IF(COUNTIFS('AFA Rates'!$A$5:$A$1004,$A604,'AFA Rates'!$B$5:$B$1004,H$24)&gt;0,"✓",""))</f>
        <v/>
      </c>
      <c r="I604" s="57">
        <f>IF(OR($A604="",I$24=""),"",IF(COUNTIFS('AFA Rates'!$A$5:$A$1004,$A604,'AFA Rates'!$B$5:$B$1004,I$24)&gt;0,"✓",""))</f>
        <v/>
      </c>
      <c r="J604" s="57">
        <f>IF(OR($A604="",J$24=""),"",IF(COUNTIFS('AFA Rates'!$A$5:$A$1004,$A604,'AFA Rates'!$B$5:$B$1004,J$24)&gt;0,"✓",""))</f>
        <v/>
      </c>
      <c r="K604" s="57">
        <f>IF(OR($A604="",K$24=""),"",IF(COUNTIFS('AFA Rates'!$A$5:$A$1004,$A604,'AFA Rates'!$B$5:$B$1004,K$24)&gt;0,"✓",""))</f>
        <v/>
      </c>
      <c r="L604" s="57">
        <f>IF(OR($A604="",L$24=""),"",IF(COUNTIFS('AFA Rates'!$A$5:$A$1004,$A604,'AFA Rates'!$B$5:$B$1004,L$24)&gt;0,"✓",""))</f>
        <v/>
      </c>
      <c r="M604" s="57">
        <f>IF(OR($A604="",M$24=""),"",IF(COUNTIFS('AFA Rates'!$A$5:$A$1004,$A604,'AFA Rates'!$B$5:$B$1004,M$24)&gt;0,"✓",""))</f>
        <v/>
      </c>
    </row>
    <row r="605">
      <c r="A605" s="63">
        <f>IFERROR(INDEX(Firms!$A$5:$A$1004,MATCH(581,Firms!$S$5:$S$1004,0)),"")</f>
        <v/>
      </c>
      <c r="B605" s="57">
        <f>IF($A605="","",INDEX(Firms!$B$5:$B$1004,MATCH(581,Firms!$S$5:$S$1004,0)))</f>
        <v/>
      </c>
      <c r="C605" s="57">
        <f>IF($A605="","",COUNTIF('AFA Rates'!$A$5:$A$1004,$A605))</f>
        <v/>
      </c>
      <c r="D605" s="57">
        <f>IF(OR($A605="",D$24=""),"",IF(COUNTIFS('AFA Rates'!$A$5:$A$1004,$A605,'AFA Rates'!$B$5:$B$1004,D$24)&gt;0,"✓",""))</f>
        <v/>
      </c>
      <c r="E605" s="57">
        <f>IF(OR($A605="",E$24=""),"",IF(COUNTIFS('AFA Rates'!$A$5:$A$1004,$A605,'AFA Rates'!$B$5:$B$1004,E$24)&gt;0,"✓",""))</f>
        <v/>
      </c>
      <c r="F605" s="57">
        <f>IF(OR($A605="",F$24=""),"",IF(COUNTIFS('AFA Rates'!$A$5:$A$1004,$A605,'AFA Rates'!$B$5:$B$1004,F$24)&gt;0,"✓",""))</f>
        <v/>
      </c>
      <c r="G605" s="57">
        <f>IF(OR($A605="",G$24=""),"",IF(COUNTIFS('AFA Rates'!$A$5:$A$1004,$A605,'AFA Rates'!$B$5:$B$1004,G$24)&gt;0,"✓",""))</f>
        <v/>
      </c>
      <c r="H605" s="57">
        <f>IF(OR($A605="",H$24=""),"",IF(COUNTIFS('AFA Rates'!$A$5:$A$1004,$A605,'AFA Rates'!$B$5:$B$1004,H$24)&gt;0,"✓",""))</f>
        <v/>
      </c>
      <c r="I605" s="57">
        <f>IF(OR($A605="",I$24=""),"",IF(COUNTIFS('AFA Rates'!$A$5:$A$1004,$A605,'AFA Rates'!$B$5:$B$1004,I$24)&gt;0,"✓",""))</f>
        <v/>
      </c>
      <c r="J605" s="57">
        <f>IF(OR($A605="",J$24=""),"",IF(COUNTIFS('AFA Rates'!$A$5:$A$1004,$A605,'AFA Rates'!$B$5:$B$1004,J$24)&gt;0,"✓",""))</f>
        <v/>
      </c>
      <c r="K605" s="57">
        <f>IF(OR($A605="",K$24=""),"",IF(COUNTIFS('AFA Rates'!$A$5:$A$1004,$A605,'AFA Rates'!$B$5:$B$1004,K$24)&gt;0,"✓",""))</f>
        <v/>
      </c>
      <c r="L605" s="57">
        <f>IF(OR($A605="",L$24=""),"",IF(COUNTIFS('AFA Rates'!$A$5:$A$1004,$A605,'AFA Rates'!$B$5:$B$1004,L$24)&gt;0,"✓",""))</f>
        <v/>
      </c>
      <c r="M605" s="57">
        <f>IF(OR($A605="",M$24=""),"",IF(COUNTIFS('AFA Rates'!$A$5:$A$1004,$A605,'AFA Rates'!$B$5:$B$1004,M$24)&gt;0,"✓",""))</f>
        <v/>
      </c>
    </row>
    <row r="606">
      <c r="A606" s="63">
        <f>IFERROR(INDEX(Firms!$A$5:$A$1004,MATCH(582,Firms!$S$5:$S$1004,0)),"")</f>
        <v/>
      </c>
      <c r="B606" s="57">
        <f>IF($A606="","",INDEX(Firms!$B$5:$B$1004,MATCH(582,Firms!$S$5:$S$1004,0)))</f>
        <v/>
      </c>
      <c r="C606" s="57">
        <f>IF($A606="","",COUNTIF('AFA Rates'!$A$5:$A$1004,$A606))</f>
        <v/>
      </c>
      <c r="D606" s="57">
        <f>IF(OR($A606="",D$24=""),"",IF(COUNTIFS('AFA Rates'!$A$5:$A$1004,$A606,'AFA Rates'!$B$5:$B$1004,D$24)&gt;0,"✓",""))</f>
        <v/>
      </c>
      <c r="E606" s="57">
        <f>IF(OR($A606="",E$24=""),"",IF(COUNTIFS('AFA Rates'!$A$5:$A$1004,$A606,'AFA Rates'!$B$5:$B$1004,E$24)&gt;0,"✓",""))</f>
        <v/>
      </c>
      <c r="F606" s="57">
        <f>IF(OR($A606="",F$24=""),"",IF(COUNTIFS('AFA Rates'!$A$5:$A$1004,$A606,'AFA Rates'!$B$5:$B$1004,F$24)&gt;0,"✓",""))</f>
        <v/>
      </c>
      <c r="G606" s="57">
        <f>IF(OR($A606="",G$24=""),"",IF(COUNTIFS('AFA Rates'!$A$5:$A$1004,$A606,'AFA Rates'!$B$5:$B$1004,G$24)&gt;0,"✓",""))</f>
        <v/>
      </c>
      <c r="H606" s="57">
        <f>IF(OR($A606="",H$24=""),"",IF(COUNTIFS('AFA Rates'!$A$5:$A$1004,$A606,'AFA Rates'!$B$5:$B$1004,H$24)&gt;0,"✓",""))</f>
        <v/>
      </c>
      <c r="I606" s="57">
        <f>IF(OR($A606="",I$24=""),"",IF(COUNTIFS('AFA Rates'!$A$5:$A$1004,$A606,'AFA Rates'!$B$5:$B$1004,I$24)&gt;0,"✓",""))</f>
        <v/>
      </c>
      <c r="J606" s="57">
        <f>IF(OR($A606="",J$24=""),"",IF(COUNTIFS('AFA Rates'!$A$5:$A$1004,$A606,'AFA Rates'!$B$5:$B$1004,J$24)&gt;0,"✓",""))</f>
        <v/>
      </c>
      <c r="K606" s="57">
        <f>IF(OR($A606="",K$24=""),"",IF(COUNTIFS('AFA Rates'!$A$5:$A$1004,$A606,'AFA Rates'!$B$5:$B$1004,K$24)&gt;0,"✓",""))</f>
        <v/>
      </c>
      <c r="L606" s="57">
        <f>IF(OR($A606="",L$24=""),"",IF(COUNTIFS('AFA Rates'!$A$5:$A$1004,$A606,'AFA Rates'!$B$5:$B$1004,L$24)&gt;0,"✓",""))</f>
        <v/>
      </c>
      <c r="M606" s="57">
        <f>IF(OR($A606="",M$24=""),"",IF(COUNTIFS('AFA Rates'!$A$5:$A$1004,$A606,'AFA Rates'!$B$5:$B$1004,M$24)&gt;0,"✓",""))</f>
        <v/>
      </c>
    </row>
    <row r="607">
      <c r="A607" s="63">
        <f>IFERROR(INDEX(Firms!$A$5:$A$1004,MATCH(583,Firms!$S$5:$S$1004,0)),"")</f>
        <v/>
      </c>
      <c r="B607" s="57">
        <f>IF($A607="","",INDEX(Firms!$B$5:$B$1004,MATCH(583,Firms!$S$5:$S$1004,0)))</f>
        <v/>
      </c>
      <c r="C607" s="57">
        <f>IF($A607="","",COUNTIF('AFA Rates'!$A$5:$A$1004,$A607))</f>
        <v/>
      </c>
      <c r="D607" s="57">
        <f>IF(OR($A607="",D$24=""),"",IF(COUNTIFS('AFA Rates'!$A$5:$A$1004,$A607,'AFA Rates'!$B$5:$B$1004,D$24)&gt;0,"✓",""))</f>
        <v/>
      </c>
      <c r="E607" s="57">
        <f>IF(OR($A607="",E$24=""),"",IF(COUNTIFS('AFA Rates'!$A$5:$A$1004,$A607,'AFA Rates'!$B$5:$B$1004,E$24)&gt;0,"✓",""))</f>
        <v/>
      </c>
      <c r="F607" s="57">
        <f>IF(OR($A607="",F$24=""),"",IF(COUNTIFS('AFA Rates'!$A$5:$A$1004,$A607,'AFA Rates'!$B$5:$B$1004,F$24)&gt;0,"✓",""))</f>
        <v/>
      </c>
      <c r="G607" s="57">
        <f>IF(OR($A607="",G$24=""),"",IF(COUNTIFS('AFA Rates'!$A$5:$A$1004,$A607,'AFA Rates'!$B$5:$B$1004,G$24)&gt;0,"✓",""))</f>
        <v/>
      </c>
      <c r="H607" s="57">
        <f>IF(OR($A607="",H$24=""),"",IF(COUNTIFS('AFA Rates'!$A$5:$A$1004,$A607,'AFA Rates'!$B$5:$B$1004,H$24)&gt;0,"✓",""))</f>
        <v/>
      </c>
      <c r="I607" s="57">
        <f>IF(OR($A607="",I$24=""),"",IF(COUNTIFS('AFA Rates'!$A$5:$A$1004,$A607,'AFA Rates'!$B$5:$B$1004,I$24)&gt;0,"✓",""))</f>
        <v/>
      </c>
      <c r="J607" s="57">
        <f>IF(OR($A607="",J$24=""),"",IF(COUNTIFS('AFA Rates'!$A$5:$A$1004,$A607,'AFA Rates'!$B$5:$B$1004,J$24)&gt;0,"✓",""))</f>
        <v/>
      </c>
      <c r="K607" s="57">
        <f>IF(OR($A607="",K$24=""),"",IF(COUNTIFS('AFA Rates'!$A$5:$A$1004,$A607,'AFA Rates'!$B$5:$B$1004,K$24)&gt;0,"✓",""))</f>
        <v/>
      </c>
      <c r="L607" s="57">
        <f>IF(OR($A607="",L$24=""),"",IF(COUNTIFS('AFA Rates'!$A$5:$A$1004,$A607,'AFA Rates'!$B$5:$B$1004,L$24)&gt;0,"✓",""))</f>
        <v/>
      </c>
      <c r="M607" s="57">
        <f>IF(OR($A607="",M$24=""),"",IF(COUNTIFS('AFA Rates'!$A$5:$A$1004,$A607,'AFA Rates'!$B$5:$B$1004,M$24)&gt;0,"✓",""))</f>
        <v/>
      </c>
    </row>
    <row r="608">
      <c r="A608" s="63">
        <f>IFERROR(INDEX(Firms!$A$5:$A$1004,MATCH(584,Firms!$S$5:$S$1004,0)),"")</f>
        <v/>
      </c>
      <c r="B608" s="57">
        <f>IF($A608="","",INDEX(Firms!$B$5:$B$1004,MATCH(584,Firms!$S$5:$S$1004,0)))</f>
        <v/>
      </c>
      <c r="C608" s="57">
        <f>IF($A608="","",COUNTIF('AFA Rates'!$A$5:$A$1004,$A608))</f>
        <v/>
      </c>
      <c r="D608" s="57">
        <f>IF(OR($A608="",D$24=""),"",IF(COUNTIFS('AFA Rates'!$A$5:$A$1004,$A608,'AFA Rates'!$B$5:$B$1004,D$24)&gt;0,"✓",""))</f>
        <v/>
      </c>
      <c r="E608" s="57">
        <f>IF(OR($A608="",E$24=""),"",IF(COUNTIFS('AFA Rates'!$A$5:$A$1004,$A608,'AFA Rates'!$B$5:$B$1004,E$24)&gt;0,"✓",""))</f>
        <v/>
      </c>
      <c r="F608" s="57">
        <f>IF(OR($A608="",F$24=""),"",IF(COUNTIFS('AFA Rates'!$A$5:$A$1004,$A608,'AFA Rates'!$B$5:$B$1004,F$24)&gt;0,"✓",""))</f>
        <v/>
      </c>
      <c r="G608" s="57">
        <f>IF(OR($A608="",G$24=""),"",IF(COUNTIFS('AFA Rates'!$A$5:$A$1004,$A608,'AFA Rates'!$B$5:$B$1004,G$24)&gt;0,"✓",""))</f>
        <v/>
      </c>
      <c r="H608" s="57">
        <f>IF(OR($A608="",H$24=""),"",IF(COUNTIFS('AFA Rates'!$A$5:$A$1004,$A608,'AFA Rates'!$B$5:$B$1004,H$24)&gt;0,"✓",""))</f>
        <v/>
      </c>
      <c r="I608" s="57">
        <f>IF(OR($A608="",I$24=""),"",IF(COUNTIFS('AFA Rates'!$A$5:$A$1004,$A608,'AFA Rates'!$B$5:$B$1004,I$24)&gt;0,"✓",""))</f>
        <v/>
      </c>
      <c r="J608" s="57">
        <f>IF(OR($A608="",J$24=""),"",IF(COUNTIFS('AFA Rates'!$A$5:$A$1004,$A608,'AFA Rates'!$B$5:$B$1004,J$24)&gt;0,"✓",""))</f>
        <v/>
      </c>
      <c r="K608" s="57">
        <f>IF(OR($A608="",K$24=""),"",IF(COUNTIFS('AFA Rates'!$A$5:$A$1004,$A608,'AFA Rates'!$B$5:$B$1004,K$24)&gt;0,"✓",""))</f>
        <v/>
      </c>
      <c r="L608" s="57">
        <f>IF(OR($A608="",L$24=""),"",IF(COUNTIFS('AFA Rates'!$A$5:$A$1004,$A608,'AFA Rates'!$B$5:$B$1004,L$24)&gt;0,"✓",""))</f>
        <v/>
      </c>
      <c r="M608" s="57">
        <f>IF(OR($A608="",M$24=""),"",IF(COUNTIFS('AFA Rates'!$A$5:$A$1004,$A608,'AFA Rates'!$B$5:$B$1004,M$24)&gt;0,"✓",""))</f>
        <v/>
      </c>
    </row>
    <row r="609">
      <c r="A609" s="63">
        <f>IFERROR(INDEX(Firms!$A$5:$A$1004,MATCH(585,Firms!$S$5:$S$1004,0)),"")</f>
        <v/>
      </c>
      <c r="B609" s="57">
        <f>IF($A609="","",INDEX(Firms!$B$5:$B$1004,MATCH(585,Firms!$S$5:$S$1004,0)))</f>
        <v/>
      </c>
      <c r="C609" s="57">
        <f>IF($A609="","",COUNTIF('AFA Rates'!$A$5:$A$1004,$A609))</f>
        <v/>
      </c>
      <c r="D609" s="57">
        <f>IF(OR($A609="",D$24=""),"",IF(COUNTIFS('AFA Rates'!$A$5:$A$1004,$A609,'AFA Rates'!$B$5:$B$1004,D$24)&gt;0,"✓",""))</f>
        <v/>
      </c>
      <c r="E609" s="57">
        <f>IF(OR($A609="",E$24=""),"",IF(COUNTIFS('AFA Rates'!$A$5:$A$1004,$A609,'AFA Rates'!$B$5:$B$1004,E$24)&gt;0,"✓",""))</f>
        <v/>
      </c>
      <c r="F609" s="57">
        <f>IF(OR($A609="",F$24=""),"",IF(COUNTIFS('AFA Rates'!$A$5:$A$1004,$A609,'AFA Rates'!$B$5:$B$1004,F$24)&gt;0,"✓",""))</f>
        <v/>
      </c>
      <c r="G609" s="57">
        <f>IF(OR($A609="",G$24=""),"",IF(COUNTIFS('AFA Rates'!$A$5:$A$1004,$A609,'AFA Rates'!$B$5:$B$1004,G$24)&gt;0,"✓",""))</f>
        <v/>
      </c>
      <c r="H609" s="57">
        <f>IF(OR($A609="",H$24=""),"",IF(COUNTIFS('AFA Rates'!$A$5:$A$1004,$A609,'AFA Rates'!$B$5:$B$1004,H$24)&gt;0,"✓",""))</f>
        <v/>
      </c>
      <c r="I609" s="57">
        <f>IF(OR($A609="",I$24=""),"",IF(COUNTIFS('AFA Rates'!$A$5:$A$1004,$A609,'AFA Rates'!$B$5:$B$1004,I$24)&gt;0,"✓",""))</f>
        <v/>
      </c>
      <c r="J609" s="57">
        <f>IF(OR($A609="",J$24=""),"",IF(COUNTIFS('AFA Rates'!$A$5:$A$1004,$A609,'AFA Rates'!$B$5:$B$1004,J$24)&gt;0,"✓",""))</f>
        <v/>
      </c>
      <c r="K609" s="57">
        <f>IF(OR($A609="",K$24=""),"",IF(COUNTIFS('AFA Rates'!$A$5:$A$1004,$A609,'AFA Rates'!$B$5:$B$1004,K$24)&gt;0,"✓",""))</f>
        <v/>
      </c>
      <c r="L609" s="57">
        <f>IF(OR($A609="",L$24=""),"",IF(COUNTIFS('AFA Rates'!$A$5:$A$1004,$A609,'AFA Rates'!$B$5:$B$1004,L$24)&gt;0,"✓",""))</f>
        <v/>
      </c>
      <c r="M609" s="57">
        <f>IF(OR($A609="",M$24=""),"",IF(COUNTIFS('AFA Rates'!$A$5:$A$1004,$A609,'AFA Rates'!$B$5:$B$1004,M$24)&gt;0,"✓",""))</f>
        <v/>
      </c>
    </row>
    <row r="610">
      <c r="A610" s="63">
        <f>IFERROR(INDEX(Firms!$A$5:$A$1004,MATCH(586,Firms!$S$5:$S$1004,0)),"")</f>
        <v/>
      </c>
      <c r="B610" s="57">
        <f>IF($A610="","",INDEX(Firms!$B$5:$B$1004,MATCH(586,Firms!$S$5:$S$1004,0)))</f>
        <v/>
      </c>
      <c r="C610" s="57">
        <f>IF($A610="","",COUNTIF('AFA Rates'!$A$5:$A$1004,$A610))</f>
        <v/>
      </c>
      <c r="D610" s="57">
        <f>IF(OR($A610="",D$24=""),"",IF(COUNTIFS('AFA Rates'!$A$5:$A$1004,$A610,'AFA Rates'!$B$5:$B$1004,D$24)&gt;0,"✓",""))</f>
        <v/>
      </c>
      <c r="E610" s="57">
        <f>IF(OR($A610="",E$24=""),"",IF(COUNTIFS('AFA Rates'!$A$5:$A$1004,$A610,'AFA Rates'!$B$5:$B$1004,E$24)&gt;0,"✓",""))</f>
        <v/>
      </c>
      <c r="F610" s="57">
        <f>IF(OR($A610="",F$24=""),"",IF(COUNTIFS('AFA Rates'!$A$5:$A$1004,$A610,'AFA Rates'!$B$5:$B$1004,F$24)&gt;0,"✓",""))</f>
        <v/>
      </c>
      <c r="G610" s="57">
        <f>IF(OR($A610="",G$24=""),"",IF(COUNTIFS('AFA Rates'!$A$5:$A$1004,$A610,'AFA Rates'!$B$5:$B$1004,G$24)&gt;0,"✓",""))</f>
        <v/>
      </c>
      <c r="H610" s="57">
        <f>IF(OR($A610="",H$24=""),"",IF(COUNTIFS('AFA Rates'!$A$5:$A$1004,$A610,'AFA Rates'!$B$5:$B$1004,H$24)&gt;0,"✓",""))</f>
        <v/>
      </c>
      <c r="I610" s="57">
        <f>IF(OR($A610="",I$24=""),"",IF(COUNTIFS('AFA Rates'!$A$5:$A$1004,$A610,'AFA Rates'!$B$5:$B$1004,I$24)&gt;0,"✓",""))</f>
        <v/>
      </c>
      <c r="J610" s="57">
        <f>IF(OR($A610="",J$24=""),"",IF(COUNTIFS('AFA Rates'!$A$5:$A$1004,$A610,'AFA Rates'!$B$5:$B$1004,J$24)&gt;0,"✓",""))</f>
        <v/>
      </c>
      <c r="K610" s="57">
        <f>IF(OR($A610="",K$24=""),"",IF(COUNTIFS('AFA Rates'!$A$5:$A$1004,$A610,'AFA Rates'!$B$5:$B$1004,K$24)&gt;0,"✓",""))</f>
        <v/>
      </c>
      <c r="L610" s="57">
        <f>IF(OR($A610="",L$24=""),"",IF(COUNTIFS('AFA Rates'!$A$5:$A$1004,$A610,'AFA Rates'!$B$5:$B$1004,L$24)&gt;0,"✓",""))</f>
        <v/>
      </c>
      <c r="M610" s="57">
        <f>IF(OR($A610="",M$24=""),"",IF(COUNTIFS('AFA Rates'!$A$5:$A$1004,$A610,'AFA Rates'!$B$5:$B$1004,M$24)&gt;0,"✓",""))</f>
        <v/>
      </c>
    </row>
    <row r="611">
      <c r="A611" s="63">
        <f>IFERROR(INDEX(Firms!$A$5:$A$1004,MATCH(587,Firms!$S$5:$S$1004,0)),"")</f>
        <v/>
      </c>
      <c r="B611" s="57">
        <f>IF($A611="","",INDEX(Firms!$B$5:$B$1004,MATCH(587,Firms!$S$5:$S$1004,0)))</f>
        <v/>
      </c>
      <c r="C611" s="57">
        <f>IF($A611="","",COUNTIF('AFA Rates'!$A$5:$A$1004,$A611))</f>
        <v/>
      </c>
      <c r="D611" s="57">
        <f>IF(OR($A611="",D$24=""),"",IF(COUNTIFS('AFA Rates'!$A$5:$A$1004,$A611,'AFA Rates'!$B$5:$B$1004,D$24)&gt;0,"✓",""))</f>
        <v/>
      </c>
      <c r="E611" s="57">
        <f>IF(OR($A611="",E$24=""),"",IF(COUNTIFS('AFA Rates'!$A$5:$A$1004,$A611,'AFA Rates'!$B$5:$B$1004,E$24)&gt;0,"✓",""))</f>
        <v/>
      </c>
      <c r="F611" s="57">
        <f>IF(OR($A611="",F$24=""),"",IF(COUNTIFS('AFA Rates'!$A$5:$A$1004,$A611,'AFA Rates'!$B$5:$B$1004,F$24)&gt;0,"✓",""))</f>
        <v/>
      </c>
      <c r="G611" s="57">
        <f>IF(OR($A611="",G$24=""),"",IF(COUNTIFS('AFA Rates'!$A$5:$A$1004,$A611,'AFA Rates'!$B$5:$B$1004,G$24)&gt;0,"✓",""))</f>
        <v/>
      </c>
      <c r="H611" s="57">
        <f>IF(OR($A611="",H$24=""),"",IF(COUNTIFS('AFA Rates'!$A$5:$A$1004,$A611,'AFA Rates'!$B$5:$B$1004,H$24)&gt;0,"✓",""))</f>
        <v/>
      </c>
      <c r="I611" s="57">
        <f>IF(OR($A611="",I$24=""),"",IF(COUNTIFS('AFA Rates'!$A$5:$A$1004,$A611,'AFA Rates'!$B$5:$B$1004,I$24)&gt;0,"✓",""))</f>
        <v/>
      </c>
      <c r="J611" s="57">
        <f>IF(OR($A611="",J$24=""),"",IF(COUNTIFS('AFA Rates'!$A$5:$A$1004,$A611,'AFA Rates'!$B$5:$B$1004,J$24)&gt;0,"✓",""))</f>
        <v/>
      </c>
      <c r="K611" s="57">
        <f>IF(OR($A611="",K$24=""),"",IF(COUNTIFS('AFA Rates'!$A$5:$A$1004,$A611,'AFA Rates'!$B$5:$B$1004,K$24)&gt;0,"✓",""))</f>
        <v/>
      </c>
      <c r="L611" s="57">
        <f>IF(OR($A611="",L$24=""),"",IF(COUNTIFS('AFA Rates'!$A$5:$A$1004,$A611,'AFA Rates'!$B$5:$B$1004,L$24)&gt;0,"✓",""))</f>
        <v/>
      </c>
      <c r="M611" s="57">
        <f>IF(OR($A611="",M$24=""),"",IF(COUNTIFS('AFA Rates'!$A$5:$A$1004,$A611,'AFA Rates'!$B$5:$B$1004,M$24)&gt;0,"✓",""))</f>
        <v/>
      </c>
    </row>
    <row r="612">
      <c r="A612" s="63">
        <f>IFERROR(INDEX(Firms!$A$5:$A$1004,MATCH(588,Firms!$S$5:$S$1004,0)),"")</f>
        <v/>
      </c>
      <c r="B612" s="57">
        <f>IF($A612="","",INDEX(Firms!$B$5:$B$1004,MATCH(588,Firms!$S$5:$S$1004,0)))</f>
        <v/>
      </c>
      <c r="C612" s="57">
        <f>IF($A612="","",COUNTIF('AFA Rates'!$A$5:$A$1004,$A612))</f>
        <v/>
      </c>
      <c r="D612" s="57">
        <f>IF(OR($A612="",D$24=""),"",IF(COUNTIFS('AFA Rates'!$A$5:$A$1004,$A612,'AFA Rates'!$B$5:$B$1004,D$24)&gt;0,"✓",""))</f>
        <v/>
      </c>
      <c r="E612" s="57">
        <f>IF(OR($A612="",E$24=""),"",IF(COUNTIFS('AFA Rates'!$A$5:$A$1004,$A612,'AFA Rates'!$B$5:$B$1004,E$24)&gt;0,"✓",""))</f>
        <v/>
      </c>
      <c r="F612" s="57">
        <f>IF(OR($A612="",F$24=""),"",IF(COUNTIFS('AFA Rates'!$A$5:$A$1004,$A612,'AFA Rates'!$B$5:$B$1004,F$24)&gt;0,"✓",""))</f>
        <v/>
      </c>
      <c r="G612" s="57">
        <f>IF(OR($A612="",G$24=""),"",IF(COUNTIFS('AFA Rates'!$A$5:$A$1004,$A612,'AFA Rates'!$B$5:$B$1004,G$24)&gt;0,"✓",""))</f>
        <v/>
      </c>
      <c r="H612" s="57">
        <f>IF(OR($A612="",H$24=""),"",IF(COUNTIFS('AFA Rates'!$A$5:$A$1004,$A612,'AFA Rates'!$B$5:$B$1004,H$24)&gt;0,"✓",""))</f>
        <v/>
      </c>
      <c r="I612" s="57">
        <f>IF(OR($A612="",I$24=""),"",IF(COUNTIFS('AFA Rates'!$A$5:$A$1004,$A612,'AFA Rates'!$B$5:$B$1004,I$24)&gt;0,"✓",""))</f>
        <v/>
      </c>
      <c r="J612" s="57">
        <f>IF(OR($A612="",J$24=""),"",IF(COUNTIFS('AFA Rates'!$A$5:$A$1004,$A612,'AFA Rates'!$B$5:$B$1004,J$24)&gt;0,"✓",""))</f>
        <v/>
      </c>
      <c r="K612" s="57">
        <f>IF(OR($A612="",K$24=""),"",IF(COUNTIFS('AFA Rates'!$A$5:$A$1004,$A612,'AFA Rates'!$B$5:$B$1004,K$24)&gt;0,"✓",""))</f>
        <v/>
      </c>
      <c r="L612" s="57">
        <f>IF(OR($A612="",L$24=""),"",IF(COUNTIFS('AFA Rates'!$A$5:$A$1004,$A612,'AFA Rates'!$B$5:$B$1004,L$24)&gt;0,"✓",""))</f>
        <v/>
      </c>
      <c r="M612" s="57">
        <f>IF(OR($A612="",M$24=""),"",IF(COUNTIFS('AFA Rates'!$A$5:$A$1004,$A612,'AFA Rates'!$B$5:$B$1004,M$24)&gt;0,"✓",""))</f>
        <v/>
      </c>
    </row>
    <row r="613">
      <c r="A613" s="63">
        <f>IFERROR(INDEX(Firms!$A$5:$A$1004,MATCH(589,Firms!$S$5:$S$1004,0)),"")</f>
        <v/>
      </c>
      <c r="B613" s="57">
        <f>IF($A613="","",INDEX(Firms!$B$5:$B$1004,MATCH(589,Firms!$S$5:$S$1004,0)))</f>
        <v/>
      </c>
      <c r="C613" s="57">
        <f>IF($A613="","",COUNTIF('AFA Rates'!$A$5:$A$1004,$A613))</f>
        <v/>
      </c>
      <c r="D613" s="57">
        <f>IF(OR($A613="",D$24=""),"",IF(COUNTIFS('AFA Rates'!$A$5:$A$1004,$A613,'AFA Rates'!$B$5:$B$1004,D$24)&gt;0,"✓",""))</f>
        <v/>
      </c>
      <c r="E613" s="57">
        <f>IF(OR($A613="",E$24=""),"",IF(COUNTIFS('AFA Rates'!$A$5:$A$1004,$A613,'AFA Rates'!$B$5:$B$1004,E$24)&gt;0,"✓",""))</f>
        <v/>
      </c>
      <c r="F613" s="57">
        <f>IF(OR($A613="",F$24=""),"",IF(COUNTIFS('AFA Rates'!$A$5:$A$1004,$A613,'AFA Rates'!$B$5:$B$1004,F$24)&gt;0,"✓",""))</f>
        <v/>
      </c>
      <c r="G613" s="57">
        <f>IF(OR($A613="",G$24=""),"",IF(COUNTIFS('AFA Rates'!$A$5:$A$1004,$A613,'AFA Rates'!$B$5:$B$1004,G$24)&gt;0,"✓",""))</f>
        <v/>
      </c>
      <c r="H613" s="57">
        <f>IF(OR($A613="",H$24=""),"",IF(COUNTIFS('AFA Rates'!$A$5:$A$1004,$A613,'AFA Rates'!$B$5:$B$1004,H$24)&gt;0,"✓",""))</f>
        <v/>
      </c>
      <c r="I613" s="57">
        <f>IF(OR($A613="",I$24=""),"",IF(COUNTIFS('AFA Rates'!$A$5:$A$1004,$A613,'AFA Rates'!$B$5:$B$1004,I$24)&gt;0,"✓",""))</f>
        <v/>
      </c>
      <c r="J613" s="57">
        <f>IF(OR($A613="",J$24=""),"",IF(COUNTIFS('AFA Rates'!$A$5:$A$1004,$A613,'AFA Rates'!$B$5:$B$1004,J$24)&gt;0,"✓",""))</f>
        <v/>
      </c>
      <c r="K613" s="57">
        <f>IF(OR($A613="",K$24=""),"",IF(COUNTIFS('AFA Rates'!$A$5:$A$1004,$A613,'AFA Rates'!$B$5:$B$1004,K$24)&gt;0,"✓",""))</f>
        <v/>
      </c>
      <c r="L613" s="57">
        <f>IF(OR($A613="",L$24=""),"",IF(COUNTIFS('AFA Rates'!$A$5:$A$1004,$A613,'AFA Rates'!$B$5:$B$1004,L$24)&gt;0,"✓",""))</f>
        <v/>
      </c>
      <c r="M613" s="57">
        <f>IF(OR($A613="",M$24=""),"",IF(COUNTIFS('AFA Rates'!$A$5:$A$1004,$A613,'AFA Rates'!$B$5:$B$1004,M$24)&gt;0,"✓",""))</f>
        <v/>
      </c>
    </row>
    <row r="614">
      <c r="A614" s="63">
        <f>IFERROR(INDEX(Firms!$A$5:$A$1004,MATCH(590,Firms!$S$5:$S$1004,0)),"")</f>
        <v/>
      </c>
      <c r="B614" s="57">
        <f>IF($A614="","",INDEX(Firms!$B$5:$B$1004,MATCH(590,Firms!$S$5:$S$1004,0)))</f>
        <v/>
      </c>
      <c r="C614" s="57">
        <f>IF($A614="","",COUNTIF('AFA Rates'!$A$5:$A$1004,$A614))</f>
        <v/>
      </c>
      <c r="D614" s="57">
        <f>IF(OR($A614="",D$24=""),"",IF(COUNTIFS('AFA Rates'!$A$5:$A$1004,$A614,'AFA Rates'!$B$5:$B$1004,D$24)&gt;0,"✓",""))</f>
        <v/>
      </c>
      <c r="E614" s="57">
        <f>IF(OR($A614="",E$24=""),"",IF(COUNTIFS('AFA Rates'!$A$5:$A$1004,$A614,'AFA Rates'!$B$5:$B$1004,E$24)&gt;0,"✓",""))</f>
        <v/>
      </c>
      <c r="F614" s="57">
        <f>IF(OR($A614="",F$24=""),"",IF(COUNTIFS('AFA Rates'!$A$5:$A$1004,$A614,'AFA Rates'!$B$5:$B$1004,F$24)&gt;0,"✓",""))</f>
        <v/>
      </c>
      <c r="G614" s="57">
        <f>IF(OR($A614="",G$24=""),"",IF(COUNTIFS('AFA Rates'!$A$5:$A$1004,$A614,'AFA Rates'!$B$5:$B$1004,G$24)&gt;0,"✓",""))</f>
        <v/>
      </c>
      <c r="H614" s="57">
        <f>IF(OR($A614="",H$24=""),"",IF(COUNTIFS('AFA Rates'!$A$5:$A$1004,$A614,'AFA Rates'!$B$5:$B$1004,H$24)&gt;0,"✓",""))</f>
        <v/>
      </c>
      <c r="I614" s="57">
        <f>IF(OR($A614="",I$24=""),"",IF(COUNTIFS('AFA Rates'!$A$5:$A$1004,$A614,'AFA Rates'!$B$5:$B$1004,I$24)&gt;0,"✓",""))</f>
        <v/>
      </c>
      <c r="J614" s="57">
        <f>IF(OR($A614="",J$24=""),"",IF(COUNTIFS('AFA Rates'!$A$5:$A$1004,$A614,'AFA Rates'!$B$5:$B$1004,J$24)&gt;0,"✓",""))</f>
        <v/>
      </c>
      <c r="K614" s="57">
        <f>IF(OR($A614="",K$24=""),"",IF(COUNTIFS('AFA Rates'!$A$5:$A$1004,$A614,'AFA Rates'!$B$5:$B$1004,K$24)&gt;0,"✓",""))</f>
        <v/>
      </c>
      <c r="L614" s="57">
        <f>IF(OR($A614="",L$24=""),"",IF(COUNTIFS('AFA Rates'!$A$5:$A$1004,$A614,'AFA Rates'!$B$5:$B$1004,L$24)&gt;0,"✓",""))</f>
        <v/>
      </c>
      <c r="M614" s="57">
        <f>IF(OR($A614="",M$24=""),"",IF(COUNTIFS('AFA Rates'!$A$5:$A$1004,$A614,'AFA Rates'!$B$5:$B$1004,M$24)&gt;0,"✓",""))</f>
        <v/>
      </c>
    </row>
    <row r="615">
      <c r="A615" s="63">
        <f>IFERROR(INDEX(Firms!$A$5:$A$1004,MATCH(591,Firms!$S$5:$S$1004,0)),"")</f>
        <v/>
      </c>
      <c r="B615" s="57">
        <f>IF($A615="","",INDEX(Firms!$B$5:$B$1004,MATCH(591,Firms!$S$5:$S$1004,0)))</f>
        <v/>
      </c>
      <c r="C615" s="57">
        <f>IF($A615="","",COUNTIF('AFA Rates'!$A$5:$A$1004,$A615))</f>
        <v/>
      </c>
      <c r="D615" s="57">
        <f>IF(OR($A615="",D$24=""),"",IF(COUNTIFS('AFA Rates'!$A$5:$A$1004,$A615,'AFA Rates'!$B$5:$B$1004,D$24)&gt;0,"✓",""))</f>
        <v/>
      </c>
      <c r="E615" s="57">
        <f>IF(OR($A615="",E$24=""),"",IF(COUNTIFS('AFA Rates'!$A$5:$A$1004,$A615,'AFA Rates'!$B$5:$B$1004,E$24)&gt;0,"✓",""))</f>
        <v/>
      </c>
      <c r="F615" s="57">
        <f>IF(OR($A615="",F$24=""),"",IF(COUNTIFS('AFA Rates'!$A$5:$A$1004,$A615,'AFA Rates'!$B$5:$B$1004,F$24)&gt;0,"✓",""))</f>
        <v/>
      </c>
      <c r="G615" s="57">
        <f>IF(OR($A615="",G$24=""),"",IF(COUNTIFS('AFA Rates'!$A$5:$A$1004,$A615,'AFA Rates'!$B$5:$B$1004,G$24)&gt;0,"✓",""))</f>
        <v/>
      </c>
      <c r="H615" s="57">
        <f>IF(OR($A615="",H$24=""),"",IF(COUNTIFS('AFA Rates'!$A$5:$A$1004,$A615,'AFA Rates'!$B$5:$B$1004,H$24)&gt;0,"✓",""))</f>
        <v/>
      </c>
      <c r="I615" s="57">
        <f>IF(OR($A615="",I$24=""),"",IF(COUNTIFS('AFA Rates'!$A$5:$A$1004,$A615,'AFA Rates'!$B$5:$B$1004,I$24)&gt;0,"✓",""))</f>
        <v/>
      </c>
      <c r="J615" s="57">
        <f>IF(OR($A615="",J$24=""),"",IF(COUNTIFS('AFA Rates'!$A$5:$A$1004,$A615,'AFA Rates'!$B$5:$B$1004,J$24)&gt;0,"✓",""))</f>
        <v/>
      </c>
      <c r="K615" s="57">
        <f>IF(OR($A615="",K$24=""),"",IF(COUNTIFS('AFA Rates'!$A$5:$A$1004,$A615,'AFA Rates'!$B$5:$B$1004,K$24)&gt;0,"✓",""))</f>
        <v/>
      </c>
      <c r="L615" s="57">
        <f>IF(OR($A615="",L$24=""),"",IF(COUNTIFS('AFA Rates'!$A$5:$A$1004,$A615,'AFA Rates'!$B$5:$B$1004,L$24)&gt;0,"✓",""))</f>
        <v/>
      </c>
      <c r="M615" s="57">
        <f>IF(OR($A615="",M$24=""),"",IF(COUNTIFS('AFA Rates'!$A$5:$A$1004,$A615,'AFA Rates'!$B$5:$B$1004,M$24)&gt;0,"✓",""))</f>
        <v/>
      </c>
    </row>
    <row r="616">
      <c r="A616" s="63">
        <f>IFERROR(INDEX(Firms!$A$5:$A$1004,MATCH(592,Firms!$S$5:$S$1004,0)),"")</f>
        <v/>
      </c>
      <c r="B616" s="57">
        <f>IF($A616="","",INDEX(Firms!$B$5:$B$1004,MATCH(592,Firms!$S$5:$S$1004,0)))</f>
        <v/>
      </c>
      <c r="C616" s="57">
        <f>IF($A616="","",COUNTIF('AFA Rates'!$A$5:$A$1004,$A616))</f>
        <v/>
      </c>
      <c r="D616" s="57">
        <f>IF(OR($A616="",D$24=""),"",IF(COUNTIFS('AFA Rates'!$A$5:$A$1004,$A616,'AFA Rates'!$B$5:$B$1004,D$24)&gt;0,"✓",""))</f>
        <v/>
      </c>
      <c r="E616" s="57">
        <f>IF(OR($A616="",E$24=""),"",IF(COUNTIFS('AFA Rates'!$A$5:$A$1004,$A616,'AFA Rates'!$B$5:$B$1004,E$24)&gt;0,"✓",""))</f>
        <v/>
      </c>
      <c r="F616" s="57">
        <f>IF(OR($A616="",F$24=""),"",IF(COUNTIFS('AFA Rates'!$A$5:$A$1004,$A616,'AFA Rates'!$B$5:$B$1004,F$24)&gt;0,"✓",""))</f>
        <v/>
      </c>
      <c r="G616" s="57">
        <f>IF(OR($A616="",G$24=""),"",IF(COUNTIFS('AFA Rates'!$A$5:$A$1004,$A616,'AFA Rates'!$B$5:$B$1004,G$24)&gt;0,"✓",""))</f>
        <v/>
      </c>
      <c r="H616" s="57">
        <f>IF(OR($A616="",H$24=""),"",IF(COUNTIFS('AFA Rates'!$A$5:$A$1004,$A616,'AFA Rates'!$B$5:$B$1004,H$24)&gt;0,"✓",""))</f>
        <v/>
      </c>
      <c r="I616" s="57">
        <f>IF(OR($A616="",I$24=""),"",IF(COUNTIFS('AFA Rates'!$A$5:$A$1004,$A616,'AFA Rates'!$B$5:$B$1004,I$24)&gt;0,"✓",""))</f>
        <v/>
      </c>
      <c r="J616" s="57">
        <f>IF(OR($A616="",J$24=""),"",IF(COUNTIFS('AFA Rates'!$A$5:$A$1004,$A616,'AFA Rates'!$B$5:$B$1004,J$24)&gt;0,"✓",""))</f>
        <v/>
      </c>
      <c r="K616" s="57">
        <f>IF(OR($A616="",K$24=""),"",IF(COUNTIFS('AFA Rates'!$A$5:$A$1004,$A616,'AFA Rates'!$B$5:$B$1004,K$24)&gt;0,"✓",""))</f>
        <v/>
      </c>
      <c r="L616" s="57">
        <f>IF(OR($A616="",L$24=""),"",IF(COUNTIFS('AFA Rates'!$A$5:$A$1004,$A616,'AFA Rates'!$B$5:$B$1004,L$24)&gt;0,"✓",""))</f>
        <v/>
      </c>
      <c r="M616" s="57">
        <f>IF(OR($A616="",M$24=""),"",IF(COUNTIFS('AFA Rates'!$A$5:$A$1004,$A616,'AFA Rates'!$B$5:$B$1004,M$24)&gt;0,"✓",""))</f>
        <v/>
      </c>
    </row>
    <row r="617">
      <c r="A617" s="63">
        <f>IFERROR(INDEX(Firms!$A$5:$A$1004,MATCH(593,Firms!$S$5:$S$1004,0)),"")</f>
        <v/>
      </c>
      <c r="B617" s="57">
        <f>IF($A617="","",INDEX(Firms!$B$5:$B$1004,MATCH(593,Firms!$S$5:$S$1004,0)))</f>
        <v/>
      </c>
      <c r="C617" s="57">
        <f>IF($A617="","",COUNTIF('AFA Rates'!$A$5:$A$1004,$A617))</f>
        <v/>
      </c>
      <c r="D617" s="57">
        <f>IF(OR($A617="",D$24=""),"",IF(COUNTIFS('AFA Rates'!$A$5:$A$1004,$A617,'AFA Rates'!$B$5:$B$1004,D$24)&gt;0,"✓",""))</f>
        <v/>
      </c>
      <c r="E617" s="57">
        <f>IF(OR($A617="",E$24=""),"",IF(COUNTIFS('AFA Rates'!$A$5:$A$1004,$A617,'AFA Rates'!$B$5:$B$1004,E$24)&gt;0,"✓",""))</f>
        <v/>
      </c>
      <c r="F617" s="57">
        <f>IF(OR($A617="",F$24=""),"",IF(COUNTIFS('AFA Rates'!$A$5:$A$1004,$A617,'AFA Rates'!$B$5:$B$1004,F$24)&gt;0,"✓",""))</f>
        <v/>
      </c>
      <c r="G617" s="57">
        <f>IF(OR($A617="",G$24=""),"",IF(COUNTIFS('AFA Rates'!$A$5:$A$1004,$A617,'AFA Rates'!$B$5:$B$1004,G$24)&gt;0,"✓",""))</f>
        <v/>
      </c>
      <c r="H617" s="57">
        <f>IF(OR($A617="",H$24=""),"",IF(COUNTIFS('AFA Rates'!$A$5:$A$1004,$A617,'AFA Rates'!$B$5:$B$1004,H$24)&gt;0,"✓",""))</f>
        <v/>
      </c>
      <c r="I617" s="57">
        <f>IF(OR($A617="",I$24=""),"",IF(COUNTIFS('AFA Rates'!$A$5:$A$1004,$A617,'AFA Rates'!$B$5:$B$1004,I$24)&gt;0,"✓",""))</f>
        <v/>
      </c>
      <c r="J617" s="57">
        <f>IF(OR($A617="",J$24=""),"",IF(COUNTIFS('AFA Rates'!$A$5:$A$1004,$A617,'AFA Rates'!$B$5:$B$1004,J$24)&gt;0,"✓",""))</f>
        <v/>
      </c>
      <c r="K617" s="57">
        <f>IF(OR($A617="",K$24=""),"",IF(COUNTIFS('AFA Rates'!$A$5:$A$1004,$A617,'AFA Rates'!$B$5:$B$1004,K$24)&gt;0,"✓",""))</f>
        <v/>
      </c>
      <c r="L617" s="57">
        <f>IF(OR($A617="",L$24=""),"",IF(COUNTIFS('AFA Rates'!$A$5:$A$1004,$A617,'AFA Rates'!$B$5:$B$1004,L$24)&gt;0,"✓",""))</f>
        <v/>
      </c>
      <c r="M617" s="57">
        <f>IF(OR($A617="",M$24=""),"",IF(COUNTIFS('AFA Rates'!$A$5:$A$1004,$A617,'AFA Rates'!$B$5:$B$1004,M$24)&gt;0,"✓",""))</f>
        <v/>
      </c>
    </row>
    <row r="618">
      <c r="A618" s="63">
        <f>IFERROR(INDEX(Firms!$A$5:$A$1004,MATCH(594,Firms!$S$5:$S$1004,0)),"")</f>
        <v/>
      </c>
      <c r="B618" s="57">
        <f>IF($A618="","",INDEX(Firms!$B$5:$B$1004,MATCH(594,Firms!$S$5:$S$1004,0)))</f>
        <v/>
      </c>
      <c r="C618" s="57">
        <f>IF($A618="","",COUNTIF('AFA Rates'!$A$5:$A$1004,$A618))</f>
        <v/>
      </c>
      <c r="D618" s="57">
        <f>IF(OR($A618="",D$24=""),"",IF(COUNTIFS('AFA Rates'!$A$5:$A$1004,$A618,'AFA Rates'!$B$5:$B$1004,D$24)&gt;0,"✓",""))</f>
        <v/>
      </c>
      <c r="E618" s="57">
        <f>IF(OR($A618="",E$24=""),"",IF(COUNTIFS('AFA Rates'!$A$5:$A$1004,$A618,'AFA Rates'!$B$5:$B$1004,E$24)&gt;0,"✓",""))</f>
        <v/>
      </c>
      <c r="F618" s="57">
        <f>IF(OR($A618="",F$24=""),"",IF(COUNTIFS('AFA Rates'!$A$5:$A$1004,$A618,'AFA Rates'!$B$5:$B$1004,F$24)&gt;0,"✓",""))</f>
        <v/>
      </c>
      <c r="G618" s="57">
        <f>IF(OR($A618="",G$24=""),"",IF(COUNTIFS('AFA Rates'!$A$5:$A$1004,$A618,'AFA Rates'!$B$5:$B$1004,G$24)&gt;0,"✓",""))</f>
        <v/>
      </c>
      <c r="H618" s="57">
        <f>IF(OR($A618="",H$24=""),"",IF(COUNTIFS('AFA Rates'!$A$5:$A$1004,$A618,'AFA Rates'!$B$5:$B$1004,H$24)&gt;0,"✓",""))</f>
        <v/>
      </c>
      <c r="I618" s="57">
        <f>IF(OR($A618="",I$24=""),"",IF(COUNTIFS('AFA Rates'!$A$5:$A$1004,$A618,'AFA Rates'!$B$5:$B$1004,I$24)&gt;0,"✓",""))</f>
        <v/>
      </c>
      <c r="J618" s="57">
        <f>IF(OR($A618="",J$24=""),"",IF(COUNTIFS('AFA Rates'!$A$5:$A$1004,$A618,'AFA Rates'!$B$5:$B$1004,J$24)&gt;0,"✓",""))</f>
        <v/>
      </c>
      <c r="K618" s="57">
        <f>IF(OR($A618="",K$24=""),"",IF(COUNTIFS('AFA Rates'!$A$5:$A$1004,$A618,'AFA Rates'!$B$5:$B$1004,K$24)&gt;0,"✓",""))</f>
        <v/>
      </c>
      <c r="L618" s="57">
        <f>IF(OR($A618="",L$24=""),"",IF(COUNTIFS('AFA Rates'!$A$5:$A$1004,$A618,'AFA Rates'!$B$5:$B$1004,L$24)&gt;0,"✓",""))</f>
        <v/>
      </c>
      <c r="M618" s="57">
        <f>IF(OR($A618="",M$24=""),"",IF(COUNTIFS('AFA Rates'!$A$5:$A$1004,$A618,'AFA Rates'!$B$5:$B$1004,M$24)&gt;0,"✓",""))</f>
        <v/>
      </c>
    </row>
    <row r="619">
      <c r="A619" s="63">
        <f>IFERROR(INDEX(Firms!$A$5:$A$1004,MATCH(595,Firms!$S$5:$S$1004,0)),"")</f>
        <v/>
      </c>
      <c r="B619" s="57">
        <f>IF($A619="","",INDEX(Firms!$B$5:$B$1004,MATCH(595,Firms!$S$5:$S$1004,0)))</f>
        <v/>
      </c>
      <c r="C619" s="57">
        <f>IF($A619="","",COUNTIF('AFA Rates'!$A$5:$A$1004,$A619))</f>
        <v/>
      </c>
      <c r="D619" s="57">
        <f>IF(OR($A619="",D$24=""),"",IF(COUNTIFS('AFA Rates'!$A$5:$A$1004,$A619,'AFA Rates'!$B$5:$B$1004,D$24)&gt;0,"✓",""))</f>
        <v/>
      </c>
      <c r="E619" s="57">
        <f>IF(OR($A619="",E$24=""),"",IF(COUNTIFS('AFA Rates'!$A$5:$A$1004,$A619,'AFA Rates'!$B$5:$B$1004,E$24)&gt;0,"✓",""))</f>
        <v/>
      </c>
      <c r="F619" s="57">
        <f>IF(OR($A619="",F$24=""),"",IF(COUNTIFS('AFA Rates'!$A$5:$A$1004,$A619,'AFA Rates'!$B$5:$B$1004,F$24)&gt;0,"✓",""))</f>
        <v/>
      </c>
      <c r="G619" s="57">
        <f>IF(OR($A619="",G$24=""),"",IF(COUNTIFS('AFA Rates'!$A$5:$A$1004,$A619,'AFA Rates'!$B$5:$B$1004,G$24)&gt;0,"✓",""))</f>
        <v/>
      </c>
      <c r="H619" s="57">
        <f>IF(OR($A619="",H$24=""),"",IF(COUNTIFS('AFA Rates'!$A$5:$A$1004,$A619,'AFA Rates'!$B$5:$B$1004,H$24)&gt;0,"✓",""))</f>
        <v/>
      </c>
      <c r="I619" s="57">
        <f>IF(OR($A619="",I$24=""),"",IF(COUNTIFS('AFA Rates'!$A$5:$A$1004,$A619,'AFA Rates'!$B$5:$B$1004,I$24)&gt;0,"✓",""))</f>
        <v/>
      </c>
      <c r="J619" s="57">
        <f>IF(OR($A619="",J$24=""),"",IF(COUNTIFS('AFA Rates'!$A$5:$A$1004,$A619,'AFA Rates'!$B$5:$B$1004,J$24)&gt;0,"✓",""))</f>
        <v/>
      </c>
      <c r="K619" s="57">
        <f>IF(OR($A619="",K$24=""),"",IF(COUNTIFS('AFA Rates'!$A$5:$A$1004,$A619,'AFA Rates'!$B$5:$B$1004,K$24)&gt;0,"✓",""))</f>
        <v/>
      </c>
      <c r="L619" s="57">
        <f>IF(OR($A619="",L$24=""),"",IF(COUNTIFS('AFA Rates'!$A$5:$A$1004,$A619,'AFA Rates'!$B$5:$B$1004,L$24)&gt;0,"✓",""))</f>
        <v/>
      </c>
      <c r="M619" s="57">
        <f>IF(OR($A619="",M$24=""),"",IF(COUNTIFS('AFA Rates'!$A$5:$A$1004,$A619,'AFA Rates'!$B$5:$B$1004,M$24)&gt;0,"✓",""))</f>
        <v/>
      </c>
    </row>
    <row r="620">
      <c r="A620" s="63">
        <f>IFERROR(INDEX(Firms!$A$5:$A$1004,MATCH(596,Firms!$S$5:$S$1004,0)),"")</f>
        <v/>
      </c>
      <c r="B620" s="57">
        <f>IF($A620="","",INDEX(Firms!$B$5:$B$1004,MATCH(596,Firms!$S$5:$S$1004,0)))</f>
        <v/>
      </c>
      <c r="C620" s="57">
        <f>IF($A620="","",COUNTIF('AFA Rates'!$A$5:$A$1004,$A620))</f>
        <v/>
      </c>
      <c r="D620" s="57">
        <f>IF(OR($A620="",D$24=""),"",IF(COUNTIFS('AFA Rates'!$A$5:$A$1004,$A620,'AFA Rates'!$B$5:$B$1004,D$24)&gt;0,"✓",""))</f>
        <v/>
      </c>
      <c r="E620" s="57">
        <f>IF(OR($A620="",E$24=""),"",IF(COUNTIFS('AFA Rates'!$A$5:$A$1004,$A620,'AFA Rates'!$B$5:$B$1004,E$24)&gt;0,"✓",""))</f>
        <v/>
      </c>
      <c r="F620" s="57">
        <f>IF(OR($A620="",F$24=""),"",IF(COUNTIFS('AFA Rates'!$A$5:$A$1004,$A620,'AFA Rates'!$B$5:$B$1004,F$24)&gt;0,"✓",""))</f>
        <v/>
      </c>
      <c r="G620" s="57">
        <f>IF(OR($A620="",G$24=""),"",IF(COUNTIFS('AFA Rates'!$A$5:$A$1004,$A620,'AFA Rates'!$B$5:$B$1004,G$24)&gt;0,"✓",""))</f>
        <v/>
      </c>
      <c r="H620" s="57">
        <f>IF(OR($A620="",H$24=""),"",IF(COUNTIFS('AFA Rates'!$A$5:$A$1004,$A620,'AFA Rates'!$B$5:$B$1004,H$24)&gt;0,"✓",""))</f>
        <v/>
      </c>
      <c r="I620" s="57">
        <f>IF(OR($A620="",I$24=""),"",IF(COUNTIFS('AFA Rates'!$A$5:$A$1004,$A620,'AFA Rates'!$B$5:$B$1004,I$24)&gt;0,"✓",""))</f>
        <v/>
      </c>
      <c r="J620" s="57">
        <f>IF(OR($A620="",J$24=""),"",IF(COUNTIFS('AFA Rates'!$A$5:$A$1004,$A620,'AFA Rates'!$B$5:$B$1004,J$24)&gt;0,"✓",""))</f>
        <v/>
      </c>
      <c r="K620" s="57">
        <f>IF(OR($A620="",K$24=""),"",IF(COUNTIFS('AFA Rates'!$A$5:$A$1004,$A620,'AFA Rates'!$B$5:$B$1004,K$24)&gt;0,"✓",""))</f>
        <v/>
      </c>
      <c r="L620" s="57">
        <f>IF(OR($A620="",L$24=""),"",IF(COUNTIFS('AFA Rates'!$A$5:$A$1004,$A620,'AFA Rates'!$B$5:$B$1004,L$24)&gt;0,"✓",""))</f>
        <v/>
      </c>
      <c r="M620" s="57">
        <f>IF(OR($A620="",M$24=""),"",IF(COUNTIFS('AFA Rates'!$A$5:$A$1004,$A620,'AFA Rates'!$B$5:$B$1004,M$24)&gt;0,"✓",""))</f>
        <v/>
      </c>
    </row>
    <row r="621">
      <c r="A621" s="63">
        <f>IFERROR(INDEX(Firms!$A$5:$A$1004,MATCH(597,Firms!$S$5:$S$1004,0)),"")</f>
        <v/>
      </c>
      <c r="B621" s="57">
        <f>IF($A621="","",INDEX(Firms!$B$5:$B$1004,MATCH(597,Firms!$S$5:$S$1004,0)))</f>
        <v/>
      </c>
      <c r="C621" s="57">
        <f>IF($A621="","",COUNTIF('AFA Rates'!$A$5:$A$1004,$A621))</f>
        <v/>
      </c>
      <c r="D621" s="57">
        <f>IF(OR($A621="",D$24=""),"",IF(COUNTIFS('AFA Rates'!$A$5:$A$1004,$A621,'AFA Rates'!$B$5:$B$1004,D$24)&gt;0,"✓",""))</f>
        <v/>
      </c>
      <c r="E621" s="57">
        <f>IF(OR($A621="",E$24=""),"",IF(COUNTIFS('AFA Rates'!$A$5:$A$1004,$A621,'AFA Rates'!$B$5:$B$1004,E$24)&gt;0,"✓",""))</f>
        <v/>
      </c>
      <c r="F621" s="57">
        <f>IF(OR($A621="",F$24=""),"",IF(COUNTIFS('AFA Rates'!$A$5:$A$1004,$A621,'AFA Rates'!$B$5:$B$1004,F$24)&gt;0,"✓",""))</f>
        <v/>
      </c>
      <c r="G621" s="57">
        <f>IF(OR($A621="",G$24=""),"",IF(COUNTIFS('AFA Rates'!$A$5:$A$1004,$A621,'AFA Rates'!$B$5:$B$1004,G$24)&gt;0,"✓",""))</f>
        <v/>
      </c>
      <c r="H621" s="57">
        <f>IF(OR($A621="",H$24=""),"",IF(COUNTIFS('AFA Rates'!$A$5:$A$1004,$A621,'AFA Rates'!$B$5:$B$1004,H$24)&gt;0,"✓",""))</f>
        <v/>
      </c>
      <c r="I621" s="57">
        <f>IF(OR($A621="",I$24=""),"",IF(COUNTIFS('AFA Rates'!$A$5:$A$1004,$A621,'AFA Rates'!$B$5:$B$1004,I$24)&gt;0,"✓",""))</f>
        <v/>
      </c>
      <c r="J621" s="57">
        <f>IF(OR($A621="",J$24=""),"",IF(COUNTIFS('AFA Rates'!$A$5:$A$1004,$A621,'AFA Rates'!$B$5:$B$1004,J$24)&gt;0,"✓",""))</f>
        <v/>
      </c>
      <c r="K621" s="57">
        <f>IF(OR($A621="",K$24=""),"",IF(COUNTIFS('AFA Rates'!$A$5:$A$1004,$A621,'AFA Rates'!$B$5:$B$1004,K$24)&gt;0,"✓",""))</f>
        <v/>
      </c>
      <c r="L621" s="57">
        <f>IF(OR($A621="",L$24=""),"",IF(COUNTIFS('AFA Rates'!$A$5:$A$1004,$A621,'AFA Rates'!$B$5:$B$1004,L$24)&gt;0,"✓",""))</f>
        <v/>
      </c>
      <c r="M621" s="57">
        <f>IF(OR($A621="",M$24=""),"",IF(COUNTIFS('AFA Rates'!$A$5:$A$1004,$A621,'AFA Rates'!$B$5:$B$1004,M$24)&gt;0,"✓",""))</f>
        <v/>
      </c>
    </row>
    <row r="622">
      <c r="A622" s="63">
        <f>IFERROR(INDEX(Firms!$A$5:$A$1004,MATCH(598,Firms!$S$5:$S$1004,0)),"")</f>
        <v/>
      </c>
      <c r="B622" s="57">
        <f>IF($A622="","",INDEX(Firms!$B$5:$B$1004,MATCH(598,Firms!$S$5:$S$1004,0)))</f>
        <v/>
      </c>
      <c r="C622" s="57">
        <f>IF($A622="","",COUNTIF('AFA Rates'!$A$5:$A$1004,$A622))</f>
        <v/>
      </c>
      <c r="D622" s="57">
        <f>IF(OR($A622="",D$24=""),"",IF(COUNTIFS('AFA Rates'!$A$5:$A$1004,$A622,'AFA Rates'!$B$5:$B$1004,D$24)&gt;0,"✓",""))</f>
        <v/>
      </c>
      <c r="E622" s="57">
        <f>IF(OR($A622="",E$24=""),"",IF(COUNTIFS('AFA Rates'!$A$5:$A$1004,$A622,'AFA Rates'!$B$5:$B$1004,E$24)&gt;0,"✓",""))</f>
        <v/>
      </c>
      <c r="F622" s="57">
        <f>IF(OR($A622="",F$24=""),"",IF(COUNTIFS('AFA Rates'!$A$5:$A$1004,$A622,'AFA Rates'!$B$5:$B$1004,F$24)&gt;0,"✓",""))</f>
        <v/>
      </c>
      <c r="G622" s="57">
        <f>IF(OR($A622="",G$24=""),"",IF(COUNTIFS('AFA Rates'!$A$5:$A$1004,$A622,'AFA Rates'!$B$5:$B$1004,G$24)&gt;0,"✓",""))</f>
        <v/>
      </c>
      <c r="H622" s="57">
        <f>IF(OR($A622="",H$24=""),"",IF(COUNTIFS('AFA Rates'!$A$5:$A$1004,$A622,'AFA Rates'!$B$5:$B$1004,H$24)&gt;0,"✓",""))</f>
        <v/>
      </c>
      <c r="I622" s="57">
        <f>IF(OR($A622="",I$24=""),"",IF(COUNTIFS('AFA Rates'!$A$5:$A$1004,$A622,'AFA Rates'!$B$5:$B$1004,I$24)&gt;0,"✓",""))</f>
        <v/>
      </c>
      <c r="J622" s="57">
        <f>IF(OR($A622="",J$24=""),"",IF(COUNTIFS('AFA Rates'!$A$5:$A$1004,$A622,'AFA Rates'!$B$5:$B$1004,J$24)&gt;0,"✓",""))</f>
        <v/>
      </c>
      <c r="K622" s="57">
        <f>IF(OR($A622="",K$24=""),"",IF(COUNTIFS('AFA Rates'!$A$5:$A$1004,$A622,'AFA Rates'!$B$5:$B$1004,K$24)&gt;0,"✓",""))</f>
        <v/>
      </c>
      <c r="L622" s="57">
        <f>IF(OR($A622="",L$24=""),"",IF(COUNTIFS('AFA Rates'!$A$5:$A$1004,$A622,'AFA Rates'!$B$5:$B$1004,L$24)&gt;0,"✓",""))</f>
        <v/>
      </c>
      <c r="M622" s="57">
        <f>IF(OR($A622="",M$24=""),"",IF(COUNTIFS('AFA Rates'!$A$5:$A$1004,$A622,'AFA Rates'!$B$5:$B$1004,M$24)&gt;0,"✓",""))</f>
        <v/>
      </c>
    </row>
    <row r="623">
      <c r="A623" s="63">
        <f>IFERROR(INDEX(Firms!$A$5:$A$1004,MATCH(599,Firms!$S$5:$S$1004,0)),"")</f>
        <v/>
      </c>
      <c r="B623" s="57">
        <f>IF($A623="","",INDEX(Firms!$B$5:$B$1004,MATCH(599,Firms!$S$5:$S$1004,0)))</f>
        <v/>
      </c>
      <c r="C623" s="57">
        <f>IF($A623="","",COUNTIF('AFA Rates'!$A$5:$A$1004,$A623))</f>
        <v/>
      </c>
      <c r="D623" s="57">
        <f>IF(OR($A623="",D$24=""),"",IF(COUNTIFS('AFA Rates'!$A$5:$A$1004,$A623,'AFA Rates'!$B$5:$B$1004,D$24)&gt;0,"✓",""))</f>
        <v/>
      </c>
      <c r="E623" s="57">
        <f>IF(OR($A623="",E$24=""),"",IF(COUNTIFS('AFA Rates'!$A$5:$A$1004,$A623,'AFA Rates'!$B$5:$B$1004,E$24)&gt;0,"✓",""))</f>
        <v/>
      </c>
      <c r="F623" s="57">
        <f>IF(OR($A623="",F$24=""),"",IF(COUNTIFS('AFA Rates'!$A$5:$A$1004,$A623,'AFA Rates'!$B$5:$B$1004,F$24)&gt;0,"✓",""))</f>
        <v/>
      </c>
      <c r="G623" s="57">
        <f>IF(OR($A623="",G$24=""),"",IF(COUNTIFS('AFA Rates'!$A$5:$A$1004,$A623,'AFA Rates'!$B$5:$B$1004,G$24)&gt;0,"✓",""))</f>
        <v/>
      </c>
      <c r="H623" s="57">
        <f>IF(OR($A623="",H$24=""),"",IF(COUNTIFS('AFA Rates'!$A$5:$A$1004,$A623,'AFA Rates'!$B$5:$B$1004,H$24)&gt;0,"✓",""))</f>
        <v/>
      </c>
      <c r="I623" s="57">
        <f>IF(OR($A623="",I$24=""),"",IF(COUNTIFS('AFA Rates'!$A$5:$A$1004,$A623,'AFA Rates'!$B$5:$B$1004,I$24)&gt;0,"✓",""))</f>
        <v/>
      </c>
      <c r="J623" s="57">
        <f>IF(OR($A623="",J$24=""),"",IF(COUNTIFS('AFA Rates'!$A$5:$A$1004,$A623,'AFA Rates'!$B$5:$B$1004,J$24)&gt;0,"✓",""))</f>
        <v/>
      </c>
      <c r="K623" s="57">
        <f>IF(OR($A623="",K$24=""),"",IF(COUNTIFS('AFA Rates'!$A$5:$A$1004,$A623,'AFA Rates'!$B$5:$B$1004,K$24)&gt;0,"✓",""))</f>
        <v/>
      </c>
      <c r="L623" s="57">
        <f>IF(OR($A623="",L$24=""),"",IF(COUNTIFS('AFA Rates'!$A$5:$A$1004,$A623,'AFA Rates'!$B$5:$B$1004,L$24)&gt;0,"✓",""))</f>
        <v/>
      </c>
      <c r="M623" s="57">
        <f>IF(OR($A623="",M$24=""),"",IF(COUNTIFS('AFA Rates'!$A$5:$A$1004,$A623,'AFA Rates'!$B$5:$B$1004,M$24)&gt;0,"✓",""))</f>
        <v/>
      </c>
    </row>
    <row r="624">
      <c r="A624" s="63">
        <f>IFERROR(INDEX(Firms!$A$5:$A$1004,MATCH(600,Firms!$S$5:$S$1004,0)),"")</f>
        <v/>
      </c>
      <c r="B624" s="57">
        <f>IF($A624="","",INDEX(Firms!$B$5:$B$1004,MATCH(600,Firms!$S$5:$S$1004,0)))</f>
        <v/>
      </c>
      <c r="C624" s="57">
        <f>IF($A624="","",COUNTIF('AFA Rates'!$A$5:$A$1004,$A624))</f>
        <v/>
      </c>
      <c r="D624" s="57">
        <f>IF(OR($A624="",D$24=""),"",IF(COUNTIFS('AFA Rates'!$A$5:$A$1004,$A624,'AFA Rates'!$B$5:$B$1004,D$24)&gt;0,"✓",""))</f>
        <v/>
      </c>
      <c r="E624" s="57">
        <f>IF(OR($A624="",E$24=""),"",IF(COUNTIFS('AFA Rates'!$A$5:$A$1004,$A624,'AFA Rates'!$B$5:$B$1004,E$24)&gt;0,"✓",""))</f>
        <v/>
      </c>
      <c r="F624" s="57">
        <f>IF(OR($A624="",F$24=""),"",IF(COUNTIFS('AFA Rates'!$A$5:$A$1004,$A624,'AFA Rates'!$B$5:$B$1004,F$24)&gt;0,"✓",""))</f>
        <v/>
      </c>
      <c r="G624" s="57">
        <f>IF(OR($A624="",G$24=""),"",IF(COUNTIFS('AFA Rates'!$A$5:$A$1004,$A624,'AFA Rates'!$B$5:$B$1004,G$24)&gt;0,"✓",""))</f>
        <v/>
      </c>
      <c r="H624" s="57">
        <f>IF(OR($A624="",H$24=""),"",IF(COUNTIFS('AFA Rates'!$A$5:$A$1004,$A624,'AFA Rates'!$B$5:$B$1004,H$24)&gt;0,"✓",""))</f>
        <v/>
      </c>
      <c r="I624" s="57">
        <f>IF(OR($A624="",I$24=""),"",IF(COUNTIFS('AFA Rates'!$A$5:$A$1004,$A624,'AFA Rates'!$B$5:$B$1004,I$24)&gt;0,"✓",""))</f>
        <v/>
      </c>
      <c r="J624" s="57">
        <f>IF(OR($A624="",J$24=""),"",IF(COUNTIFS('AFA Rates'!$A$5:$A$1004,$A624,'AFA Rates'!$B$5:$B$1004,J$24)&gt;0,"✓",""))</f>
        <v/>
      </c>
      <c r="K624" s="57">
        <f>IF(OR($A624="",K$24=""),"",IF(COUNTIFS('AFA Rates'!$A$5:$A$1004,$A624,'AFA Rates'!$B$5:$B$1004,K$24)&gt;0,"✓",""))</f>
        <v/>
      </c>
      <c r="L624" s="57">
        <f>IF(OR($A624="",L$24=""),"",IF(COUNTIFS('AFA Rates'!$A$5:$A$1004,$A624,'AFA Rates'!$B$5:$B$1004,L$24)&gt;0,"✓",""))</f>
        <v/>
      </c>
      <c r="M624" s="57">
        <f>IF(OR($A624="",M$24=""),"",IF(COUNTIFS('AFA Rates'!$A$5:$A$1004,$A624,'AFA Rates'!$B$5:$B$1004,M$24)&gt;0,"✓",""))</f>
        <v/>
      </c>
    </row>
    <row r="625">
      <c r="A625" s="63">
        <f>IFERROR(INDEX(Firms!$A$5:$A$1004,MATCH(601,Firms!$S$5:$S$1004,0)),"")</f>
        <v/>
      </c>
      <c r="B625" s="57">
        <f>IF($A625="","",INDEX(Firms!$B$5:$B$1004,MATCH(601,Firms!$S$5:$S$1004,0)))</f>
        <v/>
      </c>
      <c r="C625" s="57">
        <f>IF($A625="","",COUNTIF('AFA Rates'!$A$5:$A$1004,$A625))</f>
        <v/>
      </c>
      <c r="D625" s="57">
        <f>IF(OR($A625="",D$24=""),"",IF(COUNTIFS('AFA Rates'!$A$5:$A$1004,$A625,'AFA Rates'!$B$5:$B$1004,D$24)&gt;0,"✓",""))</f>
        <v/>
      </c>
      <c r="E625" s="57">
        <f>IF(OR($A625="",E$24=""),"",IF(COUNTIFS('AFA Rates'!$A$5:$A$1004,$A625,'AFA Rates'!$B$5:$B$1004,E$24)&gt;0,"✓",""))</f>
        <v/>
      </c>
      <c r="F625" s="57">
        <f>IF(OR($A625="",F$24=""),"",IF(COUNTIFS('AFA Rates'!$A$5:$A$1004,$A625,'AFA Rates'!$B$5:$B$1004,F$24)&gt;0,"✓",""))</f>
        <v/>
      </c>
      <c r="G625" s="57">
        <f>IF(OR($A625="",G$24=""),"",IF(COUNTIFS('AFA Rates'!$A$5:$A$1004,$A625,'AFA Rates'!$B$5:$B$1004,G$24)&gt;0,"✓",""))</f>
        <v/>
      </c>
      <c r="H625" s="57">
        <f>IF(OR($A625="",H$24=""),"",IF(COUNTIFS('AFA Rates'!$A$5:$A$1004,$A625,'AFA Rates'!$B$5:$B$1004,H$24)&gt;0,"✓",""))</f>
        <v/>
      </c>
      <c r="I625" s="57">
        <f>IF(OR($A625="",I$24=""),"",IF(COUNTIFS('AFA Rates'!$A$5:$A$1004,$A625,'AFA Rates'!$B$5:$B$1004,I$24)&gt;0,"✓",""))</f>
        <v/>
      </c>
      <c r="J625" s="57">
        <f>IF(OR($A625="",J$24=""),"",IF(COUNTIFS('AFA Rates'!$A$5:$A$1004,$A625,'AFA Rates'!$B$5:$B$1004,J$24)&gt;0,"✓",""))</f>
        <v/>
      </c>
      <c r="K625" s="57">
        <f>IF(OR($A625="",K$24=""),"",IF(COUNTIFS('AFA Rates'!$A$5:$A$1004,$A625,'AFA Rates'!$B$5:$B$1004,K$24)&gt;0,"✓",""))</f>
        <v/>
      </c>
      <c r="L625" s="57">
        <f>IF(OR($A625="",L$24=""),"",IF(COUNTIFS('AFA Rates'!$A$5:$A$1004,$A625,'AFA Rates'!$B$5:$B$1004,L$24)&gt;0,"✓",""))</f>
        <v/>
      </c>
      <c r="M625" s="57">
        <f>IF(OR($A625="",M$24=""),"",IF(COUNTIFS('AFA Rates'!$A$5:$A$1004,$A625,'AFA Rates'!$B$5:$B$1004,M$24)&gt;0,"✓",""))</f>
        <v/>
      </c>
    </row>
    <row r="626">
      <c r="A626" s="63">
        <f>IFERROR(INDEX(Firms!$A$5:$A$1004,MATCH(602,Firms!$S$5:$S$1004,0)),"")</f>
        <v/>
      </c>
      <c r="B626" s="57">
        <f>IF($A626="","",INDEX(Firms!$B$5:$B$1004,MATCH(602,Firms!$S$5:$S$1004,0)))</f>
        <v/>
      </c>
      <c r="C626" s="57">
        <f>IF($A626="","",COUNTIF('AFA Rates'!$A$5:$A$1004,$A626))</f>
        <v/>
      </c>
      <c r="D626" s="57">
        <f>IF(OR($A626="",D$24=""),"",IF(COUNTIFS('AFA Rates'!$A$5:$A$1004,$A626,'AFA Rates'!$B$5:$B$1004,D$24)&gt;0,"✓",""))</f>
        <v/>
      </c>
      <c r="E626" s="57">
        <f>IF(OR($A626="",E$24=""),"",IF(COUNTIFS('AFA Rates'!$A$5:$A$1004,$A626,'AFA Rates'!$B$5:$B$1004,E$24)&gt;0,"✓",""))</f>
        <v/>
      </c>
      <c r="F626" s="57">
        <f>IF(OR($A626="",F$24=""),"",IF(COUNTIFS('AFA Rates'!$A$5:$A$1004,$A626,'AFA Rates'!$B$5:$B$1004,F$24)&gt;0,"✓",""))</f>
        <v/>
      </c>
      <c r="G626" s="57">
        <f>IF(OR($A626="",G$24=""),"",IF(COUNTIFS('AFA Rates'!$A$5:$A$1004,$A626,'AFA Rates'!$B$5:$B$1004,G$24)&gt;0,"✓",""))</f>
        <v/>
      </c>
      <c r="H626" s="57">
        <f>IF(OR($A626="",H$24=""),"",IF(COUNTIFS('AFA Rates'!$A$5:$A$1004,$A626,'AFA Rates'!$B$5:$B$1004,H$24)&gt;0,"✓",""))</f>
        <v/>
      </c>
      <c r="I626" s="57">
        <f>IF(OR($A626="",I$24=""),"",IF(COUNTIFS('AFA Rates'!$A$5:$A$1004,$A626,'AFA Rates'!$B$5:$B$1004,I$24)&gt;0,"✓",""))</f>
        <v/>
      </c>
      <c r="J626" s="57">
        <f>IF(OR($A626="",J$24=""),"",IF(COUNTIFS('AFA Rates'!$A$5:$A$1004,$A626,'AFA Rates'!$B$5:$B$1004,J$24)&gt;0,"✓",""))</f>
        <v/>
      </c>
      <c r="K626" s="57">
        <f>IF(OR($A626="",K$24=""),"",IF(COUNTIFS('AFA Rates'!$A$5:$A$1004,$A626,'AFA Rates'!$B$5:$B$1004,K$24)&gt;0,"✓",""))</f>
        <v/>
      </c>
      <c r="L626" s="57">
        <f>IF(OR($A626="",L$24=""),"",IF(COUNTIFS('AFA Rates'!$A$5:$A$1004,$A626,'AFA Rates'!$B$5:$B$1004,L$24)&gt;0,"✓",""))</f>
        <v/>
      </c>
      <c r="M626" s="57">
        <f>IF(OR($A626="",M$24=""),"",IF(COUNTIFS('AFA Rates'!$A$5:$A$1004,$A626,'AFA Rates'!$B$5:$B$1004,M$24)&gt;0,"✓",""))</f>
        <v/>
      </c>
    </row>
    <row r="627">
      <c r="A627" s="63">
        <f>IFERROR(INDEX(Firms!$A$5:$A$1004,MATCH(603,Firms!$S$5:$S$1004,0)),"")</f>
        <v/>
      </c>
      <c r="B627" s="57">
        <f>IF($A627="","",INDEX(Firms!$B$5:$B$1004,MATCH(603,Firms!$S$5:$S$1004,0)))</f>
        <v/>
      </c>
      <c r="C627" s="57">
        <f>IF($A627="","",COUNTIF('AFA Rates'!$A$5:$A$1004,$A627))</f>
        <v/>
      </c>
      <c r="D627" s="57">
        <f>IF(OR($A627="",D$24=""),"",IF(COUNTIFS('AFA Rates'!$A$5:$A$1004,$A627,'AFA Rates'!$B$5:$B$1004,D$24)&gt;0,"✓",""))</f>
        <v/>
      </c>
      <c r="E627" s="57">
        <f>IF(OR($A627="",E$24=""),"",IF(COUNTIFS('AFA Rates'!$A$5:$A$1004,$A627,'AFA Rates'!$B$5:$B$1004,E$24)&gt;0,"✓",""))</f>
        <v/>
      </c>
      <c r="F627" s="57">
        <f>IF(OR($A627="",F$24=""),"",IF(COUNTIFS('AFA Rates'!$A$5:$A$1004,$A627,'AFA Rates'!$B$5:$B$1004,F$24)&gt;0,"✓",""))</f>
        <v/>
      </c>
      <c r="G627" s="57">
        <f>IF(OR($A627="",G$24=""),"",IF(COUNTIFS('AFA Rates'!$A$5:$A$1004,$A627,'AFA Rates'!$B$5:$B$1004,G$24)&gt;0,"✓",""))</f>
        <v/>
      </c>
      <c r="H627" s="57">
        <f>IF(OR($A627="",H$24=""),"",IF(COUNTIFS('AFA Rates'!$A$5:$A$1004,$A627,'AFA Rates'!$B$5:$B$1004,H$24)&gt;0,"✓",""))</f>
        <v/>
      </c>
      <c r="I627" s="57">
        <f>IF(OR($A627="",I$24=""),"",IF(COUNTIFS('AFA Rates'!$A$5:$A$1004,$A627,'AFA Rates'!$B$5:$B$1004,I$24)&gt;0,"✓",""))</f>
        <v/>
      </c>
      <c r="J627" s="57">
        <f>IF(OR($A627="",J$24=""),"",IF(COUNTIFS('AFA Rates'!$A$5:$A$1004,$A627,'AFA Rates'!$B$5:$B$1004,J$24)&gt;0,"✓",""))</f>
        <v/>
      </c>
      <c r="K627" s="57">
        <f>IF(OR($A627="",K$24=""),"",IF(COUNTIFS('AFA Rates'!$A$5:$A$1004,$A627,'AFA Rates'!$B$5:$B$1004,K$24)&gt;0,"✓",""))</f>
        <v/>
      </c>
      <c r="L627" s="57">
        <f>IF(OR($A627="",L$24=""),"",IF(COUNTIFS('AFA Rates'!$A$5:$A$1004,$A627,'AFA Rates'!$B$5:$B$1004,L$24)&gt;0,"✓",""))</f>
        <v/>
      </c>
      <c r="M627" s="57">
        <f>IF(OR($A627="",M$24=""),"",IF(COUNTIFS('AFA Rates'!$A$5:$A$1004,$A627,'AFA Rates'!$B$5:$B$1004,M$24)&gt;0,"✓",""))</f>
        <v/>
      </c>
    </row>
    <row r="628">
      <c r="A628" s="63">
        <f>IFERROR(INDEX(Firms!$A$5:$A$1004,MATCH(604,Firms!$S$5:$S$1004,0)),"")</f>
        <v/>
      </c>
      <c r="B628" s="57">
        <f>IF($A628="","",INDEX(Firms!$B$5:$B$1004,MATCH(604,Firms!$S$5:$S$1004,0)))</f>
        <v/>
      </c>
      <c r="C628" s="57">
        <f>IF($A628="","",COUNTIF('AFA Rates'!$A$5:$A$1004,$A628))</f>
        <v/>
      </c>
      <c r="D628" s="57">
        <f>IF(OR($A628="",D$24=""),"",IF(COUNTIFS('AFA Rates'!$A$5:$A$1004,$A628,'AFA Rates'!$B$5:$B$1004,D$24)&gt;0,"✓",""))</f>
        <v/>
      </c>
      <c r="E628" s="57">
        <f>IF(OR($A628="",E$24=""),"",IF(COUNTIFS('AFA Rates'!$A$5:$A$1004,$A628,'AFA Rates'!$B$5:$B$1004,E$24)&gt;0,"✓",""))</f>
        <v/>
      </c>
      <c r="F628" s="57">
        <f>IF(OR($A628="",F$24=""),"",IF(COUNTIFS('AFA Rates'!$A$5:$A$1004,$A628,'AFA Rates'!$B$5:$B$1004,F$24)&gt;0,"✓",""))</f>
        <v/>
      </c>
      <c r="G628" s="57">
        <f>IF(OR($A628="",G$24=""),"",IF(COUNTIFS('AFA Rates'!$A$5:$A$1004,$A628,'AFA Rates'!$B$5:$B$1004,G$24)&gt;0,"✓",""))</f>
        <v/>
      </c>
      <c r="H628" s="57">
        <f>IF(OR($A628="",H$24=""),"",IF(COUNTIFS('AFA Rates'!$A$5:$A$1004,$A628,'AFA Rates'!$B$5:$B$1004,H$24)&gt;0,"✓",""))</f>
        <v/>
      </c>
      <c r="I628" s="57">
        <f>IF(OR($A628="",I$24=""),"",IF(COUNTIFS('AFA Rates'!$A$5:$A$1004,$A628,'AFA Rates'!$B$5:$B$1004,I$24)&gt;0,"✓",""))</f>
        <v/>
      </c>
      <c r="J628" s="57">
        <f>IF(OR($A628="",J$24=""),"",IF(COUNTIFS('AFA Rates'!$A$5:$A$1004,$A628,'AFA Rates'!$B$5:$B$1004,J$24)&gt;0,"✓",""))</f>
        <v/>
      </c>
      <c r="K628" s="57">
        <f>IF(OR($A628="",K$24=""),"",IF(COUNTIFS('AFA Rates'!$A$5:$A$1004,$A628,'AFA Rates'!$B$5:$B$1004,K$24)&gt;0,"✓",""))</f>
        <v/>
      </c>
      <c r="L628" s="57">
        <f>IF(OR($A628="",L$24=""),"",IF(COUNTIFS('AFA Rates'!$A$5:$A$1004,$A628,'AFA Rates'!$B$5:$B$1004,L$24)&gt;0,"✓",""))</f>
        <v/>
      </c>
      <c r="M628" s="57">
        <f>IF(OR($A628="",M$24=""),"",IF(COUNTIFS('AFA Rates'!$A$5:$A$1004,$A628,'AFA Rates'!$B$5:$B$1004,M$24)&gt;0,"✓",""))</f>
        <v/>
      </c>
    </row>
    <row r="629">
      <c r="A629" s="63">
        <f>IFERROR(INDEX(Firms!$A$5:$A$1004,MATCH(605,Firms!$S$5:$S$1004,0)),"")</f>
        <v/>
      </c>
      <c r="B629" s="57">
        <f>IF($A629="","",INDEX(Firms!$B$5:$B$1004,MATCH(605,Firms!$S$5:$S$1004,0)))</f>
        <v/>
      </c>
      <c r="C629" s="57">
        <f>IF($A629="","",COUNTIF('AFA Rates'!$A$5:$A$1004,$A629))</f>
        <v/>
      </c>
      <c r="D629" s="57">
        <f>IF(OR($A629="",D$24=""),"",IF(COUNTIFS('AFA Rates'!$A$5:$A$1004,$A629,'AFA Rates'!$B$5:$B$1004,D$24)&gt;0,"✓",""))</f>
        <v/>
      </c>
      <c r="E629" s="57">
        <f>IF(OR($A629="",E$24=""),"",IF(COUNTIFS('AFA Rates'!$A$5:$A$1004,$A629,'AFA Rates'!$B$5:$B$1004,E$24)&gt;0,"✓",""))</f>
        <v/>
      </c>
      <c r="F629" s="57">
        <f>IF(OR($A629="",F$24=""),"",IF(COUNTIFS('AFA Rates'!$A$5:$A$1004,$A629,'AFA Rates'!$B$5:$B$1004,F$24)&gt;0,"✓",""))</f>
        <v/>
      </c>
      <c r="G629" s="57">
        <f>IF(OR($A629="",G$24=""),"",IF(COUNTIFS('AFA Rates'!$A$5:$A$1004,$A629,'AFA Rates'!$B$5:$B$1004,G$24)&gt;0,"✓",""))</f>
        <v/>
      </c>
      <c r="H629" s="57">
        <f>IF(OR($A629="",H$24=""),"",IF(COUNTIFS('AFA Rates'!$A$5:$A$1004,$A629,'AFA Rates'!$B$5:$B$1004,H$24)&gt;0,"✓",""))</f>
        <v/>
      </c>
      <c r="I629" s="57">
        <f>IF(OR($A629="",I$24=""),"",IF(COUNTIFS('AFA Rates'!$A$5:$A$1004,$A629,'AFA Rates'!$B$5:$B$1004,I$24)&gt;0,"✓",""))</f>
        <v/>
      </c>
      <c r="J629" s="57">
        <f>IF(OR($A629="",J$24=""),"",IF(COUNTIFS('AFA Rates'!$A$5:$A$1004,$A629,'AFA Rates'!$B$5:$B$1004,J$24)&gt;0,"✓",""))</f>
        <v/>
      </c>
      <c r="K629" s="57">
        <f>IF(OR($A629="",K$24=""),"",IF(COUNTIFS('AFA Rates'!$A$5:$A$1004,$A629,'AFA Rates'!$B$5:$B$1004,K$24)&gt;0,"✓",""))</f>
        <v/>
      </c>
      <c r="L629" s="57">
        <f>IF(OR($A629="",L$24=""),"",IF(COUNTIFS('AFA Rates'!$A$5:$A$1004,$A629,'AFA Rates'!$B$5:$B$1004,L$24)&gt;0,"✓",""))</f>
        <v/>
      </c>
      <c r="M629" s="57">
        <f>IF(OR($A629="",M$24=""),"",IF(COUNTIFS('AFA Rates'!$A$5:$A$1004,$A629,'AFA Rates'!$B$5:$B$1004,M$24)&gt;0,"✓",""))</f>
        <v/>
      </c>
    </row>
    <row r="630">
      <c r="A630" s="63">
        <f>IFERROR(INDEX(Firms!$A$5:$A$1004,MATCH(606,Firms!$S$5:$S$1004,0)),"")</f>
        <v/>
      </c>
      <c r="B630" s="57">
        <f>IF($A630="","",INDEX(Firms!$B$5:$B$1004,MATCH(606,Firms!$S$5:$S$1004,0)))</f>
        <v/>
      </c>
      <c r="C630" s="57">
        <f>IF($A630="","",COUNTIF('AFA Rates'!$A$5:$A$1004,$A630))</f>
        <v/>
      </c>
      <c r="D630" s="57">
        <f>IF(OR($A630="",D$24=""),"",IF(COUNTIFS('AFA Rates'!$A$5:$A$1004,$A630,'AFA Rates'!$B$5:$B$1004,D$24)&gt;0,"✓",""))</f>
        <v/>
      </c>
      <c r="E630" s="57">
        <f>IF(OR($A630="",E$24=""),"",IF(COUNTIFS('AFA Rates'!$A$5:$A$1004,$A630,'AFA Rates'!$B$5:$B$1004,E$24)&gt;0,"✓",""))</f>
        <v/>
      </c>
      <c r="F630" s="57">
        <f>IF(OR($A630="",F$24=""),"",IF(COUNTIFS('AFA Rates'!$A$5:$A$1004,$A630,'AFA Rates'!$B$5:$B$1004,F$24)&gt;0,"✓",""))</f>
        <v/>
      </c>
      <c r="G630" s="57">
        <f>IF(OR($A630="",G$24=""),"",IF(COUNTIFS('AFA Rates'!$A$5:$A$1004,$A630,'AFA Rates'!$B$5:$B$1004,G$24)&gt;0,"✓",""))</f>
        <v/>
      </c>
      <c r="H630" s="57">
        <f>IF(OR($A630="",H$24=""),"",IF(COUNTIFS('AFA Rates'!$A$5:$A$1004,$A630,'AFA Rates'!$B$5:$B$1004,H$24)&gt;0,"✓",""))</f>
        <v/>
      </c>
      <c r="I630" s="57">
        <f>IF(OR($A630="",I$24=""),"",IF(COUNTIFS('AFA Rates'!$A$5:$A$1004,$A630,'AFA Rates'!$B$5:$B$1004,I$24)&gt;0,"✓",""))</f>
        <v/>
      </c>
      <c r="J630" s="57">
        <f>IF(OR($A630="",J$24=""),"",IF(COUNTIFS('AFA Rates'!$A$5:$A$1004,$A630,'AFA Rates'!$B$5:$B$1004,J$24)&gt;0,"✓",""))</f>
        <v/>
      </c>
      <c r="K630" s="57">
        <f>IF(OR($A630="",K$24=""),"",IF(COUNTIFS('AFA Rates'!$A$5:$A$1004,$A630,'AFA Rates'!$B$5:$B$1004,K$24)&gt;0,"✓",""))</f>
        <v/>
      </c>
      <c r="L630" s="57">
        <f>IF(OR($A630="",L$24=""),"",IF(COUNTIFS('AFA Rates'!$A$5:$A$1004,$A630,'AFA Rates'!$B$5:$B$1004,L$24)&gt;0,"✓",""))</f>
        <v/>
      </c>
      <c r="M630" s="57">
        <f>IF(OR($A630="",M$24=""),"",IF(COUNTIFS('AFA Rates'!$A$5:$A$1004,$A630,'AFA Rates'!$B$5:$B$1004,M$24)&gt;0,"✓",""))</f>
        <v/>
      </c>
    </row>
    <row r="631">
      <c r="A631" s="63">
        <f>IFERROR(INDEX(Firms!$A$5:$A$1004,MATCH(607,Firms!$S$5:$S$1004,0)),"")</f>
        <v/>
      </c>
      <c r="B631" s="57">
        <f>IF($A631="","",INDEX(Firms!$B$5:$B$1004,MATCH(607,Firms!$S$5:$S$1004,0)))</f>
        <v/>
      </c>
      <c r="C631" s="57">
        <f>IF($A631="","",COUNTIF('AFA Rates'!$A$5:$A$1004,$A631))</f>
        <v/>
      </c>
      <c r="D631" s="57">
        <f>IF(OR($A631="",D$24=""),"",IF(COUNTIFS('AFA Rates'!$A$5:$A$1004,$A631,'AFA Rates'!$B$5:$B$1004,D$24)&gt;0,"✓",""))</f>
        <v/>
      </c>
      <c r="E631" s="57">
        <f>IF(OR($A631="",E$24=""),"",IF(COUNTIFS('AFA Rates'!$A$5:$A$1004,$A631,'AFA Rates'!$B$5:$B$1004,E$24)&gt;0,"✓",""))</f>
        <v/>
      </c>
      <c r="F631" s="57">
        <f>IF(OR($A631="",F$24=""),"",IF(COUNTIFS('AFA Rates'!$A$5:$A$1004,$A631,'AFA Rates'!$B$5:$B$1004,F$24)&gt;0,"✓",""))</f>
        <v/>
      </c>
      <c r="G631" s="57">
        <f>IF(OR($A631="",G$24=""),"",IF(COUNTIFS('AFA Rates'!$A$5:$A$1004,$A631,'AFA Rates'!$B$5:$B$1004,G$24)&gt;0,"✓",""))</f>
        <v/>
      </c>
      <c r="H631" s="57">
        <f>IF(OR($A631="",H$24=""),"",IF(COUNTIFS('AFA Rates'!$A$5:$A$1004,$A631,'AFA Rates'!$B$5:$B$1004,H$24)&gt;0,"✓",""))</f>
        <v/>
      </c>
      <c r="I631" s="57">
        <f>IF(OR($A631="",I$24=""),"",IF(COUNTIFS('AFA Rates'!$A$5:$A$1004,$A631,'AFA Rates'!$B$5:$B$1004,I$24)&gt;0,"✓",""))</f>
        <v/>
      </c>
      <c r="J631" s="57">
        <f>IF(OR($A631="",J$24=""),"",IF(COUNTIFS('AFA Rates'!$A$5:$A$1004,$A631,'AFA Rates'!$B$5:$B$1004,J$24)&gt;0,"✓",""))</f>
        <v/>
      </c>
      <c r="K631" s="57">
        <f>IF(OR($A631="",K$24=""),"",IF(COUNTIFS('AFA Rates'!$A$5:$A$1004,$A631,'AFA Rates'!$B$5:$B$1004,K$24)&gt;0,"✓",""))</f>
        <v/>
      </c>
      <c r="L631" s="57">
        <f>IF(OR($A631="",L$24=""),"",IF(COUNTIFS('AFA Rates'!$A$5:$A$1004,$A631,'AFA Rates'!$B$5:$B$1004,L$24)&gt;0,"✓",""))</f>
        <v/>
      </c>
      <c r="M631" s="57">
        <f>IF(OR($A631="",M$24=""),"",IF(COUNTIFS('AFA Rates'!$A$5:$A$1004,$A631,'AFA Rates'!$B$5:$B$1004,M$24)&gt;0,"✓",""))</f>
        <v/>
      </c>
    </row>
    <row r="632">
      <c r="A632" s="63">
        <f>IFERROR(INDEX(Firms!$A$5:$A$1004,MATCH(608,Firms!$S$5:$S$1004,0)),"")</f>
        <v/>
      </c>
      <c r="B632" s="57">
        <f>IF($A632="","",INDEX(Firms!$B$5:$B$1004,MATCH(608,Firms!$S$5:$S$1004,0)))</f>
        <v/>
      </c>
      <c r="C632" s="57">
        <f>IF($A632="","",COUNTIF('AFA Rates'!$A$5:$A$1004,$A632))</f>
        <v/>
      </c>
      <c r="D632" s="57">
        <f>IF(OR($A632="",D$24=""),"",IF(COUNTIFS('AFA Rates'!$A$5:$A$1004,$A632,'AFA Rates'!$B$5:$B$1004,D$24)&gt;0,"✓",""))</f>
        <v/>
      </c>
      <c r="E632" s="57">
        <f>IF(OR($A632="",E$24=""),"",IF(COUNTIFS('AFA Rates'!$A$5:$A$1004,$A632,'AFA Rates'!$B$5:$B$1004,E$24)&gt;0,"✓",""))</f>
        <v/>
      </c>
      <c r="F632" s="57">
        <f>IF(OR($A632="",F$24=""),"",IF(COUNTIFS('AFA Rates'!$A$5:$A$1004,$A632,'AFA Rates'!$B$5:$B$1004,F$24)&gt;0,"✓",""))</f>
        <v/>
      </c>
      <c r="G632" s="57">
        <f>IF(OR($A632="",G$24=""),"",IF(COUNTIFS('AFA Rates'!$A$5:$A$1004,$A632,'AFA Rates'!$B$5:$B$1004,G$24)&gt;0,"✓",""))</f>
        <v/>
      </c>
      <c r="H632" s="57">
        <f>IF(OR($A632="",H$24=""),"",IF(COUNTIFS('AFA Rates'!$A$5:$A$1004,$A632,'AFA Rates'!$B$5:$B$1004,H$24)&gt;0,"✓",""))</f>
        <v/>
      </c>
      <c r="I632" s="57">
        <f>IF(OR($A632="",I$24=""),"",IF(COUNTIFS('AFA Rates'!$A$5:$A$1004,$A632,'AFA Rates'!$B$5:$B$1004,I$24)&gt;0,"✓",""))</f>
        <v/>
      </c>
      <c r="J632" s="57">
        <f>IF(OR($A632="",J$24=""),"",IF(COUNTIFS('AFA Rates'!$A$5:$A$1004,$A632,'AFA Rates'!$B$5:$B$1004,J$24)&gt;0,"✓",""))</f>
        <v/>
      </c>
      <c r="K632" s="57">
        <f>IF(OR($A632="",K$24=""),"",IF(COUNTIFS('AFA Rates'!$A$5:$A$1004,$A632,'AFA Rates'!$B$5:$B$1004,K$24)&gt;0,"✓",""))</f>
        <v/>
      </c>
      <c r="L632" s="57">
        <f>IF(OR($A632="",L$24=""),"",IF(COUNTIFS('AFA Rates'!$A$5:$A$1004,$A632,'AFA Rates'!$B$5:$B$1004,L$24)&gt;0,"✓",""))</f>
        <v/>
      </c>
      <c r="M632" s="57">
        <f>IF(OR($A632="",M$24=""),"",IF(COUNTIFS('AFA Rates'!$A$5:$A$1004,$A632,'AFA Rates'!$B$5:$B$1004,M$24)&gt;0,"✓",""))</f>
        <v/>
      </c>
    </row>
    <row r="633">
      <c r="A633" s="63">
        <f>IFERROR(INDEX(Firms!$A$5:$A$1004,MATCH(609,Firms!$S$5:$S$1004,0)),"")</f>
        <v/>
      </c>
      <c r="B633" s="57">
        <f>IF($A633="","",INDEX(Firms!$B$5:$B$1004,MATCH(609,Firms!$S$5:$S$1004,0)))</f>
        <v/>
      </c>
      <c r="C633" s="57">
        <f>IF($A633="","",COUNTIF('AFA Rates'!$A$5:$A$1004,$A633))</f>
        <v/>
      </c>
      <c r="D633" s="57">
        <f>IF(OR($A633="",D$24=""),"",IF(COUNTIFS('AFA Rates'!$A$5:$A$1004,$A633,'AFA Rates'!$B$5:$B$1004,D$24)&gt;0,"✓",""))</f>
        <v/>
      </c>
      <c r="E633" s="57">
        <f>IF(OR($A633="",E$24=""),"",IF(COUNTIFS('AFA Rates'!$A$5:$A$1004,$A633,'AFA Rates'!$B$5:$B$1004,E$24)&gt;0,"✓",""))</f>
        <v/>
      </c>
      <c r="F633" s="57">
        <f>IF(OR($A633="",F$24=""),"",IF(COUNTIFS('AFA Rates'!$A$5:$A$1004,$A633,'AFA Rates'!$B$5:$B$1004,F$24)&gt;0,"✓",""))</f>
        <v/>
      </c>
      <c r="G633" s="57">
        <f>IF(OR($A633="",G$24=""),"",IF(COUNTIFS('AFA Rates'!$A$5:$A$1004,$A633,'AFA Rates'!$B$5:$B$1004,G$24)&gt;0,"✓",""))</f>
        <v/>
      </c>
      <c r="H633" s="57">
        <f>IF(OR($A633="",H$24=""),"",IF(COUNTIFS('AFA Rates'!$A$5:$A$1004,$A633,'AFA Rates'!$B$5:$B$1004,H$24)&gt;0,"✓",""))</f>
        <v/>
      </c>
      <c r="I633" s="57">
        <f>IF(OR($A633="",I$24=""),"",IF(COUNTIFS('AFA Rates'!$A$5:$A$1004,$A633,'AFA Rates'!$B$5:$B$1004,I$24)&gt;0,"✓",""))</f>
        <v/>
      </c>
      <c r="J633" s="57">
        <f>IF(OR($A633="",J$24=""),"",IF(COUNTIFS('AFA Rates'!$A$5:$A$1004,$A633,'AFA Rates'!$B$5:$B$1004,J$24)&gt;0,"✓",""))</f>
        <v/>
      </c>
      <c r="K633" s="57">
        <f>IF(OR($A633="",K$24=""),"",IF(COUNTIFS('AFA Rates'!$A$5:$A$1004,$A633,'AFA Rates'!$B$5:$B$1004,K$24)&gt;0,"✓",""))</f>
        <v/>
      </c>
      <c r="L633" s="57">
        <f>IF(OR($A633="",L$24=""),"",IF(COUNTIFS('AFA Rates'!$A$5:$A$1004,$A633,'AFA Rates'!$B$5:$B$1004,L$24)&gt;0,"✓",""))</f>
        <v/>
      </c>
      <c r="M633" s="57">
        <f>IF(OR($A633="",M$24=""),"",IF(COUNTIFS('AFA Rates'!$A$5:$A$1004,$A633,'AFA Rates'!$B$5:$B$1004,M$24)&gt;0,"✓",""))</f>
        <v/>
      </c>
    </row>
    <row r="634">
      <c r="A634" s="63">
        <f>IFERROR(INDEX(Firms!$A$5:$A$1004,MATCH(610,Firms!$S$5:$S$1004,0)),"")</f>
        <v/>
      </c>
      <c r="B634" s="57">
        <f>IF($A634="","",INDEX(Firms!$B$5:$B$1004,MATCH(610,Firms!$S$5:$S$1004,0)))</f>
        <v/>
      </c>
      <c r="C634" s="57">
        <f>IF($A634="","",COUNTIF('AFA Rates'!$A$5:$A$1004,$A634))</f>
        <v/>
      </c>
      <c r="D634" s="57">
        <f>IF(OR($A634="",D$24=""),"",IF(COUNTIFS('AFA Rates'!$A$5:$A$1004,$A634,'AFA Rates'!$B$5:$B$1004,D$24)&gt;0,"✓",""))</f>
        <v/>
      </c>
      <c r="E634" s="57">
        <f>IF(OR($A634="",E$24=""),"",IF(COUNTIFS('AFA Rates'!$A$5:$A$1004,$A634,'AFA Rates'!$B$5:$B$1004,E$24)&gt;0,"✓",""))</f>
        <v/>
      </c>
      <c r="F634" s="57">
        <f>IF(OR($A634="",F$24=""),"",IF(COUNTIFS('AFA Rates'!$A$5:$A$1004,$A634,'AFA Rates'!$B$5:$B$1004,F$24)&gt;0,"✓",""))</f>
        <v/>
      </c>
      <c r="G634" s="57">
        <f>IF(OR($A634="",G$24=""),"",IF(COUNTIFS('AFA Rates'!$A$5:$A$1004,$A634,'AFA Rates'!$B$5:$B$1004,G$24)&gt;0,"✓",""))</f>
        <v/>
      </c>
      <c r="H634" s="57">
        <f>IF(OR($A634="",H$24=""),"",IF(COUNTIFS('AFA Rates'!$A$5:$A$1004,$A634,'AFA Rates'!$B$5:$B$1004,H$24)&gt;0,"✓",""))</f>
        <v/>
      </c>
      <c r="I634" s="57">
        <f>IF(OR($A634="",I$24=""),"",IF(COUNTIFS('AFA Rates'!$A$5:$A$1004,$A634,'AFA Rates'!$B$5:$B$1004,I$24)&gt;0,"✓",""))</f>
        <v/>
      </c>
      <c r="J634" s="57">
        <f>IF(OR($A634="",J$24=""),"",IF(COUNTIFS('AFA Rates'!$A$5:$A$1004,$A634,'AFA Rates'!$B$5:$B$1004,J$24)&gt;0,"✓",""))</f>
        <v/>
      </c>
      <c r="K634" s="57">
        <f>IF(OR($A634="",K$24=""),"",IF(COUNTIFS('AFA Rates'!$A$5:$A$1004,$A634,'AFA Rates'!$B$5:$B$1004,K$24)&gt;0,"✓",""))</f>
        <v/>
      </c>
      <c r="L634" s="57">
        <f>IF(OR($A634="",L$24=""),"",IF(COUNTIFS('AFA Rates'!$A$5:$A$1004,$A634,'AFA Rates'!$B$5:$B$1004,L$24)&gt;0,"✓",""))</f>
        <v/>
      </c>
      <c r="M634" s="57">
        <f>IF(OR($A634="",M$24=""),"",IF(COUNTIFS('AFA Rates'!$A$5:$A$1004,$A634,'AFA Rates'!$B$5:$B$1004,M$24)&gt;0,"✓",""))</f>
        <v/>
      </c>
    </row>
    <row r="635">
      <c r="A635" s="63">
        <f>IFERROR(INDEX(Firms!$A$5:$A$1004,MATCH(611,Firms!$S$5:$S$1004,0)),"")</f>
        <v/>
      </c>
      <c r="B635" s="57">
        <f>IF($A635="","",INDEX(Firms!$B$5:$B$1004,MATCH(611,Firms!$S$5:$S$1004,0)))</f>
        <v/>
      </c>
      <c r="C635" s="57">
        <f>IF($A635="","",COUNTIF('AFA Rates'!$A$5:$A$1004,$A635))</f>
        <v/>
      </c>
      <c r="D635" s="57">
        <f>IF(OR($A635="",D$24=""),"",IF(COUNTIFS('AFA Rates'!$A$5:$A$1004,$A635,'AFA Rates'!$B$5:$B$1004,D$24)&gt;0,"✓",""))</f>
        <v/>
      </c>
      <c r="E635" s="57">
        <f>IF(OR($A635="",E$24=""),"",IF(COUNTIFS('AFA Rates'!$A$5:$A$1004,$A635,'AFA Rates'!$B$5:$B$1004,E$24)&gt;0,"✓",""))</f>
        <v/>
      </c>
      <c r="F635" s="57">
        <f>IF(OR($A635="",F$24=""),"",IF(COUNTIFS('AFA Rates'!$A$5:$A$1004,$A635,'AFA Rates'!$B$5:$B$1004,F$24)&gt;0,"✓",""))</f>
        <v/>
      </c>
      <c r="G635" s="57">
        <f>IF(OR($A635="",G$24=""),"",IF(COUNTIFS('AFA Rates'!$A$5:$A$1004,$A635,'AFA Rates'!$B$5:$B$1004,G$24)&gt;0,"✓",""))</f>
        <v/>
      </c>
      <c r="H635" s="57">
        <f>IF(OR($A635="",H$24=""),"",IF(COUNTIFS('AFA Rates'!$A$5:$A$1004,$A635,'AFA Rates'!$B$5:$B$1004,H$24)&gt;0,"✓",""))</f>
        <v/>
      </c>
      <c r="I635" s="57">
        <f>IF(OR($A635="",I$24=""),"",IF(COUNTIFS('AFA Rates'!$A$5:$A$1004,$A635,'AFA Rates'!$B$5:$B$1004,I$24)&gt;0,"✓",""))</f>
        <v/>
      </c>
      <c r="J635" s="57">
        <f>IF(OR($A635="",J$24=""),"",IF(COUNTIFS('AFA Rates'!$A$5:$A$1004,$A635,'AFA Rates'!$B$5:$B$1004,J$24)&gt;0,"✓",""))</f>
        <v/>
      </c>
      <c r="K635" s="57">
        <f>IF(OR($A635="",K$24=""),"",IF(COUNTIFS('AFA Rates'!$A$5:$A$1004,$A635,'AFA Rates'!$B$5:$B$1004,K$24)&gt;0,"✓",""))</f>
        <v/>
      </c>
      <c r="L635" s="57">
        <f>IF(OR($A635="",L$24=""),"",IF(COUNTIFS('AFA Rates'!$A$5:$A$1004,$A635,'AFA Rates'!$B$5:$B$1004,L$24)&gt;0,"✓",""))</f>
        <v/>
      </c>
      <c r="M635" s="57">
        <f>IF(OR($A635="",M$24=""),"",IF(COUNTIFS('AFA Rates'!$A$5:$A$1004,$A635,'AFA Rates'!$B$5:$B$1004,M$24)&gt;0,"✓",""))</f>
        <v/>
      </c>
    </row>
    <row r="636">
      <c r="A636" s="63">
        <f>IFERROR(INDEX(Firms!$A$5:$A$1004,MATCH(612,Firms!$S$5:$S$1004,0)),"")</f>
        <v/>
      </c>
      <c r="B636" s="57">
        <f>IF($A636="","",INDEX(Firms!$B$5:$B$1004,MATCH(612,Firms!$S$5:$S$1004,0)))</f>
        <v/>
      </c>
      <c r="C636" s="57">
        <f>IF($A636="","",COUNTIF('AFA Rates'!$A$5:$A$1004,$A636))</f>
        <v/>
      </c>
      <c r="D636" s="57">
        <f>IF(OR($A636="",D$24=""),"",IF(COUNTIFS('AFA Rates'!$A$5:$A$1004,$A636,'AFA Rates'!$B$5:$B$1004,D$24)&gt;0,"✓",""))</f>
        <v/>
      </c>
      <c r="E636" s="57">
        <f>IF(OR($A636="",E$24=""),"",IF(COUNTIFS('AFA Rates'!$A$5:$A$1004,$A636,'AFA Rates'!$B$5:$B$1004,E$24)&gt;0,"✓",""))</f>
        <v/>
      </c>
      <c r="F636" s="57">
        <f>IF(OR($A636="",F$24=""),"",IF(COUNTIFS('AFA Rates'!$A$5:$A$1004,$A636,'AFA Rates'!$B$5:$B$1004,F$24)&gt;0,"✓",""))</f>
        <v/>
      </c>
      <c r="G636" s="57">
        <f>IF(OR($A636="",G$24=""),"",IF(COUNTIFS('AFA Rates'!$A$5:$A$1004,$A636,'AFA Rates'!$B$5:$B$1004,G$24)&gt;0,"✓",""))</f>
        <v/>
      </c>
      <c r="H636" s="57">
        <f>IF(OR($A636="",H$24=""),"",IF(COUNTIFS('AFA Rates'!$A$5:$A$1004,$A636,'AFA Rates'!$B$5:$B$1004,H$24)&gt;0,"✓",""))</f>
        <v/>
      </c>
      <c r="I636" s="57">
        <f>IF(OR($A636="",I$24=""),"",IF(COUNTIFS('AFA Rates'!$A$5:$A$1004,$A636,'AFA Rates'!$B$5:$B$1004,I$24)&gt;0,"✓",""))</f>
        <v/>
      </c>
      <c r="J636" s="57">
        <f>IF(OR($A636="",J$24=""),"",IF(COUNTIFS('AFA Rates'!$A$5:$A$1004,$A636,'AFA Rates'!$B$5:$B$1004,J$24)&gt;0,"✓",""))</f>
        <v/>
      </c>
      <c r="K636" s="57">
        <f>IF(OR($A636="",K$24=""),"",IF(COUNTIFS('AFA Rates'!$A$5:$A$1004,$A636,'AFA Rates'!$B$5:$B$1004,K$24)&gt;0,"✓",""))</f>
        <v/>
      </c>
      <c r="L636" s="57">
        <f>IF(OR($A636="",L$24=""),"",IF(COUNTIFS('AFA Rates'!$A$5:$A$1004,$A636,'AFA Rates'!$B$5:$B$1004,L$24)&gt;0,"✓",""))</f>
        <v/>
      </c>
      <c r="M636" s="57">
        <f>IF(OR($A636="",M$24=""),"",IF(COUNTIFS('AFA Rates'!$A$5:$A$1004,$A636,'AFA Rates'!$B$5:$B$1004,M$24)&gt;0,"✓",""))</f>
        <v/>
      </c>
    </row>
    <row r="637">
      <c r="A637" s="63">
        <f>IFERROR(INDEX(Firms!$A$5:$A$1004,MATCH(613,Firms!$S$5:$S$1004,0)),"")</f>
        <v/>
      </c>
      <c r="B637" s="57">
        <f>IF($A637="","",INDEX(Firms!$B$5:$B$1004,MATCH(613,Firms!$S$5:$S$1004,0)))</f>
        <v/>
      </c>
      <c r="C637" s="57">
        <f>IF($A637="","",COUNTIF('AFA Rates'!$A$5:$A$1004,$A637))</f>
        <v/>
      </c>
      <c r="D637" s="57">
        <f>IF(OR($A637="",D$24=""),"",IF(COUNTIFS('AFA Rates'!$A$5:$A$1004,$A637,'AFA Rates'!$B$5:$B$1004,D$24)&gt;0,"✓",""))</f>
        <v/>
      </c>
      <c r="E637" s="57">
        <f>IF(OR($A637="",E$24=""),"",IF(COUNTIFS('AFA Rates'!$A$5:$A$1004,$A637,'AFA Rates'!$B$5:$B$1004,E$24)&gt;0,"✓",""))</f>
        <v/>
      </c>
      <c r="F637" s="57">
        <f>IF(OR($A637="",F$24=""),"",IF(COUNTIFS('AFA Rates'!$A$5:$A$1004,$A637,'AFA Rates'!$B$5:$B$1004,F$24)&gt;0,"✓",""))</f>
        <v/>
      </c>
      <c r="G637" s="57">
        <f>IF(OR($A637="",G$24=""),"",IF(COUNTIFS('AFA Rates'!$A$5:$A$1004,$A637,'AFA Rates'!$B$5:$B$1004,G$24)&gt;0,"✓",""))</f>
        <v/>
      </c>
      <c r="H637" s="57">
        <f>IF(OR($A637="",H$24=""),"",IF(COUNTIFS('AFA Rates'!$A$5:$A$1004,$A637,'AFA Rates'!$B$5:$B$1004,H$24)&gt;0,"✓",""))</f>
        <v/>
      </c>
      <c r="I637" s="57">
        <f>IF(OR($A637="",I$24=""),"",IF(COUNTIFS('AFA Rates'!$A$5:$A$1004,$A637,'AFA Rates'!$B$5:$B$1004,I$24)&gt;0,"✓",""))</f>
        <v/>
      </c>
      <c r="J637" s="57">
        <f>IF(OR($A637="",J$24=""),"",IF(COUNTIFS('AFA Rates'!$A$5:$A$1004,$A637,'AFA Rates'!$B$5:$B$1004,J$24)&gt;0,"✓",""))</f>
        <v/>
      </c>
      <c r="K637" s="57">
        <f>IF(OR($A637="",K$24=""),"",IF(COUNTIFS('AFA Rates'!$A$5:$A$1004,$A637,'AFA Rates'!$B$5:$B$1004,K$24)&gt;0,"✓",""))</f>
        <v/>
      </c>
      <c r="L637" s="57">
        <f>IF(OR($A637="",L$24=""),"",IF(COUNTIFS('AFA Rates'!$A$5:$A$1004,$A637,'AFA Rates'!$B$5:$B$1004,L$24)&gt;0,"✓",""))</f>
        <v/>
      </c>
      <c r="M637" s="57">
        <f>IF(OR($A637="",M$24=""),"",IF(COUNTIFS('AFA Rates'!$A$5:$A$1004,$A637,'AFA Rates'!$B$5:$B$1004,M$24)&gt;0,"✓",""))</f>
        <v/>
      </c>
    </row>
    <row r="638">
      <c r="A638" s="63">
        <f>IFERROR(INDEX(Firms!$A$5:$A$1004,MATCH(614,Firms!$S$5:$S$1004,0)),"")</f>
        <v/>
      </c>
      <c r="B638" s="57">
        <f>IF($A638="","",INDEX(Firms!$B$5:$B$1004,MATCH(614,Firms!$S$5:$S$1004,0)))</f>
        <v/>
      </c>
      <c r="C638" s="57">
        <f>IF($A638="","",COUNTIF('AFA Rates'!$A$5:$A$1004,$A638))</f>
        <v/>
      </c>
      <c r="D638" s="57">
        <f>IF(OR($A638="",D$24=""),"",IF(COUNTIFS('AFA Rates'!$A$5:$A$1004,$A638,'AFA Rates'!$B$5:$B$1004,D$24)&gt;0,"✓",""))</f>
        <v/>
      </c>
      <c r="E638" s="57">
        <f>IF(OR($A638="",E$24=""),"",IF(COUNTIFS('AFA Rates'!$A$5:$A$1004,$A638,'AFA Rates'!$B$5:$B$1004,E$24)&gt;0,"✓",""))</f>
        <v/>
      </c>
      <c r="F638" s="57">
        <f>IF(OR($A638="",F$24=""),"",IF(COUNTIFS('AFA Rates'!$A$5:$A$1004,$A638,'AFA Rates'!$B$5:$B$1004,F$24)&gt;0,"✓",""))</f>
        <v/>
      </c>
      <c r="G638" s="57">
        <f>IF(OR($A638="",G$24=""),"",IF(COUNTIFS('AFA Rates'!$A$5:$A$1004,$A638,'AFA Rates'!$B$5:$B$1004,G$24)&gt;0,"✓",""))</f>
        <v/>
      </c>
      <c r="H638" s="57">
        <f>IF(OR($A638="",H$24=""),"",IF(COUNTIFS('AFA Rates'!$A$5:$A$1004,$A638,'AFA Rates'!$B$5:$B$1004,H$24)&gt;0,"✓",""))</f>
        <v/>
      </c>
      <c r="I638" s="57">
        <f>IF(OR($A638="",I$24=""),"",IF(COUNTIFS('AFA Rates'!$A$5:$A$1004,$A638,'AFA Rates'!$B$5:$B$1004,I$24)&gt;0,"✓",""))</f>
        <v/>
      </c>
      <c r="J638" s="57">
        <f>IF(OR($A638="",J$24=""),"",IF(COUNTIFS('AFA Rates'!$A$5:$A$1004,$A638,'AFA Rates'!$B$5:$B$1004,J$24)&gt;0,"✓",""))</f>
        <v/>
      </c>
      <c r="K638" s="57">
        <f>IF(OR($A638="",K$24=""),"",IF(COUNTIFS('AFA Rates'!$A$5:$A$1004,$A638,'AFA Rates'!$B$5:$B$1004,K$24)&gt;0,"✓",""))</f>
        <v/>
      </c>
      <c r="L638" s="57">
        <f>IF(OR($A638="",L$24=""),"",IF(COUNTIFS('AFA Rates'!$A$5:$A$1004,$A638,'AFA Rates'!$B$5:$B$1004,L$24)&gt;0,"✓",""))</f>
        <v/>
      </c>
      <c r="M638" s="57">
        <f>IF(OR($A638="",M$24=""),"",IF(COUNTIFS('AFA Rates'!$A$5:$A$1004,$A638,'AFA Rates'!$B$5:$B$1004,M$24)&gt;0,"✓",""))</f>
        <v/>
      </c>
    </row>
    <row r="639">
      <c r="A639" s="63">
        <f>IFERROR(INDEX(Firms!$A$5:$A$1004,MATCH(615,Firms!$S$5:$S$1004,0)),"")</f>
        <v/>
      </c>
      <c r="B639" s="57">
        <f>IF($A639="","",INDEX(Firms!$B$5:$B$1004,MATCH(615,Firms!$S$5:$S$1004,0)))</f>
        <v/>
      </c>
      <c r="C639" s="57">
        <f>IF($A639="","",COUNTIF('AFA Rates'!$A$5:$A$1004,$A639))</f>
        <v/>
      </c>
      <c r="D639" s="57">
        <f>IF(OR($A639="",D$24=""),"",IF(COUNTIFS('AFA Rates'!$A$5:$A$1004,$A639,'AFA Rates'!$B$5:$B$1004,D$24)&gt;0,"✓",""))</f>
        <v/>
      </c>
      <c r="E639" s="57">
        <f>IF(OR($A639="",E$24=""),"",IF(COUNTIFS('AFA Rates'!$A$5:$A$1004,$A639,'AFA Rates'!$B$5:$B$1004,E$24)&gt;0,"✓",""))</f>
        <v/>
      </c>
      <c r="F639" s="57">
        <f>IF(OR($A639="",F$24=""),"",IF(COUNTIFS('AFA Rates'!$A$5:$A$1004,$A639,'AFA Rates'!$B$5:$B$1004,F$24)&gt;0,"✓",""))</f>
        <v/>
      </c>
      <c r="G639" s="57">
        <f>IF(OR($A639="",G$24=""),"",IF(COUNTIFS('AFA Rates'!$A$5:$A$1004,$A639,'AFA Rates'!$B$5:$B$1004,G$24)&gt;0,"✓",""))</f>
        <v/>
      </c>
      <c r="H639" s="57">
        <f>IF(OR($A639="",H$24=""),"",IF(COUNTIFS('AFA Rates'!$A$5:$A$1004,$A639,'AFA Rates'!$B$5:$B$1004,H$24)&gt;0,"✓",""))</f>
        <v/>
      </c>
      <c r="I639" s="57">
        <f>IF(OR($A639="",I$24=""),"",IF(COUNTIFS('AFA Rates'!$A$5:$A$1004,$A639,'AFA Rates'!$B$5:$B$1004,I$24)&gt;0,"✓",""))</f>
        <v/>
      </c>
      <c r="J639" s="57">
        <f>IF(OR($A639="",J$24=""),"",IF(COUNTIFS('AFA Rates'!$A$5:$A$1004,$A639,'AFA Rates'!$B$5:$B$1004,J$24)&gt;0,"✓",""))</f>
        <v/>
      </c>
      <c r="K639" s="57">
        <f>IF(OR($A639="",K$24=""),"",IF(COUNTIFS('AFA Rates'!$A$5:$A$1004,$A639,'AFA Rates'!$B$5:$B$1004,K$24)&gt;0,"✓",""))</f>
        <v/>
      </c>
      <c r="L639" s="57">
        <f>IF(OR($A639="",L$24=""),"",IF(COUNTIFS('AFA Rates'!$A$5:$A$1004,$A639,'AFA Rates'!$B$5:$B$1004,L$24)&gt;0,"✓",""))</f>
        <v/>
      </c>
      <c r="M639" s="57">
        <f>IF(OR($A639="",M$24=""),"",IF(COUNTIFS('AFA Rates'!$A$5:$A$1004,$A639,'AFA Rates'!$B$5:$B$1004,M$24)&gt;0,"✓",""))</f>
        <v/>
      </c>
    </row>
    <row r="640">
      <c r="A640" s="63">
        <f>IFERROR(INDEX(Firms!$A$5:$A$1004,MATCH(616,Firms!$S$5:$S$1004,0)),"")</f>
        <v/>
      </c>
      <c r="B640" s="57">
        <f>IF($A640="","",INDEX(Firms!$B$5:$B$1004,MATCH(616,Firms!$S$5:$S$1004,0)))</f>
        <v/>
      </c>
      <c r="C640" s="57">
        <f>IF($A640="","",COUNTIF('AFA Rates'!$A$5:$A$1004,$A640))</f>
        <v/>
      </c>
      <c r="D640" s="57">
        <f>IF(OR($A640="",D$24=""),"",IF(COUNTIFS('AFA Rates'!$A$5:$A$1004,$A640,'AFA Rates'!$B$5:$B$1004,D$24)&gt;0,"✓",""))</f>
        <v/>
      </c>
      <c r="E640" s="57">
        <f>IF(OR($A640="",E$24=""),"",IF(COUNTIFS('AFA Rates'!$A$5:$A$1004,$A640,'AFA Rates'!$B$5:$B$1004,E$24)&gt;0,"✓",""))</f>
        <v/>
      </c>
      <c r="F640" s="57">
        <f>IF(OR($A640="",F$24=""),"",IF(COUNTIFS('AFA Rates'!$A$5:$A$1004,$A640,'AFA Rates'!$B$5:$B$1004,F$24)&gt;0,"✓",""))</f>
        <v/>
      </c>
      <c r="G640" s="57">
        <f>IF(OR($A640="",G$24=""),"",IF(COUNTIFS('AFA Rates'!$A$5:$A$1004,$A640,'AFA Rates'!$B$5:$B$1004,G$24)&gt;0,"✓",""))</f>
        <v/>
      </c>
      <c r="H640" s="57">
        <f>IF(OR($A640="",H$24=""),"",IF(COUNTIFS('AFA Rates'!$A$5:$A$1004,$A640,'AFA Rates'!$B$5:$B$1004,H$24)&gt;0,"✓",""))</f>
        <v/>
      </c>
      <c r="I640" s="57">
        <f>IF(OR($A640="",I$24=""),"",IF(COUNTIFS('AFA Rates'!$A$5:$A$1004,$A640,'AFA Rates'!$B$5:$B$1004,I$24)&gt;0,"✓",""))</f>
        <v/>
      </c>
      <c r="J640" s="57">
        <f>IF(OR($A640="",J$24=""),"",IF(COUNTIFS('AFA Rates'!$A$5:$A$1004,$A640,'AFA Rates'!$B$5:$B$1004,J$24)&gt;0,"✓",""))</f>
        <v/>
      </c>
      <c r="K640" s="57">
        <f>IF(OR($A640="",K$24=""),"",IF(COUNTIFS('AFA Rates'!$A$5:$A$1004,$A640,'AFA Rates'!$B$5:$B$1004,K$24)&gt;0,"✓",""))</f>
        <v/>
      </c>
      <c r="L640" s="57">
        <f>IF(OR($A640="",L$24=""),"",IF(COUNTIFS('AFA Rates'!$A$5:$A$1004,$A640,'AFA Rates'!$B$5:$B$1004,L$24)&gt;0,"✓",""))</f>
        <v/>
      </c>
      <c r="M640" s="57">
        <f>IF(OR($A640="",M$24=""),"",IF(COUNTIFS('AFA Rates'!$A$5:$A$1004,$A640,'AFA Rates'!$B$5:$B$1004,M$24)&gt;0,"✓",""))</f>
        <v/>
      </c>
    </row>
    <row r="641">
      <c r="A641" s="63">
        <f>IFERROR(INDEX(Firms!$A$5:$A$1004,MATCH(617,Firms!$S$5:$S$1004,0)),"")</f>
        <v/>
      </c>
      <c r="B641" s="57">
        <f>IF($A641="","",INDEX(Firms!$B$5:$B$1004,MATCH(617,Firms!$S$5:$S$1004,0)))</f>
        <v/>
      </c>
      <c r="C641" s="57">
        <f>IF($A641="","",COUNTIF('AFA Rates'!$A$5:$A$1004,$A641))</f>
        <v/>
      </c>
      <c r="D641" s="57">
        <f>IF(OR($A641="",D$24=""),"",IF(COUNTIFS('AFA Rates'!$A$5:$A$1004,$A641,'AFA Rates'!$B$5:$B$1004,D$24)&gt;0,"✓",""))</f>
        <v/>
      </c>
      <c r="E641" s="57">
        <f>IF(OR($A641="",E$24=""),"",IF(COUNTIFS('AFA Rates'!$A$5:$A$1004,$A641,'AFA Rates'!$B$5:$B$1004,E$24)&gt;0,"✓",""))</f>
        <v/>
      </c>
      <c r="F641" s="57">
        <f>IF(OR($A641="",F$24=""),"",IF(COUNTIFS('AFA Rates'!$A$5:$A$1004,$A641,'AFA Rates'!$B$5:$B$1004,F$24)&gt;0,"✓",""))</f>
        <v/>
      </c>
      <c r="G641" s="57">
        <f>IF(OR($A641="",G$24=""),"",IF(COUNTIFS('AFA Rates'!$A$5:$A$1004,$A641,'AFA Rates'!$B$5:$B$1004,G$24)&gt;0,"✓",""))</f>
        <v/>
      </c>
      <c r="H641" s="57">
        <f>IF(OR($A641="",H$24=""),"",IF(COUNTIFS('AFA Rates'!$A$5:$A$1004,$A641,'AFA Rates'!$B$5:$B$1004,H$24)&gt;0,"✓",""))</f>
        <v/>
      </c>
      <c r="I641" s="57">
        <f>IF(OR($A641="",I$24=""),"",IF(COUNTIFS('AFA Rates'!$A$5:$A$1004,$A641,'AFA Rates'!$B$5:$B$1004,I$24)&gt;0,"✓",""))</f>
        <v/>
      </c>
      <c r="J641" s="57">
        <f>IF(OR($A641="",J$24=""),"",IF(COUNTIFS('AFA Rates'!$A$5:$A$1004,$A641,'AFA Rates'!$B$5:$B$1004,J$24)&gt;0,"✓",""))</f>
        <v/>
      </c>
      <c r="K641" s="57">
        <f>IF(OR($A641="",K$24=""),"",IF(COUNTIFS('AFA Rates'!$A$5:$A$1004,$A641,'AFA Rates'!$B$5:$B$1004,K$24)&gt;0,"✓",""))</f>
        <v/>
      </c>
      <c r="L641" s="57">
        <f>IF(OR($A641="",L$24=""),"",IF(COUNTIFS('AFA Rates'!$A$5:$A$1004,$A641,'AFA Rates'!$B$5:$B$1004,L$24)&gt;0,"✓",""))</f>
        <v/>
      </c>
      <c r="M641" s="57">
        <f>IF(OR($A641="",M$24=""),"",IF(COUNTIFS('AFA Rates'!$A$5:$A$1004,$A641,'AFA Rates'!$B$5:$B$1004,M$24)&gt;0,"✓",""))</f>
        <v/>
      </c>
    </row>
    <row r="642">
      <c r="A642" s="63">
        <f>IFERROR(INDEX(Firms!$A$5:$A$1004,MATCH(618,Firms!$S$5:$S$1004,0)),"")</f>
        <v/>
      </c>
      <c r="B642" s="57">
        <f>IF($A642="","",INDEX(Firms!$B$5:$B$1004,MATCH(618,Firms!$S$5:$S$1004,0)))</f>
        <v/>
      </c>
      <c r="C642" s="57">
        <f>IF($A642="","",COUNTIF('AFA Rates'!$A$5:$A$1004,$A642))</f>
        <v/>
      </c>
      <c r="D642" s="57">
        <f>IF(OR($A642="",D$24=""),"",IF(COUNTIFS('AFA Rates'!$A$5:$A$1004,$A642,'AFA Rates'!$B$5:$B$1004,D$24)&gt;0,"✓",""))</f>
        <v/>
      </c>
      <c r="E642" s="57">
        <f>IF(OR($A642="",E$24=""),"",IF(COUNTIFS('AFA Rates'!$A$5:$A$1004,$A642,'AFA Rates'!$B$5:$B$1004,E$24)&gt;0,"✓",""))</f>
        <v/>
      </c>
      <c r="F642" s="57">
        <f>IF(OR($A642="",F$24=""),"",IF(COUNTIFS('AFA Rates'!$A$5:$A$1004,$A642,'AFA Rates'!$B$5:$B$1004,F$24)&gt;0,"✓",""))</f>
        <v/>
      </c>
      <c r="G642" s="57">
        <f>IF(OR($A642="",G$24=""),"",IF(COUNTIFS('AFA Rates'!$A$5:$A$1004,$A642,'AFA Rates'!$B$5:$B$1004,G$24)&gt;0,"✓",""))</f>
        <v/>
      </c>
      <c r="H642" s="57">
        <f>IF(OR($A642="",H$24=""),"",IF(COUNTIFS('AFA Rates'!$A$5:$A$1004,$A642,'AFA Rates'!$B$5:$B$1004,H$24)&gt;0,"✓",""))</f>
        <v/>
      </c>
      <c r="I642" s="57">
        <f>IF(OR($A642="",I$24=""),"",IF(COUNTIFS('AFA Rates'!$A$5:$A$1004,$A642,'AFA Rates'!$B$5:$B$1004,I$24)&gt;0,"✓",""))</f>
        <v/>
      </c>
      <c r="J642" s="57">
        <f>IF(OR($A642="",J$24=""),"",IF(COUNTIFS('AFA Rates'!$A$5:$A$1004,$A642,'AFA Rates'!$B$5:$B$1004,J$24)&gt;0,"✓",""))</f>
        <v/>
      </c>
      <c r="K642" s="57">
        <f>IF(OR($A642="",K$24=""),"",IF(COUNTIFS('AFA Rates'!$A$5:$A$1004,$A642,'AFA Rates'!$B$5:$B$1004,K$24)&gt;0,"✓",""))</f>
        <v/>
      </c>
      <c r="L642" s="57">
        <f>IF(OR($A642="",L$24=""),"",IF(COUNTIFS('AFA Rates'!$A$5:$A$1004,$A642,'AFA Rates'!$B$5:$B$1004,L$24)&gt;0,"✓",""))</f>
        <v/>
      </c>
      <c r="M642" s="57">
        <f>IF(OR($A642="",M$24=""),"",IF(COUNTIFS('AFA Rates'!$A$5:$A$1004,$A642,'AFA Rates'!$B$5:$B$1004,M$24)&gt;0,"✓",""))</f>
        <v/>
      </c>
    </row>
    <row r="643">
      <c r="A643" s="63">
        <f>IFERROR(INDEX(Firms!$A$5:$A$1004,MATCH(619,Firms!$S$5:$S$1004,0)),"")</f>
        <v/>
      </c>
      <c r="B643" s="57">
        <f>IF($A643="","",INDEX(Firms!$B$5:$B$1004,MATCH(619,Firms!$S$5:$S$1004,0)))</f>
        <v/>
      </c>
      <c r="C643" s="57">
        <f>IF($A643="","",COUNTIF('AFA Rates'!$A$5:$A$1004,$A643))</f>
        <v/>
      </c>
      <c r="D643" s="57">
        <f>IF(OR($A643="",D$24=""),"",IF(COUNTIFS('AFA Rates'!$A$5:$A$1004,$A643,'AFA Rates'!$B$5:$B$1004,D$24)&gt;0,"✓",""))</f>
        <v/>
      </c>
      <c r="E643" s="57">
        <f>IF(OR($A643="",E$24=""),"",IF(COUNTIFS('AFA Rates'!$A$5:$A$1004,$A643,'AFA Rates'!$B$5:$B$1004,E$24)&gt;0,"✓",""))</f>
        <v/>
      </c>
      <c r="F643" s="57">
        <f>IF(OR($A643="",F$24=""),"",IF(COUNTIFS('AFA Rates'!$A$5:$A$1004,$A643,'AFA Rates'!$B$5:$B$1004,F$24)&gt;0,"✓",""))</f>
        <v/>
      </c>
      <c r="G643" s="57">
        <f>IF(OR($A643="",G$24=""),"",IF(COUNTIFS('AFA Rates'!$A$5:$A$1004,$A643,'AFA Rates'!$B$5:$B$1004,G$24)&gt;0,"✓",""))</f>
        <v/>
      </c>
      <c r="H643" s="57">
        <f>IF(OR($A643="",H$24=""),"",IF(COUNTIFS('AFA Rates'!$A$5:$A$1004,$A643,'AFA Rates'!$B$5:$B$1004,H$24)&gt;0,"✓",""))</f>
        <v/>
      </c>
      <c r="I643" s="57">
        <f>IF(OR($A643="",I$24=""),"",IF(COUNTIFS('AFA Rates'!$A$5:$A$1004,$A643,'AFA Rates'!$B$5:$B$1004,I$24)&gt;0,"✓",""))</f>
        <v/>
      </c>
      <c r="J643" s="57">
        <f>IF(OR($A643="",J$24=""),"",IF(COUNTIFS('AFA Rates'!$A$5:$A$1004,$A643,'AFA Rates'!$B$5:$B$1004,J$24)&gt;0,"✓",""))</f>
        <v/>
      </c>
      <c r="K643" s="57">
        <f>IF(OR($A643="",K$24=""),"",IF(COUNTIFS('AFA Rates'!$A$5:$A$1004,$A643,'AFA Rates'!$B$5:$B$1004,K$24)&gt;0,"✓",""))</f>
        <v/>
      </c>
      <c r="L643" s="57">
        <f>IF(OR($A643="",L$24=""),"",IF(COUNTIFS('AFA Rates'!$A$5:$A$1004,$A643,'AFA Rates'!$B$5:$B$1004,L$24)&gt;0,"✓",""))</f>
        <v/>
      </c>
      <c r="M643" s="57">
        <f>IF(OR($A643="",M$24=""),"",IF(COUNTIFS('AFA Rates'!$A$5:$A$1004,$A643,'AFA Rates'!$B$5:$B$1004,M$24)&gt;0,"✓",""))</f>
        <v/>
      </c>
    </row>
    <row r="644">
      <c r="A644" s="63">
        <f>IFERROR(INDEX(Firms!$A$5:$A$1004,MATCH(620,Firms!$S$5:$S$1004,0)),"")</f>
        <v/>
      </c>
      <c r="B644" s="57">
        <f>IF($A644="","",INDEX(Firms!$B$5:$B$1004,MATCH(620,Firms!$S$5:$S$1004,0)))</f>
        <v/>
      </c>
      <c r="C644" s="57">
        <f>IF($A644="","",COUNTIF('AFA Rates'!$A$5:$A$1004,$A644))</f>
        <v/>
      </c>
      <c r="D644" s="57">
        <f>IF(OR($A644="",D$24=""),"",IF(COUNTIFS('AFA Rates'!$A$5:$A$1004,$A644,'AFA Rates'!$B$5:$B$1004,D$24)&gt;0,"✓",""))</f>
        <v/>
      </c>
      <c r="E644" s="57">
        <f>IF(OR($A644="",E$24=""),"",IF(COUNTIFS('AFA Rates'!$A$5:$A$1004,$A644,'AFA Rates'!$B$5:$B$1004,E$24)&gt;0,"✓",""))</f>
        <v/>
      </c>
      <c r="F644" s="57">
        <f>IF(OR($A644="",F$24=""),"",IF(COUNTIFS('AFA Rates'!$A$5:$A$1004,$A644,'AFA Rates'!$B$5:$B$1004,F$24)&gt;0,"✓",""))</f>
        <v/>
      </c>
      <c r="G644" s="57">
        <f>IF(OR($A644="",G$24=""),"",IF(COUNTIFS('AFA Rates'!$A$5:$A$1004,$A644,'AFA Rates'!$B$5:$B$1004,G$24)&gt;0,"✓",""))</f>
        <v/>
      </c>
      <c r="H644" s="57">
        <f>IF(OR($A644="",H$24=""),"",IF(COUNTIFS('AFA Rates'!$A$5:$A$1004,$A644,'AFA Rates'!$B$5:$B$1004,H$24)&gt;0,"✓",""))</f>
        <v/>
      </c>
      <c r="I644" s="57">
        <f>IF(OR($A644="",I$24=""),"",IF(COUNTIFS('AFA Rates'!$A$5:$A$1004,$A644,'AFA Rates'!$B$5:$B$1004,I$24)&gt;0,"✓",""))</f>
        <v/>
      </c>
      <c r="J644" s="57">
        <f>IF(OR($A644="",J$24=""),"",IF(COUNTIFS('AFA Rates'!$A$5:$A$1004,$A644,'AFA Rates'!$B$5:$B$1004,J$24)&gt;0,"✓",""))</f>
        <v/>
      </c>
      <c r="K644" s="57">
        <f>IF(OR($A644="",K$24=""),"",IF(COUNTIFS('AFA Rates'!$A$5:$A$1004,$A644,'AFA Rates'!$B$5:$B$1004,K$24)&gt;0,"✓",""))</f>
        <v/>
      </c>
      <c r="L644" s="57">
        <f>IF(OR($A644="",L$24=""),"",IF(COUNTIFS('AFA Rates'!$A$5:$A$1004,$A644,'AFA Rates'!$B$5:$B$1004,L$24)&gt;0,"✓",""))</f>
        <v/>
      </c>
      <c r="M644" s="57">
        <f>IF(OR($A644="",M$24=""),"",IF(COUNTIFS('AFA Rates'!$A$5:$A$1004,$A644,'AFA Rates'!$B$5:$B$1004,M$24)&gt;0,"✓",""))</f>
        <v/>
      </c>
    </row>
    <row r="645">
      <c r="A645" s="63">
        <f>IFERROR(INDEX(Firms!$A$5:$A$1004,MATCH(621,Firms!$S$5:$S$1004,0)),"")</f>
        <v/>
      </c>
      <c r="B645" s="57">
        <f>IF($A645="","",INDEX(Firms!$B$5:$B$1004,MATCH(621,Firms!$S$5:$S$1004,0)))</f>
        <v/>
      </c>
      <c r="C645" s="57">
        <f>IF($A645="","",COUNTIF('AFA Rates'!$A$5:$A$1004,$A645))</f>
        <v/>
      </c>
      <c r="D645" s="57">
        <f>IF(OR($A645="",D$24=""),"",IF(COUNTIFS('AFA Rates'!$A$5:$A$1004,$A645,'AFA Rates'!$B$5:$B$1004,D$24)&gt;0,"✓",""))</f>
        <v/>
      </c>
      <c r="E645" s="57">
        <f>IF(OR($A645="",E$24=""),"",IF(COUNTIFS('AFA Rates'!$A$5:$A$1004,$A645,'AFA Rates'!$B$5:$B$1004,E$24)&gt;0,"✓",""))</f>
        <v/>
      </c>
      <c r="F645" s="57">
        <f>IF(OR($A645="",F$24=""),"",IF(COUNTIFS('AFA Rates'!$A$5:$A$1004,$A645,'AFA Rates'!$B$5:$B$1004,F$24)&gt;0,"✓",""))</f>
        <v/>
      </c>
      <c r="G645" s="57">
        <f>IF(OR($A645="",G$24=""),"",IF(COUNTIFS('AFA Rates'!$A$5:$A$1004,$A645,'AFA Rates'!$B$5:$B$1004,G$24)&gt;0,"✓",""))</f>
        <v/>
      </c>
      <c r="H645" s="57">
        <f>IF(OR($A645="",H$24=""),"",IF(COUNTIFS('AFA Rates'!$A$5:$A$1004,$A645,'AFA Rates'!$B$5:$B$1004,H$24)&gt;0,"✓",""))</f>
        <v/>
      </c>
      <c r="I645" s="57">
        <f>IF(OR($A645="",I$24=""),"",IF(COUNTIFS('AFA Rates'!$A$5:$A$1004,$A645,'AFA Rates'!$B$5:$B$1004,I$24)&gt;0,"✓",""))</f>
        <v/>
      </c>
      <c r="J645" s="57">
        <f>IF(OR($A645="",J$24=""),"",IF(COUNTIFS('AFA Rates'!$A$5:$A$1004,$A645,'AFA Rates'!$B$5:$B$1004,J$24)&gt;0,"✓",""))</f>
        <v/>
      </c>
      <c r="K645" s="57">
        <f>IF(OR($A645="",K$24=""),"",IF(COUNTIFS('AFA Rates'!$A$5:$A$1004,$A645,'AFA Rates'!$B$5:$B$1004,K$24)&gt;0,"✓",""))</f>
        <v/>
      </c>
      <c r="L645" s="57">
        <f>IF(OR($A645="",L$24=""),"",IF(COUNTIFS('AFA Rates'!$A$5:$A$1004,$A645,'AFA Rates'!$B$5:$B$1004,L$24)&gt;0,"✓",""))</f>
        <v/>
      </c>
      <c r="M645" s="57">
        <f>IF(OR($A645="",M$24=""),"",IF(COUNTIFS('AFA Rates'!$A$5:$A$1004,$A645,'AFA Rates'!$B$5:$B$1004,M$24)&gt;0,"✓",""))</f>
        <v/>
      </c>
    </row>
    <row r="646">
      <c r="A646" s="63">
        <f>IFERROR(INDEX(Firms!$A$5:$A$1004,MATCH(622,Firms!$S$5:$S$1004,0)),"")</f>
        <v/>
      </c>
      <c r="B646" s="57">
        <f>IF($A646="","",INDEX(Firms!$B$5:$B$1004,MATCH(622,Firms!$S$5:$S$1004,0)))</f>
        <v/>
      </c>
      <c r="C646" s="57">
        <f>IF($A646="","",COUNTIF('AFA Rates'!$A$5:$A$1004,$A646))</f>
        <v/>
      </c>
      <c r="D646" s="57">
        <f>IF(OR($A646="",D$24=""),"",IF(COUNTIFS('AFA Rates'!$A$5:$A$1004,$A646,'AFA Rates'!$B$5:$B$1004,D$24)&gt;0,"✓",""))</f>
        <v/>
      </c>
      <c r="E646" s="57">
        <f>IF(OR($A646="",E$24=""),"",IF(COUNTIFS('AFA Rates'!$A$5:$A$1004,$A646,'AFA Rates'!$B$5:$B$1004,E$24)&gt;0,"✓",""))</f>
        <v/>
      </c>
      <c r="F646" s="57">
        <f>IF(OR($A646="",F$24=""),"",IF(COUNTIFS('AFA Rates'!$A$5:$A$1004,$A646,'AFA Rates'!$B$5:$B$1004,F$24)&gt;0,"✓",""))</f>
        <v/>
      </c>
      <c r="G646" s="57">
        <f>IF(OR($A646="",G$24=""),"",IF(COUNTIFS('AFA Rates'!$A$5:$A$1004,$A646,'AFA Rates'!$B$5:$B$1004,G$24)&gt;0,"✓",""))</f>
        <v/>
      </c>
      <c r="H646" s="57">
        <f>IF(OR($A646="",H$24=""),"",IF(COUNTIFS('AFA Rates'!$A$5:$A$1004,$A646,'AFA Rates'!$B$5:$B$1004,H$24)&gt;0,"✓",""))</f>
        <v/>
      </c>
      <c r="I646" s="57">
        <f>IF(OR($A646="",I$24=""),"",IF(COUNTIFS('AFA Rates'!$A$5:$A$1004,$A646,'AFA Rates'!$B$5:$B$1004,I$24)&gt;0,"✓",""))</f>
        <v/>
      </c>
      <c r="J646" s="57">
        <f>IF(OR($A646="",J$24=""),"",IF(COUNTIFS('AFA Rates'!$A$5:$A$1004,$A646,'AFA Rates'!$B$5:$B$1004,J$24)&gt;0,"✓",""))</f>
        <v/>
      </c>
      <c r="K646" s="57">
        <f>IF(OR($A646="",K$24=""),"",IF(COUNTIFS('AFA Rates'!$A$5:$A$1004,$A646,'AFA Rates'!$B$5:$B$1004,K$24)&gt;0,"✓",""))</f>
        <v/>
      </c>
      <c r="L646" s="57">
        <f>IF(OR($A646="",L$24=""),"",IF(COUNTIFS('AFA Rates'!$A$5:$A$1004,$A646,'AFA Rates'!$B$5:$B$1004,L$24)&gt;0,"✓",""))</f>
        <v/>
      </c>
      <c r="M646" s="57">
        <f>IF(OR($A646="",M$24=""),"",IF(COUNTIFS('AFA Rates'!$A$5:$A$1004,$A646,'AFA Rates'!$B$5:$B$1004,M$24)&gt;0,"✓",""))</f>
        <v/>
      </c>
    </row>
    <row r="647">
      <c r="A647" s="63">
        <f>IFERROR(INDEX(Firms!$A$5:$A$1004,MATCH(623,Firms!$S$5:$S$1004,0)),"")</f>
        <v/>
      </c>
      <c r="B647" s="57">
        <f>IF($A647="","",INDEX(Firms!$B$5:$B$1004,MATCH(623,Firms!$S$5:$S$1004,0)))</f>
        <v/>
      </c>
      <c r="C647" s="57">
        <f>IF($A647="","",COUNTIF('AFA Rates'!$A$5:$A$1004,$A647))</f>
        <v/>
      </c>
      <c r="D647" s="57">
        <f>IF(OR($A647="",D$24=""),"",IF(COUNTIFS('AFA Rates'!$A$5:$A$1004,$A647,'AFA Rates'!$B$5:$B$1004,D$24)&gt;0,"✓",""))</f>
        <v/>
      </c>
      <c r="E647" s="57">
        <f>IF(OR($A647="",E$24=""),"",IF(COUNTIFS('AFA Rates'!$A$5:$A$1004,$A647,'AFA Rates'!$B$5:$B$1004,E$24)&gt;0,"✓",""))</f>
        <v/>
      </c>
      <c r="F647" s="57">
        <f>IF(OR($A647="",F$24=""),"",IF(COUNTIFS('AFA Rates'!$A$5:$A$1004,$A647,'AFA Rates'!$B$5:$B$1004,F$24)&gt;0,"✓",""))</f>
        <v/>
      </c>
      <c r="G647" s="57">
        <f>IF(OR($A647="",G$24=""),"",IF(COUNTIFS('AFA Rates'!$A$5:$A$1004,$A647,'AFA Rates'!$B$5:$B$1004,G$24)&gt;0,"✓",""))</f>
        <v/>
      </c>
      <c r="H647" s="57">
        <f>IF(OR($A647="",H$24=""),"",IF(COUNTIFS('AFA Rates'!$A$5:$A$1004,$A647,'AFA Rates'!$B$5:$B$1004,H$24)&gt;0,"✓",""))</f>
        <v/>
      </c>
      <c r="I647" s="57">
        <f>IF(OR($A647="",I$24=""),"",IF(COUNTIFS('AFA Rates'!$A$5:$A$1004,$A647,'AFA Rates'!$B$5:$B$1004,I$24)&gt;0,"✓",""))</f>
        <v/>
      </c>
      <c r="J647" s="57">
        <f>IF(OR($A647="",J$24=""),"",IF(COUNTIFS('AFA Rates'!$A$5:$A$1004,$A647,'AFA Rates'!$B$5:$B$1004,J$24)&gt;0,"✓",""))</f>
        <v/>
      </c>
      <c r="K647" s="57">
        <f>IF(OR($A647="",K$24=""),"",IF(COUNTIFS('AFA Rates'!$A$5:$A$1004,$A647,'AFA Rates'!$B$5:$B$1004,K$24)&gt;0,"✓",""))</f>
        <v/>
      </c>
      <c r="L647" s="57">
        <f>IF(OR($A647="",L$24=""),"",IF(COUNTIFS('AFA Rates'!$A$5:$A$1004,$A647,'AFA Rates'!$B$5:$B$1004,L$24)&gt;0,"✓",""))</f>
        <v/>
      </c>
      <c r="M647" s="57">
        <f>IF(OR($A647="",M$24=""),"",IF(COUNTIFS('AFA Rates'!$A$5:$A$1004,$A647,'AFA Rates'!$B$5:$B$1004,M$24)&gt;0,"✓",""))</f>
        <v/>
      </c>
    </row>
    <row r="648">
      <c r="A648" s="63">
        <f>IFERROR(INDEX(Firms!$A$5:$A$1004,MATCH(624,Firms!$S$5:$S$1004,0)),"")</f>
        <v/>
      </c>
      <c r="B648" s="57">
        <f>IF($A648="","",INDEX(Firms!$B$5:$B$1004,MATCH(624,Firms!$S$5:$S$1004,0)))</f>
        <v/>
      </c>
      <c r="C648" s="57">
        <f>IF($A648="","",COUNTIF('AFA Rates'!$A$5:$A$1004,$A648))</f>
        <v/>
      </c>
      <c r="D648" s="57">
        <f>IF(OR($A648="",D$24=""),"",IF(COUNTIFS('AFA Rates'!$A$5:$A$1004,$A648,'AFA Rates'!$B$5:$B$1004,D$24)&gt;0,"✓",""))</f>
        <v/>
      </c>
      <c r="E648" s="57">
        <f>IF(OR($A648="",E$24=""),"",IF(COUNTIFS('AFA Rates'!$A$5:$A$1004,$A648,'AFA Rates'!$B$5:$B$1004,E$24)&gt;0,"✓",""))</f>
        <v/>
      </c>
      <c r="F648" s="57">
        <f>IF(OR($A648="",F$24=""),"",IF(COUNTIFS('AFA Rates'!$A$5:$A$1004,$A648,'AFA Rates'!$B$5:$B$1004,F$24)&gt;0,"✓",""))</f>
        <v/>
      </c>
      <c r="G648" s="57">
        <f>IF(OR($A648="",G$24=""),"",IF(COUNTIFS('AFA Rates'!$A$5:$A$1004,$A648,'AFA Rates'!$B$5:$B$1004,G$24)&gt;0,"✓",""))</f>
        <v/>
      </c>
      <c r="H648" s="57">
        <f>IF(OR($A648="",H$24=""),"",IF(COUNTIFS('AFA Rates'!$A$5:$A$1004,$A648,'AFA Rates'!$B$5:$B$1004,H$24)&gt;0,"✓",""))</f>
        <v/>
      </c>
      <c r="I648" s="57">
        <f>IF(OR($A648="",I$24=""),"",IF(COUNTIFS('AFA Rates'!$A$5:$A$1004,$A648,'AFA Rates'!$B$5:$B$1004,I$24)&gt;0,"✓",""))</f>
        <v/>
      </c>
      <c r="J648" s="57">
        <f>IF(OR($A648="",J$24=""),"",IF(COUNTIFS('AFA Rates'!$A$5:$A$1004,$A648,'AFA Rates'!$B$5:$B$1004,J$24)&gt;0,"✓",""))</f>
        <v/>
      </c>
      <c r="K648" s="57">
        <f>IF(OR($A648="",K$24=""),"",IF(COUNTIFS('AFA Rates'!$A$5:$A$1004,$A648,'AFA Rates'!$B$5:$B$1004,K$24)&gt;0,"✓",""))</f>
        <v/>
      </c>
      <c r="L648" s="57">
        <f>IF(OR($A648="",L$24=""),"",IF(COUNTIFS('AFA Rates'!$A$5:$A$1004,$A648,'AFA Rates'!$B$5:$B$1004,L$24)&gt;0,"✓",""))</f>
        <v/>
      </c>
      <c r="M648" s="57">
        <f>IF(OR($A648="",M$24=""),"",IF(COUNTIFS('AFA Rates'!$A$5:$A$1004,$A648,'AFA Rates'!$B$5:$B$1004,M$24)&gt;0,"✓",""))</f>
        <v/>
      </c>
    </row>
    <row r="649">
      <c r="A649" s="63">
        <f>IFERROR(INDEX(Firms!$A$5:$A$1004,MATCH(625,Firms!$S$5:$S$1004,0)),"")</f>
        <v/>
      </c>
      <c r="B649" s="57">
        <f>IF($A649="","",INDEX(Firms!$B$5:$B$1004,MATCH(625,Firms!$S$5:$S$1004,0)))</f>
        <v/>
      </c>
      <c r="C649" s="57">
        <f>IF($A649="","",COUNTIF('AFA Rates'!$A$5:$A$1004,$A649))</f>
        <v/>
      </c>
      <c r="D649" s="57">
        <f>IF(OR($A649="",D$24=""),"",IF(COUNTIFS('AFA Rates'!$A$5:$A$1004,$A649,'AFA Rates'!$B$5:$B$1004,D$24)&gt;0,"✓",""))</f>
        <v/>
      </c>
      <c r="E649" s="57">
        <f>IF(OR($A649="",E$24=""),"",IF(COUNTIFS('AFA Rates'!$A$5:$A$1004,$A649,'AFA Rates'!$B$5:$B$1004,E$24)&gt;0,"✓",""))</f>
        <v/>
      </c>
      <c r="F649" s="57">
        <f>IF(OR($A649="",F$24=""),"",IF(COUNTIFS('AFA Rates'!$A$5:$A$1004,$A649,'AFA Rates'!$B$5:$B$1004,F$24)&gt;0,"✓",""))</f>
        <v/>
      </c>
      <c r="G649" s="57">
        <f>IF(OR($A649="",G$24=""),"",IF(COUNTIFS('AFA Rates'!$A$5:$A$1004,$A649,'AFA Rates'!$B$5:$B$1004,G$24)&gt;0,"✓",""))</f>
        <v/>
      </c>
      <c r="H649" s="57">
        <f>IF(OR($A649="",H$24=""),"",IF(COUNTIFS('AFA Rates'!$A$5:$A$1004,$A649,'AFA Rates'!$B$5:$B$1004,H$24)&gt;0,"✓",""))</f>
        <v/>
      </c>
      <c r="I649" s="57">
        <f>IF(OR($A649="",I$24=""),"",IF(COUNTIFS('AFA Rates'!$A$5:$A$1004,$A649,'AFA Rates'!$B$5:$B$1004,I$24)&gt;0,"✓",""))</f>
        <v/>
      </c>
      <c r="J649" s="57">
        <f>IF(OR($A649="",J$24=""),"",IF(COUNTIFS('AFA Rates'!$A$5:$A$1004,$A649,'AFA Rates'!$B$5:$B$1004,J$24)&gt;0,"✓",""))</f>
        <v/>
      </c>
      <c r="K649" s="57">
        <f>IF(OR($A649="",K$24=""),"",IF(COUNTIFS('AFA Rates'!$A$5:$A$1004,$A649,'AFA Rates'!$B$5:$B$1004,K$24)&gt;0,"✓",""))</f>
        <v/>
      </c>
      <c r="L649" s="57">
        <f>IF(OR($A649="",L$24=""),"",IF(COUNTIFS('AFA Rates'!$A$5:$A$1004,$A649,'AFA Rates'!$B$5:$B$1004,L$24)&gt;0,"✓",""))</f>
        <v/>
      </c>
      <c r="M649" s="57">
        <f>IF(OR($A649="",M$24=""),"",IF(COUNTIFS('AFA Rates'!$A$5:$A$1004,$A649,'AFA Rates'!$B$5:$B$1004,M$24)&gt;0,"✓",""))</f>
        <v/>
      </c>
    </row>
    <row r="650">
      <c r="A650" s="63">
        <f>IFERROR(INDEX(Firms!$A$5:$A$1004,MATCH(626,Firms!$S$5:$S$1004,0)),"")</f>
        <v/>
      </c>
      <c r="B650" s="57">
        <f>IF($A650="","",INDEX(Firms!$B$5:$B$1004,MATCH(626,Firms!$S$5:$S$1004,0)))</f>
        <v/>
      </c>
      <c r="C650" s="57">
        <f>IF($A650="","",COUNTIF('AFA Rates'!$A$5:$A$1004,$A650))</f>
        <v/>
      </c>
      <c r="D650" s="57">
        <f>IF(OR($A650="",D$24=""),"",IF(COUNTIFS('AFA Rates'!$A$5:$A$1004,$A650,'AFA Rates'!$B$5:$B$1004,D$24)&gt;0,"✓",""))</f>
        <v/>
      </c>
      <c r="E650" s="57">
        <f>IF(OR($A650="",E$24=""),"",IF(COUNTIFS('AFA Rates'!$A$5:$A$1004,$A650,'AFA Rates'!$B$5:$B$1004,E$24)&gt;0,"✓",""))</f>
        <v/>
      </c>
      <c r="F650" s="57">
        <f>IF(OR($A650="",F$24=""),"",IF(COUNTIFS('AFA Rates'!$A$5:$A$1004,$A650,'AFA Rates'!$B$5:$B$1004,F$24)&gt;0,"✓",""))</f>
        <v/>
      </c>
      <c r="G650" s="57">
        <f>IF(OR($A650="",G$24=""),"",IF(COUNTIFS('AFA Rates'!$A$5:$A$1004,$A650,'AFA Rates'!$B$5:$B$1004,G$24)&gt;0,"✓",""))</f>
        <v/>
      </c>
      <c r="H650" s="57">
        <f>IF(OR($A650="",H$24=""),"",IF(COUNTIFS('AFA Rates'!$A$5:$A$1004,$A650,'AFA Rates'!$B$5:$B$1004,H$24)&gt;0,"✓",""))</f>
        <v/>
      </c>
      <c r="I650" s="57">
        <f>IF(OR($A650="",I$24=""),"",IF(COUNTIFS('AFA Rates'!$A$5:$A$1004,$A650,'AFA Rates'!$B$5:$B$1004,I$24)&gt;0,"✓",""))</f>
        <v/>
      </c>
      <c r="J650" s="57">
        <f>IF(OR($A650="",J$24=""),"",IF(COUNTIFS('AFA Rates'!$A$5:$A$1004,$A650,'AFA Rates'!$B$5:$B$1004,J$24)&gt;0,"✓",""))</f>
        <v/>
      </c>
      <c r="K650" s="57">
        <f>IF(OR($A650="",K$24=""),"",IF(COUNTIFS('AFA Rates'!$A$5:$A$1004,$A650,'AFA Rates'!$B$5:$B$1004,K$24)&gt;0,"✓",""))</f>
        <v/>
      </c>
      <c r="L650" s="57">
        <f>IF(OR($A650="",L$24=""),"",IF(COUNTIFS('AFA Rates'!$A$5:$A$1004,$A650,'AFA Rates'!$B$5:$B$1004,L$24)&gt;0,"✓",""))</f>
        <v/>
      </c>
      <c r="M650" s="57">
        <f>IF(OR($A650="",M$24=""),"",IF(COUNTIFS('AFA Rates'!$A$5:$A$1004,$A650,'AFA Rates'!$B$5:$B$1004,M$24)&gt;0,"✓",""))</f>
        <v/>
      </c>
    </row>
    <row r="651">
      <c r="A651" s="63">
        <f>IFERROR(INDEX(Firms!$A$5:$A$1004,MATCH(627,Firms!$S$5:$S$1004,0)),"")</f>
        <v/>
      </c>
      <c r="B651" s="57">
        <f>IF($A651="","",INDEX(Firms!$B$5:$B$1004,MATCH(627,Firms!$S$5:$S$1004,0)))</f>
        <v/>
      </c>
      <c r="C651" s="57">
        <f>IF($A651="","",COUNTIF('AFA Rates'!$A$5:$A$1004,$A651))</f>
        <v/>
      </c>
      <c r="D651" s="57">
        <f>IF(OR($A651="",D$24=""),"",IF(COUNTIFS('AFA Rates'!$A$5:$A$1004,$A651,'AFA Rates'!$B$5:$B$1004,D$24)&gt;0,"✓",""))</f>
        <v/>
      </c>
      <c r="E651" s="57">
        <f>IF(OR($A651="",E$24=""),"",IF(COUNTIFS('AFA Rates'!$A$5:$A$1004,$A651,'AFA Rates'!$B$5:$B$1004,E$24)&gt;0,"✓",""))</f>
        <v/>
      </c>
      <c r="F651" s="57">
        <f>IF(OR($A651="",F$24=""),"",IF(COUNTIFS('AFA Rates'!$A$5:$A$1004,$A651,'AFA Rates'!$B$5:$B$1004,F$24)&gt;0,"✓",""))</f>
        <v/>
      </c>
      <c r="G651" s="57">
        <f>IF(OR($A651="",G$24=""),"",IF(COUNTIFS('AFA Rates'!$A$5:$A$1004,$A651,'AFA Rates'!$B$5:$B$1004,G$24)&gt;0,"✓",""))</f>
        <v/>
      </c>
      <c r="H651" s="57">
        <f>IF(OR($A651="",H$24=""),"",IF(COUNTIFS('AFA Rates'!$A$5:$A$1004,$A651,'AFA Rates'!$B$5:$B$1004,H$24)&gt;0,"✓",""))</f>
        <v/>
      </c>
      <c r="I651" s="57">
        <f>IF(OR($A651="",I$24=""),"",IF(COUNTIFS('AFA Rates'!$A$5:$A$1004,$A651,'AFA Rates'!$B$5:$B$1004,I$24)&gt;0,"✓",""))</f>
        <v/>
      </c>
      <c r="J651" s="57">
        <f>IF(OR($A651="",J$24=""),"",IF(COUNTIFS('AFA Rates'!$A$5:$A$1004,$A651,'AFA Rates'!$B$5:$B$1004,J$24)&gt;0,"✓",""))</f>
        <v/>
      </c>
      <c r="K651" s="57">
        <f>IF(OR($A651="",K$24=""),"",IF(COUNTIFS('AFA Rates'!$A$5:$A$1004,$A651,'AFA Rates'!$B$5:$B$1004,K$24)&gt;0,"✓",""))</f>
        <v/>
      </c>
      <c r="L651" s="57">
        <f>IF(OR($A651="",L$24=""),"",IF(COUNTIFS('AFA Rates'!$A$5:$A$1004,$A651,'AFA Rates'!$B$5:$B$1004,L$24)&gt;0,"✓",""))</f>
        <v/>
      </c>
      <c r="M651" s="57">
        <f>IF(OR($A651="",M$24=""),"",IF(COUNTIFS('AFA Rates'!$A$5:$A$1004,$A651,'AFA Rates'!$B$5:$B$1004,M$24)&gt;0,"✓",""))</f>
        <v/>
      </c>
    </row>
    <row r="652">
      <c r="A652" s="63">
        <f>IFERROR(INDEX(Firms!$A$5:$A$1004,MATCH(628,Firms!$S$5:$S$1004,0)),"")</f>
        <v/>
      </c>
      <c r="B652" s="57">
        <f>IF($A652="","",INDEX(Firms!$B$5:$B$1004,MATCH(628,Firms!$S$5:$S$1004,0)))</f>
        <v/>
      </c>
      <c r="C652" s="57">
        <f>IF($A652="","",COUNTIF('AFA Rates'!$A$5:$A$1004,$A652))</f>
        <v/>
      </c>
      <c r="D652" s="57">
        <f>IF(OR($A652="",D$24=""),"",IF(COUNTIFS('AFA Rates'!$A$5:$A$1004,$A652,'AFA Rates'!$B$5:$B$1004,D$24)&gt;0,"✓",""))</f>
        <v/>
      </c>
      <c r="E652" s="57">
        <f>IF(OR($A652="",E$24=""),"",IF(COUNTIFS('AFA Rates'!$A$5:$A$1004,$A652,'AFA Rates'!$B$5:$B$1004,E$24)&gt;0,"✓",""))</f>
        <v/>
      </c>
      <c r="F652" s="57">
        <f>IF(OR($A652="",F$24=""),"",IF(COUNTIFS('AFA Rates'!$A$5:$A$1004,$A652,'AFA Rates'!$B$5:$B$1004,F$24)&gt;0,"✓",""))</f>
        <v/>
      </c>
      <c r="G652" s="57">
        <f>IF(OR($A652="",G$24=""),"",IF(COUNTIFS('AFA Rates'!$A$5:$A$1004,$A652,'AFA Rates'!$B$5:$B$1004,G$24)&gt;0,"✓",""))</f>
        <v/>
      </c>
      <c r="H652" s="57">
        <f>IF(OR($A652="",H$24=""),"",IF(COUNTIFS('AFA Rates'!$A$5:$A$1004,$A652,'AFA Rates'!$B$5:$B$1004,H$24)&gt;0,"✓",""))</f>
        <v/>
      </c>
      <c r="I652" s="57">
        <f>IF(OR($A652="",I$24=""),"",IF(COUNTIFS('AFA Rates'!$A$5:$A$1004,$A652,'AFA Rates'!$B$5:$B$1004,I$24)&gt;0,"✓",""))</f>
        <v/>
      </c>
      <c r="J652" s="57">
        <f>IF(OR($A652="",J$24=""),"",IF(COUNTIFS('AFA Rates'!$A$5:$A$1004,$A652,'AFA Rates'!$B$5:$B$1004,J$24)&gt;0,"✓",""))</f>
        <v/>
      </c>
      <c r="K652" s="57">
        <f>IF(OR($A652="",K$24=""),"",IF(COUNTIFS('AFA Rates'!$A$5:$A$1004,$A652,'AFA Rates'!$B$5:$B$1004,K$24)&gt;0,"✓",""))</f>
        <v/>
      </c>
      <c r="L652" s="57">
        <f>IF(OR($A652="",L$24=""),"",IF(COUNTIFS('AFA Rates'!$A$5:$A$1004,$A652,'AFA Rates'!$B$5:$B$1004,L$24)&gt;0,"✓",""))</f>
        <v/>
      </c>
      <c r="M652" s="57">
        <f>IF(OR($A652="",M$24=""),"",IF(COUNTIFS('AFA Rates'!$A$5:$A$1004,$A652,'AFA Rates'!$B$5:$B$1004,M$24)&gt;0,"✓",""))</f>
        <v/>
      </c>
    </row>
    <row r="653">
      <c r="A653" s="63">
        <f>IFERROR(INDEX(Firms!$A$5:$A$1004,MATCH(629,Firms!$S$5:$S$1004,0)),"")</f>
        <v/>
      </c>
      <c r="B653" s="57">
        <f>IF($A653="","",INDEX(Firms!$B$5:$B$1004,MATCH(629,Firms!$S$5:$S$1004,0)))</f>
        <v/>
      </c>
      <c r="C653" s="57">
        <f>IF($A653="","",COUNTIF('AFA Rates'!$A$5:$A$1004,$A653))</f>
        <v/>
      </c>
      <c r="D653" s="57">
        <f>IF(OR($A653="",D$24=""),"",IF(COUNTIFS('AFA Rates'!$A$5:$A$1004,$A653,'AFA Rates'!$B$5:$B$1004,D$24)&gt;0,"✓",""))</f>
        <v/>
      </c>
      <c r="E653" s="57">
        <f>IF(OR($A653="",E$24=""),"",IF(COUNTIFS('AFA Rates'!$A$5:$A$1004,$A653,'AFA Rates'!$B$5:$B$1004,E$24)&gt;0,"✓",""))</f>
        <v/>
      </c>
      <c r="F653" s="57">
        <f>IF(OR($A653="",F$24=""),"",IF(COUNTIFS('AFA Rates'!$A$5:$A$1004,$A653,'AFA Rates'!$B$5:$B$1004,F$24)&gt;0,"✓",""))</f>
        <v/>
      </c>
      <c r="G653" s="57">
        <f>IF(OR($A653="",G$24=""),"",IF(COUNTIFS('AFA Rates'!$A$5:$A$1004,$A653,'AFA Rates'!$B$5:$B$1004,G$24)&gt;0,"✓",""))</f>
        <v/>
      </c>
      <c r="H653" s="57">
        <f>IF(OR($A653="",H$24=""),"",IF(COUNTIFS('AFA Rates'!$A$5:$A$1004,$A653,'AFA Rates'!$B$5:$B$1004,H$24)&gt;0,"✓",""))</f>
        <v/>
      </c>
      <c r="I653" s="57">
        <f>IF(OR($A653="",I$24=""),"",IF(COUNTIFS('AFA Rates'!$A$5:$A$1004,$A653,'AFA Rates'!$B$5:$B$1004,I$24)&gt;0,"✓",""))</f>
        <v/>
      </c>
      <c r="J653" s="57">
        <f>IF(OR($A653="",J$24=""),"",IF(COUNTIFS('AFA Rates'!$A$5:$A$1004,$A653,'AFA Rates'!$B$5:$B$1004,J$24)&gt;0,"✓",""))</f>
        <v/>
      </c>
      <c r="K653" s="57">
        <f>IF(OR($A653="",K$24=""),"",IF(COUNTIFS('AFA Rates'!$A$5:$A$1004,$A653,'AFA Rates'!$B$5:$B$1004,K$24)&gt;0,"✓",""))</f>
        <v/>
      </c>
      <c r="L653" s="57">
        <f>IF(OR($A653="",L$24=""),"",IF(COUNTIFS('AFA Rates'!$A$5:$A$1004,$A653,'AFA Rates'!$B$5:$B$1004,L$24)&gt;0,"✓",""))</f>
        <v/>
      </c>
      <c r="M653" s="57">
        <f>IF(OR($A653="",M$24=""),"",IF(COUNTIFS('AFA Rates'!$A$5:$A$1004,$A653,'AFA Rates'!$B$5:$B$1004,M$24)&gt;0,"✓",""))</f>
        <v/>
      </c>
    </row>
    <row r="654">
      <c r="A654" s="63">
        <f>IFERROR(INDEX(Firms!$A$5:$A$1004,MATCH(630,Firms!$S$5:$S$1004,0)),"")</f>
        <v/>
      </c>
      <c r="B654" s="57">
        <f>IF($A654="","",INDEX(Firms!$B$5:$B$1004,MATCH(630,Firms!$S$5:$S$1004,0)))</f>
        <v/>
      </c>
      <c r="C654" s="57">
        <f>IF($A654="","",COUNTIF('AFA Rates'!$A$5:$A$1004,$A654))</f>
        <v/>
      </c>
      <c r="D654" s="57">
        <f>IF(OR($A654="",D$24=""),"",IF(COUNTIFS('AFA Rates'!$A$5:$A$1004,$A654,'AFA Rates'!$B$5:$B$1004,D$24)&gt;0,"✓",""))</f>
        <v/>
      </c>
      <c r="E654" s="57">
        <f>IF(OR($A654="",E$24=""),"",IF(COUNTIFS('AFA Rates'!$A$5:$A$1004,$A654,'AFA Rates'!$B$5:$B$1004,E$24)&gt;0,"✓",""))</f>
        <v/>
      </c>
      <c r="F654" s="57">
        <f>IF(OR($A654="",F$24=""),"",IF(COUNTIFS('AFA Rates'!$A$5:$A$1004,$A654,'AFA Rates'!$B$5:$B$1004,F$24)&gt;0,"✓",""))</f>
        <v/>
      </c>
      <c r="G654" s="57">
        <f>IF(OR($A654="",G$24=""),"",IF(COUNTIFS('AFA Rates'!$A$5:$A$1004,$A654,'AFA Rates'!$B$5:$B$1004,G$24)&gt;0,"✓",""))</f>
        <v/>
      </c>
      <c r="H654" s="57">
        <f>IF(OR($A654="",H$24=""),"",IF(COUNTIFS('AFA Rates'!$A$5:$A$1004,$A654,'AFA Rates'!$B$5:$B$1004,H$24)&gt;0,"✓",""))</f>
        <v/>
      </c>
      <c r="I654" s="57">
        <f>IF(OR($A654="",I$24=""),"",IF(COUNTIFS('AFA Rates'!$A$5:$A$1004,$A654,'AFA Rates'!$B$5:$B$1004,I$24)&gt;0,"✓",""))</f>
        <v/>
      </c>
      <c r="J654" s="57">
        <f>IF(OR($A654="",J$24=""),"",IF(COUNTIFS('AFA Rates'!$A$5:$A$1004,$A654,'AFA Rates'!$B$5:$B$1004,J$24)&gt;0,"✓",""))</f>
        <v/>
      </c>
      <c r="K654" s="57">
        <f>IF(OR($A654="",K$24=""),"",IF(COUNTIFS('AFA Rates'!$A$5:$A$1004,$A654,'AFA Rates'!$B$5:$B$1004,K$24)&gt;0,"✓",""))</f>
        <v/>
      </c>
      <c r="L654" s="57">
        <f>IF(OR($A654="",L$24=""),"",IF(COUNTIFS('AFA Rates'!$A$5:$A$1004,$A654,'AFA Rates'!$B$5:$B$1004,L$24)&gt;0,"✓",""))</f>
        <v/>
      </c>
      <c r="M654" s="57">
        <f>IF(OR($A654="",M$24=""),"",IF(COUNTIFS('AFA Rates'!$A$5:$A$1004,$A654,'AFA Rates'!$B$5:$B$1004,M$24)&gt;0,"✓",""))</f>
        <v/>
      </c>
    </row>
    <row r="655">
      <c r="A655" s="63">
        <f>IFERROR(INDEX(Firms!$A$5:$A$1004,MATCH(631,Firms!$S$5:$S$1004,0)),"")</f>
        <v/>
      </c>
      <c r="B655" s="57">
        <f>IF($A655="","",INDEX(Firms!$B$5:$B$1004,MATCH(631,Firms!$S$5:$S$1004,0)))</f>
        <v/>
      </c>
      <c r="C655" s="57">
        <f>IF($A655="","",COUNTIF('AFA Rates'!$A$5:$A$1004,$A655))</f>
        <v/>
      </c>
      <c r="D655" s="57">
        <f>IF(OR($A655="",D$24=""),"",IF(COUNTIFS('AFA Rates'!$A$5:$A$1004,$A655,'AFA Rates'!$B$5:$B$1004,D$24)&gt;0,"✓",""))</f>
        <v/>
      </c>
      <c r="E655" s="57">
        <f>IF(OR($A655="",E$24=""),"",IF(COUNTIFS('AFA Rates'!$A$5:$A$1004,$A655,'AFA Rates'!$B$5:$B$1004,E$24)&gt;0,"✓",""))</f>
        <v/>
      </c>
      <c r="F655" s="57">
        <f>IF(OR($A655="",F$24=""),"",IF(COUNTIFS('AFA Rates'!$A$5:$A$1004,$A655,'AFA Rates'!$B$5:$B$1004,F$24)&gt;0,"✓",""))</f>
        <v/>
      </c>
      <c r="G655" s="57">
        <f>IF(OR($A655="",G$24=""),"",IF(COUNTIFS('AFA Rates'!$A$5:$A$1004,$A655,'AFA Rates'!$B$5:$B$1004,G$24)&gt;0,"✓",""))</f>
        <v/>
      </c>
      <c r="H655" s="57">
        <f>IF(OR($A655="",H$24=""),"",IF(COUNTIFS('AFA Rates'!$A$5:$A$1004,$A655,'AFA Rates'!$B$5:$B$1004,H$24)&gt;0,"✓",""))</f>
        <v/>
      </c>
      <c r="I655" s="57">
        <f>IF(OR($A655="",I$24=""),"",IF(COUNTIFS('AFA Rates'!$A$5:$A$1004,$A655,'AFA Rates'!$B$5:$B$1004,I$24)&gt;0,"✓",""))</f>
        <v/>
      </c>
      <c r="J655" s="57">
        <f>IF(OR($A655="",J$24=""),"",IF(COUNTIFS('AFA Rates'!$A$5:$A$1004,$A655,'AFA Rates'!$B$5:$B$1004,J$24)&gt;0,"✓",""))</f>
        <v/>
      </c>
      <c r="K655" s="57">
        <f>IF(OR($A655="",K$24=""),"",IF(COUNTIFS('AFA Rates'!$A$5:$A$1004,$A655,'AFA Rates'!$B$5:$B$1004,K$24)&gt;0,"✓",""))</f>
        <v/>
      </c>
      <c r="L655" s="57">
        <f>IF(OR($A655="",L$24=""),"",IF(COUNTIFS('AFA Rates'!$A$5:$A$1004,$A655,'AFA Rates'!$B$5:$B$1004,L$24)&gt;0,"✓",""))</f>
        <v/>
      </c>
      <c r="M655" s="57">
        <f>IF(OR($A655="",M$24=""),"",IF(COUNTIFS('AFA Rates'!$A$5:$A$1004,$A655,'AFA Rates'!$B$5:$B$1004,M$24)&gt;0,"✓",""))</f>
        <v/>
      </c>
    </row>
    <row r="656">
      <c r="A656" s="63">
        <f>IFERROR(INDEX(Firms!$A$5:$A$1004,MATCH(632,Firms!$S$5:$S$1004,0)),"")</f>
        <v/>
      </c>
      <c r="B656" s="57">
        <f>IF($A656="","",INDEX(Firms!$B$5:$B$1004,MATCH(632,Firms!$S$5:$S$1004,0)))</f>
        <v/>
      </c>
      <c r="C656" s="57">
        <f>IF($A656="","",COUNTIF('AFA Rates'!$A$5:$A$1004,$A656))</f>
        <v/>
      </c>
      <c r="D656" s="57">
        <f>IF(OR($A656="",D$24=""),"",IF(COUNTIFS('AFA Rates'!$A$5:$A$1004,$A656,'AFA Rates'!$B$5:$B$1004,D$24)&gt;0,"✓",""))</f>
        <v/>
      </c>
      <c r="E656" s="57">
        <f>IF(OR($A656="",E$24=""),"",IF(COUNTIFS('AFA Rates'!$A$5:$A$1004,$A656,'AFA Rates'!$B$5:$B$1004,E$24)&gt;0,"✓",""))</f>
        <v/>
      </c>
      <c r="F656" s="57">
        <f>IF(OR($A656="",F$24=""),"",IF(COUNTIFS('AFA Rates'!$A$5:$A$1004,$A656,'AFA Rates'!$B$5:$B$1004,F$24)&gt;0,"✓",""))</f>
        <v/>
      </c>
      <c r="G656" s="57">
        <f>IF(OR($A656="",G$24=""),"",IF(COUNTIFS('AFA Rates'!$A$5:$A$1004,$A656,'AFA Rates'!$B$5:$B$1004,G$24)&gt;0,"✓",""))</f>
        <v/>
      </c>
      <c r="H656" s="57">
        <f>IF(OR($A656="",H$24=""),"",IF(COUNTIFS('AFA Rates'!$A$5:$A$1004,$A656,'AFA Rates'!$B$5:$B$1004,H$24)&gt;0,"✓",""))</f>
        <v/>
      </c>
      <c r="I656" s="57">
        <f>IF(OR($A656="",I$24=""),"",IF(COUNTIFS('AFA Rates'!$A$5:$A$1004,$A656,'AFA Rates'!$B$5:$B$1004,I$24)&gt;0,"✓",""))</f>
        <v/>
      </c>
      <c r="J656" s="57">
        <f>IF(OR($A656="",J$24=""),"",IF(COUNTIFS('AFA Rates'!$A$5:$A$1004,$A656,'AFA Rates'!$B$5:$B$1004,J$24)&gt;0,"✓",""))</f>
        <v/>
      </c>
      <c r="K656" s="57">
        <f>IF(OR($A656="",K$24=""),"",IF(COUNTIFS('AFA Rates'!$A$5:$A$1004,$A656,'AFA Rates'!$B$5:$B$1004,K$24)&gt;0,"✓",""))</f>
        <v/>
      </c>
      <c r="L656" s="57">
        <f>IF(OR($A656="",L$24=""),"",IF(COUNTIFS('AFA Rates'!$A$5:$A$1004,$A656,'AFA Rates'!$B$5:$B$1004,L$24)&gt;0,"✓",""))</f>
        <v/>
      </c>
      <c r="M656" s="57">
        <f>IF(OR($A656="",M$24=""),"",IF(COUNTIFS('AFA Rates'!$A$5:$A$1004,$A656,'AFA Rates'!$B$5:$B$1004,M$24)&gt;0,"✓",""))</f>
        <v/>
      </c>
    </row>
    <row r="657">
      <c r="A657" s="63">
        <f>IFERROR(INDEX(Firms!$A$5:$A$1004,MATCH(633,Firms!$S$5:$S$1004,0)),"")</f>
        <v/>
      </c>
      <c r="B657" s="57">
        <f>IF($A657="","",INDEX(Firms!$B$5:$B$1004,MATCH(633,Firms!$S$5:$S$1004,0)))</f>
        <v/>
      </c>
      <c r="C657" s="57">
        <f>IF($A657="","",COUNTIF('AFA Rates'!$A$5:$A$1004,$A657))</f>
        <v/>
      </c>
      <c r="D657" s="57">
        <f>IF(OR($A657="",D$24=""),"",IF(COUNTIFS('AFA Rates'!$A$5:$A$1004,$A657,'AFA Rates'!$B$5:$B$1004,D$24)&gt;0,"✓",""))</f>
        <v/>
      </c>
      <c r="E657" s="57">
        <f>IF(OR($A657="",E$24=""),"",IF(COUNTIFS('AFA Rates'!$A$5:$A$1004,$A657,'AFA Rates'!$B$5:$B$1004,E$24)&gt;0,"✓",""))</f>
        <v/>
      </c>
      <c r="F657" s="57">
        <f>IF(OR($A657="",F$24=""),"",IF(COUNTIFS('AFA Rates'!$A$5:$A$1004,$A657,'AFA Rates'!$B$5:$B$1004,F$24)&gt;0,"✓",""))</f>
        <v/>
      </c>
      <c r="G657" s="57">
        <f>IF(OR($A657="",G$24=""),"",IF(COUNTIFS('AFA Rates'!$A$5:$A$1004,$A657,'AFA Rates'!$B$5:$B$1004,G$24)&gt;0,"✓",""))</f>
        <v/>
      </c>
      <c r="H657" s="57">
        <f>IF(OR($A657="",H$24=""),"",IF(COUNTIFS('AFA Rates'!$A$5:$A$1004,$A657,'AFA Rates'!$B$5:$B$1004,H$24)&gt;0,"✓",""))</f>
        <v/>
      </c>
      <c r="I657" s="57">
        <f>IF(OR($A657="",I$24=""),"",IF(COUNTIFS('AFA Rates'!$A$5:$A$1004,$A657,'AFA Rates'!$B$5:$B$1004,I$24)&gt;0,"✓",""))</f>
        <v/>
      </c>
      <c r="J657" s="57">
        <f>IF(OR($A657="",J$24=""),"",IF(COUNTIFS('AFA Rates'!$A$5:$A$1004,$A657,'AFA Rates'!$B$5:$B$1004,J$24)&gt;0,"✓",""))</f>
        <v/>
      </c>
      <c r="K657" s="57">
        <f>IF(OR($A657="",K$24=""),"",IF(COUNTIFS('AFA Rates'!$A$5:$A$1004,$A657,'AFA Rates'!$B$5:$B$1004,K$24)&gt;0,"✓",""))</f>
        <v/>
      </c>
      <c r="L657" s="57">
        <f>IF(OR($A657="",L$24=""),"",IF(COUNTIFS('AFA Rates'!$A$5:$A$1004,$A657,'AFA Rates'!$B$5:$B$1004,L$24)&gt;0,"✓",""))</f>
        <v/>
      </c>
      <c r="M657" s="57">
        <f>IF(OR($A657="",M$24=""),"",IF(COUNTIFS('AFA Rates'!$A$5:$A$1004,$A657,'AFA Rates'!$B$5:$B$1004,M$24)&gt;0,"✓",""))</f>
        <v/>
      </c>
    </row>
    <row r="658">
      <c r="A658" s="63">
        <f>IFERROR(INDEX(Firms!$A$5:$A$1004,MATCH(634,Firms!$S$5:$S$1004,0)),"")</f>
        <v/>
      </c>
      <c r="B658" s="57">
        <f>IF($A658="","",INDEX(Firms!$B$5:$B$1004,MATCH(634,Firms!$S$5:$S$1004,0)))</f>
        <v/>
      </c>
      <c r="C658" s="57">
        <f>IF($A658="","",COUNTIF('AFA Rates'!$A$5:$A$1004,$A658))</f>
        <v/>
      </c>
      <c r="D658" s="57">
        <f>IF(OR($A658="",D$24=""),"",IF(COUNTIFS('AFA Rates'!$A$5:$A$1004,$A658,'AFA Rates'!$B$5:$B$1004,D$24)&gt;0,"✓",""))</f>
        <v/>
      </c>
      <c r="E658" s="57">
        <f>IF(OR($A658="",E$24=""),"",IF(COUNTIFS('AFA Rates'!$A$5:$A$1004,$A658,'AFA Rates'!$B$5:$B$1004,E$24)&gt;0,"✓",""))</f>
        <v/>
      </c>
      <c r="F658" s="57">
        <f>IF(OR($A658="",F$24=""),"",IF(COUNTIFS('AFA Rates'!$A$5:$A$1004,$A658,'AFA Rates'!$B$5:$B$1004,F$24)&gt;0,"✓",""))</f>
        <v/>
      </c>
      <c r="G658" s="57">
        <f>IF(OR($A658="",G$24=""),"",IF(COUNTIFS('AFA Rates'!$A$5:$A$1004,$A658,'AFA Rates'!$B$5:$B$1004,G$24)&gt;0,"✓",""))</f>
        <v/>
      </c>
      <c r="H658" s="57">
        <f>IF(OR($A658="",H$24=""),"",IF(COUNTIFS('AFA Rates'!$A$5:$A$1004,$A658,'AFA Rates'!$B$5:$B$1004,H$24)&gt;0,"✓",""))</f>
        <v/>
      </c>
      <c r="I658" s="57">
        <f>IF(OR($A658="",I$24=""),"",IF(COUNTIFS('AFA Rates'!$A$5:$A$1004,$A658,'AFA Rates'!$B$5:$B$1004,I$24)&gt;0,"✓",""))</f>
        <v/>
      </c>
      <c r="J658" s="57">
        <f>IF(OR($A658="",J$24=""),"",IF(COUNTIFS('AFA Rates'!$A$5:$A$1004,$A658,'AFA Rates'!$B$5:$B$1004,J$24)&gt;0,"✓",""))</f>
        <v/>
      </c>
      <c r="K658" s="57">
        <f>IF(OR($A658="",K$24=""),"",IF(COUNTIFS('AFA Rates'!$A$5:$A$1004,$A658,'AFA Rates'!$B$5:$B$1004,K$24)&gt;0,"✓",""))</f>
        <v/>
      </c>
      <c r="L658" s="57">
        <f>IF(OR($A658="",L$24=""),"",IF(COUNTIFS('AFA Rates'!$A$5:$A$1004,$A658,'AFA Rates'!$B$5:$B$1004,L$24)&gt;0,"✓",""))</f>
        <v/>
      </c>
      <c r="M658" s="57">
        <f>IF(OR($A658="",M$24=""),"",IF(COUNTIFS('AFA Rates'!$A$5:$A$1004,$A658,'AFA Rates'!$B$5:$B$1004,M$24)&gt;0,"✓",""))</f>
        <v/>
      </c>
    </row>
    <row r="659">
      <c r="A659" s="63">
        <f>IFERROR(INDEX(Firms!$A$5:$A$1004,MATCH(635,Firms!$S$5:$S$1004,0)),"")</f>
        <v/>
      </c>
      <c r="B659" s="57">
        <f>IF($A659="","",INDEX(Firms!$B$5:$B$1004,MATCH(635,Firms!$S$5:$S$1004,0)))</f>
        <v/>
      </c>
      <c r="C659" s="57">
        <f>IF($A659="","",COUNTIF('AFA Rates'!$A$5:$A$1004,$A659))</f>
        <v/>
      </c>
      <c r="D659" s="57">
        <f>IF(OR($A659="",D$24=""),"",IF(COUNTIFS('AFA Rates'!$A$5:$A$1004,$A659,'AFA Rates'!$B$5:$B$1004,D$24)&gt;0,"✓",""))</f>
        <v/>
      </c>
      <c r="E659" s="57">
        <f>IF(OR($A659="",E$24=""),"",IF(COUNTIFS('AFA Rates'!$A$5:$A$1004,$A659,'AFA Rates'!$B$5:$B$1004,E$24)&gt;0,"✓",""))</f>
        <v/>
      </c>
      <c r="F659" s="57">
        <f>IF(OR($A659="",F$24=""),"",IF(COUNTIFS('AFA Rates'!$A$5:$A$1004,$A659,'AFA Rates'!$B$5:$B$1004,F$24)&gt;0,"✓",""))</f>
        <v/>
      </c>
      <c r="G659" s="57">
        <f>IF(OR($A659="",G$24=""),"",IF(COUNTIFS('AFA Rates'!$A$5:$A$1004,$A659,'AFA Rates'!$B$5:$B$1004,G$24)&gt;0,"✓",""))</f>
        <v/>
      </c>
      <c r="H659" s="57">
        <f>IF(OR($A659="",H$24=""),"",IF(COUNTIFS('AFA Rates'!$A$5:$A$1004,$A659,'AFA Rates'!$B$5:$B$1004,H$24)&gt;0,"✓",""))</f>
        <v/>
      </c>
      <c r="I659" s="57">
        <f>IF(OR($A659="",I$24=""),"",IF(COUNTIFS('AFA Rates'!$A$5:$A$1004,$A659,'AFA Rates'!$B$5:$B$1004,I$24)&gt;0,"✓",""))</f>
        <v/>
      </c>
      <c r="J659" s="57">
        <f>IF(OR($A659="",J$24=""),"",IF(COUNTIFS('AFA Rates'!$A$5:$A$1004,$A659,'AFA Rates'!$B$5:$B$1004,J$24)&gt;0,"✓",""))</f>
        <v/>
      </c>
      <c r="K659" s="57">
        <f>IF(OR($A659="",K$24=""),"",IF(COUNTIFS('AFA Rates'!$A$5:$A$1004,$A659,'AFA Rates'!$B$5:$B$1004,K$24)&gt;0,"✓",""))</f>
        <v/>
      </c>
      <c r="L659" s="57">
        <f>IF(OR($A659="",L$24=""),"",IF(COUNTIFS('AFA Rates'!$A$5:$A$1004,$A659,'AFA Rates'!$B$5:$B$1004,L$24)&gt;0,"✓",""))</f>
        <v/>
      </c>
      <c r="M659" s="57">
        <f>IF(OR($A659="",M$24=""),"",IF(COUNTIFS('AFA Rates'!$A$5:$A$1004,$A659,'AFA Rates'!$B$5:$B$1004,M$24)&gt;0,"✓",""))</f>
        <v/>
      </c>
    </row>
    <row r="660">
      <c r="A660" s="63">
        <f>IFERROR(INDEX(Firms!$A$5:$A$1004,MATCH(636,Firms!$S$5:$S$1004,0)),"")</f>
        <v/>
      </c>
      <c r="B660" s="57">
        <f>IF($A660="","",INDEX(Firms!$B$5:$B$1004,MATCH(636,Firms!$S$5:$S$1004,0)))</f>
        <v/>
      </c>
      <c r="C660" s="57">
        <f>IF($A660="","",COUNTIF('AFA Rates'!$A$5:$A$1004,$A660))</f>
        <v/>
      </c>
      <c r="D660" s="57">
        <f>IF(OR($A660="",D$24=""),"",IF(COUNTIFS('AFA Rates'!$A$5:$A$1004,$A660,'AFA Rates'!$B$5:$B$1004,D$24)&gt;0,"✓",""))</f>
        <v/>
      </c>
      <c r="E660" s="57">
        <f>IF(OR($A660="",E$24=""),"",IF(COUNTIFS('AFA Rates'!$A$5:$A$1004,$A660,'AFA Rates'!$B$5:$B$1004,E$24)&gt;0,"✓",""))</f>
        <v/>
      </c>
      <c r="F660" s="57">
        <f>IF(OR($A660="",F$24=""),"",IF(COUNTIFS('AFA Rates'!$A$5:$A$1004,$A660,'AFA Rates'!$B$5:$B$1004,F$24)&gt;0,"✓",""))</f>
        <v/>
      </c>
      <c r="G660" s="57">
        <f>IF(OR($A660="",G$24=""),"",IF(COUNTIFS('AFA Rates'!$A$5:$A$1004,$A660,'AFA Rates'!$B$5:$B$1004,G$24)&gt;0,"✓",""))</f>
        <v/>
      </c>
      <c r="H660" s="57">
        <f>IF(OR($A660="",H$24=""),"",IF(COUNTIFS('AFA Rates'!$A$5:$A$1004,$A660,'AFA Rates'!$B$5:$B$1004,H$24)&gt;0,"✓",""))</f>
        <v/>
      </c>
      <c r="I660" s="57">
        <f>IF(OR($A660="",I$24=""),"",IF(COUNTIFS('AFA Rates'!$A$5:$A$1004,$A660,'AFA Rates'!$B$5:$B$1004,I$24)&gt;0,"✓",""))</f>
        <v/>
      </c>
      <c r="J660" s="57">
        <f>IF(OR($A660="",J$24=""),"",IF(COUNTIFS('AFA Rates'!$A$5:$A$1004,$A660,'AFA Rates'!$B$5:$B$1004,J$24)&gt;0,"✓",""))</f>
        <v/>
      </c>
      <c r="K660" s="57">
        <f>IF(OR($A660="",K$24=""),"",IF(COUNTIFS('AFA Rates'!$A$5:$A$1004,$A660,'AFA Rates'!$B$5:$B$1004,K$24)&gt;0,"✓",""))</f>
        <v/>
      </c>
      <c r="L660" s="57">
        <f>IF(OR($A660="",L$24=""),"",IF(COUNTIFS('AFA Rates'!$A$5:$A$1004,$A660,'AFA Rates'!$B$5:$B$1004,L$24)&gt;0,"✓",""))</f>
        <v/>
      </c>
      <c r="M660" s="57">
        <f>IF(OR($A660="",M$24=""),"",IF(COUNTIFS('AFA Rates'!$A$5:$A$1004,$A660,'AFA Rates'!$B$5:$B$1004,M$24)&gt;0,"✓",""))</f>
        <v/>
      </c>
    </row>
    <row r="661">
      <c r="A661" s="63">
        <f>IFERROR(INDEX(Firms!$A$5:$A$1004,MATCH(637,Firms!$S$5:$S$1004,0)),"")</f>
        <v/>
      </c>
      <c r="B661" s="57">
        <f>IF($A661="","",INDEX(Firms!$B$5:$B$1004,MATCH(637,Firms!$S$5:$S$1004,0)))</f>
        <v/>
      </c>
      <c r="C661" s="57">
        <f>IF($A661="","",COUNTIF('AFA Rates'!$A$5:$A$1004,$A661))</f>
        <v/>
      </c>
      <c r="D661" s="57">
        <f>IF(OR($A661="",D$24=""),"",IF(COUNTIFS('AFA Rates'!$A$5:$A$1004,$A661,'AFA Rates'!$B$5:$B$1004,D$24)&gt;0,"✓",""))</f>
        <v/>
      </c>
      <c r="E661" s="57">
        <f>IF(OR($A661="",E$24=""),"",IF(COUNTIFS('AFA Rates'!$A$5:$A$1004,$A661,'AFA Rates'!$B$5:$B$1004,E$24)&gt;0,"✓",""))</f>
        <v/>
      </c>
      <c r="F661" s="57">
        <f>IF(OR($A661="",F$24=""),"",IF(COUNTIFS('AFA Rates'!$A$5:$A$1004,$A661,'AFA Rates'!$B$5:$B$1004,F$24)&gt;0,"✓",""))</f>
        <v/>
      </c>
      <c r="G661" s="57">
        <f>IF(OR($A661="",G$24=""),"",IF(COUNTIFS('AFA Rates'!$A$5:$A$1004,$A661,'AFA Rates'!$B$5:$B$1004,G$24)&gt;0,"✓",""))</f>
        <v/>
      </c>
      <c r="H661" s="57">
        <f>IF(OR($A661="",H$24=""),"",IF(COUNTIFS('AFA Rates'!$A$5:$A$1004,$A661,'AFA Rates'!$B$5:$B$1004,H$24)&gt;0,"✓",""))</f>
        <v/>
      </c>
      <c r="I661" s="57">
        <f>IF(OR($A661="",I$24=""),"",IF(COUNTIFS('AFA Rates'!$A$5:$A$1004,$A661,'AFA Rates'!$B$5:$B$1004,I$24)&gt;0,"✓",""))</f>
        <v/>
      </c>
      <c r="J661" s="57">
        <f>IF(OR($A661="",J$24=""),"",IF(COUNTIFS('AFA Rates'!$A$5:$A$1004,$A661,'AFA Rates'!$B$5:$B$1004,J$24)&gt;0,"✓",""))</f>
        <v/>
      </c>
      <c r="K661" s="57">
        <f>IF(OR($A661="",K$24=""),"",IF(COUNTIFS('AFA Rates'!$A$5:$A$1004,$A661,'AFA Rates'!$B$5:$B$1004,K$24)&gt;0,"✓",""))</f>
        <v/>
      </c>
      <c r="L661" s="57">
        <f>IF(OR($A661="",L$24=""),"",IF(COUNTIFS('AFA Rates'!$A$5:$A$1004,$A661,'AFA Rates'!$B$5:$B$1004,L$24)&gt;0,"✓",""))</f>
        <v/>
      </c>
      <c r="M661" s="57">
        <f>IF(OR($A661="",M$24=""),"",IF(COUNTIFS('AFA Rates'!$A$5:$A$1004,$A661,'AFA Rates'!$B$5:$B$1004,M$24)&gt;0,"✓",""))</f>
        <v/>
      </c>
    </row>
    <row r="662">
      <c r="A662" s="63">
        <f>IFERROR(INDEX(Firms!$A$5:$A$1004,MATCH(638,Firms!$S$5:$S$1004,0)),"")</f>
        <v/>
      </c>
      <c r="B662" s="57">
        <f>IF($A662="","",INDEX(Firms!$B$5:$B$1004,MATCH(638,Firms!$S$5:$S$1004,0)))</f>
        <v/>
      </c>
      <c r="C662" s="57">
        <f>IF($A662="","",COUNTIF('AFA Rates'!$A$5:$A$1004,$A662))</f>
        <v/>
      </c>
      <c r="D662" s="57">
        <f>IF(OR($A662="",D$24=""),"",IF(COUNTIFS('AFA Rates'!$A$5:$A$1004,$A662,'AFA Rates'!$B$5:$B$1004,D$24)&gt;0,"✓",""))</f>
        <v/>
      </c>
      <c r="E662" s="57">
        <f>IF(OR($A662="",E$24=""),"",IF(COUNTIFS('AFA Rates'!$A$5:$A$1004,$A662,'AFA Rates'!$B$5:$B$1004,E$24)&gt;0,"✓",""))</f>
        <v/>
      </c>
      <c r="F662" s="57">
        <f>IF(OR($A662="",F$24=""),"",IF(COUNTIFS('AFA Rates'!$A$5:$A$1004,$A662,'AFA Rates'!$B$5:$B$1004,F$24)&gt;0,"✓",""))</f>
        <v/>
      </c>
      <c r="G662" s="57">
        <f>IF(OR($A662="",G$24=""),"",IF(COUNTIFS('AFA Rates'!$A$5:$A$1004,$A662,'AFA Rates'!$B$5:$B$1004,G$24)&gt;0,"✓",""))</f>
        <v/>
      </c>
      <c r="H662" s="57">
        <f>IF(OR($A662="",H$24=""),"",IF(COUNTIFS('AFA Rates'!$A$5:$A$1004,$A662,'AFA Rates'!$B$5:$B$1004,H$24)&gt;0,"✓",""))</f>
        <v/>
      </c>
      <c r="I662" s="57">
        <f>IF(OR($A662="",I$24=""),"",IF(COUNTIFS('AFA Rates'!$A$5:$A$1004,$A662,'AFA Rates'!$B$5:$B$1004,I$24)&gt;0,"✓",""))</f>
        <v/>
      </c>
      <c r="J662" s="57">
        <f>IF(OR($A662="",J$24=""),"",IF(COUNTIFS('AFA Rates'!$A$5:$A$1004,$A662,'AFA Rates'!$B$5:$B$1004,J$24)&gt;0,"✓",""))</f>
        <v/>
      </c>
      <c r="K662" s="57">
        <f>IF(OR($A662="",K$24=""),"",IF(COUNTIFS('AFA Rates'!$A$5:$A$1004,$A662,'AFA Rates'!$B$5:$B$1004,K$24)&gt;0,"✓",""))</f>
        <v/>
      </c>
      <c r="L662" s="57">
        <f>IF(OR($A662="",L$24=""),"",IF(COUNTIFS('AFA Rates'!$A$5:$A$1004,$A662,'AFA Rates'!$B$5:$B$1004,L$24)&gt;0,"✓",""))</f>
        <v/>
      </c>
      <c r="M662" s="57">
        <f>IF(OR($A662="",M$24=""),"",IF(COUNTIFS('AFA Rates'!$A$5:$A$1004,$A662,'AFA Rates'!$B$5:$B$1004,M$24)&gt;0,"✓",""))</f>
        <v/>
      </c>
    </row>
    <row r="663">
      <c r="A663" s="63">
        <f>IFERROR(INDEX(Firms!$A$5:$A$1004,MATCH(639,Firms!$S$5:$S$1004,0)),"")</f>
        <v/>
      </c>
      <c r="B663" s="57">
        <f>IF($A663="","",INDEX(Firms!$B$5:$B$1004,MATCH(639,Firms!$S$5:$S$1004,0)))</f>
        <v/>
      </c>
      <c r="C663" s="57">
        <f>IF($A663="","",COUNTIF('AFA Rates'!$A$5:$A$1004,$A663))</f>
        <v/>
      </c>
      <c r="D663" s="57">
        <f>IF(OR($A663="",D$24=""),"",IF(COUNTIFS('AFA Rates'!$A$5:$A$1004,$A663,'AFA Rates'!$B$5:$B$1004,D$24)&gt;0,"✓",""))</f>
        <v/>
      </c>
      <c r="E663" s="57">
        <f>IF(OR($A663="",E$24=""),"",IF(COUNTIFS('AFA Rates'!$A$5:$A$1004,$A663,'AFA Rates'!$B$5:$B$1004,E$24)&gt;0,"✓",""))</f>
        <v/>
      </c>
      <c r="F663" s="57">
        <f>IF(OR($A663="",F$24=""),"",IF(COUNTIFS('AFA Rates'!$A$5:$A$1004,$A663,'AFA Rates'!$B$5:$B$1004,F$24)&gt;0,"✓",""))</f>
        <v/>
      </c>
      <c r="G663" s="57">
        <f>IF(OR($A663="",G$24=""),"",IF(COUNTIFS('AFA Rates'!$A$5:$A$1004,$A663,'AFA Rates'!$B$5:$B$1004,G$24)&gt;0,"✓",""))</f>
        <v/>
      </c>
      <c r="H663" s="57">
        <f>IF(OR($A663="",H$24=""),"",IF(COUNTIFS('AFA Rates'!$A$5:$A$1004,$A663,'AFA Rates'!$B$5:$B$1004,H$24)&gt;0,"✓",""))</f>
        <v/>
      </c>
      <c r="I663" s="57">
        <f>IF(OR($A663="",I$24=""),"",IF(COUNTIFS('AFA Rates'!$A$5:$A$1004,$A663,'AFA Rates'!$B$5:$B$1004,I$24)&gt;0,"✓",""))</f>
        <v/>
      </c>
      <c r="J663" s="57">
        <f>IF(OR($A663="",J$24=""),"",IF(COUNTIFS('AFA Rates'!$A$5:$A$1004,$A663,'AFA Rates'!$B$5:$B$1004,J$24)&gt;0,"✓",""))</f>
        <v/>
      </c>
      <c r="K663" s="57">
        <f>IF(OR($A663="",K$24=""),"",IF(COUNTIFS('AFA Rates'!$A$5:$A$1004,$A663,'AFA Rates'!$B$5:$B$1004,K$24)&gt;0,"✓",""))</f>
        <v/>
      </c>
      <c r="L663" s="57">
        <f>IF(OR($A663="",L$24=""),"",IF(COUNTIFS('AFA Rates'!$A$5:$A$1004,$A663,'AFA Rates'!$B$5:$B$1004,L$24)&gt;0,"✓",""))</f>
        <v/>
      </c>
      <c r="M663" s="57">
        <f>IF(OR($A663="",M$24=""),"",IF(COUNTIFS('AFA Rates'!$A$5:$A$1004,$A663,'AFA Rates'!$B$5:$B$1004,M$24)&gt;0,"✓",""))</f>
        <v/>
      </c>
    </row>
    <row r="664">
      <c r="A664" s="63">
        <f>IFERROR(INDEX(Firms!$A$5:$A$1004,MATCH(640,Firms!$S$5:$S$1004,0)),"")</f>
        <v/>
      </c>
      <c r="B664" s="57">
        <f>IF($A664="","",INDEX(Firms!$B$5:$B$1004,MATCH(640,Firms!$S$5:$S$1004,0)))</f>
        <v/>
      </c>
      <c r="C664" s="57">
        <f>IF($A664="","",COUNTIF('AFA Rates'!$A$5:$A$1004,$A664))</f>
        <v/>
      </c>
      <c r="D664" s="57">
        <f>IF(OR($A664="",D$24=""),"",IF(COUNTIFS('AFA Rates'!$A$5:$A$1004,$A664,'AFA Rates'!$B$5:$B$1004,D$24)&gt;0,"✓",""))</f>
        <v/>
      </c>
      <c r="E664" s="57">
        <f>IF(OR($A664="",E$24=""),"",IF(COUNTIFS('AFA Rates'!$A$5:$A$1004,$A664,'AFA Rates'!$B$5:$B$1004,E$24)&gt;0,"✓",""))</f>
        <v/>
      </c>
      <c r="F664" s="57">
        <f>IF(OR($A664="",F$24=""),"",IF(COUNTIFS('AFA Rates'!$A$5:$A$1004,$A664,'AFA Rates'!$B$5:$B$1004,F$24)&gt;0,"✓",""))</f>
        <v/>
      </c>
      <c r="G664" s="57">
        <f>IF(OR($A664="",G$24=""),"",IF(COUNTIFS('AFA Rates'!$A$5:$A$1004,$A664,'AFA Rates'!$B$5:$B$1004,G$24)&gt;0,"✓",""))</f>
        <v/>
      </c>
      <c r="H664" s="57">
        <f>IF(OR($A664="",H$24=""),"",IF(COUNTIFS('AFA Rates'!$A$5:$A$1004,$A664,'AFA Rates'!$B$5:$B$1004,H$24)&gt;0,"✓",""))</f>
        <v/>
      </c>
      <c r="I664" s="57">
        <f>IF(OR($A664="",I$24=""),"",IF(COUNTIFS('AFA Rates'!$A$5:$A$1004,$A664,'AFA Rates'!$B$5:$B$1004,I$24)&gt;0,"✓",""))</f>
        <v/>
      </c>
      <c r="J664" s="57">
        <f>IF(OR($A664="",J$24=""),"",IF(COUNTIFS('AFA Rates'!$A$5:$A$1004,$A664,'AFA Rates'!$B$5:$B$1004,J$24)&gt;0,"✓",""))</f>
        <v/>
      </c>
      <c r="K664" s="57">
        <f>IF(OR($A664="",K$24=""),"",IF(COUNTIFS('AFA Rates'!$A$5:$A$1004,$A664,'AFA Rates'!$B$5:$B$1004,K$24)&gt;0,"✓",""))</f>
        <v/>
      </c>
      <c r="L664" s="57">
        <f>IF(OR($A664="",L$24=""),"",IF(COUNTIFS('AFA Rates'!$A$5:$A$1004,$A664,'AFA Rates'!$B$5:$B$1004,L$24)&gt;0,"✓",""))</f>
        <v/>
      </c>
      <c r="M664" s="57">
        <f>IF(OR($A664="",M$24=""),"",IF(COUNTIFS('AFA Rates'!$A$5:$A$1004,$A664,'AFA Rates'!$B$5:$B$1004,M$24)&gt;0,"✓",""))</f>
        <v/>
      </c>
    </row>
    <row r="665">
      <c r="A665" s="63">
        <f>IFERROR(INDEX(Firms!$A$5:$A$1004,MATCH(641,Firms!$S$5:$S$1004,0)),"")</f>
        <v/>
      </c>
      <c r="B665" s="57">
        <f>IF($A665="","",INDEX(Firms!$B$5:$B$1004,MATCH(641,Firms!$S$5:$S$1004,0)))</f>
        <v/>
      </c>
      <c r="C665" s="57">
        <f>IF($A665="","",COUNTIF('AFA Rates'!$A$5:$A$1004,$A665))</f>
        <v/>
      </c>
      <c r="D665" s="57">
        <f>IF(OR($A665="",D$24=""),"",IF(COUNTIFS('AFA Rates'!$A$5:$A$1004,$A665,'AFA Rates'!$B$5:$B$1004,D$24)&gt;0,"✓",""))</f>
        <v/>
      </c>
      <c r="E665" s="57">
        <f>IF(OR($A665="",E$24=""),"",IF(COUNTIFS('AFA Rates'!$A$5:$A$1004,$A665,'AFA Rates'!$B$5:$B$1004,E$24)&gt;0,"✓",""))</f>
        <v/>
      </c>
      <c r="F665" s="57">
        <f>IF(OR($A665="",F$24=""),"",IF(COUNTIFS('AFA Rates'!$A$5:$A$1004,$A665,'AFA Rates'!$B$5:$B$1004,F$24)&gt;0,"✓",""))</f>
        <v/>
      </c>
      <c r="G665" s="57">
        <f>IF(OR($A665="",G$24=""),"",IF(COUNTIFS('AFA Rates'!$A$5:$A$1004,$A665,'AFA Rates'!$B$5:$B$1004,G$24)&gt;0,"✓",""))</f>
        <v/>
      </c>
      <c r="H665" s="57">
        <f>IF(OR($A665="",H$24=""),"",IF(COUNTIFS('AFA Rates'!$A$5:$A$1004,$A665,'AFA Rates'!$B$5:$B$1004,H$24)&gt;0,"✓",""))</f>
        <v/>
      </c>
      <c r="I665" s="57">
        <f>IF(OR($A665="",I$24=""),"",IF(COUNTIFS('AFA Rates'!$A$5:$A$1004,$A665,'AFA Rates'!$B$5:$B$1004,I$24)&gt;0,"✓",""))</f>
        <v/>
      </c>
      <c r="J665" s="57">
        <f>IF(OR($A665="",J$24=""),"",IF(COUNTIFS('AFA Rates'!$A$5:$A$1004,$A665,'AFA Rates'!$B$5:$B$1004,J$24)&gt;0,"✓",""))</f>
        <v/>
      </c>
      <c r="K665" s="57">
        <f>IF(OR($A665="",K$24=""),"",IF(COUNTIFS('AFA Rates'!$A$5:$A$1004,$A665,'AFA Rates'!$B$5:$B$1004,K$24)&gt;0,"✓",""))</f>
        <v/>
      </c>
      <c r="L665" s="57">
        <f>IF(OR($A665="",L$24=""),"",IF(COUNTIFS('AFA Rates'!$A$5:$A$1004,$A665,'AFA Rates'!$B$5:$B$1004,L$24)&gt;0,"✓",""))</f>
        <v/>
      </c>
      <c r="M665" s="57">
        <f>IF(OR($A665="",M$24=""),"",IF(COUNTIFS('AFA Rates'!$A$5:$A$1004,$A665,'AFA Rates'!$B$5:$B$1004,M$24)&gt;0,"✓",""))</f>
        <v/>
      </c>
    </row>
    <row r="666">
      <c r="A666" s="63">
        <f>IFERROR(INDEX(Firms!$A$5:$A$1004,MATCH(642,Firms!$S$5:$S$1004,0)),"")</f>
        <v/>
      </c>
      <c r="B666" s="57">
        <f>IF($A666="","",INDEX(Firms!$B$5:$B$1004,MATCH(642,Firms!$S$5:$S$1004,0)))</f>
        <v/>
      </c>
      <c r="C666" s="57">
        <f>IF($A666="","",COUNTIF('AFA Rates'!$A$5:$A$1004,$A666))</f>
        <v/>
      </c>
      <c r="D666" s="57">
        <f>IF(OR($A666="",D$24=""),"",IF(COUNTIFS('AFA Rates'!$A$5:$A$1004,$A666,'AFA Rates'!$B$5:$B$1004,D$24)&gt;0,"✓",""))</f>
        <v/>
      </c>
      <c r="E666" s="57">
        <f>IF(OR($A666="",E$24=""),"",IF(COUNTIFS('AFA Rates'!$A$5:$A$1004,$A666,'AFA Rates'!$B$5:$B$1004,E$24)&gt;0,"✓",""))</f>
        <v/>
      </c>
      <c r="F666" s="57">
        <f>IF(OR($A666="",F$24=""),"",IF(COUNTIFS('AFA Rates'!$A$5:$A$1004,$A666,'AFA Rates'!$B$5:$B$1004,F$24)&gt;0,"✓",""))</f>
        <v/>
      </c>
      <c r="G666" s="57">
        <f>IF(OR($A666="",G$24=""),"",IF(COUNTIFS('AFA Rates'!$A$5:$A$1004,$A666,'AFA Rates'!$B$5:$B$1004,G$24)&gt;0,"✓",""))</f>
        <v/>
      </c>
      <c r="H666" s="57">
        <f>IF(OR($A666="",H$24=""),"",IF(COUNTIFS('AFA Rates'!$A$5:$A$1004,$A666,'AFA Rates'!$B$5:$B$1004,H$24)&gt;0,"✓",""))</f>
        <v/>
      </c>
      <c r="I666" s="57">
        <f>IF(OR($A666="",I$24=""),"",IF(COUNTIFS('AFA Rates'!$A$5:$A$1004,$A666,'AFA Rates'!$B$5:$B$1004,I$24)&gt;0,"✓",""))</f>
        <v/>
      </c>
      <c r="J666" s="57">
        <f>IF(OR($A666="",J$24=""),"",IF(COUNTIFS('AFA Rates'!$A$5:$A$1004,$A666,'AFA Rates'!$B$5:$B$1004,J$24)&gt;0,"✓",""))</f>
        <v/>
      </c>
      <c r="K666" s="57">
        <f>IF(OR($A666="",K$24=""),"",IF(COUNTIFS('AFA Rates'!$A$5:$A$1004,$A666,'AFA Rates'!$B$5:$B$1004,K$24)&gt;0,"✓",""))</f>
        <v/>
      </c>
      <c r="L666" s="57">
        <f>IF(OR($A666="",L$24=""),"",IF(COUNTIFS('AFA Rates'!$A$5:$A$1004,$A666,'AFA Rates'!$B$5:$B$1004,L$24)&gt;0,"✓",""))</f>
        <v/>
      </c>
      <c r="M666" s="57">
        <f>IF(OR($A666="",M$24=""),"",IF(COUNTIFS('AFA Rates'!$A$5:$A$1004,$A666,'AFA Rates'!$B$5:$B$1004,M$24)&gt;0,"✓",""))</f>
        <v/>
      </c>
    </row>
    <row r="667">
      <c r="A667" s="63">
        <f>IFERROR(INDEX(Firms!$A$5:$A$1004,MATCH(643,Firms!$S$5:$S$1004,0)),"")</f>
        <v/>
      </c>
      <c r="B667" s="57">
        <f>IF($A667="","",INDEX(Firms!$B$5:$B$1004,MATCH(643,Firms!$S$5:$S$1004,0)))</f>
        <v/>
      </c>
      <c r="C667" s="57">
        <f>IF($A667="","",COUNTIF('AFA Rates'!$A$5:$A$1004,$A667))</f>
        <v/>
      </c>
      <c r="D667" s="57">
        <f>IF(OR($A667="",D$24=""),"",IF(COUNTIFS('AFA Rates'!$A$5:$A$1004,$A667,'AFA Rates'!$B$5:$B$1004,D$24)&gt;0,"✓",""))</f>
        <v/>
      </c>
      <c r="E667" s="57">
        <f>IF(OR($A667="",E$24=""),"",IF(COUNTIFS('AFA Rates'!$A$5:$A$1004,$A667,'AFA Rates'!$B$5:$B$1004,E$24)&gt;0,"✓",""))</f>
        <v/>
      </c>
      <c r="F667" s="57">
        <f>IF(OR($A667="",F$24=""),"",IF(COUNTIFS('AFA Rates'!$A$5:$A$1004,$A667,'AFA Rates'!$B$5:$B$1004,F$24)&gt;0,"✓",""))</f>
        <v/>
      </c>
      <c r="G667" s="57">
        <f>IF(OR($A667="",G$24=""),"",IF(COUNTIFS('AFA Rates'!$A$5:$A$1004,$A667,'AFA Rates'!$B$5:$B$1004,G$24)&gt;0,"✓",""))</f>
        <v/>
      </c>
      <c r="H667" s="57">
        <f>IF(OR($A667="",H$24=""),"",IF(COUNTIFS('AFA Rates'!$A$5:$A$1004,$A667,'AFA Rates'!$B$5:$B$1004,H$24)&gt;0,"✓",""))</f>
        <v/>
      </c>
      <c r="I667" s="57">
        <f>IF(OR($A667="",I$24=""),"",IF(COUNTIFS('AFA Rates'!$A$5:$A$1004,$A667,'AFA Rates'!$B$5:$B$1004,I$24)&gt;0,"✓",""))</f>
        <v/>
      </c>
      <c r="J667" s="57">
        <f>IF(OR($A667="",J$24=""),"",IF(COUNTIFS('AFA Rates'!$A$5:$A$1004,$A667,'AFA Rates'!$B$5:$B$1004,J$24)&gt;0,"✓",""))</f>
        <v/>
      </c>
      <c r="K667" s="57">
        <f>IF(OR($A667="",K$24=""),"",IF(COUNTIFS('AFA Rates'!$A$5:$A$1004,$A667,'AFA Rates'!$B$5:$B$1004,K$24)&gt;0,"✓",""))</f>
        <v/>
      </c>
      <c r="L667" s="57">
        <f>IF(OR($A667="",L$24=""),"",IF(COUNTIFS('AFA Rates'!$A$5:$A$1004,$A667,'AFA Rates'!$B$5:$B$1004,L$24)&gt;0,"✓",""))</f>
        <v/>
      </c>
      <c r="M667" s="57">
        <f>IF(OR($A667="",M$24=""),"",IF(COUNTIFS('AFA Rates'!$A$5:$A$1004,$A667,'AFA Rates'!$B$5:$B$1004,M$24)&gt;0,"✓",""))</f>
        <v/>
      </c>
    </row>
    <row r="668">
      <c r="A668" s="63">
        <f>IFERROR(INDEX(Firms!$A$5:$A$1004,MATCH(644,Firms!$S$5:$S$1004,0)),"")</f>
        <v/>
      </c>
      <c r="B668" s="57">
        <f>IF($A668="","",INDEX(Firms!$B$5:$B$1004,MATCH(644,Firms!$S$5:$S$1004,0)))</f>
        <v/>
      </c>
      <c r="C668" s="57">
        <f>IF($A668="","",COUNTIF('AFA Rates'!$A$5:$A$1004,$A668))</f>
        <v/>
      </c>
      <c r="D668" s="57">
        <f>IF(OR($A668="",D$24=""),"",IF(COUNTIFS('AFA Rates'!$A$5:$A$1004,$A668,'AFA Rates'!$B$5:$B$1004,D$24)&gt;0,"✓",""))</f>
        <v/>
      </c>
      <c r="E668" s="57">
        <f>IF(OR($A668="",E$24=""),"",IF(COUNTIFS('AFA Rates'!$A$5:$A$1004,$A668,'AFA Rates'!$B$5:$B$1004,E$24)&gt;0,"✓",""))</f>
        <v/>
      </c>
      <c r="F668" s="57">
        <f>IF(OR($A668="",F$24=""),"",IF(COUNTIFS('AFA Rates'!$A$5:$A$1004,$A668,'AFA Rates'!$B$5:$B$1004,F$24)&gt;0,"✓",""))</f>
        <v/>
      </c>
      <c r="G668" s="57">
        <f>IF(OR($A668="",G$24=""),"",IF(COUNTIFS('AFA Rates'!$A$5:$A$1004,$A668,'AFA Rates'!$B$5:$B$1004,G$24)&gt;0,"✓",""))</f>
        <v/>
      </c>
      <c r="H668" s="57">
        <f>IF(OR($A668="",H$24=""),"",IF(COUNTIFS('AFA Rates'!$A$5:$A$1004,$A668,'AFA Rates'!$B$5:$B$1004,H$24)&gt;0,"✓",""))</f>
        <v/>
      </c>
      <c r="I668" s="57">
        <f>IF(OR($A668="",I$24=""),"",IF(COUNTIFS('AFA Rates'!$A$5:$A$1004,$A668,'AFA Rates'!$B$5:$B$1004,I$24)&gt;0,"✓",""))</f>
        <v/>
      </c>
      <c r="J668" s="57">
        <f>IF(OR($A668="",J$24=""),"",IF(COUNTIFS('AFA Rates'!$A$5:$A$1004,$A668,'AFA Rates'!$B$5:$B$1004,J$24)&gt;0,"✓",""))</f>
        <v/>
      </c>
      <c r="K668" s="57">
        <f>IF(OR($A668="",K$24=""),"",IF(COUNTIFS('AFA Rates'!$A$5:$A$1004,$A668,'AFA Rates'!$B$5:$B$1004,K$24)&gt;0,"✓",""))</f>
        <v/>
      </c>
      <c r="L668" s="57">
        <f>IF(OR($A668="",L$24=""),"",IF(COUNTIFS('AFA Rates'!$A$5:$A$1004,$A668,'AFA Rates'!$B$5:$B$1004,L$24)&gt;0,"✓",""))</f>
        <v/>
      </c>
      <c r="M668" s="57">
        <f>IF(OR($A668="",M$24=""),"",IF(COUNTIFS('AFA Rates'!$A$5:$A$1004,$A668,'AFA Rates'!$B$5:$B$1004,M$24)&gt;0,"✓",""))</f>
        <v/>
      </c>
    </row>
    <row r="669">
      <c r="A669" s="63">
        <f>IFERROR(INDEX(Firms!$A$5:$A$1004,MATCH(645,Firms!$S$5:$S$1004,0)),"")</f>
        <v/>
      </c>
      <c r="B669" s="57">
        <f>IF($A669="","",INDEX(Firms!$B$5:$B$1004,MATCH(645,Firms!$S$5:$S$1004,0)))</f>
        <v/>
      </c>
      <c r="C669" s="57">
        <f>IF($A669="","",COUNTIF('AFA Rates'!$A$5:$A$1004,$A669))</f>
        <v/>
      </c>
      <c r="D669" s="57">
        <f>IF(OR($A669="",D$24=""),"",IF(COUNTIFS('AFA Rates'!$A$5:$A$1004,$A669,'AFA Rates'!$B$5:$B$1004,D$24)&gt;0,"✓",""))</f>
        <v/>
      </c>
      <c r="E669" s="57">
        <f>IF(OR($A669="",E$24=""),"",IF(COUNTIFS('AFA Rates'!$A$5:$A$1004,$A669,'AFA Rates'!$B$5:$B$1004,E$24)&gt;0,"✓",""))</f>
        <v/>
      </c>
      <c r="F669" s="57">
        <f>IF(OR($A669="",F$24=""),"",IF(COUNTIFS('AFA Rates'!$A$5:$A$1004,$A669,'AFA Rates'!$B$5:$B$1004,F$24)&gt;0,"✓",""))</f>
        <v/>
      </c>
      <c r="G669" s="57">
        <f>IF(OR($A669="",G$24=""),"",IF(COUNTIFS('AFA Rates'!$A$5:$A$1004,$A669,'AFA Rates'!$B$5:$B$1004,G$24)&gt;0,"✓",""))</f>
        <v/>
      </c>
      <c r="H669" s="57">
        <f>IF(OR($A669="",H$24=""),"",IF(COUNTIFS('AFA Rates'!$A$5:$A$1004,$A669,'AFA Rates'!$B$5:$B$1004,H$24)&gt;0,"✓",""))</f>
        <v/>
      </c>
      <c r="I669" s="57">
        <f>IF(OR($A669="",I$24=""),"",IF(COUNTIFS('AFA Rates'!$A$5:$A$1004,$A669,'AFA Rates'!$B$5:$B$1004,I$24)&gt;0,"✓",""))</f>
        <v/>
      </c>
      <c r="J669" s="57">
        <f>IF(OR($A669="",J$24=""),"",IF(COUNTIFS('AFA Rates'!$A$5:$A$1004,$A669,'AFA Rates'!$B$5:$B$1004,J$24)&gt;0,"✓",""))</f>
        <v/>
      </c>
      <c r="K669" s="57">
        <f>IF(OR($A669="",K$24=""),"",IF(COUNTIFS('AFA Rates'!$A$5:$A$1004,$A669,'AFA Rates'!$B$5:$B$1004,K$24)&gt;0,"✓",""))</f>
        <v/>
      </c>
      <c r="L669" s="57">
        <f>IF(OR($A669="",L$24=""),"",IF(COUNTIFS('AFA Rates'!$A$5:$A$1004,$A669,'AFA Rates'!$B$5:$B$1004,L$24)&gt;0,"✓",""))</f>
        <v/>
      </c>
      <c r="M669" s="57">
        <f>IF(OR($A669="",M$24=""),"",IF(COUNTIFS('AFA Rates'!$A$5:$A$1004,$A669,'AFA Rates'!$B$5:$B$1004,M$24)&gt;0,"✓",""))</f>
        <v/>
      </c>
    </row>
    <row r="670">
      <c r="A670" s="63">
        <f>IFERROR(INDEX(Firms!$A$5:$A$1004,MATCH(646,Firms!$S$5:$S$1004,0)),"")</f>
        <v/>
      </c>
      <c r="B670" s="57">
        <f>IF($A670="","",INDEX(Firms!$B$5:$B$1004,MATCH(646,Firms!$S$5:$S$1004,0)))</f>
        <v/>
      </c>
      <c r="C670" s="57">
        <f>IF($A670="","",COUNTIF('AFA Rates'!$A$5:$A$1004,$A670))</f>
        <v/>
      </c>
      <c r="D670" s="57">
        <f>IF(OR($A670="",D$24=""),"",IF(COUNTIFS('AFA Rates'!$A$5:$A$1004,$A670,'AFA Rates'!$B$5:$B$1004,D$24)&gt;0,"✓",""))</f>
        <v/>
      </c>
      <c r="E670" s="57">
        <f>IF(OR($A670="",E$24=""),"",IF(COUNTIFS('AFA Rates'!$A$5:$A$1004,$A670,'AFA Rates'!$B$5:$B$1004,E$24)&gt;0,"✓",""))</f>
        <v/>
      </c>
      <c r="F670" s="57">
        <f>IF(OR($A670="",F$24=""),"",IF(COUNTIFS('AFA Rates'!$A$5:$A$1004,$A670,'AFA Rates'!$B$5:$B$1004,F$24)&gt;0,"✓",""))</f>
        <v/>
      </c>
      <c r="G670" s="57">
        <f>IF(OR($A670="",G$24=""),"",IF(COUNTIFS('AFA Rates'!$A$5:$A$1004,$A670,'AFA Rates'!$B$5:$B$1004,G$24)&gt;0,"✓",""))</f>
        <v/>
      </c>
      <c r="H670" s="57">
        <f>IF(OR($A670="",H$24=""),"",IF(COUNTIFS('AFA Rates'!$A$5:$A$1004,$A670,'AFA Rates'!$B$5:$B$1004,H$24)&gt;0,"✓",""))</f>
        <v/>
      </c>
      <c r="I670" s="57">
        <f>IF(OR($A670="",I$24=""),"",IF(COUNTIFS('AFA Rates'!$A$5:$A$1004,$A670,'AFA Rates'!$B$5:$B$1004,I$24)&gt;0,"✓",""))</f>
        <v/>
      </c>
      <c r="J670" s="57">
        <f>IF(OR($A670="",J$24=""),"",IF(COUNTIFS('AFA Rates'!$A$5:$A$1004,$A670,'AFA Rates'!$B$5:$B$1004,J$24)&gt;0,"✓",""))</f>
        <v/>
      </c>
      <c r="K670" s="57">
        <f>IF(OR($A670="",K$24=""),"",IF(COUNTIFS('AFA Rates'!$A$5:$A$1004,$A670,'AFA Rates'!$B$5:$B$1004,K$24)&gt;0,"✓",""))</f>
        <v/>
      </c>
      <c r="L670" s="57">
        <f>IF(OR($A670="",L$24=""),"",IF(COUNTIFS('AFA Rates'!$A$5:$A$1004,$A670,'AFA Rates'!$B$5:$B$1004,L$24)&gt;0,"✓",""))</f>
        <v/>
      </c>
      <c r="M670" s="57">
        <f>IF(OR($A670="",M$24=""),"",IF(COUNTIFS('AFA Rates'!$A$5:$A$1004,$A670,'AFA Rates'!$B$5:$B$1004,M$24)&gt;0,"✓",""))</f>
        <v/>
      </c>
    </row>
    <row r="671">
      <c r="A671" s="63">
        <f>IFERROR(INDEX(Firms!$A$5:$A$1004,MATCH(647,Firms!$S$5:$S$1004,0)),"")</f>
        <v/>
      </c>
      <c r="B671" s="57">
        <f>IF($A671="","",INDEX(Firms!$B$5:$B$1004,MATCH(647,Firms!$S$5:$S$1004,0)))</f>
        <v/>
      </c>
      <c r="C671" s="57">
        <f>IF($A671="","",COUNTIF('AFA Rates'!$A$5:$A$1004,$A671))</f>
        <v/>
      </c>
      <c r="D671" s="57">
        <f>IF(OR($A671="",D$24=""),"",IF(COUNTIFS('AFA Rates'!$A$5:$A$1004,$A671,'AFA Rates'!$B$5:$B$1004,D$24)&gt;0,"✓",""))</f>
        <v/>
      </c>
      <c r="E671" s="57">
        <f>IF(OR($A671="",E$24=""),"",IF(COUNTIFS('AFA Rates'!$A$5:$A$1004,$A671,'AFA Rates'!$B$5:$B$1004,E$24)&gt;0,"✓",""))</f>
        <v/>
      </c>
      <c r="F671" s="57">
        <f>IF(OR($A671="",F$24=""),"",IF(COUNTIFS('AFA Rates'!$A$5:$A$1004,$A671,'AFA Rates'!$B$5:$B$1004,F$24)&gt;0,"✓",""))</f>
        <v/>
      </c>
      <c r="G671" s="57">
        <f>IF(OR($A671="",G$24=""),"",IF(COUNTIFS('AFA Rates'!$A$5:$A$1004,$A671,'AFA Rates'!$B$5:$B$1004,G$24)&gt;0,"✓",""))</f>
        <v/>
      </c>
      <c r="H671" s="57">
        <f>IF(OR($A671="",H$24=""),"",IF(COUNTIFS('AFA Rates'!$A$5:$A$1004,$A671,'AFA Rates'!$B$5:$B$1004,H$24)&gt;0,"✓",""))</f>
        <v/>
      </c>
      <c r="I671" s="57">
        <f>IF(OR($A671="",I$24=""),"",IF(COUNTIFS('AFA Rates'!$A$5:$A$1004,$A671,'AFA Rates'!$B$5:$B$1004,I$24)&gt;0,"✓",""))</f>
        <v/>
      </c>
      <c r="J671" s="57">
        <f>IF(OR($A671="",J$24=""),"",IF(COUNTIFS('AFA Rates'!$A$5:$A$1004,$A671,'AFA Rates'!$B$5:$B$1004,J$24)&gt;0,"✓",""))</f>
        <v/>
      </c>
      <c r="K671" s="57">
        <f>IF(OR($A671="",K$24=""),"",IF(COUNTIFS('AFA Rates'!$A$5:$A$1004,$A671,'AFA Rates'!$B$5:$B$1004,K$24)&gt;0,"✓",""))</f>
        <v/>
      </c>
      <c r="L671" s="57">
        <f>IF(OR($A671="",L$24=""),"",IF(COUNTIFS('AFA Rates'!$A$5:$A$1004,$A671,'AFA Rates'!$B$5:$B$1004,L$24)&gt;0,"✓",""))</f>
        <v/>
      </c>
      <c r="M671" s="57">
        <f>IF(OR($A671="",M$24=""),"",IF(COUNTIFS('AFA Rates'!$A$5:$A$1004,$A671,'AFA Rates'!$B$5:$B$1004,M$24)&gt;0,"✓",""))</f>
        <v/>
      </c>
    </row>
    <row r="672">
      <c r="A672" s="63">
        <f>IFERROR(INDEX(Firms!$A$5:$A$1004,MATCH(648,Firms!$S$5:$S$1004,0)),"")</f>
        <v/>
      </c>
      <c r="B672" s="57">
        <f>IF($A672="","",INDEX(Firms!$B$5:$B$1004,MATCH(648,Firms!$S$5:$S$1004,0)))</f>
        <v/>
      </c>
      <c r="C672" s="57">
        <f>IF($A672="","",COUNTIF('AFA Rates'!$A$5:$A$1004,$A672))</f>
        <v/>
      </c>
      <c r="D672" s="57">
        <f>IF(OR($A672="",D$24=""),"",IF(COUNTIFS('AFA Rates'!$A$5:$A$1004,$A672,'AFA Rates'!$B$5:$B$1004,D$24)&gt;0,"✓",""))</f>
        <v/>
      </c>
      <c r="E672" s="57">
        <f>IF(OR($A672="",E$24=""),"",IF(COUNTIFS('AFA Rates'!$A$5:$A$1004,$A672,'AFA Rates'!$B$5:$B$1004,E$24)&gt;0,"✓",""))</f>
        <v/>
      </c>
      <c r="F672" s="57">
        <f>IF(OR($A672="",F$24=""),"",IF(COUNTIFS('AFA Rates'!$A$5:$A$1004,$A672,'AFA Rates'!$B$5:$B$1004,F$24)&gt;0,"✓",""))</f>
        <v/>
      </c>
      <c r="G672" s="57">
        <f>IF(OR($A672="",G$24=""),"",IF(COUNTIFS('AFA Rates'!$A$5:$A$1004,$A672,'AFA Rates'!$B$5:$B$1004,G$24)&gt;0,"✓",""))</f>
        <v/>
      </c>
      <c r="H672" s="57">
        <f>IF(OR($A672="",H$24=""),"",IF(COUNTIFS('AFA Rates'!$A$5:$A$1004,$A672,'AFA Rates'!$B$5:$B$1004,H$24)&gt;0,"✓",""))</f>
        <v/>
      </c>
      <c r="I672" s="57">
        <f>IF(OR($A672="",I$24=""),"",IF(COUNTIFS('AFA Rates'!$A$5:$A$1004,$A672,'AFA Rates'!$B$5:$B$1004,I$24)&gt;0,"✓",""))</f>
        <v/>
      </c>
      <c r="J672" s="57">
        <f>IF(OR($A672="",J$24=""),"",IF(COUNTIFS('AFA Rates'!$A$5:$A$1004,$A672,'AFA Rates'!$B$5:$B$1004,J$24)&gt;0,"✓",""))</f>
        <v/>
      </c>
      <c r="K672" s="57">
        <f>IF(OR($A672="",K$24=""),"",IF(COUNTIFS('AFA Rates'!$A$5:$A$1004,$A672,'AFA Rates'!$B$5:$B$1004,K$24)&gt;0,"✓",""))</f>
        <v/>
      </c>
      <c r="L672" s="57">
        <f>IF(OR($A672="",L$24=""),"",IF(COUNTIFS('AFA Rates'!$A$5:$A$1004,$A672,'AFA Rates'!$B$5:$B$1004,L$24)&gt;0,"✓",""))</f>
        <v/>
      </c>
      <c r="M672" s="57">
        <f>IF(OR($A672="",M$24=""),"",IF(COUNTIFS('AFA Rates'!$A$5:$A$1004,$A672,'AFA Rates'!$B$5:$B$1004,M$24)&gt;0,"✓",""))</f>
        <v/>
      </c>
    </row>
    <row r="673">
      <c r="A673" s="63">
        <f>IFERROR(INDEX(Firms!$A$5:$A$1004,MATCH(649,Firms!$S$5:$S$1004,0)),"")</f>
        <v/>
      </c>
      <c r="B673" s="57">
        <f>IF($A673="","",INDEX(Firms!$B$5:$B$1004,MATCH(649,Firms!$S$5:$S$1004,0)))</f>
        <v/>
      </c>
      <c r="C673" s="57">
        <f>IF($A673="","",COUNTIF('AFA Rates'!$A$5:$A$1004,$A673))</f>
        <v/>
      </c>
      <c r="D673" s="57">
        <f>IF(OR($A673="",D$24=""),"",IF(COUNTIFS('AFA Rates'!$A$5:$A$1004,$A673,'AFA Rates'!$B$5:$B$1004,D$24)&gt;0,"✓",""))</f>
        <v/>
      </c>
      <c r="E673" s="57">
        <f>IF(OR($A673="",E$24=""),"",IF(COUNTIFS('AFA Rates'!$A$5:$A$1004,$A673,'AFA Rates'!$B$5:$B$1004,E$24)&gt;0,"✓",""))</f>
        <v/>
      </c>
      <c r="F673" s="57">
        <f>IF(OR($A673="",F$24=""),"",IF(COUNTIFS('AFA Rates'!$A$5:$A$1004,$A673,'AFA Rates'!$B$5:$B$1004,F$24)&gt;0,"✓",""))</f>
        <v/>
      </c>
      <c r="G673" s="57">
        <f>IF(OR($A673="",G$24=""),"",IF(COUNTIFS('AFA Rates'!$A$5:$A$1004,$A673,'AFA Rates'!$B$5:$B$1004,G$24)&gt;0,"✓",""))</f>
        <v/>
      </c>
      <c r="H673" s="57">
        <f>IF(OR($A673="",H$24=""),"",IF(COUNTIFS('AFA Rates'!$A$5:$A$1004,$A673,'AFA Rates'!$B$5:$B$1004,H$24)&gt;0,"✓",""))</f>
        <v/>
      </c>
      <c r="I673" s="57">
        <f>IF(OR($A673="",I$24=""),"",IF(COUNTIFS('AFA Rates'!$A$5:$A$1004,$A673,'AFA Rates'!$B$5:$B$1004,I$24)&gt;0,"✓",""))</f>
        <v/>
      </c>
      <c r="J673" s="57">
        <f>IF(OR($A673="",J$24=""),"",IF(COUNTIFS('AFA Rates'!$A$5:$A$1004,$A673,'AFA Rates'!$B$5:$B$1004,J$24)&gt;0,"✓",""))</f>
        <v/>
      </c>
      <c r="K673" s="57">
        <f>IF(OR($A673="",K$24=""),"",IF(COUNTIFS('AFA Rates'!$A$5:$A$1004,$A673,'AFA Rates'!$B$5:$B$1004,K$24)&gt;0,"✓",""))</f>
        <v/>
      </c>
      <c r="L673" s="57">
        <f>IF(OR($A673="",L$24=""),"",IF(COUNTIFS('AFA Rates'!$A$5:$A$1004,$A673,'AFA Rates'!$B$5:$B$1004,L$24)&gt;0,"✓",""))</f>
        <v/>
      </c>
      <c r="M673" s="57">
        <f>IF(OR($A673="",M$24=""),"",IF(COUNTIFS('AFA Rates'!$A$5:$A$1004,$A673,'AFA Rates'!$B$5:$B$1004,M$24)&gt;0,"✓",""))</f>
        <v/>
      </c>
    </row>
    <row r="674">
      <c r="A674" s="63">
        <f>IFERROR(INDEX(Firms!$A$5:$A$1004,MATCH(650,Firms!$S$5:$S$1004,0)),"")</f>
        <v/>
      </c>
      <c r="B674" s="57">
        <f>IF($A674="","",INDEX(Firms!$B$5:$B$1004,MATCH(650,Firms!$S$5:$S$1004,0)))</f>
        <v/>
      </c>
      <c r="C674" s="57">
        <f>IF($A674="","",COUNTIF('AFA Rates'!$A$5:$A$1004,$A674))</f>
        <v/>
      </c>
      <c r="D674" s="57">
        <f>IF(OR($A674="",D$24=""),"",IF(COUNTIFS('AFA Rates'!$A$5:$A$1004,$A674,'AFA Rates'!$B$5:$B$1004,D$24)&gt;0,"✓",""))</f>
        <v/>
      </c>
      <c r="E674" s="57">
        <f>IF(OR($A674="",E$24=""),"",IF(COUNTIFS('AFA Rates'!$A$5:$A$1004,$A674,'AFA Rates'!$B$5:$B$1004,E$24)&gt;0,"✓",""))</f>
        <v/>
      </c>
      <c r="F674" s="57">
        <f>IF(OR($A674="",F$24=""),"",IF(COUNTIFS('AFA Rates'!$A$5:$A$1004,$A674,'AFA Rates'!$B$5:$B$1004,F$24)&gt;0,"✓",""))</f>
        <v/>
      </c>
      <c r="G674" s="57">
        <f>IF(OR($A674="",G$24=""),"",IF(COUNTIFS('AFA Rates'!$A$5:$A$1004,$A674,'AFA Rates'!$B$5:$B$1004,G$24)&gt;0,"✓",""))</f>
        <v/>
      </c>
      <c r="H674" s="57">
        <f>IF(OR($A674="",H$24=""),"",IF(COUNTIFS('AFA Rates'!$A$5:$A$1004,$A674,'AFA Rates'!$B$5:$B$1004,H$24)&gt;0,"✓",""))</f>
        <v/>
      </c>
      <c r="I674" s="57">
        <f>IF(OR($A674="",I$24=""),"",IF(COUNTIFS('AFA Rates'!$A$5:$A$1004,$A674,'AFA Rates'!$B$5:$B$1004,I$24)&gt;0,"✓",""))</f>
        <v/>
      </c>
      <c r="J674" s="57">
        <f>IF(OR($A674="",J$24=""),"",IF(COUNTIFS('AFA Rates'!$A$5:$A$1004,$A674,'AFA Rates'!$B$5:$B$1004,J$24)&gt;0,"✓",""))</f>
        <v/>
      </c>
      <c r="K674" s="57">
        <f>IF(OR($A674="",K$24=""),"",IF(COUNTIFS('AFA Rates'!$A$5:$A$1004,$A674,'AFA Rates'!$B$5:$B$1004,K$24)&gt;0,"✓",""))</f>
        <v/>
      </c>
      <c r="L674" s="57">
        <f>IF(OR($A674="",L$24=""),"",IF(COUNTIFS('AFA Rates'!$A$5:$A$1004,$A674,'AFA Rates'!$B$5:$B$1004,L$24)&gt;0,"✓",""))</f>
        <v/>
      </c>
      <c r="M674" s="57">
        <f>IF(OR($A674="",M$24=""),"",IF(COUNTIFS('AFA Rates'!$A$5:$A$1004,$A674,'AFA Rates'!$B$5:$B$1004,M$24)&gt;0,"✓",""))</f>
        <v/>
      </c>
    </row>
    <row r="675">
      <c r="A675" s="63">
        <f>IFERROR(INDEX(Firms!$A$5:$A$1004,MATCH(651,Firms!$S$5:$S$1004,0)),"")</f>
        <v/>
      </c>
      <c r="B675" s="57">
        <f>IF($A675="","",INDEX(Firms!$B$5:$B$1004,MATCH(651,Firms!$S$5:$S$1004,0)))</f>
        <v/>
      </c>
      <c r="C675" s="57">
        <f>IF($A675="","",COUNTIF('AFA Rates'!$A$5:$A$1004,$A675))</f>
        <v/>
      </c>
      <c r="D675" s="57">
        <f>IF(OR($A675="",D$24=""),"",IF(COUNTIFS('AFA Rates'!$A$5:$A$1004,$A675,'AFA Rates'!$B$5:$B$1004,D$24)&gt;0,"✓",""))</f>
        <v/>
      </c>
      <c r="E675" s="57">
        <f>IF(OR($A675="",E$24=""),"",IF(COUNTIFS('AFA Rates'!$A$5:$A$1004,$A675,'AFA Rates'!$B$5:$B$1004,E$24)&gt;0,"✓",""))</f>
        <v/>
      </c>
      <c r="F675" s="57">
        <f>IF(OR($A675="",F$24=""),"",IF(COUNTIFS('AFA Rates'!$A$5:$A$1004,$A675,'AFA Rates'!$B$5:$B$1004,F$24)&gt;0,"✓",""))</f>
        <v/>
      </c>
      <c r="G675" s="57">
        <f>IF(OR($A675="",G$24=""),"",IF(COUNTIFS('AFA Rates'!$A$5:$A$1004,$A675,'AFA Rates'!$B$5:$B$1004,G$24)&gt;0,"✓",""))</f>
        <v/>
      </c>
      <c r="H675" s="57">
        <f>IF(OR($A675="",H$24=""),"",IF(COUNTIFS('AFA Rates'!$A$5:$A$1004,$A675,'AFA Rates'!$B$5:$B$1004,H$24)&gt;0,"✓",""))</f>
        <v/>
      </c>
      <c r="I675" s="57">
        <f>IF(OR($A675="",I$24=""),"",IF(COUNTIFS('AFA Rates'!$A$5:$A$1004,$A675,'AFA Rates'!$B$5:$B$1004,I$24)&gt;0,"✓",""))</f>
        <v/>
      </c>
      <c r="J675" s="57">
        <f>IF(OR($A675="",J$24=""),"",IF(COUNTIFS('AFA Rates'!$A$5:$A$1004,$A675,'AFA Rates'!$B$5:$B$1004,J$24)&gt;0,"✓",""))</f>
        <v/>
      </c>
      <c r="K675" s="57">
        <f>IF(OR($A675="",K$24=""),"",IF(COUNTIFS('AFA Rates'!$A$5:$A$1004,$A675,'AFA Rates'!$B$5:$B$1004,K$24)&gt;0,"✓",""))</f>
        <v/>
      </c>
      <c r="L675" s="57">
        <f>IF(OR($A675="",L$24=""),"",IF(COUNTIFS('AFA Rates'!$A$5:$A$1004,$A675,'AFA Rates'!$B$5:$B$1004,L$24)&gt;0,"✓",""))</f>
        <v/>
      </c>
      <c r="M675" s="57">
        <f>IF(OR($A675="",M$24=""),"",IF(COUNTIFS('AFA Rates'!$A$5:$A$1004,$A675,'AFA Rates'!$B$5:$B$1004,M$24)&gt;0,"✓",""))</f>
        <v/>
      </c>
    </row>
    <row r="676">
      <c r="A676" s="63">
        <f>IFERROR(INDEX(Firms!$A$5:$A$1004,MATCH(652,Firms!$S$5:$S$1004,0)),"")</f>
        <v/>
      </c>
      <c r="B676" s="57">
        <f>IF($A676="","",INDEX(Firms!$B$5:$B$1004,MATCH(652,Firms!$S$5:$S$1004,0)))</f>
        <v/>
      </c>
      <c r="C676" s="57">
        <f>IF($A676="","",COUNTIF('AFA Rates'!$A$5:$A$1004,$A676))</f>
        <v/>
      </c>
      <c r="D676" s="57">
        <f>IF(OR($A676="",D$24=""),"",IF(COUNTIFS('AFA Rates'!$A$5:$A$1004,$A676,'AFA Rates'!$B$5:$B$1004,D$24)&gt;0,"✓",""))</f>
        <v/>
      </c>
      <c r="E676" s="57">
        <f>IF(OR($A676="",E$24=""),"",IF(COUNTIFS('AFA Rates'!$A$5:$A$1004,$A676,'AFA Rates'!$B$5:$B$1004,E$24)&gt;0,"✓",""))</f>
        <v/>
      </c>
      <c r="F676" s="57">
        <f>IF(OR($A676="",F$24=""),"",IF(COUNTIFS('AFA Rates'!$A$5:$A$1004,$A676,'AFA Rates'!$B$5:$B$1004,F$24)&gt;0,"✓",""))</f>
        <v/>
      </c>
      <c r="G676" s="57">
        <f>IF(OR($A676="",G$24=""),"",IF(COUNTIFS('AFA Rates'!$A$5:$A$1004,$A676,'AFA Rates'!$B$5:$B$1004,G$24)&gt;0,"✓",""))</f>
        <v/>
      </c>
      <c r="H676" s="57">
        <f>IF(OR($A676="",H$24=""),"",IF(COUNTIFS('AFA Rates'!$A$5:$A$1004,$A676,'AFA Rates'!$B$5:$B$1004,H$24)&gt;0,"✓",""))</f>
        <v/>
      </c>
      <c r="I676" s="57">
        <f>IF(OR($A676="",I$24=""),"",IF(COUNTIFS('AFA Rates'!$A$5:$A$1004,$A676,'AFA Rates'!$B$5:$B$1004,I$24)&gt;0,"✓",""))</f>
        <v/>
      </c>
      <c r="J676" s="57">
        <f>IF(OR($A676="",J$24=""),"",IF(COUNTIFS('AFA Rates'!$A$5:$A$1004,$A676,'AFA Rates'!$B$5:$B$1004,J$24)&gt;0,"✓",""))</f>
        <v/>
      </c>
      <c r="K676" s="57">
        <f>IF(OR($A676="",K$24=""),"",IF(COUNTIFS('AFA Rates'!$A$5:$A$1004,$A676,'AFA Rates'!$B$5:$B$1004,K$24)&gt;0,"✓",""))</f>
        <v/>
      </c>
      <c r="L676" s="57">
        <f>IF(OR($A676="",L$24=""),"",IF(COUNTIFS('AFA Rates'!$A$5:$A$1004,$A676,'AFA Rates'!$B$5:$B$1004,L$24)&gt;0,"✓",""))</f>
        <v/>
      </c>
      <c r="M676" s="57">
        <f>IF(OR($A676="",M$24=""),"",IF(COUNTIFS('AFA Rates'!$A$5:$A$1004,$A676,'AFA Rates'!$B$5:$B$1004,M$24)&gt;0,"✓",""))</f>
        <v/>
      </c>
    </row>
    <row r="677">
      <c r="A677" s="63">
        <f>IFERROR(INDEX(Firms!$A$5:$A$1004,MATCH(653,Firms!$S$5:$S$1004,0)),"")</f>
        <v/>
      </c>
      <c r="B677" s="57">
        <f>IF($A677="","",INDEX(Firms!$B$5:$B$1004,MATCH(653,Firms!$S$5:$S$1004,0)))</f>
        <v/>
      </c>
      <c r="C677" s="57">
        <f>IF($A677="","",COUNTIF('AFA Rates'!$A$5:$A$1004,$A677))</f>
        <v/>
      </c>
      <c r="D677" s="57">
        <f>IF(OR($A677="",D$24=""),"",IF(COUNTIFS('AFA Rates'!$A$5:$A$1004,$A677,'AFA Rates'!$B$5:$B$1004,D$24)&gt;0,"✓",""))</f>
        <v/>
      </c>
      <c r="E677" s="57">
        <f>IF(OR($A677="",E$24=""),"",IF(COUNTIFS('AFA Rates'!$A$5:$A$1004,$A677,'AFA Rates'!$B$5:$B$1004,E$24)&gt;0,"✓",""))</f>
        <v/>
      </c>
      <c r="F677" s="57">
        <f>IF(OR($A677="",F$24=""),"",IF(COUNTIFS('AFA Rates'!$A$5:$A$1004,$A677,'AFA Rates'!$B$5:$B$1004,F$24)&gt;0,"✓",""))</f>
        <v/>
      </c>
      <c r="G677" s="57">
        <f>IF(OR($A677="",G$24=""),"",IF(COUNTIFS('AFA Rates'!$A$5:$A$1004,$A677,'AFA Rates'!$B$5:$B$1004,G$24)&gt;0,"✓",""))</f>
        <v/>
      </c>
      <c r="H677" s="57">
        <f>IF(OR($A677="",H$24=""),"",IF(COUNTIFS('AFA Rates'!$A$5:$A$1004,$A677,'AFA Rates'!$B$5:$B$1004,H$24)&gt;0,"✓",""))</f>
        <v/>
      </c>
      <c r="I677" s="57">
        <f>IF(OR($A677="",I$24=""),"",IF(COUNTIFS('AFA Rates'!$A$5:$A$1004,$A677,'AFA Rates'!$B$5:$B$1004,I$24)&gt;0,"✓",""))</f>
        <v/>
      </c>
      <c r="J677" s="57">
        <f>IF(OR($A677="",J$24=""),"",IF(COUNTIFS('AFA Rates'!$A$5:$A$1004,$A677,'AFA Rates'!$B$5:$B$1004,J$24)&gt;0,"✓",""))</f>
        <v/>
      </c>
      <c r="K677" s="57">
        <f>IF(OR($A677="",K$24=""),"",IF(COUNTIFS('AFA Rates'!$A$5:$A$1004,$A677,'AFA Rates'!$B$5:$B$1004,K$24)&gt;0,"✓",""))</f>
        <v/>
      </c>
      <c r="L677" s="57">
        <f>IF(OR($A677="",L$24=""),"",IF(COUNTIFS('AFA Rates'!$A$5:$A$1004,$A677,'AFA Rates'!$B$5:$B$1004,L$24)&gt;0,"✓",""))</f>
        <v/>
      </c>
      <c r="M677" s="57">
        <f>IF(OR($A677="",M$24=""),"",IF(COUNTIFS('AFA Rates'!$A$5:$A$1004,$A677,'AFA Rates'!$B$5:$B$1004,M$24)&gt;0,"✓",""))</f>
        <v/>
      </c>
    </row>
    <row r="678">
      <c r="A678" s="63">
        <f>IFERROR(INDEX(Firms!$A$5:$A$1004,MATCH(654,Firms!$S$5:$S$1004,0)),"")</f>
        <v/>
      </c>
      <c r="B678" s="57">
        <f>IF($A678="","",INDEX(Firms!$B$5:$B$1004,MATCH(654,Firms!$S$5:$S$1004,0)))</f>
        <v/>
      </c>
      <c r="C678" s="57">
        <f>IF($A678="","",COUNTIF('AFA Rates'!$A$5:$A$1004,$A678))</f>
        <v/>
      </c>
      <c r="D678" s="57">
        <f>IF(OR($A678="",D$24=""),"",IF(COUNTIFS('AFA Rates'!$A$5:$A$1004,$A678,'AFA Rates'!$B$5:$B$1004,D$24)&gt;0,"✓",""))</f>
        <v/>
      </c>
      <c r="E678" s="57">
        <f>IF(OR($A678="",E$24=""),"",IF(COUNTIFS('AFA Rates'!$A$5:$A$1004,$A678,'AFA Rates'!$B$5:$B$1004,E$24)&gt;0,"✓",""))</f>
        <v/>
      </c>
      <c r="F678" s="57">
        <f>IF(OR($A678="",F$24=""),"",IF(COUNTIFS('AFA Rates'!$A$5:$A$1004,$A678,'AFA Rates'!$B$5:$B$1004,F$24)&gt;0,"✓",""))</f>
        <v/>
      </c>
      <c r="G678" s="57">
        <f>IF(OR($A678="",G$24=""),"",IF(COUNTIFS('AFA Rates'!$A$5:$A$1004,$A678,'AFA Rates'!$B$5:$B$1004,G$24)&gt;0,"✓",""))</f>
        <v/>
      </c>
      <c r="H678" s="57">
        <f>IF(OR($A678="",H$24=""),"",IF(COUNTIFS('AFA Rates'!$A$5:$A$1004,$A678,'AFA Rates'!$B$5:$B$1004,H$24)&gt;0,"✓",""))</f>
        <v/>
      </c>
      <c r="I678" s="57">
        <f>IF(OR($A678="",I$24=""),"",IF(COUNTIFS('AFA Rates'!$A$5:$A$1004,$A678,'AFA Rates'!$B$5:$B$1004,I$24)&gt;0,"✓",""))</f>
        <v/>
      </c>
      <c r="J678" s="57">
        <f>IF(OR($A678="",J$24=""),"",IF(COUNTIFS('AFA Rates'!$A$5:$A$1004,$A678,'AFA Rates'!$B$5:$B$1004,J$24)&gt;0,"✓",""))</f>
        <v/>
      </c>
      <c r="K678" s="57">
        <f>IF(OR($A678="",K$24=""),"",IF(COUNTIFS('AFA Rates'!$A$5:$A$1004,$A678,'AFA Rates'!$B$5:$B$1004,K$24)&gt;0,"✓",""))</f>
        <v/>
      </c>
      <c r="L678" s="57">
        <f>IF(OR($A678="",L$24=""),"",IF(COUNTIFS('AFA Rates'!$A$5:$A$1004,$A678,'AFA Rates'!$B$5:$B$1004,L$24)&gt;0,"✓",""))</f>
        <v/>
      </c>
      <c r="M678" s="57">
        <f>IF(OR($A678="",M$24=""),"",IF(COUNTIFS('AFA Rates'!$A$5:$A$1004,$A678,'AFA Rates'!$B$5:$B$1004,M$24)&gt;0,"✓",""))</f>
        <v/>
      </c>
    </row>
    <row r="679">
      <c r="A679" s="63">
        <f>IFERROR(INDEX(Firms!$A$5:$A$1004,MATCH(655,Firms!$S$5:$S$1004,0)),"")</f>
        <v/>
      </c>
      <c r="B679" s="57">
        <f>IF($A679="","",INDEX(Firms!$B$5:$B$1004,MATCH(655,Firms!$S$5:$S$1004,0)))</f>
        <v/>
      </c>
      <c r="C679" s="57">
        <f>IF($A679="","",COUNTIF('AFA Rates'!$A$5:$A$1004,$A679))</f>
        <v/>
      </c>
      <c r="D679" s="57">
        <f>IF(OR($A679="",D$24=""),"",IF(COUNTIFS('AFA Rates'!$A$5:$A$1004,$A679,'AFA Rates'!$B$5:$B$1004,D$24)&gt;0,"✓",""))</f>
        <v/>
      </c>
      <c r="E679" s="57">
        <f>IF(OR($A679="",E$24=""),"",IF(COUNTIFS('AFA Rates'!$A$5:$A$1004,$A679,'AFA Rates'!$B$5:$B$1004,E$24)&gt;0,"✓",""))</f>
        <v/>
      </c>
      <c r="F679" s="57">
        <f>IF(OR($A679="",F$24=""),"",IF(COUNTIFS('AFA Rates'!$A$5:$A$1004,$A679,'AFA Rates'!$B$5:$B$1004,F$24)&gt;0,"✓",""))</f>
        <v/>
      </c>
      <c r="G679" s="57">
        <f>IF(OR($A679="",G$24=""),"",IF(COUNTIFS('AFA Rates'!$A$5:$A$1004,$A679,'AFA Rates'!$B$5:$B$1004,G$24)&gt;0,"✓",""))</f>
        <v/>
      </c>
      <c r="H679" s="57">
        <f>IF(OR($A679="",H$24=""),"",IF(COUNTIFS('AFA Rates'!$A$5:$A$1004,$A679,'AFA Rates'!$B$5:$B$1004,H$24)&gt;0,"✓",""))</f>
        <v/>
      </c>
      <c r="I679" s="57">
        <f>IF(OR($A679="",I$24=""),"",IF(COUNTIFS('AFA Rates'!$A$5:$A$1004,$A679,'AFA Rates'!$B$5:$B$1004,I$24)&gt;0,"✓",""))</f>
        <v/>
      </c>
      <c r="J679" s="57">
        <f>IF(OR($A679="",J$24=""),"",IF(COUNTIFS('AFA Rates'!$A$5:$A$1004,$A679,'AFA Rates'!$B$5:$B$1004,J$24)&gt;0,"✓",""))</f>
        <v/>
      </c>
      <c r="K679" s="57">
        <f>IF(OR($A679="",K$24=""),"",IF(COUNTIFS('AFA Rates'!$A$5:$A$1004,$A679,'AFA Rates'!$B$5:$B$1004,K$24)&gt;0,"✓",""))</f>
        <v/>
      </c>
      <c r="L679" s="57">
        <f>IF(OR($A679="",L$24=""),"",IF(COUNTIFS('AFA Rates'!$A$5:$A$1004,$A679,'AFA Rates'!$B$5:$B$1004,L$24)&gt;0,"✓",""))</f>
        <v/>
      </c>
      <c r="M679" s="57">
        <f>IF(OR($A679="",M$24=""),"",IF(COUNTIFS('AFA Rates'!$A$5:$A$1004,$A679,'AFA Rates'!$B$5:$B$1004,M$24)&gt;0,"✓",""))</f>
        <v/>
      </c>
    </row>
    <row r="680">
      <c r="A680" s="63">
        <f>IFERROR(INDEX(Firms!$A$5:$A$1004,MATCH(656,Firms!$S$5:$S$1004,0)),"")</f>
        <v/>
      </c>
      <c r="B680" s="57">
        <f>IF($A680="","",INDEX(Firms!$B$5:$B$1004,MATCH(656,Firms!$S$5:$S$1004,0)))</f>
        <v/>
      </c>
      <c r="C680" s="57">
        <f>IF($A680="","",COUNTIF('AFA Rates'!$A$5:$A$1004,$A680))</f>
        <v/>
      </c>
      <c r="D680" s="57">
        <f>IF(OR($A680="",D$24=""),"",IF(COUNTIFS('AFA Rates'!$A$5:$A$1004,$A680,'AFA Rates'!$B$5:$B$1004,D$24)&gt;0,"✓",""))</f>
        <v/>
      </c>
      <c r="E680" s="57">
        <f>IF(OR($A680="",E$24=""),"",IF(COUNTIFS('AFA Rates'!$A$5:$A$1004,$A680,'AFA Rates'!$B$5:$B$1004,E$24)&gt;0,"✓",""))</f>
        <v/>
      </c>
      <c r="F680" s="57">
        <f>IF(OR($A680="",F$24=""),"",IF(COUNTIFS('AFA Rates'!$A$5:$A$1004,$A680,'AFA Rates'!$B$5:$B$1004,F$24)&gt;0,"✓",""))</f>
        <v/>
      </c>
      <c r="G680" s="57">
        <f>IF(OR($A680="",G$24=""),"",IF(COUNTIFS('AFA Rates'!$A$5:$A$1004,$A680,'AFA Rates'!$B$5:$B$1004,G$24)&gt;0,"✓",""))</f>
        <v/>
      </c>
      <c r="H680" s="57">
        <f>IF(OR($A680="",H$24=""),"",IF(COUNTIFS('AFA Rates'!$A$5:$A$1004,$A680,'AFA Rates'!$B$5:$B$1004,H$24)&gt;0,"✓",""))</f>
        <v/>
      </c>
      <c r="I680" s="57">
        <f>IF(OR($A680="",I$24=""),"",IF(COUNTIFS('AFA Rates'!$A$5:$A$1004,$A680,'AFA Rates'!$B$5:$B$1004,I$24)&gt;0,"✓",""))</f>
        <v/>
      </c>
      <c r="J680" s="57">
        <f>IF(OR($A680="",J$24=""),"",IF(COUNTIFS('AFA Rates'!$A$5:$A$1004,$A680,'AFA Rates'!$B$5:$B$1004,J$24)&gt;0,"✓",""))</f>
        <v/>
      </c>
      <c r="K680" s="57">
        <f>IF(OR($A680="",K$24=""),"",IF(COUNTIFS('AFA Rates'!$A$5:$A$1004,$A680,'AFA Rates'!$B$5:$B$1004,K$24)&gt;0,"✓",""))</f>
        <v/>
      </c>
      <c r="L680" s="57">
        <f>IF(OR($A680="",L$24=""),"",IF(COUNTIFS('AFA Rates'!$A$5:$A$1004,$A680,'AFA Rates'!$B$5:$B$1004,L$24)&gt;0,"✓",""))</f>
        <v/>
      </c>
      <c r="M680" s="57">
        <f>IF(OR($A680="",M$24=""),"",IF(COUNTIFS('AFA Rates'!$A$5:$A$1004,$A680,'AFA Rates'!$B$5:$B$1004,M$24)&gt;0,"✓",""))</f>
        <v/>
      </c>
    </row>
    <row r="681">
      <c r="A681" s="63">
        <f>IFERROR(INDEX(Firms!$A$5:$A$1004,MATCH(657,Firms!$S$5:$S$1004,0)),"")</f>
        <v/>
      </c>
      <c r="B681" s="57">
        <f>IF($A681="","",INDEX(Firms!$B$5:$B$1004,MATCH(657,Firms!$S$5:$S$1004,0)))</f>
        <v/>
      </c>
      <c r="C681" s="57">
        <f>IF($A681="","",COUNTIF('AFA Rates'!$A$5:$A$1004,$A681))</f>
        <v/>
      </c>
      <c r="D681" s="57">
        <f>IF(OR($A681="",D$24=""),"",IF(COUNTIFS('AFA Rates'!$A$5:$A$1004,$A681,'AFA Rates'!$B$5:$B$1004,D$24)&gt;0,"✓",""))</f>
        <v/>
      </c>
      <c r="E681" s="57">
        <f>IF(OR($A681="",E$24=""),"",IF(COUNTIFS('AFA Rates'!$A$5:$A$1004,$A681,'AFA Rates'!$B$5:$B$1004,E$24)&gt;0,"✓",""))</f>
        <v/>
      </c>
      <c r="F681" s="57">
        <f>IF(OR($A681="",F$24=""),"",IF(COUNTIFS('AFA Rates'!$A$5:$A$1004,$A681,'AFA Rates'!$B$5:$B$1004,F$24)&gt;0,"✓",""))</f>
        <v/>
      </c>
      <c r="G681" s="57">
        <f>IF(OR($A681="",G$24=""),"",IF(COUNTIFS('AFA Rates'!$A$5:$A$1004,$A681,'AFA Rates'!$B$5:$B$1004,G$24)&gt;0,"✓",""))</f>
        <v/>
      </c>
      <c r="H681" s="57">
        <f>IF(OR($A681="",H$24=""),"",IF(COUNTIFS('AFA Rates'!$A$5:$A$1004,$A681,'AFA Rates'!$B$5:$B$1004,H$24)&gt;0,"✓",""))</f>
        <v/>
      </c>
      <c r="I681" s="57">
        <f>IF(OR($A681="",I$24=""),"",IF(COUNTIFS('AFA Rates'!$A$5:$A$1004,$A681,'AFA Rates'!$B$5:$B$1004,I$24)&gt;0,"✓",""))</f>
        <v/>
      </c>
      <c r="J681" s="57">
        <f>IF(OR($A681="",J$24=""),"",IF(COUNTIFS('AFA Rates'!$A$5:$A$1004,$A681,'AFA Rates'!$B$5:$B$1004,J$24)&gt;0,"✓",""))</f>
        <v/>
      </c>
      <c r="K681" s="57">
        <f>IF(OR($A681="",K$24=""),"",IF(COUNTIFS('AFA Rates'!$A$5:$A$1004,$A681,'AFA Rates'!$B$5:$B$1004,K$24)&gt;0,"✓",""))</f>
        <v/>
      </c>
      <c r="L681" s="57">
        <f>IF(OR($A681="",L$24=""),"",IF(COUNTIFS('AFA Rates'!$A$5:$A$1004,$A681,'AFA Rates'!$B$5:$B$1004,L$24)&gt;0,"✓",""))</f>
        <v/>
      </c>
      <c r="M681" s="57">
        <f>IF(OR($A681="",M$24=""),"",IF(COUNTIFS('AFA Rates'!$A$5:$A$1004,$A681,'AFA Rates'!$B$5:$B$1004,M$24)&gt;0,"✓",""))</f>
        <v/>
      </c>
    </row>
    <row r="682">
      <c r="A682" s="63">
        <f>IFERROR(INDEX(Firms!$A$5:$A$1004,MATCH(658,Firms!$S$5:$S$1004,0)),"")</f>
        <v/>
      </c>
      <c r="B682" s="57">
        <f>IF($A682="","",INDEX(Firms!$B$5:$B$1004,MATCH(658,Firms!$S$5:$S$1004,0)))</f>
        <v/>
      </c>
      <c r="C682" s="57">
        <f>IF($A682="","",COUNTIF('AFA Rates'!$A$5:$A$1004,$A682))</f>
        <v/>
      </c>
      <c r="D682" s="57">
        <f>IF(OR($A682="",D$24=""),"",IF(COUNTIFS('AFA Rates'!$A$5:$A$1004,$A682,'AFA Rates'!$B$5:$B$1004,D$24)&gt;0,"✓",""))</f>
        <v/>
      </c>
      <c r="E682" s="57">
        <f>IF(OR($A682="",E$24=""),"",IF(COUNTIFS('AFA Rates'!$A$5:$A$1004,$A682,'AFA Rates'!$B$5:$B$1004,E$24)&gt;0,"✓",""))</f>
        <v/>
      </c>
      <c r="F682" s="57">
        <f>IF(OR($A682="",F$24=""),"",IF(COUNTIFS('AFA Rates'!$A$5:$A$1004,$A682,'AFA Rates'!$B$5:$B$1004,F$24)&gt;0,"✓",""))</f>
        <v/>
      </c>
      <c r="G682" s="57">
        <f>IF(OR($A682="",G$24=""),"",IF(COUNTIFS('AFA Rates'!$A$5:$A$1004,$A682,'AFA Rates'!$B$5:$B$1004,G$24)&gt;0,"✓",""))</f>
        <v/>
      </c>
      <c r="H682" s="57">
        <f>IF(OR($A682="",H$24=""),"",IF(COUNTIFS('AFA Rates'!$A$5:$A$1004,$A682,'AFA Rates'!$B$5:$B$1004,H$24)&gt;0,"✓",""))</f>
        <v/>
      </c>
      <c r="I682" s="57">
        <f>IF(OR($A682="",I$24=""),"",IF(COUNTIFS('AFA Rates'!$A$5:$A$1004,$A682,'AFA Rates'!$B$5:$B$1004,I$24)&gt;0,"✓",""))</f>
        <v/>
      </c>
      <c r="J682" s="57">
        <f>IF(OR($A682="",J$24=""),"",IF(COUNTIFS('AFA Rates'!$A$5:$A$1004,$A682,'AFA Rates'!$B$5:$B$1004,J$24)&gt;0,"✓",""))</f>
        <v/>
      </c>
      <c r="K682" s="57">
        <f>IF(OR($A682="",K$24=""),"",IF(COUNTIFS('AFA Rates'!$A$5:$A$1004,$A682,'AFA Rates'!$B$5:$B$1004,K$24)&gt;0,"✓",""))</f>
        <v/>
      </c>
      <c r="L682" s="57">
        <f>IF(OR($A682="",L$24=""),"",IF(COUNTIFS('AFA Rates'!$A$5:$A$1004,$A682,'AFA Rates'!$B$5:$B$1004,L$24)&gt;0,"✓",""))</f>
        <v/>
      </c>
      <c r="M682" s="57">
        <f>IF(OR($A682="",M$24=""),"",IF(COUNTIFS('AFA Rates'!$A$5:$A$1004,$A682,'AFA Rates'!$B$5:$B$1004,M$24)&gt;0,"✓",""))</f>
        <v/>
      </c>
    </row>
    <row r="683">
      <c r="A683" s="63">
        <f>IFERROR(INDEX(Firms!$A$5:$A$1004,MATCH(659,Firms!$S$5:$S$1004,0)),"")</f>
        <v/>
      </c>
      <c r="B683" s="57">
        <f>IF($A683="","",INDEX(Firms!$B$5:$B$1004,MATCH(659,Firms!$S$5:$S$1004,0)))</f>
        <v/>
      </c>
      <c r="C683" s="57">
        <f>IF($A683="","",COUNTIF('AFA Rates'!$A$5:$A$1004,$A683))</f>
        <v/>
      </c>
      <c r="D683" s="57">
        <f>IF(OR($A683="",D$24=""),"",IF(COUNTIFS('AFA Rates'!$A$5:$A$1004,$A683,'AFA Rates'!$B$5:$B$1004,D$24)&gt;0,"✓",""))</f>
        <v/>
      </c>
      <c r="E683" s="57">
        <f>IF(OR($A683="",E$24=""),"",IF(COUNTIFS('AFA Rates'!$A$5:$A$1004,$A683,'AFA Rates'!$B$5:$B$1004,E$24)&gt;0,"✓",""))</f>
        <v/>
      </c>
      <c r="F683" s="57">
        <f>IF(OR($A683="",F$24=""),"",IF(COUNTIFS('AFA Rates'!$A$5:$A$1004,$A683,'AFA Rates'!$B$5:$B$1004,F$24)&gt;0,"✓",""))</f>
        <v/>
      </c>
      <c r="G683" s="57">
        <f>IF(OR($A683="",G$24=""),"",IF(COUNTIFS('AFA Rates'!$A$5:$A$1004,$A683,'AFA Rates'!$B$5:$B$1004,G$24)&gt;0,"✓",""))</f>
        <v/>
      </c>
      <c r="H683" s="57">
        <f>IF(OR($A683="",H$24=""),"",IF(COUNTIFS('AFA Rates'!$A$5:$A$1004,$A683,'AFA Rates'!$B$5:$B$1004,H$24)&gt;0,"✓",""))</f>
        <v/>
      </c>
      <c r="I683" s="57">
        <f>IF(OR($A683="",I$24=""),"",IF(COUNTIFS('AFA Rates'!$A$5:$A$1004,$A683,'AFA Rates'!$B$5:$B$1004,I$24)&gt;0,"✓",""))</f>
        <v/>
      </c>
      <c r="J683" s="57">
        <f>IF(OR($A683="",J$24=""),"",IF(COUNTIFS('AFA Rates'!$A$5:$A$1004,$A683,'AFA Rates'!$B$5:$B$1004,J$24)&gt;0,"✓",""))</f>
        <v/>
      </c>
      <c r="K683" s="57">
        <f>IF(OR($A683="",K$24=""),"",IF(COUNTIFS('AFA Rates'!$A$5:$A$1004,$A683,'AFA Rates'!$B$5:$B$1004,K$24)&gt;0,"✓",""))</f>
        <v/>
      </c>
      <c r="L683" s="57">
        <f>IF(OR($A683="",L$24=""),"",IF(COUNTIFS('AFA Rates'!$A$5:$A$1004,$A683,'AFA Rates'!$B$5:$B$1004,L$24)&gt;0,"✓",""))</f>
        <v/>
      </c>
      <c r="M683" s="57">
        <f>IF(OR($A683="",M$24=""),"",IF(COUNTIFS('AFA Rates'!$A$5:$A$1004,$A683,'AFA Rates'!$B$5:$B$1004,M$24)&gt;0,"✓",""))</f>
        <v/>
      </c>
    </row>
    <row r="684">
      <c r="A684" s="63">
        <f>IFERROR(INDEX(Firms!$A$5:$A$1004,MATCH(660,Firms!$S$5:$S$1004,0)),"")</f>
        <v/>
      </c>
      <c r="B684" s="57">
        <f>IF($A684="","",INDEX(Firms!$B$5:$B$1004,MATCH(660,Firms!$S$5:$S$1004,0)))</f>
        <v/>
      </c>
      <c r="C684" s="57">
        <f>IF($A684="","",COUNTIF('AFA Rates'!$A$5:$A$1004,$A684))</f>
        <v/>
      </c>
      <c r="D684" s="57">
        <f>IF(OR($A684="",D$24=""),"",IF(COUNTIFS('AFA Rates'!$A$5:$A$1004,$A684,'AFA Rates'!$B$5:$B$1004,D$24)&gt;0,"✓",""))</f>
        <v/>
      </c>
      <c r="E684" s="57">
        <f>IF(OR($A684="",E$24=""),"",IF(COUNTIFS('AFA Rates'!$A$5:$A$1004,$A684,'AFA Rates'!$B$5:$B$1004,E$24)&gt;0,"✓",""))</f>
        <v/>
      </c>
      <c r="F684" s="57">
        <f>IF(OR($A684="",F$24=""),"",IF(COUNTIFS('AFA Rates'!$A$5:$A$1004,$A684,'AFA Rates'!$B$5:$B$1004,F$24)&gt;0,"✓",""))</f>
        <v/>
      </c>
      <c r="G684" s="57">
        <f>IF(OR($A684="",G$24=""),"",IF(COUNTIFS('AFA Rates'!$A$5:$A$1004,$A684,'AFA Rates'!$B$5:$B$1004,G$24)&gt;0,"✓",""))</f>
        <v/>
      </c>
      <c r="H684" s="57">
        <f>IF(OR($A684="",H$24=""),"",IF(COUNTIFS('AFA Rates'!$A$5:$A$1004,$A684,'AFA Rates'!$B$5:$B$1004,H$24)&gt;0,"✓",""))</f>
        <v/>
      </c>
      <c r="I684" s="57">
        <f>IF(OR($A684="",I$24=""),"",IF(COUNTIFS('AFA Rates'!$A$5:$A$1004,$A684,'AFA Rates'!$B$5:$B$1004,I$24)&gt;0,"✓",""))</f>
        <v/>
      </c>
      <c r="J684" s="57">
        <f>IF(OR($A684="",J$24=""),"",IF(COUNTIFS('AFA Rates'!$A$5:$A$1004,$A684,'AFA Rates'!$B$5:$B$1004,J$24)&gt;0,"✓",""))</f>
        <v/>
      </c>
      <c r="K684" s="57">
        <f>IF(OR($A684="",K$24=""),"",IF(COUNTIFS('AFA Rates'!$A$5:$A$1004,$A684,'AFA Rates'!$B$5:$B$1004,K$24)&gt;0,"✓",""))</f>
        <v/>
      </c>
      <c r="L684" s="57">
        <f>IF(OR($A684="",L$24=""),"",IF(COUNTIFS('AFA Rates'!$A$5:$A$1004,$A684,'AFA Rates'!$B$5:$B$1004,L$24)&gt;0,"✓",""))</f>
        <v/>
      </c>
      <c r="M684" s="57">
        <f>IF(OR($A684="",M$24=""),"",IF(COUNTIFS('AFA Rates'!$A$5:$A$1004,$A684,'AFA Rates'!$B$5:$B$1004,M$24)&gt;0,"✓",""))</f>
        <v/>
      </c>
    </row>
    <row r="685">
      <c r="A685" s="63">
        <f>IFERROR(INDEX(Firms!$A$5:$A$1004,MATCH(661,Firms!$S$5:$S$1004,0)),"")</f>
        <v/>
      </c>
      <c r="B685" s="57">
        <f>IF($A685="","",INDEX(Firms!$B$5:$B$1004,MATCH(661,Firms!$S$5:$S$1004,0)))</f>
        <v/>
      </c>
      <c r="C685" s="57">
        <f>IF($A685="","",COUNTIF('AFA Rates'!$A$5:$A$1004,$A685))</f>
        <v/>
      </c>
      <c r="D685" s="57">
        <f>IF(OR($A685="",D$24=""),"",IF(COUNTIFS('AFA Rates'!$A$5:$A$1004,$A685,'AFA Rates'!$B$5:$B$1004,D$24)&gt;0,"✓",""))</f>
        <v/>
      </c>
      <c r="E685" s="57">
        <f>IF(OR($A685="",E$24=""),"",IF(COUNTIFS('AFA Rates'!$A$5:$A$1004,$A685,'AFA Rates'!$B$5:$B$1004,E$24)&gt;0,"✓",""))</f>
        <v/>
      </c>
      <c r="F685" s="57">
        <f>IF(OR($A685="",F$24=""),"",IF(COUNTIFS('AFA Rates'!$A$5:$A$1004,$A685,'AFA Rates'!$B$5:$B$1004,F$24)&gt;0,"✓",""))</f>
        <v/>
      </c>
      <c r="G685" s="57">
        <f>IF(OR($A685="",G$24=""),"",IF(COUNTIFS('AFA Rates'!$A$5:$A$1004,$A685,'AFA Rates'!$B$5:$B$1004,G$24)&gt;0,"✓",""))</f>
        <v/>
      </c>
      <c r="H685" s="57">
        <f>IF(OR($A685="",H$24=""),"",IF(COUNTIFS('AFA Rates'!$A$5:$A$1004,$A685,'AFA Rates'!$B$5:$B$1004,H$24)&gt;0,"✓",""))</f>
        <v/>
      </c>
      <c r="I685" s="57">
        <f>IF(OR($A685="",I$24=""),"",IF(COUNTIFS('AFA Rates'!$A$5:$A$1004,$A685,'AFA Rates'!$B$5:$B$1004,I$24)&gt;0,"✓",""))</f>
        <v/>
      </c>
      <c r="J685" s="57">
        <f>IF(OR($A685="",J$24=""),"",IF(COUNTIFS('AFA Rates'!$A$5:$A$1004,$A685,'AFA Rates'!$B$5:$B$1004,J$24)&gt;0,"✓",""))</f>
        <v/>
      </c>
      <c r="K685" s="57">
        <f>IF(OR($A685="",K$24=""),"",IF(COUNTIFS('AFA Rates'!$A$5:$A$1004,$A685,'AFA Rates'!$B$5:$B$1004,K$24)&gt;0,"✓",""))</f>
        <v/>
      </c>
      <c r="L685" s="57">
        <f>IF(OR($A685="",L$24=""),"",IF(COUNTIFS('AFA Rates'!$A$5:$A$1004,$A685,'AFA Rates'!$B$5:$B$1004,L$24)&gt;0,"✓",""))</f>
        <v/>
      </c>
      <c r="M685" s="57">
        <f>IF(OR($A685="",M$24=""),"",IF(COUNTIFS('AFA Rates'!$A$5:$A$1004,$A685,'AFA Rates'!$B$5:$B$1004,M$24)&gt;0,"✓",""))</f>
        <v/>
      </c>
    </row>
    <row r="686">
      <c r="A686" s="63">
        <f>IFERROR(INDEX(Firms!$A$5:$A$1004,MATCH(662,Firms!$S$5:$S$1004,0)),"")</f>
        <v/>
      </c>
      <c r="B686" s="57">
        <f>IF($A686="","",INDEX(Firms!$B$5:$B$1004,MATCH(662,Firms!$S$5:$S$1004,0)))</f>
        <v/>
      </c>
      <c r="C686" s="57">
        <f>IF($A686="","",COUNTIF('AFA Rates'!$A$5:$A$1004,$A686))</f>
        <v/>
      </c>
      <c r="D686" s="57">
        <f>IF(OR($A686="",D$24=""),"",IF(COUNTIFS('AFA Rates'!$A$5:$A$1004,$A686,'AFA Rates'!$B$5:$B$1004,D$24)&gt;0,"✓",""))</f>
        <v/>
      </c>
      <c r="E686" s="57">
        <f>IF(OR($A686="",E$24=""),"",IF(COUNTIFS('AFA Rates'!$A$5:$A$1004,$A686,'AFA Rates'!$B$5:$B$1004,E$24)&gt;0,"✓",""))</f>
        <v/>
      </c>
      <c r="F686" s="57">
        <f>IF(OR($A686="",F$24=""),"",IF(COUNTIFS('AFA Rates'!$A$5:$A$1004,$A686,'AFA Rates'!$B$5:$B$1004,F$24)&gt;0,"✓",""))</f>
        <v/>
      </c>
      <c r="G686" s="57">
        <f>IF(OR($A686="",G$24=""),"",IF(COUNTIFS('AFA Rates'!$A$5:$A$1004,$A686,'AFA Rates'!$B$5:$B$1004,G$24)&gt;0,"✓",""))</f>
        <v/>
      </c>
      <c r="H686" s="57">
        <f>IF(OR($A686="",H$24=""),"",IF(COUNTIFS('AFA Rates'!$A$5:$A$1004,$A686,'AFA Rates'!$B$5:$B$1004,H$24)&gt;0,"✓",""))</f>
        <v/>
      </c>
      <c r="I686" s="57">
        <f>IF(OR($A686="",I$24=""),"",IF(COUNTIFS('AFA Rates'!$A$5:$A$1004,$A686,'AFA Rates'!$B$5:$B$1004,I$24)&gt;0,"✓",""))</f>
        <v/>
      </c>
      <c r="J686" s="57">
        <f>IF(OR($A686="",J$24=""),"",IF(COUNTIFS('AFA Rates'!$A$5:$A$1004,$A686,'AFA Rates'!$B$5:$B$1004,J$24)&gt;0,"✓",""))</f>
        <v/>
      </c>
      <c r="K686" s="57">
        <f>IF(OR($A686="",K$24=""),"",IF(COUNTIFS('AFA Rates'!$A$5:$A$1004,$A686,'AFA Rates'!$B$5:$B$1004,K$24)&gt;0,"✓",""))</f>
        <v/>
      </c>
      <c r="L686" s="57">
        <f>IF(OR($A686="",L$24=""),"",IF(COUNTIFS('AFA Rates'!$A$5:$A$1004,$A686,'AFA Rates'!$B$5:$B$1004,L$24)&gt;0,"✓",""))</f>
        <v/>
      </c>
      <c r="M686" s="57">
        <f>IF(OR($A686="",M$24=""),"",IF(COUNTIFS('AFA Rates'!$A$5:$A$1004,$A686,'AFA Rates'!$B$5:$B$1004,M$24)&gt;0,"✓",""))</f>
        <v/>
      </c>
    </row>
    <row r="687">
      <c r="A687" s="63">
        <f>IFERROR(INDEX(Firms!$A$5:$A$1004,MATCH(663,Firms!$S$5:$S$1004,0)),"")</f>
        <v/>
      </c>
      <c r="B687" s="57">
        <f>IF($A687="","",INDEX(Firms!$B$5:$B$1004,MATCH(663,Firms!$S$5:$S$1004,0)))</f>
        <v/>
      </c>
      <c r="C687" s="57">
        <f>IF($A687="","",COUNTIF('AFA Rates'!$A$5:$A$1004,$A687))</f>
        <v/>
      </c>
      <c r="D687" s="57">
        <f>IF(OR($A687="",D$24=""),"",IF(COUNTIFS('AFA Rates'!$A$5:$A$1004,$A687,'AFA Rates'!$B$5:$B$1004,D$24)&gt;0,"✓",""))</f>
        <v/>
      </c>
      <c r="E687" s="57">
        <f>IF(OR($A687="",E$24=""),"",IF(COUNTIFS('AFA Rates'!$A$5:$A$1004,$A687,'AFA Rates'!$B$5:$B$1004,E$24)&gt;0,"✓",""))</f>
        <v/>
      </c>
      <c r="F687" s="57">
        <f>IF(OR($A687="",F$24=""),"",IF(COUNTIFS('AFA Rates'!$A$5:$A$1004,$A687,'AFA Rates'!$B$5:$B$1004,F$24)&gt;0,"✓",""))</f>
        <v/>
      </c>
      <c r="G687" s="57">
        <f>IF(OR($A687="",G$24=""),"",IF(COUNTIFS('AFA Rates'!$A$5:$A$1004,$A687,'AFA Rates'!$B$5:$B$1004,G$24)&gt;0,"✓",""))</f>
        <v/>
      </c>
      <c r="H687" s="57">
        <f>IF(OR($A687="",H$24=""),"",IF(COUNTIFS('AFA Rates'!$A$5:$A$1004,$A687,'AFA Rates'!$B$5:$B$1004,H$24)&gt;0,"✓",""))</f>
        <v/>
      </c>
      <c r="I687" s="57">
        <f>IF(OR($A687="",I$24=""),"",IF(COUNTIFS('AFA Rates'!$A$5:$A$1004,$A687,'AFA Rates'!$B$5:$B$1004,I$24)&gt;0,"✓",""))</f>
        <v/>
      </c>
      <c r="J687" s="57">
        <f>IF(OR($A687="",J$24=""),"",IF(COUNTIFS('AFA Rates'!$A$5:$A$1004,$A687,'AFA Rates'!$B$5:$B$1004,J$24)&gt;0,"✓",""))</f>
        <v/>
      </c>
      <c r="K687" s="57">
        <f>IF(OR($A687="",K$24=""),"",IF(COUNTIFS('AFA Rates'!$A$5:$A$1004,$A687,'AFA Rates'!$B$5:$B$1004,K$24)&gt;0,"✓",""))</f>
        <v/>
      </c>
      <c r="L687" s="57">
        <f>IF(OR($A687="",L$24=""),"",IF(COUNTIFS('AFA Rates'!$A$5:$A$1004,$A687,'AFA Rates'!$B$5:$B$1004,L$24)&gt;0,"✓",""))</f>
        <v/>
      </c>
      <c r="M687" s="57">
        <f>IF(OR($A687="",M$24=""),"",IF(COUNTIFS('AFA Rates'!$A$5:$A$1004,$A687,'AFA Rates'!$B$5:$B$1004,M$24)&gt;0,"✓",""))</f>
        <v/>
      </c>
    </row>
    <row r="688">
      <c r="A688" s="63">
        <f>IFERROR(INDEX(Firms!$A$5:$A$1004,MATCH(664,Firms!$S$5:$S$1004,0)),"")</f>
        <v/>
      </c>
      <c r="B688" s="57">
        <f>IF($A688="","",INDEX(Firms!$B$5:$B$1004,MATCH(664,Firms!$S$5:$S$1004,0)))</f>
        <v/>
      </c>
      <c r="C688" s="57">
        <f>IF($A688="","",COUNTIF('AFA Rates'!$A$5:$A$1004,$A688))</f>
        <v/>
      </c>
      <c r="D688" s="57">
        <f>IF(OR($A688="",D$24=""),"",IF(COUNTIFS('AFA Rates'!$A$5:$A$1004,$A688,'AFA Rates'!$B$5:$B$1004,D$24)&gt;0,"✓",""))</f>
        <v/>
      </c>
      <c r="E688" s="57">
        <f>IF(OR($A688="",E$24=""),"",IF(COUNTIFS('AFA Rates'!$A$5:$A$1004,$A688,'AFA Rates'!$B$5:$B$1004,E$24)&gt;0,"✓",""))</f>
        <v/>
      </c>
      <c r="F688" s="57">
        <f>IF(OR($A688="",F$24=""),"",IF(COUNTIFS('AFA Rates'!$A$5:$A$1004,$A688,'AFA Rates'!$B$5:$B$1004,F$24)&gt;0,"✓",""))</f>
        <v/>
      </c>
      <c r="G688" s="57">
        <f>IF(OR($A688="",G$24=""),"",IF(COUNTIFS('AFA Rates'!$A$5:$A$1004,$A688,'AFA Rates'!$B$5:$B$1004,G$24)&gt;0,"✓",""))</f>
        <v/>
      </c>
      <c r="H688" s="57">
        <f>IF(OR($A688="",H$24=""),"",IF(COUNTIFS('AFA Rates'!$A$5:$A$1004,$A688,'AFA Rates'!$B$5:$B$1004,H$24)&gt;0,"✓",""))</f>
        <v/>
      </c>
      <c r="I688" s="57">
        <f>IF(OR($A688="",I$24=""),"",IF(COUNTIFS('AFA Rates'!$A$5:$A$1004,$A688,'AFA Rates'!$B$5:$B$1004,I$24)&gt;0,"✓",""))</f>
        <v/>
      </c>
      <c r="J688" s="57">
        <f>IF(OR($A688="",J$24=""),"",IF(COUNTIFS('AFA Rates'!$A$5:$A$1004,$A688,'AFA Rates'!$B$5:$B$1004,J$24)&gt;0,"✓",""))</f>
        <v/>
      </c>
      <c r="K688" s="57">
        <f>IF(OR($A688="",K$24=""),"",IF(COUNTIFS('AFA Rates'!$A$5:$A$1004,$A688,'AFA Rates'!$B$5:$B$1004,K$24)&gt;0,"✓",""))</f>
        <v/>
      </c>
      <c r="L688" s="57">
        <f>IF(OR($A688="",L$24=""),"",IF(COUNTIFS('AFA Rates'!$A$5:$A$1004,$A688,'AFA Rates'!$B$5:$B$1004,L$24)&gt;0,"✓",""))</f>
        <v/>
      </c>
      <c r="M688" s="57">
        <f>IF(OR($A688="",M$24=""),"",IF(COUNTIFS('AFA Rates'!$A$5:$A$1004,$A688,'AFA Rates'!$B$5:$B$1004,M$24)&gt;0,"✓",""))</f>
        <v/>
      </c>
    </row>
    <row r="689">
      <c r="A689" s="63">
        <f>IFERROR(INDEX(Firms!$A$5:$A$1004,MATCH(665,Firms!$S$5:$S$1004,0)),"")</f>
        <v/>
      </c>
      <c r="B689" s="57">
        <f>IF($A689="","",INDEX(Firms!$B$5:$B$1004,MATCH(665,Firms!$S$5:$S$1004,0)))</f>
        <v/>
      </c>
      <c r="C689" s="57">
        <f>IF($A689="","",COUNTIF('AFA Rates'!$A$5:$A$1004,$A689))</f>
        <v/>
      </c>
      <c r="D689" s="57">
        <f>IF(OR($A689="",D$24=""),"",IF(COUNTIFS('AFA Rates'!$A$5:$A$1004,$A689,'AFA Rates'!$B$5:$B$1004,D$24)&gt;0,"✓",""))</f>
        <v/>
      </c>
      <c r="E689" s="57">
        <f>IF(OR($A689="",E$24=""),"",IF(COUNTIFS('AFA Rates'!$A$5:$A$1004,$A689,'AFA Rates'!$B$5:$B$1004,E$24)&gt;0,"✓",""))</f>
        <v/>
      </c>
      <c r="F689" s="57">
        <f>IF(OR($A689="",F$24=""),"",IF(COUNTIFS('AFA Rates'!$A$5:$A$1004,$A689,'AFA Rates'!$B$5:$B$1004,F$24)&gt;0,"✓",""))</f>
        <v/>
      </c>
      <c r="G689" s="57">
        <f>IF(OR($A689="",G$24=""),"",IF(COUNTIFS('AFA Rates'!$A$5:$A$1004,$A689,'AFA Rates'!$B$5:$B$1004,G$24)&gt;0,"✓",""))</f>
        <v/>
      </c>
      <c r="H689" s="57">
        <f>IF(OR($A689="",H$24=""),"",IF(COUNTIFS('AFA Rates'!$A$5:$A$1004,$A689,'AFA Rates'!$B$5:$B$1004,H$24)&gt;0,"✓",""))</f>
        <v/>
      </c>
      <c r="I689" s="57">
        <f>IF(OR($A689="",I$24=""),"",IF(COUNTIFS('AFA Rates'!$A$5:$A$1004,$A689,'AFA Rates'!$B$5:$B$1004,I$24)&gt;0,"✓",""))</f>
        <v/>
      </c>
      <c r="J689" s="57">
        <f>IF(OR($A689="",J$24=""),"",IF(COUNTIFS('AFA Rates'!$A$5:$A$1004,$A689,'AFA Rates'!$B$5:$B$1004,J$24)&gt;0,"✓",""))</f>
        <v/>
      </c>
      <c r="K689" s="57">
        <f>IF(OR($A689="",K$24=""),"",IF(COUNTIFS('AFA Rates'!$A$5:$A$1004,$A689,'AFA Rates'!$B$5:$B$1004,K$24)&gt;0,"✓",""))</f>
        <v/>
      </c>
      <c r="L689" s="57">
        <f>IF(OR($A689="",L$24=""),"",IF(COUNTIFS('AFA Rates'!$A$5:$A$1004,$A689,'AFA Rates'!$B$5:$B$1004,L$24)&gt;0,"✓",""))</f>
        <v/>
      </c>
      <c r="M689" s="57">
        <f>IF(OR($A689="",M$24=""),"",IF(COUNTIFS('AFA Rates'!$A$5:$A$1004,$A689,'AFA Rates'!$B$5:$B$1004,M$24)&gt;0,"✓",""))</f>
        <v/>
      </c>
    </row>
    <row r="690">
      <c r="A690" s="63">
        <f>IFERROR(INDEX(Firms!$A$5:$A$1004,MATCH(666,Firms!$S$5:$S$1004,0)),"")</f>
        <v/>
      </c>
      <c r="B690" s="57">
        <f>IF($A690="","",INDEX(Firms!$B$5:$B$1004,MATCH(666,Firms!$S$5:$S$1004,0)))</f>
        <v/>
      </c>
      <c r="C690" s="57">
        <f>IF($A690="","",COUNTIF('AFA Rates'!$A$5:$A$1004,$A690))</f>
        <v/>
      </c>
      <c r="D690" s="57">
        <f>IF(OR($A690="",D$24=""),"",IF(COUNTIFS('AFA Rates'!$A$5:$A$1004,$A690,'AFA Rates'!$B$5:$B$1004,D$24)&gt;0,"✓",""))</f>
        <v/>
      </c>
      <c r="E690" s="57">
        <f>IF(OR($A690="",E$24=""),"",IF(COUNTIFS('AFA Rates'!$A$5:$A$1004,$A690,'AFA Rates'!$B$5:$B$1004,E$24)&gt;0,"✓",""))</f>
        <v/>
      </c>
      <c r="F690" s="57">
        <f>IF(OR($A690="",F$24=""),"",IF(COUNTIFS('AFA Rates'!$A$5:$A$1004,$A690,'AFA Rates'!$B$5:$B$1004,F$24)&gt;0,"✓",""))</f>
        <v/>
      </c>
      <c r="G690" s="57">
        <f>IF(OR($A690="",G$24=""),"",IF(COUNTIFS('AFA Rates'!$A$5:$A$1004,$A690,'AFA Rates'!$B$5:$B$1004,G$24)&gt;0,"✓",""))</f>
        <v/>
      </c>
      <c r="H690" s="57">
        <f>IF(OR($A690="",H$24=""),"",IF(COUNTIFS('AFA Rates'!$A$5:$A$1004,$A690,'AFA Rates'!$B$5:$B$1004,H$24)&gt;0,"✓",""))</f>
        <v/>
      </c>
      <c r="I690" s="57">
        <f>IF(OR($A690="",I$24=""),"",IF(COUNTIFS('AFA Rates'!$A$5:$A$1004,$A690,'AFA Rates'!$B$5:$B$1004,I$24)&gt;0,"✓",""))</f>
        <v/>
      </c>
      <c r="J690" s="57">
        <f>IF(OR($A690="",J$24=""),"",IF(COUNTIFS('AFA Rates'!$A$5:$A$1004,$A690,'AFA Rates'!$B$5:$B$1004,J$24)&gt;0,"✓",""))</f>
        <v/>
      </c>
      <c r="K690" s="57">
        <f>IF(OR($A690="",K$24=""),"",IF(COUNTIFS('AFA Rates'!$A$5:$A$1004,$A690,'AFA Rates'!$B$5:$B$1004,K$24)&gt;0,"✓",""))</f>
        <v/>
      </c>
      <c r="L690" s="57">
        <f>IF(OR($A690="",L$24=""),"",IF(COUNTIFS('AFA Rates'!$A$5:$A$1004,$A690,'AFA Rates'!$B$5:$B$1004,L$24)&gt;0,"✓",""))</f>
        <v/>
      </c>
      <c r="M690" s="57">
        <f>IF(OR($A690="",M$24=""),"",IF(COUNTIFS('AFA Rates'!$A$5:$A$1004,$A690,'AFA Rates'!$B$5:$B$1004,M$24)&gt;0,"✓",""))</f>
        <v/>
      </c>
    </row>
    <row r="691">
      <c r="A691" s="63">
        <f>IFERROR(INDEX(Firms!$A$5:$A$1004,MATCH(667,Firms!$S$5:$S$1004,0)),"")</f>
        <v/>
      </c>
      <c r="B691" s="57">
        <f>IF($A691="","",INDEX(Firms!$B$5:$B$1004,MATCH(667,Firms!$S$5:$S$1004,0)))</f>
        <v/>
      </c>
      <c r="C691" s="57">
        <f>IF($A691="","",COUNTIF('AFA Rates'!$A$5:$A$1004,$A691))</f>
        <v/>
      </c>
      <c r="D691" s="57">
        <f>IF(OR($A691="",D$24=""),"",IF(COUNTIFS('AFA Rates'!$A$5:$A$1004,$A691,'AFA Rates'!$B$5:$B$1004,D$24)&gt;0,"✓",""))</f>
        <v/>
      </c>
      <c r="E691" s="57">
        <f>IF(OR($A691="",E$24=""),"",IF(COUNTIFS('AFA Rates'!$A$5:$A$1004,$A691,'AFA Rates'!$B$5:$B$1004,E$24)&gt;0,"✓",""))</f>
        <v/>
      </c>
      <c r="F691" s="57">
        <f>IF(OR($A691="",F$24=""),"",IF(COUNTIFS('AFA Rates'!$A$5:$A$1004,$A691,'AFA Rates'!$B$5:$B$1004,F$24)&gt;0,"✓",""))</f>
        <v/>
      </c>
      <c r="G691" s="57">
        <f>IF(OR($A691="",G$24=""),"",IF(COUNTIFS('AFA Rates'!$A$5:$A$1004,$A691,'AFA Rates'!$B$5:$B$1004,G$24)&gt;0,"✓",""))</f>
        <v/>
      </c>
      <c r="H691" s="57">
        <f>IF(OR($A691="",H$24=""),"",IF(COUNTIFS('AFA Rates'!$A$5:$A$1004,$A691,'AFA Rates'!$B$5:$B$1004,H$24)&gt;0,"✓",""))</f>
        <v/>
      </c>
      <c r="I691" s="57">
        <f>IF(OR($A691="",I$24=""),"",IF(COUNTIFS('AFA Rates'!$A$5:$A$1004,$A691,'AFA Rates'!$B$5:$B$1004,I$24)&gt;0,"✓",""))</f>
        <v/>
      </c>
      <c r="J691" s="57">
        <f>IF(OR($A691="",J$24=""),"",IF(COUNTIFS('AFA Rates'!$A$5:$A$1004,$A691,'AFA Rates'!$B$5:$B$1004,J$24)&gt;0,"✓",""))</f>
        <v/>
      </c>
      <c r="K691" s="57">
        <f>IF(OR($A691="",K$24=""),"",IF(COUNTIFS('AFA Rates'!$A$5:$A$1004,$A691,'AFA Rates'!$B$5:$B$1004,K$24)&gt;0,"✓",""))</f>
        <v/>
      </c>
      <c r="L691" s="57">
        <f>IF(OR($A691="",L$24=""),"",IF(COUNTIFS('AFA Rates'!$A$5:$A$1004,$A691,'AFA Rates'!$B$5:$B$1004,L$24)&gt;0,"✓",""))</f>
        <v/>
      </c>
      <c r="M691" s="57">
        <f>IF(OR($A691="",M$24=""),"",IF(COUNTIFS('AFA Rates'!$A$5:$A$1004,$A691,'AFA Rates'!$B$5:$B$1004,M$24)&gt;0,"✓",""))</f>
        <v/>
      </c>
    </row>
    <row r="692">
      <c r="A692" s="63">
        <f>IFERROR(INDEX(Firms!$A$5:$A$1004,MATCH(668,Firms!$S$5:$S$1004,0)),"")</f>
        <v/>
      </c>
      <c r="B692" s="57">
        <f>IF($A692="","",INDEX(Firms!$B$5:$B$1004,MATCH(668,Firms!$S$5:$S$1004,0)))</f>
        <v/>
      </c>
      <c r="C692" s="57">
        <f>IF($A692="","",COUNTIF('AFA Rates'!$A$5:$A$1004,$A692))</f>
        <v/>
      </c>
      <c r="D692" s="57">
        <f>IF(OR($A692="",D$24=""),"",IF(COUNTIFS('AFA Rates'!$A$5:$A$1004,$A692,'AFA Rates'!$B$5:$B$1004,D$24)&gt;0,"✓",""))</f>
        <v/>
      </c>
      <c r="E692" s="57">
        <f>IF(OR($A692="",E$24=""),"",IF(COUNTIFS('AFA Rates'!$A$5:$A$1004,$A692,'AFA Rates'!$B$5:$B$1004,E$24)&gt;0,"✓",""))</f>
        <v/>
      </c>
      <c r="F692" s="57">
        <f>IF(OR($A692="",F$24=""),"",IF(COUNTIFS('AFA Rates'!$A$5:$A$1004,$A692,'AFA Rates'!$B$5:$B$1004,F$24)&gt;0,"✓",""))</f>
        <v/>
      </c>
      <c r="G692" s="57">
        <f>IF(OR($A692="",G$24=""),"",IF(COUNTIFS('AFA Rates'!$A$5:$A$1004,$A692,'AFA Rates'!$B$5:$B$1004,G$24)&gt;0,"✓",""))</f>
        <v/>
      </c>
      <c r="H692" s="57">
        <f>IF(OR($A692="",H$24=""),"",IF(COUNTIFS('AFA Rates'!$A$5:$A$1004,$A692,'AFA Rates'!$B$5:$B$1004,H$24)&gt;0,"✓",""))</f>
        <v/>
      </c>
      <c r="I692" s="57">
        <f>IF(OR($A692="",I$24=""),"",IF(COUNTIFS('AFA Rates'!$A$5:$A$1004,$A692,'AFA Rates'!$B$5:$B$1004,I$24)&gt;0,"✓",""))</f>
        <v/>
      </c>
      <c r="J692" s="57">
        <f>IF(OR($A692="",J$24=""),"",IF(COUNTIFS('AFA Rates'!$A$5:$A$1004,$A692,'AFA Rates'!$B$5:$B$1004,J$24)&gt;0,"✓",""))</f>
        <v/>
      </c>
      <c r="K692" s="57">
        <f>IF(OR($A692="",K$24=""),"",IF(COUNTIFS('AFA Rates'!$A$5:$A$1004,$A692,'AFA Rates'!$B$5:$B$1004,K$24)&gt;0,"✓",""))</f>
        <v/>
      </c>
      <c r="L692" s="57">
        <f>IF(OR($A692="",L$24=""),"",IF(COUNTIFS('AFA Rates'!$A$5:$A$1004,$A692,'AFA Rates'!$B$5:$B$1004,L$24)&gt;0,"✓",""))</f>
        <v/>
      </c>
      <c r="M692" s="57">
        <f>IF(OR($A692="",M$24=""),"",IF(COUNTIFS('AFA Rates'!$A$5:$A$1004,$A692,'AFA Rates'!$B$5:$B$1004,M$24)&gt;0,"✓",""))</f>
        <v/>
      </c>
    </row>
    <row r="693">
      <c r="A693" s="63">
        <f>IFERROR(INDEX(Firms!$A$5:$A$1004,MATCH(669,Firms!$S$5:$S$1004,0)),"")</f>
        <v/>
      </c>
      <c r="B693" s="57">
        <f>IF($A693="","",INDEX(Firms!$B$5:$B$1004,MATCH(669,Firms!$S$5:$S$1004,0)))</f>
        <v/>
      </c>
      <c r="C693" s="57">
        <f>IF($A693="","",COUNTIF('AFA Rates'!$A$5:$A$1004,$A693))</f>
        <v/>
      </c>
      <c r="D693" s="57">
        <f>IF(OR($A693="",D$24=""),"",IF(COUNTIFS('AFA Rates'!$A$5:$A$1004,$A693,'AFA Rates'!$B$5:$B$1004,D$24)&gt;0,"✓",""))</f>
        <v/>
      </c>
      <c r="E693" s="57">
        <f>IF(OR($A693="",E$24=""),"",IF(COUNTIFS('AFA Rates'!$A$5:$A$1004,$A693,'AFA Rates'!$B$5:$B$1004,E$24)&gt;0,"✓",""))</f>
        <v/>
      </c>
      <c r="F693" s="57">
        <f>IF(OR($A693="",F$24=""),"",IF(COUNTIFS('AFA Rates'!$A$5:$A$1004,$A693,'AFA Rates'!$B$5:$B$1004,F$24)&gt;0,"✓",""))</f>
        <v/>
      </c>
      <c r="G693" s="57">
        <f>IF(OR($A693="",G$24=""),"",IF(COUNTIFS('AFA Rates'!$A$5:$A$1004,$A693,'AFA Rates'!$B$5:$B$1004,G$24)&gt;0,"✓",""))</f>
        <v/>
      </c>
      <c r="H693" s="57">
        <f>IF(OR($A693="",H$24=""),"",IF(COUNTIFS('AFA Rates'!$A$5:$A$1004,$A693,'AFA Rates'!$B$5:$B$1004,H$24)&gt;0,"✓",""))</f>
        <v/>
      </c>
      <c r="I693" s="57">
        <f>IF(OR($A693="",I$24=""),"",IF(COUNTIFS('AFA Rates'!$A$5:$A$1004,$A693,'AFA Rates'!$B$5:$B$1004,I$24)&gt;0,"✓",""))</f>
        <v/>
      </c>
      <c r="J693" s="57">
        <f>IF(OR($A693="",J$24=""),"",IF(COUNTIFS('AFA Rates'!$A$5:$A$1004,$A693,'AFA Rates'!$B$5:$B$1004,J$24)&gt;0,"✓",""))</f>
        <v/>
      </c>
      <c r="K693" s="57">
        <f>IF(OR($A693="",K$24=""),"",IF(COUNTIFS('AFA Rates'!$A$5:$A$1004,$A693,'AFA Rates'!$B$5:$B$1004,K$24)&gt;0,"✓",""))</f>
        <v/>
      </c>
      <c r="L693" s="57">
        <f>IF(OR($A693="",L$24=""),"",IF(COUNTIFS('AFA Rates'!$A$5:$A$1004,$A693,'AFA Rates'!$B$5:$B$1004,L$24)&gt;0,"✓",""))</f>
        <v/>
      </c>
      <c r="M693" s="57">
        <f>IF(OR($A693="",M$24=""),"",IF(COUNTIFS('AFA Rates'!$A$5:$A$1004,$A693,'AFA Rates'!$B$5:$B$1004,M$24)&gt;0,"✓",""))</f>
        <v/>
      </c>
    </row>
    <row r="694">
      <c r="A694" s="63">
        <f>IFERROR(INDEX(Firms!$A$5:$A$1004,MATCH(670,Firms!$S$5:$S$1004,0)),"")</f>
        <v/>
      </c>
      <c r="B694" s="57">
        <f>IF($A694="","",INDEX(Firms!$B$5:$B$1004,MATCH(670,Firms!$S$5:$S$1004,0)))</f>
        <v/>
      </c>
      <c r="C694" s="57">
        <f>IF($A694="","",COUNTIF('AFA Rates'!$A$5:$A$1004,$A694))</f>
        <v/>
      </c>
      <c r="D694" s="57">
        <f>IF(OR($A694="",D$24=""),"",IF(COUNTIFS('AFA Rates'!$A$5:$A$1004,$A694,'AFA Rates'!$B$5:$B$1004,D$24)&gt;0,"✓",""))</f>
        <v/>
      </c>
      <c r="E694" s="57">
        <f>IF(OR($A694="",E$24=""),"",IF(COUNTIFS('AFA Rates'!$A$5:$A$1004,$A694,'AFA Rates'!$B$5:$B$1004,E$24)&gt;0,"✓",""))</f>
        <v/>
      </c>
      <c r="F694" s="57">
        <f>IF(OR($A694="",F$24=""),"",IF(COUNTIFS('AFA Rates'!$A$5:$A$1004,$A694,'AFA Rates'!$B$5:$B$1004,F$24)&gt;0,"✓",""))</f>
        <v/>
      </c>
      <c r="G694" s="57">
        <f>IF(OR($A694="",G$24=""),"",IF(COUNTIFS('AFA Rates'!$A$5:$A$1004,$A694,'AFA Rates'!$B$5:$B$1004,G$24)&gt;0,"✓",""))</f>
        <v/>
      </c>
      <c r="H694" s="57">
        <f>IF(OR($A694="",H$24=""),"",IF(COUNTIFS('AFA Rates'!$A$5:$A$1004,$A694,'AFA Rates'!$B$5:$B$1004,H$24)&gt;0,"✓",""))</f>
        <v/>
      </c>
      <c r="I694" s="57">
        <f>IF(OR($A694="",I$24=""),"",IF(COUNTIFS('AFA Rates'!$A$5:$A$1004,$A694,'AFA Rates'!$B$5:$B$1004,I$24)&gt;0,"✓",""))</f>
        <v/>
      </c>
      <c r="J694" s="57">
        <f>IF(OR($A694="",J$24=""),"",IF(COUNTIFS('AFA Rates'!$A$5:$A$1004,$A694,'AFA Rates'!$B$5:$B$1004,J$24)&gt;0,"✓",""))</f>
        <v/>
      </c>
      <c r="K694" s="57">
        <f>IF(OR($A694="",K$24=""),"",IF(COUNTIFS('AFA Rates'!$A$5:$A$1004,$A694,'AFA Rates'!$B$5:$B$1004,K$24)&gt;0,"✓",""))</f>
        <v/>
      </c>
      <c r="L694" s="57">
        <f>IF(OR($A694="",L$24=""),"",IF(COUNTIFS('AFA Rates'!$A$5:$A$1004,$A694,'AFA Rates'!$B$5:$B$1004,L$24)&gt;0,"✓",""))</f>
        <v/>
      </c>
      <c r="M694" s="57">
        <f>IF(OR($A694="",M$24=""),"",IF(COUNTIFS('AFA Rates'!$A$5:$A$1004,$A694,'AFA Rates'!$B$5:$B$1004,M$24)&gt;0,"✓",""))</f>
        <v/>
      </c>
    </row>
    <row r="695">
      <c r="A695" s="63">
        <f>IFERROR(INDEX(Firms!$A$5:$A$1004,MATCH(671,Firms!$S$5:$S$1004,0)),"")</f>
        <v/>
      </c>
      <c r="B695" s="57">
        <f>IF($A695="","",INDEX(Firms!$B$5:$B$1004,MATCH(671,Firms!$S$5:$S$1004,0)))</f>
        <v/>
      </c>
      <c r="C695" s="57">
        <f>IF($A695="","",COUNTIF('AFA Rates'!$A$5:$A$1004,$A695))</f>
        <v/>
      </c>
      <c r="D695" s="57">
        <f>IF(OR($A695="",D$24=""),"",IF(COUNTIFS('AFA Rates'!$A$5:$A$1004,$A695,'AFA Rates'!$B$5:$B$1004,D$24)&gt;0,"✓",""))</f>
        <v/>
      </c>
      <c r="E695" s="57">
        <f>IF(OR($A695="",E$24=""),"",IF(COUNTIFS('AFA Rates'!$A$5:$A$1004,$A695,'AFA Rates'!$B$5:$B$1004,E$24)&gt;0,"✓",""))</f>
        <v/>
      </c>
      <c r="F695" s="57">
        <f>IF(OR($A695="",F$24=""),"",IF(COUNTIFS('AFA Rates'!$A$5:$A$1004,$A695,'AFA Rates'!$B$5:$B$1004,F$24)&gt;0,"✓",""))</f>
        <v/>
      </c>
      <c r="G695" s="57">
        <f>IF(OR($A695="",G$24=""),"",IF(COUNTIFS('AFA Rates'!$A$5:$A$1004,$A695,'AFA Rates'!$B$5:$B$1004,G$24)&gt;0,"✓",""))</f>
        <v/>
      </c>
      <c r="H695" s="57">
        <f>IF(OR($A695="",H$24=""),"",IF(COUNTIFS('AFA Rates'!$A$5:$A$1004,$A695,'AFA Rates'!$B$5:$B$1004,H$24)&gt;0,"✓",""))</f>
        <v/>
      </c>
      <c r="I695" s="57">
        <f>IF(OR($A695="",I$24=""),"",IF(COUNTIFS('AFA Rates'!$A$5:$A$1004,$A695,'AFA Rates'!$B$5:$B$1004,I$24)&gt;0,"✓",""))</f>
        <v/>
      </c>
      <c r="J695" s="57">
        <f>IF(OR($A695="",J$24=""),"",IF(COUNTIFS('AFA Rates'!$A$5:$A$1004,$A695,'AFA Rates'!$B$5:$B$1004,J$24)&gt;0,"✓",""))</f>
        <v/>
      </c>
      <c r="K695" s="57">
        <f>IF(OR($A695="",K$24=""),"",IF(COUNTIFS('AFA Rates'!$A$5:$A$1004,$A695,'AFA Rates'!$B$5:$B$1004,K$24)&gt;0,"✓",""))</f>
        <v/>
      </c>
      <c r="L695" s="57">
        <f>IF(OR($A695="",L$24=""),"",IF(COUNTIFS('AFA Rates'!$A$5:$A$1004,$A695,'AFA Rates'!$B$5:$B$1004,L$24)&gt;0,"✓",""))</f>
        <v/>
      </c>
      <c r="M695" s="57">
        <f>IF(OR($A695="",M$24=""),"",IF(COUNTIFS('AFA Rates'!$A$5:$A$1004,$A695,'AFA Rates'!$B$5:$B$1004,M$24)&gt;0,"✓",""))</f>
        <v/>
      </c>
    </row>
    <row r="696">
      <c r="A696" s="63">
        <f>IFERROR(INDEX(Firms!$A$5:$A$1004,MATCH(672,Firms!$S$5:$S$1004,0)),"")</f>
        <v/>
      </c>
      <c r="B696" s="57">
        <f>IF($A696="","",INDEX(Firms!$B$5:$B$1004,MATCH(672,Firms!$S$5:$S$1004,0)))</f>
        <v/>
      </c>
      <c r="C696" s="57">
        <f>IF($A696="","",COUNTIF('AFA Rates'!$A$5:$A$1004,$A696))</f>
        <v/>
      </c>
      <c r="D696" s="57">
        <f>IF(OR($A696="",D$24=""),"",IF(COUNTIFS('AFA Rates'!$A$5:$A$1004,$A696,'AFA Rates'!$B$5:$B$1004,D$24)&gt;0,"✓",""))</f>
        <v/>
      </c>
      <c r="E696" s="57">
        <f>IF(OR($A696="",E$24=""),"",IF(COUNTIFS('AFA Rates'!$A$5:$A$1004,$A696,'AFA Rates'!$B$5:$B$1004,E$24)&gt;0,"✓",""))</f>
        <v/>
      </c>
      <c r="F696" s="57">
        <f>IF(OR($A696="",F$24=""),"",IF(COUNTIFS('AFA Rates'!$A$5:$A$1004,$A696,'AFA Rates'!$B$5:$B$1004,F$24)&gt;0,"✓",""))</f>
        <v/>
      </c>
      <c r="G696" s="57">
        <f>IF(OR($A696="",G$24=""),"",IF(COUNTIFS('AFA Rates'!$A$5:$A$1004,$A696,'AFA Rates'!$B$5:$B$1004,G$24)&gt;0,"✓",""))</f>
        <v/>
      </c>
      <c r="H696" s="57">
        <f>IF(OR($A696="",H$24=""),"",IF(COUNTIFS('AFA Rates'!$A$5:$A$1004,$A696,'AFA Rates'!$B$5:$B$1004,H$24)&gt;0,"✓",""))</f>
        <v/>
      </c>
      <c r="I696" s="57">
        <f>IF(OR($A696="",I$24=""),"",IF(COUNTIFS('AFA Rates'!$A$5:$A$1004,$A696,'AFA Rates'!$B$5:$B$1004,I$24)&gt;0,"✓",""))</f>
        <v/>
      </c>
      <c r="J696" s="57">
        <f>IF(OR($A696="",J$24=""),"",IF(COUNTIFS('AFA Rates'!$A$5:$A$1004,$A696,'AFA Rates'!$B$5:$B$1004,J$24)&gt;0,"✓",""))</f>
        <v/>
      </c>
      <c r="K696" s="57">
        <f>IF(OR($A696="",K$24=""),"",IF(COUNTIFS('AFA Rates'!$A$5:$A$1004,$A696,'AFA Rates'!$B$5:$B$1004,K$24)&gt;0,"✓",""))</f>
        <v/>
      </c>
      <c r="L696" s="57">
        <f>IF(OR($A696="",L$24=""),"",IF(COUNTIFS('AFA Rates'!$A$5:$A$1004,$A696,'AFA Rates'!$B$5:$B$1004,L$24)&gt;0,"✓",""))</f>
        <v/>
      </c>
      <c r="M696" s="57">
        <f>IF(OR($A696="",M$24=""),"",IF(COUNTIFS('AFA Rates'!$A$5:$A$1004,$A696,'AFA Rates'!$B$5:$B$1004,M$24)&gt;0,"✓",""))</f>
        <v/>
      </c>
    </row>
    <row r="697">
      <c r="A697" s="63">
        <f>IFERROR(INDEX(Firms!$A$5:$A$1004,MATCH(673,Firms!$S$5:$S$1004,0)),"")</f>
        <v/>
      </c>
      <c r="B697" s="57">
        <f>IF($A697="","",INDEX(Firms!$B$5:$B$1004,MATCH(673,Firms!$S$5:$S$1004,0)))</f>
        <v/>
      </c>
      <c r="C697" s="57">
        <f>IF($A697="","",COUNTIF('AFA Rates'!$A$5:$A$1004,$A697))</f>
        <v/>
      </c>
      <c r="D697" s="57">
        <f>IF(OR($A697="",D$24=""),"",IF(COUNTIFS('AFA Rates'!$A$5:$A$1004,$A697,'AFA Rates'!$B$5:$B$1004,D$24)&gt;0,"✓",""))</f>
        <v/>
      </c>
      <c r="E697" s="57">
        <f>IF(OR($A697="",E$24=""),"",IF(COUNTIFS('AFA Rates'!$A$5:$A$1004,$A697,'AFA Rates'!$B$5:$B$1004,E$24)&gt;0,"✓",""))</f>
        <v/>
      </c>
      <c r="F697" s="57">
        <f>IF(OR($A697="",F$24=""),"",IF(COUNTIFS('AFA Rates'!$A$5:$A$1004,$A697,'AFA Rates'!$B$5:$B$1004,F$24)&gt;0,"✓",""))</f>
        <v/>
      </c>
      <c r="G697" s="57">
        <f>IF(OR($A697="",G$24=""),"",IF(COUNTIFS('AFA Rates'!$A$5:$A$1004,$A697,'AFA Rates'!$B$5:$B$1004,G$24)&gt;0,"✓",""))</f>
        <v/>
      </c>
      <c r="H697" s="57">
        <f>IF(OR($A697="",H$24=""),"",IF(COUNTIFS('AFA Rates'!$A$5:$A$1004,$A697,'AFA Rates'!$B$5:$B$1004,H$24)&gt;0,"✓",""))</f>
        <v/>
      </c>
      <c r="I697" s="57">
        <f>IF(OR($A697="",I$24=""),"",IF(COUNTIFS('AFA Rates'!$A$5:$A$1004,$A697,'AFA Rates'!$B$5:$B$1004,I$24)&gt;0,"✓",""))</f>
        <v/>
      </c>
      <c r="J697" s="57">
        <f>IF(OR($A697="",J$24=""),"",IF(COUNTIFS('AFA Rates'!$A$5:$A$1004,$A697,'AFA Rates'!$B$5:$B$1004,J$24)&gt;0,"✓",""))</f>
        <v/>
      </c>
      <c r="K697" s="57">
        <f>IF(OR($A697="",K$24=""),"",IF(COUNTIFS('AFA Rates'!$A$5:$A$1004,$A697,'AFA Rates'!$B$5:$B$1004,K$24)&gt;0,"✓",""))</f>
        <v/>
      </c>
      <c r="L697" s="57">
        <f>IF(OR($A697="",L$24=""),"",IF(COUNTIFS('AFA Rates'!$A$5:$A$1004,$A697,'AFA Rates'!$B$5:$B$1004,L$24)&gt;0,"✓",""))</f>
        <v/>
      </c>
      <c r="M697" s="57">
        <f>IF(OR($A697="",M$24=""),"",IF(COUNTIFS('AFA Rates'!$A$5:$A$1004,$A697,'AFA Rates'!$B$5:$B$1004,M$24)&gt;0,"✓",""))</f>
        <v/>
      </c>
    </row>
    <row r="698">
      <c r="A698" s="63">
        <f>IFERROR(INDEX(Firms!$A$5:$A$1004,MATCH(674,Firms!$S$5:$S$1004,0)),"")</f>
        <v/>
      </c>
      <c r="B698" s="57">
        <f>IF($A698="","",INDEX(Firms!$B$5:$B$1004,MATCH(674,Firms!$S$5:$S$1004,0)))</f>
        <v/>
      </c>
      <c r="C698" s="57">
        <f>IF($A698="","",COUNTIF('AFA Rates'!$A$5:$A$1004,$A698))</f>
        <v/>
      </c>
      <c r="D698" s="57">
        <f>IF(OR($A698="",D$24=""),"",IF(COUNTIFS('AFA Rates'!$A$5:$A$1004,$A698,'AFA Rates'!$B$5:$B$1004,D$24)&gt;0,"✓",""))</f>
        <v/>
      </c>
      <c r="E698" s="57">
        <f>IF(OR($A698="",E$24=""),"",IF(COUNTIFS('AFA Rates'!$A$5:$A$1004,$A698,'AFA Rates'!$B$5:$B$1004,E$24)&gt;0,"✓",""))</f>
        <v/>
      </c>
      <c r="F698" s="57">
        <f>IF(OR($A698="",F$24=""),"",IF(COUNTIFS('AFA Rates'!$A$5:$A$1004,$A698,'AFA Rates'!$B$5:$B$1004,F$24)&gt;0,"✓",""))</f>
        <v/>
      </c>
      <c r="G698" s="57">
        <f>IF(OR($A698="",G$24=""),"",IF(COUNTIFS('AFA Rates'!$A$5:$A$1004,$A698,'AFA Rates'!$B$5:$B$1004,G$24)&gt;0,"✓",""))</f>
        <v/>
      </c>
      <c r="H698" s="57">
        <f>IF(OR($A698="",H$24=""),"",IF(COUNTIFS('AFA Rates'!$A$5:$A$1004,$A698,'AFA Rates'!$B$5:$B$1004,H$24)&gt;0,"✓",""))</f>
        <v/>
      </c>
      <c r="I698" s="57">
        <f>IF(OR($A698="",I$24=""),"",IF(COUNTIFS('AFA Rates'!$A$5:$A$1004,$A698,'AFA Rates'!$B$5:$B$1004,I$24)&gt;0,"✓",""))</f>
        <v/>
      </c>
      <c r="J698" s="57">
        <f>IF(OR($A698="",J$24=""),"",IF(COUNTIFS('AFA Rates'!$A$5:$A$1004,$A698,'AFA Rates'!$B$5:$B$1004,J$24)&gt;0,"✓",""))</f>
        <v/>
      </c>
      <c r="K698" s="57">
        <f>IF(OR($A698="",K$24=""),"",IF(COUNTIFS('AFA Rates'!$A$5:$A$1004,$A698,'AFA Rates'!$B$5:$B$1004,K$24)&gt;0,"✓",""))</f>
        <v/>
      </c>
      <c r="L698" s="57">
        <f>IF(OR($A698="",L$24=""),"",IF(COUNTIFS('AFA Rates'!$A$5:$A$1004,$A698,'AFA Rates'!$B$5:$B$1004,L$24)&gt;0,"✓",""))</f>
        <v/>
      </c>
      <c r="M698" s="57">
        <f>IF(OR($A698="",M$24=""),"",IF(COUNTIFS('AFA Rates'!$A$5:$A$1004,$A698,'AFA Rates'!$B$5:$B$1004,M$24)&gt;0,"✓",""))</f>
        <v/>
      </c>
    </row>
    <row r="699">
      <c r="A699" s="63">
        <f>IFERROR(INDEX(Firms!$A$5:$A$1004,MATCH(675,Firms!$S$5:$S$1004,0)),"")</f>
        <v/>
      </c>
      <c r="B699" s="57">
        <f>IF($A699="","",INDEX(Firms!$B$5:$B$1004,MATCH(675,Firms!$S$5:$S$1004,0)))</f>
        <v/>
      </c>
      <c r="C699" s="57">
        <f>IF($A699="","",COUNTIF('AFA Rates'!$A$5:$A$1004,$A699))</f>
        <v/>
      </c>
      <c r="D699" s="57">
        <f>IF(OR($A699="",D$24=""),"",IF(COUNTIFS('AFA Rates'!$A$5:$A$1004,$A699,'AFA Rates'!$B$5:$B$1004,D$24)&gt;0,"✓",""))</f>
        <v/>
      </c>
      <c r="E699" s="57">
        <f>IF(OR($A699="",E$24=""),"",IF(COUNTIFS('AFA Rates'!$A$5:$A$1004,$A699,'AFA Rates'!$B$5:$B$1004,E$24)&gt;0,"✓",""))</f>
        <v/>
      </c>
      <c r="F699" s="57">
        <f>IF(OR($A699="",F$24=""),"",IF(COUNTIFS('AFA Rates'!$A$5:$A$1004,$A699,'AFA Rates'!$B$5:$B$1004,F$24)&gt;0,"✓",""))</f>
        <v/>
      </c>
      <c r="G699" s="57">
        <f>IF(OR($A699="",G$24=""),"",IF(COUNTIFS('AFA Rates'!$A$5:$A$1004,$A699,'AFA Rates'!$B$5:$B$1004,G$24)&gt;0,"✓",""))</f>
        <v/>
      </c>
      <c r="H699" s="57">
        <f>IF(OR($A699="",H$24=""),"",IF(COUNTIFS('AFA Rates'!$A$5:$A$1004,$A699,'AFA Rates'!$B$5:$B$1004,H$24)&gt;0,"✓",""))</f>
        <v/>
      </c>
      <c r="I699" s="57">
        <f>IF(OR($A699="",I$24=""),"",IF(COUNTIFS('AFA Rates'!$A$5:$A$1004,$A699,'AFA Rates'!$B$5:$B$1004,I$24)&gt;0,"✓",""))</f>
        <v/>
      </c>
      <c r="J699" s="57">
        <f>IF(OR($A699="",J$24=""),"",IF(COUNTIFS('AFA Rates'!$A$5:$A$1004,$A699,'AFA Rates'!$B$5:$B$1004,J$24)&gt;0,"✓",""))</f>
        <v/>
      </c>
      <c r="K699" s="57">
        <f>IF(OR($A699="",K$24=""),"",IF(COUNTIFS('AFA Rates'!$A$5:$A$1004,$A699,'AFA Rates'!$B$5:$B$1004,K$24)&gt;0,"✓",""))</f>
        <v/>
      </c>
      <c r="L699" s="57">
        <f>IF(OR($A699="",L$24=""),"",IF(COUNTIFS('AFA Rates'!$A$5:$A$1004,$A699,'AFA Rates'!$B$5:$B$1004,L$24)&gt;0,"✓",""))</f>
        <v/>
      </c>
      <c r="M699" s="57">
        <f>IF(OR($A699="",M$24=""),"",IF(COUNTIFS('AFA Rates'!$A$5:$A$1004,$A699,'AFA Rates'!$B$5:$B$1004,M$24)&gt;0,"✓",""))</f>
        <v/>
      </c>
    </row>
    <row r="700">
      <c r="A700" s="63">
        <f>IFERROR(INDEX(Firms!$A$5:$A$1004,MATCH(676,Firms!$S$5:$S$1004,0)),"")</f>
        <v/>
      </c>
      <c r="B700" s="57">
        <f>IF($A700="","",INDEX(Firms!$B$5:$B$1004,MATCH(676,Firms!$S$5:$S$1004,0)))</f>
        <v/>
      </c>
      <c r="C700" s="57">
        <f>IF($A700="","",COUNTIF('AFA Rates'!$A$5:$A$1004,$A700))</f>
        <v/>
      </c>
      <c r="D700" s="57">
        <f>IF(OR($A700="",D$24=""),"",IF(COUNTIFS('AFA Rates'!$A$5:$A$1004,$A700,'AFA Rates'!$B$5:$B$1004,D$24)&gt;0,"✓",""))</f>
        <v/>
      </c>
      <c r="E700" s="57">
        <f>IF(OR($A700="",E$24=""),"",IF(COUNTIFS('AFA Rates'!$A$5:$A$1004,$A700,'AFA Rates'!$B$5:$B$1004,E$24)&gt;0,"✓",""))</f>
        <v/>
      </c>
      <c r="F700" s="57">
        <f>IF(OR($A700="",F$24=""),"",IF(COUNTIFS('AFA Rates'!$A$5:$A$1004,$A700,'AFA Rates'!$B$5:$B$1004,F$24)&gt;0,"✓",""))</f>
        <v/>
      </c>
      <c r="G700" s="57">
        <f>IF(OR($A700="",G$24=""),"",IF(COUNTIFS('AFA Rates'!$A$5:$A$1004,$A700,'AFA Rates'!$B$5:$B$1004,G$24)&gt;0,"✓",""))</f>
        <v/>
      </c>
      <c r="H700" s="57">
        <f>IF(OR($A700="",H$24=""),"",IF(COUNTIFS('AFA Rates'!$A$5:$A$1004,$A700,'AFA Rates'!$B$5:$B$1004,H$24)&gt;0,"✓",""))</f>
        <v/>
      </c>
      <c r="I700" s="57">
        <f>IF(OR($A700="",I$24=""),"",IF(COUNTIFS('AFA Rates'!$A$5:$A$1004,$A700,'AFA Rates'!$B$5:$B$1004,I$24)&gt;0,"✓",""))</f>
        <v/>
      </c>
      <c r="J700" s="57">
        <f>IF(OR($A700="",J$24=""),"",IF(COUNTIFS('AFA Rates'!$A$5:$A$1004,$A700,'AFA Rates'!$B$5:$B$1004,J$24)&gt;0,"✓",""))</f>
        <v/>
      </c>
      <c r="K700" s="57">
        <f>IF(OR($A700="",K$24=""),"",IF(COUNTIFS('AFA Rates'!$A$5:$A$1004,$A700,'AFA Rates'!$B$5:$B$1004,K$24)&gt;0,"✓",""))</f>
        <v/>
      </c>
      <c r="L700" s="57">
        <f>IF(OR($A700="",L$24=""),"",IF(COUNTIFS('AFA Rates'!$A$5:$A$1004,$A700,'AFA Rates'!$B$5:$B$1004,L$24)&gt;0,"✓",""))</f>
        <v/>
      </c>
      <c r="M700" s="57">
        <f>IF(OR($A700="",M$24=""),"",IF(COUNTIFS('AFA Rates'!$A$5:$A$1004,$A700,'AFA Rates'!$B$5:$B$1004,M$24)&gt;0,"✓",""))</f>
        <v/>
      </c>
    </row>
    <row r="701">
      <c r="A701" s="63">
        <f>IFERROR(INDEX(Firms!$A$5:$A$1004,MATCH(677,Firms!$S$5:$S$1004,0)),"")</f>
        <v/>
      </c>
      <c r="B701" s="57">
        <f>IF($A701="","",INDEX(Firms!$B$5:$B$1004,MATCH(677,Firms!$S$5:$S$1004,0)))</f>
        <v/>
      </c>
      <c r="C701" s="57">
        <f>IF($A701="","",COUNTIF('AFA Rates'!$A$5:$A$1004,$A701))</f>
        <v/>
      </c>
      <c r="D701" s="57">
        <f>IF(OR($A701="",D$24=""),"",IF(COUNTIFS('AFA Rates'!$A$5:$A$1004,$A701,'AFA Rates'!$B$5:$B$1004,D$24)&gt;0,"✓",""))</f>
        <v/>
      </c>
      <c r="E701" s="57">
        <f>IF(OR($A701="",E$24=""),"",IF(COUNTIFS('AFA Rates'!$A$5:$A$1004,$A701,'AFA Rates'!$B$5:$B$1004,E$24)&gt;0,"✓",""))</f>
        <v/>
      </c>
      <c r="F701" s="57">
        <f>IF(OR($A701="",F$24=""),"",IF(COUNTIFS('AFA Rates'!$A$5:$A$1004,$A701,'AFA Rates'!$B$5:$B$1004,F$24)&gt;0,"✓",""))</f>
        <v/>
      </c>
      <c r="G701" s="57">
        <f>IF(OR($A701="",G$24=""),"",IF(COUNTIFS('AFA Rates'!$A$5:$A$1004,$A701,'AFA Rates'!$B$5:$B$1004,G$24)&gt;0,"✓",""))</f>
        <v/>
      </c>
      <c r="H701" s="57">
        <f>IF(OR($A701="",H$24=""),"",IF(COUNTIFS('AFA Rates'!$A$5:$A$1004,$A701,'AFA Rates'!$B$5:$B$1004,H$24)&gt;0,"✓",""))</f>
        <v/>
      </c>
      <c r="I701" s="57">
        <f>IF(OR($A701="",I$24=""),"",IF(COUNTIFS('AFA Rates'!$A$5:$A$1004,$A701,'AFA Rates'!$B$5:$B$1004,I$24)&gt;0,"✓",""))</f>
        <v/>
      </c>
      <c r="J701" s="57">
        <f>IF(OR($A701="",J$24=""),"",IF(COUNTIFS('AFA Rates'!$A$5:$A$1004,$A701,'AFA Rates'!$B$5:$B$1004,J$24)&gt;0,"✓",""))</f>
        <v/>
      </c>
      <c r="K701" s="57">
        <f>IF(OR($A701="",K$24=""),"",IF(COUNTIFS('AFA Rates'!$A$5:$A$1004,$A701,'AFA Rates'!$B$5:$B$1004,K$24)&gt;0,"✓",""))</f>
        <v/>
      </c>
      <c r="L701" s="57">
        <f>IF(OR($A701="",L$24=""),"",IF(COUNTIFS('AFA Rates'!$A$5:$A$1004,$A701,'AFA Rates'!$B$5:$B$1004,L$24)&gt;0,"✓",""))</f>
        <v/>
      </c>
      <c r="M701" s="57">
        <f>IF(OR($A701="",M$24=""),"",IF(COUNTIFS('AFA Rates'!$A$5:$A$1004,$A701,'AFA Rates'!$B$5:$B$1004,M$24)&gt;0,"✓",""))</f>
        <v/>
      </c>
    </row>
    <row r="702">
      <c r="A702" s="63">
        <f>IFERROR(INDEX(Firms!$A$5:$A$1004,MATCH(678,Firms!$S$5:$S$1004,0)),"")</f>
        <v/>
      </c>
      <c r="B702" s="57">
        <f>IF($A702="","",INDEX(Firms!$B$5:$B$1004,MATCH(678,Firms!$S$5:$S$1004,0)))</f>
        <v/>
      </c>
      <c r="C702" s="57">
        <f>IF($A702="","",COUNTIF('AFA Rates'!$A$5:$A$1004,$A702))</f>
        <v/>
      </c>
      <c r="D702" s="57">
        <f>IF(OR($A702="",D$24=""),"",IF(COUNTIFS('AFA Rates'!$A$5:$A$1004,$A702,'AFA Rates'!$B$5:$B$1004,D$24)&gt;0,"✓",""))</f>
        <v/>
      </c>
      <c r="E702" s="57">
        <f>IF(OR($A702="",E$24=""),"",IF(COUNTIFS('AFA Rates'!$A$5:$A$1004,$A702,'AFA Rates'!$B$5:$B$1004,E$24)&gt;0,"✓",""))</f>
        <v/>
      </c>
      <c r="F702" s="57">
        <f>IF(OR($A702="",F$24=""),"",IF(COUNTIFS('AFA Rates'!$A$5:$A$1004,$A702,'AFA Rates'!$B$5:$B$1004,F$24)&gt;0,"✓",""))</f>
        <v/>
      </c>
      <c r="G702" s="57">
        <f>IF(OR($A702="",G$24=""),"",IF(COUNTIFS('AFA Rates'!$A$5:$A$1004,$A702,'AFA Rates'!$B$5:$B$1004,G$24)&gt;0,"✓",""))</f>
        <v/>
      </c>
      <c r="H702" s="57">
        <f>IF(OR($A702="",H$24=""),"",IF(COUNTIFS('AFA Rates'!$A$5:$A$1004,$A702,'AFA Rates'!$B$5:$B$1004,H$24)&gt;0,"✓",""))</f>
        <v/>
      </c>
      <c r="I702" s="57">
        <f>IF(OR($A702="",I$24=""),"",IF(COUNTIFS('AFA Rates'!$A$5:$A$1004,$A702,'AFA Rates'!$B$5:$B$1004,I$24)&gt;0,"✓",""))</f>
        <v/>
      </c>
      <c r="J702" s="57">
        <f>IF(OR($A702="",J$24=""),"",IF(COUNTIFS('AFA Rates'!$A$5:$A$1004,$A702,'AFA Rates'!$B$5:$B$1004,J$24)&gt;0,"✓",""))</f>
        <v/>
      </c>
      <c r="K702" s="57">
        <f>IF(OR($A702="",K$24=""),"",IF(COUNTIFS('AFA Rates'!$A$5:$A$1004,$A702,'AFA Rates'!$B$5:$B$1004,K$24)&gt;0,"✓",""))</f>
        <v/>
      </c>
      <c r="L702" s="57">
        <f>IF(OR($A702="",L$24=""),"",IF(COUNTIFS('AFA Rates'!$A$5:$A$1004,$A702,'AFA Rates'!$B$5:$B$1004,L$24)&gt;0,"✓",""))</f>
        <v/>
      </c>
      <c r="M702" s="57">
        <f>IF(OR($A702="",M$24=""),"",IF(COUNTIFS('AFA Rates'!$A$5:$A$1004,$A702,'AFA Rates'!$B$5:$B$1004,M$24)&gt;0,"✓",""))</f>
        <v/>
      </c>
    </row>
    <row r="703">
      <c r="A703" s="63">
        <f>IFERROR(INDEX(Firms!$A$5:$A$1004,MATCH(679,Firms!$S$5:$S$1004,0)),"")</f>
        <v/>
      </c>
      <c r="B703" s="57">
        <f>IF($A703="","",INDEX(Firms!$B$5:$B$1004,MATCH(679,Firms!$S$5:$S$1004,0)))</f>
        <v/>
      </c>
      <c r="C703" s="57">
        <f>IF($A703="","",COUNTIF('AFA Rates'!$A$5:$A$1004,$A703))</f>
        <v/>
      </c>
      <c r="D703" s="57">
        <f>IF(OR($A703="",D$24=""),"",IF(COUNTIFS('AFA Rates'!$A$5:$A$1004,$A703,'AFA Rates'!$B$5:$B$1004,D$24)&gt;0,"✓",""))</f>
        <v/>
      </c>
      <c r="E703" s="57">
        <f>IF(OR($A703="",E$24=""),"",IF(COUNTIFS('AFA Rates'!$A$5:$A$1004,$A703,'AFA Rates'!$B$5:$B$1004,E$24)&gt;0,"✓",""))</f>
        <v/>
      </c>
      <c r="F703" s="57">
        <f>IF(OR($A703="",F$24=""),"",IF(COUNTIFS('AFA Rates'!$A$5:$A$1004,$A703,'AFA Rates'!$B$5:$B$1004,F$24)&gt;0,"✓",""))</f>
        <v/>
      </c>
      <c r="G703" s="57">
        <f>IF(OR($A703="",G$24=""),"",IF(COUNTIFS('AFA Rates'!$A$5:$A$1004,$A703,'AFA Rates'!$B$5:$B$1004,G$24)&gt;0,"✓",""))</f>
        <v/>
      </c>
      <c r="H703" s="57">
        <f>IF(OR($A703="",H$24=""),"",IF(COUNTIFS('AFA Rates'!$A$5:$A$1004,$A703,'AFA Rates'!$B$5:$B$1004,H$24)&gt;0,"✓",""))</f>
        <v/>
      </c>
      <c r="I703" s="57">
        <f>IF(OR($A703="",I$24=""),"",IF(COUNTIFS('AFA Rates'!$A$5:$A$1004,$A703,'AFA Rates'!$B$5:$B$1004,I$24)&gt;0,"✓",""))</f>
        <v/>
      </c>
      <c r="J703" s="57">
        <f>IF(OR($A703="",J$24=""),"",IF(COUNTIFS('AFA Rates'!$A$5:$A$1004,$A703,'AFA Rates'!$B$5:$B$1004,J$24)&gt;0,"✓",""))</f>
        <v/>
      </c>
      <c r="K703" s="57">
        <f>IF(OR($A703="",K$24=""),"",IF(COUNTIFS('AFA Rates'!$A$5:$A$1004,$A703,'AFA Rates'!$B$5:$B$1004,K$24)&gt;0,"✓",""))</f>
        <v/>
      </c>
      <c r="L703" s="57">
        <f>IF(OR($A703="",L$24=""),"",IF(COUNTIFS('AFA Rates'!$A$5:$A$1004,$A703,'AFA Rates'!$B$5:$B$1004,L$24)&gt;0,"✓",""))</f>
        <v/>
      </c>
      <c r="M703" s="57">
        <f>IF(OR($A703="",M$24=""),"",IF(COUNTIFS('AFA Rates'!$A$5:$A$1004,$A703,'AFA Rates'!$B$5:$B$1004,M$24)&gt;0,"✓",""))</f>
        <v/>
      </c>
    </row>
    <row r="704">
      <c r="A704" s="63">
        <f>IFERROR(INDEX(Firms!$A$5:$A$1004,MATCH(680,Firms!$S$5:$S$1004,0)),"")</f>
        <v/>
      </c>
      <c r="B704" s="57">
        <f>IF($A704="","",INDEX(Firms!$B$5:$B$1004,MATCH(680,Firms!$S$5:$S$1004,0)))</f>
        <v/>
      </c>
      <c r="C704" s="57">
        <f>IF($A704="","",COUNTIF('AFA Rates'!$A$5:$A$1004,$A704))</f>
        <v/>
      </c>
      <c r="D704" s="57">
        <f>IF(OR($A704="",D$24=""),"",IF(COUNTIFS('AFA Rates'!$A$5:$A$1004,$A704,'AFA Rates'!$B$5:$B$1004,D$24)&gt;0,"✓",""))</f>
        <v/>
      </c>
      <c r="E704" s="57">
        <f>IF(OR($A704="",E$24=""),"",IF(COUNTIFS('AFA Rates'!$A$5:$A$1004,$A704,'AFA Rates'!$B$5:$B$1004,E$24)&gt;0,"✓",""))</f>
        <v/>
      </c>
      <c r="F704" s="57">
        <f>IF(OR($A704="",F$24=""),"",IF(COUNTIFS('AFA Rates'!$A$5:$A$1004,$A704,'AFA Rates'!$B$5:$B$1004,F$24)&gt;0,"✓",""))</f>
        <v/>
      </c>
      <c r="G704" s="57">
        <f>IF(OR($A704="",G$24=""),"",IF(COUNTIFS('AFA Rates'!$A$5:$A$1004,$A704,'AFA Rates'!$B$5:$B$1004,G$24)&gt;0,"✓",""))</f>
        <v/>
      </c>
      <c r="H704" s="57">
        <f>IF(OR($A704="",H$24=""),"",IF(COUNTIFS('AFA Rates'!$A$5:$A$1004,$A704,'AFA Rates'!$B$5:$B$1004,H$24)&gt;0,"✓",""))</f>
        <v/>
      </c>
      <c r="I704" s="57">
        <f>IF(OR($A704="",I$24=""),"",IF(COUNTIFS('AFA Rates'!$A$5:$A$1004,$A704,'AFA Rates'!$B$5:$B$1004,I$24)&gt;0,"✓",""))</f>
        <v/>
      </c>
      <c r="J704" s="57">
        <f>IF(OR($A704="",J$24=""),"",IF(COUNTIFS('AFA Rates'!$A$5:$A$1004,$A704,'AFA Rates'!$B$5:$B$1004,J$24)&gt;0,"✓",""))</f>
        <v/>
      </c>
      <c r="K704" s="57">
        <f>IF(OR($A704="",K$24=""),"",IF(COUNTIFS('AFA Rates'!$A$5:$A$1004,$A704,'AFA Rates'!$B$5:$B$1004,K$24)&gt;0,"✓",""))</f>
        <v/>
      </c>
      <c r="L704" s="57">
        <f>IF(OR($A704="",L$24=""),"",IF(COUNTIFS('AFA Rates'!$A$5:$A$1004,$A704,'AFA Rates'!$B$5:$B$1004,L$24)&gt;0,"✓",""))</f>
        <v/>
      </c>
      <c r="M704" s="57">
        <f>IF(OR($A704="",M$24=""),"",IF(COUNTIFS('AFA Rates'!$A$5:$A$1004,$A704,'AFA Rates'!$B$5:$B$1004,M$24)&gt;0,"✓",""))</f>
        <v/>
      </c>
    </row>
    <row r="705">
      <c r="A705" s="63">
        <f>IFERROR(INDEX(Firms!$A$5:$A$1004,MATCH(681,Firms!$S$5:$S$1004,0)),"")</f>
        <v/>
      </c>
      <c r="B705" s="57">
        <f>IF($A705="","",INDEX(Firms!$B$5:$B$1004,MATCH(681,Firms!$S$5:$S$1004,0)))</f>
        <v/>
      </c>
      <c r="C705" s="57">
        <f>IF($A705="","",COUNTIF('AFA Rates'!$A$5:$A$1004,$A705))</f>
        <v/>
      </c>
      <c r="D705" s="57">
        <f>IF(OR($A705="",D$24=""),"",IF(COUNTIFS('AFA Rates'!$A$5:$A$1004,$A705,'AFA Rates'!$B$5:$B$1004,D$24)&gt;0,"✓",""))</f>
        <v/>
      </c>
      <c r="E705" s="57">
        <f>IF(OR($A705="",E$24=""),"",IF(COUNTIFS('AFA Rates'!$A$5:$A$1004,$A705,'AFA Rates'!$B$5:$B$1004,E$24)&gt;0,"✓",""))</f>
        <v/>
      </c>
      <c r="F705" s="57">
        <f>IF(OR($A705="",F$24=""),"",IF(COUNTIFS('AFA Rates'!$A$5:$A$1004,$A705,'AFA Rates'!$B$5:$B$1004,F$24)&gt;0,"✓",""))</f>
        <v/>
      </c>
      <c r="G705" s="57">
        <f>IF(OR($A705="",G$24=""),"",IF(COUNTIFS('AFA Rates'!$A$5:$A$1004,$A705,'AFA Rates'!$B$5:$B$1004,G$24)&gt;0,"✓",""))</f>
        <v/>
      </c>
      <c r="H705" s="57">
        <f>IF(OR($A705="",H$24=""),"",IF(COUNTIFS('AFA Rates'!$A$5:$A$1004,$A705,'AFA Rates'!$B$5:$B$1004,H$24)&gt;0,"✓",""))</f>
        <v/>
      </c>
      <c r="I705" s="57">
        <f>IF(OR($A705="",I$24=""),"",IF(COUNTIFS('AFA Rates'!$A$5:$A$1004,$A705,'AFA Rates'!$B$5:$B$1004,I$24)&gt;0,"✓",""))</f>
        <v/>
      </c>
      <c r="J705" s="57">
        <f>IF(OR($A705="",J$24=""),"",IF(COUNTIFS('AFA Rates'!$A$5:$A$1004,$A705,'AFA Rates'!$B$5:$B$1004,J$24)&gt;0,"✓",""))</f>
        <v/>
      </c>
      <c r="K705" s="57">
        <f>IF(OR($A705="",K$24=""),"",IF(COUNTIFS('AFA Rates'!$A$5:$A$1004,$A705,'AFA Rates'!$B$5:$B$1004,K$24)&gt;0,"✓",""))</f>
        <v/>
      </c>
      <c r="L705" s="57">
        <f>IF(OR($A705="",L$24=""),"",IF(COUNTIFS('AFA Rates'!$A$5:$A$1004,$A705,'AFA Rates'!$B$5:$B$1004,L$24)&gt;0,"✓",""))</f>
        <v/>
      </c>
      <c r="M705" s="57">
        <f>IF(OR($A705="",M$24=""),"",IF(COUNTIFS('AFA Rates'!$A$5:$A$1004,$A705,'AFA Rates'!$B$5:$B$1004,M$24)&gt;0,"✓",""))</f>
        <v/>
      </c>
    </row>
    <row r="706">
      <c r="A706" s="63">
        <f>IFERROR(INDEX(Firms!$A$5:$A$1004,MATCH(682,Firms!$S$5:$S$1004,0)),"")</f>
        <v/>
      </c>
      <c r="B706" s="57">
        <f>IF($A706="","",INDEX(Firms!$B$5:$B$1004,MATCH(682,Firms!$S$5:$S$1004,0)))</f>
        <v/>
      </c>
      <c r="C706" s="57">
        <f>IF($A706="","",COUNTIF('AFA Rates'!$A$5:$A$1004,$A706))</f>
        <v/>
      </c>
      <c r="D706" s="57">
        <f>IF(OR($A706="",D$24=""),"",IF(COUNTIFS('AFA Rates'!$A$5:$A$1004,$A706,'AFA Rates'!$B$5:$B$1004,D$24)&gt;0,"✓",""))</f>
        <v/>
      </c>
      <c r="E706" s="57">
        <f>IF(OR($A706="",E$24=""),"",IF(COUNTIFS('AFA Rates'!$A$5:$A$1004,$A706,'AFA Rates'!$B$5:$B$1004,E$24)&gt;0,"✓",""))</f>
        <v/>
      </c>
      <c r="F706" s="57">
        <f>IF(OR($A706="",F$24=""),"",IF(COUNTIFS('AFA Rates'!$A$5:$A$1004,$A706,'AFA Rates'!$B$5:$B$1004,F$24)&gt;0,"✓",""))</f>
        <v/>
      </c>
      <c r="G706" s="57">
        <f>IF(OR($A706="",G$24=""),"",IF(COUNTIFS('AFA Rates'!$A$5:$A$1004,$A706,'AFA Rates'!$B$5:$B$1004,G$24)&gt;0,"✓",""))</f>
        <v/>
      </c>
      <c r="H706" s="57">
        <f>IF(OR($A706="",H$24=""),"",IF(COUNTIFS('AFA Rates'!$A$5:$A$1004,$A706,'AFA Rates'!$B$5:$B$1004,H$24)&gt;0,"✓",""))</f>
        <v/>
      </c>
      <c r="I706" s="57">
        <f>IF(OR($A706="",I$24=""),"",IF(COUNTIFS('AFA Rates'!$A$5:$A$1004,$A706,'AFA Rates'!$B$5:$B$1004,I$24)&gt;0,"✓",""))</f>
        <v/>
      </c>
      <c r="J706" s="57">
        <f>IF(OR($A706="",J$24=""),"",IF(COUNTIFS('AFA Rates'!$A$5:$A$1004,$A706,'AFA Rates'!$B$5:$B$1004,J$24)&gt;0,"✓",""))</f>
        <v/>
      </c>
      <c r="K706" s="57">
        <f>IF(OR($A706="",K$24=""),"",IF(COUNTIFS('AFA Rates'!$A$5:$A$1004,$A706,'AFA Rates'!$B$5:$B$1004,K$24)&gt;0,"✓",""))</f>
        <v/>
      </c>
      <c r="L706" s="57">
        <f>IF(OR($A706="",L$24=""),"",IF(COUNTIFS('AFA Rates'!$A$5:$A$1004,$A706,'AFA Rates'!$B$5:$B$1004,L$24)&gt;0,"✓",""))</f>
        <v/>
      </c>
      <c r="M706" s="57">
        <f>IF(OR($A706="",M$24=""),"",IF(COUNTIFS('AFA Rates'!$A$5:$A$1004,$A706,'AFA Rates'!$B$5:$B$1004,M$24)&gt;0,"✓",""))</f>
        <v/>
      </c>
    </row>
    <row r="707">
      <c r="A707" s="63">
        <f>IFERROR(INDEX(Firms!$A$5:$A$1004,MATCH(683,Firms!$S$5:$S$1004,0)),"")</f>
        <v/>
      </c>
      <c r="B707" s="57">
        <f>IF($A707="","",INDEX(Firms!$B$5:$B$1004,MATCH(683,Firms!$S$5:$S$1004,0)))</f>
        <v/>
      </c>
      <c r="C707" s="57">
        <f>IF($A707="","",COUNTIF('AFA Rates'!$A$5:$A$1004,$A707))</f>
        <v/>
      </c>
      <c r="D707" s="57">
        <f>IF(OR($A707="",D$24=""),"",IF(COUNTIFS('AFA Rates'!$A$5:$A$1004,$A707,'AFA Rates'!$B$5:$B$1004,D$24)&gt;0,"✓",""))</f>
        <v/>
      </c>
      <c r="E707" s="57">
        <f>IF(OR($A707="",E$24=""),"",IF(COUNTIFS('AFA Rates'!$A$5:$A$1004,$A707,'AFA Rates'!$B$5:$B$1004,E$24)&gt;0,"✓",""))</f>
        <v/>
      </c>
      <c r="F707" s="57">
        <f>IF(OR($A707="",F$24=""),"",IF(COUNTIFS('AFA Rates'!$A$5:$A$1004,$A707,'AFA Rates'!$B$5:$B$1004,F$24)&gt;0,"✓",""))</f>
        <v/>
      </c>
      <c r="G707" s="57">
        <f>IF(OR($A707="",G$24=""),"",IF(COUNTIFS('AFA Rates'!$A$5:$A$1004,$A707,'AFA Rates'!$B$5:$B$1004,G$24)&gt;0,"✓",""))</f>
        <v/>
      </c>
      <c r="H707" s="57">
        <f>IF(OR($A707="",H$24=""),"",IF(COUNTIFS('AFA Rates'!$A$5:$A$1004,$A707,'AFA Rates'!$B$5:$B$1004,H$24)&gt;0,"✓",""))</f>
        <v/>
      </c>
      <c r="I707" s="57">
        <f>IF(OR($A707="",I$24=""),"",IF(COUNTIFS('AFA Rates'!$A$5:$A$1004,$A707,'AFA Rates'!$B$5:$B$1004,I$24)&gt;0,"✓",""))</f>
        <v/>
      </c>
      <c r="J707" s="57">
        <f>IF(OR($A707="",J$24=""),"",IF(COUNTIFS('AFA Rates'!$A$5:$A$1004,$A707,'AFA Rates'!$B$5:$B$1004,J$24)&gt;0,"✓",""))</f>
        <v/>
      </c>
      <c r="K707" s="57">
        <f>IF(OR($A707="",K$24=""),"",IF(COUNTIFS('AFA Rates'!$A$5:$A$1004,$A707,'AFA Rates'!$B$5:$B$1004,K$24)&gt;0,"✓",""))</f>
        <v/>
      </c>
      <c r="L707" s="57">
        <f>IF(OR($A707="",L$24=""),"",IF(COUNTIFS('AFA Rates'!$A$5:$A$1004,$A707,'AFA Rates'!$B$5:$B$1004,L$24)&gt;0,"✓",""))</f>
        <v/>
      </c>
      <c r="M707" s="57">
        <f>IF(OR($A707="",M$24=""),"",IF(COUNTIFS('AFA Rates'!$A$5:$A$1004,$A707,'AFA Rates'!$B$5:$B$1004,M$24)&gt;0,"✓",""))</f>
        <v/>
      </c>
    </row>
    <row r="708">
      <c r="A708" s="63">
        <f>IFERROR(INDEX(Firms!$A$5:$A$1004,MATCH(684,Firms!$S$5:$S$1004,0)),"")</f>
        <v/>
      </c>
      <c r="B708" s="57">
        <f>IF($A708="","",INDEX(Firms!$B$5:$B$1004,MATCH(684,Firms!$S$5:$S$1004,0)))</f>
        <v/>
      </c>
      <c r="C708" s="57">
        <f>IF($A708="","",COUNTIF('AFA Rates'!$A$5:$A$1004,$A708))</f>
        <v/>
      </c>
      <c r="D708" s="57">
        <f>IF(OR($A708="",D$24=""),"",IF(COUNTIFS('AFA Rates'!$A$5:$A$1004,$A708,'AFA Rates'!$B$5:$B$1004,D$24)&gt;0,"✓",""))</f>
        <v/>
      </c>
      <c r="E708" s="57">
        <f>IF(OR($A708="",E$24=""),"",IF(COUNTIFS('AFA Rates'!$A$5:$A$1004,$A708,'AFA Rates'!$B$5:$B$1004,E$24)&gt;0,"✓",""))</f>
        <v/>
      </c>
      <c r="F708" s="57">
        <f>IF(OR($A708="",F$24=""),"",IF(COUNTIFS('AFA Rates'!$A$5:$A$1004,$A708,'AFA Rates'!$B$5:$B$1004,F$24)&gt;0,"✓",""))</f>
        <v/>
      </c>
      <c r="G708" s="57">
        <f>IF(OR($A708="",G$24=""),"",IF(COUNTIFS('AFA Rates'!$A$5:$A$1004,$A708,'AFA Rates'!$B$5:$B$1004,G$24)&gt;0,"✓",""))</f>
        <v/>
      </c>
      <c r="H708" s="57">
        <f>IF(OR($A708="",H$24=""),"",IF(COUNTIFS('AFA Rates'!$A$5:$A$1004,$A708,'AFA Rates'!$B$5:$B$1004,H$24)&gt;0,"✓",""))</f>
        <v/>
      </c>
      <c r="I708" s="57">
        <f>IF(OR($A708="",I$24=""),"",IF(COUNTIFS('AFA Rates'!$A$5:$A$1004,$A708,'AFA Rates'!$B$5:$B$1004,I$24)&gt;0,"✓",""))</f>
        <v/>
      </c>
      <c r="J708" s="57">
        <f>IF(OR($A708="",J$24=""),"",IF(COUNTIFS('AFA Rates'!$A$5:$A$1004,$A708,'AFA Rates'!$B$5:$B$1004,J$24)&gt;0,"✓",""))</f>
        <v/>
      </c>
      <c r="K708" s="57">
        <f>IF(OR($A708="",K$24=""),"",IF(COUNTIFS('AFA Rates'!$A$5:$A$1004,$A708,'AFA Rates'!$B$5:$B$1004,K$24)&gt;0,"✓",""))</f>
        <v/>
      </c>
      <c r="L708" s="57">
        <f>IF(OR($A708="",L$24=""),"",IF(COUNTIFS('AFA Rates'!$A$5:$A$1004,$A708,'AFA Rates'!$B$5:$B$1004,L$24)&gt;0,"✓",""))</f>
        <v/>
      </c>
      <c r="M708" s="57">
        <f>IF(OR($A708="",M$24=""),"",IF(COUNTIFS('AFA Rates'!$A$5:$A$1004,$A708,'AFA Rates'!$B$5:$B$1004,M$24)&gt;0,"✓",""))</f>
        <v/>
      </c>
    </row>
    <row r="709">
      <c r="A709" s="63">
        <f>IFERROR(INDEX(Firms!$A$5:$A$1004,MATCH(685,Firms!$S$5:$S$1004,0)),"")</f>
        <v/>
      </c>
      <c r="B709" s="57">
        <f>IF($A709="","",INDEX(Firms!$B$5:$B$1004,MATCH(685,Firms!$S$5:$S$1004,0)))</f>
        <v/>
      </c>
      <c r="C709" s="57">
        <f>IF($A709="","",COUNTIF('AFA Rates'!$A$5:$A$1004,$A709))</f>
        <v/>
      </c>
      <c r="D709" s="57">
        <f>IF(OR($A709="",D$24=""),"",IF(COUNTIFS('AFA Rates'!$A$5:$A$1004,$A709,'AFA Rates'!$B$5:$B$1004,D$24)&gt;0,"✓",""))</f>
        <v/>
      </c>
      <c r="E709" s="57">
        <f>IF(OR($A709="",E$24=""),"",IF(COUNTIFS('AFA Rates'!$A$5:$A$1004,$A709,'AFA Rates'!$B$5:$B$1004,E$24)&gt;0,"✓",""))</f>
        <v/>
      </c>
      <c r="F709" s="57">
        <f>IF(OR($A709="",F$24=""),"",IF(COUNTIFS('AFA Rates'!$A$5:$A$1004,$A709,'AFA Rates'!$B$5:$B$1004,F$24)&gt;0,"✓",""))</f>
        <v/>
      </c>
      <c r="G709" s="57">
        <f>IF(OR($A709="",G$24=""),"",IF(COUNTIFS('AFA Rates'!$A$5:$A$1004,$A709,'AFA Rates'!$B$5:$B$1004,G$24)&gt;0,"✓",""))</f>
        <v/>
      </c>
      <c r="H709" s="57">
        <f>IF(OR($A709="",H$24=""),"",IF(COUNTIFS('AFA Rates'!$A$5:$A$1004,$A709,'AFA Rates'!$B$5:$B$1004,H$24)&gt;0,"✓",""))</f>
        <v/>
      </c>
      <c r="I709" s="57">
        <f>IF(OR($A709="",I$24=""),"",IF(COUNTIFS('AFA Rates'!$A$5:$A$1004,$A709,'AFA Rates'!$B$5:$B$1004,I$24)&gt;0,"✓",""))</f>
        <v/>
      </c>
      <c r="J709" s="57">
        <f>IF(OR($A709="",J$24=""),"",IF(COUNTIFS('AFA Rates'!$A$5:$A$1004,$A709,'AFA Rates'!$B$5:$B$1004,J$24)&gt;0,"✓",""))</f>
        <v/>
      </c>
      <c r="K709" s="57">
        <f>IF(OR($A709="",K$24=""),"",IF(COUNTIFS('AFA Rates'!$A$5:$A$1004,$A709,'AFA Rates'!$B$5:$B$1004,K$24)&gt;0,"✓",""))</f>
        <v/>
      </c>
      <c r="L709" s="57">
        <f>IF(OR($A709="",L$24=""),"",IF(COUNTIFS('AFA Rates'!$A$5:$A$1004,$A709,'AFA Rates'!$B$5:$B$1004,L$24)&gt;0,"✓",""))</f>
        <v/>
      </c>
      <c r="M709" s="57">
        <f>IF(OR($A709="",M$24=""),"",IF(COUNTIFS('AFA Rates'!$A$5:$A$1004,$A709,'AFA Rates'!$B$5:$B$1004,M$24)&gt;0,"✓",""))</f>
        <v/>
      </c>
    </row>
    <row r="710">
      <c r="A710" s="63">
        <f>IFERROR(INDEX(Firms!$A$5:$A$1004,MATCH(686,Firms!$S$5:$S$1004,0)),"")</f>
        <v/>
      </c>
      <c r="B710" s="57">
        <f>IF($A710="","",INDEX(Firms!$B$5:$B$1004,MATCH(686,Firms!$S$5:$S$1004,0)))</f>
        <v/>
      </c>
      <c r="C710" s="57">
        <f>IF($A710="","",COUNTIF('AFA Rates'!$A$5:$A$1004,$A710))</f>
        <v/>
      </c>
      <c r="D710" s="57">
        <f>IF(OR($A710="",D$24=""),"",IF(COUNTIFS('AFA Rates'!$A$5:$A$1004,$A710,'AFA Rates'!$B$5:$B$1004,D$24)&gt;0,"✓",""))</f>
        <v/>
      </c>
      <c r="E710" s="57">
        <f>IF(OR($A710="",E$24=""),"",IF(COUNTIFS('AFA Rates'!$A$5:$A$1004,$A710,'AFA Rates'!$B$5:$B$1004,E$24)&gt;0,"✓",""))</f>
        <v/>
      </c>
      <c r="F710" s="57">
        <f>IF(OR($A710="",F$24=""),"",IF(COUNTIFS('AFA Rates'!$A$5:$A$1004,$A710,'AFA Rates'!$B$5:$B$1004,F$24)&gt;0,"✓",""))</f>
        <v/>
      </c>
      <c r="G710" s="57">
        <f>IF(OR($A710="",G$24=""),"",IF(COUNTIFS('AFA Rates'!$A$5:$A$1004,$A710,'AFA Rates'!$B$5:$B$1004,G$24)&gt;0,"✓",""))</f>
        <v/>
      </c>
      <c r="H710" s="57">
        <f>IF(OR($A710="",H$24=""),"",IF(COUNTIFS('AFA Rates'!$A$5:$A$1004,$A710,'AFA Rates'!$B$5:$B$1004,H$24)&gt;0,"✓",""))</f>
        <v/>
      </c>
      <c r="I710" s="57">
        <f>IF(OR($A710="",I$24=""),"",IF(COUNTIFS('AFA Rates'!$A$5:$A$1004,$A710,'AFA Rates'!$B$5:$B$1004,I$24)&gt;0,"✓",""))</f>
        <v/>
      </c>
      <c r="J710" s="57">
        <f>IF(OR($A710="",J$24=""),"",IF(COUNTIFS('AFA Rates'!$A$5:$A$1004,$A710,'AFA Rates'!$B$5:$B$1004,J$24)&gt;0,"✓",""))</f>
        <v/>
      </c>
      <c r="K710" s="57">
        <f>IF(OR($A710="",K$24=""),"",IF(COUNTIFS('AFA Rates'!$A$5:$A$1004,$A710,'AFA Rates'!$B$5:$B$1004,K$24)&gt;0,"✓",""))</f>
        <v/>
      </c>
      <c r="L710" s="57">
        <f>IF(OR($A710="",L$24=""),"",IF(COUNTIFS('AFA Rates'!$A$5:$A$1004,$A710,'AFA Rates'!$B$5:$B$1004,L$24)&gt;0,"✓",""))</f>
        <v/>
      </c>
      <c r="M710" s="57">
        <f>IF(OR($A710="",M$24=""),"",IF(COUNTIFS('AFA Rates'!$A$5:$A$1004,$A710,'AFA Rates'!$B$5:$B$1004,M$24)&gt;0,"✓",""))</f>
        <v/>
      </c>
    </row>
    <row r="711">
      <c r="A711" s="63">
        <f>IFERROR(INDEX(Firms!$A$5:$A$1004,MATCH(687,Firms!$S$5:$S$1004,0)),"")</f>
        <v/>
      </c>
      <c r="B711" s="57">
        <f>IF($A711="","",INDEX(Firms!$B$5:$B$1004,MATCH(687,Firms!$S$5:$S$1004,0)))</f>
        <v/>
      </c>
      <c r="C711" s="57">
        <f>IF($A711="","",COUNTIF('AFA Rates'!$A$5:$A$1004,$A711))</f>
        <v/>
      </c>
      <c r="D711" s="57">
        <f>IF(OR($A711="",D$24=""),"",IF(COUNTIFS('AFA Rates'!$A$5:$A$1004,$A711,'AFA Rates'!$B$5:$B$1004,D$24)&gt;0,"✓",""))</f>
        <v/>
      </c>
      <c r="E711" s="57">
        <f>IF(OR($A711="",E$24=""),"",IF(COUNTIFS('AFA Rates'!$A$5:$A$1004,$A711,'AFA Rates'!$B$5:$B$1004,E$24)&gt;0,"✓",""))</f>
        <v/>
      </c>
      <c r="F711" s="57">
        <f>IF(OR($A711="",F$24=""),"",IF(COUNTIFS('AFA Rates'!$A$5:$A$1004,$A711,'AFA Rates'!$B$5:$B$1004,F$24)&gt;0,"✓",""))</f>
        <v/>
      </c>
      <c r="G711" s="57">
        <f>IF(OR($A711="",G$24=""),"",IF(COUNTIFS('AFA Rates'!$A$5:$A$1004,$A711,'AFA Rates'!$B$5:$B$1004,G$24)&gt;0,"✓",""))</f>
        <v/>
      </c>
      <c r="H711" s="57">
        <f>IF(OR($A711="",H$24=""),"",IF(COUNTIFS('AFA Rates'!$A$5:$A$1004,$A711,'AFA Rates'!$B$5:$B$1004,H$24)&gt;0,"✓",""))</f>
        <v/>
      </c>
      <c r="I711" s="57">
        <f>IF(OR($A711="",I$24=""),"",IF(COUNTIFS('AFA Rates'!$A$5:$A$1004,$A711,'AFA Rates'!$B$5:$B$1004,I$24)&gt;0,"✓",""))</f>
        <v/>
      </c>
      <c r="J711" s="57">
        <f>IF(OR($A711="",J$24=""),"",IF(COUNTIFS('AFA Rates'!$A$5:$A$1004,$A711,'AFA Rates'!$B$5:$B$1004,J$24)&gt;0,"✓",""))</f>
        <v/>
      </c>
      <c r="K711" s="57">
        <f>IF(OR($A711="",K$24=""),"",IF(COUNTIFS('AFA Rates'!$A$5:$A$1004,$A711,'AFA Rates'!$B$5:$B$1004,K$24)&gt;0,"✓",""))</f>
        <v/>
      </c>
      <c r="L711" s="57">
        <f>IF(OR($A711="",L$24=""),"",IF(COUNTIFS('AFA Rates'!$A$5:$A$1004,$A711,'AFA Rates'!$B$5:$B$1004,L$24)&gt;0,"✓",""))</f>
        <v/>
      </c>
      <c r="M711" s="57">
        <f>IF(OR($A711="",M$24=""),"",IF(COUNTIFS('AFA Rates'!$A$5:$A$1004,$A711,'AFA Rates'!$B$5:$B$1004,M$24)&gt;0,"✓",""))</f>
        <v/>
      </c>
    </row>
    <row r="712">
      <c r="A712" s="63">
        <f>IFERROR(INDEX(Firms!$A$5:$A$1004,MATCH(688,Firms!$S$5:$S$1004,0)),"")</f>
        <v/>
      </c>
      <c r="B712" s="57">
        <f>IF($A712="","",INDEX(Firms!$B$5:$B$1004,MATCH(688,Firms!$S$5:$S$1004,0)))</f>
        <v/>
      </c>
      <c r="C712" s="57">
        <f>IF($A712="","",COUNTIF('AFA Rates'!$A$5:$A$1004,$A712))</f>
        <v/>
      </c>
      <c r="D712" s="57">
        <f>IF(OR($A712="",D$24=""),"",IF(COUNTIFS('AFA Rates'!$A$5:$A$1004,$A712,'AFA Rates'!$B$5:$B$1004,D$24)&gt;0,"✓",""))</f>
        <v/>
      </c>
      <c r="E712" s="57">
        <f>IF(OR($A712="",E$24=""),"",IF(COUNTIFS('AFA Rates'!$A$5:$A$1004,$A712,'AFA Rates'!$B$5:$B$1004,E$24)&gt;0,"✓",""))</f>
        <v/>
      </c>
      <c r="F712" s="57">
        <f>IF(OR($A712="",F$24=""),"",IF(COUNTIFS('AFA Rates'!$A$5:$A$1004,$A712,'AFA Rates'!$B$5:$B$1004,F$24)&gt;0,"✓",""))</f>
        <v/>
      </c>
      <c r="G712" s="57">
        <f>IF(OR($A712="",G$24=""),"",IF(COUNTIFS('AFA Rates'!$A$5:$A$1004,$A712,'AFA Rates'!$B$5:$B$1004,G$24)&gt;0,"✓",""))</f>
        <v/>
      </c>
      <c r="H712" s="57">
        <f>IF(OR($A712="",H$24=""),"",IF(COUNTIFS('AFA Rates'!$A$5:$A$1004,$A712,'AFA Rates'!$B$5:$B$1004,H$24)&gt;0,"✓",""))</f>
        <v/>
      </c>
      <c r="I712" s="57">
        <f>IF(OR($A712="",I$24=""),"",IF(COUNTIFS('AFA Rates'!$A$5:$A$1004,$A712,'AFA Rates'!$B$5:$B$1004,I$24)&gt;0,"✓",""))</f>
        <v/>
      </c>
      <c r="J712" s="57">
        <f>IF(OR($A712="",J$24=""),"",IF(COUNTIFS('AFA Rates'!$A$5:$A$1004,$A712,'AFA Rates'!$B$5:$B$1004,J$24)&gt;0,"✓",""))</f>
        <v/>
      </c>
      <c r="K712" s="57">
        <f>IF(OR($A712="",K$24=""),"",IF(COUNTIFS('AFA Rates'!$A$5:$A$1004,$A712,'AFA Rates'!$B$5:$B$1004,K$24)&gt;0,"✓",""))</f>
        <v/>
      </c>
      <c r="L712" s="57">
        <f>IF(OR($A712="",L$24=""),"",IF(COUNTIFS('AFA Rates'!$A$5:$A$1004,$A712,'AFA Rates'!$B$5:$B$1004,L$24)&gt;0,"✓",""))</f>
        <v/>
      </c>
      <c r="M712" s="57">
        <f>IF(OR($A712="",M$24=""),"",IF(COUNTIFS('AFA Rates'!$A$5:$A$1004,$A712,'AFA Rates'!$B$5:$B$1004,M$24)&gt;0,"✓",""))</f>
        <v/>
      </c>
    </row>
    <row r="713">
      <c r="A713" s="63">
        <f>IFERROR(INDEX(Firms!$A$5:$A$1004,MATCH(689,Firms!$S$5:$S$1004,0)),"")</f>
        <v/>
      </c>
      <c r="B713" s="57">
        <f>IF($A713="","",INDEX(Firms!$B$5:$B$1004,MATCH(689,Firms!$S$5:$S$1004,0)))</f>
        <v/>
      </c>
      <c r="C713" s="57">
        <f>IF($A713="","",COUNTIF('AFA Rates'!$A$5:$A$1004,$A713))</f>
        <v/>
      </c>
      <c r="D713" s="57">
        <f>IF(OR($A713="",D$24=""),"",IF(COUNTIFS('AFA Rates'!$A$5:$A$1004,$A713,'AFA Rates'!$B$5:$B$1004,D$24)&gt;0,"✓",""))</f>
        <v/>
      </c>
      <c r="E713" s="57">
        <f>IF(OR($A713="",E$24=""),"",IF(COUNTIFS('AFA Rates'!$A$5:$A$1004,$A713,'AFA Rates'!$B$5:$B$1004,E$24)&gt;0,"✓",""))</f>
        <v/>
      </c>
      <c r="F713" s="57">
        <f>IF(OR($A713="",F$24=""),"",IF(COUNTIFS('AFA Rates'!$A$5:$A$1004,$A713,'AFA Rates'!$B$5:$B$1004,F$24)&gt;0,"✓",""))</f>
        <v/>
      </c>
      <c r="G713" s="57">
        <f>IF(OR($A713="",G$24=""),"",IF(COUNTIFS('AFA Rates'!$A$5:$A$1004,$A713,'AFA Rates'!$B$5:$B$1004,G$24)&gt;0,"✓",""))</f>
        <v/>
      </c>
      <c r="H713" s="57">
        <f>IF(OR($A713="",H$24=""),"",IF(COUNTIFS('AFA Rates'!$A$5:$A$1004,$A713,'AFA Rates'!$B$5:$B$1004,H$24)&gt;0,"✓",""))</f>
        <v/>
      </c>
      <c r="I713" s="57">
        <f>IF(OR($A713="",I$24=""),"",IF(COUNTIFS('AFA Rates'!$A$5:$A$1004,$A713,'AFA Rates'!$B$5:$B$1004,I$24)&gt;0,"✓",""))</f>
        <v/>
      </c>
      <c r="J713" s="57">
        <f>IF(OR($A713="",J$24=""),"",IF(COUNTIFS('AFA Rates'!$A$5:$A$1004,$A713,'AFA Rates'!$B$5:$B$1004,J$24)&gt;0,"✓",""))</f>
        <v/>
      </c>
      <c r="K713" s="57">
        <f>IF(OR($A713="",K$24=""),"",IF(COUNTIFS('AFA Rates'!$A$5:$A$1004,$A713,'AFA Rates'!$B$5:$B$1004,K$24)&gt;0,"✓",""))</f>
        <v/>
      </c>
      <c r="L713" s="57">
        <f>IF(OR($A713="",L$24=""),"",IF(COUNTIFS('AFA Rates'!$A$5:$A$1004,$A713,'AFA Rates'!$B$5:$B$1004,L$24)&gt;0,"✓",""))</f>
        <v/>
      </c>
      <c r="M713" s="57">
        <f>IF(OR($A713="",M$24=""),"",IF(COUNTIFS('AFA Rates'!$A$5:$A$1004,$A713,'AFA Rates'!$B$5:$B$1004,M$24)&gt;0,"✓",""))</f>
        <v/>
      </c>
    </row>
    <row r="714">
      <c r="A714" s="63">
        <f>IFERROR(INDEX(Firms!$A$5:$A$1004,MATCH(690,Firms!$S$5:$S$1004,0)),"")</f>
        <v/>
      </c>
      <c r="B714" s="57">
        <f>IF($A714="","",INDEX(Firms!$B$5:$B$1004,MATCH(690,Firms!$S$5:$S$1004,0)))</f>
        <v/>
      </c>
      <c r="C714" s="57">
        <f>IF($A714="","",COUNTIF('AFA Rates'!$A$5:$A$1004,$A714))</f>
        <v/>
      </c>
      <c r="D714" s="57">
        <f>IF(OR($A714="",D$24=""),"",IF(COUNTIFS('AFA Rates'!$A$5:$A$1004,$A714,'AFA Rates'!$B$5:$B$1004,D$24)&gt;0,"✓",""))</f>
        <v/>
      </c>
      <c r="E714" s="57">
        <f>IF(OR($A714="",E$24=""),"",IF(COUNTIFS('AFA Rates'!$A$5:$A$1004,$A714,'AFA Rates'!$B$5:$B$1004,E$24)&gt;0,"✓",""))</f>
        <v/>
      </c>
      <c r="F714" s="57">
        <f>IF(OR($A714="",F$24=""),"",IF(COUNTIFS('AFA Rates'!$A$5:$A$1004,$A714,'AFA Rates'!$B$5:$B$1004,F$24)&gt;0,"✓",""))</f>
        <v/>
      </c>
      <c r="G714" s="57">
        <f>IF(OR($A714="",G$24=""),"",IF(COUNTIFS('AFA Rates'!$A$5:$A$1004,$A714,'AFA Rates'!$B$5:$B$1004,G$24)&gt;0,"✓",""))</f>
        <v/>
      </c>
      <c r="H714" s="57">
        <f>IF(OR($A714="",H$24=""),"",IF(COUNTIFS('AFA Rates'!$A$5:$A$1004,$A714,'AFA Rates'!$B$5:$B$1004,H$24)&gt;0,"✓",""))</f>
        <v/>
      </c>
      <c r="I714" s="57">
        <f>IF(OR($A714="",I$24=""),"",IF(COUNTIFS('AFA Rates'!$A$5:$A$1004,$A714,'AFA Rates'!$B$5:$B$1004,I$24)&gt;0,"✓",""))</f>
        <v/>
      </c>
      <c r="J714" s="57">
        <f>IF(OR($A714="",J$24=""),"",IF(COUNTIFS('AFA Rates'!$A$5:$A$1004,$A714,'AFA Rates'!$B$5:$B$1004,J$24)&gt;0,"✓",""))</f>
        <v/>
      </c>
      <c r="K714" s="57">
        <f>IF(OR($A714="",K$24=""),"",IF(COUNTIFS('AFA Rates'!$A$5:$A$1004,$A714,'AFA Rates'!$B$5:$B$1004,K$24)&gt;0,"✓",""))</f>
        <v/>
      </c>
      <c r="L714" s="57">
        <f>IF(OR($A714="",L$24=""),"",IF(COUNTIFS('AFA Rates'!$A$5:$A$1004,$A714,'AFA Rates'!$B$5:$B$1004,L$24)&gt;0,"✓",""))</f>
        <v/>
      </c>
      <c r="M714" s="57">
        <f>IF(OR($A714="",M$24=""),"",IF(COUNTIFS('AFA Rates'!$A$5:$A$1004,$A714,'AFA Rates'!$B$5:$B$1004,M$24)&gt;0,"✓",""))</f>
        <v/>
      </c>
    </row>
    <row r="715">
      <c r="A715" s="63">
        <f>IFERROR(INDEX(Firms!$A$5:$A$1004,MATCH(691,Firms!$S$5:$S$1004,0)),"")</f>
        <v/>
      </c>
      <c r="B715" s="57">
        <f>IF($A715="","",INDEX(Firms!$B$5:$B$1004,MATCH(691,Firms!$S$5:$S$1004,0)))</f>
        <v/>
      </c>
      <c r="C715" s="57">
        <f>IF($A715="","",COUNTIF('AFA Rates'!$A$5:$A$1004,$A715))</f>
        <v/>
      </c>
      <c r="D715" s="57">
        <f>IF(OR($A715="",D$24=""),"",IF(COUNTIFS('AFA Rates'!$A$5:$A$1004,$A715,'AFA Rates'!$B$5:$B$1004,D$24)&gt;0,"✓",""))</f>
        <v/>
      </c>
      <c r="E715" s="57">
        <f>IF(OR($A715="",E$24=""),"",IF(COUNTIFS('AFA Rates'!$A$5:$A$1004,$A715,'AFA Rates'!$B$5:$B$1004,E$24)&gt;0,"✓",""))</f>
        <v/>
      </c>
      <c r="F715" s="57">
        <f>IF(OR($A715="",F$24=""),"",IF(COUNTIFS('AFA Rates'!$A$5:$A$1004,$A715,'AFA Rates'!$B$5:$B$1004,F$24)&gt;0,"✓",""))</f>
        <v/>
      </c>
      <c r="G715" s="57">
        <f>IF(OR($A715="",G$24=""),"",IF(COUNTIFS('AFA Rates'!$A$5:$A$1004,$A715,'AFA Rates'!$B$5:$B$1004,G$24)&gt;0,"✓",""))</f>
        <v/>
      </c>
      <c r="H715" s="57">
        <f>IF(OR($A715="",H$24=""),"",IF(COUNTIFS('AFA Rates'!$A$5:$A$1004,$A715,'AFA Rates'!$B$5:$B$1004,H$24)&gt;0,"✓",""))</f>
        <v/>
      </c>
      <c r="I715" s="57">
        <f>IF(OR($A715="",I$24=""),"",IF(COUNTIFS('AFA Rates'!$A$5:$A$1004,$A715,'AFA Rates'!$B$5:$B$1004,I$24)&gt;0,"✓",""))</f>
        <v/>
      </c>
      <c r="J715" s="57">
        <f>IF(OR($A715="",J$24=""),"",IF(COUNTIFS('AFA Rates'!$A$5:$A$1004,$A715,'AFA Rates'!$B$5:$B$1004,J$24)&gt;0,"✓",""))</f>
        <v/>
      </c>
      <c r="K715" s="57">
        <f>IF(OR($A715="",K$24=""),"",IF(COUNTIFS('AFA Rates'!$A$5:$A$1004,$A715,'AFA Rates'!$B$5:$B$1004,K$24)&gt;0,"✓",""))</f>
        <v/>
      </c>
      <c r="L715" s="57">
        <f>IF(OR($A715="",L$24=""),"",IF(COUNTIFS('AFA Rates'!$A$5:$A$1004,$A715,'AFA Rates'!$B$5:$B$1004,L$24)&gt;0,"✓",""))</f>
        <v/>
      </c>
      <c r="M715" s="57">
        <f>IF(OR($A715="",M$24=""),"",IF(COUNTIFS('AFA Rates'!$A$5:$A$1004,$A715,'AFA Rates'!$B$5:$B$1004,M$24)&gt;0,"✓",""))</f>
        <v/>
      </c>
    </row>
    <row r="716">
      <c r="A716" s="63">
        <f>IFERROR(INDEX(Firms!$A$5:$A$1004,MATCH(692,Firms!$S$5:$S$1004,0)),"")</f>
        <v/>
      </c>
      <c r="B716" s="57">
        <f>IF($A716="","",INDEX(Firms!$B$5:$B$1004,MATCH(692,Firms!$S$5:$S$1004,0)))</f>
        <v/>
      </c>
      <c r="C716" s="57">
        <f>IF($A716="","",COUNTIF('AFA Rates'!$A$5:$A$1004,$A716))</f>
        <v/>
      </c>
      <c r="D716" s="57">
        <f>IF(OR($A716="",D$24=""),"",IF(COUNTIFS('AFA Rates'!$A$5:$A$1004,$A716,'AFA Rates'!$B$5:$B$1004,D$24)&gt;0,"✓",""))</f>
        <v/>
      </c>
      <c r="E716" s="57">
        <f>IF(OR($A716="",E$24=""),"",IF(COUNTIFS('AFA Rates'!$A$5:$A$1004,$A716,'AFA Rates'!$B$5:$B$1004,E$24)&gt;0,"✓",""))</f>
        <v/>
      </c>
      <c r="F716" s="57">
        <f>IF(OR($A716="",F$24=""),"",IF(COUNTIFS('AFA Rates'!$A$5:$A$1004,$A716,'AFA Rates'!$B$5:$B$1004,F$24)&gt;0,"✓",""))</f>
        <v/>
      </c>
      <c r="G716" s="57">
        <f>IF(OR($A716="",G$24=""),"",IF(COUNTIFS('AFA Rates'!$A$5:$A$1004,$A716,'AFA Rates'!$B$5:$B$1004,G$24)&gt;0,"✓",""))</f>
        <v/>
      </c>
      <c r="H716" s="57">
        <f>IF(OR($A716="",H$24=""),"",IF(COUNTIFS('AFA Rates'!$A$5:$A$1004,$A716,'AFA Rates'!$B$5:$B$1004,H$24)&gt;0,"✓",""))</f>
        <v/>
      </c>
      <c r="I716" s="57">
        <f>IF(OR($A716="",I$24=""),"",IF(COUNTIFS('AFA Rates'!$A$5:$A$1004,$A716,'AFA Rates'!$B$5:$B$1004,I$24)&gt;0,"✓",""))</f>
        <v/>
      </c>
      <c r="J716" s="57">
        <f>IF(OR($A716="",J$24=""),"",IF(COUNTIFS('AFA Rates'!$A$5:$A$1004,$A716,'AFA Rates'!$B$5:$B$1004,J$24)&gt;0,"✓",""))</f>
        <v/>
      </c>
      <c r="K716" s="57">
        <f>IF(OR($A716="",K$24=""),"",IF(COUNTIFS('AFA Rates'!$A$5:$A$1004,$A716,'AFA Rates'!$B$5:$B$1004,K$24)&gt;0,"✓",""))</f>
        <v/>
      </c>
      <c r="L716" s="57">
        <f>IF(OR($A716="",L$24=""),"",IF(COUNTIFS('AFA Rates'!$A$5:$A$1004,$A716,'AFA Rates'!$B$5:$B$1004,L$24)&gt;0,"✓",""))</f>
        <v/>
      </c>
      <c r="M716" s="57">
        <f>IF(OR($A716="",M$24=""),"",IF(COUNTIFS('AFA Rates'!$A$5:$A$1004,$A716,'AFA Rates'!$B$5:$B$1004,M$24)&gt;0,"✓",""))</f>
        <v/>
      </c>
    </row>
    <row r="717">
      <c r="A717" s="63">
        <f>IFERROR(INDEX(Firms!$A$5:$A$1004,MATCH(693,Firms!$S$5:$S$1004,0)),"")</f>
        <v/>
      </c>
      <c r="B717" s="57">
        <f>IF($A717="","",INDEX(Firms!$B$5:$B$1004,MATCH(693,Firms!$S$5:$S$1004,0)))</f>
        <v/>
      </c>
      <c r="C717" s="57">
        <f>IF($A717="","",COUNTIF('AFA Rates'!$A$5:$A$1004,$A717))</f>
        <v/>
      </c>
      <c r="D717" s="57">
        <f>IF(OR($A717="",D$24=""),"",IF(COUNTIFS('AFA Rates'!$A$5:$A$1004,$A717,'AFA Rates'!$B$5:$B$1004,D$24)&gt;0,"✓",""))</f>
        <v/>
      </c>
      <c r="E717" s="57">
        <f>IF(OR($A717="",E$24=""),"",IF(COUNTIFS('AFA Rates'!$A$5:$A$1004,$A717,'AFA Rates'!$B$5:$B$1004,E$24)&gt;0,"✓",""))</f>
        <v/>
      </c>
      <c r="F717" s="57">
        <f>IF(OR($A717="",F$24=""),"",IF(COUNTIFS('AFA Rates'!$A$5:$A$1004,$A717,'AFA Rates'!$B$5:$B$1004,F$24)&gt;0,"✓",""))</f>
        <v/>
      </c>
      <c r="G717" s="57">
        <f>IF(OR($A717="",G$24=""),"",IF(COUNTIFS('AFA Rates'!$A$5:$A$1004,$A717,'AFA Rates'!$B$5:$B$1004,G$24)&gt;0,"✓",""))</f>
        <v/>
      </c>
      <c r="H717" s="57">
        <f>IF(OR($A717="",H$24=""),"",IF(COUNTIFS('AFA Rates'!$A$5:$A$1004,$A717,'AFA Rates'!$B$5:$B$1004,H$24)&gt;0,"✓",""))</f>
        <v/>
      </c>
      <c r="I717" s="57">
        <f>IF(OR($A717="",I$24=""),"",IF(COUNTIFS('AFA Rates'!$A$5:$A$1004,$A717,'AFA Rates'!$B$5:$B$1004,I$24)&gt;0,"✓",""))</f>
        <v/>
      </c>
      <c r="J717" s="57">
        <f>IF(OR($A717="",J$24=""),"",IF(COUNTIFS('AFA Rates'!$A$5:$A$1004,$A717,'AFA Rates'!$B$5:$B$1004,J$24)&gt;0,"✓",""))</f>
        <v/>
      </c>
      <c r="K717" s="57">
        <f>IF(OR($A717="",K$24=""),"",IF(COUNTIFS('AFA Rates'!$A$5:$A$1004,$A717,'AFA Rates'!$B$5:$B$1004,K$24)&gt;0,"✓",""))</f>
        <v/>
      </c>
      <c r="L717" s="57">
        <f>IF(OR($A717="",L$24=""),"",IF(COUNTIFS('AFA Rates'!$A$5:$A$1004,$A717,'AFA Rates'!$B$5:$B$1004,L$24)&gt;0,"✓",""))</f>
        <v/>
      </c>
      <c r="M717" s="57">
        <f>IF(OR($A717="",M$24=""),"",IF(COUNTIFS('AFA Rates'!$A$5:$A$1004,$A717,'AFA Rates'!$B$5:$B$1004,M$24)&gt;0,"✓",""))</f>
        <v/>
      </c>
    </row>
    <row r="718">
      <c r="A718" s="63">
        <f>IFERROR(INDEX(Firms!$A$5:$A$1004,MATCH(694,Firms!$S$5:$S$1004,0)),"")</f>
        <v/>
      </c>
      <c r="B718" s="57">
        <f>IF($A718="","",INDEX(Firms!$B$5:$B$1004,MATCH(694,Firms!$S$5:$S$1004,0)))</f>
        <v/>
      </c>
      <c r="C718" s="57">
        <f>IF($A718="","",COUNTIF('AFA Rates'!$A$5:$A$1004,$A718))</f>
        <v/>
      </c>
      <c r="D718" s="57">
        <f>IF(OR($A718="",D$24=""),"",IF(COUNTIFS('AFA Rates'!$A$5:$A$1004,$A718,'AFA Rates'!$B$5:$B$1004,D$24)&gt;0,"✓",""))</f>
        <v/>
      </c>
      <c r="E718" s="57">
        <f>IF(OR($A718="",E$24=""),"",IF(COUNTIFS('AFA Rates'!$A$5:$A$1004,$A718,'AFA Rates'!$B$5:$B$1004,E$24)&gt;0,"✓",""))</f>
        <v/>
      </c>
      <c r="F718" s="57">
        <f>IF(OR($A718="",F$24=""),"",IF(COUNTIFS('AFA Rates'!$A$5:$A$1004,$A718,'AFA Rates'!$B$5:$B$1004,F$24)&gt;0,"✓",""))</f>
        <v/>
      </c>
      <c r="G718" s="57">
        <f>IF(OR($A718="",G$24=""),"",IF(COUNTIFS('AFA Rates'!$A$5:$A$1004,$A718,'AFA Rates'!$B$5:$B$1004,G$24)&gt;0,"✓",""))</f>
        <v/>
      </c>
      <c r="H718" s="57">
        <f>IF(OR($A718="",H$24=""),"",IF(COUNTIFS('AFA Rates'!$A$5:$A$1004,$A718,'AFA Rates'!$B$5:$B$1004,H$24)&gt;0,"✓",""))</f>
        <v/>
      </c>
      <c r="I718" s="57">
        <f>IF(OR($A718="",I$24=""),"",IF(COUNTIFS('AFA Rates'!$A$5:$A$1004,$A718,'AFA Rates'!$B$5:$B$1004,I$24)&gt;0,"✓",""))</f>
        <v/>
      </c>
      <c r="J718" s="57">
        <f>IF(OR($A718="",J$24=""),"",IF(COUNTIFS('AFA Rates'!$A$5:$A$1004,$A718,'AFA Rates'!$B$5:$B$1004,J$24)&gt;0,"✓",""))</f>
        <v/>
      </c>
      <c r="K718" s="57">
        <f>IF(OR($A718="",K$24=""),"",IF(COUNTIFS('AFA Rates'!$A$5:$A$1004,$A718,'AFA Rates'!$B$5:$B$1004,K$24)&gt;0,"✓",""))</f>
        <v/>
      </c>
      <c r="L718" s="57">
        <f>IF(OR($A718="",L$24=""),"",IF(COUNTIFS('AFA Rates'!$A$5:$A$1004,$A718,'AFA Rates'!$B$5:$B$1004,L$24)&gt;0,"✓",""))</f>
        <v/>
      </c>
      <c r="M718" s="57">
        <f>IF(OR($A718="",M$24=""),"",IF(COUNTIFS('AFA Rates'!$A$5:$A$1004,$A718,'AFA Rates'!$B$5:$B$1004,M$24)&gt;0,"✓",""))</f>
        <v/>
      </c>
    </row>
    <row r="719">
      <c r="A719" s="63">
        <f>IFERROR(INDEX(Firms!$A$5:$A$1004,MATCH(695,Firms!$S$5:$S$1004,0)),"")</f>
        <v/>
      </c>
      <c r="B719" s="57">
        <f>IF($A719="","",INDEX(Firms!$B$5:$B$1004,MATCH(695,Firms!$S$5:$S$1004,0)))</f>
        <v/>
      </c>
      <c r="C719" s="57">
        <f>IF($A719="","",COUNTIF('AFA Rates'!$A$5:$A$1004,$A719))</f>
        <v/>
      </c>
      <c r="D719" s="57">
        <f>IF(OR($A719="",D$24=""),"",IF(COUNTIFS('AFA Rates'!$A$5:$A$1004,$A719,'AFA Rates'!$B$5:$B$1004,D$24)&gt;0,"✓",""))</f>
        <v/>
      </c>
      <c r="E719" s="57">
        <f>IF(OR($A719="",E$24=""),"",IF(COUNTIFS('AFA Rates'!$A$5:$A$1004,$A719,'AFA Rates'!$B$5:$B$1004,E$24)&gt;0,"✓",""))</f>
        <v/>
      </c>
      <c r="F719" s="57">
        <f>IF(OR($A719="",F$24=""),"",IF(COUNTIFS('AFA Rates'!$A$5:$A$1004,$A719,'AFA Rates'!$B$5:$B$1004,F$24)&gt;0,"✓",""))</f>
        <v/>
      </c>
      <c r="G719" s="57">
        <f>IF(OR($A719="",G$24=""),"",IF(COUNTIFS('AFA Rates'!$A$5:$A$1004,$A719,'AFA Rates'!$B$5:$B$1004,G$24)&gt;0,"✓",""))</f>
        <v/>
      </c>
      <c r="H719" s="57">
        <f>IF(OR($A719="",H$24=""),"",IF(COUNTIFS('AFA Rates'!$A$5:$A$1004,$A719,'AFA Rates'!$B$5:$B$1004,H$24)&gt;0,"✓",""))</f>
        <v/>
      </c>
      <c r="I719" s="57">
        <f>IF(OR($A719="",I$24=""),"",IF(COUNTIFS('AFA Rates'!$A$5:$A$1004,$A719,'AFA Rates'!$B$5:$B$1004,I$24)&gt;0,"✓",""))</f>
        <v/>
      </c>
      <c r="J719" s="57">
        <f>IF(OR($A719="",J$24=""),"",IF(COUNTIFS('AFA Rates'!$A$5:$A$1004,$A719,'AFA Rates'!$B$5:$B$1004,J$24)&gt;0,"✓",""))</f>
        <v/>
      </c>
      <c r="K719" s="57">
        <f>IF(OR($A719="",K$24=""),"",IF(COUNTIFS('AFA Rates'!$A$5:$A$1004,$A719,'AFA Rates'!$B$5:$B$1004,K$24)&gt;0,"✓",""))</f>
        <v/>
      </c>
      <c r="L719" s="57">
        <f>IF(OR($A719="",L$24=""),"",IF(COUNTIFS('AFA Rates'!$A$5:$A$1004,$A719,'AFA Rates'!$B$5:$B$1004,L$24)&gt;0,"✓",""))</f>
        <v/>
      </c>
      <c r="M719" s="57">
        <f>IF(OR($A719="",M$24=""),"",IF(COUNTIFS('AFA Rates'!$A$5:$A$1004,$A719,'AFA Rates'!$B$5:$B$1004,M$24)&gt;0,"✓",""))</f>
        <v/>
      </c>
    </row>
    <row r="720">
      <c r="A720" s="63">
        <f>IFERROR(INDEX(Firms!$A$5:$A$1004,MATCH(696,Firms!$S$5:$S$1004,0)),"")</f>
        <v/>
      </c>
      <c r="B720" s="57">
        <f>IF($A720="","",INDEX(Firms!$B$5:$B$1004,MATCH(696,Firms!$S$5:$S$1004,0)))</f>
        <v/>
      </c>
      <c r="C720" s="57">
        <f>IF($A720="","",COUNTIF('AFA Rates'!$A$5:$A$1004,$A720))</f>
        <v/>
      </c>
      <c r="D720" s="57">
        <f>IF(OR($A720="",D$24=""),"",IF(COUNTIFS('AFA Rates'!$A$5:$A$1004,$A720,'AFA Rates'!$B$5:$B$1004,D$24)&gt;0,"✓",""))</f>
        <v/>
      </c>
      <c r="E720" s="57">
        <f>IF(OR($A720="",E$24=""),"",IF(COUNTIFS('AFA Rates'!$A$5:$A$1004,$A720,'AFA Rates'!$B$5:$B$1004,E$24)&gt;0,"✓",""))</f>
        <v/>
      </c>
      <c r="F720" s="57">
        <f>IF(OR($A720="",F$24=""),"",IF(COUNTIFS('AFA Rates'!$A$5:$A$1004,$A720,'AFA Rates'!$B$5:$B$1004,F$24)&gt;0,"✓",""))</f>
        <v/>
      </c>
      <c r="G720" s="57">
        <f>IF(OR($A720="",G$24=""),"",IF(COUNTIFS('AFA Rates'!$A$5:$A$1004,$A720,'AFA Rates'!$B$5:$B$1004,G$24)&gt;0,"✓",""))</f>
        <v/>
      </c>
      <c r="H720" s="57">
        <f>IF(OR($A720="",H$24=""),"",IF(COUNTIFS('AFA Rates'!$A$5:$A$1004,$A720,'AFA Rates'!$B$5:$B$1004,H$24)&gt;0,"✓",""))</f>
        <v/>
      </c>
      <c r="I720" s="57">
        <f>IF(OR($A720="",I$24=""),"",IF(COUNTIFS('AFA Rates'!$A$5:$A$1004,$A720,'AFA Rates'!$B$5:$B$1004,I$24)&gt;0,"✓",""))</f>
        <v/>
      </c>
      <c r="J720" s="57">
        <f>IF(OR($A720="",J$24=""),"",IF(COUNTIFS('AFA Rates'!$A$5:$A$1004,$A720,'AFA Rates'!$B$5:$B$1004,J$24)&gt;0,"✓",""))</f>
        <v/>
      </c>
      <c r="K720" s="57">
        <f>IF(OR($A720="",K$24=""),"",IF(COUNTIFS('AFA Rates'!$A$5:$A$1004,$A720,'AFA Rates'!$B$5:$B$1004,K$24)&gt;0,"✓",""))</f>
        <v/>
      </c>
      <c r="L720" s="57">
        <f>IF(OR($A720="",L$24=""),"",IF(COUNTIFS('AFA Rates'!$A$5:$A$1004,$A720,'AFA Rates'!$B$5:$B$1004,L$24)&gt;0,"✓",""))</f>
        <v/>
      </c>
      <c r="M720" s="57">
        <f>IF(OR($A720="",M$24=""),"",IF(COUNTIFS('AFA Rates'!$A$5:$A$1004,$A720,'AFA Rates'!$B$5:$B$1004,M$24)&gt;0,"✓",""))</f>
        <v/>
      </c>
    </row>
    <row r="721">
      <c r="A721" s="63">
        <f>IFERROR(INDEX(Firms!$A$5:$A$1004,MATCH(697,Firms!$S$5:$S$1004,0)),"")</f>
        <v/>
      </c>
      <c r="B721" s="57">
        <f>IF($A721="","",INDEX(Firms!$B$5:$B$1004,MATCH(697,Firms!$S$5:$S$1004,0)))</f>
        <v/>
      </c>
      <c r="C721" s="57">
        <f>IF($A721="","",COUNTIF('AFA Rates'!$A$5:$A$1004,$A721))</f>
        <v/>
      </c>
      <c r="D721" s="57">
        <f>IF(OR($A721="",D$24=""),"",IF(COUNTIFS('AFA Rates'!$A$5:$A$1004,$A721,'AFA Rates'!$B$5:$B$1004,D$24)&gt;0,"✓",""))</f>
        <v/>
      </c>
      <c r="E721" s="57">
        <f>IF(OR($A721="",E$24=""),"",IF(COUNTIFS('AFA Rates'!$A$5:$A$1004,$A721,'AFA Rates'!$B$5:$B$1004,E$24)&gt;0,"✓",""))</f>
        <v/>
      </c>
      <c r="F721" s="57">
        <f>IF(OR($A721="",F$24=""),"",IF(COUNTIFS('AFA Rates'!$A$5:$A$1004,$A721,'AFA Rates'!$B$5:$B$1004,F$24)&gt;0,"✓",""))</f>
        <v/>
      </c>
      <c r="G721" s="57">
        <f>IF(OR($A721="",G$24=""),"",IF(COUNTIFS('AFA Rates'!$A$5:$A$1004,$A721,'AFA Rates'!$B$5:$B$1004,G$24)&gt;0,"✓",""))</f>
        <v/>
      </c>
      <c r="H721" s="57">
        <f>IF(OR($A721="",H$24=""),"",IF(COUNTIFS('AFA Rates'!$A$5:$A$1004,$A721,'AFA Rates'!$B$5:$B$1004,H$24)&gt;0,"✓",""))</f>
        <v/>
      </c>
      <c r="I721" s="57">
        <f>IF(OR($A721="",I$24=""),"",IF(COUNTIFS('AFA Rates'!$A$5:$A$1004,$A721,'AFA Rates'!$B$5:$B$1004,I$24)&gt;0,"✓",""))</f>
        <v/>
      </c>
      <c r="J721" s="57">
        <f>IF(OR($A721="",J$24=""),"",IF(COUNTIFS('AFA Rates'!$A$5:$A$1004,$A721,'AFA Rates'!$B$5:$B$1004,J$24)&gt;0,"✓",""))</f>
        <v/>
      </c>
      <c r="K721" s="57">
        <f>IF(OR($A721="",K$24=""),"",IF(COUNTIFS('AFA Rates'!$A$5:$A$1004,$A721,'AFA Rates'!$B$5:$B$1004,K$24)&gt;0,"✓",""))</f>
        <v/>
      </c>
      <c r="L721" s="57">
        <f>IF(OR($A721="",L$24=""),"",IF(COUNTIFS('AFA Rates'!$A$5:$A$1004,$A721,'AFA Rates'!$B$5:$B$1004,L$24)&gt;0,"✓",""))</f>
        <v/>
      </c>
      <c r="M721" s="57">
        <f>IF(OR($A721="",M$24=""),"",IF(COUNTIFS('AFA Rates'!$A$5:$A$1004,$A721,'AFA Rates'!$B$5:$B$1004,M$24)&gt;0,"✓",""))</f>
        <v/>
      </c>
    </row>
    <row r="722">
      <c r="A722" s="63">
        <f>IFERROR(INDEX(Firms!$A$5:$A$1004,MATCH(698,Firms!$S$5:$S$1004,0)),"")</f>
        <v/>
      </c>
      <c r="B722" s="57">
        <f>IF($A722="","",INDEX(Firms!$B$5:$B$1004,MATCH(698,Firms!$S$5:$S$1004,0)))</f>
        <v/>
      </c>
      <c r="C722" s="57">
        <f>IF($A722="","",COUNTIF('AFA Rates'!$A$5:$A$1004,$A722))</f>
        <v/>
      </c>
      <c r="D722" s="57">
        <f>IF(OR($A722="",D$24=""),"",IF(COUNTIFS('AFA Rates'!$A$5:$A$1004,$A722,'AFA Rates'!$B$5:$B$1004,D$24)&gt;0,"✓",""))</f>
        <v/>
      </c>
      <c r="E722" s="57">
        <f>IF(OR($A722="",E$24=""),"",IF(COUNTIFS('AFA Rates'!$A$5:$A$1004,$A722,'AFA Rates'!$B$5:$B$1004,E$24)&gt;0,"✓",""))</f>
        <v/>
      </c>
      <c r="F722" s="57">
        <f>IF(OR($A722="",F$24=""),"",IF(COUNTIFS('AFA Rates'!$A$5:$A$1004,$A722,'AFA Rates'!$B$5:$B$1004,F$24)&gt;0,"✓",""))</f>
        <v/>
      </c>
      <c r="G722" s="57">
        <f>IF(OR($A722="",G$24=""),"",IF(COUNTIFS('AFA Rates'!$A$5:$A$1004,$A722,'AFA Rates'!$B$5:$B$1004,G$24)&gt;0,"✓",""))</f>
        <v/>
      </c>
      <c r="H722" s="57">
        <f>IF(OR($A722="",H$24=""),"",IF(COUNTIFS('AFA Rates'!$A$5:$A$1004,$A722,'AFA Rates'!$B$5:$B$1004,H$24)&gt;0,"✓",""))</f>
        <v/>
      </c>
      <c r="I722" s="57">
        <f>IF(OR($A722="",I$24=""),"",IF(COUNTIFS('AFA Rates'!$A$5:$A$1004,$A722,'AFA Rates'!$B$5:$B$1004,I$24)&gt;0,"✓",""))</f>
        <v/>
      </c>
      <c r="J722" s="57">
        <f>IF(OR($A722="",J$24=""),"",IF(COUNTIFS('AFA Rates'!$A$5:$A$1004,$A722,'AFA Rates'!$B$5:$B$1004,J$24)&gt;0,"✓",""))</f>
        <v/>
      </c>
      <c r="K722" s="57">
        <f>IF(OR($A722="",K$24=""),"",IF(COUNTIFS('AFA Rates'!$A$5:$A$1004,$A722,'AFA Rates'!$B$5:$B$1004,K$24)&gt;0,"✓",""))</f>
        <v/>
      </c>
      <c r="L722" s="57">
        <f>IF(OR($A722="",L$24=""),"",IF(COUNTIFS('AFA Rates'!$A$5:$A$1004,$A722,'AFA Rates'!$B$5:$B$1004,L$24)&gt;0,"✓",""))</f>
        <v/>
      </c>
      <c r="M722" s="57">
        <f>IF(OR($A722="",M$24=""),"",IF(COUNTIFS('AFA Rates'!$A$5:$A$1004,$A722,'AFA Rates'!$B$5:$B$1004,M$24)&gt;0,"✓",""))</f>
        <v/>
      </c>
    </row>
    <row r="723">
      <c r="A723" s="63">
        <f>IFERROR(INDEX(Firms!$A$5:$A$1004,MATCH(699,Firms!$S$5:$S$1004,0)),"")</f>
        <v/>
      </c>
      <c r="B723" s="57">
        <f>IF($A723="","",INDEX(Firms!$B$5:$B$1004,MATCH(699,Firms!$S$5:$S$1004,0)))</f>
        <v/>
      </c>
      <c r="C723" s="57">
        <f>IF($A723="","",COUNTIF('AFA Rates'!$A$5:$A$1004,$A723))</f>
        <v/>
      </c>
      <c r="D723" s="57">
        <f>IF(OR($A723="",D$24=""),"",IF(COUNTIFS('AFA Rates'!$A$5:$A$1004,$A723,'AFA Rates'!$B$5:$B$1004,D$24)&gt;0,"✓",""))</f>
        <v/>
      </c>
      <c r="E723" s="57">
        <f>IF(OR($A723="",E$24=""),"",IF(COUNTIFS('AFA Rates'!$A$5:$A$1004,$A723,'AFA Rates'!$B$5:$B$1004,E$24)&gt;0,"✓",""))</f>
        <v/>
      </c>
      <c r="F723" s="57">
        <f>IF(OR($A723="",F$24=""),"",IF(COUNTIFS('AFA Rates'!$A$5:$A$1004,$A723,'AFA Rates'!$B$5:$B$1004,F$24)&gt;0,"✓",""))</f>
        <v/>
      </c>
      <c r="G723" s="57">
        <f>IF(OR($A723="",G$24=""),"",IF(COUNTIFS('AFA Rates'!$A$5:$A$1004,$A723,'AFA Rates'!$B$5:$B$1004,G$24)&gt;0,"✓",""))</f>
        <v/>
      </c>
      <c r="H723" s="57">
        <f>IF(OR($A723="",H$24=""),"",IF(COUNTIFS('AFA Rates'!$A$5:$A$1004,$A723,'AFA Rates'!$B$5:$B$1004,H$24)&gt;0,"✓",""))</f>
        <v/>
      </c>
      <c r="I723" s="57">
        <f>IF(OR($A723="",I$24=""),"",IF(COUNTIFS('AFA Rates'!$A$5:$A$1004,$A723,'AFA Rates'!$B$5:$B$1004,I$24)&gt;0,"✓",""))</f>
        <v/>
      </c>
      <c r="J723" s="57">
        <f>IF(OR($A723="",J$24=""),"",IF(COUNTIFS('AFA Rates'!$A$5:$A$1004,$A723,'AFA Rates'!$B$5:$B$1004,J$24)&gt;0,"✓",""))</f>
        <v/>
      </c>
      <c r="K723" s="57">
        <f>IF(OR($A723="",K$24=""),"",IF(COUNTIFS('AFA Rates'!$A$5:$A$1004,$A723,'AFA Rates'!$B$5:$B$1004,K$24)&gt;0,"✓",""))</f>
        <v/>
      </c>
      <c r="L723" s="57">
        <f>IF(OR($A723="",L$24=""),"",IF(COUNTIFS('AFA Rates'!$A$5:$A$1004,$A723,'AFA Rates'!$B$5:$B$1004,L$24)&gt;0,"✓",""))</f>
        <v/>
      </c>
      <c r="M723" s="57">
        <f>IF(OR($A723="",M$24=""),"",IF(COUNTIFS('AFA Rates'!$A$5:$A$1004,$A723,'AFA Rates'!$B$5:$B$1004,M$24)&gt;0,"✓",""))</f>
        <v/>
      </c>
    </row>
    <row r="724">
      <c r="A724" s="63">
        <f>IFERROR(INDEX(Firms!$A$5:$A$1004,MATCH(700,Firms!$S$5:$S$1004,0)),"")</f>
        <v/>
      </c>
      <c r="B724" s="57">
        <f>IF($A724="","",INDEX(Firms!$B$5:$B$1004,MATCH(700,Firms!$S$5:$S$1004,0)))</f>
        <v/>
      </c>
      <c r="C724" s="57">
        <f>IF($A724="","",COUNTIF('AFA Rates'!$A$5:$A$1004,$A724))</f>
        <v/>
      </c>
      <c r="D724" s="57">
        <f>IF(OR($A724="",D$24=""),"",IF(COUNTIFS('AFA Rates'!$A$5:$A$1004,$A724,'AFA Rates'!$B$5:$B$1004,D$24)&gt;0,"✓",""))</f>
        <v/>
      </c>
      <c r="E724" s="57">
        <f>IF(OR($A724="",E$24=""),"",IF(COUNTIFS('AFA Rates'!$A$5:$A$1004,$A724,'AFA Rates'!$B$5:$B$1004,E$24)&gt;0,"✓",""))</f>
        <v/>
      </c>
      <c r="F724" s="57">
        <f>IF(OR($A724="",F$24=""),"",IF(COUNTIFS('AFA Rates'!$A$5:$A$1004,$A724,'AFA Rates'!$B$5:$B$1004,F$24)&gt;0,"✓",""))</f>
        <v/>
      </c>
      <c r="G724" s="57">
        <f>IF(OR($A724="",G$24=""),"",IF(COUNTIFS('AFA Rates'!$A$5:$A$1004,$A724,'AFA Rates'!$B$5:$B$1004,G$24)&gt;0,"✓",""))</f>
        <v/>
      </c>
      <c r="H724" s="57">
        <f>IF(OR($A724="",H$24=""),"",IF(COUNTIFS('AFA Rates'!$A$5:$A$1004,$A724,'AFA Rates'!$B$5:$B$1004,H$24)&gt;0,"✓",""))</f>
        <v/>
      </c>
      <c r="I724" s="57">
        <f>IF(OR($A724="",I$24=""),"",IF(COUNTIFS('AFA Rates'!$A$5:$A$1004,$A724,'AFA Rates'!$B$5:$B$1004,I$24)&gt;0,"✓",""))</f>
        <v/>
      </c>
      <c r="J724" s="57">
        <f>IF(OR($A724="",J$24=""),"",IF(COUNTIFS('AFA Rates'!$A$5:$A$1004,$A724,'AFA Rates'!$B$5:$B$1004,J$24)&gt;0,"✓",""))</f>
        <v/>
      </c>
      <c r="K724" s="57">
        <f>IF(OR($A724="",K$24=""),"",IF(COUNTIFS('AFA Rates'!$A$5:$A$1004,$A724,'AFA Rates'!$B$5:$B$1004,K$24)&gt;0,"✓",""))</f>
        <v/>
      </c>
      <c r="L724" s="57">
        <f>IF(OR($A724="",L$24=""),"",IF(COUNTIFS('AFA Rates'!$A$5:$A$1004,$A724,'AFA Rates'!$B$5:$B$1004,L$24)&gt;0,"✓",""))</f>
        <v/>
      </c>
      <c r="M724" s="57">
        <f>IF(OR($A724="",M$24=""),"",IF(COUNTIFS('AFA Rates'!$A$5:$A$1004,$A724,'AFA Rates'!$B$5:$B$1004,M$24)&gt;0,"✓",""))</f>
        <v/>
      </c>
    </row>
    <row r="725">
      <c r="A725" s="63">
        <f>IFERROR(INDEX(Firms!$A$5:$A$1004,MATCH(701,Firms!$S$5:$S$1004,0)),"")</f>
        <v/>
      </c>
      <c r="B725" s="57">
        <f>IF($A725="","",INDEX(Firms!$B$5:$B$1004,MATCH(701,Firms!$S$5:$S$1004,0)))</f>
        <v/>
      </c>
      <c r="C725" s="57">
        <f>IF($A725="","",COUNTIF('AFA Rates'!$A$5:$A$1004,$A725))</f>
        <v/>
      </c>
      <c r="D725" s="57">
        <f>IF(OR($A725="",D$24=""),"",IF(COUNTIFS('AFA Rates'!$A$5:$A$1004,$A725,'AFA Rates'!$B$5:$B$1004,D$24)&gt;0,"✓",""))</f>
        <v/>
      </c>
      <c r="E725" s="57">
        <f>IF(OR($A725="",E$24=""),"",IF(COUNTIFS('AFA Rates'!$A$5:$A$1004,$A725,'AFA Rates'!$B$5:$B$1004,E$24)&gt;0,"✓",""))</f>
        <v/>
      </c>
      <c r="F725" s="57">
        <f>IF(OR($A725="",F$24=""),"",IF(COUNTIFS('AFA Rates'!$A$5:$A$1004,$A725,'AFA Rates'!$B$5:$B$1004,F$24)&gt;0,"✓",""))</f>
        <v/>
      </c>
      <c r="G725" s="57">
        <f>IF(OR($A725="",G$24=""),"",IF(COUNTIFS('AFA Rates'!$A$5:$A$1004,$A725,'AFA Rates'!$B$5:$B$1004,G$24)&gt;0,"✓",""))</f>
        <v/>
      </c>
      <c r="H725" s="57">
        <f>IF(OR($A725="",H$24=""),"",IF(COUNTIFS('AFA Rates'!$A$5:$A$1004,$A725,'AFA Rates'!$B$5:$B$1004,H$24)&gt;0,"✓",""))</f>
        <v/>
      </c>
      <c r="I725" s="57">
        <f>IF(OR($A725="",I$24=""),"",IF(COUNTIFS('AFA Rates'!$A$5:$A$1004,$A725,'AFA Rates'!$B$5:$B$1004,I$24)&gt;0,"✓",""))</f>
        <v/>
      </c>
      <c r="J725" s="57">
        <f>IF(OR($A725="",J$24=""),"",IF(COUNTIFS('AFA Rates'!$A$5:$A$1004,$A725,'AFA Rates'!$B$5:$B$1004,J$24)&gt;0,"✓",""))</f>
        <v/>
      </c>
      <c r="K725" s="57">
        <f>IF(OR($A725="",K$24=""),"",IF(COUNTIFS('AFA Rates'!$A$5:$A$1004,$A725,'AFA Rates'!$B$5:$B$1004,K$24)&gt;0,"✓",""))</f>
        <v/>
      </c>
      <c r="L725" s="57">
        <f>IF(OR($A725="",L$24=""),"",IF(COUNTIFS('AFA Rates'!$A$5:$A$1004,$A725,'AFA Rates'!$B$5:$B$1004,L$24)&gt;0,"✓",""))</f>
        <v/>
      </c>
      <c r="M725" s="57">
        <f>IF(OR($A725="",M$24=""),"",IF(COUNTIFS('AFA Rates'!$A$5:$A$1004,$A725,'AFA Rates'!$B$5:$B$1004,M$24)&gt;0,"✓",""))</f>
        <v/>
      </c>
    </row>
    <row r="726">
      <c r="A726" s="63">
        <f>IFERROR(INDEX(Firms!$A$5:$A$1004,MATCH(702,Firms!$S$5:$S$1004,0)),"")</f>
        <v/>
      </c>
      <c r="B726" s="57">
        <f>IF($A726="","",INDEX(Firms!$B$5:$B$1004,MATCH(702,Firms!$S$5:$S$1004,0)))</f>
        <v/>
      </c>
      <c r="C726" s="57">
        <f>IF($A726="","",COUNTIF('AFA Rates'!$A$5:$A$1004,$A726))</f>
        <v/>
      </c>
      <c r="D726" s="57">
        <f>IF(OR($A726="",D$24=""),"",IF(COUNTIFS('AFA Rates'!$A$5:$A$1004,$A726,'AFA Rates'!$B$5:$B$1004,D$24)&gt;0,"✓",""))</f>
        <v/>
      </c>
      <c r="E726" s="57">
        <f>IF(OR($A726="",E$24=""),"",IF(COUNTIFS('AFA Rates'!$A$5:$A$1004,$A726,'AFA Rates'!$B$5:$B$1004,E$24)&gt;0,"✓",""))</f>
        <v/>
      </c>
      <c r="F726" s="57">
        <f>IF(OR($A726="",F$24=""),"",IF(COUNTIFS('AFA Rates'!$A$5:$A$1004,$A726,'AFA Rates'!$B$5:$B$1004,F$24)&gt;0,"✓",""))</f>
        <v/>
      </c>
      <c r="G726" s="57">
        <f>IF(OR($A726="",G$24=""),"",IF(COUNTIFS('AFA Rates'!$A$5:$A$1004,$A726,'AFA Rates'!$B$5:$B$1004,G$24)&gt;0,"✓",""))</f>
        <v/>
      </c>
      <c r="H726" s="57">
        <f>IF(OR($A726="",H$24=""),"",IF(COUNTIFS('AFA Rates'!$A$5:$A$1004,$A726,'AFA Rates'!$B$5:$B$1004,H$24)&gt;0,"✓",""))</f>
        <v/>
      </c>
      <c r="I726" s="57">
        <f>IF(OR($A726="",I$24=""),"",IF(COUNTIFS('AFA Rates'!$A$5:$A$1004,$A726,'AFA Rates'!$B$5:$B$1004,I$24)&gt;0,"✓",""))</f>
        <v/>
      </c>
      <c r="J726" s="57">
        <f>IF(OR($A726="",J$24=""),"",IF(COUNTIFS('AFA Rates'!$A$5:$A$1004,$A726,'AFA Rates'!$B$5:$B$1004,J$24)&gt;0,"✓",""))</f>
        <v/>
      </c>
      <c r="K726" s="57">
        <f>IF(OR($A726="",K$24=""),"",IF(COUNTIFS('AFA Rates'!$A$5:$A$1004,$A726,'AFA Rates'!$B$5:$B$1004,K$24)&gt;0,"✓",""))</f>
        <v/>
      </c>
      <c r="L726" s="57">
        <f>IF(OR($A726="",L$24=""),"",IF(COUNTIFS('AFA Rates'!$A$5:$A$1004,$A726,'AFA Rates'!$B$5:$B$1004,L$24)&gt;0,"✓",""))</f>
        <v/>
      </c>
      <c r="M726" s="57">
        <f>IF(OR($A726="",M$24=""),"",IF(COUNTIFS('AFA Rates'!$A$5:$A$1004,$A726,'AFA Rates'!$B$5:$B$1004,M$24)&gt;0,"✓",""))</f>
        <v/>
      </c>
    </row>
    <row r="727">
      <c r="A727" s="63">
        <f>IFERROR(INDEX(Firms!$A$5:$A$1004,MATCH(703,Firms!$S$5:$S$1004,0)),"")</f>
        <v/>
      </c>
      <c r="B727" s="57">
        <f>IF($A727="","",INDEX(Firms!$B$5:$B$1004,MATCH(703,Firms!$S$5:$S$1004,0)))</f>
        <v/>
      </c>
      <c r="C727" s="57">
        <f>IF($A727="","",COUNTIF('AFA Rates'!$A$5:$A$1004,$A727))</f>
        <v/>
      </c>
      <c r="D727" s="57">
        <f>IF(OR($A727="",D$24=""),"",IF(COUNTIFS('AFA Rates'!$A$5:$A$1004,$A727,'AFA Rates'!$B$5:$B$1004,D$24)&gt;0,"✓",""))</f>
        <v/>
      </c>
      <c r="E727" s="57">
        <f>IF(OR($A727="",E$24=""),"",IF(COUNTIFS('AFA Rates'!$A$5:$A$1004,$A727,'AFA Rates'!$B$5:$B$1004,E$24)&gt;0,"✓",""))</f>
        <v/>
      </c>
      <c r="F727" s="57">
        <f>IF(OR($A727="",F$24=""),"",IF(COUNTIFS('AFA Rates'!$A$5:$A$1004,$A727,'AFA Rates'!$B$5:$B$1004,F$24)&gt;0,"✓",""))</f>
        <v/>
      </c>
      <c r="G727" s="57">
        <f>IF(OR($A727="",G$24=""),"",IF(COUNTIFS('AFA Rates'!$A$5:$A$1004,$A727,'AFA Rates'!$B$5:$B$1004,G$24)&gt;0,"✓",""))</f>
        <v/>
      </c>
      <c r="H727" s="57">
        <f>IF(OR($A727="",H$24=""),"",IF(COUNTIFS('AFA Rates'!$A$5:$A$1004,$A727,'AFA Rates'!$B$5:$B$1004,H$24)&gt;0,"✓",""))</f>
        <v/>
      </c>
      <c r="I727" s="57">
        <f>IF(OR($A727="",I$24=""),"",IF(COUNTIFS('AFA Rates'!$A$5:$A$1004,$A727,'AFA Rates'!$B$5:$B$1004,I$24)&gt;0,"✓",""))</f>
        <v/>
      </c>
      <c r="J727" s="57">
        <f>IF(OR($A727="",J$24=""),"",IF(COUNTIFS('AFA Rates'!$A$5:$A$1004,$A727,'AFA Rates'!$B$5:$B$1004,J$24)&gt;0,"✓",""))</f>
        <v/>
      </c>
      <c r="K727" s="57">
        <f>IF(OR($A727="",K$24=""),"",IF(COUNTIFS('AFA Rates'!$A$5:$A$1004,$A727,'AFA Rates'!$B$5:$B$1004,K$24)&gt;0,"✓",""))</f>
        <v/>
      </c>
      <c r="L727" s="57">
        <f>IF(OR($A727="",L$24=""),"",IF(COUNTIFS('AFA Rates'!$A$5:$A$1004,$A727,'AFA Rates'!$B$5:$B$1004,L$24)&gt;0,"✓",""))</f>
        <v/>
      </c>
      <c r="M727" s="57">
        <f>IF(OR($A727="",M$24=""),"",IF(COUNTIFS('AFA Rates'!$A$5:$A$1004,$A727,'AFA Rates'!$B$5:$B$1004,M$24)&gt;0,"✓",""))</f>
        <v/>
      </c>
    </row>
    <row r="728">
      <c r="A728" s="63">
        <f>IFERROR(INDEX(Firms!$A$5:$A$1004,MATCH(704,Firms!$S$5:$S$1004,0)),"")</f>
        <v/>
      </c>
      <c r="B728" s="57">
        <f>IF($A728="","",INDEX(Firms!$B$5:$B$1004,MATCH(704,Firms!$S$5:$S$1004,0)))</f>
        <v/>
      </c>
      <c r="C728" s="57">
        <f>IF($A728="","",COUNTIF('AFA Rates'!$A$5:$A$1004,$A728))</f>
        <v/>
      </c>
      <c r="D728" s="57">
        <f>IF(OR($A728="",D$24=""),"",IF(COUNTIFS('AFA Rates'!$A$5:$A$1004,$A728,'AFA Rates'!$B$5:$B$1004,D$24)&gt;0,"✓",""))</f>
        <v/>
      </c>
      <c r="E728" s="57">
        <f>IF(OR($A728="",E$24=""),"",IF(COUNTIFS('AFA Rates'!$A$5:$A$1004,$A728,'AFA Rates'!$B$5:$B$1004,E$24)&gt;0,"✓",""))</f>
        <v/>
      </c>
      <c r="F728" s="57">
        <f>IF(OR($A728="",F$24=""),"",IF(COUNTIFS('AFA Rates'!$A$5:$A$1004,$A728,'AFA Rates'!$B$5:$B$1004,F$24)&gt;0,"✓",""))</f>
        <v/>
      </c>
      <c r="G728" s="57">
        <f>IF(OR($A728="",G$24=""),"",IF(COUNTIFS('AFA Rates'!$A$5:$A$1004,$A728,'AFA Rates'!$B$5:$B$1004,G$24)&gt;0,"✓",""))</f>
        <v/>
      </c>
      <c r="H728" s="57">
        <f>IF(OR($A728="",H$24=""),"",IF(COUNTIFS('AFA Rates'!$A$5:$A$1004,$A728,'AFA Rates'!$B$5:$B$1004,H$24)&gt;0,"✓",""))</f>
        <v/>
      </c>
      <c r="I728" s="57">
        <f>IF(OR($A728="",I$24=""),"",IF(COUNTIFS('AFA Rates'!$A$5:$A$1004,$A728,'AFA Rates'!$B$5:$B$1004,I$24)&gt;0,"✓",""))</f>
        <v/>
      </c>
      <c r="J728" s="57">
        <f>IF(OR($A728="",J$24=""),"",IF(COUNTIFS('AFA Rates'!$A$5:$A$1004,$A728,'AFA Rates'!$B$5:$B$1004,J$24)&gt;0,"✓",""))</f>
        <v/>
      </c>
      <c r="K728" s="57">
        <f>IF(OR($A728="",K$24=""),"",IF(COUNTIFS('AFA Rates'!$A$5:$A$1004,$A728,'AFA Rates'!$B$5:$B$1004,K$24)&gt;0,"✓",""))</f>
        <v/>
      </c>
      <c r="L728" s="57">
        <f>IF(OR($A728="",L$24=""),"",IF(COUNTIFS('AFA Rates'!$A$5:$A$1004,$A728,'AFA Rates'!$B$5:$B$1004,L$24)&gt;0,"✓",""))</f>
        <v/>
      </c>
      <c r="M728" s="57">
        <f>IF(OR($A728="",M$24=""),"",IF(COUNTIFS('AFA Rates'!$A$5:$A$1004,$A728,'AFA Rates'!$B$5:$B$1004,M$24)&gt;0,"✓",""))</f>
        <v/>
      </c>
    </row>
    <row r="729">
      <c r="A729" s="63">
        <f>IFERROR(INDEX(Firms!$A$5:$A$1004,MATCH(705,Firms!$S$5:$S$1004,0)),"")</f>
        <v/>
      </c>
      <c r="B729" s="57">
        <f>IF($A729="","",INDEX(Firms!$B$5:$B$1004,MATCH(705,Firms!$S$5:$S$1004,0)))</f>
        <v/>
      </c>
      <c r="C729" s="57">
        <f>IF($A729="","",COUNTIF('AFA Rates'!$A$5:$A$1004,$A729))</f>
        <v/>
      </c>
      <c r="D729" s="57">
        <f>IF(OR($A729="",D$24=""),"",IF(COUNTIFS('AFA Rates'!$A$5:$A$1004,$A729,'AFA Rates'!$B$5:$B$1004,D$24)&gt;0,"✓",""))</f>
        <v/>
      </c>
      <c r="E729" s="57">
        <f>IF(OR($A729="",E$24=""),"",IF(COUNTIFS('AFA Rates'!$A$5:$A$1004,$A729,'AFA Rates'!$B$5:$B$1004,E$24)&gt;0,"✓",""))</f>
        <v/>
      </c>
      <c r="F729" s="57">
        <f>IF(OR($A729="",F$24=""),"",IF(COUNTIFS('AFA Rates'!$A$5:$A$1004,$A729,'AFA Rates'!$B$5:$B$1004,F$24)&gt;0,"✓",""))</f>
        <v/>
      </c>
      <c r="G729" s="57">
        <f>IF(OR($A729="",G$24=""),"",IF(COUNTIFS('AFA Rates'!$A$5:$A$1004,$A729,'AFA Rates'!$B$5:$B$1004,G$24)&gt;0,"✓",""))</f>
        <v/>
      </c>
      <c r="H729" s="57">
        <f>IF(OR($A729="",H$24=""),"",IF(COUNTIFS('AFA Rates'!$A$5:$A$1004,$A729,'AFA Rates'!$B$5:$B$1004,H$24)&gt;0,"✓",""))</f>
        <v/>
      </c>
      <c r="I729" s="57">
        <f>IF(OR($A729="",I$24=""),"",IF(COUNTIFS('AFA Rates'!$A$5:$A$1004,$A729,'AFA Rates'!$B$5:$B$1004,I$24)&gt;0,"✓",""))</f>
        <v/>
      </c>
      <c r="J729" s="57">
        <f>IF(OR($A729="",J$24=""),"",IF(COUNTIFS('AFA Rates'!$A$5:$A$1004,$A729,'AFA Rates'!$B$5:$B$1004,J$24)&gt;0,"✓",""))</f>
        <v/>
      </c>
      <c r="K729" s="57">
        <f>IF(OR($A729="",K$24=""),"",IF(COUNTIFS('AFA Rates'!$A$5:$A$1004,$A729,'AFA Rates'!$B$5:$B$1004,K$24)&gt;0,"✓",""))</f>
        <v/>
      </c>
      <c r="L729" s="57">
        <f>IF(OR($A729="",L$24=""),"",IF(COUNTIFS('AFA Rates'!$A$5:$A$1004,$A729,'AFA Rates'!$B$5:$B$1004,L$24)&gt;0,"✓",""))</f>
        <v/>
      </c>
      <c r="M729" s="57">
        <f>IF(OR($A729="",M$24=""),"",IF(COUNTIFS('AFA Rates'!$A$5:$A$1004,$A729,'AFA Rates'!$B$5:$B$1004,M$24)&gt;0,"✓",""))</f>
        <v/>
      </c>
    </row>
    <row r="730">
      <c r="A730" s="63">
        <f>IFERROR(INDEX(Firms!$A$5:$A$1004,MATCH(706,Firms!$S$5:$S$1004,0)),"")</f>
        <v/>
      </c>
      <c r="B730" s="57">
        <f>IF($A730="","",INDEX(Firms!$B$5:$B$1004,MATCH(706,Firms!$S$5:$S$1004,0)))</f>
        <v/>
      </c>
      <c r="C730" s="57">
        <f>IF($A730="","",COUNTIF('AFA Rates'!$A$5:$A$1004,$A730))</f>
        <v/>
      </c>
      <c r="D730" s="57">
        <f>IF(OR($A730="",D$24=""),"",IF(COUNTIFS('AFA Rates'!$A$5:$A$1004,$A730,'AFA Rates'!$B$5:$B$1004,D$24)&gt;0,"✓",""))</f>
        <v/>
      </c>
      <c r="E730" s="57">
        <f>IF(OR($A730="",E$24=""),"",IF(COUNTIFS('AFA Rates'!$A$5:$A$1004,$A730,'AFA Rates'!$B$5:$B$1004,E$24)&gt;0,"✓",""))</f>
        <v/>
      </c>
      <c r="F730" s="57">
        <f>IF(OR($A730="",F$24=""),"",IF(COUNTIFS('AFA Rates'!$A$5:$A$1004,$A730,'AFA Rates'!$B$5:$B$1004,F$24)&gt;0,"✓",""))</f>
        <v/>
      </c>
      <c r="G730" s="57">
        <f>IF(OR($A730="",G$24=""),"",IF(COUNTIFS('AFA Rates'!$A$5:$A$1004,$A730,'AFA Rates'!$B$5:$B$1004,G$24)&gt;0,"✓",""))</f>
        <v/>
      </c>
      <c r="H730" s="57">
        <f>IF(OR($A730="",H$24=""),"",IF(COUNTIFS('AFA Rates'!$A$5:$A$1004,$A730,'AFA Rates'!$B$5:$B$1004,H$24)&gt;0,"✓",""))</f>
        <v/>
      </c>
      <c r="I730" s="57">
        <f>IF(OR($A730="",I$24=""),"",IF(COUNTIFS('AFA Rates'!$A$5:$A$1004,$A730,'AFA Rates'!$B$5:$B$1004,I$24)&gt;0,"✓",""))</f>
        <v/>
      </c>
      <c r="J730" s="57">
        <f>IF(OR($A730="",J$24=""),"",IF(COUNTIFS('AFA Rates'!$A$5:$A$1004,$A730,'AFA Rates'!$B$5:$B$1004,J$24)&gt;0,"✓",""))</f>
        <v/>
      </c>
      <c r="K730" s="57">
        <f>IF(OR($A730="",K$24=""),"",IF(COUNTIFS('AFA Rates'!$A$5:$A$1004,$A730,'AFA Rates'!$B$5:$B$1004,K$24)&gt;0,"✓",""))</f>
        <v/>
      </c>
      <c r="L730" s="57">
        <f>IF(OR($A730="",L$24=""),"",IF(COUNTIFS('AFA Rates'!$A$5:$A$1004,$A730,'AFA Rates'!$B$5:$B$1004,L$24)&gt;0,"✓",""))</f>
        <v/>
      </c>
      <c r="M730" s="57">
        <f>IF(OR($A730="",M$24=""),"",IF(COUNTIFS('AFA Rates'!$A$5:$A$1004,$A730,'AFA Rates'!$B$5:$B$1004,M$24)&gt;0,"✓",""))</f>
        <v/>
      </c>
    </row>
    <row r="731">
      <c r="A731" s="63">
        <f>IFERROR(INDEX(Firms!$A$5:$A$1004,MATCH(707,Firms!$S$5:$S$1004,0)),"")</f>
        <v/>
      </c>
      <c r="B731" s="57">
        <f>IF($A731="","",INDEX(Firms!$B$5:$B$1004,MATCH(707,Firms!$S$5:$S$1004,0)))</f>
        <v/>
      </c>
      <c r="C731" s="57">
        <f>IF($A731="","",COUNTIF('AFA Rates'!$A$5:$A$1004,$A731))</f>
        <v/>
      </c>
      <c r="D731" s="57">
        <f>IF(OR($A731="",D$24=""),"",IF(COUNTIFS('AFA Rates'!$A$5:$A$1004,$A731,'AFA Rates'!$B$5:$B$1004,D$24)&gt;0,"✓",""))</f>
        <v/>
      </c>
      <c r="E731" s="57">
        <f>IF(OR($A731="",E$24=""),"",IF(COUNTIFS('AFA Rates'!$A$5:$A$1004,$A731,'AFA Rates'!$B$5:$B$1004,E$24)&gt;0,"✓",""))</f>
        <v/>
      </c>
      <c r="F731" s="57">
        <f>IF(OR($A731="",F$24=""),"",IF(COUNTIFS('AFA Rates'!$A$5:$A$1004,$A731,'AFA Rates'!$B$5:$B$1004,F$24)&gt;0,"✓",""))</f>
        <v/>
      </c>
      <c r="G731" s="57">
        <f>IF(OR($A731="",G$24=""),"",IF(COUNTIFS('AFA Rates'!$A$5:$A$1004,$A731,'AFA Rates'!$B$5:$B$1004,G$24)&gt;0,"✓",""))</f>
        <v/>
      </c>
      <c r="H731" s="57">
        <f>IF(OR($A731="",H$24=""),"",IF(COUNTIFS('AFA Rates'!$A$5:$A$1004,$A731,'AFA Rates'!$B$5:$B$1004,H$24)&gt;0,"✓",""))</f>
        <v/>
      </c>
      <c r="I731" s="57">
        <f>IF(OR($A731="",I$24=""),"",IF(COUNTIFS('AFA Rates'!$A$5:$A$1004,$A731,'AFA Rates'!$B$5:$B$1004,I$24)&gt;0,"✓",""))</f>
        <v/>
      </c>
      <c r="J731" s="57">
        <f>IF(OR($A731="",J$24=""),"",IF(COUNTIFS('AFA Rates'!$A$5:$A$1004,$A731,'AFA Rates'!$B$5:$B$1004,J$24)&gt;0,"✓",""))</f>
        <v/>
      </c>
      <c r="K731" s="57">
        <f>IF(OR($A731="",K$24=""),"",IF(COUNTIFS('AFA Rates'!$A$5:$A$1004,$A731,'AFA Rates'!$B$5:$B$1004,K$24)&gt;0,"✓",""))</f>
        <v/>
      </c>
      <c r="L731" s="57">
        <f>IF(OR($A731="",L$24=""),"",IF(COUNTIFS('AFA Rates'!$A$5:$A$1004,$A731,'AFA Rates'!$B$5:$B$1004,L$24)&gt;0,"✓",""))</f>
        <v/>
      </c>
      <c r="M731" s="57">
        <f>IF(OR($A731="",M$24=""),"",IF(COUNTIFS('AFA Rates'!$A$5:$A$1004,$A731,'AFA Rates'!$B$5:$B$1004,M$24)&gt;0,"✓",""))</f>
        <v/>
      </c>
    </row>
    <row r="732">
      <c r="A732" s="63">
        <f>IFERROR(INDEX(Firms!$A$5:$A$1004,MATCH(708,Firms!$S$5:$S$1004,0)),"")</f>
        <v/>
      </c>
      <c r="B732" s="57">
        <f>IF($A732="","",INDEX(Firms!$B$5:$B$1004,MATCH(708,Firms!$S$5:$S$1004,0)))</f>
        <v/>
      </c>
      <c r="C732" s="57">
        <f>IF($A732="","",COUNTIF('AFA Rates'!$A$5:$A$1004,$A732))</f>
        <v/>
      </c>
      <c r="D732" s="57">
        <f>IF(OR($A732="",D$24=""),"",IF(COUNTIFS('AFA Rates'!$A$5:$A$1004,$A732,'AFA Rates'!$B$5:$B$1004,D$24)&gt;0,"✓",""))</f>
        <v/>
      </c>
      <c r="E732" s="57">
        <f>IF(OR($A732="",E$24=""),"",IF(COUNTIFS('AFA Rates'!$A$5:$A$1004,$A732,'AFA Rates'!$B$5:$B$1004,E$24)&gt;0,"✓",""))</f>
        <v/>
      </c>
      <c r="F732" s="57">
        <f>IF(OR($A732="",F$24=""),"",IF(COUNTIFS('AFA Rates'!$A$5:$A$1004,$A732,'AFA Rates'!$B$5:$B$1004,F$24)&gt;0,"✓",""))</f>
        <v/>
      </c>
      <c r="G732" s="57">
        <f>IF(OR($A732="",G$24=""),"",IF(COUNTIFS('AFA Rates'!$A$5:$A$1004,$A732,'AFA Rates'!$B$5:$B$1004,G$24)&gt;0,"✓",""))</f>
        <v/>
      </c>
      <c r="H732" s="57">
        <f>IF(OR($A732="",H$24=""),"",IF(COUNTIFS('AFA Rates'!$A$5:$A$1004,$A732,'AFA Rates'!$B$5:$B$1004,H$24)&gt;0,"✓",""))</f>
        <v/>
      </c>
      <c r="I732" s="57">
        <f>IF(OR($A732="",I$24=""),"",IF(COUNTIFS('AFA Rates'!$A$5:$A$1004,$A732,'AFA Rates'!$B$5:$B$1004,I$24)&gt;0,"✓",""))</f>
        <v/>
      </c>
      <c r="J732" s="57">
        <f>IF(OR($A732="",J$24=""),"",IF(COUNTIFS('AFA Rates'!$A$5:$A$1004,$A732,'AFA Rates'!$B$5:$B$1004,J$24)&gt;0,"✓",""))</f>
        <v/>
      </c>
      <c r="K732" s="57">
        <f>IF(OR($A732="",K$24=""),"",IF(COUNTIFS('AFA Rates'!$A$5:$A$1004,$A732,'AFA Rates'!$B$5:$B$1004,K$24)&gt;0,"✓",""))</f>
        <v/>
      </c>
      <c r="L732" s="57">
        <f>IF(OR($A732="",L$24=""),"",IF(COUNTIFS('AFA Rates'!$A$5:$A$1004,$A732,'AFA Rates'!$B$5:$B$1004,L$24)&gt;0,"✓",""))</f>
        <v/>
      </c>
      <c r="M732" s="57">
        <f>IF(OR($A732="",M$24=""),"",IF(COUNTIFS('AFA Rates'!$A$5:$A$1004,$A732,'AFA Rates'!$B$5:$B$1004,M$24)&gt;0,"✓",""))</f>
        <v/>
      </c>
    </row>
    <row r="733">
      <c r="A733" s="63">
        <f>IFERROR(INDEX(Firms!$A$5:$A$1004,MATCH(709,Firms!$S$5:$S$1004,0)),"")</f>
        <v/>
      </c>
      <c r="B733" s="57">
        <f>IF($A733="","",INDEX(Firms!$B$5:$B$1004,MATCH(709,Firms!$S$5:$S$1004,0)))</f>
        <v/>
      </c>
      <c r="C733" s="57">
        <f>IF($A733="","",COUNTIF('AFA Rates'!$A$5:$A$1004,$A733))</f>
        <v/>
      </c>
      <c r="D733" s="57">
        <f>IF(OR($A733="",D$24=""),"",IF(COUNTIFS('AFA Rates'!$A$5:$A$1004,$A733,'AFA Rates'!$B$5:$B$1004,D$24)&gt;0,"✓",""))</f>
        <v/>
      </c>
      <c r="E733" s="57">
        <f>IF(OR($A733="",E$24=""),"",IF(COUNTIFS('AFA Rates'!$A$5:$A$1004,$A733,'AFA Rates'!$B$5:$B$1004,E$24)&gt;0,"✓",""))</f>
        <v/>
      </c>
      <c r="F733" s="57">
        <f>IF(OR($A733="",F$24=""),"",IF(COUNTIFS('AFA Rates'!$A$5:$A$1004,$A733,'AFA Rates'!$B$5:$B$1004,F$24)&gt;0,"✓",""))</f>
        <v/>
      </c>
      <c r="G733" s="57">
        <f>IF(OR($A733="",G$24=""),"",IF(COUNTIFS('AFA Rates'!$A$5:$A$1004,$A733,'AFA Rates'!$B$5:$B$1004,G$24)&gt;0,"✓",""))</f>
        <v/>
      </c>
      <c r="H733" s="57">
        <f>IF(OR($A733="",H$24=""),"",IF(COUNTIFS('AFA Rates'!$A$5:$A$1004,$A733,'AFA Rates'!$B$5:$B$1004,H$24)&gt;0,"✓",""))</f>
        <v/>
      </c>
      <c r="I733" s="57">
        <f>IF(OR($A733="",I$24=""),"",IF(COUNTIFS('AFA Rates'!$A$5:$A$1004,$A733,'AFA Rates'!$B$5:$B$1004,I$24)&gt;0,"✓",""))</f>
        <v/>
      </c>
      <c r="J733" s="57">
        <f>IF(OR($A733="",J$24=""),"",IF(COUNTIFS('AFA Rates'!$A$5:$A$1004,$A733,'AFA Rates'!$B$5:$B$1004,J$24)&gt;0,"✓",""))</f>
        <v/>
      </c>
      <c r="K733" s="57">
        <f>IF(OR($A733="",K$24=""),"",IF(COUNTIFS('AFA Rates'!$A$5:$A$1004,$A733,'AFA Rates'!$B$5:$B$1004,K$24)&gt;0,"✓",""))</f>
        <v/>
      </c>
      <c r="L733" s="57">
        <f>IF(OR($A733="",L$24=""),"",IF(COUNTIFS('AFA Rates'!$A$5:$A$1004,$A733,'AFA Rates'!$B$5:$B$1004,L$24)&gt;0,"✓",""))</f>
        <v/>
      </c>
      <c r="M733" s="57">
        <f>IF(OR($A733="",M$24=""),"",IF(COUNTIFS('AFA Rates'!$A$5:$A$1004,$A733,'AFA Rates'!$B$5:$B$1004,M$24)&gt;0,"✓",""))</f>
        <v/>
      </c>
    </row>
    <row r="734">
      <c r="A734" s="63">
        <f>IFERROR(INDEX(Firms!$A$5:$A$1004,MATCH(710,Firms!$S$5:$S$1004,0)),"")</f>
        <v/>
      </c>
      <c r="B734" s="57">
        <f>IF($A734="","",INDEX(Firms!$B$5:$B$1004,MATCH(710,Firms!$S$5:$S$1004,0)))</f>
        <v/>
      </c>
      <c r="C734" s="57">
        <f>IF($A734="","",COUNTIF('AFA Rates'!$A$5:$A$1004,$A734))</f>
        <v/>
      </c>
      <c r="D734" s="57">
        <f>IF(OR($A734="",D$24=""),"",IF(COUNTIFS('AFA Rates'!$A$5:$A$1004,$A734,'AFA Rates'!$B$5:$B$1004,D$24)&gt;0,"✓",""))</f>
        <v/>
      </c>
      <c r="E734" s="57">
        <f>IF(OR($A734="",E$24=""),"",IF(COUNTIFS('AFA Rates'!$A$5:$A$1004,$A734,'AFA Rates'!$B$5:$B$1004,E$24)&gt;0,"✓",""))</f>
        <v/>
      </c>
      <c r="F734" s="57">
        <f>IF(OR($A734="",F$24=""),"",IF(COUNTIFS('AFA Rates'!$A$5:$A$1004,$A734,'AFA Rates'!$B$5:$B$1004,F$24)&gt;0,"✓",""))</f>
        <v/>
      </c>
      <c r="G734" s="57">
        <f>IF(OR($A734="",G$24=""),"",IF(COUNTIFS('AFA Rates'!$A$5:$A$1004,$A734,'AFA Rates'!$B$5:$B$1004,G$24)&gt;0,"✓",""))</f>
        <v/>
      </c>
      <c r="H734" s="57">
        <f>IF(OR($A734="",H$24=""),"",IF(COUNTIFS('AFA Rates'!$A$5:$A$1004,$A734,'AFA Rates'!$B$5:$B$1004,H$24)&gt;0,"✓",""))</f>
        <v/>
      </c>
      <c r="I734" s="57">
        <f>IF(OR($A734="",I$24=""),"",IF(COUNTIFS('AFA Rates'!$A$5:$A$1004,$A734,'AFA Rates'!$B$5:$B$1004,I$24)&gt;0,"✓",""))</f>
        <v/>
      </c>
      <c r="J734" s="57">
        <f>IF(OR($A734="",J$24=""),"",IF(COUNTIFS('AFA Rates'!$A$5:$A$1004,$A734,'AFA Rates'!$B$5:$B$1004,J$24)&gt;0,"✓",""))</f>
        <v/>
      </c>
      <c r="K734" s="57">
        <f>IF(OR($A734="",K$24=""),"",IF(COUNTIFS('AFA Rates'!$A$5:$A$1004,$A734,'AFA Rates'!$B$5:$B$1004,K$24)&gt;0,"✓",""))</f>
        <v/>
      </c>
      <c r="L734" s="57">
        <f>IF(OR($A734="",L$24=""),"",IF(COUNTIFS('AFA Rates'!$A$5:$A$1004,$A734,'AFA Rates'!$B$5:$B$1004,L$24)&gt;0,"✓",""))</f>
        <v/>
      </c>
      <c r="M734" s="57">
        <f>IF(OR($A734="",M$24=""),"",IF(COUNTIFS('AFA Rates'!$A$5:$A$1004,$A734,'AFA Rates'!$B$5:$B$1004,M$24)&gt;0,"✓",""))</f>
        <v/>
      </c>
    </row>
    <row r="735">
      <c r="A735" s="63">
        <f>IFERROR(INDEX(Firms!$A$5:$A$1004,MATCH(711,Firms!$S$5:$S$1004,0)),"")</f>
        <v/>
      </c>
      <c r="B735" s="57">
        <f>IF($A735="","",INDEX(Firms!$B$5:$B$1004,MATCH(711,Firms!$S$5:$S$1004,0)))</f>
        <v/>
      </c>
      <c r="C735" s="57">
        <f>IF($A735="","",COUNTIF('AFA Rates'!$A$5:$A$1004,$A735))</f>
        <v/>
      </c>
      <c r="D735" s="57">
        <f>IF(OR($A735="",D$24=""),"",IF(COUNTIFS('AFA Rates'!$A$5:$A$1004,$A735,'AFA Rates'!$B$5:$B$1004,D$24)&gt;0,"✓",""))</f>
        <v/>
      </c>
      <c r="E735" s="57">
        <f>IF(OR($A735="",E$24=""),"",IF(COUNTIFS('AFA Rates'!$A$5:$A$1004,$A735,'AFA Rates'!$B$5:$B$1004,E$24)&gt;0,"✓",""))</f>
        <v/>
      </c>
      <c r="F735" s="57">
        <f>IF(OR($A735="",F$24=""),"",IF(COUNTIFS('AFA Rates'!$A$5:$A$1004,$A735,'AFA Rates'!$B$5:$B$1004,F$24)&gt;0,"✓",""))</f>
        <v/>
      </c>
      <c r="G735" s="57">
        <f>IF(OR($A735="",G$24=""),"",IF(COUNTIFS('AFA Rates'!$A$5:$A$1004,$A735,'AFA Rates'!$B$5:$B$1004,G$24)&gt;0,"✓",""))</f>
        <v/>
      </c>
      <c r="H735" s="57">
        <f>IF(OR($A735="",H$24=""),"",IF(COUNTIFS('AFA Rates'!$A$5:$A$1004,$A735,'AFA Rates'!$B$5:$B$1004,H$24)&gt;0,"✓",""))</f>
        <v/>
      </c>
      <c r="I735" s="57">
        <f>IF(OR($A735="",I$24=""),"",IF(COUNTIFS('AFA Rates'!$A$5:$A$1004,$A735,'AFA Rates'!$B$5:$B$1004,I$24)&gt;0,"✓",""))</f>
        <v/>
      </c>
      <c r="J735" s="57">
        <f>IF(OR($A735="",J$24=""),"",IF(COUNTIFS('AFA Rates'!$A$5:$A$1004,$A735,'AFA Rates'!$B$5:$B$1004,J$24)&gt;0,"✓",""))</f>
        <v/>
      </c>
      <c r="K735" s="57">
        <f>IF(OR($A735="",K$24=""),"",IF(COUNTIFS('AFA Rates'!$A$5:$A$1004,$A735,'AFA Rates'!$B$5:$B$1004,K$24)&gt;0,"✓",""))</f>
        <v/>
      </c>
      <c r="L735" s="57">
        <f>IF(OR($A735="",L$24=""),"",IF(COUNTIFS('AFA Rates'!$A$5:$A$1004,$A735,'AFA Rates'!$B$5:$B$1004,L$24)&gt;0,"✓",""))</f>
        <v/>
      </c>
      <c r="M735" s="57">
        <f>IF(OR($A735="",M$24=""),"",IF(COUNTIFS('AFA Rates'!$A$5:$A$1004,$A735,'AFA Rates'!$B$5:$B$1004,M$24)&gt;0,"✓",""))</f>
        <v/>
      </c>
    </row>
    <row r="736">
      <c r="A736" s="63">
        <f>IFERROR(INDEX(Firms!$A$5:$A$1004,MATCH(712,Firms!$S$5:$S$1004,0)),"")</f>
        <v/>
      </c>
      <c r="B736" s="57">
        <f>IF($A736="","",INDEX(Firms!$B$5:$B$1004,MATCH(712,Firms!$S$5:$S$1004,0)))</f>
        <v/>
      </c>
      <c r="C736" s="57">
        <f>IF($A736="","",COUNTIF('AFA Rates'!$A$5:$A$1004,$A736))</f>
        <v/>
      </c>
      <c r="D736" s="57">
        <f>IF(OR($A736="",D$24=""),"",IF(COUNTIFS('AFA Rates'!$A$5:$A$1004,$A736,'AFA Rates'!$B$5:$B$1004,D$24)&gt;0,"✓",""))</f>
        <v/>
      </c>
      <c r="E736" s="57">
        <f>IF(OR($A736="",E$24=""),"",IF(COUNTIFS('AFA Rates'!$A$5:$A$1004,$A736,'AFA Rates'!$B$5:$B$1004,E$24)&gt;0,"✓",""))</f>
        <v/>
      </c>
      <c r="F736" s="57">
        <f>IF(OR($A736="",F$24=""),"",IF(COUNTIFS('AFA Rates'!$A$5:$A$1004,$A736,'AFA Rates'!$B$5:$B$1004,F$24)&gt;0,"✓",""))</f>
        <v/>
      </c>
      <c r="G736" s="57">
        <f>IF(OR($A736="",G$24=""),"",IF(COUNTIFS('AFA Rates'!$A$5:$A$1004,$A736,'AFA Rates'!$B$5:$B$1004,G$24)&gt;0,"✓",""))</f>
        <v/>
      </c>
      <c r="H736" s="57">
        <f>IF(OR($A736="",H$24=""),"",IF(COUNTIFS('AFA Rates'!$A$5:$A$1004,$A736,'AFA Rates'!$B$5:$B$1004,H$24)&gt;0,"✓",""))</f>
        <v/>
      </c>
      <c r="I736" s="57">
        <f>IF(OR($A736="",I$24=""),"",IF(COUNTIFS('AFA Rates'!$A$5:$A$1004,$A736,'AFA Rates'!$B$5:$B$1004,I$24)&gt;0,"✓",""))</f>
        <v/>
      </c>
      <c r="J736" s="57">
        <f>IF(OR($A736="",J$24=""),"",IF(COUNTIFS('AFA Rates'!$A$5:$A$1004,$A736,'AFA Rates'!$B$5:$B$1004,J$24)&gt;0,"✓",""))</f>
        <v/>
      </c>
      <c r="K736" s="57">
        <f>IF(OR($A736="",K$24=""),"",IF(COUNTIFS('AFA Rates'!$A$5:$A$1004,$A736,'AFA Rates'!$B$5:$B$1004,K$24)&gt;0,"✓",""))</f>
        <v/>
      </c>
      <c r="L736" s="57">
        <f>IF(OR($A736="",L$24=""),"",IF(COUNTIFS('AFA Rates'!$A$5:$A$1004,$A736,'AFA Rates'!$B$5:$B$1004,L$24)&gt;0,"✓",""))</f>
        <v/>
      </c>
      <c r="M736" s="57">
        <f>IF(OR($A736="",M$24=""),"",IF(COUNTIFS('AFA Rates'!$A$5:$A$1004,$A736,'AFA Rates'!$B$5:$B$1004,M$24)&gt;0,"✓",""))</f>
        <v/>
      </c>
    </row>
    <row r="737">
      <c r="A737" s="63">
        <f>IFERROR(INDEX(Firms!$A$5:$A$1004,MATCH(713,Firms!$S$5:$S$1004,0)),"")</f>
        <v/>
      </c>
      <c r="B737" s="57">
        <f>IF($A737="","",INDEX(Firms!$B$5:$B$1004,MATCH(713,Firms!$S$5:$S$1004,0)))</f>
        <v/>
      </c>
      <c r="C737" s="57">
        <f>IF($A737="","",COUNTIF('AFA Rates'!$A$5:$A$1004,$A737))</f>
        <v/>
      </c>
      <c r="D737" s="57">
        <f>IF(OR($A737="",D$24=""),"",IF(COUNTIFS('AFA Rates'!$A$5:$A$1004,$A737,'AFA Rates'!$B$5:$B$1004,D$24)&gt;0,"✓",""))</f>
        <v/>
      </c>
      <c r="E737" s="57">
        <f>IF(OR($A737="",E$24=""),"",IF(COUNTIFS('AFA Rates'!$A$5:$A$1004,$A737,'AFA Rates'!$B$5:$B$1004,E$24)&gt;0,"✓",""))</f>
        <v/>
      </c>
      <c r="F737" s="57">
        <f>IF(OR($A737="",F$24=""),"",IF(COUNTIFS('AFA Rates'!$A$5:$A$1004,$A737,'AFA Rates'!$B$5:$B$1004,F$24)&gt;0,"✓",""))</f>
        <v/>
      </c>
      <c r="G737" s="57">
        <f>IF(OR($A737="",G$24=""),"",IF(COUNTIFS('AFA Rates'!$A$5:$A$1004,$A737,'AFA Rates'!$B$5:$B$1004,G$24)&gt;0,"✓",""))</f>
        <v/>
      </c>
      <c r="H737" s="57">
        <f>IF(OR($A737="",H$24=""),"",IF(COUNTIFS('AFA Rates'!$A$5:$A$1004,$A737,'AFA Rates'!$B$5:$B$1004,H$24)&gt;0,"✓",""))</f>
        <v/>
      </c>
      <c r="I737" s="57">
        <f>IF(OR($A737="",I$24=""),"",IF(COUNTIFS('AFA Rates'!$A$5:$A$1004,$A737,'AFA Rates'!$B$5:$B$1004,I$24)&gt;0,"✓",""))</f>
        <v/>
      </c>
      <c r="J737" s="57">
        <f>IF(OR($A737="",J$24=""),"",IF(COUNTIFS('AFA Rates'!$A$5:$A$1004,$A737,'AFA Rates'!$B$5:$B$1004,J$24)&gt;0,"✓",""))</f>
        <v/>
      </c>
      <c r="K737" s="57">
        <f>IF(OR($A737="",K$24=""),"",IF(COUNTIFS('AFA Rates'!$A$5:$A$1004,$A737,'AFA Rates'!$B$5:$B$1004,K$24)&gt;0,"✓",""))</f>
        <v/>
      </c>
      <c r="L737" s="57">
        <f>IF(OR($A737="",L$24=""),"",IF(COUNTIFS('AFA Rates'!$A$5:$A$1004,$A737,'AFA Rates'!$B$5:$B$1004,L$24)&gt;0,"✓",""))</f>
        <v/>
      </c>
      <c r="M737" s="57">
        <f>IF(OR($A737="",M$24=""),"",IF(COUNTIFS('AFA Rates'!$A$5:$A$1004,$A737,'AFA Rates'!$B$5:$B$1004,M$24)&gt;0,"✓",""))</f>
        <v/>
      </c>
    </row>
    <row r="738">
      <c r="A738" s="63">
        <f>IFERROR(INDEX(Firms!$A$5:$A$1004,MATCH(714,Firms!$S$5:$S$1004,0)),"")</f>
        <v/>
      </c>
      <c r="B738" s="57">
        <f>IF($A738="","",INDEX(Firms!$B$5:$B$1004,MATCH(714,Firms!$S$5:$S$1004,0)))</f>
        <v/>
      </c>
      <c r="C738" s="57">
        <f>IF($A738="","",COUNTIF('AFA Rates'!$A$5:$A$1004,$A738))</f>
        <v/>
      </c>
      <c r="D738" s="57">
        <f>IF(OR($A738="",D$24=""),"",IF(COUNTIFS('AFA Rates'!$A$5:$A$1004,$A738,'AFA Rates'!$B$5:$B$1004,D$24)&gt;0,"✓",""))</f>
        <v/>
      </c>
      <c r="E738" s="57">
        <f>IF(OR($A738="",E$24=""),"",IF(COUNTIFS('AFA Rates'!$A$5:$A$1004,$A738,'AFA Rates'!$B$5:$B$1004,E$24)&gt;0,"✓",""))</f>
        <v/>
      </c>
      <c r="F738" s="57">
        <f>IF(OR($A738="",F$24=""),"",IF(COUNTIFS('AFA Rates'!$A$5:$A$1004,$A738,'AFA Rates'!$B$5:$B$1004,F$24)&gt;0,"✓",""))</f>
        <v/>
      </c>
      <c r="G738" s="57">
        <f>IF(OR($A738="",G$24=""),"",IF(COUNTIFS('AFA Rates'!$A$5:$A$1004,$A738,'AFA Rates'!$B$5:$B$1004,G$24)&gt;0,"✓",""))</f>
        <v/>
      </c>
      <c r="H738" s="57">
        <f>IF(OR($A738="",H$24=""),"",IF(COUNTIFS('AFA Rates'!$A$5:$A$1004,$A738,'AFA Rates'!$B$5:$B$1004,H$24)&gt;0,"✓",""))</f>
        <v/>
      </c>
      <c r="I738" s="57">
        <f>IF(OR($A738="",I$24=""),"",IF(COUNTIFS('AFA Rates'!$A$5:$A$1004,$A738,'AFA Rates'!$B$5:$B$1004,I$24)&gt;0,"✓",""))</f>
        <v/>
      </c>
      <c r="J738" s="57">
        <f>IF(OR($A738="",J$24=""),"",IF(COUNTIFS('AFA Rates'!$A$5:$A$1004,$A738,'AFA Rates'!$B$5:$B$1004,J$24)&gt;0,"✓",""))</f>
        <v/>
      </c>
      <c r="K738" s="57">
        <f>IF(OR($A738="",K$24=""),"",IF(COUNTIFS('AFA Rates'!$A$5:$A$1004,$A738,'AFA Rates'!$B$5:$B$1004,K$24)&gt;0,"✓",""))</f>
        <v/>
      </c>
      <c r="L738" s="57">
        <f>IF(OR($A738="",L$24=""),"",IF(COUNTIFS('AFA Rates'!$A$5:$A$1004,$A738,'AFA Rates'!$B$5:$B$1004,L$24)&gt;0,"✓",""))</f>
        <v/>
      </c>
      <c r="M738" s="57">
        <f>IF(OR($A738="",M$24=""),"",IF(COUNTIFS('AFA Rates'!$A$5:$A$1004,$A738,'AFA Rates'!$B$5:$B$1004,M$24)&gt;0,"✓",""))</f>
        <v/>
      </c>
    </row>
    <row r="739">
      <c r="A739" s="63">
        <f>IFERROR(INDEX(Firms!$A$5:$A$1004,MATCH(715,Firms!$S$5:$S$1004,0)),"")</f>
        <v/>
      </c>
      <c r="B739" s="57">
        <f>IF($A739="","",INDEX(Firms!$B$5:$B$1004,MATCH(715,Firms!$S$5:$S$1004,0)))</f>
        <v/>
      </c>
      <c r="C739" s="57">
        <f>IF($A739="","",COUNTIF('AFA Rates'!$A$5:$A$1004,$A739))</f>
        <v/>
      </c>
      <c r="D739" s="57">
        <f>IF(OR($A739="",D$24=""),"",IF(COUNTIFS('AFA Rates'!$A$5:$A$1004,$A739,'AFA Rates'!$B$5:$B$1004,D$24)&gt;0,"✓",""))</f>
        <v/>
      </c>
      <c r="E739" s="57">
        <f>IF(OR($A739="",E$24=""),"",IF(COUNTIFS('AFA Rates'!$A$5:$A$1004,$A739,'AFA Rates'!$B$5:$B$1004,E$24)&gt;0,"✓",""))</f>
        <v/>
      </c>
      <c r="F739" s="57">
        <f>IF(OR($A739="",F$24=""),"",IF(COUNTIFS('AFA Rates'!$A$5:$A$1004,$A739,'AFA Rates'!$B$5:$B$1004,F$24)&gt;0,"✓",""))</f>
        <v/>
      </c>
      <c r="G739" s="57">
        <f>IF(OR($A739="",G$24=""),"",IF(COUNTIFS('AFA Rates'!$A$5:$A$1004,$A739,'AFA Rates'!$B$5:$B$1004,G$24)&gt;0,"✓",""))</f>
        <v/>
      </c>
      <c r="H739" s="57">
        <f>IF(OR($A739="",H$24=""),"",IF(COUNTIFS('AFA Rates'!$A$5:$A$1004,$A739,'AFA Rates'!$B$5:$B$1004,H$24)&gt;0,"✓",""))</f>
        <v/>
      </c>
      <c r="I739" s="57">
        <f>IF(OR($A739="",I$24=""),"",IF(COUNTIFS('AFA Rates'!$A$5:$A$1004,$A739,'AFA Rates'!$B$5:$B$1004,I$24)&gt;0,"✓",""))</f>
        <v/>
      </c>
      <c r="J739" s="57">
        <f>IF(OR($A739="",J$24=""),"",IF(COUNTIFS('AFA Rates'!$A$5:$A$1004,$A739,'AFA Rates'!$B$5:$B$1004,J$24)&gt;0,"✓",""))</f>
        <v/>
      </c>
      <c r="K739" s="57">
        <f>IF(OR($A739="",K$24=""),"",IF(COUNTIFS('AFA Rates'!$A$5:$A$1004,$A739,'AFA Rates'!$B$5:$B$1004,K$24)&gt;0,"✓",""))</f>
        <v/>
      </c>
      <c r="L739" s="57">
        <f>IF(OR($A739="",L$24=""),"",IF(COUNTIFS('AFA Rates'!$A$5:$A$1004,$A739,'AFA Rates'!$B$5:$B$1004,L$24)&gt;0,"✓",""))</f>
        <v/>
      </c>
      <c r="M739" s="57">
        <f>IF(OR($A739="",M$24=""),"",IF(COUNTIFS('AFA Rates'!$A$5:$A$1004,$A739,'AFA Rates'!$B$5:$B$1004,M$24)&gt;0,"✓",""))</f>
        <v/>
      </c>
    </row>
    <row r="740">
      <c r="A740" s="63">
        <f>IFERROR(INDEX(Firms!$A$5:$A$1004,MATCH(716,Firms!$S$5:$S$1004,0)),"")</f>
        <v/>
      </c>
      <c r="B740" s="57">
        <f>IF($A740="","",INDEX(Firms!$B$5:$B$1004,MATCH(716,Firms!$S$5:$S$1004,0)))</f>
        <v/>
      </c>
      <c r="C740" s="57">
        <f>IF($A740="","",COUNTIF('AFA Rates'!$A$5:$A$1004,$A740))</f>
        <v/>
      </c>
      <c r="D740" s="57">
        <f>IF(OR($A740="",D$24=""),"",IF(COUNTIFS('AFA Rates'!$A$5:$A$1004,$A740,'AFA Rates'!$B$5:$B$1004,D$24)&gt;0,"✓",""))</f>
        <v/>
      </c>
      <c r="E740" s="57">
        <f>IF(OR($A740="",E$24=""),"",IF(COUNTIFS('AFA Rates'!$A$5:$A$1004,$A740,'AFA Rates'!$B$5:$B$1004,E$24)&gt;0,"✓",""))</f>
        <v/>
      </c>
      <c r="F740" s="57">
        <f>IF(OR($A740="",F$24=""),"",IF(COUNTIFS('AFA Rates'!$A$5:$A$1004,$A740,'AFA Rates'!$B$5:$B$1004,F$24)&gt;0,"✓",""))</f>
        <v/>
      </c>
      <c r="G740" s="57">
        <f>IF(OR($A740="",G$24=""),"",IF(COUNTIFS('AFA Rates'!$A$5:$A$1004,$A740,'AFA Rates'!$B$5:$B$1004,G$24)&gt;0,"✓",""))</f>
        <v/>
      </c>
      <c r="H740" s="57">
        <f>IF(OR($A740="",H$24=""),"",IF(COUNTIFS('AFA Rates'!$A$5:$A$1004,$A740,'AFA Rates'!$B$5:$B$1004,H$24)&gt;0,"✓",""))</f>
        <v/>
      </c>
      <c r="I740" s="57">
        <f>IF(OR($A740="",I$24=""),"",IF(COUNTIFS('AFA Rates'!$A$5:$A$1004,$A740,'AFA Rates'!$B$5:$B$1004,I$24)&gt;0,"✓",""))</f>
        <v/>
      </c>
      <c r="J740" s="57">
        <f>IF(OR($A740="",J$24=""),"",IF(COUNTIFS('AFA Rates'!$A$5:$A$1004,$A740,'AFA Rates'!$B$5:$B$1004,J$24)&gt;0,"✓",""))</f>
        <v/>
      </c>
      <c r="K740" s="57">
        <f>IF(OR($A740="",K$24=""),"",IF(COUNTIFS('AFA Rates'!$A$5:$A$1004,$A740,'AFA Rates'!$B$5:$B$1004,K$24)&gt;0,"✓",""))</f>
        <v/>
      </c>
      <c r="L740" s="57">
        <f>IF(OR($A740="",L$24=""),"",IF(COUNTIFS('AFA Rates'!$A$5:$A$1004,$A740,'AFA Rates'!$B$5:$B$1004,L$24)&gt;0,"✓",""))</f>
        <v/>
      </c>
      <c r="M740" s="57">
        <f>IF(OR($A740="",M$24=""),"",IF(COUNTIFS('AFA Rates'!$A$5:$A$1004,$A740,'AFA Rates'!$B$5:$B$1004,M$24)&gt;0,"✓",""))</f>
        <v/>
      </c>
    </row>
    <row r="741">
      <c r="A741" s="63">
        <f>IFERROR(INDEX(Firms!$A$5:$A$1004,MATCH(717,Firms!$S$5:$S$1004,0)),"")</f>
        <v/>
      </c>
      <c r="B741" s="57">
        <f>IF($A741="","",INDEX(Firms!$B$5:$B$1004,MATCH(717,Firms!$S$5:$S$1004,0)))</f>
        <v/>
      </c>
      <c r="C741" s="57">
        <f>IF($A741="","",COUNTIF('AFA Rates'!$A$5:$A$1004,$A741))</f>
        <v/>
      </c>
      <c r="D741" s="57">
        <f>IF(OR($A741="",D$24=""),"",IF(COUNTIFS('AFA Rates'!$A$5:$A$1004,$A741,'AFA Rates'!$B$5:$B$1004,D$24)&gt;0,"✓",""))</f>
        <v/>
      </c>
      <c r="E741" s="57">
        <f>IF(OR($A741="",E$24=""),"",IF(COUNTIFS('AFA Rates'!$A$5:$A$1004,$A741,'AFA Rates'!$B$5:$B$1004,E$24)&gt;0,"✓",""))</f>
        <v/>
      </c>
      <c r="F741" s="57">
        <f>IF(OR($A741="",F$24=""),"",IF(COUNTIFS('AFA Rates'!$A$5:$A$1004,$A741,'AFA Rates'!$B$5:$B$1004,F$24)&gt;0,"✓",""))</f>
        <v/>
      </c>
      <c r="G741" s="57">
        <f>IF(OR($A741="",G$24=""),"",IF(COUNTIFS('AFA Rates'!$A$5:$A$1004,$A741,'AFA Rates'!$B$5:$B$1004,G$24)&gt;0,"✓",""))</f>
        <v/>
      </c>
      <c r="H741" s="57">
        <f>IF(OR($A741="",H$24=""),"",IF(COUNTIFS('AFA Rates'!$A$5:$A$1004,$A741,'AFA Rates'!$B$5:$B$1004,H$24)&gt;0,"✓",""))</f>
        <v/>
      </c>
      <c r="I741" s="57">
        <f>IF(OR($A741="",I$24=""),"",IF(COUNTIFS('AFA Rates'!$A$5:$A$1004,$A741,'AFA Rates'!$B$5:$B$1004,I$24)&gt;0,"✓",""))</f>
        <v/>
      </c>
      <c r="J741" s="57">
        <f>IF(OR($A741="",J$24=""),"",IF(COUNTIFS('AFA Rates'!$A$5:$A$1004,$A741,'AFA Rates'!$B$5:$B$1004,J$24)&gt;0,"✓",""))</f>
        <v/>
      </c>
      <c r="K741" s="57">
        <f>IF(OR($A741="",K$24=""),"",IF(COUNTIFS('AFA Rates'!$A$5:$A$1004,$A741,'AFA Rates'!$B$5:$B$1004,K$24)&gt;0,"✓",""))</f>
        <v/>
      </c>
      <c r="L741" s="57">
        <f>IF(OR($A741="",L$24=""),"",IF(COUNTIFS('AFA Rates'!$A$5:$A$1004,$A741,'AFA Rates'!$B$5:$B$1004,L$24)&gt;0,"✓",""))</f>
        <v/>
      </c>
      <c r="M741" s="57">
        <f>IF(OR($A741="",M$24=""),"",IF(COUNTIFS('AFA Rates'!$A$5:$A$1004,$A741,'AFA Rates'!$B$5:$B$1004,M$24)&gt;0,"✓",""))</f>
        <v/>
      </c>
    </row>
    <row r="742">
      <c r="A742" s="63">
        <f>IFERROR(INDEX(Firms!$A$5:$A$1004,MATCH(718,Firms!$S$5:$S$1004,0)),"")</f>
        <v/>
      </c>
      <c r="B742" s="57">
        <f>IF($A742="","",INDEX(Firms!$B$5:$B$1004,MATCH(718,Firms!$S$5:$S$1004,0)))</f>
        <v/>
      </c>
      <c r="C742" s="57">
        <f>IF($A742="","",COUNTIF('AFA Rates'!$A$5:$A$1004,$A742))</f>
        <v/>
      </c>
      <c r="D742" s="57">
        <f>IF(OR($A742="",D$24=""),"",IF(COUNTIFS('AFA Rates'!$A$5:$A$1004,$A742,'AFA Rates'!$B$5:$B$1004,D$24)&gt;0,"✓",""))</f>
        <v/>
      </c>
      <c r="E742" s="57">
        <f>IF(OR($A742="",E$24=""),"",IF(COUNTIFS('AFA Rates'!$A$5:$A$1004,$A742,'AFA Rates'!$B$5:$B$1004,E$24)&gt;0,"✓",""))</f>
        <v/>
      </c>
      <c r="F742" s="57">
        <f>IF(OR($A742="",F$24=""),"",IF(COUNTIFS('AFA Rates'!$A$5:$A$1004,$A742,'AFA Rates'!$B$5:$B$1004,F$24)&gt;0,"✓",""))</f>
        <v/>
      </c>
      <c r="G742" s="57">
        <f>IF(OR($A742="",G$24=""),"",IF(COUNTIFS('AFA Rates'!$A$5:$A$1004,$A742,'AFA Rates'!$B$5:$B$1004,G$24)&gt;0,"✓",""))</f>
        <v/>
      </c>
      <c r="H742" s="57">
        <f>IF(OR($A742="",H$24=""),"",IF(COUNTIFS('AFA Rates'!$A$5:$A$1004,$A742,'AFA Rates'!$B$5:$B$1004,H$24)&gt;0,"✓",""))</f>
        <v/>
      </c>
      <c r="I742" s="57">
        <f>IF(OR($A742="",I$24=""),"",IF(COUNTIFS('AFA Rates'!$A$5:$A$1004,$A742,'AFA Rates'!$B$5:$B$1004,I$24)&gt;0,"✓",""))</f>
        <v/>
      </c>
      <c r="J742" s="57">
        <f>IF(OR($A742="",J$24=""),"",IF(COUNTIFS('AFA Rates'!$A$5:$A$1004,$A742,'AFA Rates'!$B$5:$B$1004,J$24)&gt;0,"✓",""))</f>
        <v/>
      </c>
      <c r="K742" s="57">
        <f>IF(OR($A742="",K$24=""),"",IF(COUNTIFS('AFA Rates'!$A$5:$A$1004,$A742,'AFA Rates'!$B$5:$B$1004,K$24)&gt;0,"✓",""))</f>
        <v/>
      </c>
      <c r="L742" s="57">
        <f>IF(OR($A742="",L$24=""),"",IF(COUNTIFS('AFA Rates'!$A$5:$A$1004,$A742,'AFA Rates'!$B$5:$B$1004,L$24)&gt;0,"✓",""))</f>
        <v/>
      </c>
      <c r="M742" s="57">
        <f>IF(OR($A742="",M$24=""),"",IF(COUNTIFS('AFA Rates'!$A$5:$A$1004,$A742,'AFA Rates'!$B$5:$B$1004,M$24)&gt;0,"✓",""))</f>
        <v/>
      </c>
    </row>
    <row r="743">
      <c r="A743" s="63">
        <f>IFERROR(INDEX(Firms!$A$5:$A$1004,MATCH(719,Firms!$S$5:$S$1004,0)),"")</f>
        <v/>
      </c>
      <c r="B743" s="57">
        <f>IF($A743="","",INDEX(Firms!$B$5:$B$1004,MATCH(719,Firms!$S$5:$S$1004,0)))</f>
        <v/>
      </c>
      <c r="C743" s="57">
        <f>IF($A743="","",COUNTIF('AFA Rates'!$A$5:$A$1004,$A743))</f>
        <v/>
      </c>
      <c r="D743" s="57">
        <f>IF(OR($A743="",D$24=""),"",IF(COUNTIFS('AFA Rates'!$A$5:$A$1004,$A743,'AFA Rates'!$B$5:$B$1004,D$24)&gt;0,"✓",""))</f>
        <v/>
      </c>
      <c r="E743" s="57">
        <f>IF(OR($A743="",E$24=""),"",IF(COUNTIFS('AFA Rates'!$A$5:$A$1004,$A743,'AFA Rates'!$B$5:$B$1004,E$24)&gt;0,"✓",""))</f>
        <v/>
      </c>
      <c r="F743" s="57">
        <f>IF(OR($A743="",F$24=""),"",IF(COUNTIFS('AFA Rates'!$A$5:$A$1004,$A743,'AFA Rates'!$B$5:$B$1004,F$24)&gt;0,"✓",""))</f>
        <v/>
      </c>
      <c r="G743" s="57">
        <f>IF(OR($A743="",G$24=""),"",IF(COUNTIFS('AFA Rates'!$A$5:$A$1004,$A743,'AFA Rates'!$B$5:$B$1004,G$24)&gt;0,"✓",""))</f>
        <v/>
      </c>
      <c r="H743" s="57">
        <f>IF(OR($A743="",H$24=""),"",IF(COUNTIFS('AFA Rates'!$A$5:$A$1004,$A743,'AFA Rates'!$B$5:$B$1004,H$24)&gt;0,"✓",""))</f>
        <v/>
      </c>
      <c r="I743" s="57">
        <f>IF(OR($A743="",I$24=""),"",IF(COUNTIFS('AFA Rates'!$A$5:$A$1004,$A743,'AFA Rates'!$B$5:$B$1004,I$24)&gt;0,"✓",""))</f>
        <v/>
      </c>
      <c r="J743" s="57">
        <f>IF(OR($A743="",J$24=""),"",IF(COUNTIFS('AFA Rates'!$A$5:$A$1004,$A743,'AFA Rates'!$B$5:$B$1004,J$24)&gt;0,"✓",""))</f>
        <v/>
      </c>
      <c r="K743" s="57">
        <f>IF(OR($A743="",K$24=""),"",IF(COUNTIFS('AFA Rates'!$A$5:$A$1004,$A743,'AFA Rates'!$B$5:$B$1004,K$24)&gt;0,"✓",""))</f>
        <v/>
      </c>
      <c r="L743" s="57">
        <f>IF(OR($A743="",L$24=""),"",IF(COUNTIFS('AFA Rates'!$A$5:$A$1004,$A743,'AFA Rates'!$B$5:$B$1004,L$24)&gt;0,"✓",""))</f>
        <v/>
      </c>
      <c r="M743" s="57">
        <f>IF(OR($A743="",M$24=""),"",IF(COUNTIFS('AFA Rates'!$A$5:$A$1004,$A743,'AFA Rates'!$B$5:$B$1004,M$24)&gt;0,"✓",""))</f>
        <v/>
      </c>
    </row>
    <row r="744">
      <c r="A744" s="63">
        <f>IFERROR(INDEX(Firms!$A$5:$A$1004,MATCH(720,Firms!$S$5:$S$1004,0)),"")</f>
        <v/>
      </c>
      <c r="B744" s="57">
        <f>IF($A744="","",INDEX(Firms!$B$5:$B$1004,MATCH(720,Firms!$S$5:$S$1004,0)))</f>
        <v/>
      </c>
      <c r="C744" s="57">
        <f>IF($A744="","",COUNTIF('AFA Rates'!$A$5:$A$1004,$A744))</f>
        <v/>
      </c>
      <c r="D744" s="57">
        <f>IF(OR($A744="",D$24=""),"",IF(COUNTIFS('AFA Rates'!$A$5:$A$1004,$A744,'AFA Rates'!$B$5:$B$1004,D$24)&gt;0,"✓",""))</f>
        <v/>
      </c>
      <c r="E744" s="57">
        <f>IF(OR($A744="",E$24=""),"",IF(COUNTIFS('AFA Rates'!$A$5:$A$1004,$A744,'AFA Rates'!$B$5:$B$1004,E$24)&gt;0,"✓",""))</f>
        <v/>
      </c>
      <c r="F744" s="57">
        <f>IF(OR($A744="",F$24=""),"",IF(COUNTIFS('AFA Rates'!$A$5:$A$1004,$A744,'AFA Rates'!$B$5:$B$1004,F$24)&gt;0,"✓",""))</f>
        <v/>
      </c>
      <c r="G744" s="57">
        <f>IF(OR($A744="",G$24=""),"",IF(COUNTIFS('AFA Rates'!$A$5:$A$1004,$A744,'AFA Rates'!$B$5:$B$1004,G$24)&gt;0,"✓",""))</f>
        <v/>
      </c>
      <c r="H744" s="57">
        <f>IF(OR($A744="",H$24=""),"",IF(COUNTIFS('AFA Rates'!$A$5:$A$1004,$A744,'AFA Rates'!$B$5:$B$1004,H$24)&gt;0,"✓",""))</f>
        <v/>
      </c>
      <c r="I744" s="57">
        <f>IF(OR($A744="",I$24=""),"",IF(COUNTIFS('AFA Rates'!$A$5:$A$1004,$A744,'AFA Rates'!$B$5:$B$1004,I$24)&gt;0,"✓",""))</f>
        <v/>
      </c>
      <c r="J744" s="57">
        <f>IF(OR($A744="",J$24=""),"",IF(COUNTIFS('AFA Rates'!$A$5:$A$1004,$A744,'AFA Rates'!$B$5:$B$1004,J$24)&gt;0,"✓",""))</f>
        <v/>
      </c>
      <c r="K744" s="57">
        <f>IF(OR($A744="",K$24=""),"",IF(COUNTIFS('AFA Rates'!$A$5:$A$1004,$A744,'AFA Rates'!$B$5:$B$1004,K$24)&gt;0,"✓",""))</f>
        <v/>
      </c>
      <c r="L744" s="57">
        <f>IF(OR($A744="",L$24=""),"",IF(COUNTIFS('AFA Rates'!$A$5:$A$1004,$A744,'AFA Rates'!$B$5:$B$1004,L$24)&gt;0,"✓",""))</f>
        <v/>
      </c>
      <c r="M744" s="57">
        <f>IF(OR($A744="",M$24=""),"",IF(COUNTIFS('AFA Rates'!$A$5:$A$1004,$A744,'AFA Rates'!$B$5:$B$1004,M$24)&gt;0,"✓",""))</f>
        <v/>
      </c>
    </row>
    <row r="745">
      <c r="A745" s="63">
        <f>IFERROR(INDEX(Firms!$A$5:$A$1004,MATCH(721,Firms!$S$5:$S$1004,0)),"")</f>
        <v/>
      </c>
      <c r="B745" s="57">
        <f>IF($A745="","",INDEX(Firms!$B$5:$B$1004,MATCH(721,Firms!$S$5:$S$1004,0)))</f>
        <v/>
      </c>
      <c r="C745" s="57">
        <f>IF($A745="","",COUNTIF('AFA Rates'!$A$5:$A$1004,$A745))</f>
        <v/>
      </c>
      <c r="D745" s="57">
        <f>IF(OR($A745="",D$24=""),"",IF(COUNTIFS('AFA Rates'!$A$5:$A$1004,$A745,'AFA Rates'!$B$5:$B$1004,D$24)&gt;0,"✓",""))</f>
        <v/>
      </c>
      <c r="E745" s="57">
        <f>IF(OR($A745="",E$24=""),"",IF(COUNTIFS('AFA Rates'!$A$5:$A$1004,$A745,'AFA Rates'!$B$5:$B$1004,E$24)&gt;0,"✓",""))</f>
        <v/>
      </c>
      <c r="F745" s="57">
        <f>IF(OR($A745="",F$24=""),"",IF(COUNTIFS('AFA Rates'!$A$5:$A$1004,$A745,'AFA Rates'!$B$5:$B$1004,F$24)&gt;0,"✓",""))</f>
        <v/>
      </c>
      <c r="G745" s="57">
        <f>IF(OR($A745="",G$24=""),"",IF(COUNTIFS('AFA Rates'!$A$5:$A$1004,$A745,'AFA Rates'!$B$5:$B$1004,G$24)&gt;0,"✓",""))</f>
        <v/>
      </c>
      <c r="H745" s="57">
        <f>IF(OR($A745="",H$24=""),"",IF(COUNTIFS('AFA Rates'!$A$5:$A$1004,$A745,'AFA Rates'!$B$5:$B$1004,H$24)&gt;0,"✓",""))</f>
        <v/>
      </c>
      <c r="I745" s="57">
        <f>IF(OR($A745="",I$24=""),"",IF(COUNTIFS('AFA Rates'!$A$5:$A$1004,$A745,'AFA Rates'!$B$5:$B$1004,I$24)&gt;0,"✓",""))</f>
        <v/>
      </c>
      <c r="J745" s="57">
        <f>IF(OR($A745="",J$24=""),"",IF(COUNTIFS('AFA Rates'!$A$5:$A$1004,$A745,'AFA Rates'!$B$5:$B$1004,J$24)&gt;0,"✓",""))</f>
        <v/>
      </c>
      <c r="K745" s="57">
        <f>IF(OR($A745="",K$24=""),"",IF(COUNTIFS('AFA Rates'!$A$5:$A$1004,$A745,'AFA Rates'!$B$5:$B$1004,K$24)&gt;0,"✓",""))</f>
        <v/>
      </c>
      <c r="L745" s="57">
        <f>IF(OR($A745="",L$24=""),"",IF(COUNTIFS('AFA Rates'!$A$5:$A$1004,$A745,'AFA Rates'!$B$5:$B$1004,L$24)&gt;0,"✓",""))</f>
        <v/>
      </c>
      <c r="M745" s="57">
        <f>IF(OR($A745="",M$24=""),"",IF(COUNTIFS('AFA Rates'!$A$5:$A$1004,$A745,'AFA Rates'!$B$5:$B$1004,M$24)&gt;0,"✓",""))</f>
        <v/>
      </c>
    </row>
    <row r="746">
      <c r="A746" s="63">
        <f>IFERROR(INDEX(Firms!$A$5:$A$1004,MATCH(722,Firms!$S$5:$S$1004,0)),"")</f>
        <v/>
      </c>
      <c r="B746" s="57">
        <f>IF($A746="","",INDEX(Firms!$B$5:$B$1004,MATCH(722,Firms!$S$5:$S$1004,0)))</f>
        <v/>
      </c>
      <c r="C746" s="57">
        <f>IF($A746="","",COUNTIF('AFA Rates'!$A$5:$A$1004,$A746))</f>
        <v/>
      </c>
      <c r="D746" s="57">
        <f>IF(OR($A746="",D$24=""),"",IF(COUNTIFS('AFA Rates'!$A$5:$A$1004,$A746,'AFA Rates'!$B$5:$B$1004,D$24)&gt;0,"✓",""))</f>
        <v/>
      </c>
      <c r="E746" s="57">
        <f>IF(OR($A746="",E$24=""),"",IF(COUNTIFS('AFA Rates'!$A$5:$A$1004,$A746,'AFA Rates'!$B$5:$B$1004,E$24)&gt;0,"✓",""))</f>
        <v/>
      </c>
      <c r="F746" s="57">
        <f>IF(OR($A746="",F$24=""),"",IF(COUNTIFS('AFA Rates'!$A$5:$A$1004,$A746,'AFA Rates'!$B$5:$B$1004,F$24)&gt;0,"✓",""))</f>
        <v/>
      </c>
      <c r="G746" s="57">
        <f>IF(OR($A746="",G$24=""),"",IF(COUNTIFS('AFA Rates'!$A$5:$A$1004,$A746,'AFA Rates'!$B$5:$B$1004,G$24)&gt;0,"✓",""))</f>
        <v/>
      </c>
      <c r="H746" s="57">
        <f>IF(OR($A746="",H$24=""),"",IF(COUNTIFS('AFA Rates'!$A$5:$A$1004,$A746,'AFA Rates'!$B$5:$B$1004,H$24)&gt;0,"✓",""))</f>
        <v/>
      </c>
      <c r="I746" s="57">
        <f>IF(OR($A746="",I$24=""),"",IF(COUNTIFS('AFA Rates'!$A$5:$A$1004,$A746,'AFA Rates'!$B$5:$B$1004,I$24)&gt;0,"✓",""))</f>
        <v/>
      </c>
      <c r="J746" s="57">
        <f>IF(OR($A746="",J$24=""),"",IF(COUNTIFS('AFA Rates'!$A$5:$A$1004,$A746,'AFA Rates'!$B$5:$B$1004,J$24)&gt;0,"✓",""))</f>
        <v/>
      </c>
      <c r="K746" s="57">
        <f>IF(OR($A746="",K$24=""),"",IF(COUNTIFS('AFA Rates'!$A$5:$A$1004,$A746,'AFA Rates'!$B$5:$B$1004,K$24)&gt;0,"✓",""))</f>
        <v/>
      </c>
      <c r="L746" s="57">
        <f>IF(OR($A746="",L$24=""),"",IF(COUNTIFS('AFA Rates'!$A$5:$A$1004,$A746,'AFA Rates'!$B$5:$B$1004,L$24)&gt;0,"✓",""))</f>
        <v/>
      </c>
      <c r="M746" s="57">
        <f>IF(OR($A746="",M$24=""),"",IF(COUNTIFS('AFA Rates'!$A$5:$A$1004,$A746,'AFA Rates'!$B$5:$B$1004,M$24)&gt;0,"✓",""))</f>
        <v/>
      </c>
    </row>
    <row r="747">
      <c r="A747" s="63">
        <f>IFERROR(INDEX(Firms!$A$5:$A$1004,MATCH(723,Firms!$S$5:$S$1004,0)),"")</f>
        <v/>
      </c>
      <c r="B747" s="57">
        <f>IF($A747="","",INDEX(Firms!$B$5:$B$1004,MATCH(723,Firms!$S$5:$S$1004,0)))</f>
        <v/>
      </c>
      <c r="C747" s="57">
        <f>IF($A747="","",COUNTIF('AFA Rates'!$A$5:$A$1004,$A747))</f>
        <v/>
      </c>
      <c r="D747" s="57">
        <f>IF(OR($A747="",D$24=""),"",IF(COUNTIFS('AFA Rates'!$A$5:$A$1004,$A747,'AFA Rates'!$B$5:$B$1004,D$24)&gt;0,"✓",""))</f>
        <v/>
      </c>
      <c r="E747" s="57">
        <f>IF(OR($A747="",E$24=""),"",IF(COUNTIFS('AFA Rates'!$A$5:$A$1004,$A747,'AFA Rates'!$B$5:$B$1004,E$24)&gt;0,"✓",""))</f>
        <v/>
      </c>
      <c r="F747" s="57">
        <f>IF(OR($A747="",F$24=""),"",IF(COUNTIFS('AFA Rates'!$A$5:$A$1004,$A747,'AFA Rates'!$B$5:$B$1004,F$24)&gt;0,"✓",""))</f>
        <v/>
      </c>
      <c r="G747" s="57">
        <f>IF(OR($A747="",G$24=""),"",IF(COUNTIFS('AFA Rates'!$A$5:$A$1004,$A747,'AFA Rates'!$B$5:$B$1004,G$24)&gt;0,"✓",""))</f>
        <v/>
      </c>
      <c r="H747" s="57">
        <f>IF(OR($A747="",H$24=""),"",IF(COUNTIFS('AFA Rates'!$A$5:$A$1004,$A747,'AFA Rates'!$B$5:$B$1004,H$24)&gt;0,"✓",""))</f>
        <v/>
      </c>
      <c r="I747" s="57">
        <f>IF(OR($A747="",I$24=""),"",IF(COUNTIFS('AFA Rates'!$A$5:$A$1004,$A747,'AFA Rates'!$B$5:$B$1004,I$24)&gt;0,"✓",""))</f>
        <v/>
      </c>
      <c r="J747" s="57">
        <f>IF(OR($A747="",J$24=""),"",IF(COUNTIFS('AFA Rates'!$A$5:$A$1004,$A747,'AFA Rates'!$B$5:$B$1004,J$24)&gt;0,"✓",""))</f>
        <v/>
      </c>
      <c r="K747" s="57">
        <f>IF(OR($A747="",K$24=""),"",IF(COUNTIFS('AFA Rates'!$A$5:$A$1004,$A747,'AFA Rates'!$B$5:$B$1004,K$24)&gt;0,"✓",""))</f>
        <v/>
      </c>
      <c r="L747" s="57">
        <f>IF(OR($A747="",L$24=""),"",IF(COUNTIFS('AFA Rates'!$A$5:$A$1004,$A747,'AFA Rates'!$B$5:$B$1004,L$24)&gt;0,"✓",""))</f>
        <v/>
      </c>
      <c r="M747" s="57">
        <f>IF(OR($A747="",M$24=""),"",IF(COUNTIFS('AFA Rates'!$A$5:$A$1004,$A747,'AFA Rates'!$B$5:$B$1004,M$24)&gt;0,"✓",""))</f>
        <v/>
      </c>
    </row>
    <row r="748">
      <c r="A748" s="63">
        <f>IFERROR(INDEX(Firms!$A$5:$A$1004,MATCH(724,Firms!$S$5:$S$1004,0)),"")</f>
        <v/>
      </c>
      <c r="B748" s="57">
        <f>IF($A748="","",INDEX(Firms!$B$5:$B$1004,MATCH(724,Firms!$S$5:$S$1004,0)))</f>
        <v/>
      </c>
      <c r="C748" s="57">
        <f>IF($A748="","",COUNTIF('AFA Rates'!$A$5:$A$1004,$A748))</f>
        <v/>
      </c>
      <c r="D748" s="57">
        <f>IF(OR($A748="",D$24=""),"",IF(COUNTIFS('AFA Rates'!$A$5:$A$1004,$A748,'AFA Rates'!$B$5:$B$1004,D$24)&gt;0,"✓",""))</f>
        <v/>
      </c>
      <c r="E748" s="57">
        <f>IF(OR($A748="",E$24=""),"",IF(COUNTIFS('AFA Rates'!$A$5:$A$1004,$A748,'AFA Rates'!$B$5:$B$1004,E$24)&gt;0,"✓",""))</f>
        <v/>
      </c>
      <c r="F748" s="57">
        <f>IF(OR($A748="",F$24=""),"",IF(COUNTIFS('AFA Rates'!$A$5:$A$1004,$A748,'AFA Rates'!$B$5:$B$1004,F$24)&gt;0,"✓",""))</f>
        <v/>
      </c>
      <c r="G748" s="57">
        <f>IF(OR($A748="",G$24=""),"",IF(COUNTIFS('AFA Rates'!$A$5:$A$1004,$A748,'AFA Rates'!$B$5:$B$1004,G$24)&gt;0,"✓",""))</f>
        <v/>
      </c>
      <c r="H748" s="57">
        <f>IF(OR($A748="",H$24=""),"",IF(COUNTIFS('AFA Rates'!$A$5:$A$1004,$A748,'AFA Rates'!$B$5:$B$1004,H$24)&gt;0,"✓",""))</f>
        <v/>
      </c>
      <c r="I748" s="57">
        <f>IF(OR($A748="",I$24=""),"",IF(COUNTIFS('AFA Rates'!$A$5:$A$1004,$A748,'AFA Rates'!$B$5:$B$1004,I$24)&gt;0,"✓",""))</f>
        <v/>
      </c>
      <c r="J748" s="57">
        <f>IF(OR($A748="",J$24=""),"",IF(COUNTIFS('AFA Rates'!$A$5:$A$1004,$A748,'AFA Rates'!$B$5:$B$1004,J$24)&gt;0,"✓",""))</f>
        <v/>
      </c>
      <c r="K748" s="57">
        <f>IF(OR($A748="",K$24=""),"",IF(COUNTIFS('AFA Rates'!$A$5:$A$1004,$A748,'AFA Rates'!$B$5:$B$1004,K$24)&gt;0,"✓",""))</f>
        <v/>
      </c>
      <c r="L748" s="57">
        <f>IF(OR($A748="",L$24=""),"",IF(COUNTIFS('AFA Rates'!$A$5:$A$1004,$A748,'AFA Rates'!$B$5:$B$1004,L$24)&gt;0,"✓",""))</f>
        <v/>
      </c>
      <c r="M748" s="57">
        <f>IF(OR($A748="",M$24=""),"",IF(COUNTIFS('AFA Rates'!$A$5:$A$1004,$A748,'AFA Rates'!$B$5:$B$1004,M$24)&gt;0,"✓",""))</f>
        <v/>
      </c>
    </row>
    <row r="749">
      <c r="A749" s="63">
        <f>IFERROR(INDEX(Firms!$A$5:$A$1004,MATCH(725,Firms!$S$5:$S$1004,0)),"")</f>
        <v/>
      </c>
      <c r="B749" s="57">
        <f>IF($A749="","",INDEX(Firms!$B$5:$B$1004,MATCH(725,Firms!$S$5:$S$1004,0)))</f>
        <v/>
      </c>
      <c r="C749" s="57">
        <f>IF($A749="","",COUNTIF('AFA Rates'!$A$5:$A$1004,$A749))</f>
        <v/>
      </c>
      <c r="D749" s="57">
        <f>IF(OR($A749="",D$24=""),"",IF(COUNTIFS('AFA Rates'!$A$5:$A$1004,$A749,'AFA Rates'!$B$5:$B$1004,D$24)&gt;0,"✓",""))</f>
        <v/>
      </c>
      <c r="E749" s="57">
        <f>IF(OR($A749="",E$24=""),"",IF(COUNTIFS('AFA Rates'!$A$5:$A$1004,$A749,'AFA Rates'!$B$5:$B$1004,E$24)&gt;0,"✓",""))</f>
        <v/>
      </c>
      <c r="F749" s="57">
        <f>IF(OR($A749="",F$24=""),"",IF(COUNTIFS('AFA Rates'!$A$5:$A$1004,$A749,'AFA Rates'!$B$5:$B$1004,F$24)&gt;0,"✓",""))</f>
        <v/>
      </c>
      <c r="G749" s="57">
        <f>IF(OR($A749="",G$24=""),"",IF(COUNTIFS('AFA Rates'!$A$5:$A$1004,$A749,'AFA Rates'!$B$5:$B$1004,G$24)&gt;0,"✓",""))</f>
        <v/>
      </c>
      <c r="H749" s="57">
        <f>IF(OR($A749="",H$24=""),"",IF(COUNTIFS('AFA Rates'!$A$5:$A$1004,$A749,'AFA Rates'!$B$5:$B$1004,H$24)&gt;0,"✓",""))</f>
        <v/>
      </c>
      <c r="I749" s="57">
        <f>IF(OR($A749="",I$24=""),"",IF(COUNTIFS('AFA Rates'!$A$5:$A$1004,$A749,'AFA Rates'!$B$5:$B$1004,I$24)&gt;0,"✓",""))</f>
        <v/>
      </c>
      <c r="J749" s="57">
        <f>IF(OR($A749="",J$24=""),"",IF(COUNTIFS('AFA Rates'!$A$5:$A$1004,$A749,'AFA Rates'!$B$5:$B$1004,J$24)&gt;0,"✓",""))</f>
        <v/>
      </c>
      <c r="K749" s="57">
        <f>IF(OR($A749="",K$24=""),"",IF(COUNTIFS('AFA Rates'!$A$5:$A$1004,$A749,'AFA Rates'!$B$5:$B$1004,K$24)&gt;0,"✓",""))</f>
        <v/>
      </c>
      <c r="L749" s="57">
        <f>IF(OR($A749="",L$24=""),"",IF(COUNTIFS('AFA Rates'!$A$5:$A$1004,$A749,'AFA Rates'!$B$5:$B$1004,L$24)&gt;0,"✓",""))</f>
        <v/>
      </c>
      <c r="M749" s="57">
        <f>IF(OR($A749="",M$24=""),"",IF(COUNTIFS('AFA Rates'!$A$5:$A$1004,$A749,'AFA Rates'!$B$5:$B$1004,M$24)&gt;0,"✓",""))</f>
        <v/>
      </c>
    </row>
    <row r="750">
      <c r="A750" s="63">
        <f>IFERROR(INDEX(Firms!$A$5:$A$1004,MATCH(726,Firms!$S$5:$S$1004,0)),"")</f>
        <v/>
      </c>
      <c r="B750" s="57">
        <f>IF($A750="","",INDEX(Firms!$B$5:$B$1004,MATCH(726,Firms!$S$5:$S$1004,0)))</f>
        <v/>
      </c>
      <c r="C750" s="57">
        <f>IF($A750="","",COUNTIF('AFA Rates'!$A$5:$A$1004,$A750))</f>
        <v/>
      </c>
      <c r="D750" s="57">
        <f>IF(OR($A750="",D$24=""),"",IF(COUNTIFS('AFA Rates'!$A$5:$A$1004,$A750,'AFA Rates'!$B$5:$B$1004,D$24)&gt;0,"✓",""))</f>
        <v/>
      </c>
      <c r="E750" s="57">
        <f>IF(OR($A750="",E$24=""),"",IF(COUNTIFS('AFA Rates'!$A$5:$A$1004,$A750,'AFA Rates'!$B$5:$B$1004,E$24)&gt;0,"✓",""))</f>
        <v/>
      </c>
      <c r="F750" s="57">
        <f>IF(OR($A750="",F$24=""),"",IF(COUNTIFS('AFA Rates'!$A$5:$A$1004,$A750,'AFA Rates'!$B$5:$B$1004,F$24)&gt;0,"✓",""))</f>
        <v/>
      </c>
      <c r="G750" s="57">
        <f>IF(OR($A750="",G$24=""),"",IF(COUNTIFS('AFA Rates'!$A$5:$A$1004,$A750,'AFA Rates'!$B$5:$B$1004,G$24)&gt;0,"✓",""))</f>
        <v/>
      </c>
      <c r="H750" s="57">
        <f>IF(OR($A750="",H$24=""),"",IF(COUNTIFS('AFA Rates'!$A$5:$A$1004,$A750,'AFA Rates'!$B$5:$B$1004,H$24)&gt;0,"✓",""))</f>
        <v/>
      </c>
      <c r="I750" s="57">
        <f>IF(OR($A750="",I$24=""),"",IF(COUNTIFS('AFA Rates'!$A$5:$A$1004,$A750,'AFA Rates'!$B$5:$B$1004,I$24)&gt;0,"✓",""))</f>
        <v/>
      </c>
      <c r="J750" s="57">
        <f>IF(OR($A750="",J$24=""),"",IF(COUNTIFS('AFA Rates'!$A$5:$A$1004,$A750,'AFA Rates'!$B$5:$B$1004,J$24)&gt;0,"✓",""))</f>
        <v/>
      </c>
      <c r="K750" s="57">
        <f>IF(OR($A750="",K$24=""),"",IF(COUNTIFS('AFA Rates'!$A$5:$A$1004,$A750,'AFA Rates'!$B$5:$B$1004,K$24)&gt;0,"✓",""))</f>
        <v/>
      </c>
      <c r="L750" s="57">
        <f>IF(OR($A750="",L$24=""),"",IF(COUNTIFS('AFA Rates'!$A$5:$A$1004,$A750,'AFA Rates'!$B$5:$B$1004,L$24)&gt;0,"✓",""))</f>
        <v/>
      </c>
      <c r="M750" s="57">
        <f>IF(OR($A750="",M$24=""),"",IF(COUNTIFS('AFA Rates'!$A$5:$A$1004,$A750,'AFA Rates'!$B$5:$B$1004,M$24)&gt;0,"✓",""))</f>
        <v/>
      </c>
    </row>
    <row r="751">
      <c r="A751" s="63">
        <f>IFERROR(INDEX(Firms!$A$5:$A$1004,MATCH(727,Firms!$S$5:$S$1004,0)),"")</f>
        <v/>
      </c>
      <c r="B751" s="57">
        <f>IF($A751="","",INDEX(Firms!$B$5:$B$1004,MATCH(727,Firms!$S$5:$S$1004,0)))</f>
        <v/>
      </c>
      <c r="C751" s="57">
        <f>IF($A751="","",COUNTIF('AFA Rates'!$A$5:$A$1004,$A751))</f>
        <v/>
      </c>
      <c r="D751" s="57">
        <f>IF(OR($A751="",D$24=""),"",IF(COUNTIFS('AFA Rates'!$A$5:$A$1004,$A751,'AFA Rates'!$B$5:$B$1004,D$24)&gt;0,"✓",""))</f>
        <v/>
      </c>
      <c r="E751" s="57">
        <f>IF(OR($A751="",E$24=""),"",IF(COUNTIFS('AFA Rates'!$A$5:$A$1004,$A751,'AFA Rates'!$B$5:$B$1004,E$24)&gt;0,"✓",""))</f>
        <v/>
      </c>
      <c r="F751" s="57">
        <f>IF(OR($A751="",F$24=""),"",IF(COUNTIFS('AFA Rates'!$A$5:$A$1004,$A751,'AFA Rates'!$B$5:$B$1004,F$24)&gt;0,"✓",""))</f>
        <v/>
      </c>
      <c r="G751" s="57">
        <f>IF(OR($A751="",G$24=""),"",IF(COUNTIFS('AFA Rates'!$A$5:$A$1004,$A751,'AFA Rates'!$B$5:$B$1004,G$24)&gt;0,"✓",""))</f>
        <v/>
      </c>
      <c r="H751" s="57">
        <f>IF(OR($A751="",H$24=""),"",IF(COUNTIFS('AFA Rates'!$A$5:$A$1004,$A751,'AFA Rates'!$B$5:$B$1004,H$24)&gt;0,"✓",""))</f>
        <v/>
      </c>
      <c r="I751" s="57">
        <f>IF(OR($A751="",I$24=""),"",IF(COUNTIFS('AFA Rates'!$A$5:$A$1004,$A751,'AFA Rates'!$B$5:$B$1004,I$24)&gt;0,"✓",""))</f>
        <v/>
      </c>
      <c r="J751" s="57">
        <f>IF(OR($A751="",J$24=""),"",IF(COUNTIFS('AFA Rates'!$A$5:$A$1004,$A751,'AFA Rates'!$B$5:$B$1004,J$24)&gt;0,"✓",""))</f>
        <v/>
      </c>
      <c r="K751" s="57">
        <f>IF(OR($A751="",K$24=""),"",IF(COUNTIFS('AFA Rates'!$A$5:$A$1004,$A751,'AFA Rates'!$B$5:$B$1004,K$24)&gt;0,"✓",""))</f>
        <v/>
      </c>
      <c r="L751" s="57">
        <f>IF(OR($A751="",L$24=""),"",IF(COUNTIFS('AFA Rates'!$A$5:$A$1004,$A751,'AFA Rates'!$B$5:$B$1004,L$24)&gt;0,"✓",""))</f>
        <v/>
      </c>
      <c r="M751" s="57">
        <f>IF(OR($A751="",M$24=""),"",IF(COUNTIFS('AFA Rates'!$A$5:$A$1004,$A751,'AFA Rates'!$B$5:$B$1004,M$24)&gt;0,"✓",""))</f>
        <v/>
      </c>
    </row>
    <row r="752">
      <c r="A752" s="63">
        <f>IFERROR(INDEX(Firms!$A$5:$A$1004,MATCH(728,Firms!$S$5:$S$1004,0)),"")</f>
        <v/>
      </c>
      <c r="B752" s="57">
        <f>IF($A752="","",INDEX(Firms!$B$5:$B$1004,MATCH(728,Firms!$S$5:$S$1004,0)))</f>
        <v/>
      </c>
      <c r="C752" s="57">
        <f>IF($A752="","",COUNTIF('AFA Rates'!$A$5:$A$1004,$A752))</f>
        <v/>
      </c>
      <c r="D752" s="57">
        <f>IF(OR($A752="",D$24=""),"",IF(COUNTIFS('AFA Rates'!$A$5:$A$1004,$A752,'AFA Rates'!$B$5:$B$1004,D$24)&gt;0,"✓",""))</f>
        <v/>
      </c>
      <c r="E752" s="57">
        <f>IF(OR($A752="",E$24=""),"",IF(COUNTIFS('AFA Rates'!$A$5:$A$1004,$A752,'AFA Rates'!$B$5:$B$1004,E$24)&gt;0,"✓",""))</f>
        <v/>
      </c>
      <c r="F752" s="57">
        <f>IF(OR($A752="",F$24=""),"",IF(COUNTIFS('AFA Rates'!$A$5:$A$1004,$A752,'AFA Rates'!$B$5:$B$1004,F$24)&gt;0,"✓",""))</f>
        <v/>
      </c>
      <c r="G752" s="57">
        <f>IF(OR($A752="",G$24=""),"",IF(COUNTIFS('AFA Rates'!$A$5:$A$1004,$A752,'AFA Rates'!$B$5:$B$1004,G$24)&gt;0,"✓",""))</f>
        <v/>
      </c>
      <c r="H752" s="57">
        <f>IF(OR($A752="",H$24=""),"",IF(COUNTIFS('AFA Rates'!$A$5:$A$1004,$A752,'AFA Rates'!$B$5:$B$1004,H$24)&gt;0,"✓",""))</f>
        <v/>
      </c>
      <c r="I752" s="57">
        <f>IF(OR($A752="",I$24=""),"",IF(COUNTIFS('AFA Rates'!$A$5:$A$1004,$A752,'AFA Rates'!$B$5:$B$1004,I$24)&gt;0,"✓",""))</f>
        <v/>
      </c>
      <c r="J752" s="57">
        <f>IF(OR($A752="",J$24=""),"",IF(COUNTIFS('AFA Rates'!$A$5:$A$1004,$A752,'AFA Rates'!$B$5:$B$1004,J$24)&gt;0,"✓",""))</f>
        <v/>
      </c>
      <c r="K752" s="57">
        <f>IF(OR($A752="",K$24=""),"",IF(COUNTIFS('AFA Rates'!$A$5:$A$1004,$A752,'AFA Rates'!$B$5:$B$1004,K$24)&gt;0,"✓",""))</f>
        <v/>
      </c>
      <c r="L752" s="57">
        <f>IF(OR($A752="",L$24=""),"",IF(COUNTIFS('AFA Rates'!$A$5:$A$1004,$A752,'AFA Rates'!$B$5:$B$1004,L$24)&gt;0,"✓",""))</f>
        <v/>
      </c>
      <c r="M752" s="57">
        <f>IF(OR($A752="",M$24=""),"",IF(COUNTIFS('AFA Rates'!$A$5:$A$1004,$A752,'AFA Rates'!$B$5:$B$1004,M$24)&gt;0,"✓",""))</f>
        <v/>
      </c>
    </row>
    <row r="753">
      <c r="A753" s="63">
        <f>IFERROR(INDEX(Firms!$A$5:$A$1004,MATCH(729,Firms!$S$5:$S$1004,0)),"")</f>
        <v/>
      </c>
      <c r="B753" s="57">
        <f>IF($A753="","",INDEX(Firms!$B$5:$B$1004,MATCH(729,Firms!$S$5:$S$1004,0)))</f>
        <v/>
      </c>
      <c r="C753" s="57">
        <f>IF($A753="","",COUNTIF('AFA Rates'!$A$5:$A$1004,$A753))</f>
        <v/>
      </c>
      <c r="D753" s="57">
        <f>IF(OR($A753="",D$24=""),"",IF(COUNTIFS('AFA Rates'!$A$5:$A$1004,$A753,'AFA Rates'!$B$5:$B$1004,D$24)&gt;0,"✓",""))</f>
        <v/>
      </c>
      <c r="E753" s="57">
        <f>IF(OR($A753="",E$24=""),"",IF(COUNTIFS('AFA Rates'!$A$5:$A$1004,$A753,'AFA Rates'!$B$5:$B$1004,E$24)&gt;0,"✓",""))</f>
        <v/>
      </c>
      <c r="F753" s="57">
        <f>IF(OR($A753="",F$24=""),"",IF(COUNTIFS('AFA Rates'!$A$5:$A$1004,$A753,'AFA Rates'!$B$5:$B$1004,F$24)&gt;0,"✓",""))</f>
        <v/>
      </c>
      <c r="G753" s="57">
        <f>IF(OR($A753="",G$24=""),"",IF(COUNTIFS('AFA Rates'!$A$5:$A$1004,$A753,'AFA Rates'!$B$5:$B$1004,G$24)&gt;0,"✓",""))</f>
        <v/>
      </c>
      <c r="H753" s="57">
        <f>IF(OR($A753="",H$24=""),"",IF(COUNTIFS('AFA Rates'!$A$5:$A$1004,$A753,'AFA Rates'!$B$5:$B$1004,H$24)&gt;0,"✓",""))</f>
        <v/>
      </c>
      <c r="I753" s="57">
        <f>IF(OR($A753="",I$24=""),"",IF(COUNTIFS('AFA Rates'!$A$5:$A$1004,$A753,'AFA Rates'!$B$5:$B$1004,I$24)&gt;0,"✓",""))</f>
        <v/>
      </c>
      <c r="J753" s="57">
        <f>IF(OR($A753="",J$24=""),"",IF(COUNTIFS('AFA Rates'!$A$5:$A$1004,$A753,'AFA Rates'!$B$5:$B$1004,J$24)&gt;0,"✓",""))</f>
        <v/>
      </c>
      <c r="K753" s="57">
        <f>IF(OR($A753="",K$24=""),"",IF(COUNTIFS('AFA Rates'!$A$5:$A$1004,$A753,'AFA Rates'!$B$5:$B$1004,K$24)&gt;0,"✓",""))</f>
        <v/>
      </c>
      <c r="L753" s="57">
        <f>IF(OR($A753="",L$24=""),"",IF(COUNTIFS('AFA Rates'!$A$5:$A$1004,$A753,'AFA Rates'!$B$5:$B$1004,L$24)&gt;0,"✓",""))</f>
        <v/>
      </c>
      <c r="M753" s="57">
        <f>IF(OR($A753="",M$24=""),"",IF(COUNTIFS('AFA Rates'!$A$5:$A$1004,$A753,'AFA Rates'!$B$5:$B$1004,M$24)&gt;0,"✓",""))</f>
        <v/>
      </c>
    </row>
    <row r="754">
      <c r="A754" s="63">
        <f>IFERROR(INDEX(Firms!$A$5:$A$1004,MATCH(730,Firms!$S$5:$S$1004,0)),"")</f>
        <v/>
      </c>
      <c r="B754" s="57">
        <f>IF($A754="","",INDEX(Firms!$B$5:$B$1004,MATCH(730,Firms!$S$5:$S$1004,0)))</f>
        <v/>
      </c>
      <c r="C754" s="57">
        <f>IF($A754="","",COUNTIF('AFA Rates'!$A$5:$A$1004,$A754))</f>
        <v/>
      </c>
      <c r="D754" s="57">
        <f>IF(OR($A754="",D$24=""),"",IF(COUNTIFS('AFA Rates'!$A$5:$A$1004,$A754,'AFA Rates'!$B$5:$B$1004,D$24)&gt;0,"✓",""))</f>
        <v/>
      </c>
      <c r="E754" s="57">
        <f>IF(OR($A754="",E$24=""),"",IF(COUNTIFS('AFA Rates'!$A$5:$A$1004,$A754,'AFA Rates'!$B$5:$B$1004,E$24)&gt;0,"✓",""))</f>
        <v/>
      </c>
      <c r="F754" s="57">
        <f>IF(OR($A754="",F$24=""),"",IF(COUNTIFS('AFA Rates'!$A$5:$A$1004,$A754,'AFA Rates'!$B$5:$B$1004,F$24)&gt;0,"✓",""))</f>
        <v/>
      </c>
      <c r="G754" s="57">
        <f>IF(OR($A754="",G$24=""),"",IF(COUNTIFS('AFA Rates'!$A$5:$A$1004,$A754,'AFA Rates'!$B$5:$B$1004,G$24)&gt;0,"✓",""))</f>
        <v/>
      </c>
      <c r="H754" s="57">
        <f>IF(OR($A754="",H$24=""),"",IF(COUNTIFS('AFA Rates'!$A$5:$A$1004,$A754,'AFA Rates'!$B$5:$B$1004,H$24)&gt;0,"✓",""))</f>
        <v/>
      </c>
      <c r="I754" s="57">
        <f>IF(OR($A754="",I$24=""),"",IF(COUNTIFS('AFA Rates'!$A$5:$A$1004,$A754,'AFA Rates'!$B$5:$B$1004,I$24)&gt;0,"✓",""))</f>
        <v/>
      </c>
      <c r="J754" s="57">
        <f>IF(OR($A754="",J$24=""),"",IF(COUNTIFS('AFA Rates'!$A$5:$A$1004,$A754,'AFA Rates'!$B$5:$B$1004,J$24)&gt;0,"✓",""))</f>
        <v/>
      </c>
      <c r="K754" s="57">
        <f>IF(OR($A754="",K$24=""),"",IF(COUNTIFS('AFA Rates'!$A$5:$A$1004,$A754,'AFA Rates'!$B$5:$B$1004,K$24)&gt;0,"✓",""))</f>
        <v/>
      </c>
      <c r="L754" s="57">
        <f>IF(OR($A754="",L$24=""),"",IF(COUNTIFS('AFA Rates'!$A$5:$A$1004,$A754,'AFA Rates'!$B$5:$B$1004,L$24)&gt;0,"✓",""))</f>
        <v/>
      </c>
      <c r="M754" s="57">
        <f>IF(OR($A754="",M$24=""),"",IF(COUNTIFS('AFA Rates'!$A$5:$A$1004,$A754,'AFA Rates'!$B$5:$B$1004,M$24)&gt;0,"✓",""))</f>
        <v/>
      </c>
    </row>
    <row r="755">
      <c r="A755" s="63">
        <f>IFERROR(INDEX(Firms!$A$5:$A$1004,MATCH(731,Firms!$S$5:$S$1004,0)),"")</f>
        <v/>
      </c>
      <c r="B755" s="57">
        <f>IF($A755="","",INDEX(Firms!$B$5:$B$1004,MATCH(731,Firms!$S$5:$S$1004,0)))</f>
        <v/>
      </c>
      <c r="C755" s="57">
        <f>IF($A755="","",COUNTIF('AFA Rates'!$A$5:$A$1004,$A755))</f>
        <v/>
      </c>
      <c r="D755" s="57">
        <f>IF(OR($A755="",D$24=""),"",IF(COUNTIFS('AFA Rates'!$A$5:$A$1004,$A755,'AFA Rates'!$B$5:$B$1004,D$24)&gt;0,"✓",""))</f>
        <v/>
      </c>
      <c r="E755" s="57">
        <f>IF(OR($A755="",E$24=""),"",IF(COUNTIFS('AFA Rates'!$A$5:$A$1004,$A755,'AFA Rates'!$B$5:$B$1004,E$24)&gt;0,"✓",""))</f>
        <v/>
      </c>
      <c r="F755" s="57">
        <f>IF(OR($A755="",F$24=""),"",IF(COUNTIFS('AFA Rates'!$A$5:$A$1004,$A755,'AFA Rates'!$B$5:$B$1004,F$24)&gt;0,"✓",""))</f>
        <v/>
      </c>
      <c r="G755" s="57">
        <f>IF(OR($A755="",G$24=""),"",IF(COUNTIFS('AFA Rates'!$A$5:$A$1004,$A755,'AFA Rates'!$B$5:$B$1004,G$24)&gt;0,"✓",""))</f>
        <v/>
      </c>
      <c r="H755" s="57">
        <f>IF(OR($A755="",H$24=""),"",IF(COUNTIFS('AFA Rates'!$A$5:$A$1004,$A755,'AFA Rates'!$B$5:$B$1004,H$24)&gt;0,"✓",""))</f>
        <v/>
      </c>
      <c r="I755" s="57">
        <f>IF(OR($A755="",I$24=""),"",IF(COUNTIFS('AFA Rates'!$A$5:$A$1004,$A755,'AFA Rates'!$B$5:$B$1004,I$24)&gt;0,"✓",""))</f>
        <v/>
      </c>
      <c r="J755" s="57">
        <f>IF(OR($A755="",J$24=""),"",IF(COUNTIFS('AFA Rates'!$A$5:$A$1004,$A755,'AFA Rates'!$B$5:$B$1004,J$24)&gt;0,"✓",""))</f>
        <v/>
      </c>
      <c r="K755" s="57">
        <f>IF(OR($A755="",K$24=""),"",IF(COUNTIFS('AFA Rates'!$A$5:$A$1004,$A755,'AFA Rates'!$B$5:$B$1004,K$24)&gt;0,"✓",""))</f>
        <v/>
      </c>
      <c r="L755" s="57">
        <f>IF(OR($A755="",L$24=""),"",IF(COUNTIFS('AFA Rates'!$A$5:$A$1004,$A755,'AFA Rates'!$B$5:$B$1004,L$24)&gt;0,"✓",""))</f>
        <v/>
      </c>
      <c r="M755" s="57">
        <f>IF(OR($A755="",M$24=""),"",IF(COUNTIFS('AFA Rates'!$A$5:$A$1004,$A755,'AFA Rates'!$B$5:$B$1004,M$24)&gt;0,"✓",""))</f>
        <v/>
      </c>
    </row>
    <row r="756">
      <c r="A756" s="63">
        <f>IFERROR(INDEX(Firms!$A$5:$A$1004,MATCH(732,Firms!$S$5:$S$1004,0)),"")</f>
        <v/>
      </c>
      <c r="B756" s="57">
        <f>IF($A756="","",INDEX(Firms!$B$5:$B$1004,MATCH(732,Firms!$S$5:$S$1004,0)))</f>
        <v/>
      </c>
      <c r="C756" s="57">
        <f>IF($A756="","",COUNTIF('AFA Rates'!$A$5:$A$1004,$A756))</f>
        <v/>
      </c>
      <c r="D756" s="57">
        <f>IF(OR($A756="",D$24=""),"",IF(COUNTIFS('AFA Rates'!$A$5:$A$1004,$A756,'AFA Rates'!$B$5:$B$1004,D$24)&gt;0,"✓",""))</f>
        <v/>
      </c>
      <c r="E756" s="57">
        <f>IF(OR($A756="",E$24=""),"",IF(COUNTIFS('AFA Rates'!$A$5:$A$1004,$A756,'AFA Rates'!$B$5:$B$1004,E$24)&gt;0,"✓",""))</f>
        <v/>
      </c>
      <c r="F756" s="57">
        <f>IF(OR($A756="",F$24=""),"",IF(COUNTIFS('AFA Rates'!$A$5:$A$1004,$A756,'AFA Rates'!$B$5:$B$1004,F$24)&gt;0,"✓",""))</f>
        <v/>
      </c>
      <c r="G756" s="57">
        <f>IF(OR($A756="",G$24=""),"",IF(COUNTIFS('AFA Rates'!$A$5:$A$1004,$A756,'AFA Rates'!$B$5:$B$1004,G$24)&gt;0,"✓",""))</f>
        <v/>
      </c>
      <c r="H756" s="57">
        <f>IF(OR($A756="",H$24=""),"",IF(COUNTIFS('AFA Rates'!$A$5:$A$1004,$A756,'AFA Rates'!$B$5:$B$1004,H$24)&gt;0,"✓",""))</f>
        <v/>
      </c>
      <c r="I756" s="57">
        <f>IF(OR($A756="",I$24=""),"",IF(COUNTIFS('AFA Rates'!$A$5:$A$1004,$A756,'AFA Rates'!$B$5:$B$1004,I$24)&gt;0,"✓",""))</f>
        <v/>
      </c>
      <c r="J756" s="57">
        <f>IF(OR($A756="",J$24=""),"",IF(COUNTIFS('AFA Rates'!$A$5:$A$1004,$A756,'AFA Rates'!$B$5:$B$1004,J$24)&gt;0,"✓",""))</f>
        <v/>
      </c>
      <c r="K756" s="57">
        <f>IF(OR($A756="",K$24=""),"",IF(COUNTIFS('AFA Rates'!$A$5:$A$1004,$A756,'AFA Rates'!$B$5:$B$1004,K$24)&gt;0,"✓",""))</f>
        <v/>
      </c>
      <c r="L756" s="57">
        <f>IF(OR($A756="",L$24=""),"",IF(COUNTIFS('AFA Rates'!$A$5:$A$1004,$A756,'AFA Rates'!$B$5:$B$1004,L$24)&gt;0,"✓",""))</f>
        <v/>
      </c>
      <c r="M756" s="57">
        <f>IF(OR($A756="",M$24=""),"",IF(COUNTIFS('AFA Rates'!$A$5:$A$1004,$A756,'AFA Rates'!$B$5:$B$1004,M$24)&gt;0,"✓",""))</f>
        <v/>
      </c>
    </row>
    <row r="757">
      <c r="A757" s="63">
        <f>IFERROR(INDEX(Firms!$A$5:$A$1004,MATCH(733,Firms!$S$5:$S$1004,0)),"")</f>
        <v/>
      </c>
      <c r="B757" s="57">
        <f>IF($A757="","",INDEX(Firms!$B$5:$B$1004,MATCH(733,Firms!$S$5:$S$1004,0)))</f>
        <v/>
      </c>
      <c r="C757" s="57">
        <f>IF($A757="","",COUNTIF('AFA Rates'!$A$5:$A$1004,$A757))</f>
        <v/>
      </c>
      <c r="D757" s="57">
        <f>IF(OR($A757="",D$24=""),"",IF(COUNTIFS('AFA Rates'!$A$5:$A$1004,$A757,'AFA Rates'!$B$5:$B$1004,D$24)&gt;0,"✓",""))</f>
        <v/>
      </c>
      <c r="E757" s="57">
        <f>IF(OR($A757="",E$24=""),"",IF(COUNTIFS('AFA Rates'!$A$5:$A$1004,$A757,'AFA Rates'!$B$5:$B$1004,E$24)&gt;0,"✓",""))</f>
        <v/>
      </c>
      <c r="F757" s="57">
        <f>IF(OR($A757="",F$24=""),"",IF(COUNTIFS('AFA Rates'!$A$5:$A$1004,$A757,'AFA Rates'!$B$5:$B$1004,F$24)&gt;0,"✓",""))</f>
        <v/>
      </c>
      <c r="G757" s="57">
        <f>IF(OR($A757="",G$24=""),"",IF(COUNTIFS('AFA Rates'!$A$5:$A$1004,$A757,'AFA Rates'!$B$5:$B$1004,G$24)&gt;0,"✓",""))</f>
        <v/>
      </c>
      <c r="H757" s="57">
        <f>IF(OR($A757="",H$24=""),"",IF(COUNTIFS('AFA Rates'!$A$5:$A$1004,$A757,'AFA Rates'!$B$5:$B$1004,H$24)&gt;0,"✓",""))</f>
        <v/>
      </c>
      <c r="I757" s="57">
        <f>IF(OR($A757="",I$24=""),"",IF(COUNTIFS('AFA Rates'!$A$5:$A$1004,$A757,'AFA Rates'!$B$5:$B$1004,I$24)&gt;0,"✓",""))</f>
        <v/>
      </c>
      <c r="J757" s="57">
        <f>IF(OR($A757="",J$24=""),"",IF(COUNTIFS('AFA Rates'!$A$5:$A$1004,$A757,'AFA Rates'!$B$5:$B$1004,J$24)&gt;0,"✓",""))</f>
        <v/>
      </c>
      <c r="K757" s="57">
        <f>IF(OR($A757="",K$24=""),"",IF(COUNTIFS('AFA Rates'!$A$5:$A$1004,$A757,'AFA Rates'!$B$5:$B$1004,K$24)&gt;0,"✓",""))</f>
        <v/>
      </c>
      <c r="L757" s="57">
        <f>IF(OR($A757="",L$24=""),"",IF(COUNTIFS('AFA Rates'!$A$5:$A$1004,$A757,'AFA Rates'!$B$5:$B$1004,L$24)&gt;0,"✓",""))</f>
        <v/>
      </c>
      <c r="M757" s="57">
        <f>IF(OR($A757="",M$24=""),"",IF(COUNTIFS('AFA Rates'!$A$5:$A$1004,$A757,'AFA Rates'!$B$5:$B$1004,M$24)&gt;0,"✓",""))</f>
        <v/>
      </c>
    </row>
    <row r="758">
      <c r="A758" s="63">
        <f>IFERROR(INDEX(Firms!$A$5:$A$1004,MATCH(734,Firms!$S$5:$S$1004,0)),"")</f>
        <v/>
      </c>
      <c r="B758" s="57">
        <f>IF($A758="","",INDEX(Firms!$B$5:$B$1004,MATCH(734,Firms!$S$5:$S$1004,0)))</f>
        <v/>
      </c>
      <c r="C758" s="57">
        <f>IF($A758="","",COUNTIF('AFA Rates'!$A$5:$A$1004,$A758))</f>
        <v/>
      </c>
      <c r="D758" s="57">
        <f>IF(OR($A758="",D$24=""),"",IF(COUNTIFS('AFA Rates'!$A$5:$A$1004,$A758,'AFA Rates'!$B$5:$B$1004,D$24)&gt;0,"✓",""))</f>
        <v/>
      </c>
      <c r="E758" s="57">
        <f>IF(OR($A758="",E$24=""),"",IF(COUNTIFS('AFA Rates'!$A$5:$A$1004,$A758,'AFA Rates'!$B$5:$B$1004,E$24)&gt;0,"✓",""))</f>
        <v/>
      </c>
      <c r="F758" s="57">
        <f>IF(OR($A758="",F$24=""),"",IF(COUNTIFS('AFA Rates'!$A$5:$A$1004,$A758,'AFA Rates'!$B$5:$B$1004,F$24)&gt;0,"✓",""))</f>
        <v/>
      </c>
      <c r="G758" s="57">
        <f>IF(OR($A758="",G$24=""),"",IF(COUNTIFS('AFA Rates'!$A$5:$A$1004,$A758,'AFA Rates'!$B$5:$B$1004,G$24)&gt;0,"✓",""))</f>
        <v/>
      </c>
      <c r="H758" s="57">
        <f>IF(OR($A758="",H$24=""),"",IF(COUNTIFS('AFA Rates'!$A$5:$A$1004,$A758,'AFA Rates'!$B$5:$B$1004,H$24)&gt;0,"✓",""))</f>
        <v/>
      </c>
      <c r="I758" s="57">
        <f>IF(OR($A758="",I$24=""),"",IF(COUNTIFS('AFA Rates'!$A$5:$A$1004,$A758,'AFA Rates'!$B$5:$B$1004,I$24)&gt;0,"✓",""))</f>
        <v/>
      </c>
      <c r="J758" s="57">
        <f>IF(OR($A758="",J$24=""),"",IF(COUNTIFS('AFA Rates'!$A$5:$A$1004,$A758,'AFA Rates'!$B$5:$B$1004,J$24)&gt;0,"✓",""))</f>
        <v/>
      </c>
      <c r="K758" s="57">
        <f>IF(OR($A758="",K$24=""),"",IF(COUNTIFS('AFA Rates'!$A$5:$A$1004,$A758,'AFA Rates'!$B$5:$B$1004,K$24)&gt;0,"✓",""))</f>
        <v/>
      </c>
      <c r="L758" s="57">
        <f>IF(OR($A758="",L$24=""),"",IF(COUNTIFS('AFA Rates'!$A$5:$A$1004,$A758,'AFA Rates'!$B$5:$B$1004,L$24)&gt;0,"✓",""))</f>
        <v/>
      </c>
      <c r="M758" s="57">
        <f>IF(OR($A758="",M$24=""),"",IF(COUNTIFS('AFA Rates'!$A$5:$A$1004,$A758,'AFA Rates'!$B$5:$B$1004,M$24)&gt;0,"✓",""))</f>
        <v/>
      </c>
    </row>
    <row r="759">
      <c r="A759" s="63">
        <f>IFERROR(INDEX(Firms!$A$5:$A$1004,MATCH(735,Firms!$S$5:$S$1004,0)),"")</f>
        <v/>
      </c>
      <c r="B759" s="57">
        <f>IF($A759="","",INDEX(Firms!$B$5:$B$1004,MATCH(735,Firms!$S$5:$S$1004,0)))</f>
        <v/>
      </c>
      <c r="C759" s="57">
        <f>IF($A759="","",COUNTIF('AFA Rates'!$A$5:$A$1004,$A759))</f>
        <v/>
      </c>
      <c r="D759" s="57">
        <f>IF(OR($A759="",D$24=""),"",IF(COUNTIFS('AFA Rates'!$A$5:$A$1004,$A759,'AFA Rates'!$B$5:$B$1004,D$24)&gt;0,"✓",""))</f>
        <v/>
      </c>
      <c r="E759" s="57">
        <f>IF(OR($A759="",E$24=""),"",IF(COUNTIFS('AFA Rates'!$A$5:$A$1004,$A759,'AFA Rates'!$B$5:$B$1004,E$24)&gt;0,"✓",""))</f>
        <v/>
      </c>
      <c r="F759" s="57">
        <f>IF(OR($A759="",F$24=""),"",IF(COUNTIFS('AFA Rates'!$A$5:$A$1004,$A759,'AFA Rates'!$B$5:$B$1004,F$24)&gt;0,"✓",""))</f>
        <v/>
      </c>
      <c r="G759" s="57">
        <f>IF(OR($A759="",G$24=""),"",IF(COUNTIFS('AFA Rates'!$A$5:$A$1004,$A759,'AFA Rates'!$B$5:$B$1004,G$24)&gt;0,"✓",""))</f>
        <v/>
      </c>
      <c r="H759" s="57">
        <f>IF(OR($A759="",H$24=""),"",IF(COUNTIFS('AFA Rates'!$A$5:$A$1004,$A759,'AFA Rates'!$B$5:$B$1004,H$24)&gt;0,"✓",""))</f>
        <v/>
      </c>
      <c r="I759" s="57">
        <f>IF(OR($A759="",I$24=""),"",IF(COUNTIFS('AFA Rates'!$A$5:$A$1004,$A759,'AFA Rates'!$B$5:$B$1004,I$24)&gt;0,"✓",""))</f>
        <v/>
      </c>
      <c r="J759" s="57">
        <f>IF(OR($A759="",J$24=""),"",IF(COUNTIFS('AFA Rates'!$A$5:$A$1004,$A759,'AFA Rates'!$B$5:$B$1004,J$24)&gt;0,"✓",""))</f>
        <v/>
      </c>
      <c r="K759" s="57">
        <f>IF(OR($A759="",K$24=""),"",IF(COUNTIFS('AFA Rates'!$A$5:$A$1004,$A759,'AFA Rates'!$B$5:$B$1004,K$24)&gt;0,"✓",""))</f>
        <v/>
      </c>
      <c r="L759" s="57">
        <f>IF(OR($A759="",L$24=""),"",IF(COUNTIFS('AFA Rates'!$A$5:$A$1004,$A759,'AFA Rates'!$B$5:$B$1004,L$24)&gt;0,"✓",""))</f>
        <v/>
      </c>
      <c r="M759" s="57">
        <f>IF(OR($A759="",M$24=""),"",IF(COUNTIFS('AFA Rates'!$A$5:$A$1004,$A759,'AFA Rates'!$B$5:$B$1004,M$24)&gt;0,"✓",""))</f>
        <v/>
      </c>
    </row>
    <row r="760">
      <c r="A760" s="63">
        <f>IFERROR(INDEX(Firms!$A$5:$A$1004,MATCH(736,Firms!$S$5:$S$1004,0)),"")</f>
        <v/>
      </c>
      <c r="B760" s="57">
        <f>IF($A760="","",INDEX(Firms!$B$5:$B$1004,MATCH(736,Firms!$S$5:$S$1004,0)))</f>
        <v/>
      </c>
      <c r="C760" s="57">
        <f>IF($A760="","",COUNTIF('AFA Rates'!$A$5:$A$1004,$A760))</f>
        <v/>
      </c>
      <c r="D760" s="57">
        <f>IF(OR($A760="",D$24=""),"",IF(COUNTIFS('AFA Rates'!$A$5:$A$1004,$A760,'AFA Rates'!$B$5:$B$1004,D$24)&gt;0,"✓",""))</f>
        <v/>
      </c>
      <c r="E760" s="57">
        <f>IF(OR($A760="",E$24=""),"",IF(COUNTIFS('AFA Rates'!$A$5:$A$1004,$A760,'AFA Rates'!$B$5:$B$1004,E$24)&gt;0,"✓",""))</f>
        <v/>
      </c>
      <c r="F760" s="57">
        <f>IF(OR($A760="",F$24=""),"",IF(COUNTIFS('AFA Rates'!$A$5:$A$1004,$A760,'AFA Rates'!$B$5:$B$1004,F$24)&gt;0,"✓",""))</f>
        <v/>
      </c>
      <c r="G760" s="57">
        <f>IF(OR($A760="",G$24=""),"",IF(COUNTIFS('AFA Rates'!$A$5:$A$1004,$A760,'AFA Rates'!$B$5:$B$1004,G$24)&gt;0,"✓",""))</f>
        <v/>
      </c>
      <c r="H760" s="57">
        <f>IF(OR($A760="",H$24=""),"",IF(COUNTIFS('AFA Rates'!$A$5:$A$1004,$A760,'AFA Rates'!$B$5:$B$1004,H$24)&gt;0,"✓",""))</f>
        <v/>
      </c>
      <c r="I760" s="57">
        <f>IF(OR($A760="",I$24=""),"",IF(COUNTIFS('AFA Rates'!$A$5:$A$1004,$A760,'AFA Rates'!$B$5:$B$1004,I$24)&gt;0,"✓",""))</f>
        <v/>
      </c>
      <c r="J760" s="57">
        <f>IF(OR($A760="",J$24=""),"",IF(COUNTIFS('AFA Rates'!$A$5:$A$1004,$A760,'AFA Rates'!$B$5:$B$1004,J$24)&gt;0,"✓",""))</f>
        <v/>
      </c>
      <c r="K760" s="57">
        <f>IF(OR($A760="",K$24=""),"",IF(COUNTIFS('AFA Rates'!$A$5:$A$1004,$A760,'AFA Rates'!$B$5:$B$1004,K$24)&gt;0,"✓",""))</f>
        <v/>
      </c>
      <c r="L760" s="57">
        <f>IF(OR($A760="",L$24=""),"",IF(COUNTIFS('AFA Rates'!$A$5:$A$1004,$A760,'AFA Rates'!$B$5:$B$1004,L$24)&gt;0,"✓",""))</f>
        <v/>
      </c>
      <c r="M760" s="57">
        <f>IF(OR($A760="",M$24=""),"",IF(COUNTIFS('AFA Rates'!$A$5:$A$1004,$A760,'AFA Rates'!$B$5:$B$1004,M$24)&gt;0,"✓",""))</f>
        <v/>
      </c>
    </row>
    <row r="761">
      <c r="A761" s="63">
        <f>IFERROR(INDEX(Firms!$A$5:$A$1004,MATCH(737,Firms!$S$5:$S$1004,0)),"")</f>
        <v/>
      </c>
      <c r="B761" s="57">
        <f>IF($A761="","",INDEX(Firms!$B$5:$B$1004,MATCH(737,Firms!$S$5:$S$1004,0)))</f>
        <v/>
      </c>
      <c r="C761" s="57">
        <f>IF($A761="","",COUNTIF('AFA Rates'!$A$5:$A$1004,$A761))</f>
        <v/>
      </c>
      <c r="D761" s="57">
        <f>IF(OR($A761="",D$24=""),"",IF(COUNTIFS('AFA Rates'!$A$5:$A$1004,$A761,'AFA Rates'!$B$5:$B$1004,D$24)&gt;0,"✓",""))</f>
        <v/>
      </c>
      <c r="E761" s="57">
        <f>IF(OR($A761="",E$24=""),"",IF(COUNTIFS('AFA Rates'!$A$5:$A$1004,$A761,'AFA Rates'!$B$5:$B$1004,E$24)&gt;0,"✓",""))</f>
        <v/>
      </c>
      <c r="F761" s="57">
        <f>IF(OR($A761="",F$24=""),"",IF(COUNTIFS('AFA Rates'!$A$5:$A$1004,$A761,'AFA Rates'!$B$5:$B$1004,F$24)&gt;0,"✓",""))</f>
        <v/>
      </c>
      <c r="G761" s="57">
        <f>IF(OR($A761="",G$24=""),"",IF(COUNTIFS('AFA Rates'!$A$5:$A$1004,$A761,'AFA Rates'!$B$5:$B$1004,G$24)&gt;0,"✓",""))</f>
        <v/>
      </c>
      <c r="H761" s="57">
        <f>IF(OR($A761="",H$24=""),"",IF(COUNTIFS('AFA Rates'!$A$5:$A$1004,$A761,'AFA Rates'!$B$5:$B$1004,H$24)&gt;0,"✓",""))</f>
        <v/>
      </c>
      <c r="I761" s="57">
        <f>IF(OR($A761="",I$24=""),"",IF(COUNTIFS('AFA Rates'!$A$5:$A$1004,$A761,'AFA Rates'!$B$5:$B$1004,I$24)&gt;0,"✓",""))</f>
        <v/>
      </c>
      <c r="J761" s="57">
        <f>IF(OR($A761="",J$24=""),"",IF(COUNTIFS('AFA Rates'!$A$5:$A$1004,$A761,'AFA Rates'!$B$5:$B$1004,J$24)&gt;0,"✓",""))</f>
        <v/>
      </c>
      <c r="K761" s="57">
        <f>IF(OR($A761="",K$24=""),"",IF(COUNTIFS('AFA Rates'!$A$5:$A$1004,$A761,'AFA Rates'!$B$5:$B$1004,K$24)&gt;0,"✓",""))</f>
        <v/>
      </c>
      <c r="L761" s="57">
        <f>IF(OR($A761="",L$24=""),"",IF(COUNTIFS('AFA Rates'!$A$5:$A$1004,$A761,'AFA Rates'!$B$5:$B$1004,L$24)&gt;0,"✓",""))</f>
        <v/>
      </c>
      <c r="M761" s="57">
        <f>IF(OR($A761="",M$24=""),"",IF(COUNTIFS('AFA Rates'!$A$5:$A$1004,$A761,'AFA Rates'!$B$5:$B$1004,M$24)&gt;0,"✓",""))</f>
        <v/>
      </c>
    </row>
    <row r="762">
      <c r="A762" s="63">
        <f>IFERROR(INDEX(Firms!$A$5:$A$1004,MATCH(738,Firms!$S$5:$S$1004,0)),"")</f>
        <v/>
      </c>
      <c r="B762" s="57">
        <f>IF($A762="","",INDEX(Firms!$B$5:$B$1004,MATCH(738,Firms!$S$5:$S$1004,0)))</f>
        <v/>
      </c>
      <c r="C762" s="57">
        <f>IF($A762="","",COUNTIF('AFA Rates'!$A$5:$A$1004,$A762))</f>
        <v/>
      </c>
      <c r="D762" s="57">
        <f>IF(OR($A762="",D$24=""),"",IF(COUNTIFS('AFA Rates'!$A$5:$A$1004,$A762,'AFA Rates'!$B$5:$B$1004,D$24)&gt;0,"✓",""))</f>
        <v/>
      </c>
      <c r="E762" s="57">
        <f>IF(OR($A762="",E$24=""),"",IF(COUNTIFS('AFA Rates'!$A$5:$A$1004,$A762,'AFA Rates'!$B$5:$B$1004,E$24)&gt;0,"✓",""))</f>
        <v/>
      </c>
      <c r="F762" s="57">
        <f>IF(OR($A762="",F$24=""),"",IF(COUNTIFS('AFA Rates'!$A$5:$A$1004,$A762,'AFA Rates'!$B$5:$B$1004,F$24)&gt;0,"✓",""))</f>
        <v/>
      </c>
      <c r="G762" s="57">
        <f>IF(OR($A762="",G$24=""),"",IF(COUNTIFS('AFA Rates'!$A$5:$A$1004,$A762,'AFA Rates'!$B$5:$B$1004,G$24)&gt;0,"✓",""))</f>
        <v/>
      </c>
      <c r="H762" s="57">
        <f>IF(OR($A762="",H$24=""),"",IF(COUNTIFS('AFA Rates'!$A$5:$A$1004,$A762,'AFA Rates'!$B$5:$B$1004,H$24)&gt;0,"✓",""))</f>
        <v/>
      </c>
      <c r="I762" s="57">
        <f>IF(OR($A762="",I$24=""),"",IF(COUNTIFS('AFA Rates'!$A$5:$A$1004,$A762,'AFA Rates'!$B$5:$B$1004,I$24)&gt;0,"✓",""))</f>
        <v/>
      </c>
      <c r="J762" s="57">
        <f>IF(OR($A762="",J$24=""),"",IF(COUNTIFS('AFA Rates'!$A$5:$A$1004,$A762,'AFA Rates'!$B$5:$B$1004,J$24)&gt;0,"✓",""))</f>
        <v/>
      </c>
      <c r="K762" s="57">
        <f>IF(OR($A762="",K$24=""),"",IF(COUNTIFS('AFA Rates'!$A$5:$A$1004,$A762,'AFA Rates'!$B$5:$B$1004,K$24)&gt;0,"✓",""))</f>
        <v/>
      </c>
      <c r="L762" s="57">
        <f>IF(OR($A762="",L$24=""),"",IF(COUNTIFS('AFA Rates'!$A$5:$A$1004,$A762,'AFA Rates'!$B$5:$B$1004,L$24)&gt;0,"✓",""))</f>
        <v/>
      </c>
      <c r="M762" s="57">
        <f>IF(OR($A762="",M$24=""),"",IF(COUNTIFS('AFA Rates'!$A$5:$A$1004,$A762,'AFA Rates'!$B$5:$B$1004,M$24)&gt;0,"✓",""))</f>
        <v/>
      </c>
    </row>
    <row r="763">
      <c r="A763" s="63">
        <f>IFERROR(INDEX(Firms!$A$5:$A$1004,MATCH(739,Firms!$S$5:$S$1004,0)),"")</f>
        <v/>
      </c>
      <c r="B763" s="57">
        <f>IF($A763="","",INDEX(Firms!$B$5:$B$1004,MATCH(739,Firms!$S$5:$S$1004,0)))</f>
        <v/>
      </c>
      <c r="C763" s="57">
        <f>IF($A763="","",COUNTIF('AFA Rates'!$A$5:$A$1004,$A763))</f>
        <v/>
      </c>
      <c r="D763" s="57">
        <f>IF(OR($A763="",D$24=""),"",IF(COUNTIFS('AFA Rates'!$A$5:$A$1004,$A763,'AFA Rates'!$B$5:$B$1004,D$24)&gt;0,"✓",""))</f>
        <v/>
      </c>
      <c r="E763" s="57">
        <f>IF(OR($A763="",E$24=""),"",IF(COUNTIFS('AFA Rates'!$A$5:$A$1004,$A763,'AFA Rates'!$B$5:$B$1004,E$24)&gt;0,"✓",""))</f>
        <v/>
      </c>
      <c r="F763" s="57">
        <f>IF(OR($A763="",F$24=""),"",IF(COUNTIFS('AFA Rates'!$A$5:$A$1004,$A763,'AFA Rates'!$B$5:$B$1004,F$24)&gt;0,"✓",""))</f>
        <v/>
      </c>
      <c r="G763" s="57">
        <f>IF(OR($A763="",G$24=""),"",IF(COUNTIFS('AFA Rates'!$A$5:$A$1004,$A763,'AFA Rates'!$B$5:$B$1004,G$24)&gt;0,"✓",""))</f>
        <v/>
      </c>
      <c r="H763" s="57">
        <f>IF(OR($A763="",H$24=""),"",IF(COUNTIFS('AFA Rates'!$A$5:$A$1004,$A763,'AFA Rates'!$B$5:$B$1004,H$24)&gt;0,"✓",""))</f>
        <v/>
      </c>
      <c r="I763" s="57">
        <f>IF(OR($A763="",I$24=""),"",IF(COUNTIFS('AFA Rates'!$A$5:$A$1004,$A763,'AFA Rates'!$B$5:$B$1004,I$24)&gt;0,"✓",""))</f>
        <v/>
      </c>
      <c r="J763" s="57">
        <f>IF(OR($A763="",J$24=""),"",IF(COUNTIFS('AFA Rates'!$A$5:$A$1004,$A763,'AFA Rates'!$B$5:$B$1004,J$24)&gt;0,"✓",""))</f>
        <v/>
      </c>
      <c r="K763" s="57">
        <f>IF(OR($A763="",K$24=""),"",IF(COUNTIFS('AFA Rates'!$A$5:$A$1004,$A763,'AFA Rates'!$B$5:$B$1004,K$24)&gt;0,"✓",""))</f>
        <v/>
      </c>
      <c r="L763" s="57">
        <f>IF(OR($A763="",L$24=""),"",IF(COUNTIFS('AFA Rates'!$A$5:$A$1004,$A763,'AFA Rates'!$B$5:$B$1004,L$24)&gt;0,"✓",""))</f>
        <v/>
      </c>
      <c r="M763" s="57">
        <f>IF(OR($A763="",M$24=""),"",IF(COUNTIFS('AFA Rates'!$A$5:$A$1004,$A763,'AFA Rates'!$B$5:$B$1004,M$24)&gt;0,"✓",""))</f>
        <v/>
      </c>
    </row>
    <row r="764">
      <c r="A764" s="63">
        <f>IFERROR(INDEX(Firms!$A$5:$A$1004,MATCH(740,Firms!$S$5:$S$1004,0)),"")</f>
        <v/>
      </c>
      <c r="B764" s="57">
        <f>IF($A764="","",INDEX(Firms!$B$5:$B$1004,MATCH(740,Firms!$S$5:$S$1004,0)))</f>
        <v/>
      </c>
      <c r="C764" s="57">
        <f>IF($A764="","",COUNTIF('AFA Rates'!$A$5:$A$1004,$A764))</f>
        <v/>
      </c>
      <c r="D764" s="57">
        <f>IF(OR($A764="",D$24=""),"",IF(COUNTIFS('AFA Rates'!$A$5:$A$1004,$A764,'AFA Rates'!$B$5:$B$1004,D$24)&gt;0,"✓",""))</f>
        <v/>
      </c>
      <c r="E764" s="57">
        <f>IF(OR($A764="",E$24=""),"",IF(COUNTIFS('AFA Rates'!$A$5:$A$1004,$A764,'AFA Rates'!$B$5:$B$1004,E$24)&gt;0,"✓",""))</f>
        <v/>
      </c>
      <c r="F764" s="57">
        <f>IF(OR($A764="",F$24=""),"",IF(COUNTIFS('AFA Rates'!$A$5:$A$1004,$A764,'AFA Rates'!$B$5:$B$1004,F$24)&gt;0,"✓",""))</f>
        <v/>
      </c>
      <c r="G764" s="57">
        <f>IF(OR($A764="",G$24=""),"",IF(COUNTIFS('AFA Rates'!$A$5:$A$1004,$A764,'AFA Rates'!$B$5:$B$1004,G$24)&gt;0,"✓",""))</f>
        <v/>
      </c>
      <c r="H764" s="57">
        <f>IF(OR($A764="",H$24=""),"",IF(COUNTIFS('AFA Rates'!$A$5:$A$1004,$A764,'AFA Rates'!$B$5:$B$1004,H$24)&gt;0,"✓",""))</f>
        <v/>
      </c>
      <c r="I764" s="57">
        <f>IF(OR($A764="",I$24=""),"",IF(COUNTIFS('AFA Rates'!$A$5:$A$1004,$A764,'AFA Rates'!$B$5:$B$1004,I$24)&gt;0,"✓",""))</f>
        <v/>
      </c>
      <c r="J764" s="57">
        <f>IF(OR($A764="",J$24=""),"",IF(COUNTIFS('AFA Rates'!$A$5:$A$1004,$A764,'AFA Rates'!$B$5:$B$1004,J$24)&gt;0,"✓",""))</f>
        <v/>
      </c>
      <c r="K764" s="57">
        <f>IF(OR($A764="",K$24=""),"",IF(COUNTIFS('AFA Rates'!$A$5:$A$1004,$A764,'AFA Rates'!$B$5:$B$1004,K$24)&gt;0,"✓",""))</f>
        <v/>
      </c>
      <c r="L764" s="57">
        <f>IF(OR($A764="",L$24=""),"",IF(COUNTIFS('AFA Rates'!$A$5:$A$1004,$A764,'AFA Rates'!$B$5:$B$1004,L$24)&gt;0,"✓",""))</f>
        <v/>
      </c>
      <c r="M764" s="57">
        <f>IF(OR($A764="",M$24=""),"",IF(COUNTIFS('AFA Rates'!$A$5:$A$1004,$A764,'AFA Rates'!$B$5:$B$1004,M$24)&gt;0,"✓",""))</f>
        <v/>
      </c>
    </row>
    <row r="765">
      <c r="A765" s="63">
        <f>IFERROR(INDEX(Firms!$A$5:$A$1004,MATCH(741,Firms!$S$5:$S$1004,0)),"")</f>
        <v/>
      </c>
      <c r="B765" s="57">
        <f>IF($A765="","",INDEX(Firms!$B$5:$B$1004,MATCH(741,Firms!$S$5:$S$1004,0)))</f>
        <v/>
      </c>
      <c r="C765" s="57">
        <f>IF($A765="","",COUNTIF('AFA Rates'!$A$5:$A$1004,$A765))</f>
        <v/>
      </c>
      <c r="D765" s="57">
        <f>IF(OR($A765="",D$24=""),"",IF(COUNTIFS('AFA Rates'!$A$5:$A$1004,$A765,'AFA Rates'!$B$5:$B$1004,D$24)&gt;0,"✓",""))</f>
        <v/>
      </c>
      <c r="E765" s="57">
        <f>IF(OR($A765="",E$24=""),"",IF(COUNTIFS('AFA Rates'!$A$5:$A$1004,$A765,'AFA Rates'!$B$5:$B$1004,E$24)&gt;0,"✓",""))</f>
        <v/>
      </c>
      <c r="F765" s="57">
        <f>IF(OR($A765="",F$24=""),"",IF(COUNTIFS('AFA Rates'!$A$5:$A$1004,$A765,'AFA Rates'!$B$5:$B$1004,F$24)&gt;0,"✓",""))</f>
        <v/>
      </c>
      <c r="G765" s="57">
        <f>IF(OR($A765="",G$24=""),"",IF(COUNTIFS('AFA Rates'!$A$5:$A$1004,$A765,'AFA Rates'!$B$5:$B$1004,G$24)&gt;0,"✓",""))</f>
        <v/>
      </c>
      <c r="H765" s="57">
        <f>IF(OR($A765="",H$24=""),"",IF(COUNTIFS('AFA Rates'!$A$5:$A$1004,$A765,'AFA Rates'!$B$5:$B$1004,H$24)&gt;0,"✓",""))</f>
        <v/>
      </c>
      <c r="I765" s="57">
        <f>IF(OR($A765="",I$24=""),"",IF(COUNTIFS('AFA Rates'!$A$5:$A$1004,$A765,'AFA Rates'!$B$5:$B$1004,I$24)&gt;0,"✓",""))</f>
        <v/>
      </c>
      <c r="J765" s="57">
        <f>IF(OR($A765="",J$24=""),"",IF(COUNTIFS('AFA Rates'!$A$5:$A$1004,$A765,'AFA Rates'!$B$5:$B$1004,J$24)&gt;0,"✓",""))</f>
        <v/>
      </c>
      <c r="K765" s="57">
        <f>IF(OR($A765="",K$24=""),"",IF(COUNTIFS('AFA Rates'!$A$5:$A$1004,$A765,'AFA Rates'!$B$5:$B$1004,K$24)&gt;0,"✓",""))</f>
        <v/>
      </c>
      <c r="L765" s="57">
        <f>IF(OR($A765="",L$24=""),"",IF(COUNTIFS('AFA Rates'!$A$5:$A$1004,$A765,'AFA Rates'!$B$5:$B$1004,L$24)&gt;0,"✓",""))</f>
        <v/>
      </c>
      <c r="M765" s="57">
        <f>IF(OR($A765="",M$24=""),"",IF(COUNTIFS('AFA Rates'!$A$5:$A$1004,$A765,'AFA Rates'!$B$5:$B$1004,M$24)&gt;0,"✓",""))</f>
        <v/>
      </c>
    </row>
    <row r="766">
      <c r="A766" s="63">
        <f>IFERROR(INDEX(Firms!$A$5:$A$1004,MATCH(742,Firms!$S$5:$S$1004,0)),"")</f>
        <v/>
      </c>
      <c r="B766" s="57">
        <f>IF($A766="","",INDEX(Firms!$B$5:$B$1004,MATCH(742,Firms!$S$5:$S$1004,0)))</f>
        <v/>
      </c>
      <c r="C766" s="57">
        <f>IF($A766="","",COUNTIF('AFA Rates'!$A$5:$A$1004,$A766))</f>
        <v/>
      </c>
      <c r="D766" s="57">
        <f>IF(OR($A766="",D$24=""),"",IF(COUNTIFS('AFA Rates'!$A$5:$A$1004,$A766,'AFA Rates'!$B$5:$B$1004,D$24)&gt;0,"✓",""))</f>
        <v/>
      </c>
      <c r="E766" s="57">
        <f>IF(OR($A766="",E$24=""),"",IF(COUNTIFS('AFA Rates'!$A$5:$A$1004,$A766,'AFA Rates'!$B$5:$B$1004,E$24)&gt;0,"✓",""))</f>
        <v/>
      </c>
      <c r="F766" s="57">
        <f>IF(OR($A766="",F$24=""),"",IF(COUNTIFS('AFA Rates'!$A$5:$A$1004,$A766,'AFA Rates'!$B$5:$B$1004,F$24)&gt;0,"✓",""))</f>
        <v/>
      </c>
      <c r="G766" s="57">
        <f>IF(OR($A766="",G$24=""),"",IF(COUNTIFS('AFA Rates'!$A$5:$A$1004,$A766,'AFA Rates'!$B$5:$B$1004,G$24)&gt;0,"✓",""))</f>
        <v/>
      </c>
      <c r="H766" s="57">
        <f>IF(OR($A766="",H$24=""),"",IF(COUNTIFS('AFA Rates'!$A$5:$A$1004,$A766,'AFA Rates'!$B$5:$B$1004,H$24)&gt;0,"✓",""))</f>
        <v/>
      </c>
      <c r="I766" s="57">
        <f>IF(OR($A766="",I$24=""),"",IF(COUNTIFS('AFA Rates'!$A$5:$A$1004,$A766,'AFA Rates'!$B$5:$B$1004,I$24)&gt;0,"✓",""))</f>
        <v/>
      </c>
      <c r="J766" s="57">
        <f>IF(OR($A766="",J$24=""),"",IF(COUNTIFS('AFA Rates'!$A$5:$A$1004,$A766,'AFA Rates'!$B$5:$B$1004,J$24)&gt;0,"✓",""))</f>
        <v/>
      </c>
      <c r="K766" s="57">
        <f>IF(OR($A766="",K$24=""),"",IF(COUNTIFS('AFA Rates'!$A$5:$A$1004,$A766,'AFA Rates'!$B$5:$B$1004,K$24)&gt;0,"✓",""))</f>
        <v/>
      </c>
      <c r="L766" s="57">
        <f>IF(OR($A766="",L$24=""),"",IF(COUNTIFS('AFA Rates'!$A$5:$A$1004,$A766,'AFA Rates'!$B$5:$B$1004,L$24)&gt;0,"✓",""))</f>
        <v/>
      </c>
      <c r="M766" s="57">
        <f>IF(OR($A766="",M$24=""),"",IF(COUNTIFS('AFA Rates'!$A$5:$A$1004,$A766,'AFA Rates'!$B$5:$B$1004,M$24)&gt;0,"✓",""))</f>
        <v/>
      </c>
    </row>
    <row r="767">
      <c r="A767" s="63">
        <f>IFERROR(INDEX(Firms!$A$5:$A$1004,MATCH(743,Firms!$S$5:$S$1004,0)),"")</f>
        <v/>
      </c>
      <c r="B767" s="57">
        <f>IF($A767="","",INDEX(Firms!$B$5:$B$1004,MATCH(743,Firms!$S$5:$S$1004,0)))</f>
        <v/>
      </c>
      <c r="C767" s="57">
        <f>IF($A767="","",COUNTIF('AFA Rates'!$A$5:$A$1004,$A767))</f>
        <v/>
      </c>
      <c r="D767" s="57">
        <f>IF(OR($A767="",D$24=""),"",IF(COUNTIFS('AFA Rates'!$A$5:$A$1004,$A767,'AFA Rates'!$B$5:$B$1004,D$24)&gt;0,"✓",""))</f>
        <v/>
      </c>
      <c r="E767" s="57">
        <f>IF(OR($A767="",E$24=""),"",IF(COUNTIFS('AFA Rates'!$A$5:$A$1004,$A767,'AFA Rates'!$B$5:$B$1004,E$24)&gt;0,"✓",""))</f>
        <v/>
      </c>
      <c r="F767" s="57">
        <f>IF(OR($A767="",F$24=""),"",IF(COUNTIFS('AFA Rates'!$A$5:$A$1004,$A767,'AFA Rates'!$B$5:$B$1004,F$24)&gt;0,"✓",""))</f>
        <v/>
      </c>
      <c r="G767" s="57">
        <f>IF(OR($A767="",G$24=""),"",IF(COUNTIFS('AFA Rates'!$A$5:$A$1004,$A767,'AFA Rates'!$B$5:$B$1004,G$24)&gt;0,"✓",""))</f>
        <v/>
      </c>
      <c r="H767" s="57">
        <f>IF(OR($A767="",H$24=""),"",IF(COUNTIFS('AFA Rates'!$A$5:$A$1004,$A767,'AFA Rates'!$B$5:$B$1004,H$24)&gt;0,"✓",""))</f>
        <v/>
      </c>
      <c r="I767" s="57">
        <f>IF(OR($A767="",I$24=""),"",IF(COUNTIFS('AFA Rates'!$A$5:$A$1004,$A767,'AFA Rates'!$B$5:$B$1004,I$24)&gt;0,"✓",""))</f>
        <v/>
      </c>
      <c r="J767" s="57">
        <f>IF(OR($A767="",J$24=""),"",IF(COUNTIFS('AFA Rates'!$A$5:$A$1004,$A767,'AFA Rates'!$B$5:$B$1004,J$24)&gt;0,"✓",""))</f>
        <v/>
      </c>
      <c r="K767" s="57">
        <f>IF(OR($A767="",K$24=""),"",IF(COUNTIFS('AFA Rates'!$A$5:$A$1004,$A767,'AFA Rates'!$B$5:$B$1004,K$24)&gt;0,"✓",""))</f>
        <v/>
      </c>
      <c r="L767" s="57">
        <f>IF(OR($A767="",L$24=""),"",IF(COUNTIFS('AFA Rates'!$A$5:$A$1004,$A767,'AFA Rates'!$B$5:$B$1004,L$24)&gt;0,"✓",""))</f>
        <v/>
      </c>
      <c r="M767" s="57">
        <f>IF(OR($A767="",M$24=""),"",IF(COUNTIFS('AFA Rates'!$A$5:$A$1004,$A767,'AFA Rates'!$B$5:$B$1004,M$24)&gt;0,"✓",""))</f>
        <v/>
      </c>
    </row>
    <row r="768">
      <c r="A768" s="63">
        <f>IFERROR(INDEX(Firms!$A$5:$A$1004,MATCH(744,Firms!$S$5:$S$1004,0)),"")</f>
        <v/>
      </c>
      <c r="B768" s="57">
        <f>IF($A768="","",INDEX(Firms!$B$5:$B$1004,MATCH(744,Firms!$S$5:$S$1004,0)))</f>
        <v/>
      </c>
      <c r="C768" s="57">
        <f>IF($A768="","",COUNTIF('AFA Rates'!$A$5:$A$1004,$A768))</f>
        <v/>
      </c>
      <c r="D768" s="57">
        <f>IF(OR($A768="",D$24=""),"",IF(COUNTIFS('AFA Rates'!$A$5:$A$1004,$A768,'AFA Rates'!$B$5:$B$1004,D$24)&gt;0,"✓",""))</f>
        <v/>
      </c>
      <c r="E768" s="57">
        <f>IF(OR($A768="",E$24=""),"",IF(COUNTIFS('AFA Rates'!$A$5:$A$1004,$A768,'AFA Rates'!$B$5:$B$1004,E$24)&gt;0,"✓",""))</f>
        <v/>
      </c>
      <c r="F768" s="57">
        <f>IF(OR($A768="",F$24=""),"",IF(COUNTIFS('AFA Rates'!$A$5:$A$1004,$A768,'AFA Rates'!$B$5:$B$1004,F$24)&gt;0,"✓",""))</f>
        <v/>
      </c>
      <c r="G768" s="57">
        <f>IF(OR($A768="",G$24=""),"",IF(COUNTIFS('AFA Rates'!$A$5:$A$1004,$A768,'AFA Rates'!$B$5:$B$1004,G$24)&gt;0,"✓",""))</f>
        <v/>
      </c>
      <c r="H768" s="57">
        <f>IF(OR($A768="",H$24=""),"",IF(COUNTIFS('AFA Rates'!$A$5:$A$1004,$A768,'AFA Rates'!$B$5:$B$1004,H$24)&gt;0,"✓",""))</f>
        <v/>
      </c>
      <c r="I768" s="57">
        <f>IF(OR($A768="",I$24=""),"",IF(COUNTIFS('AFA Rates'!$A$5:$A$1004,$A768,'AFA Rates'!$B$5:$B$1004,I$24)&gt;0,"✓",""))</f>
        <v/>
      </c>
      <c r="J768" s="57">
        <f>IF(OR($A768="",J$24=""),"",IF(COUNTIFS('AFA Rates'!$A$5:$A$1004,$A768,'AFA Rates'!$B$5:$B$1004,J$24)&gt;0,"✓",""))</f>
        <v/>
      </c>
      <c r="K768" s="57">
        <f>IF(OR($A768="",K$24=""),"",IF(COUNTIFS('AFA Rates'!$A$5:$A$1004,$A768,'AFA Rates'!$B$5:$B$1004,K$24)&gt;0,"✓",""))</f>
        <v/>
      </c>
      <c r="L768" s="57">
        <f>IF(OR($A768="",L$24=""),"",IF(COUNTIFS('AFA Rates'!$A$5:$A$1004,$A768,'AFA Rates'!$B$5:$B$1004,L$24)&gt;0,"✓",""))</f>
        <v/>
      </c>
      <c r="M768" s="57">
        <f>IF(OR($A768="",M$24=""),"",IF(COUNTIFS('AFA Rates'!$A$5:$A$1004,$A768,'AFA Rates'!$B$5:$B$1004,M$24)&gt;0,"✓",""))</f>
        <v/>
      </c>
    </row>
    <row r="769">
      <c r="A769" s="63">
        <f>IFERROR(INDEX(Firms!$A$5:$A$1004,MATCH(745,Firms!$S$5:$S$1004,0)),"")</f>
        <v/>
      </c>
      <c r="B769" s="57">
        <f>IF($A769="","",INDEX(Firms!$B$5:$B$1004,MATCH(745,Firms!$S$5:$S$1004,0)))</f>
        <v/>
      </c>
      <c r="C769" s="57">
        <f>IF($A769="","",COUNTIF('AFA Rates'!$A$5:$A$1004,$A769))</f>
        <v/>
      </c>
      <c r="D769" s="57">
        <f>IF(OR($A769="",D$24=""),"",IF(COUNTIFS('AFA Rates'!$A$5:$A$1004,$A769,'AFA Rates'!$B$5:$B$1004,D$24)&gt;0,"✓",""))</f>
        <v/>
      </c>
      <c r="E769" s="57">
        <f>IF(OR($A769="",E$24=""),"",IF(COUNTIFS('AFA Rates'!$A$5:$A$1004,$A769,'AFA Rates'!$B$5:$B$1004,E$24)&gt;0,"✓",""))</f>
        <v/>
      </c>
      <c r="F769" s="57">
        <f>IF(OR($A769="",F$24=""),"",IF(COUNTIFS('AFA Rates'!$A$5:$A$1004,$A769,'AFA Rates'!$B$5:$B$1004,F$24)&gt;0,"✓",""))</f>
        <v/>
      </c>
      <c r="G769" s="57">
        <f>IF(OR($A769="",G$24=""),"",IF(COUNTIFS('AFA Rates'!$A$5:$A$1004,$A769,'AFA Rates'!$B$5:$B$1004,G$24)&gt;0,"✓",""))</f>
        <v/>
      </c>
      <c r="H769" s="57">
        <f>IF(OR($A769="",H$24=""),"",IF(COUNTIFS('AFA Rates'!$A$5:$A$1004,$A769,'AFA Rates'!$B$5:$B$1004,H$24)&gt;0,"✓",""))</f>
        <v/>
      </c>
      <c r="I769" s="57">
        <f>IF(OR($A769="",I$24=""),"",IF(COUNTIFS('AFA Rates'!$A$5:$A$1004,$A769,'AFA Rates'!$B$5:$B$1004,I$24)&gt;0,"✓",""))</f>
        <v/>
      </c>
      <c r="J769" s="57">
        <f>IF(OR($A769="",J$24=""),"",IF(COUNTIFS('AFA Rates'!$A$5:$A$1004,$A769,'AFA Rates'!$B$5:$B$1004,J$24)&gt;0,"✓",""))</f>
        <v/>
      </c>
      <c r="K769" s="57">
        <f>IF(OR($A769="",K$24=""),"",IF(COUNTIFS('AFA Rates'!$A$5:$A$1004,$A769,'AFA Rates'!$B$5:$B$1004,K$24)&gt;0,"✓",""))</f>
        <v/>
      </c>
      <c r="L769" s="57">
        <f>IF(OR($A769="",L$24=""),"",IF(COUNTIFS('AFA Rates'!$A$5:$A$1004,$A769,'AFA Rates'!$B$5:$B$1004,L$24)&gt;0,"✓",""))</f>
        <v/>
      </c>
      <c r="M769" s="57">
        <f>IF(OR($A769="",M$24=""),"",IF(COUNTIFS('AFA Rates'!$A$5:$A$1004,$A769,'AFA Rates'!$B$5:$B$1004,M$24)&gt;0,"✓",""))</f>
        <v/>
      </c>
    </row>
    <row r="770">
      <c r="A770" s="63">
        <f>IFERROR(INDEX(Firms!$A$5:$A$1004,MATCH(746,Firms!$S$5:$S$1004,0)),"")</f>
        <v/>
      </c>
      <c r="B770" s="57">
        <f>IF($A770="","",INDEX(Firms!$B$5:$B$1004,MATCH(746,Firms!$S$5:$S$1004,0)))</f>
        <v/>
      </c>
      <c r="C770" s="57">
        <f>IF($A770="","",COUNTIF('AFA Rates'!$A$5:$A$1004,$A770))</f>
        <v/>
      </c>
      <c r="D770" s="57">
        <f>IF(OR($A770="",D$24=""),"",IF(COUNTIFS('AFA Rates'!$A$5:$A$1004,$A770,'AFA Rates'!$B$5:$B$1004,D$24)&gt;0,"✓",""))</f>
        <v/>
      </c>
      <c r="E770" s="57">
        <f>IF(OR($A770="",E$24=""),"",IF(COUNTIFS('AFA Rates'!$A$5:$A$1004,$A770,'AFA Rates'!$B$5:$B$1004,E$24)&gt;0,"✓",""))</f>
        <v/>
      </c>
      <c r="F770" s="57">
        <f>IF(OR($A770="",F$24=""),"",IF(COUNTIFS('AFA Rates'!$A$5:$A$1004,$A770,'AFA Rates'!$B$5:$B$1004,F$24)&gt;0,"✓",""))</f>
        <v/>
      </c>
      <c r="G770" s="57">
        <f>IF(OR($A770="",G$24=""),"",IF(COUNTIFS('AFA Rates'!$A$5:$A$1004,$A770,'AFA Rates'!$B$5:$B$1004,G$24)&gt;0,"✓",""))</f>
        <v/>
      </c>
      <c r="H770" s="57">
        <f>IF(OR($A770="",H$24=""),"",IF(COUNTIFS('AFA Rates'!$A$5:$A$1004,$A770,'AFA Rates'!$B$5:$B$1004,H$24)&gt;0,"✓",""))</f>
        <v/>
      </c>
      <c r="I770" s="57">
        <f>IF(OR($A770="",I$24=""),"",IF(COUNTIFS('AFA Rates'!$A$5:$A$1004,$A770,'AFA Rates'!$B$5:$B$1004,I$24)&gt;0,"✓",""))</f>
        <v/>
      </c>
      <c r="J770" s="57">
        <f>IF(OR($A770="",J$24=""),"",IF(COUNTIFS('AFA Rates'!$A$5:$A$1004,$A770,'AFA Rates'!$B$5:$B$1004,J$24)&gt;0,"✓",""))</f>
        <v/>
      </c>
      <c r="K770" s="57">
        <f>IF(OR($A770="",K$24=""),"",IF(COUNTIFS('AFA Rates'!$A$5:$A$1004,$A770,'AFA Rates'!$B$5:$B$1004,K$24)&gt;0,"✓",""))</f>
        <v/>
      </c>
      <c r="L770" s="57">
        <f>IF(OR($A770="",L$24=""),"",IF(COUNTIFS('AFA Rates'!$A$5:$A$1004,$A770,'AFA Rates'!$B$5:$B$1004,L$24)&gt;0,"✓",""))</f>
        <v/>
      </c>
      <c r="M770" s="57">
        <f>IF(OR($A770="",M$24=""),"",IF(COUNTIFS('AFA Rates'!$A$5:$A$1004,$A770,'AFA Rates'!$B$5:$B$1004,M$24)&gt;0,"✓",""))</f>
        <v/>
      </c>
    </row>
    <row r="771">
      <c r="A771" s="63">
        <f>IFERROR(INDEX(Firms!$A$5:$A$1004,MATCH(747,Firms!$S$5:$S$1004,0)),"")</f>
        <v/>
      </c>
      <c r="B771" s="57">
        <f>IF($A771="","",INDEX(Firms!$B$5:$B$1004,MATCH(747,Firms!$S$5:$S$1004,0)))</f>
        <v/>
      </c>
      <c r="C771" s="57">
        <f>IF($A771="","",COUNTIF('AFA Rates'!$A$5:$A$1004,$A771))</f>
        <v/>
      </c>
      <c r="D771" s="57">
        <f>IF(OR($A771="",D$24=""),"",IF(COUNTIFS('AFA Rates'!$A$5:$A$1004,$A771,'AFA Rates'!$B$5:$B$1004,D$24)&gt;0,"✓",""))</f>
        <v/>
      </c>
      <c r="E771" s="57">
        <f>IF(OR($A771="",E$24=""),"",IF(COUNTIFS('AFA Rates'!$A$5:$A$1004,$A771,'AFA Rates'!$B$5:$B$1004,E$24)&gt;0,"✓",""))</f>
        <v/>
      </c>
      <c r="F771" s="57">
        <f>IF(OR($A771="",F$24=""),"",IF(COUNTIFS('AFA Rates'!$A$5:$A$1004,$A771,'AFA Rates'!$B$5:$B$1004,F$24)&gt;0,"✓",""))</f>
        <v/>
      </c>
      <c r="G771" s="57">
        <f>IF(OR($A771="",G$24=""),"",IF(COUNTIFS('AFA Rates'!$A$5:$A$1004,$A771,'AFA Rates'!$B$5:$B$1004,G$24)&gt;0,"✓",""))</f>
        <v/>
      </c>
      <c r="H771" s="57">
        <f>IF(OR($A771="",H$24=""),"",IF(COUNTIFS('AFA Rates'!$A$5:$A$1004,$A771,'AFA Rates'!$B$5:$B$1004,H$24)&gt;0,"✓",""))</f>
        <v/>
      </c>
      <c r="I771" s="57">
        <f>IF(OR($A771="",I$24=""),"",IF(COUNTIFS('AFA Rates'!$A$5:$A$1004,$A771,'AFA Rates'!$B$5:$B$1004,I$24)&gt;0,"✓",""))</f>
        <v/>
      </c>
      <c r="J771" s="57">
        <f>IF(OR($A771="",J$24=""),"",IF(COUNTIFS('AFA Rates'!$A$5:$A$1004,$A771,'AFA Rates'!$B$5:$B$1004,J$24)&gt;0,"✓",""))</f>
        <v/>
      </c>
      <c r="K771" s="57">
        <f>IF(OR($A771="",K$24=""),"",IF(COUNTIFS('AFA Rates'!$A$5:$A$1004,$A771,'AFA Rates'!$B$5:$B$1004,K$24)&gt;0,"✓",""))</f>
        <v/>
      </c>
      <c r="L771" s="57">
        <f>IF(OR($A771="",L$24=""),"",IF(COUNTIFS('AFA Rates'!$A$5:$A$1004,$A771,'AFA Rates'!$B$5:$B$1004,L$24)&gt;0,"✓",""))</f>
        <v/>
      </c>
      <c r="M771" s="57">
        <f>IF(OR($A771="",M$24=""),"",IF(COUNTIFS('AFA Rates'!$A$5:$A$1004,$A771,'AFA Rates'!$B$5:$B$1004,M$24)&gt;0,"✓",""))</f>
        <v/>
      </c>
    </row>
    <row r="772">
      <c r="A772" s="63">
        <f>IFERROR(INDEX(Firms!$A$5:$A$1004,MATCH(748,Firms!$S$5:$S$1004,0)),"")</f>
        <v/>
      </c>
      <c r="B772" s="57">
        <f>IF($A772="","",INDEX(Firms!$B$5:$B$1004,MATCH(748,Firms!$S$5:$S$1004,0)))</f>
        <v/>
      </c>
      <c r="C772" s="57">
        <f>IF($A772="","",COUNTIF('AFA Rates'!$A$5:$A$1004,$A772))</f>
        <v/>
      </c>
      <c r="D772" s="57">
        <f>IF(OR($A772="",D$24=""),"",IF(COUNTIFS('AFA Rates'!$A$5:$A$1004,$A772,'AFA Rates'!$B$5:$B$1004,D$24)&gt;0,"✓",""))</f>
        <v/>
      </c>
      <c r="E772" s="57">
        <f>IF(OR($A772="",E$24=""),"",IF(COUNTIFS('AFA Rates'!$A$5:$A$1004,$A772,'AFA Rates'!$B$5:$B$1004,E$24)&gt;0,"✓",""))</f>
        <v/>
      </c>
      <c r="F772" s="57">
        <f>IF(OR($A772="",F$24=""),"",IF(COUNTIFS('AFA Rates'!$A$5:$A$1004,$A772,'AFA Rates'!$B$5:$B$1004,F$24)&gt;0,"✓",""))</f>
        <v/>
      </c>
      <c r="G772" s="57">
        <f>IF(OR($A772="",G$24=""),"",IF(COUNTIFS('AFA Rates'!$A$5:$A$1004,$A772,'AFA Rates'!$B$5:$B$1004,G$24)&gt;0,"✓",""))</f>
        <v/>
      </c>
      <c r="H772" s="57">
        <f>IF(OR($A772="",H$24=""),"",IF(COUNTIFS('AFA Rates'!$A$5:$A$1004,$A772,'AFA Rates'!$B$5:$B$1004,H$24)&gt;0,"✓",""))</f>
        <v/>
      </c>
      <c r="I772" s="57">
        <f>IF(OR($A772="",I$24=""),"",IF(COUNTIFS('AFA Rates'!$A$5:$A$1004,$A772,'AFA Rates'!$B$5:$B$1004,I$24)&gt;0,"✓",""))</f>
        <v/>
      </c>
      <c r="J772" s="57">
        <f>IF(OR($A772="",J$24=""),"",IF(COUNTIFS('AFA Rates'!$A$5:$A$1004,$A772,'AFA Rates'!$B$5:$B$1004,J$24)&gt;0,"✓",""))</f>
        <v/>
      </c>
      <c r="K772" s="57">
        <f>IF(OR($A772="",K$24=""),"",IF(COUNTIFS('AFA Rates'!$A$5:$A$1004,$A772,'AFA Rates'!$B$5:$B$1004,K$24)&gt;0,"✓",""))</f>
        <v/>
      </c>
      <c r="L772" s="57">
        <f>IF(OR($A772="",L$24=""),"",IF(COUNTIFS('AFA Rates'!$A$5:$A$1004,$A772,'AFA Rates'!$B$5:$B$1004,L$24)&gt;0,"✓",""))</f>
        <v/>
      </c>
      <c r="M772" s="57">
        <f>IF(OR($A772="",M$24=""),"",IF(COUNTIFS('AFA Rates'!$A$5:$A$1004,$A772,'AFA Rates'!$B$5:$B$1004,M$24)&gt;0,"✓",""))</f>
        <v/>
      </c>
    </row>
    <row r="773">
      <c r="A773" s="63">
        <f>IFERROR(INDEX(Firms!$A$5:$A$1004,MATCH(749,Firms!$S$5:$S$1004,0)),"")</f>
        <v/>
      </c>
      <c r="B773" s="57">
        <f>IF($A773="","",INDEX(Firms!$B$5:$B$1004,MATCH(749,Firms!$S$5:$S$1004,0)))</f>
        <v/>
      </c>
      <c r="C773" s="57">
        <f>IF($A773="","",COUNTIF('AFA Rates'!$A$5:$A$1004,$A773))</f>
        <v/>
      </c>
      <c r="D773" s="57">
        <f>IF(OR($A773="",D$24=""),"",IF(COUNTIFS('AFA Rates'!$A$5:$A$1004,$A773,'AFA Rates'!$B$5:$B$1004,D$24)&gt;0,"✓",""))</f>
        <v/>
      </c>
      <c r="E773" s="57">
        <f>IF(OR($A773="",E$24=""),"",IF(COUNTIFS('AFA Rates'!$A$5:$A$1004,$A773,'AFA Rates'!$B$5:$B$1004,E$24)&gt;0,"✓",""))</f>
        <v/>
      </c>
      <c r="F773" s="57">
        <f>IF(OR($A773="",F$24=""),"",IF(COUNTIFS('AFA Rates'!$A$5:$A$1004,$A773,'AFA Rates'!$B$5:$B$1004,F$24)&gt;0,"✓",""))</f>
        <v/>
      </c>
      <c r="G773" s="57">
        <f>IF(OR($A773="",G$24=""),"",IF(COUNTIFS('AFA Rates'!$A$5:$A$1004,$A773,'AFA Rates'!$B$5:$B$1004,G$24)&gt;0,"✓",""))</f>
        <v/>
      </c>
      <c r="H773" s="57">
        <f>IF(OR($A773="",H$24=""),"",IF(COUNTIFS('AFA Rates'!$A$5:$A$1004,$A773,'AFA Rates'!$B$5:$B$1004,H$24)&gt;0,"✓",""))</f>
        <v/>
      </c>
      <c r="I773" s="57">
        <f>IF(OR($A773="",I$24=""),"",IF(COUNTIFS('AFA Rates'!$A$5:$A$1004,$A773,'AFA Rates'!$B$5:$B$1004,I$24)&gt;0,"✓",""))</f>
        <v/>
      </c>
      <c r="J773" s="57">
        <f>IF(OR($A773="",J$24=""),"",IF(COUNTIFS('AFA Rates'!$A$5:$A$1004,$A773,'AFA Rates'!$B$5:$B$1004,J$24)&gt;0,"✓",""))</f>
        <v/>
      </c>
      <c r="K773" s="57">
        <f>IF(OR($A773="",K$24=""),"",IF(COUNTIFS('AFA Rates'!$A$5:$A$1004,$A773,'AFA Rates'!$B$5:$B$1004,K$24)&gt;0,"✓",""))</f>
        <v/>
      </c>
      <c r="L773" s="57">
        <f>IF(OR($A773="",L$24=""),"",IF(COUNTIFS('AFA Rates'!$A$5:$A$1004,$A773,'AFA Rates'!$B$5:$B$1004,L$24)&gt;0,"✓",""))</f>
        <v/>
      </c>
      <c r="M773" s="57">
        <f>IF(OR($A773="",M$24=""),"",IF(COUNTIFS('AFA Rates'!$A$5:$A$1004,$A773,'AFA Rates'!$B$5:$B$1004,M$24)&gt;0,"✓",""))</f>
        <v/>
      </c>
    </row>
    <row r="774">
      <c r="A774" s="63">
        <f>IFERROR(INDEX(Firms!$A$5:$A$1004,MATCH(750,Firms!$S$5:$S$1004,0)),"")</f>
        <v/>
      </c>
      <c r="B774" s="57">
        <f>IF($A774="","",INDEX(Firms!$B$5:$B$1004,MATCH(750,Firms!$S$5:$S$1004,0)))</f>
        <v/>
      </c>
      <c r="C774" s="57">
        <f>IF($A774="","",COUNTIF('AFA Rates'!$A$5:$A$1004,$A774))</f>
        <v/>
      </c>
      <c r="D774" s="57">
        <f>IF(OR($A774="",D$24=""),"",IF(COUNTIFS('AFA Rates'!$A$5:$A$1004,$A774,'AFA Rates'!$B$5:$B$1004,D$24)&gt;0,"✓",""))</f>
        <v/>
      </c>
      <c r="E774" s="57">
        <f>IF(OR($A774="",E$24=""),"",IF(COUNTIFS('AFA Rates'!$A$5:$A$1004,$A774,'AFA Rates'!$B$5:$B$1004,E$24)&gt;0,"✓",""))</f>
        <v/>
      </c>
      <c r="F774" s="57">
        <f>IF(OR($A774="",F$24=""),"",IF(COUNTIFS('AFA Rates'!$A$5:$A$1004,$A774,'AFA Rates'!$B$5:$B$1004,F$24)&gt;0,"✓",""))</f>
        <v/>
      </c>
      <c r="G774" s="57">
        <f>IF(OR($A774="",G$24=""),"",IF(COUNTIFS('AFA Rates'!$A$5:$A$1004,$A774,'AFA Rates'!$B$5:$B$1004,G$24)&gt;0,"✓",""))</f>
        <v/>
      </c>
      <c r="H774" s="57">
        <f>IF(OR($A774="",H$24=""),"",IF(COUNTIFS('AFA Rates'!$A$5:$A$1004,$A774,'AFA Rates'!$B$5:$B$1004,H$24)&gt;0,"✓",""))</f>
        <v/>
      </c>
      <c r="I774" s="57">
        <f>IF(OR($A774="",I$24=""),"",IF(COUNTIFS('AFA Rates'!$A$5:$A$1004,$A774,'AFA Rates'!$B$5:$B$1004,I$24)&gt;0,"✓",""))</f>
        <v/>
      </c>
      <c r="J774" s="57">
        <f>IF(OR($A774="",J$24=""),"",IF(COUNTIFS('AFA Rates'!$A$5:$A$1004,$A774,'AFA Rates'!$B$5:$B$1004,J$24)&gt;0,"✓",""))</f>
        <v/>
      </c>
      <c r="K774" s="57">
        <f>IF(OR($A774="",K$24=""),"",IF(COUNTIFS('AFA Rates'!$A$5:$A$1004,$A774,'AFA Rates'!$B$5:$B$1004,K$24)&gt;0,"✓",""))</f>
        <v/>
      </c>
      <c r="L774" s="57">
        <f>IF(OR($A774="",L$24=""),"",IF(COUNTIFS('AFA Rates'!$A$5:$A$1004,$A774,'AFA Rates'!$B$5:$B$1004,L$24)&gt;0,"✓",""))</f>
        <v/>
      </c>
      <c r="M774" s="57">
        <f>IF(OR($A774="",M$24=""),"",IF(COUNTIFS('AFA Rates'!$A$5:$A$1004,$A774,'AFA Rates'!$B$5:$B$1004,M$24)&gt;0,"✓",""))</f>
        <v/>
      </c>
    </row>
    <row r="775">
      <c r="A775" s="63">
        <f>IFERROR(INDEX(Firms!$A$5:$A$1004,MATCH(751,Firms!$S$5:$S$1004,0)),"")</f>
        <v/>
      </c>
      <c r="B775" s="57">
        <f>IF($A775="","",INDEX(Firms!$B$5:$B$1004,MATCH(751,Firms!$S$5:$S$1004,0)))</f>
        <v/>
      </c>
      <c r="C775" s="57">
        <f>IF($A775="","",COUNTIF('AFA Rates'!$A$5:$A$1004,$A775))</f>
        <v/>
      </c>
      <c r="D775" s="57">
        <f>IF(OR($A775="",D$24=""),"",IF(COUNTIFS('AFA Rates'!$A$5:$A$1004,$A775,'AFA Rates'!$B$5:$B$1004,D$24)&gt;0,"✓",""))</f>
        <v/>
      </c>
      <c r="E775" s="57">
        <f>IF(OR($A775="",E$24=""),"",IF(COUNTIFS('AFA Rates'!$A$5:$A$1004,$A775,'AFA Rates'!$B$5:$B$1004,E$24)&gt;0,"✓",""))</f>
        <v/>
      </c>
      <c r="F775" s="57">
        <f>IF(OR($A775="",F$24=""),"",IF(COUNTIFS('AFA Rates'!$A$5:$A$1004,$A775,'AFA Rates'!$B$5:$B$1004,F$24)&gt;0,"✓",""))</f>
        <v/>
      </c>
      <c r="G775" s="57">
        <f>IF(OR($A775="",G$24=""),"",IF(COUNTIFS('AFA Rates'!$A$5:$A$1004,$A775,'AFA Rates'!$B$5:$B$1004,G$24)&gt;0,"✓",""))</f>
        <v/>
      </c>
      <c r="H775" s="57">
        <f>IF(OR($A775="",H$24=""),"",IF(COUNTIFS('AFA Rates'!$A$5:$A$1004,$A775,'AFA Rates'!$B$5:$B$1004,H$24)&gt;0,"✓",""))</f>
        <v/>
      </c>
      <c r="I775" s="57">
        <f>IF(OR($A775="",I$24=""),"",IF(COUNTIFS('AFA Rates'!$A$5:$A$1004,$A775,'AFA Rates'!$B$5:$B$1004,I$24)&gt;0,"✓",""))</f>
        <v/>
      </c>
      <c r="J775" s="57">
        <f>IF(OR($A775="",J$24=""),"",IF(COUNTIFS('AFA Rates'!$A$5:$A$1004,$A775,'AFA Rates'!$B$5:$B$1004,J$24)&gt;0,"✓",""))</f>
        <v/>
      </c>
      <c r="K775" s="57">
        <f>IF(OR($A775="",K$24=""),"",IF(COUNTIFS('AFA Rates'!$A$5:$A$1004,$A775,'AFA Rates'!$B$5:$B$1004,K$24)&gt;0,"✓",""))</f>
        <v/>
      </c>
      <c r="L775" s="57">
        <f>IF(OR($A775="",L$24=""),"",IF(COUNTIFS('AFA Rates'!$A$5:$A$1004,$A775,'AFA Rates'!$B$5:$B$1004,L$24)&gt;0,"✓",""))</f>
        <v/>
      </c>
      <c r="M775" s="57">
        <f>IF(OR($A775="",M$24=""),"",IF(COUNTIFS('AFA Rates'!$A$5:$A$1004,$A775,'AFA Rates'!$B$5:$B$1004,M$24)&gt;0,"✓",""))</f>
        <v/>
      </c>
    </row>
    <row r="776">
      <c r="A776" s="63">
        <f>IFERROR(INDEX(Firms!$A$5:$A$1004,MATCH(752,Firms!$S$5:$S$1004,0)),"")</f>
        <v/>
      </c>
      <c r="B776" s="57">
        <f>IF($A776="","",INDEX(Firms!$B$5:$B$1004,MATCH(752,Firms!$S$5:$S$1004,0)))</f>
        <v/>
      </c>
      <c r="C776" s="57">
        <f>IF($A776="","",COUNTIF('AFA Rates'!$A$5:$A$1004,$A776))</f>
        <v/>
      </c>
      <c r="D776" s="57">
        <f>IF(OR($A776="",D$24=""),"",IF(COUNTIFS('AFA Rates'!$A$5:$A$1004,$A776,'AFA Rates'!$B$5:$B$1004,D$24)&gt;0,"✓",""))</f>
        <v/>
      </c>
      <c r="E776" s="57">
        <f>IF(OR($A776="",E$24=""),"",IF(COUNTIFS('AFA Rates'!$A$5:$A$1004,$A776,'AFA Rates'!$B$5:$B$1004,E$24)&gt;0,"✓",""))</f>
        <v/>
      </c>
      <c r="F776" s="57">
        <f>IF(OR($A776="",F$24=""),"",IF(COUNTIFS('AFA Rates'!$A$5:$A$1004,$A776,'AFA Rates'!$B$5:$B$1004,F$24)&gt;0,"✓",""))</f>
        <v/>
      </c>
      <c r="G776" s="57">
        <f>IF(OR($A776="",G$24=""),"",IF(COUNTIFS('AFA Rates'!$A$5:$A$1004,$A776,'AFA Rates'!$B$5:$B$1004,G$24)&gt;0,"✓",""))</f>
        <v/>
      </c>
      <c r="H776" s="57">
        <f>IF(OR($A776="",H$24=""),"",IF(COUNTIFS('AFA Rates'!$A$5:$A$1004,$A776,'AFA Rates'!$B$5:$B$1004,H$24)&gt;0,"✓",""))</f>
        <v/>
      </c>
      <c r="I776" s="57">
        <f>IF(OR($A776="",I$24=""),"",IF(COUNTIFS('AFA Rates'!$A$5:$A$1004,$A776,'AFA Rates'!$B$5:$B$1004,I$24)&gt;0,"✓",""))</f>
        <v/>
      </c>
      <c r="J776" s="57">
        <f>IF(OR($A776="",J$24=""),"",IF(COUNTIFS('AFA Rates'!$A$5:$A$1004,$A776,'AFA Rates'!$B$5:$B$1004,J$24)&gt;0,"✓",""))</f>
        <v/>
      </c>
      <c r="K776" s="57">
        <f>IF(OR($A776="",K$24=""),"",IF(COUNTIFS('AFA Rates'!$A$5:$A$1004,$A776,'AFA Rates'!$B$5:$B$1004,K$24)&gt;0,"✓",""))</f>
        <v/>
      </c>
      <c r="L776" s="57">
        <f>IF(OR($A776="",L$24=""),"",IF(COUNTIFS('AFA Rates'!$A$5:$A$1004,$A776,'AFA Rates'!$B$5:$B$1004,L$24)&gt;0,"✓",""))</f>
        <v/>
      </c>
      <c r="M776" s="57">
        <f>IF(OR($A776="",M$24=""),"",IF(COUNTIFS('AFA Rates'!$A$5:$A$1004,$A776,'AFA Rates'!$B$5:$B$1004,M$24)&gt;0,"✓",""))</f>
        <v/>
      </c>
    </row>
    <row r="777">
      <c r="A777" s="63">
        <f>IFERROR(INDEX(Firms!$A$5:$A$1004,MATCH(753,Firms!$S$5:$S$1004,0)),"")</f>
        <v/>
      </c>
      <c r="B777" s="57">
        <f>IF($A777="","",INDEX(Firms!$B$5:$B$1004,MATCH(753,Firms!$S$5:$S$1004,0)))</f>
        <v/>
      </c>
      <c r="C777" s="57">
        <f>IF($A777="","",COUNTIF('AFA Rates'!$A$5:$A$1004,$A777))</f>
        <v/>
      </c>
      <c r="D777" s="57">
        <f>IF(OR($A777="",D$24=""),"",IF(COUNTIFS('AFA Rates'!$A$5:$A$1004,$A777,'AFA Rates'!$B$5:$B$1004,D$24)&gt;0,"✓",""))</f>
        <v/>
      </c>
      <c r="E777" s="57">
        <f>IF(OR($A777="",E$24=""),"",IF(COUNTIFS('AFA Rates'!$A$5:$A$1004,$A777,'AFA Rates'!$B$5:$B$1004,E$24)&gt;0,"✓",""))</f>
        <v/>
      </c>
      <c r="F777" s="57">
        <f>IF(OR($A777="",F$24=""),"",IF(COUNTIFS('AFA Rates'!$A$5:$A$1004,$A777,'AFA Rates'!$B$5:$B$1004,F$24)&gt;0,"✓",""))</f>
        <v/>
      </c>
      <c r="G777" s="57">
        <f>IF(OR($A777="",G$24=""),"",IF(COUNTIFS('AFA Rates'!$A$5:$A$1004,$A777,'AFA Rates'!$B$5:$B$1004,G$24)&gt;0,"✓",""))</f>
        <v/>
      </c>
      <c r="H777" s="57">
        <f>IF(OR($A777="",H$24=""),"",IF(COUNTIFS('AFA Rates'!$A$5:$A$1004,$A777,'AFA Rates'!$B$5:$B$1004,H$24)&gt;0,"✓",""))</f>
        <v/>
      </c>
      <c r="I777" s="57">
        <f>IF(OR($A777="",I$24=""),"",IF(COUNTIFS('AFA Rates'!$A$5:$A$1004,$A777,'AFA Rates'!$B$5:$B$1004,I$24)&gt;0,"✓",""))</f>
        <v/>
      </c>
      <c r="J777" s="57">
        <f>IF(OR($A777="",J$24=""),"",IF(COUNTIFS('AFA Rates'!$A$5:$A$1004,$A777,'AFA Rates'!$B$5:$B$1004,J$24)&gt;0,"✓",""))</f>
        <v/>
      </c>
      <c r="K777" s="57">
        <f>IF(OR($A777="",K$24=""),"",IF(COUNTIFS('AFA Rates'!$A$5:$A$1004,$A777,'AFA Rates'!$B$5:$B$1004,K$24)&gt;0,"✓",""))</f>
        <v/>
      </c>
      <c r="L777" s="57">
        <f>IF(OR($A777="",L$24=""),"",IF(COUNTIFS('AFA Rates'!$A$5:$A$1004,$A777,'AFA Rates'!$B$5:$B$1004,L$24)&gt;0,"✓",""))</f>
        <v/>
      </c>
      <c r="M777" s="57">
        <f>IF(OR($A777="",M$24=""),"",IF(COUNTIFS('AFA Rates'!$A$5:$A$1004,$A777,'AFA Rates'!$B$5:$B$1004,M$24)&gt;0,"✓",""))</f>
        <v/>
      </c>
    </row>
    <row r="778">
      <c r="A778" s="63">
        <f>IFERROR(INDEX(Firms!$A$5:$A$1004,MATCH(754,Firms!$S$5:$S$1004,0)),"")</f>
        <v/>
      </c>
      <c r="B778" s="57">
        <f>IF($A778="","",INDEX(Firms!$B$5:$B$1004,MATCH(754,Firms!$S$5:$S$1004,0)))</f>
        <v/>
      </c>
      <c r="C778" s="57">
        <f>IF($A778="","",COUNTIF('AFA Rates'!$A$5:$A$1004,$A778))</f>
        <v/>
      </c>
      <c r="D778" s="57">
        <f>IF(OR($A778="",D$24=""),"",IF(COUNTIFS('AFA Rates'!$A$5:$A$1004,$A778,'AFA Rates'!$B$5:$B$1004,D$24)&gt;0,"✓",""))</f>
        <v/>
      </c>
      <c r="E778" s="57">
        <f>IF(OR($A778="",E$24=""),"",IF(COUNTIFS('AFA Rates'!$A$5:$A$1004,$A778,'AFA Rates'!$B$5:$B$1004,E$24)&gt;0,"✓",""))</f>
        <v/>
      </c>
      <c r="F778" s="57">
        <f>IF(OR($A778="",F$24=""),"",IF(COUNTIFS('AFA Rates'!$A$5:$A$1004,$A778,'AFA Rates'!$B$5:$B$1004,F$24)&gt;0,"✓",""))</f>
        <v/>
      </c>
      <c r="G778" s="57">
        <f>IF(OR($A778="",G$24=""),"",IF(COUNTIFS('AFA Rates'!$A$5:$A$1004,$A778,'AFA Rates'!$B$5:$B$1004,G$24)&gt;0,"✓",""))</f>
        <v/>
      </c>
      <c r="H778" s="57">
        <f>IF(OR($A778="",H$24=""),"",IF(COUNTIFS('AFA Rates'!$A$5:$A$1004,$A778,'AFA Rates'!$B$5:$B$1004,H$24)&gt;0,"✓",""))</f>
        <v/>
      </c>
      <c r="I778" s="57">
        <f>IF(OR($A778="",I$24=""),"",IF(COUNTIFS('AFA Rates'!$A$5:$A$1004,$A778,'AFA Rates'!$B$5:$B$1004,I$24)&gt;0,"✓",""))</f>
        <v/>
      </c>
      <c r="J778" s="57">
        <f>IF(OR($A778="",J$24=""),"",IF(COUNTIFS('AFA Rates'!$A$5:$A$1004,$A778,'AFA Rates'!$B$5:$B$1004,J$24)&gt;0,"✓",""))</f>
        <v/>
      </c>
      <c r="K778" s="57">
        <f>IF(OR($A778="",K$24=""),"",IF(COUNTIFS('AFA Rates'!$A$5:$A$1004,$A778,'AFA Rates'!$B$5:$B$1004,K$24)&gt;0,"✓",""))</f>
        <v/>
      </c>
      <c r="L778" s="57">
        <f>IF(OR($A778="",L$24=""),"",IF(COUNTIFS('AFA Rates'!$A$5:$A$1004,$A778,'AFA Rates'!$B$5:$B$1004,L$24)&gt;0,"✓",""))</f>
        <v/>
      </c>
      <c r="M778" s="57">
        <f>IF(OR($A778="",M$24=""),"",IF(COUNTIFS('AFA Rates'!$A$5:$A$1004,$A778,'AFA Rates'!$B$5:$B$1004,M$24)&gt;0,"✓",""))</f>
        <v/>
      </c>
    </row>
    <row r="779">
      <c r="A779" s="63">
        <f>IFERROR(INDEX(Firms!$A$5:$A$1004,MATCH(755,Firms!$S$5:$S$1004,0)),"")</f>
        <v/>
      </c>
      <c r="B779" s="57">
        <f>IF($A779="","",INDEX(Firms!$B$5:$B$1004,MATCH(755,Firms!$S$5:$S$1004,0)))</f>
        <v/>
      </c>
      <c r="C779" s="57">
        <f>IF($A779="","",COUNTIF('AFA Rates'!$A$5:$A$1004,$A779))</f>
        <v/>
      </c>
      <c r="D779" s="57">
        <f>IF(OR($A779="",D$24=""),"",IF(COUNTIFS('AFA Rates'!$A$5:$A$1004,$A779,'AFA Rates'!$B$5:$B$1004,D$24)&gt;0,"✓",""))</f>
        <v/>
      </c>
      <c r="E779" s="57">
        <f>IF(OR($A779="",E$24=""),"",IF(COUNTIFS('AFA Rates'!$A$5:$A$1004,$A779,'AFA Rates'!$B$5:$B$1004,E$24)&gt;0,"✓",""))</f>
        <v/>
      </c>
      <c r="F779" s="57">
        <f>IF(OR($A779="",F$24=""),"",IF(COUNTIFS('AFA Rates'!$A$5:$A$1004,$A779,'AFA Rates'!$B$5:$B$1004,F$24)&gt;0,"✓",""))</f>
        <v/>
      </c>
      <c r="G779" s="57">
        <f>IF(OR($A779="",G$24=""),"",IF(COUNTIFS('AFA Rates'!$A$5:$A$1004,$A779,'AFA Rates'!$B$5:$B$1004,G$24)&gt;0,"✓",""))</f>
        <v/>
      </c>
      <c r="H779" s="57">
        <f>IF(OR($A779="",H$24=""),"",IF(COUNTIFS('AFA Rates'!$A$5:$A$1004,$A779,'AFA Rates'!$B$5:$B$1004,H$24)&gt;0,"✓",""))</f>
        <v/>
      </c>
      <c r="I779" s="57">
        <f>IF(OR($A779="",I$24=""),"",IF(COUNTIFS('AFA Rates'!$A$5:$A$1004,$A779,'AFA Rates'!$B$5:$B$1004,I$24)&gt;0,"✓",""))</f>
        <v/>
      </c>
      <c r="J779" s="57">
        <f>IF(OR($A779="",J$24=""),"",IF(COUNTIFS('AFA Rates'!$A$5:$A$1004,$A779,'AFA Rates'!$B$5:$B$1004,J$24)&gt;0,"✓",""))</f>
        <v/>
      </c>
      <c r="K779" s="57">
        <f>IF(OR($A779="",K$24=""),"",IF(COUNTIFS('AFA Rates'!$A$5:$A$1004,$A779,'AFA Rates'!$B$5:$B$1004,K$24)&gt;0,"✓",""))</f>
        <v/>
      </c>
      <c r="L779" s="57">
        <f>IF(OR($A779="",L$24=""),"",IF(COUNTIFS('AFA Rates'!$A$5:$A$1004,$A779,'AFA Rates'!$B$5:$B$1004,L$24)&gt;0,"✓",""))</f>
        <v/>
      </c>
      <c r="M779" s="57">
        <f>IF(OR($A779="",M$24=""),"",IF(COUNTIFS('AFA Rates'!$A$5:$A$1004,$A779,'AFA Rates'!$B$5:$B$1004,M$24)&gt;0,"✓",""))</f>
        <v/>
      </c>
    </row>
    <row r="780">
      <c r="A780" s="63">
        <f>IFERROR(INDEX(Firms!$A$5:$A$1004,MATCH(756,Firms!$S$5:$S$1004,0)),"")</f>
        <v/>
      </c>
      <c r="B780" s="57">
        <f>IF($A780="","",INDEX(Firms!$B$5:$B$1004,MATCH(756,Firms!$S$5:$S$1004,0)))</f>
        <v/>
      </c>
      <c r="C780" s="57">
        <f>IF($A780="","",COUNTIF('AFA Rates'!$A$5:$A$1004,$A780))</f>
        <v/>
      </c>
      <c r="D780" s="57">
        <f>IF(OR($A780="",D$24=""),"",IF(COUNTIFS('AFA Rates'!$A$5:$A$1004,$A780,'AFA Rates'!$B$5:$B$1004,D$24)&gt;0,"✓",""))</f>
        <v/>
      </c>
      <c r="E780" s="57">
        <f>IF(OR($A780="",E$24=""),"",IF(COUNTIFS('AFA Rates'!$A$5:$A$1004,$A780,'AFA Rates'!$B$5:$B$1004,E$24)&gt;0,"✓",""))</f>
        <v/>
      </c>
      <c r="F780" s="57">
        <f>IF(OR($A780="",F$24=""),"",IF(COUNTIFS('AFA Rates'!$A$5:$A$1004,$A780,'AFA Rates'!$B$5:$B$1004,F$24)&gt;0,"✓",""))</f>
        <v/>
      </c>
      <c r="G780" s="57">
        <f>IF(OR($A780="",G$24=""),"",IF(COUNTIFS('AFA Rates'!$A$5:$A$1004,$A780,'AFA Rates'!$B$5:$B$1004,G$24)&gt;0,"✓",""))</f>
        <v/>
      </c>
      <c r="H780" s="57">
        <f>IF(OR($A780="",H$24=""),"",IF(COUNTIFS('AFA Rates'!$A$5:$A$1004,$A780,'AFA Rates'!$B$5:$B$1004,H$24)&gt;0,"✓",""))</f>
        <v/>
      </c>
      <c r="I780" s="57">
        <f>IF(OR($A780="",I$24=""),"",IF(COUNTIFS('AFA Rates'!$A$5:$A$1004,$A780,'AFA Rates'!$B$5:$B$1004,I$24)&gt;0,"✓",""))</f>
        <v/>
      </c>
      <c r="J780" s="57">
        <f>IF(OR($A780="",J$24=""),"",IF(COUNTIFS('AFA Rates'!$A$5:$A$1004,$A780,'AFA Rates'!$B$5:$B$1004,J$24)&gt;0,"✓",""))</f>
        <v/>
      </c>
      <c r="K780" s="57">
        <f>IF(OR($A780="",K$24=""),"",IF(COUNTIFS('AFA Rates'!$A$5:$A$1004,$A780,'AFA Rates'!$B$5:$B$1004,K$24)&gt;0,"✓",""))</f>
        <v/>
      </c>
      <c r="L780" s="57">
        <f>IF(OR($A780="",L$24=""),"",IF(COUNTIFS('AFA Rates'!$A$5:$A$1004,$A780,'AFA Rates'!$B$5:$B$1004,L$24)&gt;0,"✓",""))</f>
        <v/>
      </c>
      <c r="M780" s="57">
        <f>IF(OR($A780="",M$24=""),"",IF(COUNTIFS('AFA Rates'!$A$5:$A$1004,$A780,'AFA Rates'!$B$5:$B$1004,M$24)&gt;0,"✓",""))</f>
        <v/>
      </c>
    </row>
    <row r="781">
      <c r="A781" s="63">
        <f>IFERROR(INDEX(Firms!$A$5:$A$1004,MATCH(757,Firms!$S$5:$S$1004,0)),"")</f>
        <v/>
      </c>
      <c r="B781" s="57">
        <f>IF($A781="","",INDEX(Firms!$B$5:$B$1004,MATCH(757,Firms!$S$5:$S$1004,0)))</f>
        <v/>
      </c>
      <c r="C781" s="57">
        <f>IF($A781="","",COUNTIF('AFA Rates'!$A$5:$A$1004,$A781))</f>
        <v/>
      </c>
      <c r="D781" s="57">
        <f>IF(OR($A781="",D$24=""),"",IF(COUNTIFS('AFA Rates'!$A$5:$A$1004,$A781,'AFA Rates'!$B$5:$B$1004,D$24)&gt;0,"✓",""))</f>
        <v/>
      </c>
      <c r="E781" s="57">
        <f>IF(OR($A781="",E$24=""),"",IF(COUNTIFS('AFA Rates'!$A$5:$A$1004,$A781,'AFA Rates'!$B$5:$B$1004,E$24)&gt;0,"✓",""))</f>
        <v/>
      </c>
      <c r="F781" s="57">
        <f>IF(OR($A781="",F$24=""),"",IF(COUNTIFS('AFA Rates'!$A$5:$A$1004,$A781,'AFA Rates'!$B$5:$B$1004,F$24)&gt;0,"✓",""))</f>
        <v/>
      </c>
      <c r="G781" s="57">
        <f>IF(OR($A781="",G$24=""),"",IF(COUNTIFS('AFA Rates'!$A$5:$A$1004,$A781,'AFA Rates'!$B$5:$B$1004,G$24)&gt;0,"✓",""))</f>
        <v/>
      </c>
      <c r="H781" s="57">
        <f>IF(OR($A781="",H$24=""),"",IF(COUNTIFS('AFA Rates'!$A$5:$A$1004,$A781,'AFA Rates'!$B$5:$B$1004,H$24)&gt;0,"✓",""))</f>
        <v/>
      </c>
      <c r="I781" s="57">
        <f>IF(OR($A781="",I$24=""),"",IF(COUNTIFS('AFA Rates'!$A$5:$A$1004,$A781,'AFA Rates'!$B$5:$B$1004,I$24)&gt;0,"✓",""))</f>
        <v/>
      </c>
      <c r="J781" s="57">
        <f>IF(OR($A781="",J$24=""),"",IF(COUNTIFS('AFA Rates'!$A$5:$A$1004,$A781,'AFA Rates'!$B$5:$B$1004,J$24)&gt;0,"✓",""))</f>
        <v/>
      </c>
      <c r="K781" s="57">
        <f>IF(OR($A781="",K$24=""),"",IF(COUNTIFS('AFA Rates'!$A$5:$A$1004,$A781,'AFA Rates'!$B$5:$B$1004,K$24)&gt;0,"✓",""))</f>
        <v/>
      </c>
      <c r="L781" s="57">
        <f>IF(OR($A781="",L$24=""),"",IF(COUNTIFS('AFA Rates'!$A$5:$A$1004,$A781,'AFA Rates'!$B$5:$B$1004,L$24)&gt;0,"✓",""))</f>
        <v/>
      </c>
      <c r="M781" s="57">
        <f>IF(OR($A781="",M$24=""),"",IF(COUNTIFS('AFA Rates'!$A$5:$A$1004,$A781,'AFA Rates'!$B$5:$B$1004,M$24)&gt;0,"✓",""))</f>
        <v/>
      </c>
    </row>
    <row r="782">
      <c r="A782" s="63">
        <f>IFERROR(INDEX(Firms!$A$5:$A$1004,MATCH(758,Firms!$S$5:$S$1004,0)),"")</f>
        <v/>
      </c>
      <c r="B782" s="57">
        <f>IF($A782="","",INDEX(Firms!$B$5:$B$1004,MATCH(758,Firms!$S$5:$S$1004,0)))</f>
        <v/>
      </c>
      <c r="C782" s="57">
        <f>IF($A782="","",COUNTIF('AFA Rates'!$A$5:$A$1004,$A782))</f>
        <v/>
      </c>
      <c r="D782" s="57">
        <f>IF(OR($A782="",D$24=""),"",IF(COUNTIFS('AFA Rates'!$A$5:$A$1004,$A782,'AFA Rates'!$B$5:$B$1004,D$24)&gt;0,"✓",""))</f>
        <v/>
      </c>
      <c r="E782" s="57">
        <f>IF(OR($A782="",E$24=""),"",IF(COUNTIFS('AFA Rates'!$A$5:$A$1004,$A782,'AFA Rates'!$B$5:$B$1004,E$24)&gt;0,"✓",""))</f>
        <v/>
      </c>
      <c r="F782" s="57">
        <f>IF(OR($A782="",F$24=""),"",IF(COUNTIFS('AFA Rates'!$A$5:$A$1004,$A782,'AFA Rates'!$B$5:$B$1004,F$24)&gt;0,"✓",""))</f>
        <v/>
      </c>
      <c r="G782" s="57">
        <f>IF(OR($A782="",G$24=""),"",IF(COUNTIFS('AFA Rates'!$A$5:$A$1004,$A782,'AFA Rates'!$B$5:$B$1004,G$24)&gt;0,"✓",""))</f>
        <v/>
      </c>
      <c r="H782" s="57">
        <f>IF(OR($A782="",H$24=""),"",IF(COUNTIFS('AFA Rates'!$A$5:$A$1004,$A782,'AFA Rates'!$B$5:$B$1004,H$24)&gt;0,"✓",""))</f>
        <v/>
      </c>
      <c r="I782" s="57">
        <f>IF(OR($A782="",I$24=""),"",IF(COUNTIFS('AFA Rates'!$A$5:$A$1004,$A782,'AFA Rates'!$B$5:$B$1004,I$24)&gt;0,"✓",""))</f>
        <v/>
      </c>
      <c r="J782" s="57">
        <f>IF(OR($A782="",J$24=""),"",IF(COUNTIFS('AFA Rates'!$A$5:$A$1004,$A782,'AFA Rates'!$B$5:$B$1004,J$24)&gt;0,"✓",""))</f>
        <v/>
      </c>
      <c r="K782" s="57">
        <f>IF(OR($A782="",K$24=""),"",IF(COUNTIFS('AFA Rates'!$A$5:$A$1004,$A782,'AFA Rates'!$B$5:$B$1004,K$24)&gt;0,"✓",""))</f>
        <v/>
      </c>
      <c r="L782" s="57">
        <f>IF(OR($A782="",L$24=""),"",IF(COUNTIFS('AFA Rates'!$A$5:$A$1004,$A782,'AFA Rates'!$B$5:$B$1004,L$24)&gt;0,"✓",""))</f>
        <v/>
      </c>
      <c r="M782" s="57">
        <f>IF(OR($A782="",M$24=""),"",IF(COUNTIFS('AFA Rates'!$A$5:$A$1004,$A782,'AFA Rates'!$B$5:$B$1004,M$24)&gt;0,"✓",""))</f>
        <v/>
      </c>
    </row>
    <row r="783">
      <c r="A783" s="63">
        <f>IFERROR(INDEX(Firms!$A$5:$A$1004,MATCH(759,Firms!$S$5:$S$1004,0)),"")</f>
        <v/>
      </c>
      <c r="B783" s="57">
        <f>IF($A783="","",INDEX(Firms!$B$5:$B$1004,MATCH(759,Firms!$S$5:$S$1004,0)))</f>
        <v/>
      </c>
      <c r="C783" s="57">
        <f>IF($A783="","",COUNTIF('AFA Rates'!$A$5:$A$1004,$A783))</f>
        <v/>
      </c>
      <c r="D783" s="57">
        <f>IF(OR($A783="",D$24=""),"",IF(COUNTIFS('AFA Rates'!$A$5:$A$1004,$A783,'AFA Rates'!$B$5:$B$1004,D$24)&gt;0,"✓",""))</f>
        <v/>
      </c>
      <c r="E783" s="57">
        <f>IF(OR($A783="",E$24=""),"",IF(COUNTIFS('AFA Rates'!$A$5:$A$1004,$A783,'AFA Rates'!$B$5:$B$1004,E$24)&gt;0,"✓",""))</f>
        <v/>
      </c>
      <c r="F783" s="57">
        <f>IF(OR($A783="",F$24=""),"",IF(COUNTIFS('AFA Rates'!$A$5:$A$1004,$A783,'AFA Rates'!$B$5:$B$1004,F$24)&gt;0,"✓",""))</f>
        <v/>
      </c>
      <c r="G783" s="57">
        <f>IF(OR($A783="",G$24=""),"",IF(COUNTIFS('AFA Rates'!$A$5:$A$1004,$A783,'AFA Rates'!$B$5:$B$1004,G$24)&gt;0,"✓",""))</f>
        <v/>
      </c>
      <c r="H783" s="57">
        <f>IF(OR($A783="",H$24=""),"",IF(COUNTIFS('AFA Rates'!$A$5:$A$1004,$A783,'AFA Rates'!$B$5:$B$1004,H$24)&gt;0,"✓",""))</f>
        <v/>
      </c>
      <c r="I783" s="57">
        <f>IF(OR($A783="",I$24=""),"",IF(COUNTIFS('AFA Rates'!$A$5:$A$1004,$A783,'AFA Rates'!$B$5:$B$1004,I$24)&gt;0,"✓",""))</f>
        <v/>
      </c>
      <c r="J783" s="57">
        <f>IF(OR($A783="",J$24=""),"",IF(COUNTIFS('AFA Rates'!$A$5:$A$1004,$A783,'AFA Rates'!$B$5:$B$1004,J$24)&gt;0,"✓",""))</f>
        <v/>
      </c>
      <c r="K783" s="57">
        <f>IF(OR($A783="",K$24=""),"",IF(COUNTIFS('AFA Rates'!$A$5:$A$1004,$A783,'AFA Rates'!$B$5:$B$1004,K$24)&gt;0,"✓",""))</f>
        <v/>
      </c>
      <c r="L783" s="57">
        <f>IF(OR($A783="",L$24=""),"",IF(COUNTIFS('AFA Rates'!$A$5:$A$1004,$A783,'AFA Rates'!$B$5:$B$1004,L$24)&gt;0,"✓",""))</f>
        <v/>
      </c>
      <c r="M783" s="57">
        <f>IF(OR($A783="",M$24=""),"",IF(COUNTIFS('AFA Rates'!$A$5:$A$1004,$A783,'AFA Rates'!$B$5:$B$1004,M$24)&gt;0,"✓",""))</f>
        <v/>
      </c>
    </row>
    <row r="784">
      <c r="A784" s="63">
        <f>IFERROR(INDEX(Firms!$A$5:$A$1004,MATCH(760,Firms!$S$5:$S$1004,0)),"")</f>
        <v/>
      </c>
      <c r="B784" s="57">
        <f>IF($A784="","",INDEX(Firms!$B$5:$B$1004,MATCH(760,Firms!$S$5:$S$1004,0)))</f>
        <v/>
      </c>
      <c r="C784" s="57">
        <f>IF($A784="","",COUNTIF('AFA Rates'!$A$5:$A$1004,$A784))</f>
        <v/>
      </c>
      <c r="D784" s="57">
        <f>IF(OR($A784="",D$24=""),"",IF(COUNTIFS('AFA Rates'!$A$5:$A$1004,$A784,'AFA Rates'!$B$5:$B$1004,D$24)&gt;0,"✓",""))</f>
        <v/>
      </c>
      <c r="E784" s="57">
        <f>IF(OR($A784="",E$24=""),"",IF(COUNTIFS('AFA Rates'!$A$5:$A$1004,$A784,'AFA Rates'!$B$5:$B$1004,E$24)&gt;0,"✓",""))</f>
        <v/>
      </c>
      <c r="F784" s="57">
        <f>IF(OR($A784="",F$24=""),"",IF(COUNTIFS('AFA Rates'!$A$5:$A$1004,$A784,'AFA Rates'!$B$5:$B$1004,F$24)&gt;0,"✓",""))</f>
        <v/>
      </c>
      <c r="G784" s="57">
        <f>IF(OR($A784="",G$24=""),"",IF(COUNTIFS('AFA Rates'!$A$5:$A$1004,$A784,'AFA Rates'!$B$5:$B$1004,G$24)&gt;0,"✓",""))</f>
        <v/>
      </c>
      <c r="H784" s="57">
        <f>IF(OR($A784="",H$24=""),"",IF(COUNTIFS('AFA Rates'!$A$5:$A$1004,$A784,'AFA Rates'!$B$5:$B$1004,H$24)&gt;0,"✓",""))</f>
        <v/>
      </c>
      <c r="I784" s="57">
        <f>IF(OR($A784="",I$24=""),"",IF(COUNTIFS('AFA Rates'!$A$5:$A$1004,$A784,'AFA Rates'!$B$5:$B$1004,I$24)&gt;0,"✓",""))</f>
        <v/>
      </c>
      <c r="J784" s="57">
        <f>IF(OR($A784="",J$24=""),"",IF(COUNTIFS('AFA Rates'!$A$5:$A$1004,$A784,'AFA Rates'!$B$5:$B$1004,J$24)&gt;0,"✓",""))</f>
        <v/>
      </c>
      <c r="K784" s="57">
        <f>IF(OR($A784="",K$24=""),"",IF(COUNTIFS('AFA Rates'!$A$5:$A$1004,$A784,'AFA Rates'!$B$5:$B$1004,K$24)&gt;0,"✓",""))</f>
        <v/>
      </c>
      <c r="L784" s="57">
        <f>IF(OR($A784="",L$24=""),"",IF(COUNTIFS('AFA Rates'!$A$5:$A$1004,$A784,'AFA Rates'!$B$5:$B$1004,L$24)&gt;0,"✓",""))</f>
        <v/>
      </c>
      <c r="M784" s="57">
        <f>IF(OR($A784="",M$24=""),"",IF(COUNTIFS('AFA Rates'!$A$5:$A$1004,$A784,'AFA Rates'!$B$5:$B$1004,M$24)&gt;0,"✓",""))</f>
        <v/>
      </c>
    </row>
    <row r="785">
      <c r="A785" s="63">
        <f>IFERROR(INDEX(Firms!$A$5:$A$1004,MATCH(761,Firms!$S$5:$S$1004,0)),"")</f>
        <v/>
      </c>
      <c r="B785" s="57">
        <f>IF($A785="","",INDEX(Firms!$B$5:$B$1004,MATCH(761,Firms!$S$5:$S$1004,0)))</f>
        <v/>
      </c>
      <c r="C785" s="57">
        <f>IF($A785="","",COUNTIF('AFA Rates'!$A$5:$A$1004,$A785))</f>
        <v/>
      </c>
      <c r="D785" s="57">
        <f>IF(OR($A785="",D$24=""),"",IF(COUNTIFS('AFA Rates'!$A$5:$A$1004,$A785,'AFA Rates'!$B$5:$B$1004,D$24)&gt;0,"✓",""))</f>
        <v/>
      </c>
      <c r="E785" s="57">
        <f>IF(OR($A785="",E$24=""),"",IF(COUNTIFS('AFA Rates'!$A$5:$A$1004,$A785,'AFA Rates'!$B$5:$B$1004,E$24)&gt;0,"✓",""))</f>
        <v/>
      </c>
      <c r="F785" s="57">
        <f>IF(OR($A785="",F$24=""),"",IF(COUNTIFS('AFA Rates'!$A$5:$A$1004,$A785,'AFA Rates'!$B$5:$B$1004,F$24)&gt;0,"✓",""))</f>
        <v/>
      </c>
      <c r="G785" s="57">
        <f>IF(OR($A785="",G$24=""),"",IF(COUNTIFS('AFA Rates'!$A$5:$A$1004,$A785,'AFA Rates'!$B$5:$B$1004,G$24)&gt;0,"✓",""))</f>
        <v/>
      </c>
      <c r="H785" s="57">
        <f>IF(OR($A785="",H$24=""),"",IF(COUNTIFS('AFA Rates'!$A$5:$A$1004,$A785,'AFA Rates'!$B$5:$B$1004,H$24)&gt;0,"✓",""))</f>
        <v/>
      </c>
      <c r="I785" s="57">
        <f>IF(OR($A785="",I$24=""),"",IF(COUNTIFS('AFA Rates'!$A$5:$A$1004,$A785,'AFA Rates'!$B$5:$B$1004,I$24)&gt;0,"✓",""))</f>
        <v/>
      </c>
      <c r="J785" s="57">
        <f>IF(OR($A785="",J$24=""),"",IF(COUNTIFS('AFA Rates'!$A$5:$A$1004,$A785,'AFA Rates'!$B$5:$B$1004,J$24)&gt;0,"✓",""))</f>
        <v/>
      </c>
      <c r="K785" s="57">
        <f>IF(OR($A785="",K$24=""),"",IF(COUNTIFS('AFA Rates'!$A$5:$A$1004,$A785,'AFA Rates'!$B$5:$B$1004,K$24)&gt;0,"✓",""))</f>
        <v/>
      </c>
      <c r="L785" s="57">
        <f>IF(OR($A785="",L$24=""),"",IF(COUNTIFS('AFA Rates'!$A$5:$A$1004,$A785,'AFA Rates'!$B$5:$B$1004,L$24)&gt;0,"✓",""))</f>
        <v/>
      </c>
      <c r="M785" s="57">
        <f>IF(OR($A785="",M$24=""),"",IF(COUNTIFS('AFA Rates'!$A$5:$A$1004,$A785,'AFA Rates'!$B$5:$B$1004,M$24)&gt;0,"✓",""))</f>
        <v/>
      </c>
    </row>
    <row r="786">
      <c r="A786" s="63">
        <f>IFERROR(INDEX(Firms!$A$5:$A$1004,MATCH(762,Firms!$S$5:$S$1004,0)),"")</f>
        <v/>
      </c>
      <c r="B786" s="57">
        <f>IF($A786="","",INDEX(Firms!$B$5:$B$1004,MATCH(762,Firms!$S$5:$S$1004,0)))</f>
        <v/>
      </c>
      <c r="C786" s="57">
        <f>IF($A786="","",COUNTIF('AFA Rates'!$A$5:$A$1004,$A786))</f>
        <v/>
      </c>
      <c r="D786" s="57">
        <f>IF(OR($A786="",D$24=""),"",IF(COUNTIFS('AFA Rates'!$A$5:$A$1004,$A786,'AFA Rates'!$B$5:$B$1004,D$24)&gt;0,"✓",""))</f>
        <v/>
      </c>
      <c r="E786" s="57">
        <f>IF(OR($A786="",E$24=""),"",IF(COUNTIFS('AFA Rates'!$A$5:$A$1004,$A786,'AFA Rates'!$B$5:$B$1004,E$24)&gt;0,"✓",""))</f>
        <v/>
      </c>
      <c r="F786" s="57">
        <f>IF(OR($A786="",F$24=""),"",IF(COUNTIFS('AFA Rates'!$A$5:$A$1004,$A786,'AFA Rates'!$B$5:$B$1004,F$24)&gt;0,"✓",""))</f>
        <v/>
      </c>
      <c r="G786" s="57">
        <f>IF(OR($A786="",G$24=""),"",IF(COUNTIFS('AFA Rates'!$A$5:$A$1004,$A786,'AFA Rates'!$B$5:$B$1004,G$24)&gt;0,"✓",""))</f>
        <v/>
      </c>
      <c r="H786" s="57">
        <f>IF(OR($A786="",H$24=""),"",IF(COUNTIFS('AFA Rates'!$A$5:$A$1004,$A786,'AFA Rates'!$B$5:$B$1004,H$24)&gt;0,"✓",""))</f>
        <v/>
      </c>
      <c r="I786" s="57">
        <f>IF(OR($A786="",I$24=""),"",IF(COUNTIFS('AFA Rates'!$A$5:$A$1004,$A786,'AFA Rates'!$B$5:$B$1004,I$24)&gt;0,"✓",""))</f>
        <v/>
      </c>
      <c r="J786" s="57">
        <f>IF(OR($A786="",J$24=""),"",IF(COUNTIFS('AFA Rates'!$A$5:$A$1004,$A786,'AFA Rates'!$B$5:$B$1004,J$24)&gt;0,"✓",""))</f>
        <v/>
      </c>
      <c r="K786" s="57">
        <f>IF(OR($A786="",K$24=""),"",IF(COUNTIFS('AFA Rates'!$A$5:$A$1004,$A786,'AFA Rates'!$B$5:$B$1004,K$24)&gt;0,"✓",""))</f>
        <v/>
      </c>
      <c r="L786" s="57">
        <f>IF(OR($A786="",L$24=""),"",IF(COUNTIFS('AFA Rates'!$A$5:$A$1004,$A786,'AFA Rates'!$B$5:$B$1004,L$24)&gt;0,"✓",""))</f>
        <v/>
      </c>
      <c r="M786" s="57">
        <f>IF(OR($A786="",M$24=""),"",IF(COUNTIFS('AFA Rates'!$A$5:$A$1004,$A786,'AFA Rates'!$B$5:$B$1004,M$24)&gt;0,"✓",""))</f>
        <v/>
      </c>
    </row>
    <row r="787">
      <c r="A787" s="63">
        <f>IFERROR(INDEX(Firms!$A$5:$A$1004,MATCH(763,Firms!$S$5:$S$1004,0)),"")</f>
        <v/>
      </c>
      <c r="B787" s="57">
        <f>IF($A787="","",INDEX(Firms!$B$5:$B$1004,MATCH(763,Firms!$S$5:$S$1004,0)))</f>
        <v/>
      </c>
      <c r="C787" s="57">
        <f>IF($A787="","",COUNTIF('AFA Rates'!$A$5:$A$1004,$A787))</f>
        <v/>
      </c>
      <c r="D787" s="57">
        <f>IF(OR($A787="",D$24=""),"",IF(COUNTIFS('AFA Rates'!$A$5:$A$1004,$A787,'AFA Rates'!$B$5:$B$1004,D$24)&gt;0,"✓",""))</f>
        <v/>
      </c>
      <c r="E787" s="57">
        <f>IF(OR($A787="",E$24=""),"",IF(COUNTIFS('AFA Rates'!$A$5:$A$1004,$A787,'AFA Rates'!$B$5:$B$1004,E$24)&gt;0,"✓",""))</f>
        <v/>
      </c>
      <c r="F787" s="57">
        <f>IF(OR($A787="",F$24=""),"",IF(COUNTIFS('AFA Rates'!$A$5:$A$1004,$A787,'AFA Rates'!$B$5:$B$1004,F$24)&gt;0,"✓",""))</f>
        <v/>
      </c>
      <c r="G787" s="57">
        <f>IF(OR($A787="",G$24=""),"",IF(COUNTIFS('AFA Rates'!$A$5:$A$1004,$A787,'AFA Rates'!$B$5:$B$1004,G$24)&gt;0,"✓",""))</f>
        <v/>
      </c>
      <c r="H787" s="57">
        <f>IF(OR($A787="",H$24=""),"",IF(COUNTIFS('AFA Rates'!$A$5:$A$1004,$A787,'AFA Rates'!$B$5:$B$1004,H$24)&gt;0,"✓",""))</f>
        <v/>
      </c>
      <c r="I787" s="57">
        <f>IF(OR($A787="",I$24=""),"",IF(COUNTIFS('AFA Rates'!$A$5:$A$1004,$A787,'AFA Rates'!$B$5:$B$1004,I$24)&gt;0,"✓",""))</f>
        <v/>
      </c>
      <c r="J787" s="57">
        <f>IF(OR($A787="",J$24=""),"",IF(COUNTIFS('AFA Rates'!$A$5:$A$1004,$A787,'AFA Rates'!$B$5:$B$1004,J$24)&gt;0,"✓",""))</f>
        <v/>
      </c>
      <c r="K787" s="57">
        <f>IF(OR($A787="",K$24=""),"",IF(COUNTIFS('AFA Rates'!$A$5:$A$1004,$A787,'AFA Rates'!$B$5:$B$1004,K$24)&gt;0,"✓",""))</f>
        <v/>
      </c>
      <c r="L787" s="57">
        <f>IF(OR($A787="",L$24=""),"",IF(COUNTIFS('AFA Rates'!$A$5:$A$1004,$A787,'AFA Rates'!$B$5:$B$1004,L$24)&gt;0,"✓",""))</f>
        <v/>
      </c>
      <c r="M787" s="57">
        <f>IF(OR($A787="",M$24=""),"",IF(COUNTIFS('AFA Rates'!$A$5:$A$1004,$A787,'AFA Rates'!$B$5:$B$1004,M$24)&gt;0,"✓",""))</f>
        <v/>
      </c>
    </row>
    <row r="788">
      <c r="A788" s="63">
        <f>IFERROR(INDEX(Firms!$A$5:$A$1004,MATCH(764,Firms!$S$5:$S$1004,0)),"")</f>
        <v/>
      </c>
      <c r="B788" s="57">
        <f>IF($A788="","",INDEX(Firms!$B$5:$B$1004,MATCH(764,Firms!$S$5:$S$1004,0)))</f>
        <v/>
      </c>
      <c r="C788" s="57">
        <f>IF($A788="","",COUNTIF('AFA Rates'!$A$5:$A$1004,$A788))</f>
        <v/>
      </c>
      <c r="D788" s="57">
        <f>IF(OR($A788="",D$24=""),"",IF(COUNTIFS('AFA Rates'!$A$5:$A$1004,$A788,'AFA Rates'!$B$5:$B$1004,D$24)&gt;0,"✓",""))</f>
        <v/>
      </c>
      <c r="E788" s="57">
        <f>IF(OR($A788="",E$24=""),"",IF(COUNTIFS('AFA Rates'!$A$5:$A$1004,$A788,'AFA Rates'!$B$5:$B$1004,E$24)&gt;0,"✓",""))</f>
        <v/>
      </c>
      <c r="F788" s="57">
        <f>IF(OR($A788="",F$24=""),"",IF(COUNTIFS('AFA Rates'!$A$5:$A$1004,$A788,'AFA Rates'!$B$5:$B$1004,F$24)&gt;0,"✓",""))</f>
        <v/>
      </c>
      <c r="G788" s="57">
        <f>IF(OR($A788="",G$24=""),"",IF(COUNTIFS('AFA Rates'!$A$5:$A$1004,$A788,'AFA Rates'!$B$5:$B$1004,G$24)&gt;0,"✓",""))</f>
        <v/>
      </c>
      <c r="H788" s="57">
        <f>IF(OR($A788="",H$24=""),"",IF(COUNTIFS('AFA Rates'!$A$5:$A$1004,$A788,'AFA Rates'!$B$5:$B$1004,H$24)&gt;0,"✓",""))</f>
        <v/>
      </c>
      <c r="I788" s="57">
        <f>IF(OR($A788="",I$24=""),"",IF(COUNTIFS('AFA Rates'!$A$5:$A$1004,$A788,'AFA Rates'!$B$5:$B$1004,I$24)&gt;0,"✓",""))</f>
        <v/>
      </c>
      <c r="J788" s="57">
        <f>IF(OR($A788="",J$24=""),"",IF(COUNTIFS('AFA Rates'!$A$5:$A$1004,$A788,'AFA Rates'!$B$5:$B$1004,J$24)&gt;0,"✓",""))</f>
        <v/>
      </c>
      <c r="K788" s="57">
        <f>IF(OR($A788="",K$24=""),"",IF(COUNTIFS('AFA Rates'!$A$5:$A$1004,$A788,'AFA Rates'!$B$5:$B$1004,K$24)&gt;0,"✓",""))</f>
        <v/>
      </c>
      <c r="L788" s="57">
        <f>IF(OR($A788="",L$24=""),"",IF(COUNTIFS('AFA Rates'!$A$5:$A$1004,$A788,'AFA Rates'!$B$5:$B$1004,L$24)&gt;0,"✓",""))</f>
        <v/>
      </c>
      <c r="M788" s="57">
        <f>IF(OR($A788="",M$24=""),"",IF(COUNTIFS('AFA Rates'!$A$5:$A$1004,$A788,'AFA Rates'!$B$5:$B$1004,M$24)&gt;0,"✓",""))</f>
        <v/>
      </c>
    </row>
    <row r="789">
      <c r="A789" s="63">
        <f>IFERROR(INDEX(Firms!$A$5:$A$1004,MATCH(765,Firms!$S$5:$S$1004,0)),"")</f>
        <v/>
      </c>
      <c r="B789" s="57">
        <f>IF($A789="","",INDEX(Firms!$B$5:$B$1004,MATCH(765,Firms!$S$5:$S$1004,0)))</f>
        <v/>
      </c>
      <c r="C789" s="57">
        <f>IF($A789="","",COUNTIF('AFA Rates'!$A$5:$A$1004,$A789))</f>
        <v/>
      </c>
      <c r="D789" s="57">
        <f>IF(OR($A789="",D$24=""),"",IF(COUNTIFS('AFA Rates'!$A$5:$A$1004,$A789,'AFA Rates'!$B$5:$B$1004,D$24)&gt;0,"✓",""))</f>
        <v/>
      </c>
      <c r="E789" s="57">
        <f>IF(OR($A789="",E$24=""),"",IF(COUNTIFS('AFA Rates'!$A$5:$A$1004,$A789,'AFA Rates'!$B$5:$B$1004,E$24)&gt;0,"✓",""))</f>
        <v/>
      </c>
      <c r="F789" s="57">
        <f>IF(OR($A789="",F$24=""),"",IF(COUNTIFS('AFA Rates'!$A$5:$A$1004,$A789,'AFA Rates'!$B$5:$B$1004,F$24)&gt;0,"✓",""))</f>
        <v/>
      </c>
      <c r="G789" s="57">
        <f>IF(OR($A789="",G$24=""),"",IF(COUNTIFS('AFA Rates'!$A$5:$A$1004,$A789,'AFA Rates'!$B$5:$B$1004,G$24)&gt;0,"✓",""))</f>
        <v/>
      </c>
      <c r="H789" s="57">
        <f>IF(OR($A789="",H$24=""),"",IF(COUNTIFS('AFA Rates'!$A$5:$A$1004,$A789,'AFA Rates'!$B$5:$B$1004,H$24)&gt;0,"✓",""))</f>
        <v/>
      </c>
      <c r="I789" s="57">
        <f>IF(OR($A789="",I$24=""),"",IF(COUNTIFS('AFA Rates'!$A$5:$A$1004,$A789,'AFA Rates'!$B$5:$B$1004,I$24)&gt;0,"✓",""))</f>
        <v/>
      </c>
      <c r="J789" s="57">
        <f>IF(OR($A789="",J$24=""),"",IF(COUNTIFS('AFA Rates'!$A$5:$A$1004,$A789,'AFA Rates'!$B$5:$B$1004,J$24)&gt;0,"✓",""))</f>
        <v/>
      </c>
      <c r="K789" s="57">
        <f>IF(OR($A789="",K$24=""),"",IF(COUNTIFS('AFA Rates'!$A$5:$A$1004,$A789,'AFA Rates'!$B$5:$B$1004,K$24)&gt;0,"✓",""))</f>
        <v/>
      </c>
      <c r="L789" s="57">
        <f>IF(OR($A789="",L$24=""),"",IF(COUNTIFS('AFA Rates'!$A$5:$A$1004,$A789,'AFA Rates'!$B$5:$B$1004,L$24)&gt;0,"✓",""))</f>
        <v/>
      </c>
      <c r="M789" s="57">
        <f>IF(OR($A789="",M$24=""),"",IF(COUNTIFS('AFA Rates'!$A$5:$A$1004,$A789,'AFA Rates'!$B$5:$B$1004,M$24)&gt;0,"✓",""))</f>
        <v/>
      </c>
    </row>
    <row r="790">
      <c r="A790" s="63">
        <f>IFERROR(INDEX(Firms!$A$5:$A$1004,MATCH(766,Firms!$S$5:$S$1004,0)),"")</f>
        <v/>
      </c>
      <c r="B790" s="57">
        <f>IF($A790="","",INDEX(Firms!$B$5:$B$1004,MATCH(766,Firms!$S$5:$S$1004,0)))</f>
        <v/>
      </c>
      <c r="C790" s="57">
        <f>IF($A790="","",COUNTIF('AFA Rates'!$A$5:$A$1004,$A790))</f>
        <v/>
      </c>
      <c r="D790" s="57">
        <f>IF(OR($A790="",D$24=""),"",IF(COUNTIFS('AFA Rates'!$A$5:$A$1004,$A790,'AFA Rates'!$B$5:$B$1004,D$24)&gt;0,"✓",""))</f>
        <v/>
      </c>
      <c r="E790" s="57">
        <f>IF(OR($A790="",E$24=""),"",IF(COUNTIFS('AFA Rates'!$A$5:$A$1004,$A790,'AFA Rates'!$B$5:$B$1004,E$24)&gt;0,"✓",""))</f>
        <v/>
      </c>
      <c r="F790" s="57">
        <f>IF(OR($A790="",F$24=""),"",IF(COUNTIFS('AFA Rates'!$A$5:$A$1004,$A790,'AFA Rates'!$B$5:$B$1004,F$24)&gt;0,"✓",""))</f>
        <v/>
      </c>
      <c r="G790" s="57">
        <f>IF(OR($A790="",G$24=""),"",IF(COUNTIFS('AFA Rates'!$A$5:$A$1004,$A790,'AFA Rates'!$B$5:$B$1004,G$24)&gt;0,"✓",""))</f>
        <v/>
      </c>
      <c r="H790" s="57">
        <f>IF(OR($A790="",H$24=""),"",IF(COUNTIFS('AFA Rates'!$A$5:$A$1004,$A790,'AFA Rates'!$B$5:$B$1004,H$24)&gt;0,"✓",""))</f>
        <v/>
      </c>
      <c r="I790" s="57">
        <f>IF(OR($A790="",I$24=""),"",IF(COUNTIFS('AFA Rates'!$A$5:$A$1004,$A790,'AFA Rates'!$B$5:$B$1004,I$24)&gt;0,"✓",""))</f>
        <v/>
      </c>
      <c r="J790" s="57">
        <f>IF(OR($A790="",J$24=""),"",IF(COUNTIFS('AFA Rates'!$A$5:$A$1004,$A790,'AFA Rates'!$B$5:$B$1004,J$24)&gt;0,"✓",""))</f>
        <v/>
      </c>
      <c r="K790" s="57">
        <f>IF(OR($A790="",K$24=""),"",IF(COUNTIFS('AFA Rates'!$A$5:$A$1004,$A790,'AFA Rates'!$B$5:$B$1004,K$24)&gt;0,"✓",""))</f>
        <v/>
      </c>
      <c r="L790" s="57">
        <f>IF(OR($A790="",L$24=""),"",IF(COUNTIFS('AFA Rates'!$A$5:$A$1004,$A790,'AFA Rates'!$B$5:$B$1004,L$24)&gt;0,"✓",""))</f>
        <v/>
      </c>
      <c r="M790" s="57">
        <f>IF(OR($A790="",M$24=""),"",IF(COUNTIFS('AFA Rates'!$A$5:$A$1004,$A790,'AFA Rates'!$B$5:$B$1004,M$24)&gt;0,"✓",""))</f>
        <v/>
      </c>
    </row>
    <row r="791">
      <c r="A791" s="63">
        <f>IFERROR(INDEX(Firms!$A$5:$A$1004,MATCH(767,Firms!$S$5:$S$1004,0)),"")</f>
        <v/>
      </c>
      <c r="B791" s="57">
        <f>IF($A791="","",INDEX(Firms!$B$5:$B$1004,MATCH(767,Firms!$S$5:$S$1004,0)))</f>
        <v/>
      </c>
      <c r="C791" s="57">
        <f>IF($A791="","",COUNTIF('AFA Rates'!$A$5:$A$1004,$A791))</f>
        <v/>
      </c>
      <c r="D791" s="57">
        <f>IF(OR($A791="",D$24=""),"",IF(COUNTIFS('AFA Rates'!$A$5:$A$1004,$A791,'AFA Rates'!$B$5:$B$1004,D$24)&gt;0,"✓",""))</f>
        <v/>
      </c>
      <c r="E791" s="57">
        <f>IF(OR($A791="",E$24=""),"",IF(COUNTIFS('AFA Rates'!$A$5:$A$1004,$A791,'AFA Rates'!$B$5:$B$1004,E$24)&gt;0,"✓",""))</f>
        <v/>
      </c>
      <c r="F791" s="57">
        <f>IF(OR($A791="",F$24=""),"",IF(COUNTIFS('AFA Rates'!$A$5:$A$1004,$A791,'AFA Rates'!$B$5:$B$1004,F$24)&gt;0,"✓",""))</f>
        <v/>
      </c>
      <c r="G791" s="57">
        <f>IF(OR($A791="",G$24=""),"",IF(COUNTIFS('AFA Rates'!$A$5:$A$1004,$A791,'AFA Rates'!$B$5:$B$1004,G$24)&gt;0,"✓",""))</f>
        <v/>
      </c>
      <c r="H791" s="57">
        <f>IF(OR($A791="",H$24=""),"",IF(COUNTIFS('AFA Rates'!$A$5:$A$1004,$A791,'AFA Rates'!$B$5:$B$1004,H$24)&gt;0,"✓",""))</f>
        <v/>
      </c>
      <c r="I791" s="57">
        <f>IF(OR($A791="",I$24=""),"",IF(COUNTIFS('AFA Rates'!$A$5:$A$1004,$A791,'AFA Rates'!$B$5:$B$1004,I$24)&gt;0,"✓",""))</f>
        <v/>
      </c>
      <c r="J791" s="57">
        <f>IF(OR($A791="",J$24=""),"",IF(COUNTIFS('AFA Rates'!$A$5:$A$1004,$A791,'AFA Rates'!$B$5:$B$1004,J$24)&gt;0,"✓",""))</f>
        <v/>
      </c>
      <c r="K791" s="57">
        <f>IF(OR($A791="",K$24=""),"",IF(COUNTIFS('AFA Rates'!$A$5:$A$1004,$A791,'AFA Rates'!$B$5:$B$1004,K$24)&gt;0,"✓",""))</f>
        <v/>
      </c>
      <c r="L791" s="57">
        <f>IF(OR($A791="",L$24=""),"",IF(COUNTIFS('AFA Rates'!$A$5:$A$1004,$A791,'AFA Rates'!$B$5:$B$1004,L$24)&gt;0,"✓",""))</f>
        <v/>
      </c>
      <c r="M791" s="57">
        <f>IF(OR($A791="",M$24=""),"",IF(COUNTIFS('AFA Rates'!$A$5:$A$1004,$A791,'AFA Rates'!$B$5:$B$1004,M$24)&gt;0,"✓",""))</f>
        <v/>
      </c>
    </row>
    <row r="792">
      <c r="A792" s="63">
        <f>IFERROR(INDEX(Firms!$A$5:$A$1004,MATCH(768,Firms!$S$5:$S$1004,0)),"")</f>
        <v/>
      </c>
      <c r="B792" s="57">
        <f>IF($A792="","",INDEX(Firms!$B$5:$B$1004,MATCH(768,Firms!$S$5:$S$1004,0)))</f>
        <v/>
      </c>
      <c r="C792" s="57">
        <f>IF($A792="","",COUNTIF('AFA Rates'!$A$5:$A$1004,$A792))</f>
        <v/>
      </c>
      <c r="D792" s="57">
        <f>IF(OR($A792="",D$24=""),"",IF(COUNTIFS('AFA Rates'!$A$5:$A$1004,$A792,'AFA Rates'!$B$5:$B$1004,D$24)&gt;0,"✓",""))</f>
        <v/>
      </c>
      <c r="E792" s="57">
        <f>IF(OR($A792="",E$24=""),"",IF(COUNTIFS('AFA Rates'!$A$5:$A$1004,$A792,'AFA Rates'!$B$5:$B$1004,E$24)&gt;0,"✓",""))</f>
        <v/>
      </c>
      <c r="F792" s="57">
        <f>IF(OR($A792="",F$24=""),"",IF(COUNTIFS('AFA Rates'!$A$5:$A$1004,$A792,'AFA Rates'!$B$5:$B$1004,F$24)&gt;0,"✓",""))</f>
        <v/>
      </c>
      <c r="G792" s="57">
        <f>IF(OR($A792="",G$24=""),"",IF(COUNTIFS('AFA Rates'!$A$5:$A$1004,$A792,'AFA Rates'!$B$5:$B$1004,G$24)&gt;0,"✓",""))</f>
        <v/>
      </c>
      <c r="H792" s="57">
        <f>IF(OR($A792="",H$24=""),"",IF(COUNTIFS('AFA Rates'!$A$5:$A$1004,$A792,'AFA Rates'!$B$5:$B$1004,H$24)&gt;0,"✓",""))</f>
        <v/>
      </c>
      <c r="I792" s="57">
        <f>IF(OR($A792="",I$24=""),"",IF(COUNTIFS('AFA Rates'!$A$5:$A$1004,$A792,'AFA Rates'!$B$5:$B$1004,I$24)&gt;0,"✓",""))</f>
        <v/>
      </c>
      <c r="J792" s="57">
        <f>IF(OR($A792="",J$24=""),"",IF(COUNTIFS('AFA Rates'!$A$5:$A$1004,$A792,'AFA Rates'!$B$5:$B$1004,J$24)&gt;0,"✓",""))</f>
        <v/>
      </c>
      <c r="K792" s="57">
        <f>IF(OR($A792="",K$24=""),"",IF(COUNTIFS('AFA Rates'!$A$5:$A$1004,$A792,'AFA Rates'!$B$5:$B$1004,K$24)&gt;0,"✓",""))</f>
        <v/>
      </c>
      <c r="L792" s="57">
        <f>IF(OR($A792="",L$24=""),"",IF(COUNTIFS('AFA Rates'!$A$5:$A$1004,$A792,'AFA Rates'!$B$5:$B$1004,L$24)&gt;0,"✓",""))</f>
        <v/>
      </c>
      <c r="M792" s="57">
        <f>IF(OR($A792="",M$24=""),"",IF(COUNTIFS('AFA Rates'!$A$5:$A$1004,$A792,'AFA Rates'!$B$5:$B$1004,M$24)&gt;0,"✓",""))</f>
        <v/>
      </c>
    </row>
    <row r="793">
      <c r="A793" s="63">
        <f>IFERROR(INDEX(Firms!$A$5:$A$1004,MATCH(769,Firms!$S$5:$S$1004,0)),"")</f>
        <v/>
      </c>
      <c r="B793" s="57">
        <f>IF($A793="","",INDEX(Firms!$B$5:$B$1004,MATCH(769,Firms!$S$5:$S$1004,0)))</f>
        <v/>
      </c>
      <c r="C793" s="57">
        <f>IF($A793="","",COUNTIF('AFA Rates'!$A$5:$A$1004,$A793))</f>
        <v/>
      </c>
      <c r="D793" s="57">
        <f>IF(OR($A793="",D$24=""),"",IF(COUNTIFS('AFA Rates'!$A$5:$A$1004,$A793,'AFA Rates'!$B$5:$B$1004,D$24)&gt;0,"✓",""))</f>
        <v/>
      </c>
      <c r="E793" s="57">
        <f>IF(OR($A793="",E$24=""),"",IF(COUNTIFS('AFA Rates'!$A$5:$A$1004,$A793,'AFA Rates'!$B$5:$B$1004,E$24)&gt;0,"✓",""))</f>
        <v/>
      </c>
      <c r="F793" s="57">
        <f>IF(OR($A793="",F$24=""),"",IF(COUNTIFS('AFA Rates'!$A$5:$A$1004,$A793,'AFA Rates'!$B$5:$B$1004,F$24)&gt;0,"✓",""))</f>
        <v/>
      </c>
      <c r="G793" s="57">
        <f>IF(OR($A793="",G$24=""),"",IF(COUNTIFS('AFA Rates'!$A$5:$A$1004,$A793,'AFA Rates'!$B$5:$B$1004,G$24)&gt;0,"✓",""))</f>
        <v/>
      </c>
      <c r="H793" s="57">
        <f>IF(OR($A793="",H$24=""),"",IF(COUNTIFS('AFA Rates'!$A$5:$A$1004,$A793,'AFA Rates'!$B$5:$B$1004,H$24)&gt;0,"✓",""))</f>
        <v/>
      </c>
      <c r="I793" s="57">
        <f>IF(OR($A793="",I$24=""),"",IF(COUNTIFS('AFA Rates'!$A$5:$A$1004,$A793,'AFA Rates'!$B$5:$B$1004,I$24)&gt;0,"✓",""))</f>
        <v/>
      </c>
      <c r="J793" s="57">
        <f>IF(OR($A793="",J$24=""),"",IF(COUNTIFS('AFA Rates'!$A$5:$A$1004,$A793,'AFA Rates'!$B$5:$B$1004,J$24)&gt;0,"✓",""))</f>
        <v/>
      </c>
      <c r="K793" s="57">
        <f>IF(OR($A793="",K$24=""),"",IF(COUNTIFS('AFA Rates'!$A$5:$A$1004,$A793,'AFA Rates'!$B$5:$B$1004,K$24)&gt;0,"✓",""))</f>
        <v/>
      </c>
      <c r="L793" s="57">
        <f>IF(OR($A793="",L$24=""),"",IF(COUNTIFS('AFA Rates'!$A$5:$A$1004,$A793,'AFA Rates'!$B$5:$B$1004,L$24)&gt;0,"✓",""))</f>
        <v/>
      </c>
      <c r="M793" s="57">
        <f>IF(OR($A793="",M$24=""),"",IF(COUNTIFS('AFA Rates'!$A$5:$A$1004,$A793,'AFA Rates'!$B$5:$B$1004,M$24)&gt;0,"✓",""))</f>
        <v/>
      </c>
    </row>
    <row r="794">
      <c r="A794" s="63">
        <f>IFERROR(INDEX(Firms!$A$5:$A$1004,MATCH(770,Firms!$S$5:$S$1004,0)),"")</f>
        <v/>
      </c>
      <c r="B794" s="57">
        <f>IF($A794="","",INDEX(Firms!$B$5:$B$1004,MATCH(770,Firms!$S$5:$S$1004,0)))</f>
        <v/>
      </c>
      <c r="C794" s="57">
        <f>IF($A794="","",COUNTIF('AFA Rates'!$A$5:$A$1004,$A794))</f>
        <v/>
      </c>
      <c r="D794" s="57">
        <f>IF(OR($A794="",D$24=""),"",IF(COUNTIFS('AFA Rates'!$A$5:$A$1004,$A794,'AFA Rates'!$B$5:$B$1004,D$24)&gt;0,"✓",""))</f>
        <v/>
      </c>
      <c r="E794" s="57">
        <f>IF(OR($A794="",E$24=""),"",IF(COUNTIFS('AFA Rates'!$A$5:$A$1004,$A794,'AFA Rates'!$B$5:$B$1004,E$24)&gt;0,"✓",""))</f>
        <v/>
      </c>
      <c r="F794" s="57">
        <f>IF(OR($A794="",F$24=""),"",IF(COUNTIFS('AFA Rates'!$A$5:$A$1004,$A794,'AFA Rates'!$B$5:$B$1004,F$24)&gt;0,"✓",""))</f>
        <v/>
      </c>
      <c r="G794" s="57">
        <f>IF(OR($A794="",G$24=""),"",IF(COUNTIFS('AFA Rates'!$A$5:$A$1004,$A794,'AFA Rates'!$B$5:$B$1004,G$24)&gt;0,"✓",""))</f>
        <v/>
      </c>
      <c r="H794" s="57">
        <f>IF(OR($A794="",H$24=""),"",IF(COUNTIFS('AFA Rates'!$A$5:$A$1004,$A794,'AFA Rates'!$B$5:$B$1004,H$24)&gt;0,"✓",""))</f>
        <v/>
      </c>
      <c r="I794" s="57">
        <f>IF(OR($A794="",I$24=""),"",IF(COUNTIFS('AFA Rates'!$A$5:$A$1004,$A794,'AFA Rates'!$B$5:$B$1004,I$24)&gt;0,"✓",""))</f>
        <v/>
      </c>
      <c r="J794" s="57">
        <f>IF(OR($A794="",J$24=""),"",IF(COUNTIFS('AFA Rates'!$A$5:$A$1004,$A794,'AFA Rates'!$B$5:$B$1004,J$24)&gt;0,"✓",""))</f>
        <v/>
      </c>
      <c r="K794" s="57">
        <f>IF(OR($A794="",K$24=""),"",IF(COUNTIFS('AFA Rates'!$A$5:$A$1004,$A794,'AFA Rates'!$B$5:$B$1004,K$24)&gt;0,"✓",""))</f>
        <v/>
      </c>
      <c r="L794" s="57">
        <f>IF(OR($A794="",L$24=""),"",IF(COUNTIFS('AFA Rates'!$A$5:$A$1004,$A794,'AFA Rates'!$B$5:$B$1004,L$24)&gt;0,"✓",""))</f>
        <v/>
      </c>
      <c r="M794" s="57">
        <f>IF(OR($A794="",M$24=""),"",IF(COUNTIFS('AFA Rates'!$A$5:$A$1004,$A794,'AFA Rates'!$B$5:$B$1004,M$24)&gt;0,"✓",""))</f>
        <v/>
      </c>
    </row>
    <row r="795">
      <c r="A795" s="63">
        <f>IFERROR(INDEX(Firms!$A$5:$A$1004,MATCH(771,Firms!$S$5:$S$1004,0)),"")</f>
        <v/>
      </c>
      <c r="B795" s="57">
        <f>IF($A795="","",INDEX(Firms!$B$5:$B$1004,MATCH(771,Firms!$S$5:$S$1004,0)))</f>
        <v/>
      </c>
      <c r="C795" s="57">
        <f>IF($A795="","",COUNTIF('AFA Rates'!$A$5:$A$1004,$A795))</f>
        <v/>
      </c>
      <c r="D795" s="57">
        <f>IF(OR($A795="",D$24=""),"",IF(COUNTIFS('AFA Rates'!$A$5:$A$1004,$A795,'AFA Rates'!$B$5:$B$1004,D$24)&gt;0,"✓",""))</f>
        <v/>
      </c>
      <c r="E795" s="57">
        <f>IF(OR($A795="",E$24=""),"",IF(COUNTIFS('AFA Rates'!$A$5:$A$1004,$A795,'AFA Rates'!$B$5:$B$1004,E$24)&gt;0,"✓",""))</f>
        <v/>
      </c>
      <c r="F795" s="57">
        <f>IF(OR($A795="",F$24=""),"",IF(COUNTIFS('AFA Rates'!$A$5:$A$1004,$A795,'AFA Rates'!$B$5:$B$1004,F$24)&gt;0,"✓",""))</f>
        <v/>
      </c>
      <c r="G795" s="57">
        <f>IF(OR($A795="",G$24=""),"",IF(COUNTIFS('AFA Rates'!$A$5:$A$1004,$A795,'AFA Rates'!$B$5:$B$1004,G$24)&gt;0,"✓",""))</f>
        <v/>
      </c>
      <c r="H795" s="57">
        <f>IF(OR($A795="",H$24=""),"",IF(COUNTIFS('AFA Rates'!$A$5:$A$1004,$A795,'AFA Rates'!$B$5:$B$1004,H$24)&gt;0,"✓",""))</f>
        <v/>
      </c>
      <c r="I795" s="57">
        <f>IF(OR($A795="",I$24=""),"",IF(COUNTIFS('AFA Rates'!$A$5:$A$1004,$A795,'AFA Rates'!$B$5:$B$1004,I$24)&gt;0,"✓",""))</f>
        <v/>
      </c>
      <c r="J795" s="57">
        <f>IF(OR($A795="",J$24=""),"",IF(COUNTIFS('AFA Rates'!$A$5:$A$1004,$A795,'AFA Rates'!$B$5:$B$1004,J$24)&gt;0,"✓",""))</f>
        <v/>
      </c>
      <c r="K795" s="57">
        <f>IF(OR($A795="",K$24=""),"",IF(COUNTIFS('AFA Rates'!$A$5:$A$1004,$A795,'AFA Rates'!$B$5:$B$1004,K$24)&gt;0,"✓",""))</f>
        <v/>
      </c>
      <c r="L795" s="57">
        <f>IF(OR($A795="",L$24=""),"",IF(COUNTIFS('AFA Rates'!$A$5:$A$1004,$A795,'AFA Rates'!$B$5:$B$1004,L$24)&gt;0,"✓",""))</f>
        <v/>
      </c>
      <c r="M795" s="57">
        <f>IF(OR($A795="",M$24=""),"",IF(COUNTIFS('AFA Rates'!$A$5:$A$1004,$A795,'AFA Rates'!$B$5:$B$1004,M$24)&gt;0,"✓",""))</f>
        <v/>
      </c>
    </row>
    <row r="796">
      <c r="A796" s="63">
        <f>IFERROR(INDEX(Firms!$A$5:$A$1004,MATCH(772,Firms!$S$5:$S$1004,0)),"")</f>
        <v/>
      </c>
      <c r="B796" s="57">
        <f>IF($A796="","",INDEX(Firms!$B$5:$B$1004,MATCH(772,Firms!$S$5:$S$1004,0)))</f>
        <v/>
      </c>
      <c r="C796" s="57">
        <f>IF($A796="","",COUNTIF('AFA Rates'!$A$5:$A$1004,$A796))</f>
        <v/>
      </c>
      <c r="D796" s="57">
        <f>IF(OR($A796="",D$24=""),"",IF(COUNTIFS('AFA Rates'!$A$5:$A$1004,$A796,'AFA Rates'!$B$5:$B$1004,D$24)&gt;0,"✓",""))</f>
        <v/>
      </c>
      <c r="E796" s="57">
        <f>IF(OR($A796="",E$24=""),"",IF(COUNTIFS('AFA Rates'!$A$5:$A$1004,$A796,'AFA Rates'!$B$5:$B$1004,E$24)&gt;0,"✓",""))</f>
        <v/>
      </c>
      <c r="F796" s="57">
        <f>IF(OR($A796="",F$24=""),"",IF(COUNTIFS('AFA Rates'!$A$5:$A$1004,$A796,'AFA Rates'!$B$5:$B$1004,F$24)&gt;0,"✓",""))</f>
        <v/>
      </c>
      <c r="G796" s="57">
        <f>IF(OR($A796="",G$24=""),"",IF(COUNTIFS('AFA Rates'!$A$5:$A$1004,$A796,'AFA Rates'!$B$5:$B$1004,G$24)&gt;0,"✓",""))</f>
        <v/>
      </c>
      <c r="H796" s="57">
        <f>IF(OR($A796="",H$24=""),"",IF(COUNTIFS('AFA Rates'!$A$5:$A$1004,$A796,'AFA Rates'!$B$5:$B$1004,H$24)&gt;0,"✓",""))</f>
        <v/>
      </c>
      <c r="I796" s="57">
        <f>IF(OR($A796="",I$24=""),"",IF(COUNTIFS('AFA Rates'!$A$5:$A$1004,$A796,'AFA Rates'!$B$5:$B$1004,I$24)&gt;0,"✓",""))</f>
        <v/>
      </c>
      <c r="J796" s="57">
        <f>IF(OR($A796="",J$24=""),"",IF(COUNTIFS('AFA Rates'!$A$5:$A$1004,$A796,'AFA Rates'!$B$5:$B$1004,J$24)&gt;0,"✓",""))</f>
        <v/>
      </c>
      <c r="K796" s="57">
        <f>IF(OR($A796="",K$24=""),"",IF(COUNTIFS('AFA Rates'!$A$5:$A$1004,$A796,'AFA Rates'!$B$5:$B$1004,K$24)&gt;0,"✓",""))</f>
        <v/>
      </c>
      <c r="L796" s="57">
        <f>IF(OR($A796="",L$24=""),"",IF(COUNTIFS('AFA Rates'!$A$5:$A$1004,$A796,'AFA Rates'!$B$5:$B$1004,L$24)&gt;0,"✓",""))</f>
        <v/>
      </c>
      <c r="M796" s="57">
        <f>IF(OR($A796="",M$24=""),"",IF(COUNTIFS('AFA Rates'!$A$5:$A$1004,$A796,'AFA Rates'!$B$5:$B$1004,M$24)&gt;0,"✓",""))</f>
        <v/>
      </c>
    </row>
    <row r="797">
      <c r="A797" s="63">
        <f>IFERROR(INDEX(Firms!$A$5:$A$1004,MATCH(773,Firms!$S$5:$S$1004,0)),"")</f>
        <v/>
      </c>
      <c r="B797" s="57">
        <f>IF($A797="","",INDEX(Firms!$B$5:$B$1004,MATCH(773,Firms!$S$5:$S$1004,0)))</f>
        <v/>
      </c>
      <c r="C797" s="57">
        <f>IF($A797="","",COUNTIF('AFA Rates'!$A$5:$A$1004,$A797))</f>
        <v/>
      </c>
      <c r="D797" s="57">
        <f>IF(OR($A797="",D$24=""),"",IF(COUNTIFS('AFA Rates'!$A$5:$A$1004,$A797,'AFA Rates'!$B$5:$B$1004,D$24)&gt;0,"✓",""))</f>
        <v/>
      </c>
      <c r="E797" s="57">
        <f>IF(OR($A797="",E$24=""),"",IF(COUNTIFS('AFA Rates'!$A$5:$A$1004,$A797,'AFA Rates'!$B$5:$B$1004,E$24)&gt;0,"✓",""))</f>
        <v/>
      </c>
      <c r="F797" s="57">
        <f>IF(OR($A797="",F$24=""),"",IF(COUNTIFS('AFA Rates'!$A$5:$A$1004,$A797,'AFA Rates'!$B$5:$B$1004,F$24)&gt;0,"✓",""))</f>
        <v/>
      </c>
      <c r="G797" s="57">
        <f>IF(OR($A797="",G$24=""),"",IF(COUNTIFS('AFA Rates'!$A$5:$A$1004,$A797,'AFA Rates'!$B$5:$B$1004,G$24)&gt;0,"✓",""))</f>
        <v/>
      </c>
      <c r="H797" s="57">
        <f>IF(OR($A797="",H$24=""),"",IF(COUNTIFS('AFA Rates'!$A$5:$A$1004,$A797,'AFA Rates'!$B$5:$B$1004,H$24)&gt;0,"✓",""))</f>
        <v/>
      </c>
      <c r="I797" s="57">
        <f>IF(OR($A797="",I$24=""),"",IF(COUNTIFS('AFA Rates'!$A$5:$A$1004,$A797,'AFA Rates'!$B$5:$B$1004,I$24)&gt;0,"✓",""))</f>
        <v/>
      </c>
      <c r="J797" s="57">
        <f>IF(OR($A797="",J$24=""),"",IF(COUNTIFS('AFA Rates'!$A$5:$A$1004,$A797,'AFA Rates'!$B$5:$B$1004,J$24)&gt;0,"✓",""))</f>
        <v/>
      </c>
      <c r="K797" s="57">
        <f>IF(OR($A797="",K$24=""),"",IF(COUNTIFS('AFA Rates'!$A$5:$A$1004,$A797,'AFA Rates'!$B$5:$B$1004,K$24)&gt;0,"✓",""))</f>
        <v/>
      </c>
      <c r="L797" s="57">
        <f>IF(OR($A797="",L$24=""),"",IF(COUNTIFS('AFA Rates'!$A$5:$A$1004,$A797,'AFA Rates'!$B$5:$B$1004,L$24)&gt;0,"✓",""))</f>
        <v/>
      </c>
      <c r="M797" s="57">
        <f>IF(OR($A797="",M$24=""),"",IF(COUNTIFS('AFA Rates'!$A$5:$A$1004,$A797,'AFA Rates'!$B$5:$B$1004,M$24)&gt;0,"✓",""))</f>
        <v/>
      </c>
    </row>
    <row r="798">
      <c r="A798" s="63">
        <f>IFERROR(INDEX(Firms!$A$5:$A$1004,MATCH(774,Firms!$S$5:$S$1004,0)),"")</f>
        <v/>
      </c>
      <c r="B798" s="57">
        <f>IF($A798="","",INDEX(Firms!$B$5:$B$1004,MATCH(774,Firms!$S$5:$S$1004,0)))</f>
        <v/>
      </c>
      <c r="C798" s="57">
        <f>IF($A798="","",COUNTIF('AFA Rates'!$A$5:$A$1004,$A798))</f>
        <v/>
      </c>
      <c r="D798" s="57">
        <f>IF(OR($A798="",D$24=""),"",IF(COUNTIFS('AFA Rates'!$A$5:$A$1004,$A798,'AFA Rates'!$B$5:$B$1004,D$24)&gt;0,"✓",""))</f>
        <v/>
      </c>
      <c r="E798" s="57">
        <f>IF(OR($A798="",E$24=""),"",IF(COUNTIFS('AFA Rates'!$A$5:$A$1004,$A798,'AFA Rates'!$B$5:$B$1004,E$24)&gt;0,"✓",""))</f>
        <v/>
      </c>
      <c r="F798" s="57">
        <f>IF(OR($A798="",F$24=""),"",IF(COUNTIFS('AFA Rates'!$A$5:$A$1004,$A798,'AFA Rates'!$B$5:$B$1004,F$24)&gt;0,"✓",""))</f>
        <v/>
      </c>
      <c r="G798" s="57">
        <f>IF(OR($A798="",G$24=""),"",IF(COUNTIFS('AFA Rates'!$A$5:$A$1004,$A798,'AFA Rates'!$B$5:$B$1004,G$24)&gt;0,"✓",""))</f>
        <v/>
      </c>
      <c r="H798" s="57">
        <f>IF(OR($A798="",H$24=""),"",IF(COUNTIFS('AFA Rates'!$A$5:$A$1004,$A798,'AFA Rates'!$B$5:$B$1004,H$24)&gt;0,"✓",""))</f>
        <v/>
      </c>
      <c r="I798" s="57">
        <f>IF(OR($A798="",I$24=""),"",IF(COUNTIFS('AFA Rates'!$A$5:$A$1004,$A798,'AFA Rates'!$B$5:$B$1004,I$24)&gt;0,"✓",""))</f>
        <v/>
      </c>
      <c r="J798" s="57">
        <f>IF(OR($A798="",J$24=""),"",IF(COUNTIFS('AFA Rates'!$A$5:$A$1004,$A798,'AFA Rates'!$B$5:$B$1004,J$24)&gt;0,"✓",""))</f>
        <v/>
      </c>
      <c r="K798" s="57">
        <f>IF(OR($A798="",K$24=""),"",IF(COUNTIFS('AFA Rates'!$A$5:$A$1004,$A798,'AFA Rates'!$B$5:$B$1004,K$24)&gt;0,"✓",""))</f>
        <v/>
      </c>
      <c r="L798" s="57">
        <f>IF(OR($A798="",L$24=""),"",IF(COUNTIFS('AFA Rates'!$A$5:$A$1004,$A798,'AFA Rates'!$B$5:$B$1004,L$24)&gt;0,"✓",""))</f>
        <v/>
      </c>
      <c r="M798" s="57">
        <f>IF(OR($A798="",M$24=""),"",IF(COUNTIFS('AFA Rates'!$A$5:$A$1004,$A798,'AFA Rates'!$B$5:$B$1004,M$24)&gt;0,"✓",""))</f>
        <v/>
      </c>
    </row>
    <row r="799">
      <c r="A799" s="63">
        <f>IFERROR(INDEX(Firms!$A$5:$A$1004,MATCH(775,Firms!$S$5:$S$1004,0)),"")</f>
        <v/>
      </c>
      <c r="B799" s="57">
        <f>IF($A799="","",INDEX(Firms!$B$5:$B$1004,MATCH(775,Firms!$S$5:$S$1004,0)))</f>
        <v/>
      </c>
      <c r="C799" s="57">
        <f>IF($A799="","",COUNTIF('AFA Rates'!$A$5:$A$1004,$A799))</f>
        <v/>
      </c>
      <c r="D799" s="57">
        <f>IF(OR($A799="",D$24=""),"",IF(COUNTIFS('AFA Rates'!$A$5:$A$1004,$A799,'AFA Rates'!$B$5:$B$1004,D$24)&gt;0,"✓",""))</f>
        <v/>
      </c>
      <c r="E799" s="57">
        <f>IF(OR($A799="",E$24=""),"",IF(COUNTIFS('AFA Rates'!$A$5:$A$1004,$A799,'AFA Rates'!$B$5:$B$1004,E$24)&gt;0,"✓",""))</f>
        <v/>
      </c>
      <c r="F799" s="57">
        <f>IF(OR($A799="",F$24=""),"",IF(COUNTIFS('AFA Rates'!$A$5:$A$1004,$A799,'AFA Rates'!$B$5:$B$1004,F$24)&gt;0,"✓",""))</f>
        <v/>
      </c>
      <c r="G799" s="57">
        <f>IF(OR($A799="",G$24=""),"",IF(COUNTIFS('AFA Rates'!$A$5:$A$1004,$A799,'AFA Rates'!$B$5:$B$1004,G$24)&gt;0,"✓",""))</f>
        <v/>
      </c>
      <c r="H799" s="57">
        <f>IF(OR($A799="",H$24=""),"",IF(COUNTIFS('AFA Rates'!$A$5:$A$1004,$A799,'AFA Rates'!$B$5:$B$1004,H$24)&gt;0,"✓",""))</f>
        <v/>
      </c>
      <c r="I799" s="57">
        <f>IF(OR($A799="",I$24=""),"",IF(COUNTIFS('AFA Rates'!$A$5:$A$1004,$A799,'AFA Rates'!$B$5:$B$1004,I$24)&gt;0,"✓",""))</f>
        <v/>
      </c>
      <c r="J799" s="57">
        <f>IF(OR($A799="",J$24=""),"",IF(COUNTIFS('AFA Rates'!$A$5:$A$1004,$A799,'AFA Rates'!$B$5:$B$1004,J$24)&gt;0,"✓",""))</f>
        <v/>
      </c>
      <c r="K799" s="57">
        <f>IF(OR($A799="",K$24=""),"",IF(COUNTIFS('AFA Rates'!$A$5:$A$1004,$A799,'AFA Rates'!$B$5:$B$1004,K$24)&gt;0,"✓",""))</f>
        <v/>
      </c>
      <c r="L799" s="57">
        <f>IF(OR($A799="",L$24=""),"",IF(COUNTIFS('AFA Rates'!$A$5:$A$1004,$A799,'AFA Rates'!$B$5:$B$1004,L$24)&gt;0,"✓",""))</f>
        <v/>
      </c>
      <c r="M799" s="57">
        <f>IF(OR($A799="",M$24=""),"",IF(COUNTIFS('AFA Rates'!$A$5:$A$1004,$A799,'AFA Rates'!$B$5:$B$1004,M$24)&gt;0,"✓",""))</f>
        <v/>
      </c>
    </row>
    <row r="800">
      <c r="A800" s="63">
        <f>IFERROR(INDEX(Firms!$A$5:$A$1004,MATCH(776,Firms!$S$5:$S$1004,0)),"")</f>
        <v/>
      </c>
      <c r="B800" s="57">
        <f>IF($A800="","",INDEX(Firms!$B$5:$B$1004,MATCH(776,Firms!$S$5:$S$1004,0)))</f>
        <v/>
      </c>
      <c r="C800" s="57">
        <f>IF($A800="","",COUNTIF('AFA Rates'!$A$5:$A$1004,$A800))</f>
        <v/>
      </c>
      <c r="D800" s="57">
        <f>IF(OR($A800="",D$24=""),"",IF(COUNTIFS('AFA Rates'!$A$5:$A$1004,$A800,'AFA Rates'!$B$5:$B$1004,D$24)&gt;0,"✓",""))</f>
        <v/>
      </c>
      <c r="E800" s="57">
        <f>IF(OR($A800="",E$24=""),"",IF(COUNTIFS('AFA Rates'!$A$5:$A$1004,$A800,'AFA Rates'!$B$5:$B$1004,E$24)&gt;0,"✓",""))</f>
        <v/>
      </c>
      <c r="F800" s="57">
        <f>IF(OR($A800="",F$24=""),"",IF(COUNTIFS('AFA Rates'!$A$5:$A$1004,$A800,'AFA Rates'!$B$5:$B$1004,F$24)&gt;0,"✓",""))</f>
        <v/>
      </c>
      <c r="G800" s="57">
        <f>IF(OR($A800="",G$24=""),"",IF(COUNTIFS('AFA Rates'!$A$5:$A$1004,$A800,'AFA Rates'!$B$5:$B$1004,G$24)&gt;0,"✓",""))</f>
        <v/>
      </c>
      <c r="H800" s="57">
        <f>IF(OR($A800="",H$24=""),"",IF(COUNTIFS('AFA Rates'!$A$5:$A$1004,$A800,'AFA Rates'!$B$5:$B$1004,H$24)&gt;0,"✓",""))</f>
        <v/>
      </c>
      <c r="I800" s="57">
        <f>IF(OR($A800="",I$24=""),"",IF(COUNTIFS('AFA Rates'!$A$5:$A$1004,$A800,'AFA Rates'!$B$5:$B$1004,I$24)&gt;0,"✓",""))</f>
        <v/>
      </c>
      <c r="J800" s="57">
        <f>IF(OR($A800="",J$24=""),"",IF(COUNTIFS('AFA Rates'!$A$5:$A$1004,$A800,'AFA Rates'!$B$5:$B$1004,J$24)&gt;0,"✓",""))</f>
        <v/>
      </c>
      <c r="K800" s="57">
        <f>IF(OR($A800="",K$24=""),"",IF(COUNTIFS('AFA Rates'!$A$5:$A$1004,$A800,'AFA Rates'!$B$5:$B$1004,K$24)&gt;0,"✓",""))</f>
        <v/>
      </c>
      <c r="L800" s="57">
        <f>IF(OR($A800="",L$24=""),"",IF(COUNTIFS('AFA Rates'!$A$5:$A$1004,$A800,'AFA Rates'!$B$5:$B$1004,L$24)&gt;0,"✓",""))</f>
        <v/>
      </c>
      <c r="M800" s="57">
        <f>IF(OR($A800="",M$24=""),"",IF(COUNTIFS('AFA Rates'!$A$5:$A$1004,$A800,'AFA Rates'!$B$5:$B$1004,M$24)&gt;0,"✓",""))</f>
        <v/>
      </c>
    </row>
    <row r="801">
      <c r="A801" s="63">
        <f>IFERROR(INDEX(Firms!$A$5:$A$1004,MATCH(777,Firms!$S$5:$S$1004,0)),"")</f>
        <v/>
      </c>
      <c r="B801" s="57">
        <f>IF($A801="","",INDEX(Firms!$B$5:$B$1004,MATCH(777,Firms!$S$5:$S$1004,0)))</f>
        <v/>
      </c>
      <c r="C801" s="57">
        <f>IF($A801="","",COUNTIF('AFA Rates'!$A$5:$A$1004,$A801))</f>
        <v/>
      </c>
      <c r="D801" s="57">
        <f>IF(OR($A801="",D$24=""),"",IF(COUNTIFS('AFA Rates'!$A$5:$A$1004,$A801,'AFA Rates'!$B$5:$B$1004,D$24)&gt;0,"✓",""))</f>
        <v/>
      </c>
      <c r="E801" s="57">
        <f>IF(OR($A801="",E$24=""),"",IF(COUNTIFS('AFA Rates'!$A$5:$A$1004,$A801,'AFA Rates'!$B$5:$B$1004,E$24)&gt;0,"✓",""))</f>
        <v/>
      </c>
      <c r="F801" s="57">
        <f>IF(OR($A801="",F$24=""),"",IF(COUNTIFS('AFA Rates'!$A$5:$A$1004,$A801,'AFA Rates'!$B$5:$B$1004,F$24)&gt;0,"✓",""))</f>
        <v/>
      </c>
      <c r="G801" s="57">
        <f>IF(OR($A801="",G$24=""),"",IF(COUNTIFS('AFA Rates'!$A$5:$A$1004,$A801,'AFA Rates'!$B$5:$B$1004,G$24)&gt;0,"✓",""))</f>
        <v/>
      </c>
      <c r="H801" s="57">
        <f>IF(OR($A801="",H$24=""),"",IF(COUNTIFS('AFA Rates'!$A$5:$A$1004,$A801,'AFA Rates'!$B$5:$B$1004,H$24)&gt;0,"✓",""))</f>
        <v/>
      </c>
      <c r="I801" s="57">
        <f>IF(OR($A801="",I$24=""),"",IF(COUNTIFS('AFA Rates'!$A$5:$A$1004,$A801,'AFA Rates'!$B$5:$B$1004,I$24)&gt;0,"✓",""))</f>
        <v/>
      </c>
      <c r="J801" s="57">
        <f>IF(OR($A801="",J$24=""),"",IF(COUNTIFS('AFA Rates'!$A$5:$A$1004,$A801,'AFA Rates'!$B$5:$B$1004,J$24)&gt;0,"✓",""))</f>
        <v/>
      </c>
      <c r="K801" s="57">
        <f>IF(OR($A801="",K$24=""),"",IF(COUNTIFS('AFA Rates'!$A$5:$A$1004,$A801,'AFA Rates'!$B$5:$B$1004,K$24)&gt;0,"✓",""))</f>
        <v/>
      </c>
      <c r="L801" s="57">
        <f>IF(OR($A801="",L$24=""),"",IF(COUNTIFS('AFA Rates'!$A$5:$A$1004,$A801,'AFA Rates'!$B$5:$B$1004,L$24)&gt;0,"✓",""))</f>
        <v/>
      </c>
      <c r="M801" s="57">
        <f>IF(OR($A801="",M$24=""),"",IF(COUNTIFS('AFA Rates'!$A$5:$A$1004,$A801,'AFA Rates'!$B$5:$B$1004,M$24)&gt;0,"✓",""))</f>
        <v/>
      </c>
    </row>
    <row r="802">
      <c r="A802" s="63">
        <f>IFERROR(INDEX(Firms!$A$5:$A$1004,MATCH(778,Firms!$S$5:$S$1004,0)),"")</f>
        <v/>
      </c>
      <c r="B802" s="57">
        <f>IF($A802="","",INDEX(Firms!$B$5:$B$1004,MATCH(778,Firms!$S$5:$S$1004,0)))</f>
        <v/>
      </c>
      <c r="C802" s="57">
        <f>IF($A802="","",COUNTIF('AFA Rates'!$A$5:$A$1004,$A802))</f>
        <v/>
      </c>
      <c r="D802" s="57">
        <f>IF(OR($A802="",D$24=""),"",IF(COUNTIFS('AFA Rates'!$A$5:$A$1004,$A802,'AFA Rates'!$B$5:$B$1004,D$24)&gt;0,"✓",""))</f>
        <v/>
      </c>
      <c r="E802" s="57">
        <f>IF(OR($A802="",E$24=""),"",IF(COUNTIFS('AFA Rates'!$A$5:$A$1004,$A802,'AFA Rates'!$B$5:$B$1004,E$24)&gt;0,"✓",""))</f>
        <v/>
      </c>
      <c r="F802" s="57">
        <f>IF(OR($A802="",F$24=""),"",IF(COUNTIFS('AFA Rates'!$A$5:$A$1004,$A802,'AFA Rates'!$B$5:$B$1004,F$24)&gt;0,"✓",""))</f>
        <v/>
      </c>
      <c r="G802" s="57">
        <f>IF(OR($A802="",G$24=""),"",IF(COUNTIFS('AFA Rates'!$A$5:$A$1004,$A802,'AFA Rates'!$B$5:$B$1004,G$24)&gt;0,"✓",""))</f>
        <v/>
      </c>
      <c r="H802" s="57">
        <f>IF(OR($A802="",H$24=""),"",IF(COUNTIFS('AFA Rates'!$A$5:$A$1004,$A802,'AFA Rates'!$B$5:$B$1004,H$24)&gt;0,"✓",""))</f>
        <v/>
      </c>
      <c r="I802" s="57">
        <f>IF(OR($A802="",I$24=""),"",IF(COUNTIFS('AFA Rates'!$A$5:$A$1004,$A802,'AFA Rates'!$B$5:$B$1004,I$24)&gt;0,"✓",""))</f>
        <v/>
      </c>
      <c r="J802" s="57">
        <f>IF(OR($A802="",J$24=""),"",IF(COUNTIFS('AFA Rates'!$A$5:$A$1004,$A802,'AFA Rates'!$B$5:$B$1004,J$24)&gt;0,"✓",""))</f>
        <v/>
      </c>
      <c r="K802" s="57">
        <f>IF(OR($A802="",K$24=""),"",IF(COUNTIFS('AFA Rates'!$A$5:$A$1004,$A802,'AFA Rates'!$B$5:$B$1004,K$24)&gt;0,"✓",""))</f>
        <v/>
      </c>
      <c r="L802" s="57">
        <f>IF(OR($A802="",L$24=""),"",IF(COUNTIFS('AFA Rates'!$A$5:$A$1004,$A802,'AFA Rates'!$B$5:$B$1004,L$24)&gt;0,"✓",""))</f>
        <v/>
      </c>
      <c r="M802" s="57">
        <f>IF(OR($A802="",M$24=""),"",IF(COUNTIFS('AFA Rates'!$A$5:$A$1004,$A802,'AFA Rates'!$B$5:$B$1004,M$24)&gt;0,"✓",""))</f>
        <v/>
      </c>
    </row>
    <row r="803">
      <c r="A803" s="63">
        <f>IFERROR(INDEX(Firms!$A$5:$A$1004,MATCH(779,Firms!$S$5:$S$1004,0)),"")</f>
        <v/>
      </c>
      <c r="B803" s="57">
        <f>IF($A803="","",INDEX(Firms!$B$5:$B$1004,MATCH(779,Firms!$S$5:$S$1004,0)))</f>
        <v/>
      </c>
      <c r="C803" s="57">
        <f>IF($A803="","",COUNTIF('AFA Rates'!$A$5:$A$1004,$A803))</f>
        <v/>
      </c>
      <c r="D803" s="57">
        <f>IF(OR($A803="",D$24=""),"",IF(COUNTIFS('AFA Rates'!$A$5:$A$1004,$A803,'AFA Rates'!$B$5:$B$1004,D$24)&gt;0,"✓",""))</f>
        <v/>
      </c>
      <c r="E803" s="57">
        <f>IF(OR($A803="",E$24=""),"",IF(COUNTIFS('AFA Rates'!$A$5:$A$1004,$A803,'AFA Rates'!$B$5:$B$1004,E$24)&gt;0,"✓",""))</f>
        <v/>
      </c>
      <c r="F803" s="57">
        <f>IF(OR($A803="",F$24=""),"",IF(COUNTIFS('AFA Rates'!$A$5:$A$1004,$A803,'AFA Rates'!$B$5:$B$1004,F$24)&gt;0,"✓",""))</f>
        <v/>
      </c>
      <c r="G803" s="57">
        <f>IF(OR($A803="",G$24=""),"",IF(COUNTIFS('AFA Rates'!$A$5:$A$1004,$A803,'AFA Rates'!$B$5:$B$1004,G$24)&gt;0,"✓",""))</f>
        <v/>
      </c>
      <c r="H803" s="57">
        <f>IF(OR($A803="",H$24=""),"",IF(COUNTIFS('AFA Rates'!$A$5:$A$1004,$A803,'AFA Rates'!$B$5:$B$1004,H$24)&gt;0,"✓",""))</f>
        <v/>
      </c>
      <c r="I803" s="57">
        <f>IF(OR($A803="",I$24=""),"",IF(COUNTIFS('AFA Rates'!$A$5:$A$1004,$A803,'AFA Rates'!$B$5:$B$1004,I$24)&gt;0,"✓",""))</f>
        <v/>
      </c>
      <c r="J803" s="57">
        <f>IF(OR($A803="",J$24=""),"",IF(COUNTIFS('AFA Rates'!$A$5:$A$1004,$A803,'AFA Rates'!$B$5:$B$1004,J$24)&gt;0,"✓",""))</f>
        <v/>
      </c>
      <c r="K803" s="57">
        <f>IF(OR($A803="",K$24=""),"",IF(COUNTIFS('AFA Rates'!$A$5:$A$1004,$A803,'AFA Rates'!$B$5:$B$1004,K$24)&gt;0,"✓",""))</f>
        <v/>
      </c>
      <c r="L803" s="57">
        <f>IF(OR($A803="",L$24=""),"",IF(COUNTIFS('AFA Rates'!$A$5:$A$1004,$A803,'AFA Rates'!$B$5:$B$1004,L$24)&gt;0,"✓",""))</f>
        <v/>
      </c>
      <c r="M803" s="57">
        <f>IF(OR($A803="",M$24=""),"",IF(COUNTIFS('AFA Rates'!$A$5:$A$1004,$A803,'AFA Rates'!$B$5:$B$1004,M$24)&gt;0,"✓",""))</f>
        <v/>
      </c>
    </row>
    <row r="804">
      <c r="A804" s="63">
        <f>IFERROR(INDEX(Firms!$A$5:$A$1004,MATCH(780,Firms!$S$5:$S$1004,0)),"")</f>
        <v/>
      </c>
      <c r="B804" s="57">
        <f>IF($A804="","",INDEX(Firms!$B$5:$B$1004,MATCH(780,Firms!$S$5:$S$1004,0)))</f>
        <v/>
      </c>
      <c r="C804" s="57">
        <f>IF($A804="","",COUNTIF('AFA Rates'!$A$5:$A$1004,$A804))</f>
        <v/>
      </c>
      <c r="D804" s="57">
        <f>IF(OR($A804="",D$24=""),"",IF(COUNTIFS('AFA Rates'!$A$5:$A$1004,$A804,'AFA Rates'!$B$5:$B$1004,D$24)&gt;0,"✓",""))</f>
        <v/>
      </c>
      <c r="E804" s="57">
        <f>IF(OR($A804="",E$24=""),"",IF(COUNTIFS('AFA Rates'!$A$5:$A$1004,$A804,'AFA Rates'!$B$5:$B$1004,E$24)&gt;0,"✓",""))</f>
        <v/>
      </c>
      <c r="F804" s="57">
        <f>IF(OR($A804="",F$24=""),"",IF(COUNTIFS('AFA Rates'!$A$5:$A$1004,$A804,'AFA Rates'!$B$5:$B$1004,F$24)&gt;0,"✓",""))</f>
        <v/>
      </c>
      <c r="G804" s="57">
        <f>IF(OR($A804="",G$24=""),"",IF(COUNTIFS('AFA Rates'!$A$5:$A$1004,$A804,'AFA Rates'!$B$5:$B$1004,G$24)&gt;0,"✓",""))</f>
        <v/>
      </c>
      <c r="H804" s="57">
        <f>IF(OR($A804="",H$24=""),"",IF(COUNTIFS('AFA Rates'!$A$5:$A$1004,$A804,'AFA Rates'!$B$5:$B$1004,H$24)&gt;0,"✓",""))</f>
        <v/>
      </c>
      <c r="I804" s="57">
        <f>IF(OR($A804="",I$24=""),"",IF(COUNTIFS('AFA Rates'!$A$5:$A$1004,$A804,'AFA Rates'!$B$5:$B$1004,I$24)&gt;0,"✓",""))</f>
        <v/>
      </c>
      <c r="J804" s="57">
        <f>IF(OR($A804="",J$24=""),"",IF(COUNTIFS('AFA Rates'!$A$5:$A$1004,$A804,'AFA Rates'!$B$5:$B$1004,J$24)&gt;0,"✓",""))</f>
        <v/>
      </c>
      <c r="K804" s="57">
        <f>IF(OR($A804="",K$24=""),"",IF(COUNTIFS('AFA Rates'!$A$5:$A$1004,$A804,'AFA Rates'!$B$5:$B$1004,K$24)&gt;0,"✓",""))</f>
        <v/>
      </c>
      <c r="L804" s="57">
        <f>IF(OR($A804="",L$24=""),"",IF(COUNTIFS('AFA Rates'!$A$5:$A$1004,$A804,'AFA Rates'!$B$5:$B$1004,L$24)&gt;0,"✓",""))</f>
        <v/>
      </c>
      <c r="M804" s="57">
        <f>IF(OR($A804="",M$24=""),"",IF(COUNTIFS('AFA Rates'!$A$5:$A$1004,$A804,'AFA Rates'!$B$5:$B$1004,M$24)&gt;0,"✓",""))</f>
        <v/>
      </c>
    </row>
    <row r="805">
      <c r="A805" s="63">
        <f>IFERROR(INDEX(Firms!$A$5:$A$1004,MATCH(781,Firms!$S$5:$S$1004,0)),"")</f>
        <v/>
      </c>
      <c r="B805" s="57">
        <f>IF($A805="","",INDEX(Firms!$B$5:$B$1004,MATCH(781,Firms!$S$5:$S$1004,0)))</f>
        <v/>
      </c>
      <c r="C805" s="57">
        <f>IF($A805="","",COUNTIF('AFA Rates'!$A$5:$A$1004,$A805))</f>
        <v/>
      </c>
      <c r="D805" s="57">
        <f>IF(OR($A805="",D$24=""),"",IF(COUNTIFS('AFA Rates'!$A$5:$A$1004,$A805,'AFA Rates'!$B$5:$B$1004,D$24)&gt;0,"✓",""))</f>
        <v/>
      </c>
      <c r="E805" s="57">
        <f>IF(OR($A805="",E$24=""),"",IF(COUNTIFS('AFA Rates'!$A$5:$A$1004,$A805,'AFA Rates'!$B$5:$B$1004,E$24)&gt;0,"✓",""))</f>
        <v/>
      </c>
      <c r="F805" s="57">
        <f>IF(OR($A805="",F$24=""),"",IF(COUNTIFS('AFA Rates'!$A$5:$A$1004,$A805,'AFA Rates'!$B$5:$B$1004,F$24)&gt;0,"✓",""))</f>
        <v/>
      </c>
      <c r="G805" s="57">
        <f>IF(OR($A805="",G$24=""),"",IF(COUNTIFS('AFA Rates'!$A$5:$A$1004,$A805,'AFA Rates'!$B$5:$B$1004,G$24)&gt;0,"✓",""))</f>
        <v/>
      </c>
      <c r="H805" s="57">
        <f>IF(OR($A805="",H$24=""),"",IF(COUNTIFS('AFA Rates'!$A$5:$A$1004,$A805,'AFA Rates'!$B$5:$B$1004,H$24)&gt;0,"✓",""))</f>
        <v/>
      </c>
      <c r="I805" s="57">
        <f>IF(OR($A805="",I$24=""),"",IF(COUNTIFS('AFA Rates'!$A$5:$A$1004,$A805,'AFA Rates'!$B$5:$B$1004,I$24)&gt;0,"✓",""))</f>
        <v/>
      </c>
      <c r="J805" s="57">
        <f>IF(OR($A805="",J$24=""),"",IF(COUNTIFS('AFA Rates'!$A$5:$A$1004,$A805,'AFA Rates'!$B$5:$B$1004,J$24)&gt;0,"✓",""))</f>
        <v/>
      </c>
      <c r="K805" s="57">
        <f>IF(OR($A805="",K$24=""),"",IF(COUNTIFS('AFA Rates'!$A$5:$A$1004,$A805,'AFA Rates'!$B$5:$B$1004,K$24)&gt;0,"✓",""))</f>
        <v/>
      </c>
      <c r="L805" s="57">
        <f>IF(OR($A805="",L$24=""),"",IF(COUNTIFS('AFA Rates'!$A$5:$A$1004,$A805,'AFA Rates'!$B$5:$B$1004,L$24)&gt;0,"✓",""))</f>
        <v/>
      </c>
      <c r="M805" s="57">
        <f>IF(OR($A805="",M$24=""),"",IF(COUNTIFS('AFA Rates'!$A$5:$A$1004,$A805,'AFA Rates'!$B$5:$B$1004,M$24)&gt;0,"✓",""))</f>
        <v/>
      </c>
    </row>
    <row r="806">
      <c r="A806" s="63">
        <f>IFERROR(INDEX(Firms!$A$5:$A$1004,MATCH(782,Firms!$S$5:$S$1004,0)),"")</f>
        <v/>
      </c>
      <c r="B806" s="57">
        <f>IF($A806="","",INDEX(Firms!$B$5:$B$1004,MATCH(782,Firms!$S$5:$S$1004,0)))</f>
        <v/>
      </c>
      <c r="C806" s="57">
        <f>IF($A806="","",COUNTIF('AFA Rates'!$A$5:$A$1004,$A806))</f>
        <v/>
      </c>
      <c r="D806" s="57">
        <f>IF(OR($A806="",D$24=""),"",IF(COUNTIFS('AFA Rates'!$A$5:$A$1004,$A806,'AFA Rates'!$B$5:$B$1004,D$24)&gt;0,"✓",""))</f>
        <v/>
      </c>
      <c r="E806" s="57">
        <f>IF(OR($A806="",E$24=""),"",IF(COUNTIFS('AFA Rates'!$A$5:$A$1004,$A806,'AFA Rates'!$B$5:$B$1004,E$24)&gt;0,"✓",""))</f>
        <v/>
      </c>
      <c r="F806" s="57">
        <f>IF(OR($A806="",F$24=""),"",IF(COUNTIFS('AFA Rates'!$A$5:$A$1004,$A806,'AFA Rates'!$B$5:$B$1004,F$24)&gt;0,"✓",""))</f>
        <v/>
      </c>
      <c r="G806" s="57">
        <f>IF(OR($A806="",G$24=""),"",IF(COUNTIFS('AFA Rates'!$A$5:$A$1004,$A806,'AFA Rates'!$B$5:$B$1004,G$24)&gt;0,"✓",""))</f>
        <v/>
      </c>
      <c r="H806" s="57">
        <f>IF(OR($A806="",H$24=""),"",IF(COUNTIFS('AFA Rates'!$A$5:$A$1004,$A806,'AFA Rates'!$B$5:$B$1004,H$24)&gt;0,"✓",""))</f>
        <v/>
      </c>
      <c r="I806" s="57">
        <f>IF(OR($A806="",I$24=""),"",IF(COUNTIFS('AFA Rates'!$A$5:$A$1004,$A806,'AFA Rates'!$B$5:$B$1004,I$24)&gt;0,"✓",""))</f>
        <v/>
      </c>
      <c r="J806" s="57">
        <f>IF(OR($A806="",J$24=""),"",IF(COUNTIFS('AFA Rates'!$A$5:$A$1004,$A806,'AFA Rates'!$B$5:$B$1004,J$24)&gt;0,"✓",""))</f>
        <v/>
      </c>
      <c r="K806" s="57">
        <f>IF(OR($A806="",K$24=""),"",IF(COUNTIFS('AFA Rates'!$A$5:$A$1004,$A806,'AFA Rates'!$B$5:$B$1004,K$24)&gt;0,"✓",""))</f>
        <v/>
      </c>
      <c r="L806" s="57">
        <f>IF(OR($A806="",L$24=""),"",IF(COUNTIFS('AFA Rates'!$A$5:$A$1004,$A806,'AFA Rates'!$B$5:$B$1004,L$24)&gt;0,"✓",""))</f>
        <v/>
      </c>
      <c r="M806" s="57">
        <f>IF(OR($A806="",M$24=""),"",IF(COUNTIFS('AFA Rates'!$A$5:$A$1004,$A806,'AFA Rates'!$B$5:$B$1004,M$24)&gt;0,"✓",""))</f>
        <v/>
      </c>
    </row>
    <row r="807">
      <c r="A807" s="63">
        <f>IFERROR(INDEX(Firms!$A$5:$A$1004,MATCH(783,Firms!$S$5:$S$1004,0)),"")</f>
        <v/>
      </c>
      <c r="B807" s="57">
        <f>IF($A807="","",INDEX(Firms!$B$5:$B$1004,MATCH(783,Firms!$S$5:$S$1004,0)))</f>
        <v/>
      </c>
      <c r="C807" s="57">
        <f>IF($A807="","",COUNTIF('AFA Rates'!$A$5:$A$1004,$A807))</f>
        <v/>
      </c>
      <c r="D807" s="57">
        <f>IF(OR($A807="",D$24=""),"",IF(COUNTIFS('AFA Rates'!$A$5:$A$1004,$A807,'AFA Rates'!$B$5:$B$1004,D$24)&gt;0,"✓",""))</f>
        <v/>
      </c>
      <c r="E807" s="57">
        <f>IF(OR($A807="",E$24=""),"",IF(COUNTIFS('AFA Rates'!$A$5:$A$1004,$A807,'AFA Rates'!$B$5:$B$1004,E$24)&gt;0,"✓",""))</f>
        <v/>
      </c>
      <c r="F807" s="57">
        <f>IF(OR($A807="",F$24=""),"",IF(COUNTIFS('AFA Rates'!$A$5:$A$1004,$A807,'AFA Rates'!$B$5:$B$1004,F$24)&gt;0,"✓",""))</f>
        <v/>
      </c>
      <c r="G807" s="57">
        <f>IF(OR($A807="",G$24=""),"",IF(COUNTIFS('AFA Rates'!$A$5:$A$1004,$A807,'AFA Rates'!$B$5:$B$1004,G$24)&gt;0,"✓",""))</f>
        <v/>
      </c>
      <c r="H807" s="57">
        <f>IF(OR($A807="",H$24=""),"",IF(COUNTIFS('AFA Rates'!$A$5:$A$1004,$A807,'AFA Rates'!$B$5:$B$1004,H$24)&gt;0,"✓",""))</f>
        <v/>
      </c>
      <c r="I807" s="57">
        <f>IF(OR($A807="",I$24=""),"",IF(COUNTIFS('AFA Rates'!$A$5:$A$1004,$A807,'AFA Rates'!$B$5:$B$1004,I$24)&gt;0,"✓",""))</f>
        <v/>
      </c>
      <c r="J807" s="57">
        <f>IF(OR($A807="",J$24=""),"",IF(COUNTIFS('AFA Rates'!$A$5:$A$1004,$A807,'AFA Rates'!$B$5:$B$1004,J$24)&gt;0,"✓",""))</f>
        <v/>
      </c>
      <c r="K807" s="57">
        <f>IF(OR($A807="",K$24=""),"",IF(COUNTIFS('AFA Rates'!$A$5:$A$1004,$A807,'AFA Rates'!$B$5:$B$1004,K$24)&gt;0,"✓",""))</f>
        <v/>
      </c>
      <c r="L807" s="57">
        <f>IF(OR($A807="",L$24=""),"",IF(COUNTIFS('AFA Rates'!$A$5:$A$1004,$A807,'AFA Rates'!$B$5:$B$1004,L$24)&gt;0,"✓",""))</f>
        <v/>
      </c>
      <c r="M807" s="57">
        <f>IF(OR($A807="",M$24=""),"",IF(COUNTIFS('AFA Rates'!$A$5:$A$1004,$A807,'AFA Rates'!$B$5:$B$1004,M$24)&gt;0,"✓",""))</f>
        <v/>
      </c>
    </row>
    <row r="808">
      <c r="A808" s="63">
        <f>IFERROR(INDEX(Firms!$A$5:$A$1004,MATCH(784,Firms!$S$5:$S$1004,0)),"")</f>
        <v/>
      </c>
      <c r="B808" s="57">
        <f>IF($A808="","",INDEX(Firms!$B$5:$B$1004,MATCH(784,Firms!$S$5:$S$1004,0)))</f>
        <v/>
      </c>
      <c r="C808" s="57">
        <f>IF($A808="","",COUNTIF('AFA Rates'!$A$5:$A$1004,$A808))</f>
        <v/>
      </c>
      <c r="D808" s="57">
        <f>IF(OR($A808="",D$24=""),"",IF(COUNTIFS('AFA Rates'!$A$5:$A$1004,$A808,'AFA Rates'!$B$5:$B$1004,D$24)&gt;0,"✓",""))</f>
        <v/>
      </c>
      <c r="E808" s="57">
        <f>IF(OR($A808="",E$24=""),"",IF(COUNTIFS('AFA Rates'!$A$5:$A$1004,$A808,'AFA Rates'!$B$5:$B$1004,E$24)&gt;0,"✓",""))</f>
        <v/>
      </c>
      <c r="F808" s="57">
        <f>IF(OR($A808="",F$24=""),"",IF(COUNTIFS('AFA Rates'!$A$5:$A$1004,$A808,'AFA Rates'!$B$5:$B$1004,F$24)&gt;0,"✓",""))</f>
        <v/>
      </c>
      <c r="G808" s="57">
        <f>IF(OR($A808="",G$24=""),"",IF(COUNTIFS('AFA Rates'!$A$5:$A$1004,$A808,'AFA Rates'!$B$5:$B$1004,G$24)&gt;0,"✓",""))</f>
        <v/>
      </c>
      <c r="H808" s="57">
        <f>IF(OR($A808="",H$24=""),"",IF(COUNTIFS('AFA Rates'!$A$5:$A$1004,$A808,'AFA Rates'!$B$5:$B$1004,H$24)&gt;0,"✓",""))</f>
        <v/>
      </c>
      <c r="I808" s="57">
        <f>IF(OR($A808="",I$24=""),"",IF(COUNTIFS('AFA Rates'!$A$5:$A$1004,$A808,'AFA Rates'!$B$5:$B$1004,I$24)&gt;0,"✓",""))</f>
        <v/>
      </c>
      <c r="J808" s="57">
        <f>IF(OR($A808="",J$24=""),"",IF(COUNTIFS('AFA Rates'!$A$5:$A$1004,$A808,'AFA Rates'!$B$5:$B$1004,J$24)&gt;0,"✓",""))</f>
        <v/>
      </c>
      <c r="K808" s="57">
        <f>IF(OR($A808="",K$24=""),"",IF(COUNTIFS('AFA Rates'!$A$5:$A$1004,$A808,'AFA Rates'!$B$5:$B$1004,K$24)&gt;0,"✓",""))</f>
        <v/>
      </c>
      <c r="L808" s="57">
        <f>IF(OR($A808="",L$24=""),"",IF(COUNTIFS('AFA Rates'!$A$5:$A$1004,$A808,'AFA Rates'!$B$5:$B$1004,L$24)&gt;0,"✓",""))</f>
        <v/>
      </c>
      <c r="M808" s="57">
        <f>IF(OR($A808="",M$24=""),"",IF(COUNTIFS('AFA Rates'!$A$5:$A$1004,$A808,'AFA Rates'!$B$5:$B$1004,M$24)&gt;0,"✓",""))</f>
        <v/>
      </c>
    </row>
    <row r="809">
      <c r="A809" s="63">
        <f>IFERROR(INDEX(Firms!$A$5:$A$1004,MATCH(785,Firms!$S$5:$S$1004,0)),"")</f>
        <v/>
      </c>
      <c r="B809" s="57">
        <f>IF($A809="","",INDEX(Firms!$B$5:$B$1004,MATCH(785,Firms!$S$5:$S$1004,0)))</f>
        <v/>
      </c>
      <c r="C809" s="57">
        <f>IF($A809="","",COUNTIF('AFA Rates'!$A$5:$A$1004,$A809))</f>
        <v/>
      </c>
      <c r="D809" s="57">
        <f>IF(OR($A809="",D$24=""),"",IF(COUNTIFS('AFA Rates'!$A$5:$A$1004,$A809,'AFA Rates'!$B$5:$B$1004,D$24)&gt;0,"✓",""))</f>
        <v/>
      </c>
      <c r="E809" s="57">
        <f>IF(OR($A809="",E$24=""),"",IF(COUNTIFS('AFA Rates'!$A$5:$A$1004,$A809,'AFA Rates'!$B$5:$B$1004,E$24)&gt;0,"✓",""))</f>
        <v/>
      </c>
      <c r="F809" s="57">
        <f>IF(OR($A809="",F$24=""),"",IF(COUNTIFS('AFA Rates'!$A$5:$A$1004,$A809,'AFA Rates'!$B$5:$B$1004,F$24)&gt;0,"✓",""))</f>
        <v/>
      </c>
      <c r="G809" s="57">
        <f>IF(OR($A809="",G$24=""),"",IF(COUNTIFS('AFA Rates'!$A$5:$A$1004,$A809,'AFA Rates'!$B$5:$B$1004,G$24)&gt;0,"✓",""))</f>
        <v/>
      </c>
      <c r="H809" s="57">
        <f>IF(OR($A809="",H$24=""),"",IF(COUNTIFS('AFA Rates'!$A$5:$A$1004,$A809,'AFA Rates'!$B$5:$B$1004,H$24)&gt;0,"✓",""))</f>
        <v/>
      </c>
      <c r="I809" s="57">
        <f>IF(OR($A809="",I$24=""),"",IF(COUNTIFS('AFA Rates'!$A$5:$A$1004,$A809,'AFA Rates'!$B$5:$B$1004,I$24)&gt;0,"✓",""))</f>
        <v/>
      </c>
      <c r="J809" s="57">
        <f>IF(OR($A809="",J$24=""),"",IF(COUNTIFS('AFA Rates'!$A$5:$A$1004,$A809,'AFA Rates'!$B$5:$B$1004,J$24)&gt;0,"✓",""))</f>
        <v/>
      </c>
      <c r="K809" s="57">
        <f>IF(OR($A809="",K$24=""),"",IF(COUNTIFS('AFA Rates'!$A$5:$A$1004,$A809,'AFA Rates'!$B$5:$B$1004,K$24)&gt;0,"✓",""))</f>
        <v/>
      </c>
      <c r="L809" s="57">
        <f>IF(OR($A809="",L$24=""),"",IF(COUNTIFS('AFA Rates'!$A$5:$A$1004,$A809,'AFA Rates'!$B$5:$B$1004,L$24)&gt;0,"✓",""))</f>
        <v/>
      </c>
      <c r="M809" s="57">
        <f>IF(OR($A809="",M$24=""),"",IF(COUNTIFS('AFA Rates'!$A$5:$A$1004,$A809,'AFA Rates'!$B$5:$B$1004,M$24)&gt;0,"✓",""))</f>
        <v/>
      </c>
    </row>
    <row r="810">
      <c r="A810" s="63">
        <f>IFERROR(INDEX(Firms!$A$5:$A$1004,MATCH(786,Firms!$S$5:$S$1004,0)),"")</f>
        <v/>
      </c>
      <c r="B810" s="57">
        <f>IF($A810="","",INDEX(Firms!$B$5:$B$1004,MATCH(786,Firms!$S$5:$S$1004,0)))</f>
        <v/>
      </c>
      <c r="C810" s="57">
        <f>IF($A810="","",COUNTIF('AFA Rates'!$A$5:$A$1004,$A810))</f>
        <v/>
      </c>
      <c r="D810" s="57">
        <f>IF(OR($A810="",D$24=""),"",IF(COUNTIFS('AFA Rates'!$A$5:$A$1004,$A810,'AFA Rates'!$B$5:$B$1004,D$24)&gt;0,"✓",""))</f>
        <v/>
      </c>
      <c r="E810" s="57">
        <f>IF(OR($A810="",E$24=""),"",IF(COUNTIFS('AFA Rates'!$A$5:$A$1004,$A810,'AFA Rates'!$B$5:$B$1004,E$24)&gt;0,"✓",""))</f>
        <v/>
      </c>
      <c r="F810" s="57">
        <f>IF(OR($A810="",F$24=""),"",IF(COUNTIFS('AFA Rates'!$A$5:$A$1004,$A810,'AFA Rates'!$B$5:$B$1004,F$24)&gt;0,"✓",""))</f>
        <v/>
      </c>
      <c r="G810" s="57">
        <f>IF(OR($A810="",G$24=""),"",IF(COUNTIFS('AFA Rates'!$A$5:$A$1004,$A810,'AFA Rates'!$B$5:$B$1004,G$24)&gt;0,"✓",""))</f>
        <v/>
      </c>
      <c r="H810" s="57">
        <f>IF(OR($A810="",H$24=""),"",IF(COUNTIFS('AFA Rates'!$A$5:$A$1004,$A810,'AFA Rates'!$B$5:$B$1004,H$24)&gt;0,"✓",""))</f>
        <v/>
      </c>
      <c r="I810" s="57">
        <f>IF(OR($A810="",I$24=""),"",IF(COUNTIFS('AFA Rates'!$A$5:$A$1004,$A810,'AFA Rates'!$B$5:$B$1004,I$24)&gt;0,"✓",""))</f>
        <v/>
      </c>
      <c r="J810" s="57">
        <f>IF(OR($A810="",J$24=""),"",IF(COUNTIFS('AFA Rates'!$A$5:$A$1004,$A810,'AFA Rates'!$B$5:$B$1004,J$24)&gt;0,"✓",""))</f>
        <v/>
      </c>
      <c r="K810" s="57">
        <f>IF(OR($A810="",K$24=""),"",IF(COUNTIFS('AFA Rates'!$A$5:$A$1004,$A810,'AFA Rates'!$B$5:$B$1004,K$24)&gt;0,"✓",""))</f>
        <v/>
      </c>
      <c r="L810" s="57">
        <f>IF(OR($A810="",L$24=""),"",IF(COUNTIFS('AFA Rates'!$A$5:$A$1004,$A810,'AFA Rates'!$B$5:$B$1004,L$24)&gt;0,"✓",""))</f>
        <v/>
      </c>
      <c r="M810" s="57">
        <f>IF(OR($A810="",M$24=""),"",IF(COUNTIFS('AFA Rates'!$A$5:$A$1004,$A810,'AFA Rates'!$B$5:$B$1004,M$24)&gt;0,"✓",""))</f>
        <v/>
      </c>
    </row>
    <row r="811">
      <c r="A811" s="63">
        <f>IFERROR(INDEX(Firms!$A$5:$A$1004,MATCH(787,Firms!$S$5:$S$1004,0)),"")</f>
        <v/>
      </c>
      <c r="B811" s="57">
        <f>IF($A811="","",INDEX(Firms!$B$5:$B$1004,MATCH(787,Firms!$S$5:$S$1004,0)))</f>
        <v/>
      </c>
      <c r="C811" s="57">
        <f>IF($A811="","",COUNTIF('AFA Rates'!$A$5:$A$1004,$A811))</f>
        <v/>
      </c>
      <c r="D811" s="57">
        <f>IF(OR($A811="",D$24=""),"",IF(COUNTIFS('AFA Rates'!$A$5:$A$1004,$A811,'AFA Rates'!$B$5:$B$1004,D$24)&gt;0,"✓",""))</f>
        <v/>
      </c>
      <c r="E811" s="57">
        <f>IF(OR($A811="",E$24=""),"",IF(COUNTIFS('AFA Rates'!$A$5:$A$1004,$A811,'AFA Rates'!$B$5:$B$1004,E$24)&gt;0,"✓",""))</f>
        <v/>
      </c>
      <c r="F811" s="57">
        <f>IF(OR($A811="",F$24=""),"",IF(COUNTIFS('AFA Rates'!$A$5:$A$1004,$A811,'AFA Rates'!$B$5:$B$1004,F$24)&gt;0,"✓",""))</f>
        <v/>
      </c>
      <c r="G811" s="57">
        <f>IF(OR($A811="",G$24=""),"",IF(COUNTIFS('AFA Rates'!$A$5:$A$1004,$A811,'AFA Rates'!$B$5:$B$1004,G$24)&gt;0,"✓",""))</f>
        <v/>
      </c>
      <c r="H811" s="57">
        <f>IF(OR($A811="",H$24=""),"",IF(COUNTIFS('AFA Rates'!$A$5:$A$1004,$A811,'AFA Rates'!$B$5:$B$1004,H$24)&gt;0,"✓",""))</f>
        <v/>
      </c>
      <c r="I811" s="57">
        <f>IF(OR($A811="",I$24=""),"",IF(COUNTIFS('AFA Rates'!$A$5:$A$1004,$A811,'AFA Rates'!$B$5:$B$1004,I$24)&gt;0,"✓",""))</f>
        <v/>
      </c>
      <c r="J811" s="57">
        <f>IF(OR($A811="",J$24=""),"",IF(COUNTIFS('AFA Rates'!$A$5:$A$1004,$A811,'AFA Rates'!$B$5:$B$1004,J$24)&gt;0,"✓",""))</f>
        <v/>
      </c>
      <c r="K811" s="57">
        <f>IF(OR($A811="",K$24=""),"",IF(COUNTIFS('AFA Rates'!$A$5:$A$1004,$A811,'AFA Rates'!$B$5:$B$1004,K$24)&gt;0,"✓",""))</f>
        <v/>
      </c>
      <c r="L811" s="57">
        <f>IF(OR($A811="",L$24=""),"",IF(COUNTIFS('AFA Rates'!$A$5:$A$1004,$A811,'AFA Rates'!$B$5:$B$1004,L$24)&gt;0,"✓",""))</f>
        <v/>
      </c>
      <c r="M811" s="57">
        <f>IF(OR($A811="",M$24=""),"",IF(COUNTIFS('AFA Rates'!$A$5:$A$1004,$A811,'AFA Rates'!$B$5:$B$1004,M$24)&gt;0,"✓",""))</f>
        <v/>
      </c>
    </row>
    <row r="812">
      <c r="A812" s="63">
        <f>IFERROR(INDEX(Firms!$A$5:$A$1004,MATCH(788,Firms!$S$5:$S$1004,0)),"")</f>
        <v/>
      </c>
      <c r="B812" s="57">
        <f>IF($A812="","",INDEX(Firms!$B$5:$B$1004,MATCH(788,Firms!$S$5:$S$1004,0)))</f>
        <v/>
      </c>
      <c r="C812" s="57">
        <f>IF($A812="","",COUNTIF('AFA Rates'!$A$5:$A$1004,$A812))</f>
        <v/>
      </c>
      <c r="D812" s="57">
        <f>IF(OR($A812="",D$24=""),"",IF(COUNTIFS('AFA Rates'!$A$5:$A$1004,$A812,'AFA Rates'!$B$5:$B$1004,D$24)&gt;0,"✓",""))</f>
        <v/>
      </c>
      <c r="E812" s="57">
        <f>IF(OR($A812="",E$24=""),"",IF(COUNTIFS('AFA Rates'!$A$5:$A$1004,$A812,'AFA Rates'!$B$5:$B$1004,E$24)&gt;0,"✓",""))</f>
        <v/>
      </c>
      <c r="F812" s="57">
        <f>IF(OR($A812="",F$24=""),"",IF(COUNTIFS('AFA Rates'!$A$5:$A$1004,$A812,'AFA Rates'!$B$5:$B$1004,F$24)&gt;0,"✓",""))</f>
        <v/>
      </c>
      <c r="G812" s="57">
        <f>IF(OR($A812="",G$24=""),"",IF(COUNTIFS('AFA Rates'!$A$5:$A$1004,$A812,'AFA Rates'!$B$5:$B$1004,G$24)&gt;0,"✓",""))</f>
        <v/>
      </c>
      <c r="H812" s="57">
        <f>IF(OR($A812="",H$24=""),"",IF(COUNTIFS('AFA Rates'!$A$5:$A$1004,$A812,'AFA Rates'!$B$5:$B$1004,H$24)&gt;0,"✓",""))</f>
        <v/>
      </c>
      <c r="I812" s="57">
        <f>IF(OR($A812="",I$24=""),"",IF(COUNTIFS('AFA Rates'!$A$5:$A$1004,$A812,'AFA Rates'!$B$5:$B$1004,I$24)&gt;0,"✓",""))</f>
        <v/>
      </c>
      <c r="J812" s="57">
        <f>IF(OR($A812="",J$24=""),"",IF(COUNTIFS('AFA Rates'!$A$5:$A$1004,$A812,'AFA Rates'!$B$5:$B$1004,J$24)&gt;0,"✓",""))</f>
        <v/>
      </c>
      <c r="K812" s="57">
        <f>IF(OR($A812="",K$24=""),"",IF(COUNTIFS('AFA Rates'!$A$5:$A$1004,$A812,'AFA Rates'!$B$5:$B$1004,K$24)&gt;0,"✓",""))</f>
        <v/>
      </c>
      <c r="L812" s="57">
        <f>IF(OR($A812="",L$24=""),"",IF(COUNTIFS('AFA Rates'!$A$5:$A$1004,$A812,'AFA Rates'!$B$5:$B$1004,L$24)&gt;0,"✓",""))</f>
        <v/>
      </c>
      <c r="M812" s="57">
        <f>IF(OR($A812="",M$24=""),"",IF(COUNTIFS('AFA Rates'!$A$5:$A$1004,$A812,'AFA Rates'!$B$5:$B$1004,M$24)&gt;0,"✓",""))</f>
        <v/>
      </c>
    </row>
    <row r="813">
      <c r="A813" s="63">
        <f>IFERROR(INDEX(Firms!$A$5:$A$1004,MATCH(789,Firms!$S$5:$S$1004,0)),"")</f>
        <v/>
      </c>
      <c r="B813" s="57">
        <f>IF($A813="","",INDEX(Firms!$B$5:$B$1004,MATCH(789,Firms!$S$5:$S$1004,0)))</f>
        <v/>
      </c>
      <c r="C813" s="57">
        <f>IF($A813="","",COUNTIF('AFA Rates'!$A$5:$A$1004,$A813))</f>
        <v/>
      </c>
      <c r="D813" s="57">
        <f>IF(OR($A813="",D$24=""),"",IF(COUNTIFS('AFA Rates'!$A$5:$A$1004,$A813,'AFA Rates'!$B$5:$B$1004,D$24)&gt;0,"✓",""))</f>
        <v/>
      </c>
      <c r="E813" s="57">
        <f>IF(OR($A813="",E$24=""),"",IF(COUNTIFS('AFA Rates'!$A$5:$A$1004,$A813,'AFA Rates'!$B$5:$B$1004,E$24)&gt;0,"✓",""))</f>
        <v/>
      </c>
      <c r="F813" s="57">
        <f>IF(OR($A813="",F$24=""),"",IF(COUNTIFS('AFA Rates'!$A$5:$A$1004,$A813,'AFA Rates'!$B$5:$B$1004,F$24)&gt;0,"✓",""))</f>
        <v/>
      </c>
      <c r="G813" s="57">
        <f>IF(OR($A813="",G$24=""),"",IF(COUNTIFS('AFA Rates'!$A$5:$A$1004,$A813,'AFA Rates'!$B$5:$B$1004,G$24)&gt;0,"✓",""))</f>
        <v/>
      </c>
      <c r="H813" s="57">
        <f>IF(OR($A813="",H$24=""),"",IF(COUNTIFS('AFA Rates'!$A$5:$A$1004,$A813,'AFA Rates'!$B$5:$B$1004,H$24)&gt;0,"✓",""))</f>
        <v/>
      </c>
      <c r="I813" s="57">
        <f>IF(OR($A813="",I$24=""),"",IF(COUNTIFS('AFA Rates'!$A$5:$A$1004,$A813,'AFA Rates'!$B$5:$B$1004,I$24)&gt;0,"✓",""))</f>
        <v/>
      </c>
      <c r="J813" s="57">
        <f>IF(OR($A813="",J$24=""),"",IF(COUNTIFS('AFA Rates'!$A$5:$A$1004,$A813,'AFA Rates'!$B$5:$B$1004,J$24)&gt;0,"✓",""))</f>
        <v/>
      </c>
      <c r="K813" s="57">
        <f>IF(OR($A813="",K$24=""),"",IF(COUNTIFS('AFA Rates'!$A$5:$A$1004,$A813,'AFA Rates'!$B$5:$B$1004,K$24)&gt;0,"✓",""))</f>
        <v/>
      </c>
      <c r="L813" s="57">
        <f>IF(OR($A813="",L$24=""),"",IF(COUNTIFS('AFA Rates'!$A$5:$A$1004,$A813,'AFA Rates'!$B$5:$B$1004,L$24)&gt;0,"✓",""))</f>
        <v/>
      </c>
      <c r="M813" s="57">
        <f>IF(OR($A813="",M$24=""),"",IF(COUNTIFS('AFA Rates'!$A$5:$A$1004,$A813,'AFA Rates'!$B$5:$B$1004,M$24)&gt;0,"✓",""))</f>
        <v/>
      </c>
    </row>
    <row r="814">
      <c r="A814" s="63">
        <f>IFERROR(INDEX(Firms!$A$5:$A$1004,MATCH(790,Firms!$S$5:$S$1004,0)),"")</f>
        <v/>
      </c>
      <c r="B814" s="57">
        <f>IF($A814="","",INDEX(Firms!$B$5:$B$1004,MATCH(790,Firms!$S$5:$S$1004,0)))</f>
        <v/>
      </c>
      <c r="C814" s="57">
        <f>IF($A814="","",COUNTIF('AFA Rates'!$A$5:$A$1004,$A814))</f>
        <v/>
      </c>
      <c r="D814" s="57">
        <f>IF(OR($A814="",D$24=""),"",IF(COUNTIFS('AFA Rates'!$A$5:$A$1004,$A814,'AFA Rates'!$B$5:$B$1004,D$24)&gt;0,"✓",""))</f>
        <v/>
      </c>
      <c r="E814" s="57">
        <f>IF(OR($A814="",E$24=""),"",IF(COUNTIFS('AFA Rates'!$A$5:$A$1004,$A814,'AFA Rates'!$B$5:$B$1004,E$24)&gt;0,"✓",""))</f>
        <v/>
      </c>
      <c r="F814" s="57">
        <f>IF(OR($A814="",F$24=""),"",IF(COUNTIFS('AFA Rates'!$A$5:$A$1004,$A814,'AFA Rates'!$B$5:$B$1004,F$24)&gt;0,"✓",""))</f>
        <v/>
      </c>
      <c r="G814" s="57">
        <f>IF(OR($A814="",G$24=""),"",IF(COUNTIFS('AFA Rates'!$A$5:$A$1004,$A814,'AFA Rates'!$B$5:$B$1004,G$24)&gt;0,"✓",""))</f>
        <v/>
      </c>
      <c r="H814" s="57">
        <f>IF(OR($A814="",H$24=""),"",IF(COUNTIFS('AFA Rates'!$A$5:$A$1004,$A814,'AFA Rates'!$B$5:$B$1004,H$24)&gt;0,"✓",""))</f>
        <v/>
      </c>
      <c r="I814" s="57">
        <f>IF(OR($A814="",I$24=""),"",IF(COUNTIFS('AFA Rates'!$A$5:$A$1004,$A814,'AFA Rates'!$B$5:$B$1004,I$24)&gt;0,"✓",""))</f>
        <v/>
      </c>
      <c r="J814" s="57">
        <f>IF(OR($A814="",J$24=""),"",IF(COUNTIFS('AFA Rates'!$A$5:$A$1004,$A814,'AFA Rates'!$B$5:$B$1004,J$24)&gt;0,"✓",""))</f>
        <v/>
      </c>
      <c r="K814" s="57">
        <f>IF(OR($A814="",K$24=""),"",IF(COUNTIFS('AFA Rates'!$A$5:$A$1004,$A814,'AFA Rates'!$B$5:$B$1004,K$24)&gt;0,"✓",""))</f>
        <v/>
      </c>
      <c r="L814" s="57">
        <f>IF(OR($A814="",L$24=""),"",IF(COUNTIFS('AFA Rates'!$A$5:$A$1004,$A814,'AFA Rates'!$B$5:$B$1004,L$24)&gt;0,"✓",""))</f>
        <v/>
      </c>
      <c r="M814" s="57">
        <f>IF(OR($A814="",M$24=""),"",IF(COUNTIFS('AFA Rates'!$A$5:$A$1004,$A814,'AFA Rates'!$B$5:$B$1004,M$24)&gt;0,"✓",""))</f>
        <v/>
      </c>
    </row>
    <row r="815">
      <c r="A815" s="63">
        <f>IFERROR(INDEX(Firms!$A$5:$A$1004,MATCH(791,Firms!$S$5:$S$1004,0)),"")</f>
        <v/>
      </c>
      <c r="B815" s="57">
        <f>IF($A815="","",INDEX(Firms!$B$5:$B$1004,MATCH(791,Firms!$S$5:$S$1004,0)))</f>
        <v/>
      </c>
      <c r="C815" s="57">
        <f>IF($A815="","",COUNTIF('AFA Rates'!$A$5:$A$1004,$A815))</f>
        <v/>
      </c>
      <c r="D815" s="57">
        <f>IF(OR($A815="",D$24=""),"",IF(COUNTIFS('AFA Rates'!$A$5:$A$1004,$A815,'AFA Rates'!$B$5:$B$1004,D$24)&gt;0,"✓",""))</f>
        <v/>
      </c>
      <c r="E815" s="57">
        <f>IF(OR($A815="",E$24=""),"",IF(COUNTIFS('AFA Rates'!$A$5:$A$1004,$A815,'AFA Rates'!$B$5:$B$1004,E$24)&gt;0,"✓",""))</f>
        <v/>
      </c>
      <c r="F815" s="57">
        <f>IF(OR($A815="",F$24=""),"",IF(COUNTIFS('AFA Rates'!$A$5:$A$1004,$A815,'AFA Rates'!$B$5:$B$1004,F$24)&gt;0,"✓",""))</f>
        <v/>
      </c>
      <c r="G815" s="57">
        <f>IF(OR($A815="",G$24=""),"",IF(COUNTIFS('AFA Rates'!$A$5:$A$1004,$A815,'AFA Rates'!$B$5:$B$1004,G$24)&gt;0,"✓",""))</f>
        <v/>
      </c>
      <c r="H815" s="57">
        <f>IF(OR($A815="",H$24=""),"",IF(COUNTIFS('AFA Rates'!$A$5:$A$1004,$A815,'AFA Rates'!$B$5:$B$1004,H$24)&gt;0,"✓",""))</f>
        <v/>
      </c>
      <c r="I815" s="57">
        <f>IF(OR($A815="",I$24=""),"",IF(COUNTIFS('AFA Rates'!$A$5:$A$1004,$A815,'AFA Rates'!$B$5:$B$1004,I$24)&gt;0,"✓",""))</f>
        <v/>
      </c>
      <c r="J815" s="57">
        <f>IF(OR($A815="",J$24=""),"",IF(COUNTIFS('AFA Rates'!$A$5:$A$1004,$A815,'AFA Rates'!$B$5:$B$1004,J$24)&gt;0,"✓",""))</f>
        <v/>
      </c>
      <c r="K815" s="57">
        <f>IF(OR($A815="",K$24=""),"",IF(COUNTIFS('AFA Rates'!$A$5:$A$1004,$A815,'AFA Rates'!$B$5:$B$1004,K$24)&gt;0,"✓",""))</f>
        <v/>
      </c>
      <c r="L815" s="57">
        <f>IF(OR($A815="",L$24=""),"",IF(COUNTIFS('AFA Rates'!$A$5:$A$1004,$A815,'AFA Rates'!$B$5:$B$1004,L$24)&gt;0,"✓",""))</f>
        <v/>
      </c>
      <c r="M815" s="57">
        <f>IF(OR($A815="",M$24=""),"",IF(COUNTIFS('AFA Rates'!$A$5:$A$1004,$A815,'AFA Rates'!$B$5:$B$1004,M$24)&gt;0,"✓",""))</f>
        <v/>
      </c>
    </row>
    <row r="816">
      <c r="A816" s="63">
        <f>IFERROR(INDEX(Firms!$A$5:$A$1004,MATCH(792,Firms!$S$5:$S$1004,0)),"")</f>
        <v/>
      </c>
      <c r="B816" s="57">
        <f>IF($A816="","",INDEX(Firms!$B$5:$B$1004,MATCH(792,Firms!$S$5:$S$1004,0)))</f>
        <v/>
      </c>
      <c r="C816" s="57">
        <f>IF($A816="","",COUNTIF('AFA Rates'!$A$5:$A$1004,$A816))</f>
        <v/>
      </c>
      <c r="D816" s="57">
        <f>IF(OR($A816="",D$24=""),"",IF(COUNTIFS('AFA Rates'!$A$5:$A$1004,$A816,'AFA Rates'!$B$5:$B$1004,D$24)&gt;0,"✓",""))</f>
        <v/>
      </c>
      <c r="E816" s="57">
        <f>IF(OR($A816="",E$24=""),"",IF(COUNTIFS('AFA Rates'!$A$5:$A$1004,$A816,'AFA Rates'!$B$5:$B$1004,E$24)&gt;0,"✓",""))</f>
        <v/>
      </c>
      <c r="F816" s="57">
        <f>IF(OR($A816="",F$24=""),"",IF(COUNTIFS('AFA Rates'!$A$5:$A$1004,$A816,'AFA Rates'!$B$5:$B$1004,F$24)&gt;0,"✓",""))</f>
        <v/>
      </c>
      <c r="G816" s="57">
        <f>IF(OR($A816="",G$24=""),"",IF(COUNTIFS('AFA Rates'!$A$5:$A$1004,$A816,'AFA Rates'!$B$5:$B$1004,G$24)&gt;0,"✓",""))</f>
        <v/>
      </c>
      <c r="H816" s="57">
        <f>IF(OR($A816="",H$24=""),"",IF(COUNTIFS('AFA Rates'!$A$5:$A$1004,$A816,'AFA Rates'!$B$5:$B$1004,H$24)&gt;0,"✓",""))</f>
        <v/>
      </c>
      <c r="I816" s="57">
        <f>IF(OR($A816="",I$24=""),"",IF(COUNTIFS('AFA Rates'!$A$5:$A$1004,$A816,'AFA Rates'!$B$5:$B$1004,I$24)&gt;0,"✓",""))</f>
        <v/>
      </c>
      <c r="J816" s="57">
        <f>IF(OR($A816="",J$24=""),"",IF(COUNTIFS('AFA Rates'!$A$5:$A$1004,$A816,'AFA Rates'!$B$5:$B$1004,J$24)&gt;0,"✓",""))</f>
        <v/>
      </c>
      <c r="K816" s="57">
        <f>IF(OR($A816="",K$24=""),"",IF(COUNTIFS('AFA Rates'!$A$5:$A$1004,$A816,'AFA Rates'!$B$5:$B$1004,K$24)&gt;0,"✓",""))</f>
        <v/>
      </c>
      <c r="L816" s="57">
        <f>IF(OR($A816="",L$24=""),"",IF(COUNTIFS('AFA Rates'!$A$5:$A$1004,$A816,'AFA Rates'!$B$5:$B$1004,L$24)&gt;0,"✓",""))</f>
        <v/>
      </c>
      <c r="M816" s="57">
        <f>IF(OR($A816="",M$24=""),"",IF(COUNTIFS('AFA Rates'!$A$5:$A$1004,$A816,'AFA Rates'!$B$5:$B$1004,M$24)&gt;0,"✓",""))</f>
        <v/>
      </c>
    </row>
    <row r="817">
      <c r="A817" s="63">
        <f>IFERROR(INDEX(Firms!$A$5:$A$1004,MATCH(793,Firms!$S$5:$S$1004,0)),"")</f>
        <v/>
      </c>
      <c r="B817" s="57">
        <f>IF($A817="","",INDEX(Firms!$B$5:$B$1004,MATCH(793,Firms!$S$5:$S$1004,0)))</f>
        <v/>
      </c>
      <c r="C817" s="57">
        <f>IF($A817="","",COUNTIF('AFA Rates'!$A$5:$A$1004,$A817))</f>
        <v/>
      </c>
      <c r="D817" s="57">
        <f>IF(OR($A817="",D$24=""),"",IF(COUNTIFS('AFA Rates'!$A$5:$A$1004,$A817,'AFA Rates'!$B$5:$B$1004,D$24)&gt;0,"✓",""))</f>
        <v/>
      </c>
      <c r="E817" s="57">
        <f>IF(OR($A817="",E$24=""),"",IF(COUNTIFS('AFA Rates'!$A$5:$A$1004,$A817,'AFA Rates'!$B$5:$B$1004,E$24)&gt;0,"✓",""))</f>
        <v/>
      </c>
      <c r="F817" s="57">
        <f>IF(OR($A817="",F$24=""),"",IF(COUNTIFS('AFA Rates'!$A$5:$A$1004,$A817,'AFA Rates'!$B$5:$B$1004,F$24)&gt;0,"✓",""))</f>
        <v/>
      </c>
      <c r="G817" s="57">
        <f>IF(OR($A817="",G$24=""),"",IF(COUNTIFS('AFA Rates'!$A$5:$A$1004,$A817,'AFA Rates'!$B$5:$B$1004,G$24)&gt;0,"✓",""))</f>
        <v/>
      </c>
      <c r="H817" s="57">
        <f>IF(OR($A817="",H$24=""),"",IF(COUNTIFS('AFA Rates'!$A$5:$A$1004,$A817,'AFA Rates'!$B$5:$B$1004,H$24)&gt;0,"✓",""))</f>
        <v/>
      </c>
      <c r="I817" s="57">
        <f>IF(OR($A817="",I$24=""),"",IF(COUNTIFS('AFA Rates'!$A$5:$A$1004,$A817,'AFA Rates'!$B$5:$B$1004,I$24)&gt;0,"✓",""))</f>
        <v/>
      </c>
      <c r="J817" s="57">
        <f>IF(OR($A817="",J$24=""),"",IF(COUNTIFS('AFA Rates'!$A$5:$A$1004,$A817,'AFA Rates'!$B$5:$B$1004,J$24)&gt;0,"✓",""))</f>
        <v/>
      </c>
      <c r="K817" s="57">
        <f>IF(OR($A817="",K$24=""),"",IF(COUNTIFS('AFA Rates'!$A$5:$A$1004,$A817,'AFA Rates'!$B$5:$B$1004,K$24)&gt;0,"✓",""))</f>
        <v/>
      </c>
      <c r="L817" s="57">
        <f>IF(OR($A817="",L$24=""),"",IF(COUNTIFS('AFA Rates'!$A$5:$A$1004,$A817,'AFA Rates'!$B$5:$B$1004,L$24)&gt;0,"✓",""))</f>
        <v/>
      </c>
      <c r="M817" s="57">
        <f>IF(OR($A817="",M$24=""),"",IF(COUNTIFS('AFA Rates'!$A$5:$A$1004,$A817,'AFA Rates'!$B$5:$B$1004,M$24)&gt;0,"✓",""))</f>
        <v/>
      </c>
    </row>
    <row r="818">
      <c r="A818" s="63">
        <f>IFERROR(INDEX(Firms!$A$5:$A$1004,MATCH(794,Firms!$S$5:$S$1004,0)),"")</f>
        <v/>
      </c>
      <c r="B818" s="57">
        <f>IF($A818="","",INDEX(Firms!$B$5:$B$1004,MATCH(794,Firms!$S$5:$S$1004,0)))</f>
        <v/>
      </c>
      <c r="C818" s="57">
        <f>IF($A818="","",COUNTIF('AFA Rates'!$A$5:$A$1004,$A818))</f>
        <v/>
      </c>
      <c r="D818" s="57">
        <f>IF(OR($A818="",D$24=""),"",IF(COUNTIFS('AFA Rates'!$A$5:$A$1004,$A818,'AFA Rates'!$B$5:$B$1004,D$24)&gt;0,"✓",""))</f>
        <v/>
      </c>
      <c r="E818" s="57">
        <f>IF(OR($A818="",E$24=""),"",IF(COUNTIFS('AFA Rates'!$A$5:$A$1004,$A818,'AFA Rates'!$B$5:$B$1004,E$24)&gt;0,"✓",""))</f>
        <v/>
      </c>
      <c r="F818" s="57">
        <f>IF(OR($A818="",F$24=""),"",IF(COUNTIFS('AFA Rates'!$A$5:$A$1004,$A818,'AFA Rates'!$B$5:$B$1004,F$24)&gt;0,"✓",""))</f>
        <v/>
      </c>
      <c r="G818" s="57">
        <f>IF(OR($A818="",G$24=""),"",IF(COUNTIFS('AFA Rates'!$A$5:$A$1004,$A818,'AFA Rates'!$B$5:$B$1004,G$24)&gt;0,"✓",""))</f>
        <v/>
      </c>
      <c r="H818" s="57">
        <f>IF(OR($A818="",H$24=""),"",IF(COUNTIFS('AFA Rates'!$A$5:$A$1004,$A818,'AFA Rates'!$B$5:$B$1004,H$24)&gt;0,"✓",""))</f>
        <v/>
      </c>
      <c r="I818" s="57">
        <f>IF(OR($A818="",I$24=""),"",IF(COUNTIFS('AFA Rates'!$A$5:$A$1004,$A818,'AFA Rates'!$B$5:$B$1004,I$24)&gt;0,"✓",""))</f>
        <v/>
      </c>
      <c r="J818" s="57">
        <f>IF(OR($A818="",J$24=""),"",IF(COUNTIFS('AFA Rates'!$A$5:$A$1004,$A818,'AFA Rates'!$B$5:$B$1004,J$24)&gt;0,"✓",""))</f>
        <v/>
      </c>
      <c r="K818" s="57">
        <f>IF(OR($A818="",K$24=""),"",IF(COUNTIFS('AFA Rates'!$A$5:$A$1004,$A818,'AFA Rates'!$B$5:$B$1004,K$24)&gt;0,"✓",""))</f>
        <v/>
      </c>
      <c r="L818" s="57">
        <f>IF(OR($A818="",L$24=""),"",IF(COUNTIFS('AFA Rates'!$A$5:$A$1004,$A818,'AFA Rates'!$B$5:$B$1004,L$24)&gt;0,"✓",""))</f>
        <v/>
      </c>
      <c r="M818" s="57">
        <f>IF(OR($A818="",M$24=""),"",IF(COUNTIFS('AFA Rates'!$A$5:$A$1004,$A818,'AFA Rates'!$B$5:$B$1004,M$24)&gt;0,"✓",""))</f>
        <v/>
      </c>
    </row>
    <row r="819">
      <c r="A819" s="63">
        <f>IFERROR(INDEX(Firms!$A$5:$A$1004,MATCH(795,Firms!$S$5:$S$1004,0)),"")</f>
        <v/>
      </c>
      <c r="B819" s="57">
        <f>IF($A819="","",INDEX(Firms!$B$5:$B$1004,MATCH(795,Firms!$S$5:$S$1004,0)))</f>
        <v/>
      </c>
      <c r="C819" s="57">
        <f>IF($A819="","",COUNTIF('AFA Rates'!$A$5:$A$1004,$A819))</f>
        <v/>
      </c>
      <c r="D819" s="57">
        <f>IF(OR($A819="",D$24=""),"",IF(COUNTIFS('AFA Rates'!$A$5:$A$1004,$A819,'AFA Rates'!$B$5:$B$1004,D$24)&gt;0,"✓",""))</f>
        <v/>
      </c>
      <c r="E819" s="57">
        <f>IF(OR($A819="",E$24=""),"",IF(COUNTIFS('AFA Rates'!$A$5:$A$1004,$A819,'AFA Rates'!$B$5:$B$1004,E$24)&gt;0,"✓",""))</f>
        <v/>
      </c>
      <c r="F819" s="57">
        <f>IF(OR($A819="",F$24=""),"",IF(COUNTIFS('AFA Rates'!$A$5:$A$1004,$A819,'AFA Rates'!$B$5:$B$1004,F$24)&gt;0,"✓",""))</f>
        <v/>
      </c>
      <c r="G819" s="57">
        <f>IF(OR($A819="",G$24=""),"",IF(COUNTIFS('AFA Rates'!$A$5:$A$1004,$A819,'AFA Rates'!$B$5:$B$1004,G$24)&gt;0,"✓",""))</f>
        <v/>
      </c>
      <c r="H819" s="57">
        <f>IF(OR($A819="",H$24=""),"",IF(COUNTIFS('AFA Rates'!$A$5:$A$1004,$A819,'AFA Rates'!$B$5:$B$1004,H$24)&gt;0,"✓",""))</f>
        <v/>
      </c>
      <c r="I819" s="57">
        <f>IF(OR($A819="",I$24=""),"",IF(COUNTIFS('AFA Rates'!$A$5:$A$1004,$A819,'AFA Rates'!$B$5:$B$1004,I$24)&gt;0,"✓",""))</f>
        <v/>
      </c>
      <c r="J819" s="57">
        <f>IF(OR($A819="",J$24=""),"",IF(COUNTIFS('AFA Rates'!$A$5:$A$1004,$A819,'AFA Rates'!$B$5:$B$1004,J$24)&gt;0,"✓",""))</f>
        <v/>
      </c>
      <c r="K819" s="57">
        <f>IF(OR($A819="",K$24=""),"",IF(COUNTIFS('AFA Rates'!$A$5:$A$1004,$A819,'AFA Rates'!$B$5:$B$1004,K$24)&gt;0,"✓",""))</f>
        <v/>
      </c>
      <c r="L819" s="57">
        <f>IF(OR($A819="",L$24=""),"",IF(COUNTIFS('AFA Rates'!$A$5:$A$1004,$A819,'AFA Rates'!$B$5:$B$1004,L$24)&gt;0,"✓",""))</f>
        <v/>
      </c>
      <c r="M819" s="57">
        <f>IF(OR($A819="",M$24=""),"",IF(COUNTIFS('AFA Rates'!$A$5:$A$1004,$A819,'AFA Rates'!$B$5:$B$1004,M$24)&gt;0,"✓",""))</f>
        <v/>
      </c>
    </row>
    <row r="820">
      <c r="A820" s="63">
        <f>IFERROR(INDEX(Firms!$A$5:$A$1004,MATCH(796,Firms!$S$5:$S$1004,0)),"")</f>
        <v/>
      </c>
      <c r="B820" s="57">
        <f>IF($A820="","",INDEX(Firms!$B$5:$B$1004,MATCH(796,Firms!$S$5:$S$1004,0)))</f>
        <v/>
      </c>
      <c r="C820" s="57">
        <f>IF($A820="","",COUNTIF('AFA Rates'!$A$5:$A$1004,$A820))</f>
        <v/>
      </c>
      <c r="D820" s="57">
        <f>IF(OR($A820="",D$24=""),"",IF(COUNTIFS('AFA Rates'!$A$5:$A$1004,$A820,'AFA Rates'!$B$5:$B$1004,D$24)&gt;0,"✓",""))</f>
        <v/>
      </c>
      <c r="E820" s="57">
        <f>IF(OR($A820="",E$24=""),"",IF(COUNTIFS('AFA Rates'!$A$5:$A$1004,$A820,'AFA Rates'!$B$5:$B$1004,E$24)&gt;0,"✓",""))</f>
        <v/>
      </c>
      <c r="F820" s="57">
        <f>IF(OR($A820="",F$24=""),"",IF(COUNTIFS('AFA Rates'!$A$5:$A$1004,$A820,'AFA Rates'!$B$5:$B$1004,F$24)&gt;0,"✓",""))</f>
        <v/>
      </c>
      <c r="G820" s="57">
        <f>IF(OR($A820="",G$24=""),"",IF(COUNTIFS('AFA Rates'!$A$5:$A$1004,$A820,'AFA Rates'!$B$5:$B$1004,G$24)&gt;0,"✓",""))</f>
        <v/>
      </c>
      <c r="H820" s="57">
        <f>IF(OR($A820="",H$24=""),"",IF(COUNTIFS('AFA Rates'!$A$5:$A$1004,$A820,'AFA Rates'!$B$5:$B$1004,H$24)&gt;0,"✓",""))</f>
        <v/>
      </c>
      <c r="I820" s="57">
        <f>IF(OR($A820="",I$24=""),"",IF(COUNTIFS('AFA Rates'!$A$5:$A$1004,$A820,'AFA Rates'!$B$5:$B$1004,I$24)&gt;0,"✓",""))</f>
        <v/>
      </c>
      <c r="J820" s="57">
        <f>IF(OR($A820="",J$24=""),"",IF(COUNTIFS('AFA Rates'!$A$5:$A$1004,$A820,'AFA Rates'!$B$5:$B$1004,J$24)&gt;0,"✓",""))</f>
        <v/>
      </c>
      <c r="K820" s="57">
        <f>IF(OR($A820="",K$24=""),"",IF(COUNTIFS('AFA Rates'!$A$5:$A$1004,$A820,'AFA Rates'!$B$5:$B$1004,K$24)&gt;0,"✓",""))</f>
        <v/>
      </c>
      <c r="L820" s="57">
        <f>IF(OR($A820="",L$24=""),"",IF(COUNTIFS('AFA Rates'!$A$5:$A$1004,$A820,'AFA Rates'!$B$5:$B$1004,L$24)&gt;0,"✓",""))</f>
        <v/>
      </c>
      <c r="M820" s="57">
        <f>IF(OR($A820="",M$24=""),"",IF(COUNTIFS('AFA Rates'!$A$5:$A$1004,$A820,'AFA Rates'!$B$5:$B$1004,M$24)&gt;0,"✓",""))</f>
        <v/>
      </c>
    </row>
    <row r="821">
      <c r="A821" s="63">
        <f>IFERROR(INDEX(Firms!$A$5:$A$1004,MATCH(797,Firms!$S$5:$S$1004,0)),"")</f>
        <v/>
      </c>
      <c r="B821" s="57">
        <f>IF($A821="","",INDEX(Firms!$B$5:$B$1004,MATCH(797,Firms!$S$5:$S$1004,0)))</f>
        <v/>
      </c>
      <c r="C821" s="57">
        <f>IF($A821="","",COUNTIF('AFA Rates'!$A$5:$A$1004,$A821))</f>
        <v/>
      </c>
      <c r="D821" s="57">
        <f>IF(OR($A821="",D$24=""),"",IF(COUNTIFS('AFA Rates'!$A$5:$A$1004,$A821,'AFA Rates'!$B$5:$B$1004,D$24)&gt;0,"✓",""))</f>
        <v/>
      </c>
      <c r="E821" s="57">
        <f>IF(OR($A821="",E$24=""),"",IF(COUNTIFS('AFA Rates'!$A$5:$A$1004,$A821,'AFA Rates'!$B$5:$B$1004,E$24)&gt;0,"✓",""))</f>
        <v/>
      </c>
      <c r="F821" s="57">
        <f>IF(OR($A821="",F$24=""),"",IF(COUNTIFS('AFA Rates'!$A$5:$A$1004,$A821,'AFA Rates'!$B$5:$B$1004,F$24)&gt;0,"✓",""))</f>
        <v/>
      </c>
      <c r="G821" s="57">
        <f>IF(OR($A821="",G$24=""),"",IF(COUNTIFS('AFA Rates'!$A$5:$A$1004,$A821,'AFA Rates'!$B$5:$B$1004,G$24)&gt;0,"✓",""))</f>
        <v/>
      </c>
      <c r="H821" s="57">
        <f>IF(OR($A821="",H$24=""),"",IF(COUNTIFS('AFA Rates'!$A$5:$A$1004,$A821,'AFA Rates'!$B$5:$B$1004,H$24)&gt;0,"✓",""))</f>
        <v/>
      </c>
      <c r="I821" s="57">
        <f>IF(OR($A821="",I$24=""),"",IF(COUNTIFS('AFA Rates'!$A$5:$A$1004,$A821,'AFA Rates'!$B$5:$B$1004,I$24)&gt;0,"✓",""))</f>
        <v/>
      </c>
      <c r="J821" s="57">
        <f>IF(OR($A821="",J$24=""),"",IF(COUNTIFS('AFA Rates'!$A$5:$A$1004,$A821,'AFA Rates'!$B$5:$B$1004,J$24)&gt;0,"✓",""))</f>
        <v/>
      </c>
      <c r="K821" s="57">
        <f>IF(OR($A821="",K$24=""),"",IF(COUNTIFS('AFA Rates'!$A$5:$A$1004,$A821,'AFA Rates'!$B$5:$B$1004,K$24)&gt;0,"✓",""))</f>
        <v/>
      </c>
      <c r="L821" s="57">
        <f>IF(OR($A821="",L$24=""),"",IF(COUNTIFS('AFA Rates'!$A$5:$A$1004,$A821,'AFA Rates'!$B$5:$B$1004,L$24)&gt;0,"✓",""))</f>
        <v/>
      </c>
      <c r="M821" s="57">
        <f>IF(OR($A821="",M$24=""),"",IF(COUNTIFS('AFA Rates'!$A$5:$A$1004,$A821,'AFA Rates'!$B$5:$B$1004,M$24)&gt;0,"✓",""))</f>
        <v/>
      </c>
    </row>
    <row r="822">
      <c r="A822" s="63">
        <f>IFERROR(INDEX(Firms!$A$5:$A$1004,MATCH(798,Firms!$S$5:$S$1004,0)),"")</f>
        <v/>
      </c>
      <c r="B822" s="57">
        <f>IF($A822="","",INDEX(Firms!$B$5:$B$1004,MATCH(798,Firms!$S$5:$S$1004,0)))</f>
        <v/>
      </c>
      <c r="C822" s="57">
        <f>IF($A822="","",COUNTIF('AFA Rates'!$A$5:$A$1004,$A822))</f>
        <v/>
      </c>
      <c r="D822" s="57">
        <f>IF(OR($A822="",D$24=""),"",IF(COUNTIFS('AFA Rates'!$A$5:$A$1004,$A822,'AFA Rates'!$B$5:$B$1004,D$24)&gt;0,"✓",""))</f>
        <v/>
      </c>
      <c r="E822" s="57">
        <f>IF(OR($A822="",E$24=""),"",IF(COUNTIFS('AFA Rates'!$A$5:$A$1004,$A822,'AFA Rates'!$B$5:$B$1004,E$24)&gt;0,"✓",""))</f>
        <v/>
      </c>
      <c r="F822" s="57">
        <f>IF(OR($A822="",F$24=""),"",IF(COUNTIFS('AFA Rates'!$A$5:$A$1004,$A822,'AFA Rates'!$B$5:$B$1004,F$24)&gt;0,"✓",""))</f>
        <v/>
      </c>
      <c r="G822" s="57">
        <f>IF(OR($A822="",G$24=""),"",IF(COUNTIFS('AFA Rates'!$A$5:$A$1004,$A822,'AFA Rates'!$B$5:$B$1004,G$24)&gt;0,"✓",""))</f>
        <v/>
      </c>
      <c r="H822" s="57">
        <f>IF(OR($A822="",H$24=""),"",IF(COUNTIFS('AFA Rates'!$A$5:$A$1004,$A822,'AFA Rates'!$B$5:$B$1004,H$24)&gt;0,"✓",""))</f>
        <v/>
      </c>
      <c r="I822" s="57">
        <f>IF(OR($A822="",I$24=""),"",IF(COUNTIFS('AFA Rates'!$A$5:$A$1004,$A822,'AFA Rates'!$B$5:$B$1004,I$24)&gt;0,"✓",""))</f>
        <v/>
      </c>
      <c r="J822" s="57">
        <f>IF(OR($A822="",J$24=""),"",IF(COUNTIFS('AFA Rates'!$A$5:$A$1004,$A822,'AFA Rates'!$B$5:$B$1004,J$24)&gt;0,"✓",""))</f>
        <v/>
      </c>
      <c r="K822" s="57">
        <f>IF(OR($A822="",K$24=""),"",IF(COUNTIFS('AFA Rates'!$A$5:$A$1004,$A822,'AFA Rates'!$B$5:$B$1004,K$24)&gt;0,"✓",""))</f>
        <v/>
      </c>
      <c r="L822" s="57">
        <f>IF(OR($A822="",L$24=""),"",IF(COUNTIFS('AFA Rates'!$A$5:$A$1004,$A822,'AFA Rates'!$B$5:$B$1004,L$24)&gt;0,"✓",""))</f>
        <v/>
      </c>
      <c r="M822" s="57">
        <f>IF(OR($A822="",M$24=""),"",IF(COUNTIFS('AFA Rates'!$A$5:$A$1004,$A822,'AFA Rates'!$B$5:$B$1004,M$24)&gt;0,"✓",""))</f>
        <v/>
      </c>
    </row>
    <row r="823">
      <c r="A823" s="63">
        <f>IFERROR(INDEX(Firms!$A$5:$A$1004,MATCH(799,Firms!$S$5:$S$1004,0)),"")</f>
        <v/>
      </c>
      <c r="B823" s="57">
        <f>IF($A823="","",INDEX(Firms!$B$5:$B$1004,MATCH(799,Firms!$S$5:$S$1004,0)))</f>
        <v/>
      </c>
      <c r="C823" s="57">
        <f>IF($A823="","",COUNTIF('AFA Rates'!$A$5:$A$1004,$A823))</f>
        <v/>
      </c>
      <c r="D823" s="57">
        <f>IF(OR($A823="",D$24=""),"",IF(COUNTIFS('AFA Rates'!$A$5:$A$1004,$A823,'AFA Rates'!$B$5:$B$1004,D$24)&gt;0,"✓",""))</f>
        <v/>
      </c>
      <c r="E823" s="57">
        <f>IF(OR($A823="",E$24=""),"",IF(COUNTIFS('AFA Rates'!$A$5:$A$1004,$A823,'AFA Rates'!$B$5:$B$1004,E$24)&gt;0,"✓",""))</f>
        <v/>
      </c>
      <c r="F823" s="57">
        <f>IF(OR($A823="",F$24=""),"",IF(COUNTIFS('AFA Rates'!$A$5:$A$1004,$A823,'AFA Rates'!$B$5:$B$1004,F$24)&gt;0,"✓",""))</f>
        <v/>
      </c>
      <c r="G823" s="57">
        <f>IF(OR($A823="",G$24=""),"",IF(COUNTIFS('AFA Rates'!$A$5:$A$1004,$A823,'AFA Rates'!$B$5:$B$1004,G$24)&gt;0,"✓",""))</f>
        <v/>
      </c>
      <c r="H823" s="57">
        <f>IF(OR($A823="",H$24=""),"",IF(COUNTIFS('AFA Rates'!$A$5:$A$1004,$A823,'AFA Rates'!$B$5:$B$1004,H$24)&gt;0,"✓",""))</f>
        <v/>
      </c>
      <c r="I823" s="57">
        <f>IF(OR($A823="",I$24=""),"",IF(COUNTIFS('AFA Rates'!$A$5:$A$1004,$A823,'AFA Rates'!$B$5:$B$1004,I$24)&gt;0,"✓",""))</f>
        <v/>
      </c>
      <c r="J823" s="57">
        <f>IF(OR($A823="",J$24=""),"",IF(COUNTIFS('AFA Rates'!$A$5:$A$1004,$A823,'AFA Rates'!$B$5:$B$1004,J$24)&gt;0,"✓",""))</f>
        <v/>
      </c>
      <c r="K823" s="57">
        <f>IF(OR($A823="",K$24=""),"",IF(COUNTIFS('AFA Rates'!$A$5:$A$1004,$A823,'AFA Rates'!$B$5:$B$1004,K$24)&gt;0,"✓",""))</f>
        <v/>
      </c>
      <c r="L823" s="57">
        <f>IF(OR($A823="",L$24=""),"",IF(COUNTIFS('AFA Rates'!$A$5:$A$1004,$A823,'AFA Rates'!$B$5:$B$1004,L$24)&gt;0,"✓",""))</f>
        <v/>
      </c>
      <c r="M823" s="57">
        <f>IF(OR($A823="",M$24=""),"",IF(COUNTIFS('AFA Rates'!$A$5:$A$1004,$A823,'AFA Rates'!$B$5:$B$1004,M$24)&gt;0,"✓",""))</f>
        <v/>
      </c>
    </row>
    <row r="824">
      <c r="A824" s="63">
        <f>IFERROR(INDEX(Firms!$A$5:$A$1004,MATCH(800,Firms!$S$5:$S$1004,0)),"")</f>
        <v/>
      </c>
      <c r="B824" s="57">
        <f>IF($A824="","",INDEX(Firms!$B$5:$B$1004,MATCH(800,Firms!$S$5:$S$1004,0)))</f>
        <v/>
      </c>
      <c r="C824" s="57">
        <f>IF($A824="","",COUNTIF('AFA Rates'!$A$5:$A$1004,$A824))</f>
        <v/>
      </c>
      <c r="D824" s="57">
        <f>IF(OR($A824="",D$24=""),"",IF(COUNTIFS('AFA Rates'!$A$5:$A$1004,$A824,'AFA Rates'!$B$5:$B$1004,D$24)&gt;0,"✓",""))</f>
        <v/>
      </c>
      <c r="E824" s="57">
        <f>IF(OR($A824="",E$24=""),"",IF(COUNTIFS('AFA Rates'!$A$5:$A$1004,$A824,'AFA Rates'!$B$5:$B$1004,E$24)&gt;0,"✓",""))</f>
        <v/>
      </c>
      <c r="F824" s="57">
        <f>IF(OR($A824="",F$24=""),"",IF(COUNTIFS('AFA Rates'!$A$5:$A$1004,$A824,'AFA Rates'!$B$5:$B$1004,F$24)&gt;0,"✓",""))</f>
        <v/>
      </c>
      <c r="G824" s="57">
        <f>IF(OR($A824="",G$24=""),"",IF(COUNTIFS('AFA Rates'!$A$5:$A$1004,$A824,'AFA Rates'!$B$5:$B$1004,G$24)&gt;0,"✓",""))</f>
        <v/>
      </c>
      <c r="H824" s="57">
        <f>IF(OR($A824="",H$24=""),"",IF(COUNTIFS('AFA Rates'!$A$5:$A$1004,$A824,'AFA Rates'!$B$5:$B$1004,H$24)&gt;0,"✓",""))</f>
        <v/>
      </c>
      <c r="I824" s="57">
        <f>IF(OR($A824="",I$24=""),"",IF(COUNTIFS('AFA Rates'!$A$5:$A$1004,$A824,'AFA Rates'!$B$5:$B$1004,I$24)&gt;0,"✓",""))</f>
        <v/>
      </c>
      <c r="J824" s="57">
        <f>IF(OR($A824="",J$24=""),"",IF(COUNTIFS('AFA Rates'!$A$5:$A$1004,$A824,'AFA Rates'!$B$5:$B$1004,J$24)&gt;0,"✓",""))</f>
        <v/>
      </c>
      <c r="K824" s="57">
        <f>IF(OR($A824="",K$24=""),"",IF(COUNTIFS('AFA Rates'!$A$5:$A$1004,$A824,'AFA Rates'!$B$5:$B$1004,K$24)&gt;0,"✓",""))</f>
        <v/>
      </c>
      <c r="L824" s="57">
        <f>IF(OR($A824="",L$24=""),"",IF(COUNTIFS('AFA Rates'!$A$5:$A$1004,$A824,'AFA Rates'!$B$5:$B$1004,L$24)&gt;0,"✓",""))</f>
        <v/>
      </c>
      <c r="M824" s="57">
        <f>IF(OR($A824="",M$24=""),"",IF(COUNTIFS('AFA Rates'!$A$5:$A$1004,$A824,'AFA Rates'!$B$5:$B$1004,M$24)&gt;0,"✓",""))</f>
        <v/>
      </c>
    </row>
    <row r="825">
      <c r="A825" s="63">
        <f>IFERROR(INDEX(Firms!$A$5:$A$1004,MATCH(801,Firms!$S$5:$S$1004,0)),"")</f>
        <v/>
      </c>
      <c r="B825" s="57">
        <f>IF($A825="","",INDEX(Firms!$B$5:$B$1004,MATCH(801,Firms!$S$5:$S$1004,0)))</f>
        <v/>
      </c>
      <c r="C825" s="57">
        <f>IF($A825="","",COUNTIF('AFA Rates'!$A$5:$A$1004,$A825))</f>
        <v/>
      </c>
      <c r="D825" s="57">
        <f>IF(OR($A825="",D$24=""),"",IF(COUNTIFS('AFA Rates'!$A$5:$A$1004,$A825,'AFA Rates'!$B$5:$B$1004,D$24)&gt;0,"✓",""))</f>
        <v/>
      </c>
      <c r="E825" s="57">
        <f>IF(OR($A825="",E$24=""),"",IF(COUNTIFS('AFA Rates'!$A$5:$A$1004,$A825,'AFA Rates'!$B$5:$B$1004,E$24)&gt;0,"✓",""))</f>
        <v/>
      </c>
      <c r="F825" s="57">
        <f>IF(OR($A825="",F$24=""),"",IF(COUNTIFS('AFA Rates'!$A$5:$A$1004,$A825,'AFA Rates'!$B$5:$B$1004,F$24)&gt;0,"✓",""))</f>
        <v/>
      </c>
      <c r="G825" s="57">
        <f>IF(OR($A825="",G$24=""),"",IF(COUNTIFS('AFA Rates'!$A$5:$A$1004,$A825,'AFA Rates'!$B$5:$B$1004,G$24)&gt;0,"✓",""))</f>
        <v/>
      </c>
      <c r="H825" s="57">
        <f>IF(OR($A825="",H$24=""),"",IF(COUNTIFS('AFA Rates'!$A$5:$A$1004,$A825,'AFA Rates'!$B$5:$B$1004,H$24)&gt;0,"✓",""))</f>
        <v/>
      </c>
      <c r="I825" s="57">
        <f>IF(OR($A825="",I$24=""),"",IF(COUNTIFS('AFA Rates'!$A$5:$A$1004,$A825,'AFA Rates'!$B$5:$B$1004,I$24)&gt;0,"✓",""))</f>
        <v/>
      </c>
      <c r="J825" s="57">
        <f>IF(OR($A825="",J$24=""),"",IF(COUNTIFS('AFA Rates'!$A$5:$A$1004,$A825,'AFA Rates'!$B$5:$B$1004,J$24)&gt;0,"✓",""))</f>
        <v/>
      </c>
      <c r="K825" s="57">
        <f>IF(OR($A825="",K$24=""),"",IF(COUNTIFS('AFA Rates'!$A$5:$A$1004,$A825,'AFA Rates'!$B$5:$B$1004,K$24)&gt;0,"✓",""))</f>
        <v/>
      </c>
      <c r="L825" s="57">
        <f>IF(OR($A825="",L$24=""),"",IF(COUNTIFS('AFA Rates'!$A$5:$A$1004,$A825,'AFA Rates'!$B$5:$B$1004,L$24)&gt;0,"✓",""))</f>
        <v/>
      </c>
      <c r="M825" s="57">
        <f>IF(OR($A825="",M$24=""),"",IF(COUNTIFS('AFA Rates'!$A$5:$A$1004,$A825,'AFA Rates'!$B$5:$B$1004,M$24)&gt;0,"✓",""))</f>
        <v/>
      </c>
    </row>
    <row r="826">
      <c r="A826" s="63">
        <f>IFERROR(INDEX(Firms!$A$5:$A$1004,MATCH(802,Firms!$S$5:$S$1004,0)),"")</f>
        <v/>
      </c>
      <c r="B826" s="57">
        <f>IF($A826="","",INDEX(Firms!$B$5:$B$1004,MATCH(802,Firms!$S$5:$S$1004,0)))</f>
        <v/>
      </c>
      <c r="C826" s="57">
        <f>IF($A826="","",COUNTIF('AFA Rates'!$A$5:$A$1004,$A826))</f>
        <v/>
      </c>
      <c r="D826" s="57">
        <f>IF(OR($A826="",D$24=""),"",IF(COUNTIFS('AFA Rates'!$A$5:$A$1004,$A826,'AFA Rates'!$B$5:$B$1004,D$24)&gt;0,"✓",""))</f>
        <v/>
      </c>
      <c r="E826" s="57">
        <f>IF(OR($A826="",E$24=""),"",IF(COUNTIFS('AFA Rates'!$A$5:$A$1004,$A826,'AFA Rates'!$B$5:$B$1004,E$24)&gt;0,"✓",""))</f>
        <v/>
      </c>
      <c r="F826" s="57">
        <f>IF(OR($A826="",F$24=""),"",IF(COUNTIFS('AFA Rates'!$A$5:$A$1004,$A826,'AFA Rates'!$B$5:$B$1004,F$24)&gt;0,"✓",""))</f>
        <v/>
      </c>
      <c r="G826" s="57">
        <f>IF(OR($A826="",G$24=""),"",IF(COUNTIFS('AFA Rates'!$A$5:$A$1004,$A826,'AFA Rates'!$B$5:$B$1004,G$24)&gt;0,"✓",""))</f>
        <v/>
      </c>
      <c r="H826" s="57">
        <f>IF(OR($A826="",H$24=""),"",IF(COUNTIFS('AFA Rates'!$A$5:$A$1004,$A826,'AFA Rates'!$B$5:$B$1004,H$24)&gt;0,"✓",""))</f>
        <v/>
      </c>
      <c r="I826" s="57">
        <f>IF(OR($A826="",I$24=""),"",IF(COUNTIFS('AFA Rates'!$A$5:$A$1004,$A826,'AFA Rates'!$B$5:$B$1004,I$24)&gt;0,"✓",""))</f>
        <v/>
      </c>
      <c r="J826" s="57">
        <f>IF(OR($A826="",J$24=""),"",IF(COUNTIFS('AFA Rates'!$A$5:$A$1004,$A826,'AFA Rates'!$B$5:$B$1004,J$24)&gt;0,"✓",""))</f>
        <v/>
      </c>
      <c r="K826" s="57">
        <f>IF(OR($A826="",K$24=""),"",IF(COUNTIFS('AFA Rates'!$A$5:$A$1004,$A826,'AFA Rates'!$B$5:$B$1004,K$24)&gt;0,"✓",""))</f>
        <v/>
      </c>
      <c r="L826" s="57">
        <f>IF(OR($A826="",L$24=""),"",IF(COUNTIFS('AFA Rates'!$A$5:$A$1004,$A826,'AFA Rates'!$B$5:$B$1004,L$24)&gt;0,"✓",""))</f>
        <v/>
      </c>
      <c r="M826" s="57">
        <f>IF(OR($A826="",M$24=""),"",IF(COUNTIFS('AFA Rates'!$A$5:$A$1004,$A826,'AFA Rates'!$B$5:$B$1004,M$24)&gt;0,"✓",""))</f>
        <v/>
      </c>
    </row>
    <row r="827">
      <c r="A827" s="63">
        <f>IFERROR(INDEX(Firms!$A$5:$A$1004,MATCH(803,Firms!$S$5:$S$1004,0)),"")</f>
        <v/>
      </c>
      <c r="B827" s="57">
        <f>IF($A827="","",INDEX(Firms!$B$5:$B$1004,MATCH(803,Firms!$S$5:$S$1004,0)))</f>
        <v/>
      </c>
      <c r="C827" s="57">
        <f>IF($A827="","",COUNTIF('AFA Rates'!$A$5:$A$1004,$A827))</f>
        <v/>
      </c>
      <c r="D827" s="57">
        <f>IF(OR($A827="",D$24=""),"",IF(COUNTIFS('AFA Rates'!$A$5:$A$1004,$A827,'AFA Rates'!$B$5:$B$1004,D$24)&gt;0,"✓",""))</f>
        <v/>
      </c>
      <c r="E827" s="57">
        <f>IF(OR($A827="",E$24=""),"",IF(COUNTIFS('AFA Rates'!$A$5:$A$1004,$A827,'AFA Rates'!$B$5:$B$1004,E$24)&gt;0,"✓",""))</f>
        <v/>
      </c>
      <c r="F827" s="57">
        <f>IF(OR($A827="",F$24=""),"",IF(COUNTIFS('AFA Rates'!$A$5:$A$1004,$A827,'AFA Rates'!$B$5:$B$1004,F$24)&gt;0,"✓",""))</f>
        <v/>
      </c>
      <c r="G827" s="57">
        <f>IF(OR($A827="",G$24=""),"",IF(COUNTIFS('AFA Rates'!$A$5:$A$1004,$A827,'AFA Rates'!$B$5:$B$1004,G$24)&gt;0,"✓",""))</f>
        <v/>
      </c>
      <c r="H827" s="57">
        <f>IF(OR($A827="",H$24=""),"",IF(COUNTIFS('AFA Rates'!$A$5:$A$1004,$A827,'AFA Rates'!$B$5:$B$1004,H$24)&gt;0,"✓",""))</f>
        <v/>
      </c>
      <c r="I827" s="57">
        <f>IF(OR($A827="",I$24=""),"",IF(COUNTIFS('AFA Rates'!$A$5:$A$1004,$A827,'AFA Rates'!$B$5:$B$1004,I$24)&gt;0,"✓",""))</f>
        <v/>
      </c>
      <c r="J827" s="57">
        <f>IF(OR($A827="",J$24=""),"",IF(COUNTIFS('AFA Rates'!$A$5:$A$1004,$A827,'AFA Rates'!$B$5:$B$1004,J$24)&gt;0,"✓",""))</f>
        <v/>
      </c>
      <c r="K827" s="57">
        <f>IF(OR($A827="",K$24=""),"",IF(COUNTIFS('AFA Rates'!$A$5:$A$1004,$A827,'AFA Rates'!$B$5:$B$1004,K$24)&gt;0,"✓",""))</f>
        <v/>
      </c>
      <c r="L827" s="57">
        <f>IF(OR($A827="",L$24=""),"",IF(COUNTIFS('AFA Rates'!$A$5:$A$1004,$A827,'AFA Rates'!$B$5:$B$1004,L$24)&gt;0,"✓",""))</f>
        <v/>
      </c>
      <c r="M827" s="57">
        <f>IF(OR($A827="",M$24=""),"",IF(COUNTIFS('AFA Rates'!$A$5:$A$1004,$A827,'AFA Rates'!$B$5:$B$1004,M$24)&gt;0,"✓",""))</f>
        <v/>
      </c>
    </row>
    <row r="828">
      <c r="A828" s="63">
        <f>IFERROR(INDEX(Firms!$A$5:$A$1004,MATCH(804,Firms!$S$5:$S$1004,0)),"")</f>
        <v/>
      </c>
      <c r="B828" s="57">
        <f>IF($A828="","",INDEX(Firms!$B$5:$B$1004,MATCH(804,Firms!$S$5:$S$1004,0)))</f>
        <v/>
      </c>
      <c r="C828" s="57">
        <f>IF($A828="","",COUNTIF('AFA Rates'!$A$5:$A$1004,$A828))</f>
        <v/>
      </c>
      <c r="D828" s="57">
        <f>IF(OR($A828="",D$24=""),"",IF(COUNTIFS('AFA Rates'!$A$5:$A$1004,$A828,'AFA Rates'!$B$5:$B$1004,D$24)&gt;0,"✓",""))</f>
        <v/>
      </c>
      <c r="E828" s="57">
        <f>IF(OR($A828="",E$24=""),"",IF(COUNTIFS('AFA Rates'!$A$5:$A$1004,$A828,'AFA Rates'!$B$5:$B$1004,E$24)&gt;0,"✓",""))</f>
        <v/>
      </c>
      <c r="F828" s="57">
        <f>IF(OR($A828="",F$24=""),"",IF(COUNTIFS('AFA Rates'!$A$5:$A$1004,$A828,'AFA Rates'!$B$5:$B$1004,F$24)&gt;0,"✓",""))</f>
        <v/>
      </c>
      <c r="G828" s="57">
        <f>IF(OR($A828="",G$24=""),"",IF(COUNTIFS('AFA Rates'!$A$5:$A$1004,$A828,'AFA Rates'!$B$5:$B$1004,G$24)&gt;0,"✓",""))</f>
        <v/>
      </c>
      <c r="H828" s="57">
        <f>IF(OR($A828="",H$24=""),"",IF(COUNTIFS('AFA Rates'!$A$5:$A$1004,$A828,'AFA Rates'!$B$5:$B$1004,H$24)&gt;0,"✓",""))</f>
        <v/>
      </c>
      <c r="I828" s="57">
        <f>IF(OR($A828="",I$24=""),"",IF(COUNTIFS('AFA Rates'!$A$5:$A$1004,$A828,'AFA Rates'!$B$5:$B$1004,I$24)&gt;0,"✓",""))</f>
        <v/>
      </c>
      <c r="J828" s="57">
        <f>IF(OR($A828="",J$24=""),"",IF(COUNTIFS('AFA Rates'!$A$5:$A$1004,$A828,'AFA Rates'!$B$5:$B$1004,J$24)&gt;0,"✓",""))</f>
        <v/>
      </c>
      <c r="K828" s="57">
        <f>IF(OR($A828="",K$24=""),"",IF(COUNTIFS('AFA Rates'!$A$5:$A$1004,$A828,'AFA Rates'!$B$5:$B$1004,K$24)&gt;0,"✓",""))</f>
        <v/>
      </c>
      <c r="L828" s="57">
        <f>IF(OR($A828="",L$24=""),"",IF(COUNTIFS('AFA Rates'!$A$5:$A$1004,$A828,'AFA Rates'!$B$5:$B$1004,L$24)&gt;0,"✓",""))</f>
        <v/>
      </c>
      <c r="M828" s="57">
        <f>IF(OR($A828="",M$24=""),"",IF(COUNTIFS('AFA Rates'!$A$5:$A$1004,$A828,'AFA Rates'!$B$5:$B$1004,M$24)&gt;0,"✓",""))</f>
        <v/>
      </c>
    </row>
    <row r="829">
      <c r="A829" s="63">
        <f>IFERROR(INDEX(Firms!$A$5:$A$1004,MATCH(805,Firms!$S$5:$S$1004,0)),"")</f>
        <v/>
      </c>
      <c r="B829" s="57">
        <f>IF($A829="","",INDEX(Firms!$B$5:$B$1004,MATCH(805,Firms!$S$5:$S$1004,0)))</f>
        <v/>
      </c>
      <c r="C829" s="57">
        <f>IF($A829="","",COUNTIF('AFA Rates'!$A$5:$A$1004,$A829))</f>
        <v/>
      </c>
      <c r="D829" s="57">
        <f>IF(OR($A829="",D$24=""),"",IF(COUNTIFS('AFA Rates'!$A$5:$A$1004,$A829,'AFA Rates'!$B$5:$B$1004,D$24)&gt;0,"✓",""))</f>
        <v/>
      </c>
      <c r="E829" s="57">
        <f>IF(OR($A829="",E$24=""),"",IF(COUNTIFS('AFA Rates'!$A$5:$A$1004,$A829,'AFA Rates'!$B$5:$B$1004,E$24)&gt;0,"✓",""))</f>
        <v/>
      </c>
      <c r="F829" s="57">
        <f>IF(OR($A829="",F$24=""),"",IF(COUNTIFS('AFA Rates'!$A$5:$A$1004,$A829,'AFA Rates'!$B$5:$B$1004,F$24)&gt;0,"✓",""))</f>
        <v/>
      </c>
      <c r="G829" s="57">
        <f>IF(OR($A829="",G$24=""),"",IF(COUNTIFS('AFA Rates'!$A$5:$A$1004,$A829,'AFA Rates'!$B$5:$B$1004,G$24)&gt;0,"✓",""))</f>
        <v/>
      </c>
      <c r="H829" s="57">
        <f>IF(OR($A829="",H$24=""),"",IF(COUNTIFS('AFA Rates'!$A$5:$A$1004,$A829,'AFA Rates'!$B$5:$B$1004,H$24)&gt;0,"✓",""))</f>
        <v/>
      </c>
      <c r="I829" s="57">
        <f>IF(OR($A829="",I$24=""),"",IF(COUNTIFS('AFA Rates'!$A$5:$A$1004,$A829,'AFA Rates'!$B$5:$B$1004,I$24)&gt;0,"✓",""))</f>
        <v/>
      </c>
      <c r="J829" s="57">
        <f>IF(OR($A829="",J$24=""),"",IF(COUNTIFS('AFA Rates'!$A$5:$A$1004,$A829,'AFA Rates'!$B$5:$B$1004,J$24)&gt;0,"✓",""))</f>
        <v/>
      </c>
      <c r="K829" s="57">
        <f>IF(OR($A829="",K$24=""),"",IF(COUNTIFS('AFA Rates'!$A$5:$A$1004,$A829,'AFA Rates'!$B$5:$B$1004,K$24)&gt;0,"✓",""))</f>
        <v/>
      </c>
      <c r="L829" s="57">
        <f>IF(OR($A829="",L$24=""),"",IF(COUNTIFS('AFA Rates'!$A$5:$A$1004,$A829,'AFA Rates'!$B$5:$B$1004,L$24)&gt;0,"✓",""))</f>
        <v/>
      </c>
      <c r="M829" s="57">
        <f>IF(OR($A829="",M$24=""),"",IF(COUNTIFS('AFA Rates'!$A$5:$A$1004,$A829,'AFA Rates'!$B$5:$B$1004,M$24)&gt;0,"✓",""))</f>
        <v/>
      </c>
    </row>
    <row r="830">
      <c r="A830" s="63">
        <f>IFERROR(INDEX(Firms!$A$5:$A$1004,MATCH(806,Firms!$S$5:$S$1004,0)),"")</f>
        <v/>
      </c>
      <c r="B830" s="57">
        <f>IF($A830="","",INDEX(Firms!$B$5:$B$1004,MATCH(806,Firms!$S$5:$S$1004,0)))</f>
        <v/>
      </c>
      <c r="C830" s="57">
        <f>IF($A830="","",COUNTIF('AFA Rates'!$A$5:$A$1004,$A830))</f>
        <v/>
      </c>
      <c r="D830" s="57">
        <f>IF(OR($A830="",D$24=""),"",IF(COUNTIFS('AFA Rates'!$A$5:$A$1004,$A830,'AFA Rates'!$B$5:$B$1004,D$24)&gt;0,"✓",""))</f>
        <v/>
      </c>
      <c r="E830" s="57">
        <f>IF(OR($A830="",E$24=""),"",IF(COUNTIFS('AFA Rates'!$A$5:$A$1004,$A830,'AFA Rates'!$B$5:$B$1004,E$24)&gt;0,"✓",""))</f>
        <v/>
      </c>
      <c r="F830" s="57">
        <f>IF(OR($A830="",F$24=""),"",IF(COUNTIFS('AFA Rates'!$A$5:$A$1004,$A830,'AFA Rates'!$B$5:$B$1004,F$24)&gt;0,"✓",""))</f>
        <v/>
      </c>
      <c r="G830" s="57">
        <f>IF(OR($A830="",G$24=""),"",IF(COUNTIFS('AFA Rates'!$A$5:$A$1004,$A830,'AFA Rates'!$B$5:$B$1004,G$24)&gt;0,"✓",""))</f>
        <v/>
      </c>
      <c r="H830" s="57">
        <f>IF(OR($A830="",H$24=""),"",IF(COUNTIFS('AFA Rates'!$A$5:$A$1004,$A830,'AFA Rates'!$B$5:$B$1004,H$24)&gt;0,"✓",""))</f>
        <v/>
      </c>
      <c r="I830" s="57">
        <f>IF(OR($A830="",I$24=""),"",IF(COUNTIFS('AFA Rates'!$A$5:$A$1004,$A830,'AFA Rates'!$B$5:$B$1004,I$24)&gt;0,"✓",""))</f>
        <v/>
      </c>
      <c r="J830" s="57">
        <f>IF(OR($A830="",J$24=""),"",IF(COUNTIFS('AFA Rates'!$A$5:$A$1004,$A830,'AFA Rates'!$B$5:$B$1004,J$24)&gt;0,"✓",""))</f>
        <v/>
      </c>
      <c r="K830" s="57">
        <f>IF(OR($A830="",K$24=""),"",IF(COUNTIFS('AFA Rates'!$A$5:$A$1004,$A830,'AFA Rates'!$B$5:$B$1004,K$24)&gt;0,"✓",""))</f>
        <v/>
      </c>
      <c r="L830" s="57">
        <f>IF(OR($A830="",L$24=""),"",IF(COUNTIFS('AFA Rates'!$A$5:$A$1004,$A830,'AFA Rates'!$B$5:$B$1004,L$24)&gt;0,"✓",""))</f>
        <v/>
      </c>
      <c r="M830" s="57">
        <f>IF(OR($A830="",M$24=""),"",IF(COUNTIFS('AFA Rates'!$A$5:$A$1004,$A830,'AFA Rates'!$B$5:$B$1004,M$24)&gt;0,"✓",""))</f>
        <v/>
      </c>
    </row>
    <row r="831">
      <c r="A831" s="63">
        <f>IFERROR(INDEX(Firms!$A$5:$A$1004,MATCH(807,Firms!$S$5:$S$1004,0)),"")</f>
        <v/>
      </c>
      <c r="B831" s="57">
        <f>IF($A831="","",INDEX(Firms!$B$5:$B$1004,MATCH(807,Firms!$S$5:$S$1004,0)))</f>
        <v/>
      </c>
      <c r="C831" s="57">
        <f>IF($A831="","",COUNTIF('AFA Rates'!$A$5:$A$1004,$A831))</f>
        <v/>
      </c>
      <c r="D831" s="57">
        <f>IF(OR($A831="",D$24=""),"",IF(COUNTIFS('AFA Rates'!$A$5:$A$1004,$A831,'AFA Rates'!$B$5:$B$1004,D$24)&gt;0,"✓",""))</f>
        <v/>
      </c>
      <c r="E831" s="57">
        <f>IF(OR($A831="",E$24=""),"",IF(COUNTIFS('AFA Rates'!$A$5:$A$1004,$A831,'AFA Rates'!$B$5:$B$1004,E$24)&gt;0,"✓",""))</f>
        <v/>
      </c>
      <c r="F831" s="57">
        <f>IF(OR($A831="",F$24=""),"",IF(COUNTIFS('AFA Rates'!$A$5:$A$1004,$A831,'AFA Rates'!$B$5:$B$1004,F$24)&gt;0,"✓",""))</f>
        <v/>
      </c>
      <c r="G831" s="57">
        <f>IF(OR($A831="",G$24=""),"",IF(COUNTIFS('AFA Rates'!$A$5:$A$1004,$A831,'AFA Rates'!$B$5:$B$1004,G$24)&gt;0,"✓",""))</f>
        <v/>
      </c>
      <c r="H831" s="57">
        <f>IF(OR($A831="",H$24=""),"",IF(COUNTIFS('AFA Rates'!$A$5:$A$1004,$A831,'AFA Rates'!$B$5:$B$1004,H$24)&gt;0,"✓",""))</f>
        <v/>
      </c>
      <c r="I831" s="57">
        <f>IF(OR($A831="",I$24=""),"",IF(COUNTIFS('AFA Rates'!$A$5:$A$1004,$A831,'AFA Rates'!$B$5:$B$1004,I$24)&gt;0,"✓",""))</f>
        <v/>
      </c>
      <c r="J831" s="57">
        <f>IF(OR($A831="",J$24=""),"",IF(COUNTIFS('AFA Rates'!$A$5:$A$1004,$A831,'AFA Rates'!$B$5:$B$1004,J$24)&gt;0,"✓",""))</f>
        <v/>
      </c>
      <c r="K831" s="57">
        <f>IF(OR($A831="",K$24=""),"",IF(COUNTIFS('AFA Rates'!$A$5:$A$1004,$A831,'AFA Rates'!$B$5:$B$1004,K$24)&gt;0,"✓",""))</f>
        <v/>
      </c>
      <c r="L831" s="57">
        <f>IF(OR($A831="",L$24=""),"",IF(COUNTIFS('AFA Rates'!$A$5:$A$1004,$A831,'AFA Rates'!$B$5:$B$1004,L$24)&gt;0,"✓",""))</f>
        <v/>
      </c>
      <c r="M831" s="57">
        <f>IF(OR($A831="",M$24=""),"",IF(COUNTIFS('AFA Rates'!$A$5:$A$1004,$A831,'AFA Rates'!$B$5:$B$1004,M$24)&gt;0,"✓",""))</f>
        <v/>
      </c>
    </row>
    <row r="832">
      <c r="A832" s="63">
        <f>IFERROR(INDEX(Firms!$A$5:$A$1004,MATCH(808,Firms!$S$5:$S$1004,0)),"")</f>
        <v/>
      </c>
      <c r="B832" s="57">
        <f>IF($A832="","",INDEX(Firms!$B$5:$B$1004,MATCH(808,Firms!$S$5:$S$1004,0)))</f>
        <v/>
      </c>
      <c r="C832" s="57">
        <f>IF($A832="","",COUNTIF('AFA Rates'!$A$5:$A$1004,$A832))</f>
        <v/>
      </c>
      <c r="D832" s="57">
        <f>IF(OR($A832="",D$24=""),"",IF(COUNTIFS('AFA Rates'!$A$5:$A$1004,$A832,'AFA Rates'!$B$5:$B$1004,D$24)&gt;0,"✓",""))</f>
        <v/>
      </c>
      <c r="E832" s="57">
        <f>IF(OR($A832="",E$24=""),"",IF(COUNTIFS('AFA Rates'!$A$5:$A$1004,$A832,'AFA Rates'!$B$5:$B$1004,E$24)&gt;0,"✓",""))</f>
        <v/>
      </c>
      <c r="F832" s="57">
        <f>IF(OR($A832="",F$24=""),"",IF(COUNTIFS('AFA Rates'!$A$5:$A$1004,$A832,'AFA Rates'!$B$5:$B$1004,F$24)&gt;0,"✓",""))</f>
        <v/>
      </c>
      <c r="G832" s="57">
        <f>IF(OR($A832="",G$24=""),"",IF(COUNTIFS('AFA Rates'!$A$5:$A$1004,$A832,'AFA Rates'!$B$5:$B$1004,G$24)&gt;0,"✓",""))</f>
        <v/>
      </c>
      <c r="H832" s="57">
        <f>IF(OR($A832="",H$24=""),"",IF(COUNTIFS('AFA Rates'!$A$5:$A$1004,$A832,'AFA Rates'!$B$5:$B$1004,H$24)&gt;0,"✓",""))</f>
        <v/>
      </c>
      <c r="I832" s="57">
        <f>IF(OR($A832="",I$24=""),"",IF(COUNTIFS('AFA Rates'!$A$5:$A$1004,$A832,'AFA Rates'!$B$5:$B$1004,I$24)&gt;0,"✓",""))</f>
        <v/>
      </c>
      <c r="J832" s="57">
        <f>IF(OR($A832="",J$24=""),"",IF(COUNTIFS('AFA Rates'!$A$5:$A$1004,$A832,'AFA Rates'!$B$5:$B$1004,J$24)&gt;0,"✓",""))</f>
        <v/>
      </c>
      <c r="K832" s="57">
        <f>IF(OR($A832="",K$24=""),"",IF(COUNTIFS('AFA Rates'!$A$5:$A$1004,$A832,'AFA Rates'!$B$5:$B$1004,K$24)&gt;0,"✓",""))</f>
        <v/>
      </c>
      <c r="L832" s="57">
        <f>IF(OR($A832="",L$24=""),"",IF(COUNTIFS('AFA Rates'!$A$5:$A$1004,$A832,'AFA Rates'!$B$5:$B$1004,L$24)&gt;0,"✓",""))</f>
        <v/>
      </c>
      <c r="M832" s="57">
        <f>IF(OR($A832="",M$24=""),"",IF(COUNTIFS('AFA Rates'!$A$5:$A$1004,$A832,'AFA Rates'!$B$5:$B$1004,M$24)&gt;0,"✓",""))</f>
        <v/>
      </c>
    </row>
    <row r="833">
      <c r="A833" s="63">
        <f>IFERROR(INDEX(Firms!$A$5:$A$1004,MATCH(809,Firms!$S$5:$S$1004,0)),"")</f>
        <v/>
      </c>
      <c r="B833" s="57">
        <f>IF($A833="","",INDEX(Firms!$B$5:$B$1004,MATCH(809,Firms!$S$5:$S$1004,0)))</f>
        <v/>
      </c>
      <c r="C833" s="57">
        <f>IF($A833="","",COUNTIF('AFA Rates'!$A$5:$A$1004,$A833))</f>
        <v/>
      </c>
      <c r="D833" s="57">
        <f>IF(OR($A833="",D$24=""),"",IF(COUNTIFS('AFA Rates'!$A$5:$A$1004,$A833,'AFA Rates'!$B$5:$B$1004,D$24)&gt;0,"✓",""))</f>
        <v/>
      </c>
      <c r="E833" s="57">
        <f>IF(OR($A833="",E$24=""),"",IF(COUNTIFS('AFA Rates'!$A$5:$A$1004,$A833,'AFA Rates'!$B$5:$B$1004,E$24)&gt;0,"✓",""))</f>
        <v/>
      </c>
      <c r="F833" s="57">
        <f>IF(OR($A833="",F$24=""),"",IF(COUNTIFS('AFA Rates'!$A$5:$A$1004,$A833,'AFA Rates'!$B$5:$B$1004,F$24)&gt;0,"✓",""))</f>
        <v/>
      </c>
      <c r="G833" s="57">
        <f>IF(OR($A833="",G$24=""),"",IF(COUNTIFS('AFA Rates'!$A$5:$A$1004,$A833,'AFA Rates'!$B$5:$B$1004,G$24)&gt;0,"✓",""))</f>
        <v/>
      </c>
      <c r="H833" s="57">
        <f>IF(OR($A833="",H$24=""),"",IF(COUNTIFS('AFA Rates'!$A$5:$A$1004,$A833,'AFA Rates'!$B$5:$B$1004,H$24)&gt;0,"✓",""))</f>
        <v/>
      </c>
      <c r="I833" s="57">
        <f>IF(OR($A833="",I$24=""),"",IF(COUNTIFS('AFA Rates'!$A$5:$A$1004,$A833,'AFA Rates'!$B$5:$B$1004,I$24)&gt;0,"✓",""))</f>
        <v/>
      </c>
      <c r="J833" s="57">
        <f>IF(OR($A833="",J$24=""),"",IF(COUNTIFS('AFA Rates'!$A$5:$A$1004,$A833,'AFA Rates'!$B$5:$B$1004,J$24)&gt;0,"✓",""))</f>
        <v/>
      </c>
      <c r="K833" s="57">
        <f>IF(OR($A833="",K$24=""),"",IF(COUNTIFS('AFA Rates'!$A$5:$A$1004,$A833,'AFA Rates'!$B$5:$B$1004,K$24)&gt;0,"✓",""))</f>
        <v/>
      </c>
      <c r="L833" s="57">
        <f>IF(OR($A833="",L$24=""),"",IF(COUNTIFS('AFA Rates'!$A$5:$A$1004,$A833,'AFA Rates'!$B$5:$B$1004,L$24)&gt;0,"✓",""))</f>
        <v/>
      </c>
      <c r="M833" s="57">
        <f>IF(OR($A833="",M$24=""),"",IF(COUNTIFS('AFA Rates'!$A$5:$A$1004,$A833,'AFA Rates'!$B$5:$B$1004,M$24)&gt;0,"✓",""))</f>
        <v/>
      </c>
    </row>
    <row r="834">
      <c r="A834" s="63">
        <f>IFERROR(INDEX(Firms!$A$5:$A$1004,MATCH(810,Firms!$S$5:$S$1004,0)),"")</f>
        <v/>
      </c>
      <c r="B834" s="57">
        <f>IF($A834="","",INDEX(Firms!$B$5:$B$1004,MATCH(810,Firms!$S$5:$S$1004,0)))</f>
        <v/>
      </c>
      <c r="C834" s="57">
        <f>IF($A834="","",COUNTIF('AFA Rates'!$A$5:$A$1004,$A834))</f>
        <v/>
      </c>
      <c r="D834" s="57">
        <f>IF(OR($A834="",D$24=""),"",IF(COUNTIFS('AFA Rates'!$A$5:$A$1004,$A834,'AFA Rates'!$B$5:$B$1004,D$24)&gt;0,"✓",""))</f>
        <v/>
      </c>
      <c r="E834" s="57">
        <f>IF(OR($A834="",E$24=""),"",IF(COUNTIFS('AFA Rates'!$A$5:$A$1004,$A834,'AFA Rates'!$B$5:$B$1004,E$24)&gt;0,"✓",""))</f>
        <v/>
      </c>
      <c r="F834" s="57">
        <f>IF(OR($A834="",F$24=""),"",IF(COUNTIFS('AFA Rates'!$A$5:$A$1004,$A834,'AFA Rates'!$B$5:$B$1004,F$24)&gt;0,"✓",""))</f>
        <v/>
      </c>
      <c r="G834" s="57">
        <f>IF(OR($A834="",G$24=""),"",IF(COUNTIFS('AFA Rates'!$A$5:$A$1004,$A834,'AFA Rates'!$B$5:$B$1004,G$24)&gt;0,"✓",""))</f>
        <v/>
      </c>
      <c r="H834" s="57">
        <f>IF(OR($A834="",H$24=""),"",IF(COUNTIFS('AFA Rates'!$A$5:$A$1004,$A834,'AFA Rates'!$B$5:$B$1004,H$24)&gt;0,"✓",""))</f>
        <v/>
      </c>
      <c r="I834" s="57">
        <f>IF(OR($A834="",I$24=""),"",IF(COUNTIFS('AFA Rates'!$A$5:$A$1004,$A834,'AFA Rates'!$B$5:$B$1004,I$24)&gt;0,"✓",""))</f>
        <v/>
      </c>
      <c r="J834" s="57">
        <f>IF(OR($A834="",J$24=""),"",IF(COUNTIFS('AFA Rates'!$A$5:$A$1004,$A834,'AFA Rates'!$B$5:$B$1004,J$24)&gt;0,"✓",""))</f>
        <v/>
      </c>
      <c r="K834" s="57">
        <f>IF(OR($A834="",K$24=""),"",IF(COUNTIFS('AFA Rates'!$A$5:$A$1004,$A834,'AFA Rates'!$B$5:$B$1004,K$24)&gt;0,"✓",""))</f>
        <v/>
      </c>
      <c r="L834" s="57">
        <f>IF(OR($A834="",L$24=""),"",IF(COUNTIFS('AFA Rates'!$A$5:$A$1004,$A834,'AFA Rates'!$B$5:$B$1004,L$24)&gt;0,"✓",""))</f>
        <v/>
      </c>
      <c r="M834" s="57">
        <f>IF(OR($A834="",M$24=""),"",IF(COUNTIFS('AFA Rates'!$A$5:$A$1004,$A834,'AFA Rates'!$B$5:$B$1004,M$24)&gt;0,"✓",""))</f>
        <v/>
      </c>
    </row>
    <row r="835">
      <c r="A835" s="63">
        <f>IFERROR(INDEX(Firms!$A$5:$A$1004,MATCH(811,Firms!$S$5:$S$1004,0)),"")</f>
        <v/>
      </c>
      <c r="B835" s="57">
        <f>IF($A835="","",INDEX(Firms!$B$5:$B$1004,MATCH(811,Firms!$S$5:$S$1004,0)))</f>
        <v/>
      </c>
      <c r="C835" s="57">
        <f>IF($A835="","",COUNTIF('AFA Rates'!$A$5:$A$1004,$A835))</f>
        <v/>
      </c>
      <c r="D835" s="57">
        <f>IF(OR($A835="",D$24=""),"",IF(COUNTIFS('AFA Rates'!$A$5:$A$1004,$A835,'AFA Rates'!$B$5:$B$1004,D$24)&gt;0,"✓",""))</f>
        <v/>
      </c>
      <c r="E835" s="57">
        <f>IF(OR($A835="",E$24=""),"",IF(COUNTIFS('AFA Rates'!$A$5:$A$1004,$A835,'AFA Rates'!$B$5:$B$1004,E$24)&gt;0,"✓",""))</f>
        <v/>
      </c>
      <c r="F835" s="57">
        <f>IF(OR($A835="",F$24=""),"",IF(COUNTIFS('AFA Rates'!$A$5:$A$1004,$A835,'AFA Rates'!$B$5:$B$1004,F$24)&gt;0,"✓",""))</f>
        <v/>
      </c>
      <c r="G835" s="57">
        <f>IF(OR($A835="",G$24=""),"",IF(COUNTIFS('AFA Rates'!$A$5:$A$1004,$A835,'AFA Rates'!$B$5:$B$1004,G$24)&gt;0,"✓",""))</f>
        <v/>
      </c>
      <c r="H835" s="57">
        <f>IF(OR($A835="",H$24=""),"",IF(COUNTIFS('AFA Rates'!$A$5:$A$1004,$A835,'AFA Rates'!$B$5:$B$1004,H$24)&gt;0,"✓",""))</f>
        <v/>
      </c>
      <c r="I835" s="57">
        <f>IF(OR($A835="",I$24=""),"",IF(COUNTIFS('AFA Rates'!$A$5:$A$1004,$A835,'AFA Rates'!$B$5:$B$1004,I$24)&gt;0,"✓",""))</f>
        <v/>
      </c>
      <c r="J835" s="57">
        <f>IF(OR($A835="",J$24=""),"",IF(COUNTIFS('AFA Rates'!$A$5:$A$1004,$A835,'AFA Rates'!$B$5:$B$1004,J$24)&gt;0,"✓",""))</f>
        <v/>
      </c>
      <c r="K835" s="57">
        <f>IF(OR($A835="",K$24=""),"",IF(COUNTIFS('AFA Rates'!$A$5:$A$1004,$A835,'AFA Rates'!$B$5:$B$1004,K$24)&gt;0,"✓",""))</f>
        <v/>
      </c>
      <c r="L835" s="57">
        <f>IF(OR($A835="",L$24=""),"",IF(COUNTIFS('AFA Rates'!$A$5:$A$1004,$A835,'AFA Rates'!$B$5:$B$1004,L$24)&gt;0,"✓",""))</f>
        <v/>
      </c>
      <c r="M835" s="57">
        <f>IF(OR($A835="",M$24=""),"",IF(COUNTIFS('AFA Rates'!$A$5:$A$1004,$A835,'AFA Rates'!$B$5:$B$1004,M$24)&gt;0,"✓",""))</f>
        <v/>
      </c>
    </row>
    <row r="836">
      <c r="A836" s="63">
        <f>IFERROR(INDEX(Firms!$A$5:$A$1004,MATCH(812,Firms!$S$5:$S$1004,0)),"")</f>
        <v/>
      </c>
      <c r="B836" s="57">
        <f>IF($A836="","",INDEX(Firms!$B$5:$B$1004,MATCH(812,Firms!$S$5:$S$1004,0)))</f>
        <v/>
      </c>
      <c r="C836" s="57">
        <f>IF($A836="","",COUNTIF('AFA Rates'!$A$5:$A$1004,$A836))</f>
        <v/>
      </c>
      <c r="D836" s="57">
        <f>IF(OR($A836="",D$24=""),"",IF(COUNTIFS('AFA Rates'!$A$5:$A$1004,$A836,'AFA Rates'!$B$5:$B$1004,D$24)&gt;0,"✓",""))</f>
        <v/>
      </c>
      <c r="E836" s="57">
        <f>IF(OR($A836="",E$24=""),"",IF(COUNTIFS('AFA Rates'!$A$5:$A$1004,$A836,'AFA Rates'!$B$5:$B$1004,E$24)&gt;0,"✓",""))</f>
        <v/>
      </c>
      <c r="F836" s="57">
        <f>IF(OR($A836="",F$24=""),"",IF(COUNTIFS('AFA Rates'!$A$5:$A$1004,$A836,'AFA Rates'!$B$5:$B$1004,F$24)&gt;0,"✓",""))</f>
        <v/>
      </c>
      <c r="G836" s="57">
        <f>IF(OR($A836="",G$24=""),"",IF(COUNTIFS('AFA Rates'!$A$5:$A$1004,$A836,'AFA Rates'!$B$5:$B$1004,G$24)&gt;0,"✓",""))</f>
        <v/>
      </c>
      <c r="H836" s="57">
        <f>IF(OR($A836="",H$24=""),"",IF(COUNTIFS('AFA Rates'!$A$5:$A$1004,$A836,'AFA Rates'!$B$5:$B$1004,H$24)&gt;0,"✓",""))</f>
        <v/>
      </c>
      <c r="I836" s="57">
        <f>IF(OR($A836="",I$24=""),"",IF(COUNTIFS('AFA Rates'!$A$5:$A$1004,$A836,'AFA Rates'!$B$5:$B$1004,I$24)&gt;0,"✓",""))</f>
        <v/>
      </c>
      <c r="J836" s="57">
        <f>IF(OR($A836="",J$24=""),"",IF(COUNTIFS('AFA Rates'!$A$5:$A$1004,$A836,'AFA Rates'!$B$5:$B$1004,J$24)&gt;0,"✓",""))</f>
        <v/>
      </c>
      <c r="K836" s="57">
        <f>IF(OR($A836="",K$24=""),"",IF(COUNTIFS('AFA Rates'!$A$5:$A$1004,$A836,'AFA Rates'!$B$5:$B$1004,K$24)&gt;0,"✓",""))</f>
        <v/>
      </c>
      <c r="L836" s="57">
        <f>IF(OR($A836="",L$24=""),"",IF(COUNTIFS('AFA Rates'!$A$5:$A$1004,$A836,'AFA Rates'!$B$5:$B$1004,L$24)&gt;0,"✓",""))</f>
        <v/>
      </c>
      <c r="M836" s="57">
        <f>IF(OR($A836="",M$24=""),"",IF(COUNTIFS('AFA Rates'!$A$5:$A$1004,$A836,'AFA Rates'!$B$5:$B$1004,M$24)&gt;0,"✓",""))</f>
        <v/>
      </c>
    </row>
    <row r="837">
      <c r="A837" s="63">
        <f>IFERROR(INDEX(Firms!$A$5:$A$1004,MATCH(813,Firms!$S$5:$S$1004,0)),"")</f>
        <v/>
      </c>
      <c r="B837" s="57">
        <f>IF($A837="","",INDEX(Firms!$B$5:$B$1004,MATCH(813,Firms!$S$5:$S$1004,0)))</f>
        <v/>
      </c>
      <c r="C837" s="57">
        <f>IF($A837="","",COUNTIF('AFA Rates'!$A$5:$A$1004,$A837))</f>
        <v/>
      </c>
      <c r="D837" s="57">
        <f>IF(OR($A837="",D$24=""),"",IF(COUNTIFS('AFA Rates'!$A$5:$A$1004,$A837,'AFA Rates'!$B$5:$B$1004,D$24)&gt;0,"✓",""))</f>
        <v/>
      </c>
      <c r="E837" s="57">
        <f>IF(OR($A837="",E$24=""),"",IF(COUNTIFS('AFA Rates'!$A$5:$A$1004,$A837,'AFA Rates'!$B$5:$B$1004,E$24)&gt;0,"✓",""))</f>
        <v/>
      </c>
      <c r="F837" s="57">
        <f>IF(OR($A837="",F$24=""),"",IF(COUNTIFS('AFA Rates'!$A$5:$A$1004,$A837,'AFA Rates'!$B$5:$B$1004,F$24)&gt;0,"✓",""))</f>
        <v/>
      </c>
      <c r="G837" s="57">
        <f>IF(OR($A837="",G$24=""),"",IF(COUNTIFS('AFA Rates'!$A$5:$A$1004,$A837,'AFA Rates'!$B$5:$B$1004,G$24)&gt;0,"✓",""))</f>
        <v/>
      </c>
      <c r="H837" s="57">
        <f>IF(OR($A837="",H$24=""),"",IF(COUNTIFS('AFA Rates'!$A$5:$A$1004,$A837,'AFA Rates'!$B$5:$B$1004,H$24)&gt;0,"✓",""))</f>
        <v/>
      </c>
      <c r="I837" s="57">
        <f>IF(OR($A837="",I$24=""),"",IF(COUNTIFS('AFA Rates'!$A$5:$A$1004,$A837,'AFA Rates'!$B$5:$B$1004,I$24)&gt;0,"✓",""))</f>
        <v/>
      </c>
      <c r="J837" s="57">
        <f>IF(OR($A837="",J$24=""),"",IF(COUNTIFS('AFA Rates'!$A$5:$A$1004,$A837,'AFA Rates'!$B$5:$B$1004,J$24)&gt;0,"✓",""))</f>
        <v/>
      </c>
      <c r="K837" s="57">
        <f>IF(OR($A837="",K$24=""),"",IF(COUNTIFS('AFA Rates'!$A$5:$A$1004,$A837,'AFA Rates'!$B$5:$B$1004,K$24)&gt;0,"✓",""))</f>
        <v/>
      </c>
      <c r="L837" s="57">
        <f>IF(OR($A837="",L$24=""),"",IF(COUNTIFS('AFA Rates'!$A$5:$A$1004,$A837,'AFA Rates'!$B$5:$B$1004,L$24)&gt;0,"✓",""))</f>
        <v/>
      </c>
      <c r="M837" s="57">
        <f>IF(OR($A837="",M$24=""),"",IF(COUNTIFS('AFA Rates'!$A$5:$A$1004,$A837,'AFA Rates'!$B$5:$B$1004,M$24)&gt;0,"✓",""))</f>
        <v/>
      </c>
    </row>
    <row r="838">
      <c r="A838" s="63">
        <f>IFERROR(INDEX(Firms!$A$5:$A$1004,MATCH(814,Firms!$S$5:$S$1004,0)),"")</f>
        <v/>
      </c>
      <c r="B838" s="57">
        <f>IF($A838="","",INDEX(Firms!$B$5:$B$1004,MATCH(814,Firms!$S$5:$S$1004,0)))</f>
        <v/>
      </c>
      <c r="C838" s="57">
        <f>IF($A838="","",COUNTIF('AFA Rates'!$A$5:$A$1004,$A838))</f>
        <v/>
      </c>
      <c r="D838" s="57">
        <f>IF(OR($A838="",D$24=""),"",IF(COUNTIFS('AFA Rates'!$A$5:$A$1004,$A838,'AFA Rates'!$B$5:$B$1004,D$24)&gt;0,"✓",""))</f>
        <v/>
      </c>
      <c r="E838" s="57">
        <f>IF(OR($A838="",E$24=""),"",IF(COUNTIFS('AFA Rates'!$A$5:$A$1004,$A838,'AFA Rates'!$B$5:$B$1004,E$24)&gt;0,"✓",""))</f>
        <v/>
      </c>
      <c r="F838" s="57">
        <f>IF(OR($A838="",F$24=""),"",IF(COUNTIFS('AFA Rates'!$A$5:$A$1004,$A838,'AFA Rates'!$B$5:$B$1004,F$24)&gt;0,"✓",""))</f>
        <v/>
      </c>
      <c r="G838" s="57">
        <f>IF(OR($A838="",G$24=""),"",IF(COUNTIFS('AFA Rates'!$A$5:$A$1004,$A838,'AFA Rates'!$B$5:$B$1004,G$24)&gt;0,"✓",""))</f>
        <v/>
      </c>
      <c r="H838" s="57">
        <f>IF(OR($A838="",H$24=""),"",IF(COUNTIFS('AFA Rates'!$A$5:$A$1004,$A838,'AFA Rates'!$B$5:$B$1004,H$24)&gt;0,"✓",""))</f>
        <v/>
      </c>
      <c r="I838" s="57">
        <f>IF(OR($A838="",I$24=""),"",IF(COUNTIFS('AFA Rates'!$A$5:$A$1004,$A838,'AFA Rates'!$B$5:$B$1004,I$24)&gt;0,"✓",""))</f>
        <v/>
      </c>
      <c r="J838" s="57">
        <f>IF(OR($A838="",J$24=""),"",IF(COUNTIFS('AFA Rates'!$A$5:$A$1004,$A838,'AFA Rates'!$B$5:$B$1004,J$24)&gt;0,"✓",""))</f>
        <v/>
      </c>
      <c r="K838" s="57">
        <f>IF(OR($A838="",K$24=""),"",IF(COUNTIFS('AFA Rates'!$A$5:$A$1004,$A838,'AFA Rates'!$B$5:$B$1004,K$24)&gt;0,"✓",""))</f>
        <v/>
      </c>
      <c r="L838" s="57">
        <f>IF(OR($A838="",L$24=""),"",IF(COUNTIFS('AFA Rates'!$A$5:$A$1004,$A838,'AFA Rates'!$B$5:$B$1004,L$24)&gt;0,"✓",""))</f>
        <v/>
      </c>
      <c r="M838" s="57">
        <f>IF(OR($A838="",M$24=""),"",IF(COUNTIFS('AFA Rates'!$A$5:$A$1004,$A838,'AFA Rates'!$B$5:$B$1004,M$24)&gt;0,"✓",""))</f>
        <v/>
      </c>
    </row>
    <row r="839">
      <c r="A839" s="63">
        <f>IFERROR(INDEX(Firms!$A$5:$A$1004,MATCH(815,Firms!$S$5:$S$1004,0)),"")</f>
        <v/>
      </c>
      <c r="B839" s="57">
        <f>IF($A839="","",INDEX(Firms!$B$5:$B$1004,MATCH(815,Firms!$S$5:$S$1004,0)))</f>
        <v/>
      </c>
      <c r="C839" s="57">
        <f>IF($A839="","",COUNTIF('AFA Rates'!$A$5:$A$1004,$A839))</f>
        <v/>
      </c>
      <c r="D839" s="57">
        <f>IF(OR($A839="",D$24=""),"",IF(COUNTIFS('AFA Rates'!$A$5:$A$1004,$A839,'AFA Rates'!$B$5:$B$1004,D$24)&gt;0,"✓",""))</f>
        <v/>
      </c>
      <c r="E839" s="57">
        <f>IF(OR($A839="",E$24=""),"",IF(COUNTIFS('AFA Rates'!$A$5:$A$1004,$A839,'AFA Rates'!$B$5:$B$1004,E$24)&gt;0,"✓",""))</f>
        <v/>
      </c>
      <c r="F839" s="57">
        <f>IF(OR($A839="",F$24=""),"",IF(COUNTIFS('AFA Rates'!$A$5:$A$1004,$A839,'AFA Rates'!$B$5:$B$1004,F$24)&gt;0,"✓",""))</f>
        <v/>
      </c>
      <c r="G839" s="57">
        <f>IF(OR($A839="",G$24=""),"",IF(COUNTIFS('AFA Rates'!$A$5:$A$1004,$A839,'AFA Rates'!$B$5:$B$1004,G$24)&gt;0,"✓",""))</f>
        <v/>
      </c>
      <c r="H839" s="57">
        <f>IF(OR($A839="",H$24=""),"",IF(COUNTIFS('AFA Rates'!$A$5:$A$1004,$A839,'AFA Rates'!$B$5:$B$1004,H$24)&gt;0,"✓",""))</f>
        <v/>
      </c>
      <c r="I839" s="57">
        <f>IF(OR($A839="",I$24=""),"",IF(COUNTIFS('AFA Rates'!$A$5:$A$1004,$A839,'AFA Rates'!$B$5:$B$1004,I$24)&gt;0,"✓",""))</f>
        <v/>
      </c>
      <c r="J839" s="57">
        <f>IF(OR($A839="",J$24=""),"",IF(COUNTIFS('AFA Rates'!$A$5:$A$1004,$A839,'AFA Rates'!$B$5:$B$1004,J$24)&gt;0,"✓",""))</f>
        <v/>
      </c>
      <c r="K839" s="57">
        <f>IF(OR($A839="",K$24=""),"",IF(COUNTIFS('AFA Rates'!$A$5:$A$1004,$A839,'AFA Rates'!$B$5:$B$1004,K$24)&gt;0,"✓",""))</f>
        <v/>
      </c>
      <c r="L839" s="57">
        <f>IF(OR($A839="",L$24=""),"",IF(COUNTIFS('AFA Rates'!$A$5:$A$1004,$A839,'AFA Rates'!$B$5:$B$1004,L$24)&gt;0,"✓",""))</f>
        <v/>
      </c>
      <c r="M839" s="57">
        <f>IF(OR($A839="",M$24=""),"",IF(COUNTIFS('AFA Rates'!$A$5:$A$1004,$A839,'AFA Rates'!$B$5:$B$1004,M$24)&gt;0,"✓",""))</f>
        <v/>
      </c>
    </row>
    <row r="840">
      <c r="A840" s="63">
        <f>IFERROR(INDEX(Firms!$A$5:$A$1004,MATCH(816,Firms!$S$5:$S$1004,0)),"")</f>
        <v/>
      </c>
      <c r="B840" s="57">
        <f>IF($A840="","",INDEX(Firms!$B$5:$B$1004,MATCH(816,Firms!$S$5:$S$1004,0)))</f>
        <v/>
      </c>
      <c r="C840" s="57">
        <f>IF($A840="","",COUNTIF('AFA Rates'!$A$5:$A$1004,$A840))</f>
        <v/>
      </c>
      <c r="D840" s="57">
        <f>IF(OR($A840="",D$24=""),"",IF(COUNTIFS('AFA Rates'!$A$5:$A$1004,$A840,'AFA Rates'!$B$5:$B$1004,D$24)&gt;0,"✓",""))</f>
        <v/>
      </c>
      <c r="E840" s="57">
        <f>IF(OR($A840="",E$24=""),"",IF(COUNTIFS('AFA Rates'!$A$5:$A$1004,$A840,'AFA Rates'!$B$5:$B$1004,E$24)&gt;0,"✓",""))</f>
        <v/>
      </c>
      <c r="F840" s="57">
        <f>IF(OR($A840="",F$24=""),"",IF(COUNTIFS('AFA Rates'!$A$5:$A$1004,$A840,'AFA Rates'!$B$5:$B$1004,F$24)&gt;0,"✓",""))</f>
        <v/>
      </c>
      <c r="G840" s="57">
        <f>IF(OR($A840="",G$24=""),"",IF(COUNTIFS('AFA Rates'!$A$5:$A$1004,$A840,'AFA Rates'!$B$5:$B$1004,G$24)&gt;0,"✓",""))</f>
        <v/>
      </c>
      <c r="H840" s="57">
        <f>IF(OR($A840="",H$24=""),"",IF(COUNTIFS('AFA Rates'!$A$5:$A$1004,$A840,'AFA Rates'!$B$5:$B$1004,H$24)&gt;0,"✓",""))</f>
        <v/>
      </c>
      <c r="I840" s="57">
        <f>IF(OR($A840="",I$24=""),"",IF(COUNTIFS('AFA Rates'!$A$5:$A$1004,$A840,'AFA Rates'!$B$5:$B$1004,I$24)&gt;0,"✓",""))</f>
        <v/>
      </c>
      <c r="J840" s="57">
        <f>IF(OR($A840="",J$24=""),"",IF(COUNTIFS('AFA Rates'!$A$5:$A$1004,$A840,'AFA Rates'!$B$5:$B$1004,J$24)&gt;0,"✓",""))</f>
        <v/>
      </c>
      <c r="K840" s="57">
        <f>IF(OR($A840="",K$24=""),"",IF(COUNTIFS('AFA Rates'!$A$5:$A$1004,$A840,'AFA Rates'!$B$5:$B$1004,K$24)&gt;0,"✓",""))</f>
        <v/>
      </c>
      <c r="L840" s="57">
        <f>IF(OR($A840="",L$24=""),"",IF(COUNTIFS('AFA Rates'!$A$5:$A$1004,$A840,'AFA Rates'!$B$5:$B$1004,L$24)&gt;0,"✓",""))</f>
        <v/>
      </c>
      <c r="M840" s="57">
        <f>IF(OR($A840="",M$24=""),"",IF(COUNTIFS('AFA Rates'!$A$5:$A$1004,$A840,'AFA Rates'!$B$5:$B$1004,M$24)&gt;0,"✓",""))</f>
        <v/>
      </c>
    </row>
    <row r="841">
      <c r="A841" s="63">
        <f>IFERROR(INDEX(Firms!$A$5:$A$1004,MATCH(817,Firms!$S$5:$S$1004,0)),"")</f>
        <v/>
      </c>
      <c r="B841" s="57">
        <f>IF($A841="","",INDEX(Firms!$B$5:$B$1004,MATCH(817,Firms!$S$5:$S$1004,0)))</f>
        <v/>
      </c>
      <c r="C841" s="57">
        <f>IF($A841="","",COUNTIF('AFA Rates'!$A$5:$A$1004,$A841))</f>
        <v/>
      </c>
      <c r="D841" s="57">
        <f>IF(OR($A841="",D$24=""),"",IF(COUNTIFS('AFA Rates'!$A$5:$A$1004,$A841,'AFA Rates'!$B$5:$B$1004,D$24)&gt;0,"✓",""))</f>
        <v/>
      </c>
      <c r="E841" s="57">
        <f>IF(OR($A841="",E$24=""),"",IF(COUNTIFS('AFA Rates'!$A$5:$A$1004,$A841,'AFA Rates'!$B$5:$B$1004,E$24)&gt;0,"✓",""))</f>
        <v/>
      </c>
      <c r="F841" s="57">
        <f>IF(OR($A841="",F$24=""),"",IF(COUNTIFS('AFA Rates'!$A$5:$A$1004,$A841,'AFA Rates'!$B$5:$B$1004,F$24)&gt;0,"✓",""))</f>
        <v/>
      </c>
      <c r="G841" s="57">
        <f>IF(OR($A841="",G$24=""),"",IF(COUNTIFS('AFA Rates'!$A$5:$A$1004,$A841,'AFA Rates'!$B$5:$B$1004,G$24)&gt;0,"✓",""))</f>
        <v/>
      </c>
      <c r="H841" s="57">
        <f>IF(OR($A841="",H$24=""),"",IF(COUNTIFS('AFA Rates'!$A$5:$A$1004,$A841,'AFA Rates'!$B$5:$B$1004,H$24)&gt;0,"✓",""))</f>
        <v/>
      </c>
      <c r="I841" s="57">
        <f>IF(OR($A841="",I$24=""),"",IF(COUNTIFS('AFA Rates'!$A$5:$A$1004,$A841,'AFA Rates'!$B$5:$B$1004,I$24)&gt;0,"✓",""))</f>
        <v/>
      </c>
      <c r="J841" s="57">
        <f>IF(OR($A841="",J$24=""),"",IF(COUNTIFS('AFA Rates'!$A$5:$A$1004,$A841,'AFA Rates'!$B$5:$B$1004,J$24)&gt;0,"✓",""))</f>
        <v/>
      </c>
      <c r="K841" s="57">
        <f>IF(OR($A841="",K$24=""),"",IF(COUNTIFS('AFA Rates'!$A$5:$A$1004,$A841,'AFA Rates'!$B$5:$B$1004,K$24)&gt;0,"✓",""))</f>
        <v/>
      </c>
      <c r="L841" s="57">
        <f>IF(OR($A841="",L$24=""),"",IF(COUNTIFS('AFA Rates'!$A$5:$A$1004,$A841,'AFA Rates'!$B$5:$B$1004,L$24)&gt;0,"✓",""))</f>
        <v/>
      </c>
      <c r="M841" s="57">
        <f>IF(OR($A841="",M$24=""),"",IF(COUNTIFS('AFA Rates'!$A$5:$A$1004,$A841,'AFA Rates'!$B$5:$B$1004,M$24)&gt;0,"✓",""))</f>
        <v/>
      </c>
    </row>
    <row r="842">
      <c r="A842" s="63">
        <f>IFERROR(INDEX(Firms!$A$5:$A$1004,MATCH(818,Firms!$S$5:$S$1004,0)),"")</f>
        <v/>
      </c>
      <c r="B842" s="57">
        <f>IF($A842="","",INDEX(Firms!$B$5:$B$1004,MATCH(818,Firms!$S$5:$S$1004,0)))</f>
        <v/>
      </c>
      <c r="C842" s="57">
        <f>IF($A842="","",COUNTIF('AFA Rates'!$A$5:$A$1004,$A842))</f>
        <v/>
      </c>
      <c r="D842" s="57">
        <f>IF(OR($A842="",D$24=""),"",IF(COUNTIFS('AFA Rates'!$A$5:$A$1004,$A842,'AFA Rates'!$B$5:$B$1004,D$24)&gt;0,"✓",""))</f>
        <v/>
      </c>
      <c r="E842" s="57">
        <f>IF(OR($A842="",E$24=""),"",IF(COUNTIFS('AFA Rates'!$A$5:$A$1004,$A842,'AFA Rates'!$B$5:$B$1004,E$24)&gt;0,"✓",""))</f>
        <v/>
      </c>
      <c r="F842" s="57">
        <f>IF(OR($A842="",F$24=""),"",IF(COUNTIFS('AFA Rates'!$A$5:$A$1004,$A842,'AFA Rates'!$B$5:$B$1004,F$24)&gt;0,"✓",""))</f>
        <v/>
      </c>
      <c r="G842" s="57">
        <f>IF(OR($A842="",G$24=""),"",IF(COUNTIFS('AFA Rates'!$A$5:$A$1004,$A842,'AFA Rates'!$B$5:$B$1004,G$24)&gt;0,"✓",""))</f>
        <v/>
      </c>
      <c r="H842" s="57">
        <f>IF(OR($A842="",H$24=""),"",IF(COUNTIFS('AFA Rates'!$A$5:$A$1004,$A842,'AFA Rates'!$B$5:$B$1004,H$24)&gt;0,"✓",""))</f>
        <v/>
      </c>
      <c r="I842" s="57">
        <f>IF(OR($A842="",I$24=""),"",IF(COUNTIFS('AFA Rates'!$A$5:$A$1004,$A842,'AFA Rates'!$B$5:$B$1004,I$24)&gt;0,"✓",""))</f>
        <v/>
      </c>
      <c r="J842" s="57">
        <f>IF(OR($A842="",J$24=""),"",IF(COUNTIFS('AFA Rates'!$A$5:$A$1004,$A842,'AFA Rates'!$B$5:$B$1004,J$24)&gt;0,"✓",""))</f>
        <v/>
      </c>
      <c r="K842" s="57">
        <f>IF(OR($A842="",K$24=""),"",IF(COUNTIFS('AFA Rates'!$A$5:$A$1004,$A842,'AFA Rates'!$B$5:$B$1004,K$24)&gt;0,"✓",""))</f>
        <v/>
      </c>
      <c r="L842" s="57">
        <f>IF(OR($A842="",L$24=""),"",IF(COUNTIFS('AFA Rates'!$A$5:$A$1004,$A842,'AFA Rates'!$B$5:$B$1004,L$24)&gt;0,"✓",""))</f>
        <v/>
      </c>
      <c r="M842" s="57">
        <f>IF(OR($A842="",M$24=""),"",IF(COUNTIFS('AFA Rates'!$A$5:$A$1004,$A842,'AFA Rates'!$B$5:$B$1004,M$24)&gt;0,"✓",""))</f>
        <v/>
      </c>
    </row>
    <row r="843">
      <c r="A843" s="63">
        <f>IFERROR(INDEX(Firms!$A$5:$A$1004,MATCH(819,Firms!$S$5:$S$1004,0)),"")</f>
        <v/>
      </c>
      <c r="B843" s="57">
        <f>IF($A843="","",INDEX(Firms!$B$5:$B$1004,MATCH(819,Firms!$S$5:$S$1004,0)))</f>
        <v/>
      </c>
      <c r="C843" s="57">
        <f>IF($A843="","",COUNTIF('AFA Rates'!$A$5:$A$1004,$A843))</f>
        <v/>
      </c>
      <c r="D843" s="57">
        <f>IF(OR($A843="",D$24=""),"",IF(COUNTIFS('AFA Rates'!$A$5:$A$1004,$A843,'AFA Rates'!$B$5:$B$1004,D$24)&gt;0,"✓",""))</f>
        <v/>
      </c>
      <c r="E843" s="57">
        <f>IF(OR($A843="",E$24=""),"",IF(COUNTIFS('AFA Rates'!$A$5:$A$1004,$A843,'AFA Rates'!$B$5:$B$1004,E$24)&gt;0,"✓",""))</f>
        <v/>
      </c>
      <c r="F843" s="57">
        <f>IF(OR($A843="",F$24=""),"",IF(COUNTIFS('AFA Rates'!$A$5:$A$1004,$A843,'AFA Rates'!$B$5:$B$1004,F$24)&gt;0,"✓",""))</f>
        <v/>
      </c>
      <c r="G843" s="57">
        <f>IF(OR($A843="",G$24=""),"",IF(COUNTIFS('AFA Rates'!$A$5:$A$1004,$A843,'AFA Rates'!$B$5:$B$1004,G$24)&gt;0,"✓",""))</f>
        <v/>
      </c>
      <c r="H843" s="57">
        <f>IF(OR($A843="",H$24=""),"",IF(COUNTIFS('AFA Rates'!$A$5:$A$1004,$A843,'AFA Rates'!$B$5:$B$1004,H$24)&gt;0,"✓",""))</f>
        <v/>
      </c>
      <c r="I843" s="57">
        <f>IF(OR($A843="",I$24=""),"",IF(COUNTIFS('AFA Rates'!$A$5:$A$1004,$A843,'AFA Rates'!$B$5:$B$1004,I$24)&gt;0,"✓",""))</f>
        <v/>
      </c>
      <c r="J843" s="57">
        <f>IF(OR($A843="",J$24=""),"",IF(COUNTIFS('AFA Rates'!$A$5:$A$1004,$A843,'AFA Rates'!$B$5:$B$1004,J$24)&gt;0,"✓",""))</f>
        <v/>
      </c>
      <c r="K843" s="57">
        <f>IF(OR($A843="",K$24=""),"",IF(COUNTIFS('AFA Rates'!$A$5:$A$1004,$A843,'AFA Rates'!$B$5:$B$1004,K$24)&gt;0,"✓",""))</f>
        <v/>
      </c>
      <c r="L843" s="57">
        <f>IF(OR($A843="",L$24=""),"",IF(COUNTIFS('AFA Rates'!$A$5:$A$1004,$A843,'AFA Rates'!$B$5:$B$1004,L$24)&gt;0,"✓",""))</f>
        <v/>
      </c>
      <c r="M843" s="57">
        <f>IF(OR($A843="",M$24=""),"",IF(COUNTIFS('AFA Rates'!$A$5:$A$1004,$A843,'AFA Rates'!$B$5:$B$1004,M$24)&gt;0,"✓",""))</f>
        <v/>
      </c>
    </row>
    <row r="844">
      <c r="A844" s="63">
        <f>IFERROR(INDEX(Firms!$A$5:$A$1004,MATCH(820,Firms!$S$5:$S$1004,0)),"")</f>
        <v/>
      </c>
      <c r="B844" s="57">
        <f>IF($A844="","",INDEX(Firms!$B$5:$B$1004,MATCH(820,Firms!$S$5:$S$1004,0)))</f>
        <v/>
      </c>
      <c r="C844" s="57">
        <f>IF($A844="","",COUNTIF('AFA Rates'!$A$5:$A$1004,$A844))</f>
        <v/>
      </c>
      <c r="D844" s="57">
        <f>IF(OR($A844="",D$24=""),"",IF(COUNTIFS('AFA Rates'!$A$5:$A$1004,$A844,'AFA Rates'!$B$5:$B$1004,D$24)&gt;0,"✓",""))</f>
        <v/>
      </c>
      <c r="E844" s="57">
        <f>IF(OR($A844="",E$24=""),"",IF(COUNTIFS('AFA Rates'!$A$5:$A$1004,$A844,'AFA Rates'!$B$5:$B$1004,E$24)&gt;0,"✓",""))</f>
        <v/>
      </c>
      <c r="F844" s="57">
        <f>IF(OR($A844="",F$24=""),"",IF(COUNTIFS('AFA Rates'!$A$5:$A$1004,$A844,'AFA Rates'!$B$5:$B$1004,F$24)&gt;0,"✓",""))</f>
        <v/>
      </c>
      <c r="G844" s="57">
        <f>IF(OR($A844="",G$24=""),"",IF(COUNTIFS('AFA Rates'!$A$5:$A$1004,$A844,'AFA Rates'!$B$5:$B$1004,G$24)&gt;0,"✓",""))</f>
        <v/>
      </c>
      <c r="H844" s="57">
        <f>IF(OR($A844="",H$24=""),"",IF(COUNTIFS('AFA Rates'!$A$5:$A$1004,$A844,'AFA Rates'!$B$5:$B$1004,H$24)&gt;0,"✓",""))</f>
        <v/>
      </c>
      <c r="I844" s="57">
        <f>IF(OR($A844="",I$24=""),"",IF(COUNTIFS('AFA Rates'!$A$5:$A$1004,$A844,'AFA Rates'!$B$5:$B$1004,I$24)&gt;0,"✓",""))</f>
        <v/>
      </c>
      <c r="J844" s="57">
        <f>IF(OR($A844="",J$24=""),"",IF(COUNTIFS('AFA Rates'!$A$5:$A$1004,$A844,'AFA Rates'!$B$5:$B$1004,J$24)&gt;0,"✓",""))</f>
        <v/>
      </c>
      <c r="K844" s="57">
        <f>IF(OR($A844="",K$24=""),"",IF(COUNTIFS('AFA Rates'!$A$5:$A$1004,$A844,'AFA Rates'!$B$5:$B$1004,K$24)&gt;0,"✓",""))</f>
        <v/>
      </c>
      <c r="L844" s="57">
        <f>IF(OR($A844="",L$24=""),"",IF(COUNTIFS('AFA Rates'!$A$5:$A$1004,$A844,'AFA Rates'!$B$5:$B$1004,L$24)&gt;0,"✓",""))</f>
        <v/>
      </c>
      <c r="M844" s="57">
        <f>IF(OR($A844="",M$24=""),"",IF(COUNTIFS('AFA Rates'!$A$5:$A$1004,$A844,'AFA Rates'!$B$5:$B$1004,M$24)&gt;0,"✓",""))</f>
        <v/>
      </c>
    </row>
    <row r="845">
      <c r="A845" s="63">
        <f>IFERROR(INDEX(Firms!$A$5:$A$1004,MATCH(821,Firms!$S$5:$S$1004,0)),"")</f>
        <v/>
      </c>
      <c r="B845" s="57">
        <f>IF($A845="","",INDEX(Firms!$B$5:$B$1004,MATCH(821,Firms!$S$5:$S$1004,0)))</f>
        <v/>
      </c>
      <c r="C845" s="57">
        <f>IF($A845="","",COUNTIF('AFA Rates'!$A$5:$A$1004,$A845))</f>
        <v/>
      </c>
      <c r="D845" s="57">
        <f>IF(OR($A845="",D$24=""),"",IF(COUNTIFS('AFA Rates'!$A$5:$A$1004,$A845,'AFA Rates'!$B$5:$B$1004,D$24)&gt;0,"✓",""))</f>
        <v/>
      </c>
      <c r="E845" s="57">
        <f>IF(OR($A845="",E$24=""),"",IF(COUNTIFS('AFA Rates'!$A$5:$A$1004,$A845,'AFA Rates'!$B$5:$B$1004,E$24)&gt;0,"✓",""))</f>
        <v/>
      </c>
      <c r="F845" s="57">
        <f>IF(OR($A845="",F$24=""),"",IF(COUNTIFS('AFA Rates'!$A$5:$A$1004,$A845,'AFA Rates'!$B$5:$B$1004,F$24)&gt;0,"✓",""))</f>
        <v/>
      </c>
      <c r="G845" s="57">
        <f>IF(OR($A845="",G$24=""),"",IF(COUNTIFS('AFA Rates'!$A$5:$A$1004,$A845,'AFA Rates'!$B$5:$B$1004,G$24)&gt;0,"✓",""))</f>
        <v/>
      </c>
      <c r="H845" s="57">
        <f>IF(OR($A845="",H$24=""),"",IF(COUNTIFS('AFA Rates'!$A$5:$A$1004,$A845,'AFA Rates'!$B$5:$B$1004,H$24)&gt;0,"✓",""))</f>
        <v/>
      </c>
      <c r="I845" s="57">
        <f>IF(OR($A845="",I$24=""),"",IF(COUNTIFS('AFA Rates'!$A$5:$A$1004,$A845,'AFA Rates'!$B$5:$B$1004,I$24)&gt;0,"✓",""))</f>
        <v/>
      </c>
      <c r="J845" s="57">
        <f>IF(OR($A845="",J$24=""),"",IF(COUNTIFS('AFA Rates'!$A$5:$A$1004,$A845,'AFA Rates'!$B$5:$B$1004,J$24)&gt;0,"✓",""))</f>
        <v/>
      </c>
      <c r="K845" s="57">
        <f>IF(OR($A845="",K$24=""),"",IF(COUNTIFS('AFA Rates'!$A$5:$A$1004,$A845,'AFA Rates'!$B$5:$B$1004,K$24)&gt;0,"✓",""))</f>
        <v/>
      </c>
      <c r="L845" s="57">
        <f>IF(OR($A845="",L$24=""),"",IF(COUNTIFS('AFA Rates'!$A$5:$A$1004,$A845,'AFA Rates'!$B$5:$B$1004,L$24)&gt;0,"✓",""))</f>
        <v/>
      </c>
      <c r="M845" s="57">
        <f>IF(OR($A845="",M$24=""),"",IF(COUNTIFS('AFA Rates'!$A$5:$A$1004,$A845,'AFA Rates'!$B$5:$B$1004,M$24)&gt;0,"✓",""))</f>
        <v/>
      </c>
    </row>
    <row r="846">
      <c r="A846" s="63">
        <f>IFERROR(INDEX(Firms!$A$5:$A$1004,MATCH(822,Firms!$S$5:$S$1004,0)),"")</f>
        <v/>
      </c>
      <c r="B846" s="57">
        <f>IF($A846="","",INDEX(Firms!$B$5:$B$1004,MATCH(822,Firms!$S$5:$S$1004,0)))</f>
        <v/>
      </c>
      <c r="C846" s="57">
        <f>IF($A846="","",COUNTIF('AFA Rates'!$A$5:$A$1004,$A846))</f>
        <v/>
      </c>
      <c r="D846" s="57">
        <f>IF(OR($A846="",D$24=""),"",IF(COUNTIFS('AFA Rates'!$A$5:$A$1004,$A846,'AFA Rates'!$B$5:$B$1004,D$24)&gt;0,"✓",""))</f>
        <v/>
      </c>
      <c r="E846" s="57">
        <f>IF(OR($A846="",E$24=""),"",IF(COUNTIFS('AFA Rates'!$A$5:$A$1004,$A846,'AFA Rates'!$B$5:$B$1004,E$24)&gt;0,"✓",""))</f>
        <v/>
      </c>
      <c r="F846" s="57">
        <f>IF(OR($A846="",F$24=""),"",IF(COUNTIFS('AFA Rates'!$A$5:$A$1004,$A846,'AFA Rates'!$B$5:$B$1004,F$24)&gt;0,"✓",""))</f>
        <v/>
      </c>
      <c r="G846" s="57">
        <f>IF(OR($A846="",G$24=""),"",IF(COUNTIFS('AFA Rates'!$A$5:$A$1004,$A846,'AFA Rates'!$B$5:$B$1004,G$24)&gt;0,"✓",""))</f>
        <v/>
      </c>
      <c r="H846" s="57">
        <f>IF(OR($A846="",H$24=""),"",IF(COUNTIFS('AFA Rates'!$A$5:$A$1004,$A846,'AFA Rates'!$B$5:$B$1004,H$24)&gt;0,"✓",""))</f>
        <v/>
      </c>
      <c r="I846" s="57">
        <f>IF(OR($A846="",I$24=""),"",IF(COUNTIFS('AFA Rates'!$A$5:$A$1004,$A846,'AFA Rates'!$B$5:$B$1004,I$24)&gt;0,"✓",""))</f>
        <v/>
      </c>
      <c r="J846" s="57">
        <f>IF(OR($A846="",J$24=""),"",IF(COUNTIFS('AFA Rates'!$A$5:$A$1004,$A846,'AFA Rates'!$B$5:$B$1004,J$24)&gt;0,"✓",""))</f>
        <v/>
      </c>
      <c r="K846" s="57">
        <f>IF(OR($A846="",K$24=""),"",IF(COUNTIFS('AFA Rates'!$A$5:$A$1004,$A846,'AFA Rates'!$B$5:$B$1004,K$24)&gt;0,"✓",""))</f>
        <v/>
      </c>
      <c r="L846" s="57">
        <f>IF(OR($A846="",L$24=""),"",IF(COUNTIFS('AFA Rates'!$A$5:$A$1004,$A846,'AFA Rates'!$B$5:$B$1004,L$24)&gt;0,"✓",""))</f>
        <v/>
      </c>
      <c r="M846" s="57">
        <f>IF(OR($A846="",M$24=""),"",IF(COUNTIFS('AFA Rates'!$A$5:$A$1004,$A846,'AFA Rates'!$B$5:$B$1004,M$24)&gt;0,"✓",""))</f>
        <v/>
      </c>
    </row>
    <row r="847">
      <c r="A847" s="63">
        <f>IFERROR(INDEX(Firms!$A$5:$A$1004,MATCH(823,Firms!$S$5:$S$1004,0)),"")</f>
        <v/>
      </c>
      <c r="B847" s="57">
        <f>IF($A847="","",INDEX(Firms!$B$5:$B$1004,MATCH(823,Firms!$S$5:$S$1004,0)))</f>
        <v/>
      </c>
      <c r="C847" s="57">
        <f>IF($A847="","",COUNTIF('AFA Rates'!$A$5:$A$1004,$A847))</f>
        <v/>
      </c>
      <c r="D847" s="57">
        <f>IF(OR($A847="",D$24=""),"",IF(COUNTIFS('AFA Rates'!$A$5:$A$1004,$A847,'AFA Rates'!$B$5:$B$1004,D$24)&gt;0,"✓",""))</f>
        <v/>
      </c>
      <c r="E847" s="57">
        <f>IF(OR($A847="",E$24=""),"",IF(COUNTIFS('AFA Rates'!$A$5:$A$1004,$A847,'AFA Rates'!$B$5:$B$1004,E$24)&gt;0,"✓",""))</f>
        <v/>
      </c>
      <c r="F847" s="57">
        <f>IF(OR($A847="",F$24=""),"",IF(COUNTIFS('AFA Rates'!$A$5:$A$1004,$A847,'AFA Rates'!$B$5:$B$1004,F$24)&gt;0,"✓",""))</f>
        <v/>
      </c>
      <c r="G847" s="57">
        <f>IF(OR($A847="",G$24=""),"",IF(COUNTIFS('AFA Rates'!$A$5:$A$1004,$A847,'AFA Rates'!$B$5:$B$1004,G$24)&gt;0,"✓",""))</f>
        <v/>
      </c>
      <c r="H847" s="57">
        <f>IF(OR($A847="",H$24=""),"",IF(COUNTIFS('AFA Rates'!$A$5:$A$1004,$A847,'AFA Rates'!$B$5:$B$1004,H$24)&gt;0,"✓",""))</f>
        <v/>
      </c>
      <c r="I847" s="57">
        <f>IF(OR($A847="",I$24=""),"",IF(COUNTIFS('AFA Rates'!$A$5:$A$1004,$A847,'AFA Rates'!$B$5:$B$1004,I$24)&gt;0,"✓",""))</f>
        <v/>
      </c>
      <c r="J847" s="57">
        <f>IF(OR($A847="",J$24=""),"",IF(COUNTIFS('AFA Rates'!$A$5:$A$1004,$A847,'AFA Rates'!$B$5:$B$1004,J$24)&gt;0,"✓",""))</f>
        <v/>
      </c>
      <c r="K847" s="57">
        <f>IF(OR($A847="",K$24=""),"",IF(COUNTIFS('AFA Rates'!$A$5:$A$1004,$A847,'AFA Rates'!$B$5:$B$1004,K$24)&gt;0,"✓",""))</f>
        <v/>
      </c>
      <c r="L847" s="57">
        <f>IF(OR($A847="",L$24=""),"",IF(COUNTIFS('AFA Rates'!$A$5:$A$1004,$A847,'AFA Rates'!$B$5:$B$1004,L$24)&gt;0,"✓",""))</f>
        <v/>
      </c>
      <c r="M847" s="57">
        <f>IF(OR($A847="",M$24=""),"",IF(COUNTIFS('AFA Rates'!$A$5:$A$1004,$A847,'AFA Rates'!$B$5:$B$1004,M$24)&gt;0,"✓",""))</f>
        <v/>
      </c>
    </row>
    <row r="848">
      <c r="A848" s="63">
        <f>IFERROR(INDEX(Firms!$A$5:$A$1004,MATCH(824,Firms!$S$5:$S$1004,0)),"")</f>
        <v/>
      </c>
      <c r="B848" s="57">
        <f>IF($A848="","",INDEX(Firms!$B$5:$B$1004,MATCH(824,Firms!$S$5:$S$1004,0)))</f>
        <v/>
      </c>
      <c r="C848" s="57">
        <f>IF($A848="","",COUNTIF('AFA Rates'!$A$5:$A$1004,$A848))</f>
        <v/>
      </c>
      <c r="D848" s="57">
        <f>IF(OR($A848="",D$24=""),"",IF(COUNTIFS('AFA Rates'!$A$5:$A$1004,$A848,'AFA Rates'!$B$5:$B$1004,D$24)&gt;0,"✓",""))</f>
        <v/>
      </c>
      <c r="E848" s="57">
        <f>IF(OR($A848="",E$24=""),"",IF(COUNTIFS('AFA Rates'!$A$5:$A$1004,$A848,'AFA Rates'!$B$5:$B$1004,E$24)&gt;0,"✓",""))</f>
        <v/>
      </c>
      <c r="F848" s="57">
        <f>IF(OR($A848="",F$24=""),"",IF(COUNTIFS('AFA Rates'!$A$5:$A$1004,$A848,'AFA Rates'!$B$5:$B$1004,F$24)&gt;0,"✓",""))</f>
        <v/>
      </c>
      <c r="G848" s="57">
        <f>IF(OR($A848="",G$24=""),"",IF(COUNTIFS('AFA Rates'!$A$5:$A$1004,$A848,'AFA Rates'!$B$5:$B$1004,G$24)&gt;0,"✓",""))</f>
        <v/>
      </c>
      <c r="H848" s="57">
        <f>IF(OR($A848="",H$24=""),"",IF(COUNTIFS('AFA Rates'!$A$5:$A$1004,$A848,'AFA Rates'!$B$5:$B$1004,H$24)&gt;0,"✓",""))</f>
        <v/>
      </c>
      <c r="I848" s="57">
        <f>IF(OR($A848="",I$24=""),"",IF(COUNTIFS('AFA Rates'!$A$5:$A$1004,$A848,'AFA Rates'!$B$5:$B$1004,I$24)&gt;0,"✓",""))</f>
        <v/>
      </c>
      <c r="J848" s="57">
        <f>IF(OR($A848="",J$24=""),"",IF(COUNTIFS('AFA Rates'!$A$5:$A$1004,$A848,'AFA Rates'!$B$5:$B$1004,J$24)&gt;0,"✓",""))</f>
        <v/>
      </c>
      <c r="K848" s="57">
        <f>IF(OR($A848="",K$24=""),"",IF(COUNTIFS('AFA Rates'!$A$5:$A$1004,$A848,'AFA Rates'!$B$5:$B$1004,K$24)&gt;0,"✓",""))</f>
        <v/>
      </c>
      <c r="L848" s="57">
        <f>IF(OR($A848="",L$24=""),"",IF(COUNTIFS('AFA Rates'!$A$5:$A$1004,$A848,'AFA Rates'!$B$5:$B$1004,L$24)&gt;0,"✓",""))</f>
        <v/>
      </c>
      <c r="M848" s="57">
        <f>IF(OR($A848="",M$24=""),"",IF(COUNTIFS('AFA Rates'!$A$5:$A$1004,$A848,'AFA Rates'!$B$5:$B$1004,M$24)&gt;0,"✓",""))</f>
        <v/>
      </c>
    </row>
    <row r="849">
      <c r="A849" s="63">
        <f>IFERROR(INDEX(Firms!$A$5:$A$1004,MATCH(825,Firms!$S$5:$S$1004,0)),"")</f>
        <v/>
      </c>
      <c r="B849" s="57">
        <f>IF($A849="","",INDEX(Firms!$B$5:$B$1004,MATCH(825,Firms!$S$5:$S$1004,0)))</f>
        <v/>
      </c>
      <c r="C849" s="57">
        <f>IF($A849="","",COUNTIF('AFA Rates'!$A$5:$A$1004,$A849))</f>
        <v/>
      </c>
      <c r="D849" s="57">
        <f>IF(OR($A849="",D$24=""),"",IF(COUNTIFS('AFA Rates'!$A$5:$A$1004,$A849,'AFA Rates'!$B$5:$B$1004,D$24)&gt;0,"✓",""))</f>
        <v/>
      </c>
      <c r="E849" s="57">
        <f>IF(OR($A849="",E$24=""),"",IF(COUNTIFS('AFA Rates'!$A$5:$A$1004,$A849,'AFA Rates'!$B$5:$B$1004,E$24)&gt;0,"✓",""))</f>
        <v/>
      </c>
      <c r="F849" s="57">
        <f>IF(OR($A849="",F$24=""),"",IF(COUNTIFS('AFA Rates'!$A$5:$A$1004,$A849,'AFA Rates'!$B$5:$B$1004,F$24)&gt;0,"✓",""))</f>
        <v/>
      </c>
      <c r="G849" s="57">
        <f>IF(OR($A849="",G$24=""),"",IF(COUNTIFS('AFA Rates'!$A$5:$A$1004,$A849,'AFA Rates'!$B$5:$B$1004,G$24)&gt;0,"✓",""))</f>
        <v/>
      </c>
      <c r="H849" s="57">
        <f>IF(OR($A849="",H$24=""),"",IF(COUNTIFS('AFA Rates'!$A$5:$A$1004,$A849,'AFA Rates'!$B$5:$B$1004,H$24)&gt;0,"✓",""))</f>
        <v/>
      </c>
      <c r="I849" s="57">
        <f>IF(OR($A849="",I$24=""),"",IF(COUNTIFS('AFA Rates'!$A$5:$A$1004,$A849,'AFA Rates'!$B$5:$B$1004,I$24)&gt;0,"✓",""))</f>
        <v/>
      </c>
      <c r="J849" s="57">
        <f>IF(OR($A849="",J$24=""),"",IF(COUNTIFS('AFA Rates'!$A$5:$A$1004,$A849,'AFA Rates'!$B$5:$B$1004,J$24)&gt;0,"✓",""))</f>
        <v/>
      </c>
      <c r="K849" s="57">
        <f>IF(OR($A849="",K$24=""),"",IF(COUNTIFS('AFA Rates'!$A$5:$A$1004,$A849,'AFA Rates'!$B$5:$B$1004,K$24)&gt;0,"✓",""))</f>
        <v/>
      </c>
      <c r="L849" s="57">
        <f>IF(OR($A849="",L$24=""),"",IF(COUNTIFS('AFA Rates'!$A$5:$A$1004,$A849,'AFA Rates'!$B$5:$B$1004,L$24)&gt;0,"✓",""))</f>
        <v/>
      </c>
      <c r="M849" s="57">
        <f>IF(OR($A849="",M$24=""),"",IF(COUNTIFS('AFA Rates'!$A$5:$A$1004,$A849,'AFA Rates'!$B$5:$B$1004,M$24)&gt;0,"✓",""))</f>
        <v/>
      </c>
    </row>
    <row r="850">
      <c r="A850" s="63">
        <f>IFERROR(INDEX(Firms!$A$5:$A$1004,MATCH(826,Firms!$S$5:$S$1004,0)),"")</f>
        <v/>
      </c>
      <c r="B850" s="57">
        <f>IF($A850="","",INDEX(Firms!$B$5:$B$1004,MATCH(826,Firms!$S$5:$S$1004,0)))</f>
        <v/>
      </c>
      <c r="C850" s="57">
        <f>IF($A850="","",COUNTIF('AFA Rates'!$A$5:$A$1004,$A850))</f>
        <v/>
      </c>
      <c r="D850" s="57">
        <f>IF(OR($A850="",D$24=""),"",IF(COUNTIFS('AFA Rates'!$A$5:$A$1004,$A850,'AFA Rates'!$B$5:$B$1004,D$24)&gt;0,"✓",""))</f>
        <v/>
      </c>
      <c r="E850" s="57">
        <f>IF(OR($A850="",E$24=""),"",IF(COUNTIFS('AFA Rates'!$A$5:$A$1004,$A850,'AFA Rates'!$B$5:$B$1004,E$24)&gt;0,"✓",""))</f>
        <v/>
      </c>
      <c r="F850" s="57">
        <f>IF(OR($A850="",F$24=""),"",IF(COUNTIFS('AFA Rates'!$A$5:$A$1004,$A850,'AFA Rates'!$B$5:$B$1004,F$24)&gt;0,"✓",""))</f>
        <v/>
      </c>
      <c r="G850" s="57">
        <f>IF(OR($A850="",G$24=""),"",IF(COUNTIFS('AFA Rates'!$A$5:$A$1004,$A850,'AFA Rates'!$B$5:$B$1004,G$24)&gt;0,"✓",""))</f>
        <v/>
      </c>
      <c r="H850" s="57">
        <f>IF(OR($A850="",H$24=""),"",IF(COUNTIFS('AFA Rates'!$A$5:$A$1004,$A850,'AFA Rates'!$B$5:$B$1004,H$24)&gt;0,"✓",""))</f>
        <v/>
      </c>
      <c r="I850" s="57">
        <f>IF(OR($A850="",I$24=""),"",IF(COUNTIFS('AFA Rates'!$A$5:$A$1004,$A850,'AFA Rates'!$B$5:$B$1004,I$24)&gt;0,"✓",""))</f>
        <v/>
      </c>
      <c r="J850" s="57">
        <f>IF(OR($A850="",J$24=""),"",IF(COUNTIFS('AFA Rates'!$A$5:$A$1004,$A850,'AFA Rates'!$B$5:$B$1004,J$24)&gt;0,"✓",""))</f>
        <v/>
      </c>
      <c r="K850" s="57">
        <f>IF(OR($A850="",K$24=""),"",IF(COUNTIFS('AFA Rates'!$A$5:$A$1004,$A850,'AFA Rates'!$B$5:$B$1004,K$24)&gt;0,"✓",""))</f>
        <v/>
      </c>
      <c r="L850" s="57">
        <f>IF(OR($A850="",L$24=""),"",IF(COUNTIFS('AFA Rates'!$A$5:$A$1004,$A850,'AFA Rates'!$B$5:$B$1004,L$24)&gt;0,"✓",""))</f>
        <v/>
      </c>
      <c r="M850" s="57">
        <f>IF(OR($A850="",M$24=""),"",IF(COUNTIFS('AFA Rates'!$A$5:$A$1004,$A850,'AFA Rates'!$B$5:$B$1004,M$24)&gt;0,"✓",""))</f>
        <v/>
      </c>
    </row>
    <row r="851">
      <c r="A851" s="63">
        <f>IFERROR(INDEX(Firms!$A$5:$A$1004,MATCH(827,Firms!$S$5:$S$1004,0)),"")</f>
        <v/>
      </c>
      <c r="B851" s="57">
        <f>IF($A851="","",INDEX(Firms!$B$5:$B$1004,MATCH(827,Firms!$S$5:$S$1004,0)))</f>
        <v/>
      </c>
      <c r="C851" s="57">
        <f>IF($A851="","",COUNTIF('AFA Rates'!$A$5:$A$1004,$A851))</f>
        <v/>
      </c>
      <c r="D851" s="57">
        <f>IF(OR($A851="",D$24=""),"",IF(COUNTIFS('AFA Rates'!$A$5:$A$1004,$A851,'AFA Rates'!$B$5:$B$1004,D$24)&gt;0,"✓",""))</f>
        <v/>
      </c>
      <c r="E851" s="57">
        <f>IF(OR($A851="",E$24=""),"",IF(COUNTIFS('AFA Rates'!$A$5:$A$1004,$A851,'AFA Rates'!$B$5:$B$1004,E$24)&gt;0,"✓",""))</f>
        <v/>
      </c>
      <c r="F851" s="57">
        <f>IF(OR($A851="",F$24=""),"",IF(COUNTIFS('AFA Rates'!$A$5:$A$1004,$A851,'AFA Rates'!$B$5:$B$1004,F$24)&gt;0,"✓",""))</f>
        <v/>
      </c>
      <c r="G851" s="57">
        <f>IF(OR($A851="",G$24=""),"",IF(COUNTIFS('AFA Rates'!$A$5:$A$1004,$A851,'AFA Rates'!$B$5:$B$1004,G$24)&gt;0,"✓",""))</f>
        <v/>
      </c>
      <c r="H851" s="57">
        <f>IF(OR($A851="",H$24=""),"",IF(COUNTIFS('AFA Rates'!$A$5:$A$1004,$A851,'AFA Rates'!$B$5:$B$1004,H$24)&gt;0,"✓",""))</f>
        <v/>
      </c>
      <c r="I851" s="57">
        <f>IF(OR($A851="",I$24=""),"",IF(COUNTIFS('AFA Rates'!$A$5:$A$1004,$A851,'AFA Rates'!$B$5:$B$1004,I$24)&gt;0,"✓",""))</f>
        <v/>
      </c>
      <c r="J851" s="57">
        <f>IF(OR($A851="",J$24=""),"",IF(COUNTIFS('AFA Rates'!$A$5:$A$1004,$A851,'AFA Rates'!$B$5:$B$1004,J$24)&gt;0,"✓",""))</f>
        <v/>
      </c>
      <c r="K851" s="57">
        <f>IF(OR($A851="",K$24=""),"",IF(COUNTIFS('AFA Rates'!$A$5:$A$1004,$A851,'AFA Rates'!$B$5:$B$1004,K$24)&gt;0,"✓",""))</f>
        <v/>
      </c>
      <c r="L851" s="57">
        <f>IF(OR($A851="",L$24=""),"",IF(COUNTIFS('AFA Rates'!$A$5:$A$1004,$A851,'AFA Rates'!$B$5:$B$1004,L$24)&gt;0,"✓",""))</f>
        <v/>
      </c>
      <c r="M851" s="57">
        <f>IF(OR($A851="",M$24=""),"",IF(COUNTIFS('AFA Rates'!$A$5:$A$1004,$A851,'AFA Rates'!$B$5:$B$1004,M$24)&gt;0,"✓",""))</f>
        <v/>
      </c>
    </row>
    <row r="852">
      <c r="A852" s="63">
        <f>IFERROR(INDEX(Firms!$A$5:$A$1004,MATCH(828,Firms!$S$5:$S$1004,0)),"")</f>
        <v/>
      </c>
      <c r="B852" s="57">
        <f>IF($A852="","",INDEX(Firms!$B$5:$B$1004,MATCH(828,Firms!$S$5:$S$1004,0)))</f>
        <v/>
      </c>
      <c r="C852" s="57">
        <f>IF($A852="","",COUNTIF('AFA Rates'!$A$5:$A$1004,$A852))</f>
        <v/>
      </c>
      <c r="D852" s="57">
        <f>IF(OR($A852="",D$24=""),"",IF(COUNTIFS('AFA Rates'!$A$5:$A$1004,$A852,'AFA Rates'!$B$5:$B$1004,D$24)&gt;0,"✓",""))</f>
        <v/>
      </c>
      <c r="E852" s="57">
        <f>IF(OR($A852="",E$24=""),"",IF(COUNTIFS('AFA Rates'!$A$5:$A$1004,$A852,'AFA Rates'!$B$5:$B$1004,E$24)&gt;0,"✓",""))</f>
        <v/>
      </c>
      <c r="F852" s="57">
        <f>IF(OR($A852="",F$24=""),"",IF(COUNTIFS('AFA Rates'!$A$5:$A$1004,$A852,'AFA Rates'!$B$5:$B$1004,F$24)&gt;0,"✓",""))</f>
        <v/>
      </c>
      <c r="G852" s="57">
        <f>IF(OR($A852="",G$24=""),"",IF(COUNTIFS('AFA Rates'!$A$5:$A$1004,$A852,'AFA Rates'!$B$5:$B$1004,G$24)&gt;0,"✓",""))</f>
        <v/>
      </c>
      <c r="H852" s="57">
        <f>IF(OR($A852="",H$24=""),"",IF(COUNTIFS('AFA Rates'!$A$5:$A$1004,$A852,'AFA Rates'!$B$5:$B$1004,H$24)&gt;0,"✓",""))</f>
        <v/>
      </c>
      <c r="I852" s="57">
        <f>IF(OR($A852="",I$24=""),"",IF(COUNTIFS('AFA Rates'!$A$5:$A$1004,$A852,'AFA Rates'!$B$5:$B$1004,I$24)&gt;0,"✓",""))</f>
        <v/>
      </c>
      <c r="J852" s="57">
        <f>IF(OR($A852="",J$24=""),"",IF(COUNTIFS('AFA Rates'!$A$5:$A$1004,$A852,'AFA Rates'!$B$5:$B$1004,J$24)&gt;0,"✓",""))</f>
        <v/>
      </c>
      <c r="K852" s="57">
        <f>IF(OR($A852="",K$24=""),"",IF(COUNTIFS('AFA Rates'!$A$5:$A$1004,$A852,'AFA Rates'!$B$5:$B$1004,K$24)&gt;0,"✓",""))</f>
        <v/>
      </c>
      <c r="L852" s="57">
        <f>IF(OR($A852="",L$24=""),"",IF(COUNTIFS('AFA Rates'!$A$5:$A$1004,$A852,'AFA Rates'!$B$5:$B$1004,L$24)&gt;0,"✓",""))</f>
        <v/>
      </c>
      <c r="M852" s="57">
        <f>IF(OR($A852="",M$24=""),"",IF(COUNTIFS('AFA Rates'!$A$5:$A$1004,$A852,'AFA Rates'!$B$5:$B$1004,M$24)&gt;0,"✓",""))</f>
        <v/>
      </c>
    </row>
    <row r="853">
      <c r="A853" s="63">
        <f>IFERROR(INDEX(Firms!$A$5:$A$1004,MATCH(829,Firms!$S$5:$S$1004,0)),"")</f>
        <v/>
      </c>
      <c r="B853" s="57">
        <f>IF($A853="","",INDEX(Firms!$B$5:$B$1004,MATCH(829,Firms!$S$5:$S$1004,0)))</f>
        <v/>
      </c>
      <c r="C853" s="57">
        <f>IF($A853="","",COUNTIF('AFA Rates'!$A$5:$A$1004,$A853))</f>
        <v/>
      </c>
      <c r="D853" s="57">
        <f>IF(OR($A853="",D$24=""),"",IF(COUNTIFS('AFA Rates'!$A$5:$A$1004,$A853,'AFA Rates'!$B$5:$B$1004,D$24)&gt;0,"✓",""))</f>
        <v/>
      </c>
      <c r="E853" s="57">
        <f>IF(OR($A853="",E$24=""),"",IF(COUNTIFS('AFA Rates'!$A$5:$A$1004,$A853,'AFA Rates'!$B$5:$B$1004,E$24)&gt;0,"✓",""))</f>
        <v/>
      </c>
      <c r="F853" s="57">
        <f>IF(OR($A853="",F$24=""),"",IF(COUNTIFS('AFA Rates'!$A$5:$A$1004,$A853,'AFA Rates'!$B$5:$B$1004,F$24)&gt;0,"✓",""))</f>
        <v/>
      </c>
      <c r="G853" s="57">
        <f>IF(OR($A853="",G$24=""),"",IF(COUNTIFS('AFA Rates'!$A$5:$A$1004,$A853,'AFA Rates'!$B$5:$B$1004,G$24)&gt;0,"✓",""))</f>
        <v/>
      </c>
      <c r="H853" s="57">
        <f>IF(OR($A853="",H$24=""),"",IF(COUNTIFS('AFA Rates'!$A$5:$A$1004,$A853,'AFA Rates'!$B$5:$B$1004,H$24)&gt;0,"✓",""))</f>
        <v/>
      </c>
      <c r="I853" s="57">
        <f>IF(OR($A853="",I$24=""),"",IF(COUNTIFS('AFA Rates'!$A$5:$A$1004,$A853,'AFA Rates'!$B$5:$B$1004,I$24)&gt;0,"✓",""))</f>
        <v/>
      </c>
      <c r="J853" s="57">
        <f>IF(OR($A853="",J$24=""),"",IF(COUNTIFS('AFA Rates'!$A$5:$A$1004,$A853,'AFA Rates'!$B$5:$B$1004,J$24)&gt;0,"✓",""))</f>
        <v/>
      </c>
      <c r="K853" s="57">
        <f>IF(OR($A853="",K$24=""),"",IF(COUNTIFS('AFA Rates'!$A$5:$A$1004,$A853,'AFA Rates'!$B$5:$B$1004,K$24)&gt;0,"✓",""))</f>
        <v/>
      </c>
      <c r="L853" s="57">
        <f>IF(OR($A853="",L$24=""),"",IF(COUNTIFS('AFA Rates'!$A$5:$A$1004,$A853,'AFA Rates'!$B$5:$B$1004,L$24)&gt;0,"✓",""))</f>
        <v/>
      </c>
      <c r="M853" s="57">
        <f>IF(OR($A853="",M$24=""),"",IF(COUNTIFS('AFA Rates'!$A$5:$A$1004,$A853,'AFA Rates'!$B$5:$B$1004,M$24)&gt;0,"✓",""))</f>
        <v/>
      </c>
    </row>
    <row r="854">
      <c r="A854" s="63">
        <f>IFERROR(INDEX(Firms!$A$5:$A$1004,MATCH(830,Firms!$S$5:$S$1004,0)),"")</f>
        <v/>
      </c>
      <c r="B854" s="57">
        <f>IF($A854="","",INDEX(Firms!$B$5:$B$1004,MATCH(830,Firms!$S$5:$S$1004,0)))</f>
        <v/>
      </c>
      <c r="C854" s="57">
        <f>IF($A854="","",COUNTIF('AFA Rates'!$A$5:$A$1004,$A854))</f>
        <v/>
      </c>
      <c r="D854" s="57">
        <f>IF(OR($A854="",D$24=""),"",IF(COUNTIFS('AFA Rates'!$A$5:$A$1004,$A854,'AFA Rates'!$B$5:$B$1004,D$24)&gt;0,"✓",""))</f>
        <v/>
      </c>
      <c r="E854" s="57">
        <f>IF(OR($A854="",E$24=""),"",IF(COUNTIFS('AFA Rates'!$A$5:$A$1004,$A854,'AFA Rates'!$B$5:$B$1004,E$24)&gt;0,"✓",""))</f>
        <v/>
      </c>
      <c r="F854" s="57">
        <f>IF(OR($A854="",F$24=""),"",IF(COUNTIFS('AFA Rates'!$A$5:$A$1004,$A854,'AFA Rates'!$B$5:$B$1004,F$24)&gt;0,"✓",""))</f>
        <v/>
      </c>
      <c r="G854" s="57">
        <f>IF(OR($A854="",G$24=""),"",IF(COUNTIFS('AFA Rates'!$A$5:$A$1004,$A854,'AFA Rates'!$B$5:$B$1004,G$24)&gt;0,"✓",""))</f>
        <v/>
      </c>
      <c r="H854" s="57">
        <f>IF(OR($A854="",H$24=""),"",IF(COUNTIFS('AFA Rates'!$A$5:$A$1004,$A854,'AFA Rates'!$B$5:$B$1004,H$24)&gt;0,"✓",""))</f>
        <v/>
      </c>
      <c r="I854" s="57">
        <f>IF(OR($A854="",I$24=""),"",IF(COUNTIFS('AFA Rates'!$A$5:$A$1004,$A854,'AFA Rates'!$B$5:$B$1004,I$24)&gt;0,"✓",""))</f>
        <v/>
      </c>
      <c r="J854" s="57">
        <f>IF(OR($A854="",J$24=""),"",IF(COUNTIFS('AFA Rates'!$A$5:$A$1004,$A854,'AFA Rates'!$B$5:$B$1004,J$24)&gt;0,"✓",""))</f>
        <v/>
      </c>
      <c r="K854" s="57">
        <f>IF(OR($A854="",K$24=""),"",IF(COUNTIFS('AFA Rates'!$A$5:$A$1004,$A854,'AFA Rates'!$B$5:$B$1004,K$24)&gt;0,"✓",""))</f>
        <v/>
      </c>
      <c r="L854" s="57">
        <f>IF(OR($A854="",L$24=""),"",IF(COUNTIFS('AFA Rates'!$A$5:$A$1004,$A854,'AFA Rates'!$B$5:$B$1004,L$24)&gt;0,"✓",""))</f>
        <v/>
      </c>
      <c r="M854" s="57">
        <f>IF(OR($A854="",M$24=""),"",IF(COUNTIFS('AFA Rates'!$A$5:$A$1004,$A854,'AFA Rates'!$B$5:$B$1004,M$24)&gt;0,"✓",""))</f>
        <v/>
      </c>
    </row>
    <row r="855">
      <c r="A855" s="63">
        <f>IFERROR(INDEX(Firms!$A$5:$A$1004,MATCH(831,Firms!$S$5:$S$1004,0)),"")</f>
        <v/>
      </c>
      <c r="B855" s="57">
        <f>IF($A855="","",INDEX(Firms!$B$5:$B$1004,MATCH(831,Firms!$S$5:$S$1004,0)))</f>
        <v/>
      </c>
      <c r="C855" s="57">
        <f>IF($A855="","",COUNTIF('AFA Rates'!$A$5:$A$1004,$A855))</f>
        <v/>
      </c>
      <c r="D855" s="57">
        <f>IF(OR($A855="",D$24=""),"",IF(COUNTIFS('AFA Rates'!$A$5:$A$1004,$A855,'AFA Rates'!$B$5:$B$1004,D$24)&gt;0,"✓",""))</f>
        <v/>
      </c>
      <c r="E855" s="57">
        <f>IF(OR($A855="",E$24=""),"",IF(COUNTIFS('AFA Rates'!$A$5:$A$1004,$A855,'AFA Rates'!$B$5:$B$1004,E$24)&gt;0,"✓",""))</f>
        <v/>
      </c>
      <c r="F855" s="57">
        <f>IF(OR($A855="",F$24=""),"",IF(COUNTIFS('AFA Rates'!$A$5:$A$1004,$A855,'AFA Rates'!$B$5:$B$1004,F$24)&gt;0,"✓",""))</f>
        <v/>
      </c>
      <c r="G855" s="57">
        <f>IF(OR($A855="",G$24=""),"",IF(COUNTIFS('AFA Rates'!$A$5:$A$1004,$A855,'AFA Rates'!$B$5:$B$1004,G$24)&gt;0,"✓",""))</f>
        <v/>
      </c>
      <c r="H855" s="57">
        <f>IF(OR($A855="",H$24=""),"",IF(COUNTIFS('AFA Rates'!$A$5:$A$1004,$A855,'AFA Rates'!$B$5:$B$1004,H$24)&gt;0,"✓",""))</f>
        <v/>
      </c>
      <c r="I855" s="57">
        <f>IF(OR($A855="",I$24=""),"",IF(COUNTIFS('AFA Rates'!$A$5:$A$1004,$A855,'AFA Rates'!$B$5:$B$1004,I$24)&gt;0,"✓",""))</f>
        <v/>
      </c>
      <c r="J855" s="57">
        <f>IF(OR($A855="",J$24=""),"",IF(COUNTIFS('AFA Rates'!$A$5:$A$1004,$A855,'AFA Rates'!$B$5:$B$1004,J$24)&gt;0,"✓",""))</f>
        <v/>
      </c>
      <c r="K855" s="57">
        <f>IF(OR($A855="",K$24=""),"",IF(COUNTIFS('AFA Rates'!$A$5:$A$1004,$A855,'AFA Rates'!$B$5:$B$1004,K$24)&gt;0,"✓",""))</f>
        <v/>
      </c>
      <c r="L855" s="57">
        <f>IF(OR($A855="",L$24=""),"",IF(COUNTIFS('AFA Rates'!$A$5:$A$1004,$A855,'AFA Rates'!$B$5:$B$1004,L$24)&gt;0,"✓",""))</f>
        <v/>
      </c>
      <c r="M855" s="57">
        <f>IF(OR($A855="",M$24=""),"",IF(COUNTIFS('AFA Rates'!$A$5:$A$1004,$A855,'AFA Rates'!$B$5:$B$1004,M$24)&gt;0,"✓",""))</f>
        <v/>
      </c>
    </row>
    <row r="856">
      <c r="A856" s="63">
        <f>IFERROR(INDEX(Firms!$A$5:$A$1004,MATCH(832,Firms!$S$5:$S$1004,0)),"")</f>
        <v/>
      </c>
      <c r="B856" s="57">
        <f>IF($A856="","",INDEX(Firms!$B$5:$B$1004,MATCH(832,Firms!$S$5:$S$1004,0)))</f>
        <v/>
      </c>
      <c r="C856" s="57">
        <f>IF($A856="","",COUNTIF('AFA Rates'!$A$5:$A$1004,$A856))</f>
        <v/>
      </c>
      <c r="D856" s="57">
        <f>IF(OR($A856="",D$24=""),"",IF(COUNTIFS('AFA Rates'!$A$5:$A$1004,$A856,'AFA Rates'!$B$5:$B$1004,D$24)&gt;0,"✓",""))</f>
        <v/>
      </c>
      <c r="E856" s="57">
        <f>IF(OR($A856="",E$24=""),"",IF(COUNTIFS('AFA Rates'!$A$5:$A$1004,$A856,'AFA Rates'!$B$5:$B$1004,E$24)&gt;0,"✓",""))</f>
        <v/>
      </c>
      <c r="F856" s="57">
        <f>IF(OR($A856="",F$24=""),"",IF(COUNTIFS('AFA Rates'!$A$5:$A$1004,$A856,'AFA Rates'!$B$5:$B$1004,F$24)&gt;0,"✓",""))</f>
        <v/>
      </c>
      <c r="G856" s="57">
        <f>IF(OR($A856="",G$24=""),"",IF(COUNTIFS('AFA Rates'!$A$5:$A$1004,$A856,'AFA Rates'!$B$5:$B$1004,G$24)&gt;0,"✓",""))</f>
        <v/>
      </c>
      <c r="H856" s="57">
        <f>IF(OR($A856="",H$24=""),"",IF(COUNTIFS('AFA Rates'!$A$5:$A$1004,$A856,'AFA Rates'!$B$5:$B$1004,H$24)&gt;0,"✓",""))</f>
        <v/>
      </c>
      <c r="I856" s="57">
        <f>IF(OR($A856="",I$24=""),"",IF(COUNTIFS('AFA Rates'!$A$5:$A$1004,$A856,'AFA Rates'!$B$5:$B$1004,I$24)&gt;0,"✓",""))</f>
        <v/>
      </c>
      <c r="J856" s="57">
        <f>IF(OR($A856="",J$24=""),"",IF(COUNTIFS('AFA Rates'!$A$5:$A$1004,$A856,'AFA Rates'!$B$5:$B$1004,J$24)&gt;0,"✓",""))</f>
        <v/>
      </c>
      <c r="K856" s="57">
        <f>IF(OR($A856="",K$24=""),"",IF(COUNTIFS('AFA Rates'!$A$5:$A$1004,$A856,'AFA Rates'!$B$5:$B$1004,K$24)&gt;0,"✓",""))</f>
        <v/>
      </c>
      <c r="L856" s="57">
        <f>IF(OR($A856="",L$24=""),"",IF(COUNTIFS('AFA Rates'!$A$5:$A$1004,$A856,'AFA Rates'!$B$5:$B$1004,L$24)&gt;0,"✓",""))</f>
        <v/>
      </c>
      <c r="M856" s="57">
        <f>IF(OR($A856="",M$24=""),"",IF(COUNTIFS('AFA Rates'!$A$5:$A$1004,$A856,'AFA Rates'!$B$5:$B$1004,M$24)&gt;0,"✓",""))</f>
        <v/>
      </c>
    </row>
    <row r="857">
      <c r="A857" s="63">
        <f>IFERROR(INDEX(Firms!$A$5:$A$1004,MATCH(833,Firms!$S$5:$S$1004,0)),"")</f>
        <v/>
      </c>
      <c r="B857" s="57">
        <f>IF($A857="","",INDEX(Firms!$B$5:$B$1004,MATCH(833,Firms!$S$5:$S$1004,0)))</f>
        <v/>
      </c>
      <c r="C857" s="57">
        <f>IF($A857="","",COUNTIF('AFA Rates'!$A$5:$A$1004,$A857))</f>
        <v/>
      </c>
      <c r="D857" s="57">
        <f>IF(OR($A857="",D$24=""),"",IF(COUNTIFS('AFA Rates'!$A$5:$A$1004,$A857,'AFA Rates'!$B$5:$B$1004,D$24)&gt;0,"✓",""))</f>
        <v/>
      </c>
      <c r="E857" s="57">
        <f>IF(OR($A857="",E$24=""),"",IF(COUNTIFS('AFA Rates'!$A$5:$A$1004,$A857,'AFA Rates'!$B$5:$B$1004,E$24)&gt;0,"✓",""))</f>
        <v/>
      </c>
      <c r="F857" s="57">
        <f>IF(OR($A857="",F$24=""),"",IF(COUNTIFS('AFA Rates'!$A$5:$A$1004,$A857,'AFA Rates'!$B$5:$B$1004,F$24)&gt;0,"✓",""))</f>
        <v/>
      </c>
      <c r="G857" s="57">
        <f>IF(OR($A857="",G$24=""),"",IF(COUNTIFS('AFA Rates'!$A$5:$A$1004,$A857,'AFA Rates'!$B$5:$B$1004,G$24)&gt;0,"✓",""))</f>
        <v/>
      </c>
      <c r="H857" s="57">
        <f>IF(OR($A857="",H$24=""),"",IF(COUNTIFS('AFA Rates'!$A$5:$A$1004,$A857,'AFA Rates'!$B$5:$B$1004,H$24)&gt;0,"✓",""))</f>
        <v/>
      </c>
      <c r="I857" s="57">
        <f>IF(OR($A857="",I$24=""),"",IF(COUNTIFS('AFA Rates'!$A$5:$A$1004,$A857,'AFA Rates'!$B$5:$B$1004,I$24)&gt;0,"✓",""))</f>
        <v/>
      </c>
      <c r="J857" s="57">
        <f>IF(OR($A857="",J$24=""),"",IF(COUNTIFS('AFA Rates'!$A$5:$A$1004,$A857,'AFA Rates'!$B$5:$B$1004,J$24)&gt;0,"✓",""))</f>
        <v/>
      </c>
      <c r="K857" s="57">
        <f>IF(OR($A857="",K$24=""),"",IF(COUNTIFS('AFA Rates'!$A$5:$A$1004,$A857,'AFA Rates'!$B$5:$B$1004,K$24)&gt;0,"✓",""))</f>
        <v/>
      </c>
      <c r="L857" s="57">
        <f>IF(OR($A857="",L$24=""),"",IF(COUNTIFS('AFA Rates'!$A$5:$A$1004,$A857,'AFA Rates'!$B$5:$B$1004,L$24)&gt;0,"✓",""))</f>
        <v/>
      </c>
      <c r="M857" s="57">
        <f>IF(OR($A857="",M$24=""),"",IF(COUNTIFS('AFA Rates'!$A$5:$A$1004,$A857,'AFA Rates'!$B$5:$B$1004,M$24)&gt;0,"✓",""))</f>
        <v/>
      </c>
    </row>
    <row r="858">
      <c r="A858" s="63">
        <f>IFERROR(INDEX(Firms!$A$5:$A$1004,MATCH(834,Firms!$S$5:$S$1004,0)),"")</f>
        <v/>
      </c>
      <c r="B858" s="57">
        <f>IF($A858="","",INDEX(Firms!$B$5:$B$1004,MATCH(834,Firms!$S$5:$S$1004,0)))</f>
        <v/>
      </c>
      <c r="C858" s="57">
        <f>IF($A858="","",COUNTIF('AFA Rates'!$A$5:$A$1004,$A858))</f>
        <v/>
      </c>
      <c r="D858" s="57">
        <f>IF(OR($A858="",D$24=""),"",IF(COUNTIFS('AFA Rates'!$A$5:$A$1004,$A858,'AFA Rates'!$B$5:$B$1004,D$24)&gt;0,"✓",""))</f>
        <v/>
      </c>
      <c r="E858" s="57">
        <f>IF(OR($A858="",E$24=""),"",IF(COUNTIFS('AFA Rates'!$A$5:$A$1004,$A858,'AFA Rates'!$B$5:$B$1004,E$24)&gt;0,"✓",""))</f>
        <v/>
      </c>
      <c r="F858" s="57">
        <f>IF(OR($A858="",F$24=""),"",IF(COUNTIFS('AFA Rates'!$A$5:$A$1004,$A858,'AFA Rates'!$B$5:$B$1004,F$24)&gt;0,"✓",""))</f>
        <v/>
      </c>
      <c r="G858" s="57">
        <f>IF(OR($A858="",G$24=""),"",IF(COUNTIFS('AFA Rates'!$A$5:$A$1004,$A858,'AFA Rates'!$B$5:$B$1004,G$24)&gt;0,"✓",""))</f>
        <v/>
      </c>
      <c r="H858" s="57">
        <f>IF(OR($A858="",H$24=""),"",IF(COUNTIFS('AFA Rates'!$A$5:$A$1004,$A858,'AFA Rates'!$B$5:$B$1004,H$24)&gt;0,"✓",""))</f>
        <v/>
      </c>
      <c r="I858" s="57">
        <f>IF(OR($A858="",I$24=""),"",IF(COUNTIFS('AFA Rates'!$A$5:$A$1004,$A858,'AFA Rates'!$B$5:$B$1004,I$24)&gt;0,"✓",""))</f>
        <v/>
      </c>
      <c r="J858" s="57">
        <f>IF(OR($A858="",J$24=""),"",IF(COUNTIFS('AFA Rates'!$A$5:$A$1004,$A858,'AFA Rates'!$B$5:$B$1004,J$24)&gt;0,"✓",""))</f>
        <v/>
      </c>
      <c r="K858" s="57">
        <f>IF(OR($A858="",K$24=""),"",IF(COUNTIFS('AFA Rates'!$A$5:$A$1004,$A858,'AFA Rates'!$B$5:$B$1004,K$24)&gt;0,"✓",""))</f>
        <v/>
      </c>
      <c r="L858" s="57">
        <f>IF(OR($A858="",L$24=""),"",IF(COUNTIFS('AFA Rates'!$A$5:$A$1004,$A858,'AFA Rates'!$B$5:$B$1004,L$24)&gt;0,"✓",""))</f>
        <v/>
      </c>
      <c r="M858" s="57">
        <f>IF(OR($A858="",M$24=""),"",IF(COUNTIFS('AFA Rates'!$A$5:$A$1004,$A858,'AFA Rates'!$B$5:$B$1004,M$24)&gt;0,"✓",""))</f>
        <v/>
      </c>
    </row>
    <row r="859">
      <c r="A859" s="63">
        <f>IFERROR(INDEX(Firms!$A$5:$A$1004,MATCH(835,Firms!$S$5:$S$1004,0)),"")</f>
        <v/>
      </c>
      <c r="B859" s="57">
        <f>IF($A859="","",INDEX(Firms!$B$5:$B$1004,MATCH(835,Firms!$S$5:$S$1004,0)))</f>
        <v/>
      </c>
      <c r="C859" s="57">
        <f>IF($A859="","",COUNTIF('AFA Rates'!$A$5:$A$1004,$A859))</f>
        <v/>
      </c>
      <c r="D859" s="57">
        <f>IF(OR($A859="",D$24=""),"",IF(COUNTIFS('AFA Rates'!$A$5:$A$1004,$A859,'AFA Rates'!$B$5:$B$1004,D$24)&gt;0,"✓",""))</f>
        <v/>
      </c>
      <c r="E859" s="57">
        <f>IF(OR($A859="",E$24=""),"",IF(COUNTIFS('AFA Rates'!$A$5:$A$1004,$A859,'AFA Rates'!$B$5:$B$1004,E$24)&gt;0,"✓",""))</f>
        <v/>
      </c>
      <c r="F859" s="57">
        <f>IF(OR($A859="",F$24=""),"",IF(COUNTIFS('AFA Rates'!$A$5:$A$1004,$A859,'AFA Rates'!$B$5:$B$1004,F$24)&gt;0,"✓",""))</f>
        <v/>
      </c>
      <c r="G859" s="57">
        <f>IF(OR($A859="",G$24=""),"",IF(COUNTIFS('AFA Rates'!$A$5:$A$1004,$A859,'AFA Rates'!$B$5:$B$1004,G$24)&gt;0,"✓",""))</f>
        <v/>
      </c>
      <c r="H859" s="57">
        <f>IF(OR($A859="",H$24=""),"",IF(COUNTIFS('AFA Rates'!$A$5:$A$1004,$A859,'AFA Rates'!$B$5:$B$1004,H$24)&gt;0,"✓",""))</f>
        <v/>
      </c>
      <c r="I859" s="57">
        <f>IF(OR($A859="",I$24=""),"",IF(COUNTIFS('AFA Rates'!$A$5:$A$1004,$A859,'AFA Rates'!$B$5:$B$1004,I$24)&gt;0,"✓",""))</f>
        <v/>
      </c>
      <c r="J859" s="57">
        <f>IF(OR($A859="",J$24=""),"",IF(COUNTIFS('AFA Rates'!$A$5:$A$1004,$A859,'AFA Rates'!$B$5:$B$1004,J$24)&gt;0,"✓",""))</f>
        <v/>
      </c>
      <c r="K859" s="57">
        <f>IF(OR($A859="",K$24=""),"",IF(COUNTIFS('AFA Rates'!$A$5:$A$1004,$A859,'AFA Rates'!$B$5:$B$1004,K$24)&gt;0,"✓",""))</f>
        <v/>
      </c>
      <c r="L859" s="57">
        <f>IF(OR($A859="",L$24=""),"",IF(COUNTIFS('AFA Rates'!$A$5:$A$1004,$A859,'AFA Rates'!$B$5:$B$1004,L$24)&gt;0,"✓",""))</f>
        <v/>
      </c>
      <c r="M859" s="57">
        <f>IF(OR($A859="",M$24=""),"",IF(COUNTIFS('AFA Rates'!$A$5:$A$1004,$A859,'AFA Rates'!$B$5:$B$1004,M$24)&gt;0,"✓",""))</f>
        <v/>
      </c>
    </row>
    <row r="860">
      <c r="A860" s="63">
        <f>IFERROR(INDEX(Firms!$A$5:$A$1004,MATCH(836,Firms!$S$5:$S$1004,0)),"")</f>
        <v/>
      </c>
      <c r="B860" s="57">
        <f>IF($A860="","",INDEX(Firms!$B$5:$B$1004,MATCH(836,Firms!$S$5:$S$1004,0)))</f>
        <v/>
      </c>
      <c r="C860" s="57">
        <f>IF($A860="","",COUNTIF('AFA Rates'!$A$5:$A$1004,$A860))</f>
        <v/>
      </c>
      <c r="D860" s="57">
        <f>IF(OR($A860="",D$24=""),"",IF(COUNTIFS('AFA Rates'!$A$5:$A$1004,$A860,'AFA Rates'!$B$5:$B$1004,D$24)&gt;0,"✓",""))</f>
        <v/>
      </c>
      <c r="E860" s="57">
        <f>IF(OR($A860="",E$24=""),"",IF(COUNTIFS('AFA Rates'!$A$5:$A$1004,$A860,'AFA Rates'!$B$5:$B$1004,E$24)&gt;0,"✓",""))</f>
        <v/>
      </c>
      <c r="F860" s="57">
        <f>IF(OR($A860="",F$24=""),"",IF(COUNTIFS('AFA Rates'!$A$5:$A$1004,$A860,'AFA Rates'!$B$5:$B$1004,F$24)&gt;0,"✓",""))</f>
        <v/>
      </c>
      <c r="G860" s="57">
        <f>IF(OR($A860="",G$24=""),"",IF(COUNTIFS('AFA Rates'!$A$5:$A$1004,$A860,'AFA Rates'!$B$5:$B$1004,G$24)&gt;0,"✓",""))</f>
        <v/>
      </c>
      <c r="H860" s="57">
        <f>IF(OR($A860="",H$24=""),"",IF(COUNTIFS('AFA Rates'!$A$5:$A$1004,$A860,'AFA Rates'!$B$5:$B$1004,H$24)&gt;0,"✓",""))</f>
        <v/>
      </c>
      <c r="I860" s="57">
        <f>IF(OR($A860="",I$24=""),"",IF(COUNTIFS('AFA Rates'!$A$5:$A$1004,$A860,'AFA Rates'!$B$5:$B$1004,I$24)&gt;0,"✓",""))</f>
        <v/>
      </c>
      <c r="J860" s="57">
        <f>IF(OR($A860="",J$24=""),"",IF(COUNTIFS('AFA Rates'!$A$5:$A$1004,$A860,'AFA Rates'!$B$5:$B$1004,J$24)&gt;0,"✓",""))</f>
        <v/>
      </c>
      <c r="K860" s="57">
        <f>IF(OR($A860="",K$24=""),"",IF(COUNTIFS('AFA Rates'!$A$5:$A$1004,$A860,'AFA Rates'!$B$5:$B$1004,K$24)&gt;0,"✓",""))</f>
        <v/>
      </c>
      <c r="L860" s="57">
        <f>IF(OR($A860="",L$24=""),"",IF(COUNTIFS('AFA Rates'!$A$5:$A$1004,$A860,'AFA Rates'!$B$5:$B$1004,L$24)&gt;0,"✓",""))</f>
        <v/>
      </c>
      <c r="M860" s="57">
        <f>IF(OR($A860="",M$24=""),"",IF(COUNTIFS('AFA Rates'!$A$5:$A$1004,$A860,'AFA Rates'!$B$5:$B$1004,M$24)&gt;0,"✓",""))</f>
        <v/>
      </c>
    </row>
    <row r="861">
      <c r="A861" s="63">
        <f>IFERROR(INDEX(Firms!$A$5:$A$1004,MATCH(837,Firms!$S$5:$S$1004,0)),"")</f>
        <v/>
      </c>
      <c r="B861" s="57">
        <f>IF($A861="","",INDEX(Firms!$B$5:$B$1004,MATCH(837,Firms!$S$5:$S$1004,0)))</f>
        <v/>
      </c>
      <c r="C861" s="57">
        <f>IF($A861="","",COUNTIF('AFA Rates'!$A$5:$A$1004,$A861))</f>
        <v/>
      </c>
      <c r="D861" s="57">
        <f>IF(OR($A861="",D$24=""),"",IF(COUNTIFS('AFA Rates'!$A$5:$A$1004,$A861,'AFA Rates'!$B$5:$B$1004,D$24)&gt;0,"✓",""))</f>
        <v/>
      </c>
      <c r="E861" s="57">
        <f>IF(OR($A861="",E$24=""),"",IF(COUNTIFS('AFA Rates'!$A$5:$A$1004,$A861,'AFA Rates'!$B$5:$B$1004,E$24)&gt;0,"✓",""))</f>
        <v/>
      </c>
      <c r="F861" s="57">
        <f>IF(OR($A861="",F$24=""),"",IF(COUNTIFS('AFA Rates'!$A$5:$A$1004,$A861,'AFA Rates'!$B$5:$B$1004,F$24)&gt;0,"✓",""))</f>
        <v/>
      </c>
      <c r="G861" s="57">
        <f>IF(OR($A861="",G$24=""),"",IF(COUNTIFS('AFA Rates'!$A$5:$A$1004,$A861,'AFA Rates'!$B$5:$B$1004,G$24)&gt;0,"✓",""))</f>
        <v/>
      </c>
      <c r="H861" s="57">
        <f>IF(OR($A861="",H$24=""),"",IF(COUNTIFS('AFA Rates'!$A$5:$A$1004,$A861,'AFA Rates'!$B$5:$B$1004,H$24)&gt;0,"✓",""))</f>
        <v/>
      </c>
      <c r="I861" s="57">
        <f>IF(OR($A861="",I$24=""),"",IF(COUNTIFS('AFA Rates'!$A$5:$A$1004,$A861,'AFA Rates'!$B$5:$B$1004,I$24)&gt;0,"✓",""))</f>
        <v/>
      </c>
      <c r="J861" s="57">
        <f>IF(OR($A861="",J$24=""),"",IF(COUNTIFS('AFA Rates'!$A$5:$A$1004,$A861,'AFA Rates'!$B$5:$B$1004,J$24)&gt;0,"✓",""))</f>
        <v/>
      </c>
      <c r="K861" s="57">
        <f>IF(OR($A861="",K$24=""),"",IF(COUNTIFS('AFA Rates'!$A$5:$A$1004,$A861,'AFA Rates'!$B$5:$B$1004,K$24)&gt;0,"✓",""))</f>
        <v/>
      </c>
      <c r="L861" s="57">
        <f>IF(OR($A861="",L$24=""),"",IF(COUNTIFS('AFA Rates'!$A$5:$A$1004,$A861,'AFA Rates'!$B$5:$B$1004,L$24)&gt;0,"✓",""))</f>
        <v/>
      </c>
      <c r="M861" s="57">
        <f>IF(OR($A861="",M$24=""),"",IF(COUNTIFS('AFA Rates'!$A$5:$A$1004,$A861,'AFA Rates'!$B$5:$B$1004,M$24)&gt;0,"✓",""))</f>
        <v/>
      </c>
    </row>
    <row r="862">
      <c r="A862" s="63">
        <f>IFERROR(INDEX(Firms!$A$5:$A$1004,MATCH(838,Firms!$S$5:$S$1004,0)),"")</f>
        <v/>
      </c>
      <c r="B862" s="57">
        <f>IF($A862="","",INDEX(Firms!$B$5:$B$1004,MATCH(838,Firms!$S$5:$S$1004,0)))</f>
        <v/>
      </c>
      <c r="C862" s="57">
        <f>IF($A862="","",COUNTIF('AFA Rates'!$A$5:$A$1004,$A862))</f>
        <v/>
      </c>
      <c r="D862" s="57">
        <f>IF(OR($A862="",D$24=""),"",IF(COUNTIFS('AFA Rates'!$A$5:$A$1004,$A862,'AFA Rates'!$B$5:$B$1004,D$24)&gt;0,"✓",""))</f>
        <v/>
      </c>
      <c r="E862" s="57">
        <f>IF(OR($A862="",E$24=""),"",IF(COUNTIFS('AFA Rates'!$A$5:$A$1004,$A862,'AFA Rates'!$B$5:$B$1004,E$24)&gt;0,"✓",""))</f>
        <v/>
      </c>
      <c r="F862" s="57">
        <f>IF(OR($A862="",F$24=""),"",IF(COUNTIFS('AFA Rates'!$A$5:$A$1004,$A862,'AFA Rates'!$B$5:$B$1004,F$24)&gt;0,"✓",""))</f>
        <v/>
      </c>
      <c r="G862" s="57">
        <f>IF(OR($A862="",G$24=""),"",IF(COUNTIFS('AFA Rates'!$A$5:$A$1004,$A862,'AFA Rates'!$B$5:$B$1004,G$24)&gt;0,"✓",""))</f>
        <v/>
      </c>
      <c r="H862" s="57">
        <f>IF(OR($A862="",H$24=""),"",IF(COUNTIFS('AFA Rates'!$A$5:$A$1004,$A862,'AFA Rates'!$B$5:$B$1004,H$24)&gt;0,"✓",""))</f>
        <v/>
      </c>
      <c r="I862" s="57">
        <f>IF(OR($A862="",I$24=""),"",IF(COUNTIFS('AFA Rates'!$A$5:$A$1004,$A862,'AFA Rates'!$B$5:$B$1004,I$24)&gt;0,"✓",""))</f>
        <v/>
      </c>
      <c r="J862" s="57">
        <f>IF(OR($A862="",J$24=""),"",IF(COUNTIFS('AFA Rates'!$A$5:$A$1004,$A862,'AFA Rates'!$B$5:$B$1004,J$24)&gt;0,"✓",""))</f>
        <v/>
      </c>
      <c r="K862" s="57">
        <f>IF(OR($A862="",K$24=""),"",IF(COUNTIFS('AFA Rates'!$A$5:$A$1004,$A862,'AFA Rates'!$B$5:$B$1004,K$24)&gt;0,"✓",""))</f>
        <v/>
      </c>
      <c r="L862" s="57">
        <f>IF(OR($A862="",L$24=""),"",IF(COUNTIFS('AFA Rates'!$A$5:$A$1004,$A862,'AFA Rates'!$B$5:$B$1004,L$24)&gt;0,"✓",""))</f>
        <v/>
      </c>
      <c r="M862" s="57">
        <f>IF(OR($A862="",M$24=""),"",IF(COUNTIFS('AFA Rates'!$A$5:$A$1004,$A862,'AFA Rates'!$B$5:$B$1004,M$24)&gt;0,"✓",""))</f>
        <v/>
      </c>
    </row>
    <row r="863">
      <c r="A863" s="63">
        <f>IFERROR(INDEX(Firms!$A$5:$A$1004,MATCH(839,Firms!$S$5:$S$1004,0)),"")</f>
        <v/>
      </c>
      <c r="B863" s="57">
        <f>IF($A863="","",INDEX(Firms!$B$5:$B$1004,MATCH(839,Firms!$S$5:$S$1004,0)))</f>
        <v/>
      </c>
      <c r="C863" s="57">
        <f>IF($A863="","",COUNTIF('AFA Rates'!$A$5:$A$1004,$A863))</f>
        <v/>
      </c>
      <c r="D863" s="57">
        <f>IF(OR($A863="",D$24=""),"",IF(COUNTIFS('AFA Rates'!$A$5:$A$1004,$A863,'AFA Rates'!$B$5:$B$1004,D$24)&gt;0,"✓",""))</f>
        <v/>
      </c>
      <c r="E863" s="57">
        <f>IF(OR($A863="",E$24=""),"",IF(COUNTIFS('AFA Rates'!$A$5:$A$1004,$A863,'AFA Rates'!$B$5:$B$1004,E$24)&gt;0,"✓",""))</f>
        <v/>
      </c>
      <c r="F863" s="57">
        <f>IF(OR($A863="",F$24=""),"",IF(COUNTIFS('AFA Rates'!$A$5:$A$1004,$A863,'AFA Rates'!$B$5:$B$1004,F$24)&gt;0,"✓",""))</f>
        <v/>
      </c>
      <c r="G863" s="57">
        <f>IF(OR($A863="",G$24=""),"",IF(COUNTIFS('AFA Rates'!$A$5:$A$1004,$A863,'AFA Rates'!$B$5:$B$1004,G$24)&gt;0,"✓",""))</f>
        <v/>
      </c>
      <c r="H863" s="57">
        <f>IF(OR($A863="",H$24=""),"",IF(COUNTIFS('AFA Rates'!$A$5:$A$1004,$A863,'AFA Rates'!$B$5:$B$1004,H$24)&gt;0,"✓",""))</f>
        <v/>
      </c>
      <c r="I863" s="57">
        <f>IF(OR($A863="",I$24=""),"",IF(COUNTIFS('AFA Rates'!$A$5:$A$1004,$A863,'AFA Rates'!$B$5:$B$1004,I$24)&gt;0,"✓",""))</f>
        <v/>
      </c>
      <c r="J863" s="57">
        <f>IF(OR($A863="",J$24=""),"",IF(COUNTIFS('AFA Rates'!$A$5:$A$1004,$A863,'AFA Rates'!$B$5:$B$1004,J$24)&gt;0,"✓",""))</f>
        <v/>
      </c>
      <c r="K863" s="57">
        <f>IF(OR($A863="",K$24=""),"",IF(COUNTIFS('AFA Rates'!$A$5:$A$1004,$A863,'AFA Rates'!$B$5:$B$1004,K$24)&gt;0,"✓",""))</f>
        <v/>
      </c>
      <c r="L863" s="57">
        <f>IF(OR($A863="",L$24=""),"",IF(COUNTIFS('AFA Rates'!$A$5:$A$1004,$A863,'AFA Rates'!$B$5:$B$1004,L$24)&gt;0,"✓",""))</f>
        <v/>
      </c>
      <c r="M863" s="57">
        <f>IF(OR($A863="",M$24=""),"",IF(COUNTIFS('AFA Rates'!$A$5:$A$1004,$A863,'AFA Rates'!$B$5:$B$1004,M$24)&gt;0,"✓",""))</f>
        <v/>
      </c>
    </row>
    <row r="864">
      <c r="A864" s="63">
        <f>IFERROR(INDEX(Firms!$A$5:$A$1004,MATCH(840,Firms!$S$5:$S$1004,0)),"")</f>
        <v/>
      </c>
      <c r="B864" s="57">
        <f>IF($A864="","",INDEX(Firms!$B$5:$B$1004,MATCH(840,Firms!$S$5:$S$1004,0)))</f>
        <v/>
      </c>
      <c r="C864" s="57">
        <f>IF($A864="","",COUNTIF('AFA Rates'!$A$5:$A$1004,$A864))</f>
        <v/>
      </c>
      <c r="D864" s="57">
        <f>IF(OR($A864="",D$24=""),"",IF(COUNTIFS('AFA Rates'!$A$5:$A$1004,$A864,'AFA Rates'!$B$5:$B$1004,D$24)&gt;0,"✓",""))</f>
        <v/>
      </c>
      <c r="E864" s="57">
        <f>IF(OR($A864="",E$24=""),"",IF(COUNTIFS('AFA Rates'!$A$5:$A$1004,$A864,'AFA Rates'!$B$5:$B$1004,E$24)&gt;0,"✓",""))</f>
        <v/>
      </c>
      <c r="F864" s="57">
        <f>IF(OR($A864="",F$24=""),"",IF(COUNTIFS('AFA Rates'!$A$5:$A$1004,$A864,'AFA Rates'!$B$5:$B$1004,F$24)&gt;0,"✓",""))</f>
        <v/>
      </c>
      <c r="G864" s="57">
        <f>IF(OR($A864="",G$24=""),"",IF(COUNTIFS('AFA Rates'!$A$5:$A$1004,$A864,'AFA Rates'!$B$5:$B$1004,G$24)&gt;0,"✓",""))</f>
        <v/>
      </c>
      <c r="H864" s="57">
        <f>IF(OR($A864="",H$24=""),"",IF(COUNTIFS('AFA Rates'!$A$5:$A$1004,$A864,'AFA Rates'!$B$5:$B$1004,H$24)&gt;0,"✓",""))</f>
        <v/>
      </c>
      <c r="I864" s="57">
        <f>IF(OR($A864="",I$24=""),"",IF(COUNTIFS('AFA Rates'!$A$5:$A$1004,$A864,'AFA Rates'!$B$5:$B$1004,I$24)&gt;0,"✓",""))</f>
        <v/>
      </c>
      <c r="J864" s="57">
        <f>IF(OR($A864="",J$24=""),"",IF(COUNTIFS('AFA Rates'!$A$5:$A$1004,$A864,'AFA Rates'!$B$5:$B$1004,J$24)&gt;0,"✓",""))</f>
        <v/>
      </c>
      <c r="K864" s="57">
        <f>IF(OR($A864="",K$24=""),"",IF(COUNTIFS('AFA Rates'!$A$5:$A$1004,$A864,'AFA Rates'!$B$5:$B$1004,K$24)&gt;0,"✓",""))</f>
        <v/>
      </c>
      <c r="L864" s="57">
        <f>IF(OR($A864="",L$24=""),"",IF(COUNTIFS('AFA Rates'!$A$5:$A$1004,$A864,'AFA Rates'!$B$5:$B$1004,L$24)&gt;0,"✓",""))</f>
        <v/>
      </c>
      <c r="M864" s="57">
        <f>IF(OR($A864="",M$24=""),"",IF(COUNTIFS('AFA Rates'!$A$5:$A$1004,$A864,'AFA Rates'!$B$5:$B$1004,M$24)&gt;0,"✓",""))</f>
        <v/>
      </c>
    </row>
    <row r="865">
      <c r="A865" s="63">
        <f>IFERROR(INDEX(Firms!$A$5:$A$1004,MATCH(841,Firms!$S$5:$S$1004,0)),"")</f>
        <v/>
      </c>
      <c r="B865" s="57">
        <f>IF($A865="","",INDEX(Firms!$B$5:$B$1004,MATCH(841,Firms!$S$5:$S$1004,0)))</f>
        <v/>
      </c>
      <c r="C865" s="57">
        <f>IF($A865="","",COUNTIF('AFA Rates'!$A$5:$A$1004,$A865))</f>
        <v/>
      </c>
      <c r="D865" s="57">
        <f>IF(OR($A865="",D$24=""),"",IF(COUNTIFS('AFA Rates'!$A$5:$A$1004,$A865,'AFA Rates'!$B$5:$B$1004,D$24)&gt;0,"✓",""))</f>
        <v/>
      </c>
      <c r="E865" s="57">
        <f>IF(OR($A865="",E$24=""),"",IF(COUNTIFS('AFA Rates'!$A$5:$A$1004,$A865,'AFA Rates'!$B$5:$B$1004,E$24)&gt;0,"✓",""))</f>
        <v/>
      </c>
      <c r="F865" s="57">
        <f>IF(OR($A865="",F$24=""),"",IF(COUNTIFS('AFA Rates'!$A$5:$A$1004,$A865,'AFA Rates'!$B$5:$B$1004,F$24)&gt;0,"✓",""))</f>
        <v/>
      </c>
      <c r="G865" s="57">
        <f>IF(OR($A865="",G$24=""),"",IF(COUNTIFS('AFA Rates'!$A$5:$A$1004,$A865,'AFA Rates'!$B$5:$B$1004,G$24)&gt;0,"✓",""))</f>
        <v/>
      </c>
      <c r="H865" s="57">
        <f>IF(OR($A865="",H$24=""),"",IF(COUNTIFS('AFA Rates'!$A$5:$A$1004,$A865,'AFA Rates'!$B$5:$B$1004,H$24)&gt;0,"✓",""))</f>
        <v/>
      </c>
      <c r="I865" s="57">
        <f>IF(OR($A865="",I$24=""),"",IF(COUNTIFS('AFA Rates'!$A$5:$A$1004,$A865,'AFA Rates'!$B$5:$B$1004,I$24)&gt;0,"✓",""))</f>
        <v/>
      </c>
      <c r="J865" s="57">
        <f>IF(OR($A865="",J$24=""),"",IF(COUNTIFS('AFA Rates'!$A$5:$A$1004,$A865,'AFA Rates'!$B$5:$B$1004,J$24)&gt;0,"✓",""))</f>
        <v/>
      </c>
      <c r="K865" s="57">
        <f>IF(OR($A865="",K$24=""),"",IF(COUNTIFS('AFA Rates'!$A$5:$A$1004,$A865,'AFA Rates'!$B$5:$B$1004,K$24)&gt;0,"✓",""))</f>
        <v/>
      </c>
      <c r="L865" s="57">
        <f>IF(OR($A865="",L$24=""),"",IF(COUNTIFS('AFA Rates'!$A$5:$A$1004,$A865,'AFA Rates'!$B$5:$B$1004,L$24)&gt;0,"✓",""))</f>
        <v/>
      </c>
      <c r="M865" s="57">
        <f>IF(OR($A865="",M$24=""),"",IF(COUNTIFS('AFA Rates'!$A$5:$A$1004,$A865,'AFA Rates'!$B$5:$B$1004,M$24)&gt;0,"✓",""))</f>
        <v/>
      </c>
    </row>
    <row r="866">
      <c r="A866" s="63">
        <f>IFERROR(INDEX(Firms!$A$5:$A$1004,MATCH(842,Firms!$S$5:$S$1004,0)),"")</f>
        <v/>
      </c>
      <c r="B866" s="57">
        <f>IF($A866="","",INDEX(Firms!$B$5:$B$1004,MATCH(842,Firms!$S$5:$S$1004,0)))</f>
        <v/>
      </c>
      <c r="C866" s="57">
        <f>IF($A866="","",COUNTIF('AFA Rates'!$A$5:$A$1004,$A866))</f>
        <v/>
      </c>
      <c r="D866" s="57">
        <f>IF(OR($A866="",D$24=""),"",IF(COUNTIFS('AFA Rates'!$A$5:$A$1004,$A866,'AFA Rates'!$B$5:$B$1004,D$24)&gt;0,"✓",""))</f>
        <v/>
      </c>
      <c r="E866" s="57">
        <f>IF(OR($A866="",E$24=""),"",IF(COUNTIFS('AFA Rates'!$A$5:$A$1004,$A866,'AFA Rates'!$B$5:$B$1004,E$24)&gt;0,"✓",""))</f>
        <v/>
      </c>
      <c r="F866" s="57">
        <f>IF(OR($A866="",F$24=""),"",IF(COUNTIFS('AFA Rates'!$A$5:$A$1004,$A866,'AFA Rates'!$B$5:$B$1004,F$24)&gt;0,"✓",""))</f>
        <v/>
      </c>
      <c r="G866" s="57">
        <f>IF(OR($A866="",G$24=""),"",IF(COUNTIFS('AFA Rates'!$A$5:$A$1004,$A866,'AFA Rates'!$B$5:$B$1004,G$24)&gt;0,"✓",""))</f>
        <v/>
      </c>
      <c r="H866" s="57">
        <f>IF(OR($A866="",H$24=""),"",IF(COUNTIFS('AFA Rates'!$A$5:$A$1004,$A866,'AFA Rates'!$B$5:$B$1004,H$24)&gt;0,"✓",""))</f>
        <v/>
      </c>
      <c r="I866" s="57">
        <f>IF(OR($A866="",I$24=""),"",IF(COUNTIFS('AFA Rates'!$A$5:$A$1004,$A866,'AFA Rates'!$B$5:$B$1004,I$24)&gt;0,"✓",""))</f>
        <v/>
      </c>
      <c r="J866" s="57">
        <f>IF(OR($A866="",J$24=""),"",IF(COUNTIFS('AFA Rates'!$A$5:$A$1004,$A866,'AFA Rates'!$B$5:$B$1004,J$24)&gt;0,"✓",""))</f>
        <v/>
      </c>
      <c r="K866" s="57">
        <f>IF(OR($A866="",K$24=""),"",IF(COUNTIFS('AFA Rates'!$A$5:$A$1004,$A866,'AFA Rates'!$B$5:$B$1004,K$24)&gt;0,"✓",""))</f>
        <v/>
      </c>
      <c r="L866" s="57">
        <f>IF(OR($A866="",L$24=""),"",IF(COUNTIFS('AFA Rates'!$A$5:$A$1004,$A866,'AFA Rates'!$B$5:$B$1004,L$24)&gt;0,"✓",""))</f>
        <v/>
      </c>
      <c r="M866" s="57">
        <f>IF(OR($A866="",M$24=""),"",IF(COUNTIFS('AFA Rates'!$A$5:$A$1004,$A866,'AFA Rates'!$B$5:$B$1004,M$24)&gt;0,"✓",""))</f>
        <v/>
      </c>
    </row>
    <row r="867">
      <c r="A867" s="63">
        <f>IFERROR(INDEX(Firms!$A$5:$A$1004,MATCH(843,Firms!$S$5:$S$1004,0)),"")</f>
        <v/>
      </c>
      <c r="B867" s="57">
        <f>IF($A867="","",INDEX(Firms!$B$5:$B$1004,MATCH(843,Firms!$S$5:$S$1004,0)))</f>
        <v/>
      </c>
      <c r="C867" s="57">
        <f>IF($A867="","",COUNTIF('AFA Rates'!$A$5:$A$1004,$A867))</f>
        <v/>
      </c>
      <c r="D867" s="57">
        <f>IF(OR($A867="",D$24=""),"",IF(COUNTIFS('AFA Rates'!$A$5:$A$1004,$A867,'AFA Rates'!$B$5:$B$1004,D$24)&gt;0,"✓",""))</f>
        <v/>
      </c>
      <c r="E867" s="57">
        <f>IF(OR($A867="",E$24=""),"",IF(COUNTIFS('AFA Rates'!$A$5:$A$1004,$A867,'AFA Rates'!$B$5:$B$1004,E$24)&gt;0,"✓",""))</f>
        <v/>
      </c>
      <c r="F867" s="57">
        <f>IF(OR($A867="",F$24=""),"",IF(COUNTIFS('AFA Rates'!$A$5:$A$1004,$A867,'AFA Rates'!$B$5:$B$1004,F$24)&gt;0,"✓",""))</f>
        <v/>
      </c>
      <c r="G867" s="57">
        <f>IF(OR($A867="",G$24=""),"",IF(COUNTIFS('AFA Rates'!$A$5:$A$1004,$A867,'AFA Rates'!$B$5:$B$1004,G$24)&gt;0,"✓",""))</f>
        <v/>
      </c>
      <c r="H867" s="57">
        <f>IF(OR($A867="",H$24=""),"",IF(COUNTIFS('AFA Rates'!$A$5:$A$1004,$A867,'AFA Rates'!$B$5:$B$1004,H$24)&gt;0,"✓",""))</f>
        <v/>
      </c>
      <c r="I867" s="57">
        <f>IF(OR($A867="",I$24=""),"",IF(COUNTIFS('AFA Rates'!$A$5:$A$1004,$A867,'AFA Rates'!$B$5:$B$1004,I$24)&gt;0,"✓",""))</f>
        <v/>
      </c>
      <c r="J867" s="57">
        <f>IF(OR($A867="",J$24=""),"",IF(COUNTIFS('AFA Rates'!$A$5:$A$1004,$A867,'AFA Rates'!$B$5:$B$1004,J$24)&gt;0,"✓",""))</f>
        <v/>
      </c>
      <c r="K867" s="57">
        <f>IF(OR($A867="",K$24=""),"",IF(COUNTIFS('AFA Rates'!$A$5:$A$1004,$A867,'AFA Rates'!$B$5:$B$1004,K$24)&gt;0,"✓",""))</f>
        <v/>
      </c>
      <c r="L867" s="57">
        <f>IF(OR($A867="",L$24=""),"",IF(COUNTIFS('AFA Rates'!$A$5:$A$1004,$A867,'AFA Rates'!$B$5:$B$1004,L$24)&gt;0,"✓",""))</f>
        <v/>
      </c>
      <c r="M867" s="57">
        <f>IF(OR($A867="",M$24=""),"",IF(COUNTIFS('AFA Rates'!$A$5:$A$1004,$A867,'AFA Rates'!$B$5:$B$1004,M$24)&gt;0,"✓",""))</f>
        <v/>
      </c>
    </row>
    <row r="868">
      <c r="A868" s="63">
        <f>IFERROR(INDEX(Firms!$A$5:$A$1004,MATCH(844,Firms!$S$5:$S$1004,0)),"")</f>
        <v/>
      </c>
      <c r="B868" s="57">
        <f>IF($A868="","",INDEX(Firms!$B$5:$B$1004,MATCH(844,Firms!$S$5:$S$1004,0)))</f>
        <v/>
      </c>
      <c r="C868" s="57">
        <f>IF($A868="","",COUNTIF('AFA Rates'!$A$5:$A$1004,$A868))</f>
        <v/>
      </c>
      <c r="D868" s="57">
        <f>IF(OR($A868="",D$24=""),"",IF(COUNTIFS('AFA Rates'!$A$5:$A$1004,$A868,'AFA Rates'!$B$5:$B$1004,D$24)&gt;0,"✓",""))</f>
        <v/>
      </c>
      <c r="E868" s="57">
        <f>IF(OR($A868="",E$24=""),"",IF(COUNTIFS('AFA Rates'!$A$5:$A$1004,$A868,'AFA Rates'!$B$5:$B$1004,E$24)&gt;0,"✓",""))</f>
        <v/>
      </c>
      <c r="F868" s="57">
        <f>IF(OR($A868="",F$24=""),"",IF(COUNTIFS('AFA Rates'!$A$5:$A$1004,$A868,'AFA Rates'!$B$5:$B$1004,F$24)&gt;0,"✓",""))</f>
        <v/>
      </c>
      <c r="G868" s="57">
        <f>IF(OR($A868="",G$24=""),"",IF(COUNTIFS('AFA Rates'!$A$5:$A$1004,$A868,'AFA Rates'!$B$5:$B$1004,G$24)&gt;0,"✓",""))</f>
        <v/>
      </c>
      <c r="H868" s="57">
        <f>IF(OR($A868="",H$24=""),"",IF(COUNTIFS('AFA Rates'!$A$5:$A$1004,$A868,'AFA Rates'!$B$5:$B$1004,H$24)&gt;0,"✓",""))</f>
        <v/>
      </c>
      <c r="I868" s="57">
        <f>IF(OR($A868="",I$24=""),"",IF(COUNTIFS('AFA Rates'!$A$5:$A$1004,$A868,'AFA Rates'!$B$5:$B$1004,I$24)&gt;0,"✓",""))</f>
        <v/>
      </c>
      <c r="J868" s="57">
        <f>IF(OR($A868="",J$24=""),"",IF(COUNTIFS('AFA Rates'!$A$5:$A$1004,$A868,'AFA Rates'!$B$5:$B$1004,J$24)&gt;0,"✓",""))</f>
        <v/>
      </c>
      <c r="K868" s="57">
        <f>IF(OR($A868="",K$24=""),"",IF(COUNTIFS('AFA Rates'!$A$5:$A$1004,$A868,'AFA Rates'!$B$5:$B$1004,K$24)&gt;0,"✓",""))</f>
        <v/>
      </c>
      <c r="L868" s="57">
        <f>IF(OR($A868="",L$24=""),"",IF(COUNTIFS('AFA Rates'!$A$5:$A$1004,$A868,'AFA Rates'!$B$5:$B$1004,L$24)&gt;0,"✓",""))</f>
        <v/>
      </c>
      <c r="M868" s="57">
        <f>IF(OR($A868="",M$24=""),"",IF(COUNTIFS('AFA Rates'!$A$5:$A$1004,$A868,'AFA Rates'!$B$5:$B$1004,M$24)&gt;0,"✓",""))</f>
        <v/>
      </c>
    </row>
    <row r="869">
      <c r="A869" s="63">
        <f>IFERROR(INDEX(Firms!$A$5:$A$1004,MATCH(845,Firms!$S$5:$S$1004,0)),"")</f>
        <v/>
      </c>
      <c r="B869" s="57">
        <f>IF($A869="","",INDEX(Firms!$B$5:$B$1004,MATCH(845,Firms!$S$5:$S$1004,0)))</f>
        <v/>
      </c>
      <c r="C869" s="57">
        <f>IF($A869="","",COUNTIF('AFA Rates'!$A$5:$A$1004,$A869))</f>
        <v/>
      </c>
      <c r="D869" s="57">
        <f>IF(OR($A869="",D$24=""),"",IF(COUNTIFS('AFA Rates'!$A$5:$A$1004,$A869,'AFA Rates'!$B$5:$B$1004,D$24)&gt;0,"✓",""))</f>
        <v/>
      </c>
      <c r="E869" s="57">
        <f>IF(OR($A869="",E$24=""),"",IF(COUNTIFS('AFA Rates'!$A$5:$A$1004,$A869,'AFA Rates'!$B$5:$B$1004,E$24)&gt;0,"✓",""))</f>
        <v/>
      </c>
      <c r="F869" s="57">
        <f>IF(OR($A869="",F$24=""),"",IF(COUNTIFS('AFA Rates'!$A$5:$A$1004,$A869,'AFA Rates'!$B$5:$B$1004,F$24)&gt;0,"✓",""))</f>
        <v/>
      </c>
      <c r="G869" s="57">
        <f>IF(OR($A869="",G$24=""),"",IF(COUNTIFS('AFA Rates'!$A$5:$A$1004,$A869,'AFA Rates'!$B$5:$B$1004,G$24)&gt;0,"✓",""))</f>
        <v/>
      </c>
      <c r="H869" s="57">
        <f>IF(OR($A869="",H$24=""),"",IF(COUNTIFS('AFA Rates'!$A$5:$A$1004,$A869,'AFA Rates'!$B$5:$B$1004,H$24)&gt;0,"✓",""))</f>
        <v/>
      </c>
      <c r="I869" s="57">
        <f>IF(OR($A869="",I$24=""),"",IF(COUNTIFS('AFA Rates'!$A$5:$A$1004,$A869,'AFA Rates'!$B$5:$B$1004,I$24)&gt;0,"✓",""))</f>
        <v/>
      </c>
      <c r="J869" s="57">
        <f>IF(OR($A869="",J$24=""),"",IF(COUNTIFS('AFA Rates'!$A$5:$A$1004,$A869,'AFA Rates'!$B$5:$B$1004,J$24)&gt;0,"✓",""))</f>
        <v/>
      </c>
      <c r="K869" s="57">
        <f>IF(OR($A869="",K$24=""),"",IF(COUNTIFS('AFA Rates'!$A$5:$A$1004,$A869,'AFA Rates'!$B$5:$B$1004,K$24)&gt;0,"✓",""))</f>
        <v/>
      </c>
      <c r="L869" s="57">
        <f>IF(OR($A869="",L$24=""),"",IF(COUNTIFS('AFA Rates'!$A$5:$A$1004,$A869,'AFA Rates'!$B$5:$B$1004,L$24)&gt;0,"✓",""))</f>
        <v/>
      </c>
      <c r="M869" s="57">
        <f>IF(OR($A869="",M$24=""),"",IF(COUNTIFS('AFA Rates'!$A$5:$A$1004,$A869,'AFA Rates'!$B$5:$B$1004,M$24)&gt;0,"✓",""))</f>
        <v/>
      </c>
    </row>
    <row r="870">
      <c r="A870" s="63">
        <f>IFERROR(INDEX(Firms!$A$5:$A$1004,MATCH(846,Firms!$S$5:$S$1004,0)),"")</f>
        <v/>
      </c>
      <c r="B870" s="57">
        <f>IF($A870="","",INDEX(Firms!$B$5:$B$1004,MATCH(846,Firms!$S$5:$S$1004,0)))</f>
        <v/>
      </c>
      <c r="C870" s="57">
        <f>IF($A870="","",COUNTIF('AFA Rates'!$A$5:$A$1004,$A870))</f>
        <v/>
      </c>
      <c r="D870" s="57">
        <f>IF(OR($A870="",D$24=""),"",IF(COUNTIFS('AFA Rates'!$A$5:$A$1004,$A870,'AFA Rates'!$B$5:$B$1004,D$24)&gt;0,"✓",""))</f>
        <v/>
      </c>
      <c r="E870" s="57">
        <f>IF(OR($A870="",E$24=""),"",IF(COUNTIFS('AFA Rates'!$A$5:$A$1004,$A870,'AFA Rates'!$B$5:$B$1004,E$24)&gt;0,"✓",""))</f>
        <v/>
      </c>
      <c r="F870" s="57">
        <f>IF(OR($A870="",F$24=""),"",IF(COUNTIFS('AFA Rates'!$A$5:$A$1004,$A870,'AFA Rates'!$B$5:$B$1004,F$24)&gt;0,"✓",""))</f>
        <v/>
      </c>
      <c r="G870" s="57">
        <f>IF(OR($A870="",G$24=""),"",IF(COUNTIFS('AFA Rates'!$A$5:$A$1004,$A870,'AFA Rates'!$B$5:$B$1004,G$24)&gt;0,"✓",""))</f>
        <v/>
      </c>
      <c r="H870" s="57">
        <f>IF(OR($A870="",H$24=""),"",IF(COUNTIFS('AFA Rates'!$A$5:$A$1004,$A870,'AFA Rates'!$B$5:$B$1004,H$24)&gt;0,"✓",""))</f>
        <v/>
      </c>
      <c r="I870" s="57">
        <f>IF(OR($A870="",I$24=""),"",IF(COUNTIFS('AFA Rates'!$A$5:$A$1004,$A870,'AFA Rates'!$B$5:$B$1004,I$24)&gt;0,"✓",""))</f>
        <v/>
      </c>
      <c r="J870" s="57">
        <f>IF(OR($A870="",J$24=""),"",IF(COUNTIFS('AFA Rates'!$A$5:$A$1004,$A870,'AFA Rates'!$B$5:$B$1004,J$24)&gt;0,"✓",""))</f>
        <v/>
      </c>
      <c r="K870" s="57">
        <f>IF(OR($A870="",K$24=""),"",IF(COUNTIFS('AFA Rates'!$A$5:$A$1004,$A870,'AFA Rates'!$B$5:$B$1004,K$24)&gt;0,"✓",""))</f>
        <v/>
      </c>
      <c r="L870" s="57">
        <f>IF(OR($A870="",L$24=""),"",IF(COUNTIFS('AFA Rates'!$A$5:$A$1004,$A870,'AFA Rates'!$B$5:$B$1004,L$24)&gt;0,"✓",""))</f>
        <v/>
      </c>
      <c r="M870" s="57">
        <f>IF(OR($A870="",M$24=""),"",IF(COUNTIFS('AFA Rates'!$A$5:$A$1004,$A870,'AFA Rates'!$B$5:$B$1004,M$24)&gt;0,"✓",""))</f>
        <v/>
      </c>
    </row>
    <row r="871">
      <c r="A871" s="63">
        <f>IFERROR(INDEX(Firms!$A$5:$A$1004,MATCH(847,Firms!$S$5:$S$1004,0)),"")</f>
        <v/>
      </c>
      <c r="B871" s="57">
        <f>IF($A871="","",INDEX(Firms!$B$5:$B$1004,MATCH(847,Firms!$S$5:$S$1004,0)))</f>
        <v/>
      </c>
      <c r="C871" s="57">
        <f>IF($A871="","",COUNTIF('AFA Rates'!$A$5:$A$1004,$A871))</f>
        <v/>
      </c>
      <c r="D871" s="57">
        <f>IF(OR($A871="",D$24=""),"",IF(COUNTIFS('AFA Rates'!$A$5:$A$1004,$A871,'AFA Rates'!$B$5:$B$1004,D$24)&gt;0,"✓",""))</f>
        <v/>
      </c>
      <c r="E871" s="57">
        <f>IF(OR($A871="",E$24=""),"",IF(COUNTIFS('AFA Rates'!$A$5:$A$1004,$A871,'AFA Rates'!$B$5:$B$1004,E$24)&gt;0,"✓",""))</f>
        <v/>
      </c>
      <c r="F871" s="57">
        <f>IF(OR($A871="",F$24=""),"",IF(COUNTIFS('AFA Rates'!$A$5:$A$1004,$A871,'AFA Rates'!$B$5:$B$1004,F$24)&gt;0,"✓",""))</f>
        <v/>
      </c>
      <c r="G871" s="57">
        <f>IF(OR($A871="",G$24=""),"",IF(COUNTIFS('AFA Rates'!$A$5:$A$1004,$A871,'AFA Rates'!$B$5:$B$1004,G$24)&gt;0,"✓",""))</f>
        <v/>
      </c>
      <c r="H871" s="57">
        <f>IF(OR($A871="",H$24=""),"",IF(COUNTIFS('AFA Rates'!$A$5:$A$1004,$A871,'AFA Rates'!$B$5:$B$1004,H$24)&gt;0,"✓",""))</f>
        <v/>
      </c>
      <c r="I871" s="57">
        <f>IF(OR($A871="",I$24=""),"",IF(COUNTIFS('AFA Rates'!$A$5:$A$1004,$A871,'AFA Rates'!$B$5:$B$1004,I$24)&gt;0,"✓",""))</f>
        <v/>
      </c>
      <c r="J871" s="57">
        <f>IF(OR($A871="",J$24=""),"",IF(COUNTIFS('AFA Rates'!$A$5:$A$1004,$A871,'AFA Rates'!$B$5:$B$1004,J$24)&gt;0,"✓",""))</f>
        <v/>
      </c>
      <c r="K871" s="57">
        <f>IF(OR($A871="",K$24=""),"",IF(COUNTIFS('AFA Rates'!$A$5:$A$1004,$A871,'AFA Rates'!$B$5:$B$1004,K$24)&gt;0,"✓",""))</f>
        <v/>
      </c>
      <c r="L871" s="57">
        <f>IF(OR($A871="",L$24=""),"",IF(COUNTIFS('AFA Rates'!$A$5:$A$1004,$A871,'AFA Rates'!$B$5:$B$1004,L$24)&gt;0,"✓",""))</f>
        <v/>
      </c>
      <c r="M871" s="57">
        <f>IF(OR($A871="",M$24=""),"",IF(COUNTIFS('AFA Rates'!$A$5:$A$1004,$A871,'AFA Rates'!$B$5:$B$1004,M$24)&gt;0,"✓",""))</f>
        <v/>
      </c>
    </row>
    <row r="872">
      <c r="A872" s="63">
        <f>IFERROR(INDEX(Firms!$A$5:$A$1004,MATCH(848,Firms!$S$5:$S$1004,0)),"")</f>
        <v/>
      </c>
      <c r="B872" s="57">
        <f>IF($A872="","",INDEX(Firms!$B$5:$B$1004,MATCH(848,Firms!$S$5:$S$1004,0)))</f>
        <v/>
      </c>
      <c r="C872" s="57">
        <f>IF($A872="","",COUNTIF('AFA Rates'!$A$5:$A$1004,$A872))</f>
        <v/>
      </c>
      <c r="D872" s="57">
        <f>IF(OR($A872="",D$24=""),"",IF(COUNTIFS('AFA Rates'!$A$5:$A$1004,$A872,'AFA Rates'!$B$5:$B$1004,D$24)&gt;0,"✓",""))</f>
        <v/>
      </c>
      <c r="E872" s="57">
        <f>IF(OR($A872="",E$24=""),"",IF(COUNTIFS('AFA Rates'!$A$5:$A$1004,$A872,'AFA Rates'!$B$5:$B$1004,E$24)&gt;0,"✓",""))</f>
        <v/>
      </c>
      <c r="F872" s="57">
        <f>IF(OR($A872="",F$24=""),"",IF(COUNTIFS('AFA Rates'!$A$5:$A$1004,$A872,'AFA Rates'!$B$5:$B$1004,F$24)&gt;0,"✓",""))</f>
        <v/>
      </c>
      <c r="G872" s="57">
        <f>IF(OR($A872="",G$24=""),"",IF(COUNTIFS('AFA Rates'!$A$5:$A$1004,$A872,'AFA Rates'!$B$5:$B$1004,G$24)&gt;0,"✓",""))</f>
        <v/>
      </c>
      <c r="H872" s="57">
        <f>IF(OR($A872="",H$24=""),"",IF(COUNTIFS('AFA Rates'!$A$5:$A$1004,$A872,'AFA Rates'!$B$5:$B$1004,H$24)&gt;0,"✓",""))</f>
        <v/>
      </c>
      <c r="I872" s="57">
        <f>IF(OR($A872="",I$24=""),"",IF(COUNTIFS('AFA Rates'!$A$5:$A$1004,$A872,'AFA Rates'!$B$5:$B$1004,I$24)&gt;0,"✓",""))</f>
        <v/>
      </c>
      <c r="J872" s="57">
        <f>IF(OR($A872="",J$24=""),"",IF(COUNTIFS('AFA Rates'!$A$5:$A$1004,$A872,'AFA Rates'!$B$5:$B$1004,J$24)&gt;0,"✓",""))</f>
        <v/>
      </c>
      <c r="K872" s="57">
        <f>IF(OR($A872="",K$24=""),"",IF(COUNTIFS('AFA Rates'!$A$5:$A$1004,$A872,'AFA Rates'!$B$5:$B$1004,K$24)&gt;0,"✓",""))</f>
        <v/>
      </c>
      <c r="L872" s="57">
        <f>IF(OR($A872="",L$24=""),"",IF(COUNTIFS('AFA Rates'!$A$5:$A$1004,$A872,'AFA Rates'!$B$5:$B$1004,L$24)&gt;0,"✓",""))</f>
        <v/>
      </c>
      <c r="M872" s="57">
        <f>IF(OR($A872="",M$24=""),"",IF(COUNTIFS('AFA Rates'!$A$5:$A$1004,$A872,'AFA Rates'!$B$5:$B$1004,M$24)&gt;0,"✓",""))</f>
        <v/>
      </c>
    </row>
    <row r="873">
      <c r="A873" s="63">
        <f>IFERROR(INDEX(Firms!$A$5:$A$1004,MATCH(849,Firms!$S$5:$S$1004,0)),"")</f>
        <v/>
      </c>
      <c r="B873" s="57">
        <f>IF($A873="","",INDEX(Firms!$B$5:$B$1004,MATCH(849,Firms!$S$5:$S$1004,0)))</f>
        <v/>
      </c>
      <c r="C873" s="57">
        <f>IF($A873="","",COUNTIF('AFA Rates'!$A$5:$A$1004,$A873))</f>
        <v/>
      </c>
      <c r="D873" s="57">
        <f>IF(OR($A873="",D$24=""),"",IF(COUNTIFS('AFA Rates'!$A$5:$A$1004,$A873,'AFA Rates'!$B$5:$B$1004,D$24)&gt;0,"✓",""))</f>
        <v/>
      </c>
      <c r="E873" s="57">
        <f>IF(OR($A873="",E$24=""),"",IF(COUNTIFS('AFA Rates'!$A$5:$A$1004,$A873,'AFA Rates'!$B$5:$B$1004,E$24)&gt;0,"✓",""))</f>
        <v/>
      </c>
      <c r="F873" s="57">
        <f>IF(OR($A873="",F$24=""),"",IF(COUNTIFS('AFA Rates'!$A$5:$A$1004,$A873,'AFA Rates'!$B$5:$B$1004,F$24)&gt;0,"✓",""))</f>
        <v/>
      </c>
      <c r="G873" s="57">
        <f>IF(OR($A873="",G$24=""),"",IF(COUNTIFS('AFA Rates'!$A$5:$A$1004,$A873,'AFA Rates'!$B$5:$B$1004,G$24)&gt;0,"✓",""))</f>
        <v/>
      </c>
      <c r="H873" s="57">
        <f>IF(OR($A873="",H$24=""),"",IF(COUNTIFS('AFA Rates'!$A$5:$A$1004,$A873,'AFA Rates'!$B$5:$B$1004,H$24)&gt;0,"✓",""))</f>
        <v/>
      </c>
      <c r="I873" s="57">
        <f>IF(OR($A873="",I$24=""),"",IF(COUNTIFS('AFA Rates'!$A$5:$A$1004,$A873,'AFA Rates'!$B$5:$B$1004,I$24)&gt;0,"✓",""))</f>
        <v/>
      </c>
      <c r="J873" s="57">
        <f>IF(OR($A873="",J$24=""),"",IF(COUNTIFS('AFA Rates'!$A$5:$A$1004,$A873,'AFA Rates'!$B$5:$B$1004,J$24)&gt;0,"✓",""))</f>
        <v/>
      </c>
      <c r="K873" s="57">
        <f>IF(OR($A873="",K$24=""),"",IF(COUNTIFS('AFA Rates'!$A$5:$A$1004,$A873,'AFA Rates'!$B$5:$B$1004,K$24)&gt;0,"✓",""))</f>
        <v/>
      </c>
      <c r="L873" s="57">
        <f>IF(OR($A873="",L$24=""),"",IF(COUNTIFS('AFA Rates'!$A$5:$A$1004,$A873,'AFA Rates'!$B$5:$B$1004,L$24)&gt;0,"✓",""))</f>
        <v/>
      </c>
      <c r="M873" s="57">
        <f>IF(OR($A873="",M$24=""),"",IF(COUNTIFS('AFA Rates'!$A$5:$A$1004,$A873,'AFA Rates'!$B$5:$B$1004,M$24)&gt;0,"✓",""))</f>
        <v/>
      </c>
    </row>
    <row r="874">
      <c r="A874" s="63">
        <f>IFERROR(INDEX(Firms!$A$5:$A$1004,MATCH(850,Firms!$S$5:$S$1004,0)),"")</f>
        <v/>
      </c>
      <c r="B874" s="57">
        <f>IF($A874="","",INDEX(Firms!$B$5:$B$1004,MATCH(850,Firms!$S$5:$S$1004,0)))</f>
        <v/>
      </c>
      <c r="C874" s="57">
        <f>IF($A874="","",COUNTIF('AFA Rates'!$A$5:$A$1004,$A874))</f>
        <v/>
      </c>
      <c r="D874" s="57">
        <f>IF(OR($A874="",D$24=""),"",IF(COUNTIFS('AFA Rates'!$A$5:$A$1004,$A874,'AFA Rates'!$B$5:$B$1004,D$24)&gt;0,"✓",""))</f>
        <v/>
      </c>
      <c r="E874" s="57">
        <f>IF(OR($A874="",E$24=""),"",IF(COUNTIFS('AFA Rates'!$A$5:$A$1004,$A874,'AFA Rates'!$B$5:$B$1004,E$24)&gt;0,"✓",""))</f>
        <v/>
      </c>
      <c r="F874" s="57">
        <f>IF(OR($A874="",F$24=""),"",IF(COUNTIFS('AFA Rates'!$A$5:$A$1004,$A874,'AFA Rates'!$B$5:$B$1004,F$24)&gt;0,"✓",""))</f>
        <v/>
      </c>
      <c r="G874" s="57">
        <f>IF(OR($A874="",G$24=""),"",IF(COUNTIFS('AFA Rates'!$A$5:$A$1004,$A874,'AFA Rates'!$B$5:$B$1004,G$24)&gt;0,"✓",""))</f>
        <v/>
      </c>
      <c r="H874" s="57">
        <f>IF(OR($A874="",H$24=""),"",IF(COUNTIFS('AFA Rates'!$A$5:$A$1004,$A874,'AFA Rates'!$B$5:$B$1004,H$24)&gt;0,"✓",""))</f>
        <v/>
      </c>
      <c r="I874" s="57">
        <f>IF(OR($A874="",I$24=""),"",IF(COUNTIFS('AFA Rates'!$A$5:$A$1004,$A874,'AFA Rates'!$B$5:$B$1004,I$24)&gt;0,"✓",""))</f>
        <v/>
      </c>
      <c r="J874" s="57">
        <f>IF(OR($A874="",J$24=""),"",IF(COUNTIFS('AFA Rates'!$A$5:$A$1004,$A874,'AFA Rates'!$B$5:$B$1004,J$24)&gt;0,"✓",""))</f>
        <v/>
      </c>
      <c r="K874" s="57">
        <f>IF(OR($A874="",K$24=""),"",IF(COUNTIFS('AFA Rates'!$A$5:$A$1004,$A874,'AFA Rates'!$B$5:$B$1004,K$24)&gt;0,"✓",""))</f>
        <v/>
      </c>
      <c r="L874" s="57">
        <f>IF(OR($A874="",L$24=""),"",IF(COUNTIFS('AFA Rates'!$A$5:$A$1004,$A874,'AFA Rates'!$B$5:$B$1004,L$24)&gt;0,"✓",""))</f>
        <v/>
      </c>
      <c r="M874" s="57">
        <f>IF(OR($A874="",M$24=""),"",IF(COUNTIFS('AFA Rates'!$A$5:$A$1004,$A874,'AFA Rates'!$B$5:$B$1004,M$24)&gt;0,"✓",""))</f>
        <v/>
      </c>
    </row>
    <row r="875">
      <c r="A875" s="63">
        <f>IFERROR(INDEX(Firms!$A$5:$A$1004,MATCH(851,Firms!$S$5:$S$1004,0)),"")</f>
        <v/>
      </c>
      <c r="B875" s="57">
        <f>IF($A875="","",INDEX(Firms!$B$5:$B$1004,MATCH(851,Firms!$S$5:$S$1004,0)))</f>
        <v/>
      </c>
      <c r="C875" s="57">
        <f>IF($A875="","",COUNTIF('AFA Rates'!$A$5:$A$1004,$A875))</f>
        <v/>
      </c>
      <c r="D875" s="57">
        <f>IF(OR($A875="",D$24=""),"",IF(COUNTIFS('AFA Rates'!$A$5:$A$1004,$A875,'AFA Rates'!$B$5:$B$1004,D$24)&gt;0,"✓",""))</f>
        <v/>
      </c>
      <c r="E875" s="57">
        <f>IF(OR($A875="",E$24=""),"",IF(COUNTIFS('AFA Rates'!$A$5:$A$1004,$A875,'AFA Rates'!$B$5:$B$1004,E$24)&gt;0,"✓",""))</f>
        <v/>
      </c>
      <c r="F875" s="57">
        <f>IF(OR($A875="",F$24=""),"",IF(COUNTIFS('AFA Rates'!$A$5:$A$1004,$A875,'AFA Rates'!$B$5:$B$1004,F$24)&gt;0,"✓",""))</f>
        <v/>
      </c>
      <c r="G875" s="57">
        <f>IF(OR($A875="",G$24=""),"",IF(COUNTIFS('AFA Rates'!$A$5:$A$1004,$A875,'AFA Rates'!$B$5:$B$1004,G$24)&gt;0,"✓",""))</f>
        <v/>
      </c>
      <c r="H875" s="57">
        <f>IF(OR($A875="",H$24=""),"",IF(COUNTIFS('AFA Rates'!$A$5:$A$1004,$A875,'AFA Rates'!$B$5:$B$1004,H$24)&gt;0,"✓",""))</f>
        <v/>
      </c>
      <c r="I875" s="57">
        <f>IF(OR($A875="",I$24=""),"",IF(COUNTIFS('AFA Rates'!$A$5:$A$1004,$A875,'AFA Rates'!$B$5:$B$1004,I$24)&gt;0,"✓",""))</f>
        <v/>
      </c>
      <c r="J875" s="57">
        <f>IF(OR($A875="",J$24=""),"",IF(COUNTIFS('AFA Rates'!$A$5:$A$1004,$A875,'AFA Rates'!$B$5:$B$1004,J$24)&gt;0,"✓",""))</f>
        <v/>
      </c>
      <c r="K875" s="57">
        <f>IF(OR($A875="",K$24=""),"",IF(COUNTIFS('AFA Rates'!$A$5:$A$1004,$A875,'AFA Rates'!$B$5:$B$1004,K$24)&gt;0,"✓",""))</f>
        <v/>
      </c>
      <c r="L875" s="57">
        <f>IF(OR($A875="",L$24=""),"",IF(COUNTIFS('AFA Rates'!$A$5:$A$1004,$A875,'AFA Rates'!$B$5:$B$1004,L$24)&gt;0,"✓",""))</f>
        <v/>
      </c>
      <c r="M875" s="57">
        <f>IF(OR($A875="",M$24=""),"",IF(COUNTIFS('AFA Rates'!$A$5:$A$1004,$A875,'AFA Rates'!$B$5:$B$1004,M$24)&gt;0,"✓",""))</f>
        <v/>
      </c>
    </row>
    <row r="876">
      <c r="A876" s="63">
        <f>IFERROR(INDEX(Firms!$A$5:$A$1004,MATCH(852,Firms!$S$5:$S$1004,0)),"")</f>
        <v/>
      </c>
      <c r="B876" s="57">
        <f>IF($A876="","",INDEX(Firms!$B$5:$B$1004,MATCH(852,Firms!$S$5:$S$1004,0)))</f>
        <v/>
      </c>
      <c r="C876" s="57">
        <f>IF($A876="","",COUNTIF('AFA Rates'!$A$5:$A$1004,$A876))</f>
        <v/>
      </c>
      <c r="D876" s="57">
        <f>IF(OR($A876="",D$24=""),"",IF(COUNTIFS('AFA Rates'!$A$5:$A$1004,$A876,'AFA Rates'!$B$5:$B$1004,D$24)&gt;0,"✓",""))</f>
        <v/>
      </c>
      <c r="E876" s="57">
        <f>IF(OR($A876="",E$24=""),"",IF(COUNTIFS('AFA Rates'!$A$5:$A$1004,$A876,'AFA Rates'!$B$5:$B$1004,E$24)&gt;0,"✓",""))</f>
        <v/>
      </c>
      <c r="F876" s="57">
        <f>IF(OR($A876="",F$24=""),"",IF(COUNTIFS('AFA Rates'!$A$5:$A$1004,$A876,'AFA Rates'!$B$5:$B$1004,F$24)&gt;0,"✓",""))</f>
        <v/>
      </c>
      <c r="G876" s="57">
        <f>IF(OR($A876="",G$24=""),"",IF(COUNTIFS('AFA Rates'!$A$5:$A$1004,$A876,'AFA Rates'!$B$5:$B$1004,G$24)&gt;0,"✓",""))</f>
        <v/>
      </c>
      <c r="H876" s="57">
        <f>IF(OR($A876="",H$24=""),"",IF(COUNTIFS('AFA Rates'!$A$5:$A$1004,$A876,'AFA Rates'!$B$5:$B$1004,H$24)&gt;0,"✓",""))</f>
        <v/>
      </c>
      <c r="I876" s="57">
        <f>IF(OR($A876="",I$24=""),"",IF(COUNTIFS('AFA Rates'!$A$5:$A$1004,$A876,'AFA Rates'!$B$5:$B$1004,I$24)&gt;0,"✓",""))</f>
        <v/>
      </c>
      <c r="J876" s="57">
        <f>IF(OR($A876="",J$24=""),"",IF(COUNTIFS('AFA Rates'!$A$5:$A$1004,$A876,'AFA Rates'!$B$5:$B$1004,J$24)&gt;0,"✓",""))</f>
        <v/>
      </c>
      <c r="K876" s="57">
        <f>IF(OR($A876="",K$24=""),"",IF(COUNTIFS('AFA Rates'!$A$5:$A$1004,$A876,'AFA Rates'!$B$5:$B$1004,K$24)&gt;0,"✓",""))</f>
        <v/>
      </c>
      <c r="L876" s="57">
        <f>IF(OR($A876="",L$24=""),"",IF(COUNTIFS('AFA Rates'!$A$5:$A$1004,$A876,'AFA Rates'!$B$5:$B$1004,L$24)&gt;0,"✓",""))</f>
        <v/>
      </c>
      <c r="M876" s="57">
        <f>IF(OR($A876="",M$24=""),"",IF(COUNTIFS('AFA Rates'!$A$5:$A$1004,$A876,'AFA Rates'!$B$5:$B$1004,M$24)&gt;0,"✓",""))</f>
        <v/>
      </c>
    </row>
    <row r="877">
      <c r="A877" s="63">
        <f>IFERROR(INDEX(Firms!$A$5:$A$1004,MATCH(853,Firms!$S$5:$S$1004,0)),"")</f>
        <v/>
      </c>
      <c r="B877" s="57">
        <f>IF($A877="","",INDEX(Firms!$B$5:$B$1004,MATCH(853,Firms!$S$5:$S$1004,0)))</f>
        <v/>
      </c>
      <c r="C877" s="57">
        <f>IF($A877="","",COUNTIF('AFA Rates'!$A$5:$A$1004,$A877))</f>
        <v/>
      </c>
      <c r="D877" s="57">
        <f>IF(OR($A877="",D$24=""),"",IF(COUNTIFS('AFA Rates'!$A$5:$A$1004,$A877,'AFA Rates'!$B$5:$B$1004,D$24)&gt;0,"✓",""))</f>
        <v/>
      </c>
      <c r="E877" s="57">
        <f>IF(OR($A877="",E$24=""),"",IF(COUNTIFS('AFA Rates'!$A$5:$A$1004,$A877,'AFA Rates'!$B$5:$B$1004,E$24)&gt;0,"✓",""))</f>
        <v/>
      </c>
      <c r="F877" s="57">
        <f>IF(OR($A877="",F$24=""),"",IF(COUNTIFS('AFA Rates'!$A$5:$A$1004,$A877,'AFA Rates'!$B$5:$B$1004,F$24)&gt;0,"✓",""))</f>
        <v/>
      </c>
      <c r="G877" s="57">
        <f>IF(OR($A877="",G$24=""),"",IF(COUNTIFS('AFA Rates'!$A$5:$A$1004,$A877,'AFA Rates'!$B$5:$B$1004,G$24)&gt;0,"✓",""))</f>
        <v/>
      </c>
      <c r="H877" s="57">
        <f>IF(OR($A877="",H$24=""),"",IF(COUNTIFS('AFA Rates'!$A$5:$A$1004,$A877,'AFA Rates'!$B$5:$B$1004,H$24)&gt;0,"✓",""))</f>
        <v/>
      </c>
      <c r="I877" s="57">
        <f>IF(OR($A877="",I$24=""),"",IF(COUNTIFS('AFA Rates'!$A$5:$A$1004,$A877,'AFA Rates'!$B$5:$B$1004,I$24)&gt;0,"✓",""))</f>
        <v/>
      </c>
      <c r="J877" s="57">
        <f>IF(OR($A877="",J$24=""),"",IF(COUNTIFS('AFA Rates'!$A$5:$A$1004,$A877,'AFA Rates'!$B$5:$B$1004,J$24)&gt;0,"✓",""))</f>
        <v/>
      </c>
      <c r="K877" s="57">
        <f>IF(OR($A877="",K$24=""),"",IF(COUNTIFS('AFA Rates'!$A$5:$A$1004,$A877,'AFA Rates'!$B$5:$B$1004,K$24)&gt;0,"✓",""))</f>
        <v/>
      </c>
      <c r="L877" s="57">
        <f>IF(OR($A877="",L$24=""),"",IF(COUNTIFS('AFA Rates'!$A$5:$A$1004,$A877,'AFA Rates'!$B$5:$B$1004,L$24)&gt;0,"✓",""))</f>
        <v/>
      </c>
      <c r="M877" s="57">
        <f>IF(OR($A877="",M$24=""),"",IF(COUNTIFS('AFA Rates'!$A$5:$A$1004,$A877,'AFA Rates'!$B$5:$B$1004,M$24)&gt;0,"✓",""))</f>
        <v/>
      </c>
    </row>
    <row r="878">
      <c r="A878" s="63">
        <f>IFERROR(INDEX(Firms!$A$5:$A$1004,MATCH(854,Firms!$S$5:$S$1004,0)),"")</f>
        <v/>
      </c>
      <c r="B878" s="57">
        <f>IF($A878="","",INDEX(Firms!$B$5:$B$1004,MATCH(854,Firms!$S$5:$S$1004,0)))</f>
        <v/>
      </c>
      <c r="C878" s="57">
        <f>IF($A878="","",COUNTIF('AFA Rates'!$A$5:$A$1004,$A878))</f>
        <v/>
      </c>
      <c r="D878" s="57">
        <f>IF(OR($A878="",D$24=""),"",IF(COUNTIFS('AFA Rates'!$A$5:$A$1004,$A878,'AFA Rates'!$B$5:$B$1004,D$24)&gt;0,"✓",""))</f>
        <v/>
      </c>
      <c r="E878" s="57">
        <f>IF(OR($A878="",E$24=""),"",IF(COUNTIFS('AFA Rates'!$A$5:$A$1004,$A878,'AFA Rates'!$B$5:$B$1004,E$24)&gt;0,"✓",""))</f>
        <v/>
      </c>
      <c r="F878" s="57">
        <f>IF(OR($A878="",F$24=""),"",IF(COUNTIFS('AFA Rates'!$A$5:$A$1004,$A878,'AFA Rates'!$B$5:$B$1004,F$24)&gt;0,"✓",""))</f>
        <v/>
      </c>
      <c r="G878" s="57">
        <f>IF(OR($A878="",G$24=""),"",IF(COUNTIFS('AFA Rates'!$A$5:$A$1004,$A878,'AFA Rates'!$B$5:$B$1004,G$24)&gt;0,"✓",""))</f>
        <v/>
      </c>
      <c r="H878" s="57">
        <f>IF(OR($A878="",H$24=""),"",IF(COUNTIFS('AFA Rates'!$A$5:$A$1004,$A878,'AFA Rates'!$B$5:$B$1004,H$24)&gt;0,"✓",""))</f>
        <v/>
      </c>
      <c r="I878" s="57">
        <f>IF(OR($A878="",I$24=""),"",IF(COUNTIFS('AFA Rates'!$A$5:$A$1004,$A878,'AFA Rates'!$B$5:$B$1004,I$24)&gt;0,"✓",""))</f>
        <v/>
      </c>
      <c r="J878" s="57">
        <f>IF(OR($A878="",J$24=""),"",IF(COUNTIFS('AFA Rates'!$A$5:$A$1004,$A878,'AFA Rates'!$B$5:$B$1004,J$24)&gt;0,"✓",""))</f>
        <v/>
      </c>
      <c r="K878" s="57">
        <f>IF(OR($A878="",K$24=""),"",IF(COUNTIFS('AFA Rates'!$A$5:$A$1004,$A878,'AFA Rates'!$B$5:$B$1004,K$24)&gt;0,"✓",""))</f>
        <v/>
      </c>
      <c r="L878" s="57">
        <f>IF(OR($A878="",L$24=""),"",IF(COUNTIFS('AFA Rates'!$A$5:$A$1004,$A878,'AFA Rates'!$B$5:$B$1004,L$24)&gt;0,"✓",""))</f>
        <v/>
      </c>
      <c r="M878" s="57">
        <f>IF(OR($A878="",M$24=""),"",IF(COUNTIFS('AFA Rates'!$A$5:$A$1004,$A878,'AFA Rates'!$B$5:$B$1004,M$24)&gt;0,"✓",""))</f>
        <v/>
      </c>
    </row>
    <row r="879">
      <c r="A879" s="63">
        <f>IFERROR(INDEX(Firms!$A$5:$A$1004,MATCH(855,Firms!$S$5:$S$1004,0)),"")</f>
        <v/>
      </c>
      <c r="B879" s="57">
        <f>IF($A879="","",INDEX(Firms!$B$5:$B$1004,MATCH(855,Firms!$S$5:$S$1004,0)))</f>
        <v/>
      </c>
      <c r="C879" s="57">
        <f>IF($A879="","",COUNTIF('AFA Rates'!$A$5:$A$1004,$A879))</f>
        <v/>
      </c>
      <c r="D879" s="57">
        <f>IF(OR($A879="",D$24=""),"",IF(COUNTIFS('AFA Rates'!$A$5:$A$1004,$A879,'AFA Rates'!$B$5:$B$1004,D$24)&gt;0,"✓",""))</f>
        <v/>
      </c>
      <c r="E879" s="57">
        <f>IF(OR($A879="",E$24=""),"",IF(COUNTIFS('AFA Rates'!$A$5:$A$1004,$A879,'AFA Rates'!$B$5:$B$1004,E$24)&gt;0,"✓",""))</f>
        <v/>
      </c>
      <c r="F879" s="57">
        <f>IF(OR($A879="",F$24=""),"",IF(COUNTIFS('AFA Rates'!$A$5:$A$1004,$A879,'AFA Rates'!$B$5:$B$1004,F$24)&gt;0,"✓",""))</f>
        <v/>
      </c>
      <c r="G879" s="57">
        <f>IF(OR($A879="",G$24=""),"",IF(COUNTIFS('AFA Rates'!$A$5:$A$1004,$A879,'AFA Rates'!$B$5:$B$1004,G$24)&gt;0,"✓",""))</f>
        <v/>
      </c>
      <c r="H879" s="57">
        <f>IF(OR($A879="",H$24=""),"",IF(COUNTIFS('AFA Rates'!$A$5:$A$1004,$A879,'AFA Rates'!$B$5:$B$1004,H$24)&gt;0,"✓",""))</f>
        <v/>
      </c>
      <c r="I879" s="57">
        <f>IF(OR($A879="",I$24=""),"",IF(COUNTIFS('AFA Rates'!$A$5:$A$1004,$A879,'AFA Rates'!$B$5:$B$1004,I$24)&gt;0,"✓",""))</f>
        <v/>
      </c>
      <c r="J879" s="57">
        <f>IF(OR($A879="",J$24=""),"",IF(COUNTIFS('AFA Rates'!$A$5:$A$1004,$A879,'AFA Rates'!$B$5:$B$1004,J$24)&gt;0,"✓",""))</f>
        <v/>
      </c>
      <c r="K879" s="57">
        <f>IF(OR($A879="",K$24=""),"",IF(COUNTIFS('AFA Rates'!$A$5:$A$1004,$A879,'AFA Rates'!$B$5:$B$1004,K$24)&gt;0,"✓",""))</f>
        <v/>
      </c>
      <c r="L879" s="57">
        <f>IF(OR($A879="",L$24=""),"",IF(COUNTIFS('AFA Rates'!$A$5:$A$1004,$A879,'AFA Rates'!$B$5:$B$1004,L$24)&gt;0,"✓",""))</f>
        <v/>
      </c>
      <c r="M879" s="57">
        <f>IF(OR($A879="",M$24=""),"",IF(COUNTIFS('AFA Rates'!$A$5:$A$1004,$A879,'AFA Rates'!$B$5:$B$1004,M$24)&gt;0,"✓",""))</f>
        <v/>
      </c>
    </row>
    <row r="880">
      <c r="A880" s="63">
        <f>IFERROR(INDEX(Firms!$A$5:$A$1004,MATCH(856,Firms!$S$5:$S$1004,0)),"")</f>
        <v/>
      </c>
      <c r="B880" s="57">
        <f>IF($A880="","",INDEX(Firms!$B$5:$B$1004,MATCH(856,Firms!$S$5:$S$1004,0)))</f>
        <v/>
      </c>
      <c r="C880" s="57">
        <f>IF($A880="","",COUNTIF('AFA Rates'!$A$5:$A$1004,$A880))</f>
        <v/>
      </c>
      <c r="D880" s="57">
        <f>IF(OR($A880="",D$24=""),"",IF(COUNTIFS('AFA Rates'!$A$5:$A$1004,$A880,'AFA Rates'!$B$5:$B$1004,D$24)&gt;0,"✓",""))</f>
        <v/>
      </c>
      <c r="E880" s="57">
        <f>IF(OR($A880="",E$24=""),"",IF(COUNTIFS('AFA Rates'!$A$5:$A$1004,$A880,'AFA Rates'!$B$5:$B$1004,E$24)&gt;0,"✓",""))</f>
        <v/>
      </c>
      <c r="F880" s="57">
        <f>IF(OR($A880="",F$24=""),"",IF(COUNTIFS('AFA Rates'!$A$5:$A$1004,$A880,'AFA Rates'!$B$5:$B$1004,F$24)&gt;0,"✓",""))</f>
        <v/>
      </c>
      <c r="G880" s="57">
        <f>IF(OR($A880="",G$24=""),"",IF(COUNTIFS('AFA Rates'!$A$5:$A$1004,$A880,'AFA Rates'!$B$5:$B$1004,G$24)&gt;0,"✓",""))</f>
        <v/>
      </c>
      <c r="H880" s="57">
        <f>IF(OR($A880="",H$24=""),"",IF(COUNTIFS('AFA Rates'!$A$5:$A$1004,$A880,'AFA Rates'!$B$5:$B$1004,H$24)&gt;0,"✓",""))</f>
        <v/>
      </c>
      <c r="I880" s="57">
        <f>IF(OR($A880="",I$24=""),"",IF(COUNTIFS('AFA Rates'!$A$5:$A$1004,$A880,'AFA Rates'!$B$5:$B$1004,I$24)&gt;0,"✓",""))</f>
        <v/>
      </c>
      <c r="J880" s="57">
        <f>IF(OR($A880="",J$24=""),"",IF(COUNTIFS('AFA Rates'!$A$5:$A$1004,$A880,'AFA Rates'!$B$5:$B$1004,J$24)&gt;0,"✓",""))</f>
        <v/>
      </c>
      <c r="K880" s="57">
        <f>IF(OR($A880="",K$24=""),"",IF(COUNTIFS('AFA Rates'!$A$5:$A$1004,$A880,'AFA Rates'!$B$5:$B$1004,K$24)&gt;0,"✓",""))</f>
        <v/>
      </c>
      <c r="L880" s="57">
        <f>IF(OR($A880="",L$24=""),"",IF(COUNTIFS('AFA Rates'!$A$5:$A$1004,$A880,'AFA Rates'!$B$5:$B$1004,L$24)&gt;0,"✓",""))</f>
        <v/>
      </c>
      <c r="M880" s="57">
        <f>IF(OR($A880="",M$24=""),"",IF(COUNTIFS('AFA Rates'!$A$5:$A$1004,$A880,'AFA Rates'!$B$5:$B$1004,M$24)&gt;0,"✓",""))</f>
        <v/>
      </c>
    </row>
    <row r="881">
      <c r="A881" s="63">
        <f>IFERROR(INDEX(Firms!$A$5:$A$1004,MATCH(857,Firms!$S$5:$S$1004,0)),"")</f>
        <v/>
      </c>
      <c r="B881" s="57">
        <f>IF($A881="","",INDEX(Firms!$B$5:$B$1004,MATCH(857,Firms!$S$5:$S$1004,0)))</f>
        <v/>
      </c>
      <c r="C881" s="57">
        <f>IF($A881="","",COUNTIF('AFA Rates'!$A$5:$A$1004,$A881))</f>
        <v/>
      </c>
      <c r="D881" s="57">
        <f>IF(OR($A881="",D$24=""),"",IF(COUNTIFS('AFA Rates'!$A$5:$A$1004,$A881,'AFA Rates'!$B$5:$B$1004,D$24)&gt;0,"✓",""))</f>
        <v/>
      </c>
      <c r="E881" s="57">
        <f>IF(OR($A881="",E$24=""),"",IF(COUNTIFS('AFA Rates'!$A$5:$A$1004,$A881,'AFA Rates'!$B$5:$B$1004,E$24)&gt;0,"✓",""))</f>
        <v/>
      </c>
      <c r="F881" s="57">
        <f>IF(OR($A881="",F$24=""),"",IF(COUNTIFS('AFA Rates'!$A$5:$A$1004,$A881,'AFA Rates'!$B$5:$B$1004,F$24)&gt;0,"✓",""))</f>
        <v/>
      </c>
      <c r="G881" s="57">
        <f>IF(OR($A881="",G$24=""),"",IF(COUNTIFS('AFA Rates'!$A$5:$A$1004,$A881,'AFA Rates'!$B$5:$B$1004,G$24)&gt;0,"✓",""))</f>
        <v/>
      </c>
      <c r="H881" s="57">
        <f>IF(OR($A881="",H$24=""),"",IF(COUNTIFS('AFA Rates'!$A$5:$A$1004,$A881,'AFA Rates'!$B$5:$B$1004,H$24)&gt;0,"✓",""))</f>
        <v/>
      </c>
      <c r="I881" s="57">
        <f>IF(OR($A881="",I$24=""),"",IF(COUNTIFS('AFA Rates'!$A$5:$A$1004,$A881,'AFA Rates'!$B$5:$B$1004,I$24)&gt;0,"✓",""))</f>
        <v/>
      </c>
      <c r="J881" s="57">
        <f>IF(OR($A881="",J$24=""),"",IF(COUNTIFS('AFA Rates'!$A$5:$A$1004,$A881,'AFA Rates'!$B$5:$B$1004,J$24)&gt;0,"✓",""))</f>
        <v/>
      </c>
      <c r="K881" s="57">
        <f>IF(OR($A881="",K$24=""),"",IF(COUNTIFS('AFA Rates'!$A$5:$A$1004,$A881,'AFA Rates'!$B$5:$B$1004,K$24)&gt;0,"✓",""))</f>
        <v/>
      </c>
      <c r="L881" s="57">
        <f>IF(OR($A881="",L$24=""),"",IF(COUNTIFS('AFA Rates'!$A$5:$A$1004,$A881,'AFA Rates'!$B$5:$B$1004,L$24)&gt;0,"✓",""))</f>
        <v/>
      </c>
      <c r="M881" s="57">
        <f>IF(OR($A881="",M$24=""),"",IF(COUNTIFS('AFA Rates'!$A$5:$A$1004,$A881,'AFA Rates'!$B$5:$B$1004,M$24)&gt;0,"✓",""))</f>
        <v/>
      </c>
    </row>
    <row r="882">
      <c r="A882" s="63">
        <f>IFERROR(INDEX(Firms!$A$5:$A$1004,MATCH(858,Firms!$S$5:$S$1004,0)),"")</f>
        <v/>
      </c>
      <c r="B882" s="57">
        <f>IF($A882="","",INDEX(Firms!$B$5:$B$1004,MATCH(858,Firms!$S$5:$S$1004,0)))</f>
        <v/>
      </c>
      <c r="C882" s="57">
        <f>IF($A882="","",COUNTIF('AFA Rates'!$A$5:$A$1004,$A882))</f>
        <v/>
      </c>
      <c r="D882" s="57">
        <f>IF(OR($A882="",D$24=""),"",IF(COUNTIFS('AFA Rates'!$A$5:$A$1004,$A882,'AFA Rates'!$B$5:$B$1004,D$24)&gt;0,"✓",""))</f>
        <v/>
      </c>
      <c r="E882" s="57">
        <f>IF(OR($A882="",E$24=""),"",IF(COUNTIFS('AFA Rates'!$A$5:$A$1004,$A882,'AFA Rates'!$B$5:$B$1004,E$24)&gt;0,"✓",""))</f>
        <v/>
      </c>
      <c r="F882" s="57">
        <f>IF(OR($A882="",F$24=""),"",IF(COUNTIFS('AFA Rates'!$A$5:$A$1004,$A882,'AFA Rates'!$B$5:$B$1004,F$24)&gt;0,"✓",""))</f>
        <v/>
      </c>
      <c r="G882" s="57">
        <f>IF(OR($A882="",G$24=""),"",IF(COUNTIFS('AFA Rates'!$A$5:$A$1004,$A882,'AFA Rates'!$B$5:$B$1004,G$24)&gt;0,"✓",""))</f>
        <v/>
      </c>
      <c r="H882" s="57">
        <f>IF(OR($A882="",H$24=""),"",IF(COUNTIFS('AFA Rates'!$A$5:$A$1004,$A882,'AFA Rates'!$B$5:$B$1004,H$24)&gt;0,"✓",""))</f>
        <v/>
      </c>
      <c r="I882" s="57">
        <f>IF(OR($A882="",I$24=""),"",IF(COUNTIFS('AFA Rates'!$A$5:$A$1004,$A882,'AFA Rates'!$B$5:$B$1004,I$24)&gt;0,"✓",""))</f>
        <v/>
      </c>
      <c r="J882" s="57">
        <f>IF(OR($A882="",J$24=""),"",IF(COUNTIFS('AFA Rates'!$A$5:$A$1004,$A882,'AFA Rates'!$B$5:$B$1004,J$24)&gt;0,"✓",""))</f>
        <v/>
      </c>
      <c r="K882" s="57">
        <f>IF(OR($A882="",K$24=""),"",IF(COUNTIFS('AFA Rates'!$A$5:$A$1004,$A882,'AFA Rates'!$B$5:$B$1004,K$24)&gt;0,"✓",""))</f>
        <v/>
      </c>
      <c r="L882" s="57">
        <f>IF(OR($A882="",L$24=""),"",IF(COUNTIFS('AFA Rates'!$A$5:$A$1004,$A882,'AFA Rates'!$B$5:$B$1004,L$24)&gt;0,"✓",""))</f>
        <v/>
      </c>
      <c r="M882" s="57">
        <f>IF(OR($A882="",M$24=""),"",IF(COUNTIFS('AFA Rates'!$A$5:$A$1004,$A882,'AFA Rates'!$B$5:$B$1004,M$24)&gt;0,"✓",""))</f>
        <v/>
      </c>
    </row>
    <row r="883">
      <c r="A883" s="63">
        <f>IFERROR(INDEX(Firms!$A$5:$A$1004,MATCH(859,Firms!$S$5:$S$1004,0)),"")</f>
        <v/>
      </c>
      <c r="B883" s="57">
        <f>IF($A883="","",INDEX(Firms!$B$5:$B$1004,MATCH(859,Firms!$S$5:$S$1004,0)))</f>
        <v/>
      </c>
      <c r="C883" s="57">
        <f>IF($A883="","",COUNTIF('AFA Rates'!$A$5:$A$1004,$A883))</f>
        <v/>
      </c>
      <c r="D883" s="57">
        <f>IF(OR($A883="",D$24=""),"",IF(COUNTIFS('AFA Rates'!$A$5:$A$1004,$A883,'AFA Rates'!$B$5:$B$1004,D$24)&gt;0,"✓",""))</f>
        <v/>
      </c>
      <c r="E883" s="57">
        <f>IF(OR($A883="",E$24=""),"",IF(COUNTIFS('AFA Rates'!$A$5:$A$1004,$A883,'AFA Rates'!$B$5:$B$1004,E$24)&gt;0,"✓",""))</f>
        <v/>
      </c>
      <c r="F883" s="57">
        <f>IF(OR($A883="",F$24=""),"",IF(COUNTIFS('AFA Rates'!$A$5:$A$1004,$A883,'AFA Rates'!$B$5:$B$1004,F$24)&gt;0,"✓",""))</f>
        <v/>
      </c>
      <c r="G883" s="57">
        <f>IF(OR($A883="",G$24=""),"",IF(COUNTIFS('AFA Rates'!$A$5:$A$1004,$A883,'AFA Rates'!$B$5:$B$1004,G$24)&gt;0,"✓",""))</f>
        <v/>
      </c>
      <c r="H883" s="57">
        <f>IF(OR($A883="",H$24=""),"",IF(COUNTIFS('AFA Rates'!$A$5:$A$1004,$A883,'AFA Rates'!$B$5:$B$1004,H$24)&gt;0,"✓",""))</f>
        <v/>
      </c>
      <c r="I883" s="57">
        <f>IF(OR($A883="",I$24=""),"",IF(COUNTIFS('AFA Rates'!$A$5:$A$1004,$A883,'AFA Rates'!$B$5:$B$1004,I$24)&gt;0,"✓",""))</f>
        <v/>
      </c>
      <c r="J883" s="57">
        <f>IF(OR($A883="",J$24=""),"",IF(COUNTIFS('AFA Rates'!$A$5:$A$1004,$A883,'AFA Rates'!$B$5:$B$1004,J$24)&gt;0,"✓",""))</f>
        <v/>
      </c>
      <c r="K883" s="57">
        <f>IF(OR($A883="",K$24=""),"",IF(COUNTIFS('AFA Rates'!$A$5:$A$1004,$A883,'AFA Rates'!$B$5:$B$1004,K$24)&gt;0,"✓",""))</f>
        <v/>
      </c>
      <c r="L883" s="57">
        <f>IF(OR($A883="",L$24=""),"",IF(COUNTIFS('AFA Rates'!$A$5:$A$1004,$A883,'AFA Rates'!$B$5:$B$1004,L$24)&gt;0,"✓",""))</f>
        <v/>
      </c>
      <c r="M883" s="57">
        <f>IF(OR($A883="",M$24=""),"",IF(COUNTIFS('AFA Rates'!$A$5:$A$1004,$A883,'AFA Rates'!$B$5:$B$1004,M$24)&gt;0,"✓",""))</f>
        <v/>
      </c>
    </row>
    <row r="884">
      <c r="A884" s="63">
        <f>IFERROR(INDEX(Firms!$A$5:$A$1004,MATCH(860,Firms!$S$5:$S$1004,0)),"")</f>
        <v/>
      </c>
      <c r="B884" s="57">
        <f>IF($A884="","",INDEX(Firms!$B$5:$B$1004,MATCH(860,Firms!$S$5:$S$1004,0)))</f>
        <v/>
      </c>
      <c r="C884" s="57">
        <f>IF($A884="","",COUNTIF('AFA Rates'!$A$5:$A$1004,$A884))</f>
        <v/>
      </c>
      <c r="D884" s="57">
        <f>IF(OR($A884="",D$24=""),"",IF(COUNTIFS('AFA Rates'!$A$5:$A$1004,$A884,'AFA Rates'!$B$5:$B$1004,D$24)&gt;0,"✓",""))</f>
        <v/>
      </c>
      <c r="E884" s="57">
        <f>IF(OR($A884="",E$24=""),"",IF(COUNTIFS('AFA Rates'!$A$5:$A$1004,$A884,'AFA Rates'!$B$5:$B$1004,E$24)&gt;0,"✓",""))</f>
        <v/>
      </c>
      <c r="F884" s="57">
        <f>IF(OR($A884="",F$24=""),"",IF(COUNTIFS('AFA Rates'!$A$5:$A$1004,$A884,'AFA Rates'!$B$5:$B$1004,F$24)&gt;0,"✓",""))</f>
        <v/>
      </c>
      <c r="G884" s="57">
        <f>IF(OR($A884="",G$24=""),"",IF(COUNTIFS('AFA Rates'!$A$5:$A$1004,$A884,'AFA Rates'!$B$5:$B$1004,G$24)&gt;0,"✓",""))</f>
        <v/>
      </c>
      <c r="H884" s="57">
        <f>IF(OR($A884="",H$24=""),"",IF(COUNTIFS('AFA Rates'!$A$5:$A$1004,$A884,'AFA Rates'!$B$5:$B$1004,H$24)&gt;0,"✓",""))</f>
        <v/>
      </c>
      <c r="I884" s="57">
        <f>IF(OR($A884="",I$24=""),"",IF(COUNTIFS('AFA Rates'!$A$5:$A$1004,$A884,'AFA Rates'!$B$5:$B$1004,I$24)&gt;0,"✓",""))</f>
        <v/>
      </c>
      <c r="J884" s="57">
        <f>IF(OR($A884="",J$24=""),"",IF(COUNTIFS('AFA Rates'!$A$5:$A$1004,$A884,'AFA Rates'!$B$5:$B$1004,J$24)&gt;0,"✓",""))</f>
        <v/>
      </c>
      <c r="K884" s="57">
        <f>IF(OR($A884="",K$24=""),"",IF(COUNTIFS('AFA Rates'!$A$5:$A$1004,$A884,'AFA Rates'!$B$5:$B$1004,K$24)&gt;0,"✓",""))</f>
        <v/>
      </c>
      <c r="L884" s="57">
        <f>IF(OR($A884="",L$24=""),"",IF(COUNTIFS('AFA Rates'!$A$5:$A$1004,$A884,'AFA Rates'!$B$5:$B$1004,L$24)&gt;0,"✓",""))</f>
        <v/>
      </c>
      <c r="M884" s="57">
        <f>IF(OR($A884="",M$24=""),"",IF(COUNTIFS('AFA Rates'!$A$5:$A$1004,$A884,'AFA Rates'!$B$5:$B$1004,M$24)&gt;0,"✓",""))</f>
        <v/>
      </c>
    </row>
    <row r="885">
      <c r="A885" s="63">
        <f>IFERROR(INDEX(Firms!$A$5:$A$1004,MATCH(861,Firms!$S$5:$S$1004,0)),"")</f>
        <v/>
      </c>
      <c r="B885" s="57">
        <f>IF($A885="","",INDEX(Firms!$B$5:$B$1004,MATCH(861,Firms!$S$5:$S$1004,0)))</f>
        <v/>
      </c>
      <c r="C885" s="57">
        <f>IF($A885="","",COUNTIF('AFA Rates'!$A$5:$A$1004,$A885))</f>
        <v/>
      </c>
      <c r="D885" s="57">
        <f>IF(OR($A885="",D$24=""),"",IF(COUNTIFS('AFA Rates'!$A$5:$A$1004,$A885,'AFA Rates'!$B$5:$B$1004,D$24)&gt;0,"✓",""))</f>
        <v/>
      </c>
      <c r="E885" s="57">
        <f>IF(OR($A885="",E$24=""),"",IF(COUNTIFS('AFA Rates'!$A$5:$A$1004,$A885,'AFA Rates'!$B$5:$B$1004,E$24)&gt;0,"✓",""))</f>
        <v/>
      </c>
      <c r="F885" s="57">
        <f>IF(OR($A885="",F$24=""),"",IF(COUNTIFS('AFA Rates'!$A$5:$A$1004,$A885,'AFA Rates'!$B$5:$B$1004,F$24)&gt;0,"✓",""))</f>
        <v/>
      </c>
      <c r="G885" s="57">
        <f>IF(OR($A885="",G$24=""),"",IF(COUNTIFS('AFA Rates'!$A$5:$A$1004,$A885,'AFA Rates'!$B$5:$B$1004,G$24)&gt;0,"✓",""))</f>
        <v/>
      </c>
      <c r="H885" s="57">
        <f>IF(OR($A885="",H$24=""),"",IF(COUNTIFS('AFA Rates'!$A$5:$A$1004,$A885,'AFA Rates'!$B$5:$B$1004,H$24)&gt;0,"✓",""))</f>
        <v/>
      </c>
      <c r="I885" s="57">
        <f>IF(OR($A885="",I$24=""),"",IF(COUNTIFS('AFA Rates'!$A$5:$A$1004,$A885,'AFA Rates'!$B$5:$B$1004,I$24)&gt;0,"✓",""))</f>
        <v/>
      </c>
      <c r="J885" s="57">
        <f>IF(OR($A885="",J$24=""),"",IF(COUNTIFS('AFA Rates'!$A$5:$A$1004,$A885,'AFA Rates'!$B$5:$B$1004,J$24)&gt;0,"✓",""))</f>
        <v/>
      </c>
      <c r="K885" s="57">
        <f>IF(OR($A885="",K$24=""),"",IF(COUNTIFS('AFA Rates'!$A$5:$A$1004,$A885,'AFA Rates'!$B$5:$B$1004,K$24)&gt;0,"✓",""))</f>
        <v/>
      </c>
      <c r="L885" s="57">
        <f>IF(OR($A885="",L$24=""),"",IF(COUNTIFS('AFA Rates'!$A$5:$A$1004,$A885,'AFA Rates'!$B$5:$B$1004,L$24)&gt;0,"✓",""))</f>
        <v/>
      </c>
      <c r="M885" s="57">
        <f>IF(OR($A885="",M$24=""),"",IF(COUNTIFS('AFA Rates'!$A$5:$A$1004,$A885,'AFA Rates'!$B$5:$B$1004,M$24)&gt;0,"✓",""))</f>
        <v/>
      </c>
    </row>
    <row r="886">
      <c r="A886" s="63">
        <f>IFERROR(INDEX(Firms!$A$5:$A$1004,MATCH(862,Firms!$S$5:$S$1004,0)),"")</f>
        <v/>
      </c>
      <c r="B886" s="57">
        <f>IF($A886="","",INDEX(Firms!$B$5:$B$1004,MATCH(862,Firms!$S$5:$S$1004,0)))</f>
        <v/>
      </c>
      <c r="C886" s="57">
        <f>IF($A886="","",COUNTIF('AFA Rates'!$A$5:$A$1004,$A886))</f>
        <v/>
      </c>
      <c r="D886" s="57">
        <f>IF(OR($A886="",D$24=""),"",IF(COUNTIFS('AFA Rates'!$A$5:$A$1004,$A886,'AFA Rates'!$B$5:$B$1004,D$24)&gt;0,"✓",""))</f>
        <v/>
      </c>
      <c r="E886" s="57">
        <f>IF(OR($A886="",E$24=""),"",IF(COUNTIFS('AFA Rates'!$A$5:$A$1004,$A886,'AFA Rates'!$B$5:$B$1004,E$24)&gt;0,"✓",""))</f>
        <v/>
      </c>
      <c r="F886" s="57">
        <f>IF(OR($A886="",F$24=""),"",IF(COUNTIFS('AFA Rates'!$A$5:$A$1004,$A886,'AFA Rates'!$B$5:$B$1004,F$24)&gt;0,"✓",""))</f>
        <v/>
      </c>
      <c r="G886" s="57">
        <f>IF(OR($A886="",G$24=""),"",IF(COUNTIFS('AFA Rates'!$A$5:$A$1004,$A886,'AFA Rates'!$B$5:$B$1004,G$24)&gt;0,"✓",""))</f>
        <v/>
      </c>
      <c r="H886" s="57">
        <f>IF(OR($A886="",H$24=""),"",IF(COUNTIFS('AFA Rates'!$A$5:$A$1004,$A886,'AFA Rates'!$B$5:$B$1004,H$24)&gt;0,"✓",""))</f>
        <v/>
      </c>
      <c r="I886" s="57">
        <f>IF(OR($A886="",I$24=""),"",IF(COUNTIFS('AFA Rates'!$A$5:$A$1004,$A886,'AFA Rates'!$B$5:$B$1004,I$24)&gt;0,"✓",""))</f>
        <v/>
      </c>
      <c r="J886" s="57">
        <f>IF(OR($A886="",J$24=""),"",IF(COUNTIFS('AFA Rates'!$A$5:$A$1004,$A886,'AFA Rates'!$B$5:$B$1004,J$24)&gt;0,"✓",""))</f>
        <v/>
      </c>
      <c r="K886" s="57">
        <f>IF(OR($A886="",K$24=""),"",IF(COUNTIFS('AFA Rates'!$A$5:$A$1004,$A886,'AFA Rates'!$B$5:$B$1004,K$24)&gt;0,"✓",""))</f>
        <v/>
      </c>
      <c r="L886" s="57">
        <f>IF(OR($A886="",L$24=""),"",IF(COUNTIFS('AFA Rates'!$A$5:$A$1004,$A886,'AFA Rates'!$B$5:$B$1004,L$24)&gt;0,"✓",""))</f>
        <v/>
      </c>
      <c r="M886" s="57">
        <f>IF(OR($A886="",M$24=""),"",IF(COUNTIFS('AFA Rates'!$A$5:$A$1004,$A886,'AFA Rates'!$B$5:$B$1004,M$24)&gt;0,"✓",""))</f>
        <v/>
      </c>
    </row>
    <row r="887">
      <c r="A887" s="63">
        <f>IFERROR(INDEX(Firms!$A$5:$A$1004,MATCH(863,Firms!$S$5:$S$1004,0)),"")</f>
        <v/>
      </c>
      <c r="B887" s="57">
        <f>IF($A887="","",INDEX(Firms!$B$5:$B$1004,MATCH(863,Firms!$S$5:$S$1004,0)))</f>
        <v/>
      </c>
      <c r="C887" s="57">
        <f>IF($A887="","",COUNTIF('AFA Rates'!$A$5:$A$1004,$A887))</f>
        <v/>
      </c>
      <c r="D887" s="57">
        <f>IF(OR($A887="",D$24=""),"",IF(COUNTIFS('AFA Rates'!$A$5:$A$1004,$A887,'AFA Rates'!$B$5:$B$1004,D$24)&gt;0,"✓",""))</f>
        <v/>
      </c>
      <c r="E887" s="57">
        <f>IF(OR($A887="",E$24=""),"",IF(COUNTIFS('AFA Rates'!$A$5:$A$1004,$A887,'AFA Rates'!$B$5:$B$1004,E$24)&gt;0,"✓",""))</f>
        <v/>
      </c>
      <c r="F887" s="57">
        <f>IF(OR($A887="",F$24=""),"",IF(COUNTIFS('AFA Rates'!$A$5:$A$1004,$A887,'AFA Rates'!$B$5:$B$1004,F$24)&gt;0,"✓",""))</f>
        <v/>
      </c>
      <c r="G887" s="57">
        <f>IF(OR($A887="",G$24=""),"",IF(COUNTIFS('AFA Rates'!$A$5:$A$1004,$A887,'AFA Rates'!$B$5:$B$1004,G$24)&gt;0,"✓",""))</f>
        <v/>
      </c>
      <c r="H887" s="57">
        <f>IF(OR($A887="",H$24=""),"",IF(COUNTIFS('AFA Rates'!$A$5:$A$1004,$A887,'AFA Rates'!$B$5:$B$1004,H$24)&gt;0,"✓",""))</f>
        <v/>
      </c>
      <c r="I887" s="57">
        <f>IF(OR($A887="",I$24=""),"",IF(COUNTIFS('AFA Rates'!$A$5:$A$1004,$A887,'AFA Rates'!$B$5:$B$1004,I$24)&gt;0,"✓",""))</f>
        <v/>
      </c>
      <c r="J887" s="57">
        <f>IF(OR($A887="",J$24=""),"",IF(COUNTIFS('AFA Rates'!$A$5:$A$1004,$A887,'AFA Rates'!$B$5:$B$1004,J$24)&gt;0,"✓",""))</f>
        <v/>
      </c>
      <c r="K887" s="57">
        <f>IF(OR($A887="",K$24=""),"",IF(COUNTIFS('AFA Rates'!$A$5:$A$1004,$A887,'AFA Rates'!$B$5:$B$1004,K$24)&gt;0,"✓",""))</f>
        <v/>
      </c>
      <c r="L887" s="57">
        <f>IF(OR($A887="",L$24=""),"",IF(COUNTIFS('AFA Rates'!$A$5:$A$1004,$A887,'AFA Rates'!$B$5:$B$1004,L$24)&gt;0,"✓",""))</f>
        <v/>
      </c>
      <c r="M887" s="57">
        <f>IF(OR($A887="",M$24=""),"",IF(COUNTIFS('AFA Rates'!$A$5:$A$1004,$A887,'AFA Rates'!$B$5:$B$1004,M$24)&gt;0,"✓",""))</f>
        <v/>
      </c>
    </row>
    <row r="888">
      <c r="A888" s="63">
        <f>IFERROR(INDEX(Firms!$A$5:$A$1004,MATCH(864,Firms!$S$5:$S$1004,0)),"")</f>
        <v/>
      </c>
      <c r="B888" s="57">
        <f>IF($A888="","",INDEX(Firms!$B$5:$B$1004,MATCH(864,Firms!$S$5:$S$1004,0)))</f>
        <v/>
      </c>
      <c r="C888" s="57">
        <f>IF($A888="","",COUNTIF('AFA Rates'!$A$5:$A$1004,$A888))</f>
        <v/>
      </c>
      <c r="D888" s="57">
        <f>IF(OR($A888="",D$24=""),"",IF(COUNTIFS('AFA Rates'!$A$5:$A$1004,$A888,'AFA Rates'!$B$5:$B$1004,D$24)&gt;0,"✓",""))</f>
        <v/>
      </c>
      <c r="E888" s="57">
        <f>IF(OR($A888="",E$24=""),"",IF(COUNTIFS('AFA Rates'!$A$5:$A$1004,$A888,'AFA Rates'!$B$5:$B$1004,E$24)&gt;0,"✓",""))</f>
        <v/>
      </c>
      <c r="F888" s="57">
        <f>IF(OR($A888="",F$24=""),"",IF(COUNTIFS('AFA Rates'!$A$5:$A$1004,$A888,'AFA Rates'!$B$5:$B$1004,F$24)&gt;0,"✓",""))</f>
        <v/>
      </c>
      <c r="G888" s="57">
        <f>IF(OR($A888="",G$24=""),"",IF(COUNTIFS('AFA Rates'!$A$5:$A$1004,$A888,'AFA Rates'!$B$5:$B$1004,G$24)&gt;0,"✓",""))</f>
        <v/>
      </c>
      <c r="H888" s="57">
        <f>IF(OR($A888="",H$24=""),"",IF(COUNTIFS('AFA Rates'!$A$5:$A$1004,$A888,'AFA Rates'!$B$5:$B$1004,H$24)&gt;0,"✓",""))</f>
        <v/>
      </c>
      <c r="I888" s="57">
        <f>IF(OR($A888="",I$24=""),"",IF(COUNTIFS('AFA Rates'!$A$5:$A$1004,$A888,'AFA Rates'!$B$5:$B$1004,I$24)&gt;0,"✓",""))</f>
        <v/>
      </c>
      <c r="J888" s="57">
        <f>IF(OR($A888="",J$24=""),"",IF(COUNTIFS('AFA Rates'!$A$5:$A$1004,$A888,'AFA Rates'!$B$5:$B$1004,J$24)&gt;0,"✓",""))</f>
        <v/>
      </c>
      <c r="K888" s="57">
        <f>IF(OR($A888="",K$24=""),"",IF(COUNTIFS('AFA Rates'!$A$5:$A$1004,$A888,'AFA Rates'!$B$5:$B$1004,K$24)&gt;0,"✓",""))</f>
        <v/>
      </c>
      <c r="L888" s="57">
        <f>IF(OR($A888="",L$24=""),"",IF(COUNTIFS('AFA Rates'!$A$5:$A$1004,$A888,'AFA Rates'!$B$5:$B$1004,L$24)&gt;0,"✓",""))</f>
        <v/>
      </c>
      <c r="M888" s="57">
        <f>IF(OR($A888="",M$24=""),"",IF(COUNTIFS('AFA Rates'!$A$5:$A$1004,$A888,'AFA Rates'!$B$5:$B$1004,M$24)&gt;0,"✓",""))</f>
        <v/>
      </c>
    </row>
    <row r="889">
      <c r="A889" s="63">
        <f>IFERROR(INDEX(Firms!$A$5:$A$1004,MATCH(865,Firms!$S$5:$S$1004,0)),"")</f>
        <v/>
      </c>
      <c r="B889" s="57">
        <f>IF($A889="","",INDEX(Firms!$B$5:$B$1004,MATCH(865,Firms!$S$5:$S$1004,0)))</f>
        <v/>
      </c>
      <c r="C889" s="57">
        <f>IF($A889="","",COUNTIF('AFA Rates'!$A$5:$A$1004,$A889))</f>
        <v/>
      </c>
      <c r="D889" s="57">
        <f>IF(OR($A889="",D$24=""),"",IF(COUNTIFS('AFA Rates'!$A$5:$A$1004,$A889,'AFA Rates'!$B$5:$B$1004,D$24)&gt;0,"✓",""))</f>
        <v/>
      </c>
      <c r="E889" s="57">
        <f>IF(OR($A889="",E$24=""),"",IF(COUNTIFS('AFA Rates'!$A$5:$A$1004,$A889,'AFA Rates'!$B$5:$B$1004,E$24)&gt;0,"✓",""))</f>
        <v/>
      </c>
      <c r="F889" s="57">
        <f>IF(OR($A889="",F$24=""),"",IF(COUNTIFS('AFA Rates'!$A$5:$A$1004,$A889,'AFA Rates'!$B$5:$B$1004,F$24)&gt;0,"✓",""))</f>
        <v/>
      </c>
      <c r="G889" s="57">
        <f>IF(OR($A889="",G$24=""),"",IF(COUNTIFS('AFA Rates'!$A$5:$A$1004,$A889,'AFA Rates'!$B$5:$B$1004,G$24)&gt;0,"✓",""))</f>
        <v/>
      </c>
      <c r="H889" s="57">
        <f>IF(OR($A889="",H$24=""),"",IF(COUNTIFS('AFA Rates'!$A$5:$A$1004,$A889,'AFA Rates'!$B$5:$B$1004,H$24)&gt;0,"✓",""))</f>
        <v/>
      </c>
      <c r="I889" s="57">
        <f>IF(OR($A889="",I$24=""),"",IF(COUNTIFS('AFA Rates'!$A$5:$A$1004,$A889,'AFA Rates'!$B$5:$B$1004,I$24)&gt;0,"✓",""))</f>
        <v/>
      </c>
      <c r="J889" s="57">
        <f>IF(OR($A889="",J$24=""),"",IF(COUNTIFS('AFA Rates'!$A$5:$A$1004,$A889,'AFA Rates'!$B$5:$B$1004,J$24)&gt;0,"✓",""))</f>
        <v/>
      </c>
      <c r="K889" s="57">
        <f>IF(OR($A889="",K$24=""),"",IF(COUNTIFS('AFA Rates'!$A$5:$A$1004,$A889,'AFA Rates'!$B$5:$B$1004,K$24)&gt;0,"✓",""))</f>
        <v/>
      </c>
      <c r="L889" s="57">
        <f>IF(OR($A889="",L$24=""),"",IF(COUNTIFS('AFA Rates'!$A$5:$A$1004,$A889,'AFA Rates'!$B$5:$B$1004,L$24)&gt;0,"✓",""))</f>
        <v/>
      </c>
      <c r="M889" s="57">
        <f>IF(OR($A889="",M$24=""),"",IF(COUNTIFS('AFA Rates'!$A$5:$A$1004,$A889,'AFA Rates'!$B$5:$B$1004,M$24)&gt;0,"✓",""))</f>
        <v/>
      </c>
    </row>
    <row r="890">
      <c r="A890" s="63">
        <f>IFERROR(INDEX(Firms!$A$5:$A$1004,MATCH(866,Firms!$S$5:$S$1004,0)),"")</f>
        <v/>
      </c>
      <c r="B890" s="57">
        <f>IF($A890="","",INDEX(Firms!$B$5:$B$1004,MATCH(866,Firms!$S$5:$S$1004,0)))</f>
        <v/>
      </c>
      <c r="C890" s="57">
        <f>IF($A890="","",COUNTIF('AFA Rates'!$A$5:$A$1004,$A890))</f>
        <v/>
      </c>
      <c r="D890" s="57">
        <f>IF(OR($A890="",D$24=""),"",IF(COUNTIFS('AFA Rates'!$A$5:$A$1004,$A890,'AFA Rates'!$B$5:$B$1004,D$24)&gt;0,"✓",""))</f>
        <v/>
      </c>
      <c r="E890" s="57">
        <f>IF(OR($A890="",E$24=""),"",IF(COUNTIFS('AFA Rates'!$A$5:$A$1004,$A890,'AFA Rates'!$B$5:$B$1004,E$24)&gt;0,"✓",""))</f>
        <v/>
      </c>
      <c r="F890" s="57">
        <f>IF(OR($A890="",F$24=""),"",IF(COUNTIFS('AFA Rates'!$A$5:$A$1004,$A890,'AFA Rates'!$B$5:$B$1004,F$24)&gt;0,"✓",""))</f>
        <v/>
      </c>
      <c r="G890" s="57">
        <f>IF(OR($A890="",G$24=""),"",IF(COUNTIFS('AFA Rates'!$A$5:$A$1004,$A890,'AFA Rates'!$B$5:$B$1004,G$24)&gt;0,"✓",""))</f>
        <v/>
      </c>
      <c r="H890" s="57">
        <f>IF(OR($A890="",H$24=""),"",IF(COUNTIFS('AFA Rates'!$A$5:$A$1004,$A890,'AFA Rates'!$B$5:$B$1004,H$24)&gt;0,"✓",""))</f>
        <v/>
      </c>
      <c r="I890" s="57">
        <f>IF(OR($A890="",I$24=""),"",IF(COUNTIFS('AFA Rates'!$A$5:$A$1004,$A890,'AFA Rates'!$B$5:$B$1004,I$24)&gt;0,"✓",""))</f>
        <v/>
      </c>
      <c r="J890" s="57">
        <f>IF(OR($A890="",J$24=""),"",IF(COUNTIFS('AFA Rates'!$A$5:$A$1004,$A890,'AFA Rates'!$B$5:$B$1004,J$24)&gt;0,"✓",""))</f>
        <v/>
      </c>
      <c r="K890" s="57">
        <f>IF(OR($A890="",K$24=""),"",IF(COUNTIFS('AFA Rates'!$A$5:$A$1004,$A890,'AFA Rates'!$B$5:$B$1004,K$24)&gt;0,"✓",""))</f>
        <v/>
      </c>
      <c r="L890" s="57">
        <f>IF(OR($A890="",L$24=""),"",IF(COUNTIFS('AFA Rates'!$A$5:$A$1004,$A890,'AFA Rates'!$B$5:$B$1004,L$24)&gt;0,"✓",""))</f>
        <v/>
      </c>
      <c r="M890" s="57">
        <f>IF(OR($A890="",M$24=""),"",IF(COUNTIFS('AFA Rates'!$A$5:$A$1004,$A890,'AFA Rates'!$B$5:$B$1004,M$24)&gt;0,"✓",""))</f>
        <v/>
      </c>
    </row>
    <row r="891">
      <c r="A891" s="63">
        <f>IFERROR(INDEX(Firms!$A$5:$A$1004,MATCH(867,Firms!$S$5:$S$1004,0)),"")</f>
        <v/>
      </c>
      <c r="B891" s="57">
        <f>IF($A891="","",INDEX(Firms!$B$5:$B$1004,MATCH(867,Firms!$S$5:$S$1004,0)))</f>
        <v/>
      </c>
      <c r="C891" s="57">
        <f>IF($A891="","",COUNTIF('AFA Rates'!$A$5:$A$1004,$A891))</f>
        <v/>
      </c>
      <c r="D891" s="57">
        <f>IF(OR($A891="",D$24=""),"",IF(COUNTIFS('AFA Rates'!$A$5:$A$1004,$A891,'AFA Rates'!$B$5:$B$1004,D$24)&gt;0,"✓",""))</f>
        <v/>
      </c>
      <c r="E891" s="57">
        <f>IF(OR($A891="",E$24=""),"",IF(COUNTIFS('AFA Rates'!$A$5:$A$1004,$A891,'AFA Rates'!$B$5:$B$1004,E$24)&gt;0,"✓",""))</f>
        <v/>
      </c>
      <c r="F891" s="57">
        <f>IF(OR($A891="",F$24=""),"",IF(COUNTIFS('AFA Rates'!$A$5:$A$1004,$A891,'AFA Rates'!$B$5:$B$1004,F$24)&gt;0,"✓",""))</f>
        <v/>
      </c>
      <c r="G891" s="57">
        <f>IF(OR($A891="",G$24=""),"",IF(COUNTIFS('AFA Rates'!$A$5:$A$1004,$A891,'AFA Rates'!$B$5:$B$1004,G$24)&gt;0,"✓",""))</f>
        <v/>
      </c>
      <c r="H891" s="57">
        <f>IF(OR($A891="",H$24=""),"",IF(COUNTIFS('AFA Rates'!$A$5:$A$1004,$A891,'AFA Rates'!$B$5:$B$1004,H$24)&gt;0,"✓",""))</f>
        <v/>
      </c>
      <c r="I891" s="57">
        <f>IF(OR($A891="",I$24=""),"",IF(COUNTIFS('AFA Rates'!$A$5:$A$1004,$A891,'AFA Rates'!$B$5:$B$1004,I$24)&gt;0,"✓",""))</f>
        <v/>
      </c>
      <c r="J891" s="57">
        <f>IF(OR($A891="",J$24=""),"",IF(COUNTIFS('AFA Rates'!$A$5:$A$1004,$A891,'AFA Rates'!$B$5:$B$1004,J$24)&gt;0,"✓",""))</f>
        <v/>
      </c>
      <c r="K891" s="57">
        <f>IF(OR($A891="",K$24=""),"",IF(COUNTIFS('AFA Rates'!$A$5:$A$1004,$A891,'AFA Rates'!$B$5:$B$1004,K$24)&gt;0,"✓",""))</f>
        <v/>
      </c>
      <c r="L891" s="57">
        <f>IF(OR($A891="",L$24=""),"",IF(COUNTIFS('AFA Rates'!$A$5:$A$1004,$A891,'AFA Rates'!$B$5:$B$1004,L$24)&gt;0,"✓",""))</f>
        <v/>
      </c>
      <c r="M891" s="57">
        <f>IF(OR($A891="",M$24=""),"",IF(COUNTIFS('AFA Rates'!$A$5:$A$1004,$A891,'AFA Rates'!$B$5:$B$1004,M$24)&gt;0,"✓",""))</f>
        <v/>
      </c>
    </row>
    <row r="892">
      <c r="A892" s="63">
        <f>IFERROR(INDEX(Firms!$A$5:$A$1004,MATCH(868,Firms!$S$5:$S$1004,0)),"")</f>
        <v/>
      </c>
      <c r="B892" s="57">
        <f>IF($A892="","",INDEX(Firms!$B$5:$B$1004,MATCH(868,Firms!$S$5:$S$1004,0)))</f>
        <v/>
      </c>
      <c r="C892" s="57">
        <f>IF($A892="","",COUNTIF('AFA Rates'!$A$5:$A$1004,$A892))</f>
        <v/>
      </c>
      <c r="D892" s="57">
        <f>IF(OR($A892="",D$24=""),"",IF(COUNTIFS('AFA Rates'!$A$5:$A$1004,$A892,'AFA Rates'!$B$5:$B$1004,D$24)&gt;0,"✓",""))</f>
        <v/>
      </c>
      <c r="E892" s="57">
        <f>IF(OR($A892="",E$24=""),"",IF(COUNTIFS('AFA Rates'!$A$5:$A$1004,$A892,'AFA Rates'!$B$5:$B$1004,E$24)&gt;0,"✓",""))</f>
        <v/>
      </c>
      <c r="F892" s="57">
        <f>IF(OR($A892="",F$24=""),"",IF(COUNTIFS('AFA Rates'!$A$5:$A$1004,$A892,'AFA Rates'!$B$5:$B$1004,F$24)&gt;0,"✓",""))</f>
        <v/>
      </c>
      <c r="G892" s="57">
        <f>IF(OR($A892="",G$24=""),"",IF(COUNTIFS('AFA Rates'!$A$5:$A$1004,$A892,'AFA Rates'!$B$5:$B$1004,G$24)&gt;0,"✓",""))</f>
        <v/>
      </c>
      <c r="H892" s="57">
        <f>IF(OR($A892="",H$24=""),"",IF(COUNTIFS('AFA Rates'!$A$5:$A$1004,$A892,'AFA Rates'!$B$5:$B$1004,H$24)&gt;0,"✓",""))</f>
        <v/>
      </c>
      <c r="I892" s="57">
        <f>IF(OR($A892="",I$24=""),"",IF(COUNTIFS('AFA Rates'!$A$5:$A$1004,$A892,'AFA Rates'!$B$5:$B$1004,I$24)&gt;0,"✓",""))</f>
        <v/>
      </c>
      <c r="J892" s="57">
        <f>IF(OR($A892="",J$24=""),"",IF(COUNTIFS('AFA Rates'!$A$5:$A$1004,$A892,'AFA Rates'!$B$5:$B$1004,J$24)&gt;0,"✓",""))</f>
        <v/>
      </c>
      <c r="K892" s="57">
        <f>IF(OR($A892="",K$24=""),"",IF(COUNTIFS('AFA Rates'!$A$5:$A$1004,$A892,'AFA Rates'!$B$5:$B$1004,K$24)&gt;0,"✓",""))</f>
        <v/>
      </c>
      <c r="L892" s="57">
        <f>IF(OR($A892="",L$24=""),"",IF(COUNTIFS('AFA Rates'!$A$5:$A$1004,$A892,'AFA Rates'!$B$5:$B$1004,L$24)&gt;0,"✓",""))</f>
        <v/>
      </c>
      <c r="M892" s="57">
        <f>IF(OR($A892="",M$24=""),"",IF(COUNTIFS('AFA Rates'!$A$5:$A$1004,$A892,'AFA Rates'!$B$5:$B$1004,M$24)&gt;0,"✓",""))</f>
        <v/>
      </c>
    </row>
    <row r="893">
      <c r="A893" s="63">
        <f>IFERROR(INDEX(Firms!$A$5:$A$1004,MATCH(869,Firms!$S$5:$S$1004,0)),"")</f>
        <v/>
      </c>
      <c r="B893" s="57">
        <f>IF($A893="","",INDEX(Firms!$B$5:$B$1004,MATCH(869,Firms!$S$5:$S$1004,0)))</f>
        <v/>
      </c>
      <c r="C893" s="57">
        <f>IF($A893="","",COUNTIF('AFA Rates'!$A$5:$A$1004,$A893))</f>
        <v/>
      </c>
      <c r="D893" s="57">
        <f>IF(OR($A893="",D$24=""),"",IF(COUNTIFS('AFA Rates'!$A$5:$A$1004,$A893,'AFA Rates'!$B$5:$B$1004,D$24)&gt;0,"✓",""))</f>
        <v/>
      </c>
      <c r="E893" s="57">
        <f>IF(OR($A893="",E$24=""),"",IF(COUNTIFS('AFA Rates'!$A$5:$A$1004,$A893,'AFA Rates'!$B$5:$B$1004,E$24)&gt;0,"✓",""))</f>
        <v/>
      </c>
      <c r="F893" s="57">
        <f>IF(OR($A893="",F$24=""),"",IF(COUNTIFS('AFA Rates'!$A$5:$A$1004,$A893,'AFA Rates'!$B$5:$B$1004,F$24)&gt;0,"✓",""))</f>
        <v/>
      </c>
      <c r="G893" s="57">
        <f>IF(OR($A893="",G$24=""),"",IF(COUNTIFS('AFA Rates'!$A$5:$A$1004,$A893,'AFA Rates'!$B$5:$B$1004,G$24)&gt;0,"✓",""))</f>
        <v/>
      </c>
      <c r="H893" s="57">
        <f>IF(OR($A893="",H$24=""),"",IF(COUNTIFS('AFA Rates'!$A$5:$A$1004,$A893,'AFA Rates'!$B$5:$B$1004,H$24)&gt;0,"✓",""))</f>
        <v/>
      </c>
      <c r="I893" s="57">
        <f>IF(OR($A893="",I$24=""),"",IF(COUNTIFS('AFA Rates'!$A$5:$A$1004,$A893,'AFA Rates'!$B$5:$B$1004,I$24)&gt;0,"✓",""))</f>
        <v/>
      </c>
      <c r="J893" s="57">
        <f>IF(OR($A893="",J$24=""),"",IF(COUNTIFS('AFA Rates'!$A$5:$A$1004,$A893,'AFA Rates'!$B$5:$B$1004,J$24)&gt;0,"✓",""))</f>
        <v/>
      </c>
      <c r="K893" s="57">
        <f>IF(OR($A893="",K$24=""),"",IF(COUNTIFS('AFA Rates'!$A$5:$A$1004,$A893,'AFA Rates'!$B$5:$B$1004,K$24)&gt;0,"✓",""))</f>
        <v/>
      </c>
      <c r="L893" s="57">
        <f>IF(OR($A893="",L$24=""),"",IF(COUNTIFS('AFA Rates'!$A$5:$A$1004,$A893,'AFA Rates'!$B$5:$B$1004,L$24)&gt;0,"✓",""))</f>
        <v/>
      </c>
      <c r="M893" s="57">
        <f>IF(OR($A893="",M$24=""),"",IF(COUNTIFS('AFA Rates'!$A$5:$A$1004,$A893,'AFA Rates'!$B$5:$B$1004,M$24)&gt;0,"✓",""))</f>
        <v/>
      </c>
    </row>
    <row r="894">
      <c r="A894" s="63">
        <f>IFERROR(INDEX(Firms!$A$5:$A$1004,MATCH(870,Firms!$S$5:$S$1004,0)),"")</f>
        <v/>
      </c>
      <c r="B894" s="57">
        <f>IF($A894="","",INDEX(Firms!$B$5:$B$1004,MATCH(870,Firms!$S$5:$S$1004,0)))</f>
        <v/>
      </c>
      <c r="C894" s="57">
        <f>IF($A894="","",COUNTIF('AFA Rates'!$A$5:$A$1004,$A894))</f>
        <v/>
      </c>
      <c r="D894" s="57">
        <f>IF(OR($A894="",D$24=""),"",IF(COUNTIFS('AFA Rates'!$A$5:$A$1004,$A894,'AFA Rates'!$B$5:$B$1004,D$24)&gt;0,"✓",""))</f>
        <v/>
      </c>
      <c r="E894" s="57">
        <f>IF(OR($A894="",E$24=""),"",IF(COUNTIFS('AFA Rates'!$A$5:$A$1004,$A894,'AFA Rates'!$B$5:$B$1004,E$24)&gt;0,"✓",""))</f>
        <v/>
      </c>
      <c r="F894" s="57">
        <f>IF(OR($A894="",F$24=""),"",IF(COUNTIFS('AFA Rates'!$A$5:$A$1004,$A894,'AFA Rates'!$B$5:$B$1004,F$24)&gt;0,"✓",""))</f>
        <v/>
      </c>
      <c r="G894" s="57">
        <f>IF(OR($A894="",G$24=""),"",IF(COUNTIFS('AFA Rates'!$A$5:$A$1004,$A894,'AFA Rates'!$B$5:$B$1004,G$24)&gt;0,"✓",""))</f>
        <v/>
      </c>
      <c r="H894" s="57">
        <f>IF(OR($A894="",H$24=""),"",IF(COUNTIFS('AFA Rates'!$A$5:$A$1004,$A894,'AFA Rates'!$B$5:$B$1004,H$24)&gt;0,"✓",""))</f>
        <v/>
      </c>
      <c r="I894" s="57">
        <f>IF(OR($A894="",I$24=""),"",IF(COUNTIFS('AFA Rates'!$A$5:$A$1004,$A894,'AFA Rates'!$B$5:$B$1004,I$24)&gt;0,"✓",""))</f>
        <v/>
      </c>
      <c r="J894" s="57">
        <f>IF(OR($A894="",J$24=""),"",IF(COUNTIFS('AFA Rates'!$A$5:$A$1004,$A894,'AFA Rates'!$B$5:$B$1004,J$24)&gt;0,"✓",""))</f>
        <v/>
      </c>
      <c r="K894" s="57">
        <f>IF(OR($A894="",K$24=""),"",IF(COUNTIFS('AFA Rates'!$A$5:$A$1004,$A894,'AFA Rates'!$B$5:$B$1004,K$24)&gt;0,"✓",""))</f>
        <v/>
      </c>
      <c r="L894" s="57">
        <f>IF(OR($A894="",L$24=""),"",IF(COUNTIFS('AFA Rates'!$A$5:$A$1004,$A894,'AFA Rates'!$B$5:$B$1004,L$24)&gt;0,"✓",""))</f>
        <v/>
      </c>
      <c r="M894" s="57">
        <f>IF(OR($A894="",M$24=""),"",IF(COUNTIFS('AFA Rates'!$A$5:$A$1004,$A894,'AFA Rates'!$B$5:$B$1004,M$24)&gt;0,"✓",""))</f>
        <v/>
      </c>
    </row>
    <row r="895">
      <c r="A895" s="63">
        <f>IFERROR(INDEX(Firms!$A$5:$A$1004,MATCH(871,Firms!$S$5:$S$1004,0)),"")</f>
        <v/>
      </c>
      <c r="B895" s="57">
        <f>IF($A895="","",INDEX(Firms!$B$5:$B$1004,MATCH(871,Firms!$S$5:$S$1004,0)))</f>
        <v/>
      </c>
      <c r="C895" s="57">
        <f>IF($A895="","",COUNTIF('AFA Rates'!$A$5:$A$1004,$A895))</f>
        <v/>
      </c>
      <c r="D895" s="57">
        <f>IF(OR($A895="",D$24=""),"",IF(COUNTIFS('AFA Rates'!$A$5:$A$1004,$A895,'AFA Rates'!$B$5:$B$1004,D$24)&gt;0,"✓",""))</f>
        <v/>
      </c>
      <c r="E895" s="57">
        <f>IF(OR($A895="",E$24=""),"",IF(COUNTIFS('AFA Rates'!$A$5:$A$1004,$A895,'AFA Rates'!$B$5:$B$1004,E$24)&gt;0,"✓",""))</f>
        <v/>
      </c>
      <c r="F895" s="57">
        <f>IF(OR($A895="",F$24=""),"",IF(COUNTIFS('AFA Rates'!$A$5:$A$1004,$A895,'AFA Rates'!$B$5:$B$1004,F$24)&gt;0,"✓",""))</f>
        <v/>
      </c>
      <c r="G895" s="57">
        <f>IF(OR($A895="",G$24=""),"",IF(COUNTIFS('AFA Rates'!$A$5:$A$1004,$A895,'AFA Rates'!$B$5:$B$1004,G$24)&gt;0,"✓",""))</f>
        <v/>
      </c>
      <c r="H895" s="57">
        <f>IF(OR($A895="",H$24=""),"",IF(COUNTIFS('AFA Rates'!$A$5:$A$1004,$A895,'AFA Rates'!$B$5:$B$1004,H$24)&gt;0,"✓",""))</f>
        <v/>
      </c>
      <c r="I895" s="57">
        <f>IF(OR($A895="",I$24=""),"",IF(COUNTIFS('AFA Rates'!$A$5:$A$1004,$A895,'AFA Rates'!$B$5:$B$1004,I$24)&gt;0,"✓",""))</f>
        <v/>
      </c>
      <c r="J895" s="57">
        <f>IF(OR($A895="",J$24=""),"",IF(COUNTIFS('AFA Rates'!$A$5:$A$1004,$A895,'AFA Rates'!$B$5:$B$1004,J$24)&gt;0,"✓",""))</f>
        <v/>
      </c>
      <c r="K895" s="57">
        <f>IF(OR($A895="",K$24=""),"",IF(COUNTIFS('AFA Rates'!$A$5:$A$1004,$A895,'AFA Rates'!$B$5:$B$1004,K$24)&gt;0,"✓",""))</f>
        <v/>
      </c>
      <c r="L895" s="57">
        <f>IF(OR($A895="",L$24=""),"",IF(COUNTIFS('AFA Rates'!$A$5:$A$1004,$A895,'AFA Rates'!$B$5:$B$1004,L$24)&gt;0,"✓",""))</f>
        <v/>
      </c>
      <c r="M895" s="57">
        <f>IF(OR($A895="",M$24=""),"",IF(COUNTIFS('AFA Rates'!$A$5:$A$1004,$A895,'AFA Rates'!$B$5:$B$1004,M$24)&gt;0,"✓",""))</f>
        <v/>
      </c>
    </row>
    <row r="896">
      <c r="A896" s="63">
        <f>IFERROR(INDEX(Firms!$A$5:$A$1004,MATCH(872,Firms!$S$5:$S$1004,0)),"")</f>
        <v/>
      </c>
      <c r="B896" s="57">
        <f>IF($A896="","",INDEX(Firms!$B$5:$B$1004,MATCH(872,Firms!$S$5:$S$1004,0)))</f>
        <v/>
      </c>
      <c r="C896" s="57">
        <f>IF($A896="","",COUNTIF('AFA Rates'!$A$5:$A$1004,$A896))</f>
        <v/>
      </c>
      <c r="D896" s="57">
        <f>IF(OR($A896="",D$24=""),"",IF(COUNTIFS('AFA Rates'!$A$5:$A$1004,$A896,'AFA Rates'!$B$5:$B$1004,D$24)&gt;0,"✓",""))</f>
        <v/>
      </c>
      <c r="E896" s="57">
        <f>IF(OR($A896="",E$24=""),"",IF(COUNTIFS('AFA Rates'!$A$5:$A$1004,$A896,'AFA Rates'!$B$5:$B$1004,E$24)&gt;0,"✓",""))</f>
        <v/>
      </c>
      <c r="F896" s="57">
        <f>IF(OR($A896="",F$24=""),"",IF(COUNTIFS('AFA Rates'!$A$5:$A$1004,$A896,'AFA Rates'!$B$5:$B$1004,F$24)&gt;0,"✓",""))</f>
        <v/>
      </c>
      <c r="G896" s="57">
        <f>IF(OR($A896="",G$24=""),"",IF(COUNTIFS('AFA Rates'!$A$5:$A$1004,$A896,'AFA Rates'!$B$5:$B$1004,G$24)&gt;0,"✓",""))</f>
        <v/>
      </c>
      <c r="H896" s="57">
        <f>IF(OR($A896="",H$24=""),"",IF(COUNTIFS('AFA Rates'!$A$5:$A$1004,$A896,'AFA Rates'!$B$5:$B$1004,H$24)&gt;0,"✓",""))</f>
        <v/>
      </c>
      <c r="I896" s="57">
        <f>IF(OR($A896="",I$24=""),"",IF(COUNTIFS('AFA Rates'!$A$5:$A$1004,$A896,'AFA Rates'!$B$5:$B$1004,I$24)&gt;0,"✓",""))</f>
        <v/>
      </c>
      <c r="J896" s="57">
        <f>IF(OR($A896="",J$24=""),"",IF(COUNTIFS('AFA Rates'!$A$5:$A$1004,$A896,'AFA Rates'!$B$5:$B$1004,J$24)&gt;0,"✓",""))</f>
        <v/>
      </c>
      <c r="K896" s="57">
        <f>IF(OR($A896="",K$24=""),"",IF(COUNTIFS('AFA Rates'!$A$5:$A$1004,$A896,'AFA Rates'!$B$5:$B$1004,K$24)&gt;0,"✓",""))</f>
        <v/>
      </c>
      <c r="L896" s="57">
        <f>IF(OR($A896="",L$24=""),"",IF(COUNTIFS('AFA Rates'!$A$5:$A$1004,$A896,'AFA Rates'!$B$5:$B$1004,L$24)&gt;0,"✓",""))</f>
        <v/>
      </c>
      <c r="M896" s="57">
        <f>IF(OR($A896="",M$24=""),"",IF(COUNTIFS('AFA Rates'!$A$5:$A$1004,$A896,'AFA Rates'!$B$5:$B$1004,M$24)&gt;0,"✓",""))</f>
        <v/>
      </c>
    </row>
    <row r="897">
      <c r="A897" s="63">
        <f>IFERROR(INDEX(Firms!$A$5:$A$1004,MATCH(873,Firms!$S$5:$S$1004,0)),"")</f>
        <v/>
      </c>
      <c r="B897" s="57">
        <f>IF($A897="","",INDEX(Firms!$B$5:$B$1004,MATCH(873,Firms!$S$5:$S$1004,0)))</f>
        <v/>
      </c>
      <c r="C897" s="57">
        <f>IF($A897="","",COUNTIF('AFA Rates'!$A$5:$A$1004,$A897))</f>
        <v/>
      </c>
      <c r="D897" s="57">
        <f>IF(OR($A897="",D$24=""),"",IF(COUNTIFS('AFA Rates'!$A$5:$A$1004,$A897,'AFA Rates'!$B$5:$B$1004,D$24)&gt;0,"✓",""))</f>
        <v/>
      </c>
      <c r="E897" s="57">
        <f>IF(OR($A897="",E$24=""),"",IF(COUNTIFS('AFA Rates'!$A$5:$A$1004,$A897,'AFA Rates'!$B$5:$B$1004,E$24)&gt;0,"✓",""))</f>
        <v/>
      </c>
      <c r="F897" s="57">
        <f>IF(OR($A897="",F$24=""),"",IF(COUNTIFS('AFA Rates'!$A$5:$A$1004,$A897,'AFA Rates'!$B$5:$B$1004,F$24)&gt;0,"✓",""))</f>
        <v/>
      </c>
      <c r="G897" s="57">
        <f>IF(OR($A897="",G$24=""),"",IF(COUNTIFS('AFA Rates'!$A$5:$A$1004,$A897,'AFA Rates'!$B$5:$B$1004,G$24)&gt;0,"✓",""))</f>
        <v/>
      </c>
      <c r="H897" s="57">
        <f>IF(OR($A897="",H$24=""),"",IF(COUNTIFS('AFA Rates'!$A$5:$A$1004,$A897,'AFA Rates'!$B$5:$B$1004,H$24)&gt;0,"✓",""))</f>
        <v/>
      </c>
      <c r="I897" s="57">
        <f>IF(OR($A897="",I$24=""),"",IF(COUNTIFS('AFA Rates'!$A$5:$A$1004,$A897,'AFA Rates'!$B$5:$B$1004,I$24)&gt;0,"✓",""))</f>
        <v/>
      </c>
      <c r="J897" s="57">
        <f>IF(OR($A897="",J$24=""),"",IF(COUNTIFS('AFA Rates'!$A$5:$A$1004,$A897,'AFA Rates'!$B$5:$B$1004,J$24)&gt;0,"✓",""))</f>
        <v/>
      </c>
      <c r="K897" s="57">
        <f>IF(OR($A897="",K$24=""),"",IF(COUNTIFS('AFA Rates'!$A$5:$A$1004,$A897,'AFA Rates'!$B$5:$B$1004,K$24)&gt;0,"✓",""))</f>
        <v/>
      </c>
      <c r="L897" s="57">
        <f>IF(OR($A897="",L$24=""),"",IF(COUNTIFS('AFA Rates'!$A$5:$A$1004,$A897,'AFA Rates'!$B$5:$B$1004,L$24)&gt;0,"✓",""))</f>
        <v/>
      </c>
      <c r="M897" s="57">
        <f>IF(OR($A897="",M$24=""),"",IF(COUNTIFS('AFA Rates'!$A$5:$A$1004,$A897,'AFA Rates'!$B$5:$B$1004,M$24)&gt;0,"✓",""))</f>
        <v/>
      </c>
    </row>
    <row r="898">
      <c r="A898" s="63">
        <f>IFERROR(INDEX(Firms!$A$5:$A$1004,MATCH(874,Firms!$S$5:$S$1004,0)),"")</f>
        <v/>
      </c>
      <c r="B898" s="57">
        <f>IF($A898="","",INDEX(Firms!$B$5:$B$1004,MATCH(874,Firms!$S$5:$S$1004,0)))</f>
        <v/>
      </c>
      <c r="C898" s="57">
        <f>IF($A898="","",COUNTIF('AFA Rates'!$A$5:$A$1004,$A898))</f>
        <v/>
      </c>
      <c r="D898" s="57">
        <f>IF(OR($A898="",D$24=""),"",IF(COUNTIFS('AFA Rates'!$A$5:$A$1004,$A898,'AFA Rates'!$B$5:$B$1004,D$24)&gt;0,"✓",""))</f>
        <v/>
      </c>
      <c r="E898" s="57">
        <f>IF(OR($A898="",E$24=""),"",IF(COUNTIFS('AFA Rates'!$A$5:$A$1004,$A898,'AFA Rates'!$B$5:$B$1004,E$24)&gt;0,"✓",""))</f>
        <v/>
      </c>
      <c r="F898" s="57">
        <f>IF(OR($A898="",F$24=""),"",IF(COUNTIFS('AFA Rates'!$A$5:$A$1004,$A898,'AFA Rates'!$B$5:$B$1004,F$24)&gt;0,"✓",""))</f>
        <v/>
      </c>
      <c r="G898" s="57">
        <f>IF(OR($A898="",G$24=""),"",IF(COUNTIFS('AFA Rates'!$A$5:$A$1004,$A898,'AFA Rates'!$B$5:$B$1004,G$24)&gt;0,"✓",""))</f>
        <v/>
      </c>
      <c r="H898" s="57">
        <f>IF(OR($A898="",H$24=""),"",IF(COUNTIFS('AFA Rates'!$A$5:$A$1004,$A898,'AFA Rates'!$B$5:$B$1004,H$24)&gt;0,"✓",""))</f>
        <v/>
      </c>
      <c r="I898" s="57">
        <f>IF(OR($A898="",I$24=""),"",IF(COUNTIFS('AFA Rates'!$A$5:$A$1004,$A898,'AFA Rates'!$B$5:$B$1004,I$24)&gt;0,"✓",""))</f>
        <v/>
      </c>
      <c r="J898" s="57">
        <f>IF(OR($A898="",J$24=""),"",IF(COUNTIFS('AFA Rates'!$A$5:$A$1004,$A898,'AFA Rates'!$B$5:$B$1004,J$24)&gt;0,"✓",""))</f>
        <v/>
      </c>
      <c r="K898" s="57">
        <f>IF(OR($A898="",K$24=""),"",IF(COUNTIFS('AFA Rates'!$A$5:$A$1004,$A898,'AFA Rates'!$B$5:$B$1004,K$24)&gt;0,"✓",""))</f>
        <v/>
      </c>
      <c r="L898" s="57">
        <f>IF(OR($A898="",L$24=""),"",IF(COUNTIFS('AFA Rates'!$A$5:$A$1004,$A898,'AFA Rates'!$B$5:$B$1004,L$24)&gt;0,"✓",""))</f>
        <v/>
      </c>
      <c r="M898" s="57">
        <f>IF(OR($A898="",M$24=""),"",IF(COUNTIFS('AFA Rates'!$A$5:$A$1004,$A898,'AFA Rates'!$B$5:$B$1004,M$24)&gt;0,"✓",""))</f>
        <v/>
      </c>
    </row>
    <row r="899">
      <c r="A899" s="63">
        <f>IFERROR(INDEX(Firms!$A$5:$A$1004,MATCH(875,Firms!$S$5:$S$1004,0)),"")</f>
        <v/>
      </c>
      <c r="B899" s="57">
        <f>IF($A899="","",INDEX(Firms!$B$5:$B$1004,MATCH(875,Firms!$S$5:$S$1004,0)))</f>
        <v/>
      </c>
      <c r="C899" s="57">
        <f>IF($A899="","",COUNTIF('AFA Rates'!$A$5:$A$1004,$A899))</f>
        <v/>
      </c>
      <c r="D899" s="57">
        <f>IF(OR($A899="",D$24=""),"",IF(COUNTIFS('AFA Rates'!$A$5:$A$1004,$A899,'AFA Rates'!$B$5:$B$1004,D$24)&gt;0,"✓",""))</f>
        <v/>
      </c>
      <c r="E899" s="57">
        <f>IF(OR($A899="",E$24=""),"",IF(COUNTIFS('AFA Rates'!$A$5:$A$1004,$A899,'AFA Rates'!$B$5:$B$1004,E$24)&gt;0,"✓",""))</f>
        <v/>
      </c>
      <c r="F899" s="57">
        <f>IF(OR($A899="",F$24=""),"",IF(COUNTIFS('AFA Rates'!$A$5:$A$1004,$A899,'AFA Rates'!$B$5:$B$1004,F$24)&gt;0,"✓",""))</f>
        <v/>
      </c>
      <c r="G899" s="57">
        <f>IF(OR($A899="",G$24=""),"",IF(COUNTIFS('AFA Rates'!$A$5:$A$1004,$A899,'AFA Rates'!$B$5:$B$1004,G$24)&gt;0,"✓",""))</f>
        <v/>
      </c>
      <c r="H899" s="57">
        <f>IF(OR($A899="",H$24=""),"",IF(COUNTIFS('AFA Rates'!$A$5:$A$1004,$A899,'AFA Rates'!$B$5:$B$1004,H$24)&gt;0,"✓",""))</f>
        <v/>
      </c>
      <c r="I899" s="57">
        <f>IF(OR($A899="",I$24=""),"",IF(COUNTIFS('AFA Rates'!$A$5:$A$1004,$A899,'AFA Rates'!$B$5:$B$1004,I$24)&gt;0,"✓",""))</f>
        <v/>
      </c>
      <c r="J899" s="57">
        <f>IF(OR($A899="",J$24=""),"",IF(COUNTIFS('AFA Rates'!$A$5:$A$1004,$A899,'AFA Rates'!$B$5:$B$1004,J$24)&gt;0,"✓",""))</f>
        <v/>
      </c>
      <c r="K899" s="57">
        <f>IF(OR($A899="",K$24=""),"",IF(COUNTIFS('AFA Rates'!$A$5:$A$1004,$A899,'AFA Rates'!$B$5:$B$1004,K$24)&gt;0,"✓",""))</f>
        <v/>
      </c>
      <c r="L899" s="57">
        <f>IF(OR($A899="",L$24=""),"",IF(COUNTIFS('AFA Rates'!$A$5:$A$1004,$A899,'AFA Rates'!$B$5:$B$1004,L$24)&gt;0,"✓",""))</f>
        <v/>
      </c>
      <c r="M899" s="57">
        <f>IF(OR($A899="",M$24=""),"",IF(COUNTIFS('AFA Rates'!$A$5:$A$1004,$A899,'AFA Rates'!$B$5:$B$1004,M$24)&gt;0,"✓",""))</f>
        <v/>
      </c>
    </row>
    <row r="900">
      <c r="A900" s="63">
        <f>IFERROR(INDEX(Firms!$A$5:$A$1004,MATCH(876,Firms!$S$5:$S$1004,0)),"")</f>
        <v/>
      </c>
      <c r="B900" s="57">
        <f>IF($A900="","",INDEX(Firms!$B$5:$B$1004,MATCH(876,Firms!$S$5:$S$1004,0)))</f>
        <v/>
      </c>
      <c r="C900" s="57">
        <f>IF($A900="","",COUNTIF('AFA Rates'!$A$5:$A$1004,$A900))</f>
        <v/>
      </c>
      <c r="D900" s="57">
        <f>IF(OR($A900="",D$24=""),"",IF(COUNTIFS('AFA Rates'!$A$5:$A$1004,$A900,'AFA Rates'!$B$5:$B$1004,D$24)&gt;0,"✓",""))</f>
        <v/>
      </c>
      <c r="E900" s="57">
        <f>IF(OR($A900="",E$24=""),"",IF(COUNTIFS('AFA Rates'!$A$5:$A$1004,$A900,'AFA Rates'!$B$5:$B$1004,E$24)&gt;0,"✓",""))</f>
        <v/>
      </c>
      <c r="F900" s="57">
        <f>IF(OR($A900="",F$24=""),"",IF(COUNTIFS('AFA Rates'!$A$5:$A$1004,$A900,'AFA Rates'!$B$5:$B$1004,F$24)&gt;0,"✓",""))</f>
        <v/>
      </c>
      <c r="G900" s="57">
        <f>IF(OR($A900="",G$24=""),"",IF(COUNTIFS('AFA Rates'!$A$5:$A$1004,$A900,'AFA Rates'!$B$5:$B$1004,G$24)&gt;0,"✓",""))</f>
        <v/>
      </c>
      <c r="H900" s="57">
        <f>IF(OR($A900="",H$24=""),"",IF(COUNTIFS('AFA Rates'!$A$5:$A$1004,$A900,'AFA Rates'!$B$5:$B$1004,H$24)&gt;0,"✓",""))</f>
        <v/>
      </c>
      <c r="I900" s="57">
        <f>IF(OR($A900="",I$24=""),"",IF(COUNTIFS('AFA Rates'!$A$5:$A$1004,$A900,'AFA Rates'!$B$5:$B$1004,I$24)&gt;0,"✓",""))</f>
        <v/>
      </c>
      <c r="J900" s="57">
        <f>IF(OR($A900="",J$24=""),"",IF(COUNTIFS('AFA Rates'!$A$5:$A$1004,$A900,'AFA Rates'!$B$5:$B$1004,J$24)&gt;0,"✓",""))</f>
        <v/>
      </c>
      <c r="K900" s="57">
        <f>IF(OR($A900="",K$24=""),"",IF(COUNTIFS('AFA Rates'!$A$5:$A$1004,$A900,'AFA Rates'!$B$5:$B$1004,K$24)&gt;0,"✓",""))</f>
        <v/>
      </c>
      <c r="L900" s="57">
        <f>IF(OR($A900="",L$24=""),"",IF(COUNTIFS('AFA Rates'!$A$5:$A$1004,$A900,'AFA Rates'!$B$5:$B$1004,L$24)&gt;0,"✓",""))</f>
        <v/>
      </c>
      <c r="M900" s="57">
        <f>IF(OR($A900="",M$24=""),"",IF(COUNTIFS('AFA Rates'!$A$5:$A$1004,$A900,'AFA Rates'!$B$5:$B$1004,M$24)&gt;0,"✓",""))</f>
        <v/>
      </c>
    </row>
    <row r="901">
      <c r="A901" s="63">
        <f>IFERROR(INDEX(Firms!$A$5:$A$1004,MATCH(877,Firms!$S$5:$S$1004,0)),"")</f>
        <v/>
      </c>
      <c r="B901" s="57">
        <f>IF($A901="","",INDEX(Firms!$B$5:$B$1004,MATCH(877,Firms!$S$5:$S$1004,0)))</f>
        <v/>
      </c>
      <c r="C901" s="57">
        <f>IF($A901="","",COUNTIF('AFA Rates'!$A$5:$A$1004,$A901))</f>
        <v/>
      </c>
      <c r="D901" s="57">
        <f>IF(OR($A901="",D$24=""),"",IF(COUNTIFS('AFA Rates'!$A$5:$A$1004,$A901,'AFA Rates'!$B$5:$B$1004,D$24)&gt;0,"✓",""))</f>
        <v/>
      </c>
      <c r="E901" s="57">
        <f>IF(OR($A901="",E$24=""),"",IF(COUNTIFS('AFA Rates'!$A$5:$A$1004,$A901,'AFA Rates'!$B$5:$B$1004,E$24)&gt;0,"✓",""))</f>
        <v/>
      </c>
      <c r="F901" s="57">
        <f>IF(OR($A901="",F$24=""),"",IF(COUNTIFS('AFA Rates'!$A$5:$A$1004,$A901,'AFA Rates'!$B$5:$B$1004,F$24)&gt;0,"✓",""))</f>
        <v/>
      </c>
      <c r="G901" s="57">
        <f>IF(OR($A901="",G$24=""),"",IF(COUNTIFS('AFA Rates'!$A$5:$A$1004,$A901,'AFA Rates'!$B$5:$B$1004,G$24)&gt;0,"✓",""))</f>
        <v/>
      </c>
      <c r="H901" s="57">
        <f>IF(OR($A901="",H$24=""),"",IF(COUNTIFS('AFA Rates'!$A$5:$A$1004,$A901,'AFA Rates'!$B$5:$B$1004,H$24)&gt;0,"✓",""))</f>
        <v/>
      </c>
      <c r="I901" s="57">
        <f>IF(OR($A901="",I$24=""),"",IF(COUNTIFS('AFA Rates'!$A$5:$A$1004,$A901,'AFA Rates'!$B$5:$B$1004,I$24)&gt;0,"✓",""))</f>
        <v/>
      </c>
      <c r="J901" s="57">
        <f>IF(OR($A901="",J$24=""),"",IF(COUNTIFS('AFA Rates'!$A$5:$A$1004,$A901,'AFA Rates'!$B$5:$B$1004,J$24)&gt;0,"✓",""))</f>
        <v/>
      </c>
      <c r="K901" s="57">
        <f>IF(OR($A901="",K$24=""),"",IF(COUNTIFS('AFA Rates'!$A$5:$A$1004,$A901,'AFA Rates'!$B$5:$B$1004,K$24)&gt;0,"✓",""))</f>
        <v/>
      </c>
      <c r="L901" s="57">
        <f>IF(OR($A901="",L$24=""),"",IF(COUNTIFS('AFA Rates'!$A$5:$A$1004,$A901,'AFA Rates'!$B$5:$B$1004,L$24)&gt;0,"✓",""))</f>
        <v/>
      </c>
      <c r="M901" s="57">
        <f>IF(OR($A901="",M$24=""),"",IF(COUNTIFS('AFA Rates'!$A$5:$A$1004,$A901,'AFA Rates'!$B$5:$B$1004,M$24)&gt;0,"✓",""))</f>
        <v/>
      </c>
    </row>
    <row r="902">
      <c r="A902" s="63">
        <f>IFERROR(INDEX(Firms!$A$5:$A$1004,MATCH(878,Firms!$S$5:$S$1004,0)),"")</f>
        <v/>
      </c>
      <c r="B902" s="57">
        <f>IF($A902="","",INDEX(Firms!$B$5:$B$1004,MATCH(878,Firms!$S$5:$S$1004,0)))</f>
        <v/>
      </c>
      <c r="C902" s="57">
        <f>IF($A902="","",COUNTIF('AFA Rates'!$A$5:$A$1004,$A902))</f>
        <v/>
      </c>
      <c r="D902" s="57">
        <f>IF(OR($A902="",D$24=""),"",IF(COUNTIFS('AFA Rates'!$A$5:$A$1004,$A902,'AFA Rates'!$B$5:$B$1004,D$24)&gt;0,"✓",""))</f>
        <v/>
      </c>
      <c r="E902" s="57">
        <f>IF(OR($A902="",E$24=""),"",IF(COUNTIFS('AFA Rates'!$A$5:$A$1004,$A902,'AFA Rates'!$B$5:$B$1004,E$24)&gt;0,"✓",""))</f>
        <v/>
      </c>
      <c r="F902" s="57">
        <f>IF(OR($A902="",F$24=""),"",IF(COUNTIFS('AFA Rates'!$A$5:$A$1004,$A902,'AFA Rates'!$B$5:$B$1004,F$24)&gt;0,"✓",""))</f>
        <v/>
      </c>
      <c r="G902" s="57">
        <f>IF(OR($A902="",G$24=""),"",IF(COUNTIFS('AFA Rates'!$A$5:$A$1004,$A902,'AFA Rates'!$B$5:$B$1004,G$24)&gt;0,"✓",""))</f>
        <v/>
      </c>
      <c r="H902" s="57">
        <f>IF(OR($A902="",H$24=""),"",IF(COUNTIFS('AFA Rates'!$A$5:$A$1004,$A902,'AFA Rates'!$B$5:$B$1004,H$24)&gt;0,"✓",""))</f>
        <v/>
      </c>
      <c r="I902" s="57">
        <f>IF(OR($A902="",I$24=""),"",IF(COUNTIFS('AFA Rates'!$A$5:$A$1004,$A902,'AFA Rates'!$B$5:$B$1004,I$24)&gt;0,"✓",""))</f>
        <v/>
      </c>
      <c r="J902" s="57">
        <f>IF(OR($A902="",J$24=""),"",IF(COUNTIFS('AFA Rates'!$A$5:$A$1004,$A902,'AFA Rates'!$B$5:$B$1004,J$24)&gt;0,"✓",""))</f>
        <v/>
      </c>
      <c r="K902" s="57">
        <f>IF(OR($A902="",K$24=""),"",IF(COUNTIFS('AFA Rates'!$A$5:$A$1004,$A902,'AFA Rates'!$B$5:$B$1004,K$24)&gt;0,"✓",""))</f>
        <v/>
      </c>
      <c r="L902" s="57">
        <f>IF(OR($A902="",L$24=""),"",IF(COUNTIFS('AFA Rates'!$A$5:$A$1004,$A902,'AFA Rates'!$B$5:$B$1004,L$24)&gt;0,"✓",""))</f>
        <v/>
      </c>
      <c r="M902" s="57">
        <f>IF(OR($A902="",M$24=""),"",IF(COUNTIFS('AFA Rates'!$A$5:$A$1004,$A902,'AFA Rates'!$B$5:$B$1004,M$24)&gt;0,"✓",""))</f>
        <v/>
      </c>
    </row>
    <row r="903">
      <c r="A903" s="63">
        <f>IFERROR(INDEX(Firms!$A$5:$A$1004,MATCH(879,Firms!$S$5:$S$1004,0)),"")</f>
        <v/>
      </c>
      <c r="B903" s="57">
        <f>IF($A903="","",INDEX(Firms!$B$5:$B$1004,MATCH(879,Firms!$S$5:$S$1004,0)))</f>
        <v/>
      </c>
      <c r="C903" s="57">
        <f>IF($A903="","",COUNTIF('AFA Rates'!$A$5:$A$1004,$A903))</f>
        <v/>
      </c>
      <c r="D903" s="57">
        <f>IF(OR($A903="",D$24=""),"",IF(COUNTIFS('AFA Rates'!$A$5:$A$1004,$A903,'AFA Rates'!$B$5:$B$1004,D$24)&gt;0,"✓",""))</f>
        <v/>
      </c>
      <c r="E903" s="57">
        <f>IF(OR($A903="",E$24=""),"",IF(COUNTIFS('AFA Rates'!$A$5:$A$1004,$A903,'AFA Rates'!$B$5:$B$1004,E$24)&gt;0,"✓",""))</f>
        <v/>
      </c>
      <c r="F903" s="57">
        <f>IF(OR($A903="",F$24=""),"",IF(COUNTIFS('AFA Rates'!$A$5:$A$1004,$A903,'AFA Rates'!$B$5:$B$1004,F$24)&gt;0,"✓",""))</f>
        <v/>
      </c>
      <c r="G903" s="57">
        <f>IF(OR($A903="",G$24=""),"",IF(COUNTIFS('AFA Rates'!$A$5:$A$1004,$A903,'AFA Rates'!$B$5:$B$1004,G$24)&gt;0,"✓",""))</f>
        <v/>
      </c>
      <c r="H903" s="57">
        <f>IF(OR($A903="",H$24=""),"",IF(COUNTIFS('AFA Rates'!$A$5:$A$1004,$A903,'AFA Rates'!$B$5:$B$1004,H$24)&gt;0,"✓",""))</f>
        <v/>
      </c>
      <c r="I903" s="57">
        <f>IF(OR($A903="",I$24=""),"",IF(COUNTIFS('AFA Rates'!$A$5:$A$1004,$A903,'AFA Rates'!$B$5:$B$1004,I$24)&gt;0,"✓",""))</f>
        <v/>
      </c>
      <c r="J903" s="57">
        <f>IF(OR($A903="",J$24=""),"",IF(COUNTIFS('AFA Rates'!$A$5:$A$1004,$A903,'AFA Rates'!$B$5:$B$1004,J$24)&gt;0,"✓",""))</f>
        <v/>
      </c>
      <c r="K903" s="57">
        <f>IF(OR($A903="",K$24=""),"",IF(COUNTIFS('AFA Rates'!$A$5:$A$1004,$A903,'AFA Rates'!$B$5:$B$1004,K$24)&gt;0,"✓",""))</f>
        <v/>
      </c>
      <c r="L903" s="57">
        <f>IF(OR($A903="",L$24=""),"",IF(COUNTIFS('AFA Rates'!$A$5:$A$1004,$A903,'AFA Rates'!$B$5:$B$1004,L$24)&gt;0,"✓",""))</f>
        <v/>
      </c>
      <c r="M903" s="57">
        <f>IF(OR($A903="",M$24=""),"",IF(COUNTIFS('AFA Rates'!$A$5:$A$1004,$A903,'AFA Rates'!$B$5:$B$1004,M$24)&gt;0,"✓",""))</f>
        <v/>
      </c>
    </row>
    <row r="904">
      <c r="A904" s="63">
        <f>IFERROR(INDEX(Firms!$A$5:$A$1004,MATCH(880,Firms!$S$5:$S$1004,0)),"")</f>
        <v/>
      </c>
      <c r="B904" s="57">
        <f>IF($A904="","",INDEX(Firms!$B$5:$B$1004,MATCH(880,Firms!$S$5:$S$1004,0)))</f>
        <v/>
      </c>
      <c r="C904" s="57">
        <f>IF($A904="","",COUNTIF('AFA Rates'!$A$5:$A$1004,$A904))</f>
        <v/>
      </c>
      <c r="D904" s="57">
        <f>IF(OR($A904="",D$24=""),"",IF(COUNTIFS('AFA Rates'!$A$5:$A$1004,$A904,'AFA Rates'!$B$5:$B$1004,D$24)&gt;0,"✓",""))</f>
        <v/>
      </c>
      <c r="E904" s="57">
        <f>IF(OR($A904="",E$24=""),"",IF(COUNTIFS('AFA Rates'!$A$5:$A$1004,$A904,'AFA Rates'!$B$5:$B$1004,E$24)&gt;0,"✓",""))</f>
        <v/>
      </c>
      <c r="F904" s="57">
        <f>IF(OR($A904="",F$24=""),"",IF(COUNTIFS('AFA Rates'!$A$5:$A$1004,$A904,'AFA Rates'!$B$5:$B$1004,F$24)&gt;0,"✓",""))</f>
        <v/>
      </c>
      <c r="G904" s="57">
        <f>IF(OR($A904="",G$24=""),"",IF(COUNTIFS('AFA Rates'!$A$5:$A$1004,$A904,'AFA Rates'!$B$5:$B$1004,G$24)&gt;0,"✓",""))</f>
        <v/>
      </c>
      <c r="H904" s="57">
        <f>IF(OR($A904="",H$24=""),"",IF(COUNTIFS('AFA Rates'!$A$5:$A$1004,$A904,'AFA Rates'!$B$5:$B$1004,H$24)&gt;0,"✓",""))</f>
        <v/>
      </c>
      <c r="I904" s="57">
        <f>IF(OR($A904="",I$24=""),"",IF(COUNTIFS('AFA Rates'!$A$5:$A$1004,$A904,'AFA Rates'!$B$5:$B$1004,I$24)&gt;0,"✓",""))</f>
        <v/>
      </c>
      <c r="J904" s="57">
        <f>IF(OR($A904="",J$24=""),"",IF(COUNTIFS('AFA Rates'!$A$5:$A$1004,$A904,'AFA Rates'!$B$5:$B$1004,J$24)&gt;0,"✓",""))</f>
        <v/>
      </c>
      <c r="K904" s="57">
        <f>IF(OR($A904="",K$24=""),"",IF(COUNTIFS('AFA Rates'!$A$5:$A$1004,$A904,'AFA Rates'!$B$5:$B$1004,K$24)&gt;0,"✓",""))</f>
        <v/>
      </c>
      <c r="L904" s="57">
        <f>IF(OR($A904="",L$24=""),"",IF(COUNTIFS('AFA Rates'!$A$5:$A$1004,$A904,'AFA Rates'!$B$5:$B$1004,L$24)&gt;0,"✓",""))</f>
        <v/>
      </c>
      <c r="M904" s="57">
        <f>IF(OR($A904="",M$24=""),"",IF(COUNTIFS('AFA Rates'!$A$5:$A$1004,$A904,'AFA Rates'!$B$5:$B$1004,M$24)&gt;0,"✓",""))</f>
        <v/>
      </c>
    </row>
    <row r="905">
      <c r="A905" s="63">
        <f>IFERROR(INDEX(Firms!$A$5:$A$1004,MATCH(881,Firms!$S$5:$S$1004,0)),"")</f>
        <v/>
      </c>
      <c r="B905" s="57">
        <f>IF($A905="","",INDEX(Firms!$B$5:$B$1004,MATCH(881,Firms!$S$5:$S$1004,0)))</f>
        <v/>
      </c>
      <c r="C905" s="57">
        <f>IF($A905="","",COUNTIF('AFA Rates'!$A$5:$A$1004,$A905))</f>
        <v/>
      </c>
      <c r="D905" s="57">
        <f>IF(OR($A905="",D$24=""),"",IF(COUNTIFS('AFA Rates'!$A$5:$A$1004,$A905,'AFA Rates'!$B$5:$B$1004,D$24)&gt;0,"✓",""))</f>
        <v/>
      </c>
      <c r="E905" s="57">
        <f>IF(OR($A905="",E$24=""),"",IF(COUNTIFS('AFA Rates'!$A$5:$A$1004,$A905,'AFA Rates'!$B$5:$B$1004,E$24)&gt;0,"✓",""))</f>
        <v/>
      </c>
      <c r="F905" s="57">
        <f>IF(OR($A905="",F$24=""),"",IF(COUNTIFS('AFA Rates'!$A$5:$A$1004,$A905,'AFA Rates'!$B$5:$B$1004,F$24)&gt;0,"✓",""))</f>
        <v/>
      </c>
      <c r="G905" s="57">
        <f>IF(OR($A905="",G$24=""),"",IF(COUNTIFS('AFA Rates'!$A$5:$A$1004,$A905,'AFA Rates'!$B$5:$B$1004,G$24)&gt;0,"✓",""))</f>
        <v/>
      </c>
      <c r="H905" s="57">
        <f>IF(OR($A905="",H$24=""),"",IF(COUNTIFS('AFA Rates'!$A$5:$A$1004,$A905,'AFA Rates'!$B$5:$B$1004,H$24)&gt;0,"✓",""))</f>
        <v/>
      </c>
      <c r="I905" s="57">
        <f>IF(OR($A905="",I$24=""),"",IF(COUNTIFS('AFA Rates'!$A$5:$A$1004,$A905,'AFA Rates'!$B$5:$B$1004,I$24)&gt;0,"✓",""))</f>
        <v/>
      </c>
      <c r="J905" s="57">
        <f>IF(OR($A905="",J$24=""),"",IF(COUNTIFS('AFA Rates'!$A$5:$A$1004,$A905,'AFA Rates'!$B$5:$B$1004,J$24)&gt;0,"✓",""))</f>
        <v/>
      </c>
      <c r="K905" s="57">
        <f>IF(OR($A905="",K$24=""),"",IF(COUNTIFS('AFA Rates'!$A$5:$A$1004,$A905,'AFA Rates'!$B$5:$B$1004,K$24)&gt;0,"✓",""))</f>
        <v/>
      </c>
      <c r="L905" s="57">
        <f>IF(OR($A905="",L$24=""),"",IF(COUNTIFS('AFA Rates'!$A$5:$A$1004,$A905,'AFA Rates'!$B$5:$B$1004,L$24)&gt;0,"✓",""))</f>
        <v/>
      </c>
      <c r="M905" s="57">
        <f>IF(OR($A905="",M$24=""),"",IF(COUNTIFS('AFA Rates'!$A$5:$A$1004,$A905,'AFA Rates'!$B$5:$B$1004,M$24)&gt;0,"✓",""))</f>
        <v/>
      </c>
    </row>
    <row r="906">
      <c r="A906" s="63">
        <f>IFERROR(INDEX(Firms!$A$5:$A$1004,MATCH(882,Firms!$S$5:$S$1004,0)),"")</f>
        <v/>
      </c>
      <c r="B906" s="57">
        <f>IF($A906="","",INDEX(Firms!$B$5:$B$1004,MATCH(882,Firms!$S$5:$S$1004,0)))</f>
        <v/>
      </c>
      <c r="C906" s="57">
        <f>IF($A906="","",COUNTIF('AFA Rates'!$A$5:$A$1004,$A906))</f>
        <v/>
      </c>
      <c r="D906" s="57">
        <f>IF(OR($A906="",D$24=""),"",IF(COUNTIFS('AFA Rates'!$A$5:$A$1004,$A906,'AFA Rates'!$B$5:$B$1004,D$24)&gt;0,"✓",""))</f>
        <v/>
      </c>
      <c r="E906" s="57">
        <f>IF(OR($A906="",E$24=""),"",IF(COUNTIFS('AFA Rates'!$A$5:$A$1004,$A906,'AFA Rates'!$B$5:$B$1004,E$24)&gt;0,"✓",""))</f>
        <v/>
      </c>
      <c r="F906" s="57">
        <f>IF(OR($A906="",F$24=""),"",IF(COUNTIFS('AFA Rates'!$A$5:$A$1004,$A906,'AFA Rates'!$B$5:$B$1004,F$24)&gt;0,"✓",""))</f>
        <v/>
      </c>
      <c r="G906" s="57">
        <f>IF(OR($A906="",G$24=""),"",IF(COUNTIFS('AFA Rates'!$A$5:$A$1004,$A906,'AFA Rates'!$B$5:$B$1004,G$24)&gt;0,"✓",""))</f>
        <v/>
      </c>
      <c r="H906" s="57">
        <f>IF(OR($A906="",H$24=""),"",IF(COUNTIFS('AFA Rates'!$A$5:$A$1004,$A906,'AFA Rates'!$B$5:$B$1004,H$24)&gt;0,"✓",""))</f>
        <v/>
      </c>
      <c r="I906" s="57">
        <f>IF(OR($A906="",I$24=""),"",IF(COUNTIFS('AFA Rates'!$A$5:$A$1004,$A906,'AFA Rates'!$B$5:$B$1004,I$24)&gt;0,"✓",""))</f>
        <v/>
      </c>
      <c r="J906" s="57">
        <f>IF(OR($A906="",J$24=""),"",IF(COUNTIFS('AFA Rates'!$A$5:$A$1004,$A906,'AFA Rates'!$B$5:$B$1004,J$24)&gt;0,"✓",""))</f>
        <v/>
      </c>
      <c r="K906" s="57">
        <f>IF(OR($A906="",K$24=""),"",IF(COUNTIFS('AFA Rates'!$A$5:$A$1004,$A906,'AFA Rates'!$B$5:$B$1004,K$24)&gt;0,"✓",""))</f>
        <v/>
      </c>
      <c r="L906" s="57">
        <f>IF(OR($A906="",L$24=""),"",IF(COUNTIFS('AFA Rates'!$A$5:$A$1004,$A906,'AFA Rates'!$B$5:$B$1004,L$24)&gt;0,"✓",""))</f>
        <v/>
      </c>
      <c r="M906" s="57">
        <f>IF(OR($A906="",M$24=""),"",IF(COUNTIFS('AFA Rates'!$A$5:$A$1004,$A906,'AFA Rates'!$B$5:$B$1004,M$24)&gt;0,"✓",""))</f>
        <v/>
      </c>
    </row>
    <row r="907">
      <c r="A907" s="63">
        <f>IFERROR(INDEX(Firms!$A$5:$A$1004,MATCH(883,Firms!$S$5:$S$1004,0)),"")</f>
        <v/>
      </c>
      <c r="B907" s="57">
        <f>IF($A907="","",INDEX(Firms!$B$5:$B$1004,MATCH(883,Firms!$S$5:$S$1004,0)))</f>
        <v/>
      </c>
      <c r="C907" s="57">
        <f>IF($A907="","",COUNTIF('AFA Rates'!$A$5:$A$1004,$A907))</f>
        <v/>
      </c>
      <c r="D907" s="57">
        <f>IF(OR($A907="",D$24=""),"",IF(COUNTIFS('AFA Rates'!$A$5:$A$1004,$A907,'AFA Rates'!$B$5:$B$1004,D$24)&gt;0,"✓",""))</f>
        <v/>
      </c>
      <c r="E907" s="57">
        <f>IF(OR($A907="",E$24=""),"",IF(COUNTIFS('AFA Rates'!$A$5:$A$1004,$A907,'AFA Rates'!$B$5:$B$1004,E$24)&gt;0,"✓",""))</f>
        <v/>
      </c>
      <c r="F907" s="57">
        <f>IF(OR($A907="",F$24=""),"",IF(COUNTIFS('AFA Rates'!$A$5:$A$1004,$A907,'AFA Rates'!$B$5:$B$1004,F$24)&gt;0,"✓",""))</f>
        <v/>
      </c>
      <c r="G907" s="57">
        <f>IF(OR($A907="",G$24=""),"",IF(COUNTIFS('AFA Rates'!$A$5:$A$1004,$A907,'AFA Rates'!$B$5:$B$1004,G$24)&gt;0,"✓",""))</f>
        <v/>
      </c>
      <c r="H907" s="57">
        <f>IF(OR($A907="",H$24=""),"",IF(COUNTIFS('AFA Rates'!$A$5:$A$1004,$A907,'AFA Rates'!$B$5:$B$1004,H$24)&gt;0,"✓",""))</f>
        <v/>
      </c>
      <c r="I907" s="57">
        <f>IF(OR($A907="",I$24=""),"",IF(COUNTIFS('AFA Rates'!$A$5:$A$1004,$A907,'AFA Rates'!$B$5:$B$1004,I$24)&gt;0,"✓",""))</f>
        <v/>
      </c>
      <c r="J907" s="57">
        <f>IF(OR($A907="",J$24=""),"",IF(COUNTIFS('AFA Rates'!$A$5:$A$1004,$A907,'AFA Rates'!$B$5:$B$1004,J$24)&gt;0,"✓",""))</f>
        <v/>
      </c>
      <c r="K907" s="57">
        <f>IF(OR($A907="",K$24=""),"",IF(COUNTIFS('AFA Rates'!$A$5:$A$1004,$A907,'AFA Rates'!$B$5:$B$1004,K$24)&gt;0,"✓",""))</f>
        <v/>
      </c>
      <c r="L907" s="57">
        <f>IF(OR($A907="",L$24=""),"",IF(COUNTIFS('AFA Rates'!$A$5:$A$1004,$A907,'AFA Rates'!$B$5:$B$1004,L$24)&gt;0,"✓",""))</f>
        <v/>
      </c>
      <c r="M907" s="57">
        <f>IF(OR($A907="",M$24=""),"",IF(COUNTIFS('AFA Rates'!$A$5:$A$1004,$A907,'AFA Rates'!$B$5:$B$1004,M$24)&gt;0,"✓",""))</f>
        <v/>
      </c>
    </row>
    <row r="908">
      <c r="A908" s="63">
        <f>IFERROR(INDEX(Firms!$A$5:$A$1004,MATCH(884,Firms!$S$5:$S$1004,0)),"")</f>
        <v/>
      </c>
      <c r="B908" s="57">
        <f>IF($A908="","",INDEX(Firms!$B$5:$B$1004,MATCH(884,Firms!$S$5:$S$1004,0)))</f>
        <v/>
      </c>
      <c r="C908" s="57">
        <f>IF($A908="","",COUNTIF('AFA Rates'!$A$5:$A$1004,$A908))</f>
        <v/>
      </c>
      <c r="D908" s="57">
        <f>IF(OR($A908="",D$24=""),"",IF(COUNTIFS('AFA Rates'!$A$5:$A$1004,$A908,'AFA Rates'!$B$5:$B$1004,D$24)&gt;0,"✓",""))</f>
        <v/>
      </c>
      <c r="E908" s="57">
        <f>IF(OR($A908="",E$24=""),"",IF(COUNTIFS('AFA Rates'!$A$5:$A$1004,$A908,'AFA Rates'!$B$5:$B$1004,E$24)&gt;0,"✓",""))</f>
        <v/>
      </c>
      <c r="F908" s="57">
        <f>IF(OR($A908="",F$24=""),"",IF(COUNTIFS('AFA Rates'!$A$5:$A$1004,$A908,'AFA Rates'!$B$5:$B$1004,F$24)&gt;0,"✓",""))</f>
        <v/>
      </c>
      <c r="G908" s="57">
        <f>IF(OR($A908="",G$24=""),"",IF(COUNTIFS('AFA Rates'!$A$5:$A$1004,$A908,'AFA Rates'!$B$5:$B$1004,G$24)&gt;0,"✓",""))</f>
        <v/>
      </c>
      <c r="H908" s="57">
        <f>IF(OR($A908="",H$24=""),"",IF(COUNTIFS('AFA Rates'!$A$5:$A$1004,$A908,'AFA Rates'!$B$5:$B$1004,H$24)&gt;0,"✓",""))</f>
        <v/>
      </c>
      <c r="I908" s="57">
        <f>IF(OR($A908="",I$24=""),"",IF(COUNTIFS('AFA Rates'!$A$5:$A$1004,$A908,'AFA Rates'!$B$5:$B$1004,I$24)&gt;0,"✓",""))</f>
        <v/>
      </c>
      <c r="J908" s="57">
        <f>IF(OR($A908="",J$24=""),"",IF(COUNTIFS('AFA Rates'!$A$5:$A$1004,$A908,'AFA Rates'!$B$5:$B$1004,J$24)&gt;0,"✓",""))</f>
        <v/>
      </c>
      <c r="K908" s="57">
        <f>IF(OR($A908="",K$24=""),"",IF(COUNTIFS('AFA Rates'!$A$5:$A$1004,$A908,'AFA Rates'!$B$5:$B$1004,K$24)&gt;0,"✓",""))</f>
        <v/>
      </c>
      <c r="L908" s="57">
        <f>IF(OR($A908="",L$24=""),"",IF(COUNTIFS('AFA Rates'!$A$5:$A$1004,$A908,'AFA Rates'!$B$5:$B$1004,L$24)&gt;0,"✓",""))</f>
        <v/>
      </c>
      <c r="M908" s="57">
        <f>IF(OR($A908="",M$24=""),"",IF(COUNTIFS('AFA Rates'!$A$5:$A$1004,$A908,'AFA Rates'!$B$5:$B$1004,M$24)&gt;0,"✓",""))</f>
        <v/>
      </c>
    </row>
    <row r="909">
      <c r="A909" s="63">
        <f>IFERROR(INDEX(Firms!$A$5:$A$1004,MATCH(885,Firms!$S$5:$S$1004,0)),"")</f>
        <v/>
      </c>
      <c r="B909" s="57">
        <f>IF($A909="","",INDEX(Firms!$B$5:$B$1004,MATCH(885,Firms!$S$5:$S$1004,0)))</f>
        <v/>
      </c>
      <c r="C909" s="57">
        <f>IF($A909="","",COUNTIF('AFA Rates'!$A$5:$A$1004,$A909))</f>
        <v/>
      </c>
      <c r="D909" s="57">
        <f>IF(OR($A909="",D$24=""),"",IF(COUNTIFS('AFA Rates'!$A$5:$A$1004,$A909,'AFA Rates'!$B$5:$B$1004,D$24)&gt;0,"✓",""))</f>
        <v/>
      </c>
      <c r="E909" s="57">
        <f>IF(OR($A909="",E$24=""),"",IF(COUNTIFS('AFA Rates'!$A$5:$A$1004,$A909,'AFA Rates'!$B$5:$B$1004,E$24)&gt;0,"✓",""))</f>
        <v/>
      </c>
      <c r="F909" s="57">
        <f>IF(OR($A909="",F$24=""),"",IF(COUNTIFS('AFA Rates'!$A$5:$A$1004,$A909,'AFA Rates'!$B$5:$B$1004,F$24)&gt;0,"✓",""))</f>
        <v/>
      </c>
      <c r="G909" s="57">
        <f>IF(OR($A909="",G$24=""),"",IF(COUNTIFS('AFA Rates'!$A$5:$A$1004,$A909,'AFA Rates'!$B$5:$B$1004,G$24)&gt;0,"✓",""))</f>
        <v/>
      </c>
      <c r="H909" s="57">
        <f>IF(OR($A909="",H$24=""),"",IF(COUNTIFS('AFA Rates'!$A$5:$A$1004,$A909,'AFA Rates'!$B$5:$B$1004,H$24)&gt;0,"✓",""))</f>
        <v/>
      </c>
      <c r="I909" s="57">
        <f>IF(OR($A909="",I$24=""),"",IF(COUNTIFS('AFA Rates'!$A$5:$A$1004,$A909,'AFA Rates'!$B$5:$B$1004,I$24)&gt;0,"✓",""))</f>
        <v/>
      </c>
      <c r="J909" s="57">
        <f>IF(OR($A909="",J$24=""),"",IF(COUNTIFS('AFA Rates'!$A$5:$A$1004,$A909,'AFA Rates'!$B$5:$B$1004,J$24)&gt;0,"✓",""))</f>
        <v/>
      </c>
      <c r="K909" s="57">
        <f>IF(OR($A909="",K$24=""),"",IF(COUNTIFS('AFA Rates'!$A$5:$A$1004,$A909,'AFA Rates'!$B$5:$B$1004,K$24)&gt;0,"✓",""))</f>
        <v/>
      </c>
      <c r="L909" s="57">
        <f>IF(OR($A909="",L$24=""),"",IF(COUNTIFS('AFA Rates'!$A$5:$A$1004,$A909,'AFA Rates'!$B$5:$B$1004,L$24)&gt;0,"✓",""))</f>
        <v/>
      </c>
      <c r="M909" s="57">
        <f>IF(OR($A909="",M$24=""),"",IF(COUNTIFS('AFA Rates'!$A$5:$A$1004,$A909,'AFA Rates'!$B$5:$B$1004,M$24)&gt;0,"✓",""))</f>
        <v/>
      </c>
    </row>
    <row r="910">
      <c r="A910" s="63">
        <f>IFERROR(INDEX(Firms!$A$5:$A$1004,MATCH(886,Firms!$S$5:$S$1004,0)),"")</f>
        <v/>
      </c>
      <c r="B910" s="57">
        <f>IF($A910="","",INDEX(Firms!$B$5:$B$1004,MATCH(886,Firms!$S$5:$S$1004,0)))</f>
        <v/>
      </c>
      <c r="C910" s="57">
        <f>IF($A910="","",COUNTIF('AFA Rates'!$A$5:$A$1004,$A910))</f>
        <v/>
      </c>
      <c r="D910" s="57">
        <f>IF(OR($A910="",D$24=""),"",IF(COUNTIFS('AFA Rates'!$A$5:$A$1004,$A910,'AFA Rates'!$B$5:$B$1004,D$24)&gt;0,"✓",""))</f>
        <v/>
      </c>
      <c r="E910" s="57">
        <f>IF(OR($A910="",E$24=""),"",IF(COUNTIFS('AFA Rates'!$A$5:$A$1004,$A910,'AFA Rates'!$B$5:$B$1004,E$24)&gt;0,"✓",""))</f>
        <v/>
      </c>
      <c r="F910" s="57">
        <f>IF(OR($A910="",F$24=""),"",IF(COUNTIFS('AFA Rates'!$A$5:$A$1004,$A910,'AFA Rates'!$B$5:$B$1004,F$24)&gt;0,"✓",""))</f>
        <v/>
      </c>
      <c r="G910" s="57">
        <f>IF(OR($A910="",G$24=""),"",IF(COUNTIFS('AFA Rates'!$A$5:$A$1004,$A910,'AFA Rates'!$B$5:$B$1004,G$24)&gt;0,"✓",""))</f>
        <v/>
      </c>
      <c r="H910" s="57">
        <f>IF(OR($A910="",H$24=""),"",IF(COUNTIFS('AFA Rates'!$A$5:$A$1004,$A910,'AFA Rates'!$B$5:$B$1004,H$24)&gt;0,"✓",""))</f>
        <v/>
      </c>
      <c r="I910" s="57">
        <f>IF(OR($A910="",I$24=""),"",IF(COUNTIFS('AFA Rates'!$A$5:$A$1004,$A910,'AFA Rates'!$B$5:$B$1004,I$24)&gt;0,"✓",""))</f>
        <v/>
      </c>
      <c r="J910" s="57">
        <f>IF(OR($A910="",J$24=""),"",IF(COUNTIFS('AFA Rates'!$A$5:$A$1004,$A910,'AFA Rates'!$B$5:$B$1004,J$24)&gt;0,"✓",""))</f>
        <v/>
      </c>
      <c r="K910" s="57">
        <f>IF(OR($A910="",K$24=""),"",IF(COUNTIFS('AFA Rates'!$A$5:$A$1004,$A910,'AFA Rates'!$B$5:$B$1004,K$24)&gt;0,"✓",""))</f>
        <v/>
      </c>
      <c r="L910" s="57">
        <f>IF(OR($A910="",L$24=""),"",IF(COUNTIFS('AFA Rates'!$A$5:$A$1004,$A910,'AFA Rates'!$B$5:$B$1004,L$24)&gt;0,"✓",""))</f>
        <v/>
      </c>
      <c r="M910" s="57">
        <f>IF(OR($A910="",M$24=""),"",IF(COUNTIFS('AFA Rates'!$A$5:$A$1004,$A910,'AFA Rates'!$B$5:$B$1004,M$24)&gt;0,"✓",""))</f>
        <v/>
      </c>
    </row>
    <row r="911">
      <c r="A911" s="63">
        <f>IFERROR(INDEX(Firms!$A$5:$A$1004,MATCH(887,Firms!$S$5:$S$1004,0)),"")</f>
        <v/>
      </c>
      <c r="B911" s="57">
        <f>IF($A911="","",INDEX(Firms!$B$5:$B$1004,MATCH(887,Firms!$S$5:$S$1004,0)))</f>
        <v/>
      </c>
      <c r="C911" s="57">
        <f>IF($A911="","",COUNTIF('AFA Rates'!$A$5:$A$1004,$A911))</f>
        <v/>
      </c>
      <c r="D911" s="57">
        <f>IF(OR($A911="",D$24=""),"",IF(COUNTIFS('AFA Rates'!$A$5:$A$1004,$A911,'AFA Rates'!$B$5:$B$1004,D$24)&gt;0,"✓",""))</f>
        <v/>
      </c>
      <c r="E911" s="57">
        <f>IF(OR($A911="",E$24=""),"",IF(COUNTIFS('AFA Rates'!$A$5:$A$1004,$A911,'AFA Rates'!$B$5:$B$1004,E$24)&gt;0,"✓",""))</f>
        <v/>
      </c>
      <c r="F911" s="57">
        <f>IF(OR($A911="",F$24=""),"",IF(COUNTIFS('AFA Rates'!$A$5:$A$1004,$A911,'AFA Rates'!$B$5:$B$1004,F$24)&gt;0,"✓",""))</f>
        <v/>
      </c>
      <c r="G911" s="57">
        <f>IF(OR($A911="",G$24=""),"",IF(COUNTIFS('AFA Rates'!$A$5:$A$1004,$A911,'AFA Rates'!$B$5:$B$1004,G$24)&gt;0,"✓",""))</f>
        <v/>
      </c>
      <c r="H911" s="57">
        <f>IF(OR($A911="",H$24=""),"",IF(COUNTIFS('AFA Rates'!$A$5:$A$1004,$A911,'AFA Rates'!$B$5:$B$1004,H$24)&gt;0,"✓",""))</f>
        <v/>
      </c>
      <c r="I911" s="57">
        <f>IF(OR($A911="",I$24=""),"",IF(COUNTIFS('AFA Rates'!$A$5:$A$1004,$A911,'AFA Rates'!$B$5:$B$1004,I$24)&gt;0,"✓",""))</f>
        <v/>
      </c>
      <c r="J911" s="57">
        <f>IF(OR($A911="",J$24=""),"",IF(COUNTIFS('AFA Rates'!$A$5:$A$1004,$A911,'AFA Rates'!$B$5:$B$1004,J$24)&gt;0,"✓",""))</f>
        <v/>
      </c>
      <c r="K911" s="57">
        <f>IF(OR($A911="",K$24=""),"",IF(COUNTIFS('AFA Rates'!$A$5:$A$1004,$A911,'AFA Rates'!$B$5:$B$1004,K$24)&gt;0,"✓",""))</f>
        <v/>
      </c>
      <c r="L911" s="57">
        <f>IF(OR($A911="",L$24=""),"",IF(COUNTIFS('AFA Rates'!$A$5:$A$1004,$A911,'AFA Rates'!$B$5:$B$1004,L$24)&gt;0,"✓",""))</f>
        <v/>
      </c>
      <c r="M911" s="57">
        <f>IF(OR($A911="",M$24=""),"",IF(COUNTIFS('AFA Rates'!$A$5:$A$1004,$A911,'AFA Rates'!$B$5:$B$1004,M$24)&gt;0,"✓",""))</f>
        <v/>
      </c>
    </row>
    <row r="912">
      <c r="A912" s="63">
        <f>IFERROR(INDEX(Firms!$A$5:$A$1004,MATCH(888,Firms!$S$5:$S$1004,0)),"")</f>
        <v/>
      </c>
      <c r="B912" s="57">
        <f>IF($A912="","",INDEX(Firms!$B$5:$B$1004,MATCH(888,Firms!$S$5:$S$1004,0)))</f>
        <v/>
      </c>
      <c r="C912" s="57">
        <f>IF($A912="","",COUNTIF('AFA Rates'!$A$5:$A$1004,$A912))</f>
        <v/>
      </c>
      <c r="D912" s="57">
        <f>IF(OR($A912="",D$24=""),"",IF(COUNTIFS('AFA Rates'!$A$5:$A$1004,$A912,'AFA Rates'!$B$5:$B$1004,D$24)&gt;0,"✓",""))</f>
        <v/>
      </c>
      <c r="E912" s="57">
        <f>IF(OR($A912="",E$24=""),"",IF(COUNTIFS('AFA Rates'!$A$5:$A$1004,$A912,'AFA Rates'!$B$5:$B$1004,E$24)&gt;0,"✓",""))</f>
        <v/>
      </c>
      <c r="F912" s="57">
        <f>IF(OR($A912="",F$24=""),"",IF(COUNTIFS('AFA Rates'!$A$5:$A$1004,$A912,'AFA Rates'!$B$5:$B$1004,F$24)&gt;0,"✓",""))</f>
        <v/>
      </c>
      <c r="G912" s="57">
        <f>IF(OR($A912="",G$24=""),"",IF(COUNTIFS('AFA Rates'!$A$5:$A$1004,$A912,'AFA Rates'!$B$5:$B$1004,G$24)&gt;0,"✓",""))</f>
        <v/>
      </c>
      <c r="H912" s="57">
        <f>IF(OR($A912="",H$24=""),"",IF(COUNTIFS('AFA Rates'!$A$5:$A$1004,$A912,'AFA Rates'!$B$5:$B$1004,H$24)&gt;0,"✓",""))</f>
        <v/>
      </c>
      <c r="I912" s="57">
        <f>IF(OR($A912="",I$24=""),"",IF(COUNTIFS('AFA Rates'!$A$5:$A$1004,$A912,'AFA Rates'!$B$5:$B$1004,I$24)&gt;0,"✓",""))</f>
        <v/>
      </c>
      <c r="J912" s="57">
        <f>IF(OR($A912="",J$24=""),"",IF(COUNTIFS('AFA Rates'!$A$5:$A$1004,$A912,'AFA Rates'!$B$5:$B$1004,J$24)&gt;0,"✓",""))</f>
        <v/>
      </c>
      <c r="K912" s="57">
        <f>IF(OR($A912="",K$24=""),"",IF(COUNTIFS('AFA Rates'!$A$5:$A$1004,$A912,'AFA Rates'!$B$5:$B$1004,K$24)&gt;0,"✓",""))</f>
        <v/>
      </c>
      <c r="L912" s="57">
        <f>IF(OR($A912="",L$24=""),"",IF(COUNTIFS('AFA Rates'!$A$5:$A$1004,$A912,'AFA Rates'!$B$5:$B$1004,L$24)&gt;0,"✓",""))</f>
        <v/>
      </c>
      <c r="M912" s="57">
        <f>IF(OR($A912="",M$24=""),"",IF(COUNTIFS('AFA Rates'!$A$5:$A$1004,$A912,'AFA Rates'!$B$5:$B$1004,M$24)&gt;0,"✓",""))</f>
        <v/>
      </c>
    </row>
    <row r="913">
      <c r="A913" s="63">
        <f>IFERROR(INDEX(Firms!$A$5:$A$1004,MATCH(889,Firms!$S$5:$S$1004,0)),"")</f>
        <v/>
      </c>
      <c r="B913" s="57">
        <f>IF($A913="","",INDEX(Firms!$B$5:$B$1004,MATCH(889,Firms!$S$5:$S$1004,0)))</f>
        <v/>
      </c>
      <c r="C913" s="57">
        <f>IF($A913="","",COUNTIF('AFA Rates'!$A$5:$A$1004,$A913))</f>
        <v/>
      </c>
      <c r="D913" s="57">
        <f>IF(OR($A913="",D$24=""),"",IF(COUNTIFS('AFA Rates'!$A$5:$A$1004,$A913,'AFA Rates'!$B$5:$B$1004,D$24)&gt;0,"✓",""))</f>
        <v/>
      </c>
      <c r="E913" s="57">
        <f>IF(OR($A913="",E$24=""),"",IF(COUNTIFS('AFA Rates'!$A$5:$A$1004,$A913,'AFA Rates'!$B$5:$B$1004,E$24)&gt;0,"✓",""))</f>
        <v/>
      </c>
      <c r="F913" s="57">
        <f>IF(OR($A913="",F$24=""),"",IF(COUNTIFS('AFA Rates'!$A$5:$A$1004,$A913,'AFA Rates'!$B$5:$B$1004,F$24)&gt;0,"✓",""))</f>
        <v/>
      </c>
      <c r="G913" s="57">
        <f>IF(OR($A913="",G$24=""),"",IF(COUNTIFS('AFA Rates'!$A$5:$A$1004,$A913,'AFA Rates'!$B$5:$B$1004,G$24)&gt;0,"✓",""))</f>
        <v/>
      </c>
      <c r="H913" s="57">
        <f>IF(OR($A913="",H$24=""),"",IF(COUNTIFS('AFA Rates'!$A$5:$A$1004,$A913,'AFA Rates'!$B$5:$B$1004,H$24)&gt;0,"✓",""))</f>
        <v/>
      </c>
      <c r="I913" s="57">
        <f>IF(OR($A913="",I$24=""),"",IF(COUNTIFS('AFA Rates'!$A$5:$A$1004,$A913,'AFA Rates'!$B$5:$B$1004,I$24)&gt;0,"✓",""))</f>
        <v/>
      </c>
      <c r="J913" s="57">
        <f>IF(OR($A913="",J$24=""),"",IF(COUNTIFS('AFA Rates'!$A$5:$A$1004,$A913,'AFA Rates'!$B$5:$B$1004,J$24)&gt;0,"✓",""))</f>
        <v/>
      </c>
      <c r="K913" s="57">
        <f>IF(OR($A913="",K$24=""),"",IF(COUNTIFS('AFA Rates'!$A$5:$A$1004,$A913,'AFA Rates'!$B$5:$B$1004,K$24)&gt;0,"✓",""))</f>
        <v/>
      </c>
      <c r="L913" s="57">
        <f>IF(OR($A913="",L$24=""),"",IF(COUNTIFS('AFA Rates'!$A$5:$A$1004,$A913,'AFA Rates'!$B$5:$B$1004,L$24)&gt;0,"✓",""))</f>
        <v/>
      </c>
      <c r="M913" s="57">
        <f>IF(OR($A913="",M$24=""),"",IF(COUNTIFS('AFA Rates'!$A$5:$A$1004,$A913,'AFA Rates'!$B$5:$B$1004,M$24)&gt;0,"✓",""))</f>
        <v/>
      </c>
    </row>
    <row r="914">
      <c r="A914" s="63">
        <f>IFERROR(INDEX(Firms!$A$5:$A$1004,MATCH(890,Firms!$S$5:$S$1004,0)),"")</f>
        <v/>
      </c>
      <c r="B914" s="57">
        <f>IF($A914="","",INDEX(Firms!$B$5:$B$1004,MATCH(890,Firms!$S$5:$S$1004,0)))</f>
        <v/>
      </c>
      <c r="C914" s="57">
        <f>IF($A914="","",COUNTIF('AFA Rates'!$A$5:$A$1004,$A914))</f>
        <v/>
      </c>
      <c r="D914" s="57">
        <f>IF(OR($A914="",D$24=""),"",IF(COUNTIFS('AFA Rates'!$A$5:$A$1004,$A914,'AFA Rates'!$B$5:$B$1004,D$24)&gt;0,"✓",""))</f>
        <v/>
      </c>
      <c r="E914" s="57">
        <f>IF(OR($A914="",E$24=""),"",IF(COUNTIFS('AFA Rates'!$A$5:$A$1004,$A914,'AFA Rates'!$B$5:$B$1004,E$24)&gt;0,"✓",""))</f>
        <v/>
      </c>
      <c r="F914" s="57">
        <f>IF(OR($A914="",F$24=""),"",IF(COUNTIFS('AFA Rates'!$A$5:$A$1004,$A914,'AFA Rates'!$B$5:$B$1004,F$24)&gt;0,"✓",""))</f>
        <v/>
      </c>
      <c r="G914" s="57">
        <f>IF(OR($A914="",G$24=""),"",IF(COUNTIFS('AFA Rates'!$A$5:$A$1004,$A914,'AFA Rates'!$B$5:$B$1004,G$24)&gt;0,"✓",""))</f>
        <v/>
      </c>
      <c r="H914" s="57">
        <f>IF(OR($A914="",H$24=""),"",IF(COUNTIFS('AFA Rates'!$A$5:$A$1004,$A914,'AFA Rates'!$B$5:$B$1004,H$24)&gt;0,"✓",""))</f>
        <v/>
      </c>
      <c r="I914" s="57">
        <f>IF(OR($A914="",I$24=""),"",IF(COUNTIFS('AFA Rates'!$A$5:$A$1004,$A914,'AFA Rates'!$B$5:$B$1004,I$24)&gt;0,"✓",""))</f>
        <v/>
      </c>
      <c r="J914" s="57">
        <f>IF(OR($A914="",J$24=""),"",IF(COUNTIFS('AFA Rates'!$A$5:$A$1004,$A914,'AFA Rates'!$B$5:$B$1004,J$24)&gt;0,"✓",""))</f>
        <v/>
      </c>
      <c r="K914" s="57">
        <f>IF(OR($A914="",K$24=""),"",IF(COUNTIFS('AFA Rates'!$A$5:$A$1004,$A914,'AFA Rates'!$B$5:$B$1004,K$24)&gt;0,"✓",""))</f>
        <v/>
      </c>
      <c r="L914" s="57">
        <f>IF(OR($A914="",L$24=""),"",IF(COUNTIFS('AFA Rates'!$A$5:$A$1004,$A914,'AFA Rates'!$B$5:$B$1004,L$24)&gt;0,"✓",""))</f>
        <v/>
      </c>
      <c r="M914" s="57">
        <f>IF(OR($A914="",M$24=""),"",IF(COUNTIFS('AFA Rates'!$A$5:$A$1004,$A914,'AFA Rates'!$B$5:$B$1004,M$24)&gt;0,"✓",""))</f>
        <v/>
      </c>
    </row>
    <row r="915">
      <c r="A915" s="63">
        <f>IFERROR(INDEX(Firms!$A$5:$A$1004,MATCH(891,Firms!$S$5:$S$1004,0)),"")</f>
        <v/>
      </c>
      <c r="B915" s="57">
        <f>IF($A915="","",INDEX(Firms!$B$5:$B$1004,MATCH(891,Firms!$S$5:$S$1004,0)))</f>
        <v/>
      </c>
      <c r="C915" s="57">
        <f>IF($A915="","",COUNTIF('AFA Rates'!$A$5:$A$1004,$A915))</f>
        <v/>
      </c>
      <c r="D915" s="57">
        <f>IF(OR($A915="",D$24=""),"",IF(COUNTIFS('AFA Rates'!$A$5:$A$1004,$A915,'AFA Rates'!$B$5:$B$1004,D$24)&gt;0,"✓",""))</f>
        <v/>
      </c>
      <c r="E915" s="57">
        <f>IF(OR($A915="",E$24=""),"",IF(COUNTIFS('AFA Rates'!$A$5:$A$1004,$A915,'AFA Rates'!$B$5:$B$1004,E$24)&gt;0,"✓",""))</f>
        <v/>
      </c>
      <c r="F915" s="57">
        <f>IF(OR($A915="",F$24=""),"",IF(COUNTIFS('AFA Rates'!$A$5:$A$1004,$A915,'AFA Rates'!$B$5:$B$1004,F$24)&gt;0,"✓",""))</f>
        <v/>
      </c>
      <c r="G915" s="57">
        <f>IF(OR($A915="",G$24=""),"",IF(COUNTIFS('AFA Rates'!$A$5:$A$1004,$A915,'AFA Rates'!$B$5:$B$1004,G$24)&gt;0,"✓",""))</f>
        <v/>
      </c>
      <c r="H915" s="57">
        <f>IF(OR($A915="",H$24=""),"",IF(COUNTIFS('AFA Rates'!$A$5:$A$1004,$A915,'AFA Rates'!$B$5:$B$1004,H$24)&gt;0,"✓",""))</f>
        <v/>
      </c>
      <c r="I915" s="57">
        <f>IF(OR($A915="",I$24=""),"",IF(COUNTIFS('AFA Rates'!$A$5:$A$1004,$A915,'AFA Rates'!$B$5:$B$1004,I$24)&gt;0,"✓",""))</f>
        <v/>
      </c>
      <c r="J915" s="57">
        <f>IF(OR($A915="",J$24=""),"",IF(COUNTIFS('AFA Rates'!$A$5:$A$1004,$A915,'AFA Rates'!$B$5:$B$1004,J$24)&gt;0,"✓",""))</f>
        <v/>
      </c>
      <c r="K915" s="57">
        <f>IF(OR($A915="",K$24=""),"",IF(COUNTIFS('AFA Rates'!$A$5:$A$1004,$A915,'AFA Rates'!$B$5:$B$1004,K$24)&gt;0,"✓",""))</f>
        <v/>
      </c>
      <c r="L915" s="57">
        <f>IF(OR($A915="",L$24=""),"",IF(COUNTIFS('AFA Rates'!$A$5:$A$1004,$A915,'AFA Rates'!$B$5:$B$1004,L$24)&gt;0,"✓",""))</f>
        <v/>
      </c>
      <c r="M915" s="57">
        <f>IF(OR($A915="",M$24=""),"",IF(COUNTIFS('AFA Rates'!$A$5:$A$1004,$A915,'AFA Rates'!$B$5:$B$1004,M$24)&gt;0,"✓",""))</f>
        <v/>
      </c>
    </row>
    <row r="916">
      <c r="A916" s="63">
        <f>IFERROR(INDEX(Firms!$A$5:$A$1004,MATCH(892,Firms!$S$5:$S$1004,0)),"")</f>
        <v/>
      </c>
      <c r="B916" s="57">
        <f>IF($A916="","",INDEX(Firms!$B$5:$B$1004,MATCH(892,Firms!$S$5:$S$1004,0)))</f>
        <v/>
      </c>
      <c r="C916" s="57">
        <f>IF($A916="","",COUNTIF('AFA Rates'!$A$5:$A$1004,$A916))</f>
        <v/>
      </c>
      <c r="D916" s="57">
        <f>IF(OR($A916="",D$24=""),"",IF(COUNTIFS('AFA Rates'!$A$5:$A$1004,$A916,'AFA Rates'!$B$5:$B$1004,D$24)&gt;0,"✓",""))</f>
        <v/>
      </c>
      <c r="E916" s="57">
        <f>IF(OR($A916="",E$24=""),"",IF(COUNTIFS('AFA Rates'!$A$5:$A$1004,$A916,'AFA Rates'!$B$5:$B$1004,E$24)&gt;0,"✓",""))</f>
        <v/>
      </c>
      <c r="F916" s="57">
        <f>IF(OR($A916="",F$24=""),"",IF(COUNTIFS('AFA Rates'!$A$5:$A$1004,$A916,'AFA Rates'!$B$5:$B$1004,F$24)&gt;0,"✓",""))</f>
        <v/>
      </c>
      <c r="G916" s="57">
        <f>IF(OR($A916="",G$24=""),"",IF(COUNTIFS('AFA Rates'!$A$5:$A$1004,$A916,'AFA Rates'!$B$5:$B$1004,G$24)&gt;0,"✓",""))</f>
        <v/>
      </c>
      <c r="H916" s="57">
        <f>IF(OR($A916="",H$24=""),"",IF(COUNTIFS('AFA Rates'!$A$5:$A$1004,$A916,'AFA Rates'!$B$5:$B$1004,H$24)&gt;0,"✓",""))</f>
        <v/>
      </c>
      <c r="I916" s="57">
        <f>IF(OR($A916="",I$24=""),"",IF(COUNTIFS('AFA Rates'!$A$5:$A$1004,$A916,'AFA Rates'!$B$5:$B$1004,I$24)&gt;0,"✓",""))</f>
        <v/>
      </c>
      <c r="J916" s="57">
        <f>IF(OR($A916="",J$24=""),"",IF(COUNTIFS('AFA Rates'!$A$5:$A$1004,$A916,'AFA Rates'!$B$5:$B$1004,J$24)&gt;0,"✓",""))</f>
        <v/>
      </c>
      <c r="K916" s="57">
        <f>IF(OR($A916="",K$24=""),"",IF(COUNTIFS('AFA Rates'!$A$5:$A$1004,$A916,'AFA Rates'!$B$5:$B$1004,K$24)&gt;0,"✓",""))</f>
        <v/>
      </c>
      <c r="L916" s="57">
        <f>IF(OR($A916="",L$24=""),"",IF(COUNTIFS('AFA Rates'!$A$5:$A$1004,$A916,'AFA Rates'!$B$5:$B$1004,L$24)&gt;0,"✓",""))</f>
        <v/>
      </c>
      <c r="M916" s="57">
        <f>IF(OR($A916="",M$24=""),"",IF(COUNTIFS('AFA Rates'!$A$5:$A$1004,$A916,'AFA Rates'!$B$5:$B$1004,M$24)&gt;0,"✓",""))</f>
        <v/>
      </c>
    </row>
    <row r="917">
      <c r="A917" s="63">
        <f>IFERROR(INDEX(Firms!$A$5:$A$1004,MATCH(893,Firms!$S$5:$S$1004,0)),"")</f>
        <v/>
      </c>
      <c r="B917" s="57">
        <f>IF($A917="","",INDEX(Firms!$B$5:$B$1004,MATCH(893,Firms!$S$5:$S$1004,0)))</f>
        <v/>
      </c>
      <c r="C917" s="57">
        <f>IF($A917="","",COUNTIF('AFA Rates'!$A$5:$A$1004,$A917))</f>
        <v/>
      </c>
      <c r="D917" s="57">
        <f>IF(OR($A917="",D$24=""),"",IF(COUNTIFS('AFA Rates'!$A$5:$A$1004,$A917,'AFA Rates'!$B$5:$B$1004,D$24)&gt;0,"✓",""))</f>
        <v/>
      </c>
      <c r="E917" s="57">
        <f>IF(OR($A917="",E$24=""),"",IF(COUNTIFS('AFA Rates'!$A$5:$A$1004,$A917,'AFA Rates'!$B$5:$B$1004,E$24)&gt;0,"✓",""))</f>
        <v/>
      </c>
      <c r="F917" s="57">
        <f>IF(OR($A917="",F$24=""),"",IF(COUNTIFS('AFA Rates'!$A$5:$A$1004,$A917,'AFA Rates'!$B$5:$B$1004,F$24)&gt;0,"✓",""))</f>
        <v/>
      </c>
      <c r="G917" s="57">
        <f>IF(OR($A917="",G$24=""),"",IF(COUNTIFS('AFA Rates'!$A$5:$A$1004,$A917,'AFA Rates'!$B$5:$B$1004,G$24)&gt;0,"✓",""))</f>
        <v/>
      </c>
      <c r="H917" s="57">
        <f>IF(OR($A917="",H$24=""),"",IF(COUNTIFS('AFA Rates'!$A$5:$A$1004,$A917,'AFA Rates'!$B$5:$B$1004,H$24)&gt;0,"✓",""))</f>
        <v/>
      </c>
      <c r="I917" s="57">
        <f>IF(OR($A917="",I$24=""),"",IF(COUNTIFS('AFA Rates'!$A$5:$A$1004,$A917,'AFA Rates'!$B$5:$B$1004,I$24)&gt;0,"✓",""))</f>
        <v/>
      </c>
      <c r="J917" s="57">
        <f>IF(OR($A917="",J$24=""),"",IF(COUNTIFS('AFA Rates'!$A$5:$A$1004,$A917,'AFA Rates'!$B$5:$B$1004,J$24)&gt;0,"✓",""))</f>
        <v/>
      </c>
      <c r="K917" s="57">
        <f>IF(OR($A917="",K$24=""),"",IF(COUNTIFS('AFA Rates'!$A$5:$A$1004,$A917,'AFA Rates'!$B$5:$B$1004,K$24)&gt;0,"✓",""))</f>
        <v/>
      </c>
      <c r="L917" s="57">
        <f>IF(OR($A917="",L$24=""),"",IF(COUNTIFS('AFA Rates'!$A$5:$A$1004,$A917,'AFA Rates'!$B$5:$B$1004,L$24)&gt;0,"✓",""))</f>
        <v/>
      </c>
      <c r="M917" s="57">
        <f>IF(OR($A917="",M$24=""),"",IF(COUNTIFS('AFA Rates'!$A$5:$A$1004,$A917,'AFA Rates'!$B$5:$B$1004,M$24)&gt;0,"✓",""))</f>
        <v/>
      </c>
    </row>
    <row r="918">
      <c r="A918" s="63">
        <f>IFERROR(INDEX(Firms!$A$5:$A$1004,MATCH(894,Firms!$S$5:$S$1004,0)),"")</f>
        <v/>
      </c>
      <c r="B918" s="57">
        <f>IF($A918="","",INDEX(Firms!$B$5:$B$1004,MATCH(894,Firms!$S$5:$S$1004,0)))</f>
        <v/>
      </c>
      <c r="C918" s="57">
        <f>IF($A918="","",COUNTIF('AFA Rates'!$A$5:$A$1004,$A918))</f>
        <v/>
      </c>
      <c r="D918" s="57">
        <f>IF(OR($A918="",D$24=""),"",IF(COUNTIFS('AFA Rates'!$A$5:$A$1004,$A918,'AFA Rates'!$B$5:$B$1004,D$24)&gt;0,"✓",""))</f>
        <v/>
      </c>
      <c r="E918" s="57">
        <f>IF(OR($A918="",E$24=""),"",IF(COUNTIFS('AFA Rates'!$A$5:$A$1004,$A918,'AFA Rates'!$B$5:$B$1004,E$24)&gt;0,"✓",""))</f>
        <v/>
      </c>
      <c r="F918" s="57">
        <f>IF(OR($A918="",F$24=""),"",IF(COUNTIFS('AFA Rates'!$A$5:$A$1004,$A918,'AFA Rates'!$B$5:$B$1004,F$24)&gt;0,"✓",""))</f>
        <v/>
      </c>
      <c r="G918" s="57">
        <f>IF(OR($A918="",G$24=""),"",IF(COUNTIFS('AFA Rates'!$A$5:$A$1004,$A918,'AFA Rates'!$B$5:$B$1004,G$24)&gt;0,"✓",""))</f>
        <v/>
      </c>
      <c r="H918" s="57">
        <f>IF(OR($A918="",H$24=""),"",IF(COUNTIFS('AFA Rates'!$A$5:$A$1004,$A918,'AFA Rates'!$B$5:$B$1004,H$24)&gt;0,"✓",""))</f>
        <v/>
      </c>
      <c r="I918" s="57">
        <f>IF(OR($A918="",I$24=""),"",IF(COUNTIFS('AFA Rates'!$A$5:$A$1004,$A918,'AFA Rates'!$B$5:$B$1004,I$24)&gt;0,"✓",""))</f>
        <v/>
      </c>
      <c r="J918" s="57">
        <f>IF(OR($A918="",J$24=""),"",IF(COUNTIFS('AFA Rates'!$A$5:$A$1004,$A918,'AFA Rates'!$B$5:$B$1004,J$24)&gt;0,"✓",""))</f>
        <v/>
      </c>
      <c r="K918" s="57">
        <f>IF(OR($A918="",K$24=""),"",IF(COUNTIFS('AFA Rates'!$A$5:$A$1004,$A918,'AFA Rates'!$B$5:$B$1004,K$24)&gt;0,"✓",""))</f>
        <v/>
      </c>
      <c r="L918" s="57">
        <f>IF(OR($A918="",L$24=""),"",IF(COUNTIFS('AFA Rates'!$A$5:$A$1004,$A918,'AFA Rates'!$B$5:$B$1004,L$24)&gt;0,"✓",""))</f>
        <v/>
      </c>
      <c r="M918" s="57">
        <f>IF(OR($A918="",M$24=""),"",IF(COUNTIFS('AFA Rates'!$A$5:$A$1004,$A918,'AFA Rates'!$B$5:$B$1004,M$24)&gt;0,"✓",""))</f>
        <v/>
      </c>
    </row>
    <row r="919">
      <c r="A919" s="63">
        <f>IFERROR(INDEX(Firms!$A$5:$A$1004,MATCH(895,Firms!$S$5:$S$1004,0)),"")</f>
        <v/>
      </c>
      <c r="B919" s="57">
        <f>IF($A919="","",INDEX(Firms!$B$5:$B$1004,MATCH(895,Firms!$S$5:$S$1004,0)))</f>
        <v/>
      </c>
      <c r="C919" s="57">
        <f>IF($A919="","",COUNTIF('AFA Rates'!$A$5:$A$1004,$A919))</f>
        <v/>
      </c>
      <c r="D919" s="57">
        <f>IF(OR($A919="",D$24=""),"",IF(COUNTIFS('AFA Rates'!$A$5:$A$1004,$A919,'AFA Rates'!$B$5:$B$1004,D$24)&gt;0,"✓",""))</f>
        <v/>
      </c>
      <c r="E919" s="57">
        <f>IF(OR($A919="",E$24=""),"",IF(COUNTIFS('AFA Rates'!$A$5:$A$1004,$A919,'AFA Rates'!$B$5:$B$1004,E$24)&gt;0,"✓",""))</f>
        <v/>
      </c>
      <c r="F919" s="57">
        <f>IF(OR($A919="",F$24=""),"",IF(COUNTIFS('AFA Rates'!$A$5:$A$1004,$A919,'AFA Rates'!$B$5:$B$1004,F$24)&gt;0,"✓",""))</f>
        <v/>
      </c>
      <c r="G919" s="57">
        <f>IF(OR($A919="",G$24=""),"",IF(COUNTIFS('AFA Rates'!$A$5:$A$1004,$A919,'AFA Rates'!$B$5:$B$1004,G$24)&gt;0,"✓",""))</f>
        <v/>
      </c>
      <c r="H919" s="57">
        <f>IF(OR($A919="",H$24=""),"",IF(COUNTIFS('AFA Rates'!$A$5:$A$1004,$A919,'AFA Rates'!$B$5:$B$1004,H$24)&gt;0,"✓",""))</f>
        <v/>
      </c>
      <c r="I919" s="57">
        <f>IF(OR($A919="",I$24=""),"",IF(COUNTIFS('AFA Rates'!$A$5:$A$1004,$A919,'AFA Rates'!$B$5:$B$1004,I$24)&gt;0,"✓",""))</f>
        <v/>
      </c>
      <c r="J919" s="57">
        <f>IF(OR($A919="",J$24=""),"",IF(COUNTIFS('AFA Rates'!$A$5:$A$1004,$A919,'AFA Rates'!$B$5:$B$1004,J$24)&gt;0,"✓",""))</f>
        <v/>
      </c>
      <c r="K919" s="57">
        <f>IF(OR($A919="",K$24=""),"",IF(COUNTIFS('AFA Rates'!$A$5:$A$1004,$A919,'AFA Rates'!$B$5:$B$1004,K$24)&gt;0,"✓",""))</f>
        <v/>
      </c>
      <c r="L919" s="57">
        <f>IF(OR($A919="",L$24=""),"",IF(COUNTIFS('AFA Rates'!$A$5:$A$1004,$A919,'AFA Rates'!$B$5:$B$1004,L$24)&gt;0,"✓",""))</f>
        <v/>
      </c>
      <c r="M919" s="57">
        <f>IF(OR($A919="",M$24=""),"",IF(COUNTIFS('AFA Rates'!$A$5:$A$1004,$A919,'AFA Rates'!$B$5:$B$1004,M$24)&gt;0,"✓",""))</f>
        <v/>
      </c>
    </row>
    <row r="920">
      <c r="A920" s="63">
        <f>IFERROR(INDEX(Firms!$A$5:$A$1004,MATCH(896,Firms!$S$5:$S$1004,0)),"")</f>
        <v/>
      </c>
      <c r="B920" s="57">
        <f>IF($A920="","",INDEX(Firms!$B$5:$B$1004,MATCH(896,Firms!$S$5:$S$1004,0)))</f>
        <v/>
      </c>
      <c r="C920" s="57">
        <f>IF($A920="","",COUNTIF('AFA Rates'!$A$5:$A$1004,$A920))</f>
        <v/>
      </c>
      <c r="D920" s="57">
        <f>IF(OR($A920="",D$24=""),"",IF(COUNTIFS('AFA Rates'!$A$5:$A$1004,$A920,'AFA Rates'!$B$5:$B$1004,D$24)&gt;0,"✓",""))</f>
        <v/>
      </c>
      <c r="E920" s="57">
        <f>IF(OR($A920="",E$24=""),"",IF(COUNTIFS('AFA Rates'!$A$5:$A$1004,$A920,'AFA Rates'!$B$5:$B$1004,E$24)&gt;0,"✓",""))</f>
        <v/>
      </c>
      <c r="F920" s="57">
        <f>IF(OR($A920="",F$24=""),"",IF(COUNTIFS('AFA Rates'!$A$5:$A$1004,$A920,'AFA Rates'!$B$5:$B$1004,F$24)&gt;0,"✓",""))</f>
        <v/>
      </c>
      <c r="G920" s="57">
        <f>IF(OR($A920="",G$24=""),"",IF(COUNTIFS('AFA Rates'!$A$5:$A$1004,$A920,'AFA Rates'!$B$5:$B$1004,G$24)&gt;0,"✓",""))</f>
        <v/>
      </c>
      <c r="H920" s="57">
        <f>IF(OR($A920="",H$24=""),"",IF(COUNTIFS('AFA Rates'!$A$5:$A$1004,$A920,'AFA Rates'!$B$5:$B$1004,H$24)&gt;0,"✓",""))</f>
        <v/>
      </c>
      <c r="I920" s="57">
        <f>IF(OR($A920="",I$24=""),"",IF(COUNTIFS('AFA Rates'!$A$5:$A$1004,$A920,'AFA Rates'!$B$5:$B$1004,I$24)&gt;0,"✓",""))</f>
        <v/>
      </c>
      <c r="J920" s="57">
        <f>IF(OR($A920="",J$24=""),"",IF(COUNTIFS('AFA Rates'!$A$5:$A$1004,$A920,'AFA Rates'!$B$5:$B$1004,J$24)&gt;0,"✓",""))</f>
        <v/>
      </c>
      <c r="K920" s="57">
        <f>IF(OR($A920="",K$24=""),"",IF(COUNTIFS('AFA Rates'!$A$5:$A$1004,$A920,'AFA Rates'!$B$5:$B$1004,K$24)&gt;0,"✓",""))</f>
        <v/>
      </c>
      <c r="L920" s="57">
        <f>IF(OR($A920="",L$24=""),"",IF(COUNTIFS('AFA Rates'!$A$5:$A$1004,$A920,'AFA Rates'!$B$5:$B$1004,L$24)&gt;0,"✓",""))</f>
        <v/>
      </c>
      <c r="M920" s="57">
        <f>IF(OR($A920="",M$24=""),"",IF(COUNTIFS('AFA Rates'!$A$5:$A$1004,$A920,'AFA Rates'!$B$5:$B$1004,M$24)&gt;0,"✓",""))</f>
        <v/>
      </c>
    </row>
    <row r="921">
      <c r="A921" s="63">
        <f>IFERROR(INDEX(Firms!$A$5:$A$1004,MATCH(897,Firms!$S$5:$S$1004,0)),"")</f>
        <v/>
      </c>
      <c r="B921" s="57">
        <f>IF($A921="","",INDEX(Firms!$B$5:$B$1004,MATCH(897,Firms!$S$5:$S$1004,0)))</f>
        <v/>
      </c>
      <c r="C921" s="57">
        <f>IF($A921="","",COUNTIF('AFA Rates'!$A$5:$A$1004,$A921))</f>
        <v/>
      </c>
      <c r="D921" s="57">
        <f>IF(OR($A921="",D$24=""),"",IF(COUNTIFS('AFA Rates'!$A$5:$A$1004,$A921,'AFA Rates'!$B$5:$B$1004,D$24)&gt;0,"✓",""))</f>
        <v/>
      </c>
      <c r="E921" s="57">
        <f>IF(OR($A921="",E$24=""),"",IF(COUNTIFS('AFA Rates'!$A$5:$A$1004,$A921,'AFA Rates'!$B$5:$B$1004,E$24)&gt;0,"✓",""))</f>
        <v/>
      </c>
      <c r="F921" s="57">
        <f>IF(OR($A921="",F$24=""),"",IF(COUNTIFS('AFA Rates'!$A$5:$A$1004,$A921,'AFA Rates'!$B$5:$B$1004,F$24)&gt;0,"✓",""))</f>
        <v/>
      </c>
      <c r="G921" s="57">
        <f>IF(OR($A921="",G$24=""),"",IF(COUNTIFS('AFA Rates'!$A$5:$A$1004,$A921,'AFA Rates'!$B$5:$B$1004,G$24)&gt;0,"✓",""))</f>
        <v/>
      </c>
      <c r="H921" s="57">
        <f>IF(OR($A921="",H$24=""),"",IF(COUNTIFS('AFA Rates'!$A$5:$A$1004,$A921,'AFA Rates'!$B$5:$B$1004,H$24)&gt;0,"✓",""))</f>
        <v/>
      </c>
      <c r="I921" s="57">
        <f>IF(OR($A921="",I$24=""),"",IF(COUNTIFS('AFA Rates'!$A$5:$A$1004,$A921,'AFA Rates'!$B$5:$B$1004,I$24)&gt;0,"✓",""))</f>
        <v/>
      </c>
      <c r="J921" s="57">
        <f>IF(OR($A921="",J$24=""),"",IF(COUNTIFS('AFA Rates'!$A$5:$A$1004,$A921,'AFA Rates'!$B$5:$B$1004,J$24)&gt;0,"✓",""))</f>
        <v/>
      </c>
      <c r="K921" s="57">
        <f>IF(OR($A921="",K$24=""),"",IF(COUNTIFS('AFA Rates'!$A$5:$A$1004,$A921,'AFA Rates'!$B$5:$B$1004,K$24)&gt;0,"✓",""))</f>
        <v/>
      </c>
      <c r="L921" s="57">
        <f>IF(OR($A921="",L$24=""),"",IF(COUNTIFS('AFA Rates'!$A$5:$A$1004,$A921,'AFA Rates'!$B$5:$B$1004,L$24)&gt;0,"✓",""))</f>
        <v/>
      </c>
      <c r="M921" s="57">
        <f>IF(OR($A921="",M$24=""),"",IF(COUNTIFS('AFA Rates'!$A$5:$A$1004,$A921,'AFA Rates'!$B$5:$B$1004,M$24)&gt;0,"✓",""))</f>
        <v/>
      </c>
    </row>
    <row r="922">
      <c r="A922" s="63">
        <f>IFERROR(INDEX(Firms!$A$5:$A$1004,MATCH(898,Firms!$S$5:$S$1004,0)),"")</f>
        <v/>
      </c>
      <c r="B922" s="57">
        <f>IF($A922="","",INDEX(Firms!$B$5:$B$1004,MATCH(898,Firms!$S$5:$S$1004,0)))</f>
        <v/>
      </c>
      <c r="C922" s="57">
        <f>IF($A922="","",COUNTIF('AFA Rates'!$A$5:$A$1004,$A922))</f>
        <v/>
      </c>
      <c r="D922" s="57">
        <f>IF(OR($A922="",D$24=""),"",IF(COUNTIFS('AFA Rates'!$A$5:$A$1004,$A922,'AFA Rates'!$B$5:$B$1004,D$24)&gt;0,"✓",""))</f>
        <v/>
      </c>
      <c r="E922" s="57">
        <f>IF(OR($A922="",E$24=""),"",IF(COUNTIFS('AFA Rates'!$A$5:$A$1004,$A922,'AFA Rates'!$B$5:$B$1004,E$24)&gt;0,"✓",""))</f>
        <v/>
      </c>
      <c r="F922" s="57">
        <f>IF(OR($A922="",F$24=""),"",IF(COUNTIFS('AFA Rates'!$A$5:$A$1004,$A922,'AFA Rates'!$B$5:$B$1004,F$24)&gt;0,"✓",""))</f>
        <v/>
      </c>
      <c r="G922" s="57">
        <f>IF(OR($A922="",G$24=""),"",IF(COUNTIFS('AFA Rates'!$A$5:$A$1004,$A922,'AFA Rates'!$B$5:$B$1004,G$24)&gt;0,"✓",""))</f>
        <v/>
      </c>
      <c r="H922" s="57">
        <f>IF(OR($A922="",H$24=""),"",IF(COUNTIFS('AFA Rates'!$A$5:$A$1004,$A922,'AFA Rates'!$B$5:$B$1004,H$24)&gt;0,"✓",""))</f>
        <v/>
      </c>
      <c r="I922" s="57">
        <f>IF(OR($A922="",I$24=""),"",IF(COUNTIFS('AFA Rates'!$A$5:$A$1004,$A922,'AFA Rates'!$B$5:$B$1004,I$24)&gt;0,"✓",""))</f>
        <v/>
      </c>
      <c r="J922" s="57">
        <f>IF(OR($A922="",J$24=""),"",IF(COUNTIFS('AFA Rates'!$A$5:$A$1004,$A922,'AFA Rates'!$B$5:$B$1004,J$24)&gt;0,"✓",""))</f>
        <v/>
      </c>
      <c r="K922" s="57">
        <f>IF(OR($A922="",K$24=""),"",IF(COUNTIFS('AFA Rates'!$A$5:$A$1004,$A922,'AFA Rates'!$B$5:$B$1004,K$24)&gt;0,"✓",""))</f>
        <v/>
      </c>
      <c r="L922" s="57">
        <f>IF(OR($A922="",L$24=""),"",IF(COUNTIFS('AFA Rates'!$A$5:$A$1004,$A922,'AFA Rates'!$B$5:$B$1004,L$24)&gt;0,"✓",""))</f>
        <v/>
      </c>
      <c r="M922" s="57">
        <f>IF(OR($A922="",M$24=""),"",IF(COUNTIFS('AFA Rates'!$A$5:$A$1004,$A922,'AFA Rates'!$B$5:$B$1004,M$24)&gt;0,"✓",""))</f>
        <v/>
      </c>
    </row>
    <row r="923">
      <c r="A923" s="63">
        <f>IFERROR(INDEX(Firms!$A$5:$A$1004,MATCH(899,Firms!$S$5:$S$1004,0)),"")</f>
        <v/>
      </c>
      <c r="B923" s="57">
        <f>IF($A923="","",INDEX(Firms!$B$5:$B$1004,MATCH(899,Firms!$S$5:$S$1004,0)))</f>
        <v/>
      </c>
      <c r="C923" s="57">
        <f>IF($A923="","",COUNTIF('AFA Rates'!$A$5:$A$1004,$A923))</f>
        <v/>
      </c>
      <c r="D923" s="57">
        <f>IF(OR($A923="",D$24=""),"",IF(COUNTIFS('AFA Rates'!$A$5:$A$1004,$A923,'AFA Rates'!$B$5:$B$1004,D$24)&gt;0,"✓",""))</f>
        <v/>
      </c>
      <c r="E923" s="57">
        <f>IF(OR($A923="",E$24=""),"",IF(COUNTIFS('AFA Rates'!$A$5:$A$1004,$A923,'AFA Rates'!$B$5:$B$1004,E$24)&gt;0,"✓",""))</f>
        <v/>
      </c>
      <c r="F923" s="57">
        <f>IF(OR($A923="",F$24=""),"",IF(COUNTIFS('AFA Rates'!$A$5:$A$1004,$A923,'AFA Rates'!$B$5:$B$1004,F$24)&gt;0,"✓",""))</f>
        <v/>
      </c>
      <c r="G923" s="57">
        <f>IF(OR($A923="",G$24=""),"",IF(COUNTIFS('AFA Rates'!$A$5:$A$1004,$A923,'AFA Rates'!$B$5:$B$1004,G$24)&gt;0,"✓",""))</f>
        <v/>
      </c>
      <c r="H923" s="57">
        <f>IF(OR($A923="",H$24=""),"",IF(COUNTIFS('AFA Rates'!$A$5:$A$1004,$A923,'AFA Rates'!$B$5:$B$1004,H$24)&gt;0,"✓",""))</f>
        <v/>
      </c>
      <c r="I923" s="57">
        <f>IF(OR($A923="",I$24=""),"",IF(COUNTIFS('AFA Rates'!$A$5:$A$1004,$A923,'AFA Rates'!$B$5:$B$1004,I$24)&gt;0,"✓",""))</f>
        <v/>
      </c>
      <c r="J923" s="57">
        <f>IF(OR($A923="",J$24=""),"",IF(COUNTIFS('AFA Rates'!$A$5:$A$1004,$A923,'AFA Rates'!$B$5:$B$1004,J$24)&gt;0,"✓",""))</f>
        <v/>
      </c>
      <c r="K923" s="57">
        <f>IF(OR($A923="",K$24=""),"",IF(COUNTIFS('AFA Rates'!$A$5:$A$1004,$A923,'AFA Rates'!$B$5:$B$1004,K$24)&gt;0,"✓",""))</f>
        <v/>
      </c>
      <c r="L923" s="57">
        <f>IF(OR($A923="",L$24=""),"",IF(COUNTIFS('AFA Rates'!$A$5:$A$1004,$A923,'AFA Rates'!$B$5:$B$1004,L$24)&gt;0,"✓",""))</f>
        <v/>
      </c>
      <c r="M923" s="57">
        <f>IF(OR($A923="",M$24=""),"",IF(COUNTIFS('AFA Rates'!$A$5:$A$1004,$A923,'AFA Rates'!$B$5:$B$1004,M$24)&gt;0,"✓",""))</f>
        <v/>
      </c>
    </row>
    <row r="924">
      <c r="A924" s="63">
        <f>IFERROR(INDEX(Firms!$A$5:$A$1004,MATCH(900,Firms!$S$5:$S$1004,0)),"")</f>
        <v/>
      </c>
      <c r="B924" s="57">
        <f>IF($A924="","",INDEX(Firms!$B$5:$B$1004,MATCH(900,Firms!$S$5:$S$1004,0)))</f>
        <v/>
      </c>
      <c r="C924" s="57">
        <f>IF($A924="","",COUNTIF('AFA Rates'!$A$5:$A$1004,$A924))</f>
        <v/>
      </c>
      <c r="D924" s="57">
        <f>IF(OR($A924="",D$24=""),"",IF(COUNTIFS('AFA Rates'!$A$5:$A$1004,$A924,'AFA Rates'!$B$5:$B$1004,D$24)&gt;0,"✓",""))</f>
        <v/>
      </c>
      <c r="E924" s="57">
        <f>IF(OR($A924="",E$24=""),"",IF(COUNTIFS('AFA Rates'!$A$5:$A$1004,$A924,'AFA Rates'!$B$5:$B$1004,E$24)&gt;0,"✓",""))</f>
        <v/>
      </c>
      <c r="F924" s="57">
        <f>IF(OR($A924="",F$24=""),"",IF(COUNTIFS('AFA Rates'!$A$5:$A$1004,$A924,'AFA Rates'!$B$5:$B$1004,F$24)&gt;0,"✓",""))</f>
        <v/>
      </c>
      <c r="G924" s="57">
        <f>IF(OR($A924="",G$24=""),"",IF(COUNTIFS('AFA Rates'!$A$5:$A$1004,$A924,'AFA Rates'!$B$5:$B$1004,G$24)&gt;0,"✓",""))</f>
        <v/>
      </c>
      <c r="H924" s="57">
        <f>IF(OR($A924="",H$24=""),"",IF(COUNTIFS('AFA Rates'!$A$5:$A$1004,$A924,'AFA Rates'!$B$5:$B$1004,H$24)&gt;0,"✓",""))</f>
        <v/>
      </c>
      <c r="I924" s="57">
        <f>IF(OR($A924="",I$24=""),"",IF(COUNTIFS('AFA Rates'!$A$5:$A$1004,$A924,'AFA Rates'!$B$5:$B$1004,I$24)&gt;0,"✓",""))</f>
        <v/>
      </c>
      <c r="J924" s="57">
        <f>IF(OR($A924="",J$24=""),"",IF(COUNTIFS('AFA Rates'!$A$5:$A$1004,$A924,'AFA Rates'!$B$5:$B$1004,J$24)&gt;0,"✓",""))</f>
        <v/>
      </c>
      <c r="K924" s="57">
        <f>IF(OR($A924="",K$24=""),"",IF(COUNTIFS('AFA Rates'!$A$5:$A$1004,$A924,'AFA Rates'!$B$5:$B$1004,K$24)&gt;0,"✓",""))</f>
        <v/>
      </c>
      <c r="L924" s="57">
        <f>IF(OR($A924="",L$24=""),"",IF(COUNTIFS('AFA Rates'!$A$5:$A$1004,$A924,'AFA Rates'!$B$5:$B$1004,L$24)&gt;0,"✓",""))</f>
        <v/>
      </c>
      <c r="M924" s="57">
        <f>IF(OR($A924="",M$24=""),"",IF(COUNTIFS('AFA Rates'!$A$5:$A$1004,$A924,'AFA Rates'!$B$5:$B$1004,M$24)&gt;0,"✓",""))</f>
        <v/>
      </c>
    </row>
    <row r="925">
      <c r="A925" s="63">
        <f>IFERROR(INDEX(Firms!$A$5:$A$1004,MATCH(901,Firms!$S$5:$S$1004,0)),"")</f>
        <v/>
      </c>
      <c r="B925" s="57">
        <f>IF($A925="","",INDEX(Firms!$B$5:$B$1004,MATCH(901,Firms!$S$5:$S$1004,0)))</f>
        <v/>
      </c>
      <c r="C925" s="57">
        <f>IF($A925="","",COUNTIF('AFA Rates'!$A$5:$A$1004,$A925))</f>
        <v/>
      </c>
      <c r="D925" s="57">
        <f>IF(OR($A925="",D$24=""),"",IF(COUNTIFS('AFA Rates'!$A$5:$A$1004,$A925,'AFA Rates'!$B$5:$B$1004,D$24)&gt;0,"✓",""))</f>
        <v/>
      </c>
      <c r="E925" s="57">
        <f>IF(OR($A925="",E$24=""),"",IF(COUNTIFS('AFA Rates'!$A$5:$A$1004,$A925,'AFA Rates'!$B$5:$B$1004,E$24)&gt;0,"✓",""))</f>
        <v/>
      </c>
      <c r="F925" s="57">
        <f>IF(OR($A925="",F$24=""),"",IF(COUNTIFS('AFA Rates'!$A$5:$A$1004,$A925,'AFA Rates'!$B$5:$B$1004,F$24)&gt;0,"✓",""))</f>
        <v/>
      </c>
      <c r="G925" s="57">
        <f>IF(OR($A925="",G$24=""),"",IF(COUNTIFS('AFA Rates'!$A$5:$A$1004,$A925,'AFA Rates'!$B$5:$B$1004,G$24)&gt;0,"✓",""))</f>
        <v/>
      </c>
      <c r="H925" s="57">
        <f>IF(OR($A925="",H$24=""),"",IF(COUNTIFS('AFA Rates'!$A$5:$A$1004,$A925,'AFA Rates'!$B$5:$B$1004,H$24)&gt;0,"✓",""))</f>
        <v/>
      </c>
      <c r="I925" s="57">
        <f>IF(OR($A925="",I$24=""),"",IF(COUNTIFS('AFA Rates'!$A$5:$A$1004,$A925,'AFA Rates'!$B$5:$B$1004,I$24)&gt;0,"✓",""))</f>
        <v/>
      </c>
      <c r="J925" s="57">
        <f>IF(OR($A925="",J$24=""),"",IF(COUNTIFS('AFA Rates'!$A$5:$A$1004,$A925,'AFA Rates'!$B$5:$B$1004,J$24)&gt;0,"✓",""))</f>
        <v/>
      </c>
      <c r="K925" s="57">
        <f>IF(OR($A925="",K$24=""),"",IF(COUNTIFS('AFA Rates'!$A$5:$A$1004,$A925,'AFA Rates'!$B$5:$B$1004,K$24)&gt;0,"✓",""))</f>
        <v/>
      </c>
      <c r="L925" s="57">
        <f>IF(OR($A925="",L$24=""),"",IF(COUNTIFS('AFA Rates'!$A$5:$A$1004,$A925,'AFA Rates'!$B$5:$B$1004,L$24)&gt;0,"✓",""))</f>
        <v/>
      </c>
      <c r="M925" s="57">
        <f>IF(OR($A925="",M$24=""),"",IF(COUNTIFS('AFA Rates'!$A$5:$A$1004,$A925,'AFA Rates'!$B$5:$B$1004,M$24)&gt;0,"✓",""))</f>
        <v/>
      </c>
    </row>
    <row r="926">
      <c r="A926" s="63">
        <f>IFERROR(INDEX(Firms!$A$5:$A$1004,MATCH(902,Firms!$S$5:$S$1004,0)),"")</f>
        <v/>
      </c>
      <c r="B926" s="57">
        <f>IF($A926="","",INDEX(Firms!$B$5:$B$1004,MATCH(902,Firms!$S$5:$S$1004,0)))</f>
        <v/>
      </c>
      <c r="C926" s="57">
        <f>IF($A926="","",COUNTIF('AFA Rates'!$A$5:$A$1004,$A926))</f>
        <v/>
      </c>
      <c r="D926" s="57">
        <f>IF(OR($A926="",D$24=""),"",IF(COUNTIFS('AFA Rates'!$A$5:$A$1004,$A926,'AFA Rates'!$B$5:$B$1004,D$24)&gt;0,"✓",""))</f>
        <v/>
      </c>
      <c r="E926" s="57">
        <f>IF(OR($A926="",E$24=""),"",IF(COUNTIFS('AFA Rates'!$A$5:$A$1004,$A926,'AFA Rates'!$B$5:$B$1004,E$24)&gt;0,"✓",""))</f>
        <v/>
      </c>
      <c r="F926" s="57">
        <f>IF(OR($A926="",F$24=""),"",IF(COUNTIFS('AFA Rates'!$A$5:$A$1004,$A926,'AFA Rates'!$B$5:$B$1004,F$24)&gt;0,"✓",""))</f>
        <v/>
      </c>
      <c r="G926" s="57">
        <f>IF(OR($A926="",G$24=""),"",IF(COUNTIFS('AFA Rates'!$A$5:$A$1004,$A926,'AFA Rates'!$B$5:$B$1004,G$24)&gt;0,"✓",""))</f>
        <v/>
      </c>
      <c r="H926" s="57">
        <f>IF(OR($A926="",H$24=""),"",IF(COUNTIFS('AFA Rates'!$A$5:$A$1004,$A926,'AFA Rates'!$B$5:$B$1004,H$24)&gt;0,"✓",""))</f>
        <v/>
      </c>
      <c r="I926" s="57">
        <f>IF(OR($A926="",I$24=""),"",IF(COUNTIFS('AFA Rates'!$A$5:$A$1004,$A926,'AFA Rates'!$B$5:$B$1004,I$24)&gt;0,"✓",""))</f>
        <v/>
      </c>
      <c r="J926" s="57">
        <f>IF(OR($A926="",J$24=""),"",IF(COUNTIFS('AFA Rates'!$A$5:$A$1004,$A926,'AFA Rates'!$B$5:$B$1004,J$24)&gt;0,"✓",""))</f>
        <v/>
      </c>
      <c r="K926" s="57">
        <f>IF(OR($A926="",K$24=""),"",IF(COUNTIFS('AFA Rates'!$A$5:$A$1004,$A926,'AFA Rates'!$B$5:$B$1004,K$24)&gt;0,"✓",""))</f>
        <v/>
      </c>
      <c r="L926" s="57">
        <f>IF(OR($A926="",L$24=""),"",IF(COUNTIFS('AFA Rates'!$A$5:$A$1004,$A926,'AFA Rates'!$B$5:$B$1004,L$24)&gt;0,"✓",""))</f>
        <v/>
      </c>
      <c r="M926" s="57">
        <f>IF(OR($A926="",M$24=""),"",IF(COUNTIFS('AFA Rates'!$A$5:$A$1004,$A926,'AFA Rates'!$B$5:$B$1004,M$24)&gt;0,"✓",""))</f>
        <v/>
      </c>
    </row>
    <row r="927">
      <c r="A927" s="63">
        <f>IFERROR(INDEX(Firms!$A$5:$A$1004,MATCH(903,Firms!$S$5:$S$1004,0)),"")</f>
        <v/>
      </c>
      <c r="B927" s="57">
        <f>IF($A927="","",INDEX(Firms!$B$5:$B$1004,MATCH(903,Firms!$S$5:$S$1004,0)))</f>
        <v/>
      </c>
      <c r="C927" s="57">
        <f>IF($A927="","",COUNTIF('AFA Rates'!$A$5:$A$1004,$A927))</f>
        <v/>
      </c>
      <c r="D927" s="57">
        <f>IF(OR($A927="",D$24=""),"",IF(COUNTIFS('AFA Rates'!$A$5:$A$1004,$A927,'AFA Rates'!$B$5:$B$1004,D$24)&gt;0,"✓",""))</f>
        <v/>
      </c>
      <c r="E927" s="57">
        <f>IF(OR($A927="",E$24=""),"",IF(COUNTIFS('AFA Rates'!$A$5:$A$1004,$A927,'AFA Rates'!$B$5:$B$1004,E$24)&gt;0,"✓",""))</f>
        <v/>
      </c>
      <c r="F927" s="57">
        <f>IF(OR($A927="",F$24=""),"",IF(COUNTIFS('AFA Rates'!$A$5:$A$1004,$A927,'AFA Rates'!$B$5:$B$1004,F$24)&gt;0,"✓",""))</f>
        <v/>
      </c>
      <c r="G927" s="57">
        <f>IF(OR($A927="",G$24=""),"",IF(COUNTIFS('AFA Rates'!$A$5:$A$1004,$A927,'AFA Rates'!$B$5:$B$1004,G$24)&gt;0,"✓",""))</f>
        <v/>
      </c>
      <c r="H927" s="57">
        <f>IF(OR($A927="",H$24=""),"",IF(COUNTIFS('AFA Rates'!$A$5:$A$1004,$A927,'AFA Rates'!$B$5:$B$1004,H$24)&gt;0,"✓",""))</f>
        <v/>
      </c>
      <c r="I927" s="57">
        <f>IF(OR($A927="",I$24=""),"",IF(COUNTIFS('AFA Rates'!$A$5:$A$1004,$A927,'AFA Rates'!$B$5:$B$1004,I$24)&gt;0,"✓",""))</f>
        <v/>
      </c>
      <c r="J927" s="57">
        <f>IF(OR($A927="",J$24=""),"",IF(COUNTIFS('AFA Rates'!$A$5:$A$1004,$A927,'AFA Rates'!$B$5:$B$1004,J$24)&gt;0,"✓",""))</f>
        <v/>
      </c>
      <c r="K927" s="57">
        <f>IF(OR($A927="",K$24=""),"",IF(COUNTIFS('AFA Rates'!$A$5:$A$1004,$A927,'AFA Rates'!$B$5:$B$1004,K$24)&gt;0,"✓",""))</f>
        <v/>
      </c>
      <c r="L927" s="57">
        <f>IF(OR($A927="",L$24=""),"",IF(COUNTIFS('AFA Rates'!$A$5:$A$1004,$A927,'AFA Rates'!$B$5:$B$1004,L$24)&gt;0,"✓",""))</f>
        <v/>
      </c>
      <c r="M927" s="57">
        <f>IF(OR($A927="",M$24=""),"",IF(COUNTIFS('AFA Rates'!$A$5:$A$1004,$A927,'AFA Rates'!$B$5:$B$1004,M$24)&gt;0,"✓",""))</f>
        <v/>
      </c>
    </row>
    <row r="928">
      <c r="A928" s="63">
        <f>IFERROR(INDEX(Firms!$A$5:$A$1004,MATCH(904,Firms!$S$5:$S$1004,0)),"")</f>
        <v/>
      </c>
      <c r="B928" s="57">
        <f>IF($A928="","",INDEX(Firms!$B$5:$B$1004,MATCH(904,Firms!$S$5:$S$1004,0)))</f>
        <v/>
      </c>
      <c r="C928" s="57">
        <f>IF($A928="","",COUNTIF('AFA Rates'!$A$5:$A$1004,$A928))</f>
        <v/>
      </c>
      <c r="D928" s="57">
        <f>IF(OR($A928="",D$24=""),"",IF(COUNTIFS('AFA Rates'!$A$5:$A$1004,$A928,'AFA Rates'!$B$5:$B$1004,D$24)&gt;0,"✓",""))</f>
        <v/>
      </c>
      <c r="E928" s="57">
        <f>IF(OR($A928="",E$24=""),"",IF(COUNTIFS('AFA Rates'!$A$5:$A$1004,$A928,'AFA Rates'!$B$5:$B$1004,E$24)&gt;0,"✓",""))</f>
        <v/>
      </c>
      <c r="F928" s="57">
        <f>IF(OR($A928="",F$24=""),"",IF(COUNTIFS('AFA Rates'!$A$5:$A$1004,$A928,'AFA Rates'!$B$5:$B$1004,F$24)&gt;0,"✓",""))</f>
        <v/>
      </c>
      <c r="G928" s="57">
        <f>IF(OR($A928="",G$24=""),"",IF(COUNTIFS('AFA Rates'!$A$5:$A$1004,$A928,'AFA Rates'!$B$5:$B$1004,G$24)&gt;0,"✓",""))</f>
        <v/>
      </c>
      <c r="H928" s="57">
        <f>IF(OR($A928="",H$24=""),"",IF(COUNTIFS('AFA Rates'!$A$5:$A$1004,$A928,'AFA Rates'!$B$5:$B$1004,H$24)&gt;0,"✓",""))</f>
        <v/>
      </c>
      <c r="I928" s="57">
        <f>IF(OR($A928="",I$24=""),"",IF(COUNTIFS('AFA Rates'!$A$5:$A$1004,$A928,'AFA Rates'!$B$5:$B$1004,I$24)&gt;0,"✓",""))</f>
        <v/>
      </c>
      <c r="J928" s="57">
        <f>IF(OR($A928="",J$24=""),"",IF(COUNTIFS('AFA Rates'!$A$5:$A$1004,$A928,'AFA Rates'!$B$5:$B$1004,J$24)&gt;0,"✓",""))</f>
        <v/>
      </c>
      <c r="K928" s="57">
        <f>IF(OR($A928="",K$24=""),"",IF(COUNTIFS('AFA Rates'!$A$5:$A$1004,$A928,'AFA Rates'!$B$5:$B$1004,K$24)&gt;0,"✓",""))</f>
        <v/>
      </c>
      <c r="L928" s="57">
        <f>IF(OR($A928="",L$24=""),"",IF(COUNTIFS('AFA Rates'!$A$5:$A$1004,$A928,'AFA Rates'!$B$5:$B$1004,L$24)&gt;0,"✓",""))</f>
        <v/>
      </c>
      <c r="M928" s="57">
        <f>IF(OR($A928="",M$24=""),"",IF(COUNTIFS('AFA Rates'!$A$5:$A$1004,$A928,'AFA Rates'!$B$5:$B$1004,M$24)&gt;0,"✓",""))</f>
        <v/>
      </c>
    </row>
    <row r="929">
      <c r="A929" s="63">
        <f>IFERROR(INDEX(Firms!$A$5:$A$1004,MATCH(905,Firms!$S$5:$S$1004,0)),"")</f>
        <v/>
      </c>
      <c r="B929" s="57">
        <f>IF($A929="","",INDEX(Firms!$B$5:$B$1004,MATCH(905,Firms!$S$5:$S$1004,0)))</f>
        <v/>
      </c>
      <c r="C929" s="57">
        <f>IF($A929="","",COUNTIF('AFA Rates'!$A$5:$A$1004,$A929))</f>
        <v/>
      </c>
      <c r="D929" s="57">
        <f>IF(OR($A929="",D$24=""),"",IF(COUNTIFS('AFA Rates'!$A$5:$A$1004,$A929,'AFA Rates'!$B$5:$B$1004,D$24)&gt;0,"✓",""))</f>
        <v/>
      </c>
      <c r="E929" s="57">
        <f>IF(OR($A929="",E$24=""),"",IF(COUNTIFS('AFA Rates'!$A$5:$A$1004,$A929,'AFA Rates'!$B$5:$B$1004,E$24)&gt;0,"✓",""))</f>
        <v/>
      </c>
      <c r="F929" s="57">
        <f>IF(OR($A929="",F$24=""),"",IF(COUNTIFS('AFA Rates'!$A$5:$A$1004,$A929,'AFA Rates'!$B$5:$B$1004,F$24)&gt;0,"✓",""))</f>
        <v/>
      </c>
      <c r="G929" s="57">
        <f>IF(OR($A929="",G$24=""),"",IF(COUNTIFS('AFA Rates'!$A$5:$A$1004,$A929,'AFA Rates'!$B$5:$B$1004,G$24)&gt;0,"✓",""))</f>
        <v/>
      </c>
      <c r="H929" s="57">
        <f>IF(OR($A929="",H$24=""),"",IF(COUNTIFS('AFA Rates'!$A$5:$A$1004,$A929,'AFA Rates'!$B$5:$B$1004,H$24)&gt;0,"✓",""))</f>
        <v/>
      </c>
      <c r="I929" s="57">
        <f>IF(OR($A929="",I$24=""),"",IF(COUNTIFS('AFA Rates'!$A$5:$A$1004,$A929,'AFA Rates'!$B$5:$B$1004,I$24)&gt;0,"✓",""))</f>
        <v/>
      </c>
      <c r="J929" s="57">
        <f>IF(OR($A929="",J$24=""),"",IF(COUNTIFS('AFA Rates'!$A$5:$A$1004,$A929,'AFA Rates'!$B$5:$B$1004,J$24)&gt;0,"✓",""))</f>
        <v/>
      </c>
      <c r="K929" s="57">
        <f>IF(OR($A929="",K$24=""),"",IF(COUNTIFS('AFA Rates'!$A$5:$A$1004,$A929,'AFA Rates'!$B$5:$B$1004,K$24)&gt;0,"✓",""))</f>
        <v/>
      </c>
      <c r="L929" s="57">
        <f>IF(OR($A929="",L$24=""),"",IF(COUNTIFS('AFA Rates'!$A$5:$A$1004,$A929,'AFA Rates'!$B$5:$B$1004,L$24)&gt;0,"✓",""))</f>
        <v/>
      </c>
      <c r="M929" s="57">
        <f>IF(OR($A929="",M$24=""),"",IF(COUNTIFS('AFA Rates'!$A$5:$A$1004,$A929,'AFA Rates'!$B$5:$B$1004,M$24)&gt;0,"✓",""))</f>
        <v/>
      </c>
    </row>
    <row r="930">
      <c r="A930" s="63">
        <f>IFERROR(INDEX(Firms!$A$5:$A$1004,MATCH(906,Firms!$S$5:$S$1004,0)),"")</f>
        <v/>
      </c>
      <c r="B930" s="57">
        <f>IF($A930="","",INDEX(Firms!$B$5:$B$1004,MATCH(906,Firms!$S$5:$S$1004,0)))</f>
        <v/>
      </c>
      <c r="C930" s="57">
        <f>IF($A930="","",COUNTIF('AFA Rates'!$A$5:$A$1004,$A930))</f>
        <v/>
      </c>
      <c r="D930" s="57">
        <f>IF(OR($A930="",D$24=""),"",IF(COUNTIFS('AFA Rates'!$A$5:$A$1004,$A930,'AFA Rates'!$B$5:$B$1004,D$24)&gt;0,"✓",""))</f>
        <v/>
      </c>
      <c r="E930" s="57">
        <f>IF(OR($A930="",E$24=""),"",IF(COUNTIFS('AFA Rates'!$A$5:$A$1004,$A930,'AFA Rates'!$B$5:$B$1004,E$24)&gt;0,"✓",""))</f>
        <v/>
      </c>
      <c r="F930" s="57">
        <f>IF(OR($A930="",F$24=""),"",IF(COUNTIFS('AFA Rates'!$A$5:$A$1004,$A930,'AFA Rates'!$B$5:$B$1004,F$24)&gt;0,"✓",""))</f>
        <v/>
      </c>
      <c r="G930" s="57">
        <f>IF(OR($A930="",G$24=""),"",IF(COUNTIFS('AFA Rates'!$A$5:$A$1004,$A930,'AFA Rates'!$B$5:$B$1004,G$24)&gt;0,"✓",""))</f>
        <v/>
      </c>
      <c r="H930" s="57">
        <f>IF(OR($A930="",H$24=""),"",IF(COUNTIFS('AFA Rates'!$A$5:$A$1004,$A930,'AFA Rates'!$B$5:$B$1004,H$24)&gt;0,"✓",""))</f>
        <v/>
      </c>
      <c r="I930" s="57">
        <f>IF(OR($A930="",I$24=""),"",IF(COUNTIFS('AFA Rates'!$A$5:$A$1004,$A930,'AFA Rates'!$B$5:$B$1004,I$24)&gt;0,"✓",""))</f>
        <v/>
      </c>
      <c r="J930" s="57">
        <f>IF(OR($A930="",J$24=""),"",IF(COUNTIFS('AFA Rates'!$A$5:$A$1004,$A930,'AFA Rates'!$B$5:$B$1004,J$24)&gt;0,"✓",""))</f>
        <v/>
      </c>
      <c r="K930" s="57">
        <f>IF(OR($A930="",K$24=""),"",IF(COUNTIFS('AFA Rates'!$A$5:$A$1004,$A930,'AFA Rates'!$B$5:$B$1004,K$24)&gt;0,"✓",""))</f>
        <v/>
      </c>
      <c r="L930" s="57">
        <f>IF(OR($A930="",L$24=""),"",IF(COUNTIFS('AFA Rates'!$A$5:$A$1004,$A930,'AFA Rates'!$B$5:$B$1004,L$24)&gt;0,"✓",""))</f>
        <v/>
      </c>
      <c r="M930" s="57">
        <f>IF(OR($A930="",M$24=""),"",IF(COUNTIFS('AFA Rates'!$A$5:$A$1004,$A930,'AFA Rates'!$B$5:$B$1004,M$24)&gt;0,"✓",""))</f>
        <v/>
      </c>
    </row>
    <row r="931">
      <c r="A931" s="63">
        <f>IFERROR(INDEX(Firms!$A$5:$A$1004,MATCH(907,Firms!$S$5:$S$1004,0)),"")</f>
        <v/>
      </c>
      <c r="B931" s="57">
        <f>IF($A931="","",INDEX(Firms!$B$5:$B$1004,MATCH(907,Firms!$S$5:$S$1004,0)))</f>
        <v/>
      </c>
      <c r="C931" s="57">
        <f>IF($A931="","",COUNTIF('AFA Rates'!$A$5:$A$1004,$A931))</f>
        <v/>
      </c>
      <c r="D931" s="57">
        <f>IF(OR($A931="",D$24=""),"",IF(COUNTIFS('AFA Rates'!$A$5:$A$1004,$A931,'AFA Rates'!$B$5:$B$1004,D$24)&gt;0,"✓",""))</f>
        <v/>
      </c>
      <c r="E931" s="57">
        <f>IF(OR($A931="",E$24=""),"",IF(COUNTIFS('AFA Rates'!$A$5:$A$1004,$A931,'AFA Rates'!$B$5:$B$1004,E$24)&gt;0,"✓",""))</f>
        <v/>
      </c>
      <c r="F931" s="57">
        <f>IF(OR($A931="",F$24=""),"",IF(COUNTIFS('AFA Rates'!$A$5:$A$1004,$A931,'AFA Rates'!$B$5:$B$1004,F$24)&gt;0,"✓",""))</f>
        <v/>
      </c>
      <c r="G931" s="57">
        <f>IF(OR($A931="",G$24=""),"",IF(COUNTIFS('AFA Rates'!$A$5:$A$1004,$A931,'AFA Rates'!$B$5:$B$1004,G$24)&gt;0,"✓",""))</f>
        <v/>
      </c>
      <c r="H931" s="57">
        <f>IF(OR($A931="",H$24=""),"",IF(COUNTIFS('AFA Rates'!$A$5:$A$1004,$A931,'AFA Rates'!$B$5:$B$1004,H$24)&gt;0,"✓",""))</f>
        <v/>
      </c>
      <c r="I931" s="57">
        <f>IF(OR($A931="",I$24=""),"",IF(COUNTIFS('AFA Rates'!$A$5:$A$1004,$A931,'AFA Rates'!$B$5:$B$1004,I$24)&gt;0,"✓",""))</f>
        <v/>
      </c>
      <c r="J931" s="57">
        <f>IF(OR($A931="",J$24=""),"",IF(COUNTIFS('AFA Rates'!$A$5:$A$1004,$A931,'AFA Rates'!$B$5:$B$1004,J$24)&gt;0,"✓",""))</f>
        <v/>
      </c>
      <c r="K931" s="57">
        <f>IF(OR($A931="",K$24=""),"",IF(COUNTIFS('AFA Rates'!$A$5:$A$1004,$A931,'AFA Rates'!$B$5:$B$1004,K$24)&gt;0,"✓",""))</f>
        <v/>
      </c>
      <c r="L931" s="57">
        <f>IF(OR($A931="",L$24=""),"",IF(COUNTIFS('AFA Rates'!$A$5:$A$1004,$A931,'AFA Rates'!$B$5:$B$1004,L$24)&gt;0,"✓",""))</f>
        <v/>
      </c>
      <c r="M931" s="57">
        <f>IF(OR($A931="",M$24=""),"",IF(COUNTIFS('AFA Rates'!$A$5:$A$1004,$A931,'AFA Rates'!$B$5:$B$1004,M$24)&gt;0,"✓",""))</f>
        <v/>
      </c>
    </row>
    <row r="932">
      <c r="A932" s="63">
        <f>IFERROR(INDEX(Firms!$A$5:$A$1004,MATCH(908,Firms!$S$5:$S$1004,0)),"")</f>
        <v/>
      </c>
      <c r="B932" s="57">
        <f>IF($A932="","",INDEX(Firms!$B$5:$B$1004,MATCH(908,Firms!$S$5:$S$1004,0)))</f>
        <v/>
      </c>
      <c r="C932" s="57">
        <f>IF($A932="","",COUNTIF('AFA Rates'!$A$5:$A$1004,$A932))</f>
        <v/>
      </c>
      <c r="D932" s="57">
        <f>IF(OR($A932="",D$24=""),"",IF(COUNTIFS('AFA Rates'!$A$5:$A$1004,$A932,'AFA Rates'!$B$5:$B$1004,D$24)&gt;0,"✓",""))</f>
        <v/>
      </c>
      <c r="E932" s="57">
        <f>IF(OR($A932="",E$24=""),"",IF(COUNTIFS('AFA Rates'!$A$5:$A$1004,$A932,'AFA Rates'!$B$5:$B$1004,E$24)&gt;0,"✓",""))</f>
        <v/>
      </c>
      <c r="F932" s="57">
        <f>IF(OR($A932="",F$24=""),"",IF(COUNTIFS('AFA Rates'!$A$5:$A$1004,$A932,'AFA Rates'!$B$5:$B$1004,F$24)&gt;0,"✓",""))</f>
        <v/>
      </c>
      <c r="G932" s="57">
        <f>IF(OR($A932="",G$24=""),"",IF(COUNTIFS('AFA Rates'!$A$5:$A$1004,$A932,'AFA Rates'!$B$5:$B$1004,G$24)&gt;0,"✓",""))</f>
        <v/>
      </c>
      <c r="H932" s="57">
        <f>IF(OR($A932="",H$24=""),"",IF(COUNTIFS('AFA Rates'!$A$5:$A$1004,$A932,'AFA Rates'!$B$5:$B$1004,H$24)&gt;0,"✓",""))</f>
        <v/>
      </c>
      <c r="I932" s="57">
        <f>IF(OR($A932="",I$24=""),"",IF(COUNTIFS('AFA Rates'!$A$5:$A$1004,$A932,'AFA Rates'!$B$5:$B$1004,I$24)&gt;0,"✓",""))</f>
        <v/>
      </c>
      <c r="J932" s="57">
        <f>IF(OR($A932="",J$24=""),"",IF(COUNTIFS('AFA Rates'!$A$5:$A$1004,$A932,'AFA Rates'!$B$5:$B$1004,J$24)&gt;0,"✓",""))</f>
        <v/>
      </c>
      <c r="K932" s="57">
        <f>IF(OR($A932="",K$24=""),"",IF(COUNTIFS('AFA Rates'!$A$5:$A$1004,$A932,'AFA Rates'!$B$5:$B$1004,K$24)&gt;0,"✓",""))</f>
        <v/>
      </c>
      <c r="L932" s="57">
        <f>IF(OR($A932="",L$24=""),"",IF(COUNTIFS('AFA Rates'!$A$5:$A$1004,$A932,'AFA Rates'!$B$5:$B$1004,L$24)&gt;0,"✓",""))</f>
        <v/>
      </c>
      <c r="M932" s="57">
        <f>IF(OR($A932="",M$24=""),"",IF(COUNTIFS('AFA Rates'!$A$5:$A$1004,$A932,'AFA Rates'!$B$5:$B$1004,M$24)&gt;0,"✓",""))</f>
        <v/>
      </c>
    </row>
    <row r="933">
      <c r="A933" s="63">
        <f>IFERROR(INDEX(Firms!$A$5:$A$1004,MATCH(909,Firms!$S$5:$S$1004,0)),"")</f>
        <v/>
      </c>
      <c r="B933" s="57">
        <f>IF($A933="","",INDEX(Firms!$B$5:$B$1004,MATCH(909,Firms!$S$5:$S$1004,0)))</f>
        <v/>
      </c>
      <c r="C933" s="57">
        <f>IF($A933="","",COUNTIF('AFA Rates'!$A$5:$A$1004,$A933))</f>
        <v/>
      </c>
      <c r="D933" s="57">
        <f>IF(OR($A933="",D$24=""),"",IF(COUNTIFS('AFA Rates'!$A$5:$A$1004,$A933,'AFA Rates'!$B$5:$B$1004,D$24)&gt;0,"✓",""))</f>
        <v/>
      </c>
      <c r="E933" s="57">
        <f>IF(OR($A933="",E$24=""),"",IF(COUNTIFS('AFA Rates'!$A$5:$A$1004,$A933,'AFA Rates'!$B$5:$B$1004,E$24)&gt;0,"✓",""))</f>
        <v/>
      </c>
      <c r="F933" s="57">
        <f>IF(OR($A933="",F$24=""),"",IF(COUNTIFS('AFA Rates'!$A$5:$A$1004,$A933,'AFA Rates'!$B$5:$B$1004,F$24)&gt;0,"✓",""))</f>
        <v/>
      </c>
      <c r="G933" s="57">
        <f>IF(OR($A933="",G$24=""),"",IF(COUNTIFS('AFA Rates'!$A$5:$A$1004,$A933,'AFA Rates'!$B$5:$B$1004,G$24)&gt;0,"✓",""))</f>
        <v/>
      </c>
      <c r="H933" s="57">
        <f>IF(OR($A933="",H$24=""),"",IF(COUNTIFS('AFA Rates'!$A$5:$A$1004,$A933,'AFA Rates'!$B$5:$B$1004,H$24)&gt;0,"✓",""))</f>
        <v/>
      </c>
      <c r="I933" s="57">
        <f>IF(OR($A933="",I$24=""),"",IF(COUNTIFS('AFA Rates'!$A$5:$A$1004,$A933,'AFA Rates'!$B$5:$B$1004,I$24)&gt;0,"✓",""))</f>
        <v/>
      </c>
      <c r="J933" s="57">
        <f>IF(OR($A933="",J$24=""),"",IF(COUNTIFS('AFA Rates'!$A$5:$A$1004,$A933,'AFA Rates'!$B$5:$B$1004,J$24)&gt;0,"✓",""))</f>
        <v/>
      </c>
      <c r="K933" s="57">
        <f>IF(OR($A933="",K$24=""),"",IF(COUNTIFS('AFA Rates'!$A$5:$A$1004,$A933,'AFA Rates'!$B$5:$B$1004,K$24)&gt;0,"✓",""))</f>
        <v/>
      </c>
      <c r="L933" s="57">
        <f>IF(OR($A933="",L$24=""),"",IF(COUNTIFS('AFA Rates'!$A$5:$A$1004,$A933,'AFA Rates'!$B$5:$B$1004,L$24)&gt;0,"✓",""))</f>
        <v/>
      </c>
      <c r="M933" s="57">
        <f>IF(OR($A933="",M$24=""),"",IF(COUNTIFS('AFA Rates'!$A$5:$A$1004,$A933,'AFA Rates'!$B$5:$B$1004,M$24)&gt;0,"✓",""))</f>
        <v/>
      </c>
    </row>
    <row r="934">
      <c r="A934" s="63">
        <f>IFERROR(INDEX(Firms!$A$5:$A$1004,MATCH(910,Firms!$S$5:$S$1004,0)),"")</f>
        <v/>
      </c>
      <c r="B934" s="57">
        <f>IF($A934="","",INDEX(Firms!$B$5:$B$1004,MATCH(910,Firms!$S$5:$S$1004,0)))</f>
        <v/>
      </c>
      <c r="C934" s="57">
        <f>IF($A934="","",COUNTIF('AFA Rates'!$A$5:$A$1004,$A934))</f>
        <v/>
      </c>
      <c r="D934" s="57">
        <f>IF(OR($A934="",D$24=""),"",IF(COUNTIFS('AFA Rates'!$A$5:$A$1004,$A934,'AFA Rates'!$B$5:$B$1004,D$24)&gt;0,"✓",""))</f>
        <v/>
      </c>
      <c r="E934" s="57">
        <f>IF(OR($A934="",E$24=""),"",IF(COUNTIFS('AFA Rates'!$A$5:$A$1004,$A934,'AFA Rates'!$B$5:$B$1004,E$24)&gt;0,"✓",""))</f>
        <v/>
      </c>
      <c r="F934" s="57">
        <f>IF(OR($A934="",F$24=""),"",IF(COUNTIFS('AFA Rates'!$A$5:$A$1004,$A934,'AFA Rates'!$B$5:$B$1004,F$24)&gt;0,"✓",""))</f>
        <v/>
      </c>
      <c r="G934" s="57">
        <f>IF(OR($A934="",G$24=""),"",IF(COUNTIFS('AFA Rates'!$A$5:$A$1004,$A934,'AFA Rates'!$B$5:$B$1004,G$24)&gt;0,"✓",""))</f>
        <v/>
      </c>
      <c r="H934" s="57">
        <f>IF(OR($A934="",H$24=""),"",IF(COUNTIFS('AFA Rates'!$A$5:$A$1004,$A934,'AFA Rates'!$B$5:$B$1004,H$24)&gt;0,"✓",""))</f>
        <v/>
      </c>
      <c r="I934" s="57">
        <f>IF(OR($A934="",I$24=""),"",IF(COUNTIFS('AFA Rates'!$A$5:$A$1004,$A934,'AFA Rates'!$B$5:$B$1004,I$24)&gt;0,"✓",""))</f>
        <v/>
      </c>
      <c r="J934" s="57">
        <f>IF(OR($A934="",J$24=""),"",IF(COUNTIFS('AFA Rates'!$A$5:$A$1004,$A934,'AFA Rates'!$B$5:$B$1004,J$24)&gt;0,"✓",""))</f>
        <v/>
      </c>
      <c r="K934" s="57">
        <f>IF(OR($A934="",K$24=""),"",IF(COUNTIFS('AFA Rates'!$A$5:$A$1004,$A934,'AFA Rates'!$B$5:$B$1004,K$24)&gt;0,"✓",""))</f>
        <v/>
      </c>
      <c r="L934" s="57">
        <f>IF(OR($A934="",L$24=""),"",IF(COUNTIFS('AFA Rates'!$A$5:$A$1004,$A934,'AFA Rates'!$B$5:$B$1004,L$24)&gt;0,"✓",""))</f>
        <v/>
      </c>
      <c r="M934" s="57">
        <f>IF(OR($A934="",M$24=""),"",IF(COUNTIFS('AFA Rates'!$A$5:$A$1004,$A934,'AFA Rates'!$B$5:$B$1004,M$24)&gt;0,"✓",""))</f>
        <v/>
      </c>
    </row>
    <row r="935">
      <c r="A935" s="63">
        <f>IFERROR(INDEX(Firms!$A$5:$A$1004,MATCH(911,Firms!$S$5:$S$1004,0)),"")</f>
        <v/>
      </c>
      <c r="B935" s="57">
        <f>IF($A935="","",INDEX(Firms!$B$5:$B$1004,MATCH(911,Firms!$S$5:$S$1004,0)))</f>
        <v/>
      </c>
      <c r="C935" s="57">
        <f>IF($A935="","",COUNTIF('AFA Rates'!$A$5:$A$1004,$A935))</f>
        <v/>
      </c>
      <c r="D935" s="57">
        <f>IF(OR($A935="",D$24=""),"",IF(COUNTIFS('AFA Rates'!$A$5:$A$1004,$A935,'AFA Rates'!$B$5:$B$1004,D$24)&gt;0,"✓",""))</f>
        <v/>
      </c>
      <c r="E935" s="57">
        <f>IF(OR($A935="",E$24=""),"",IF(COUNTIFS('AFA Rates'!$A$5:$A$1004,$A935,'AFA Rates'!$B$5:$B$1004,E$24)&gt;0,"✓",""))</f>
        <v/>
      </c>
      <c r="F935" s="57">
        <f>IF(OR($A935="",F$24=""),"",IF(COUNTIFS('AFA Rates'!$A$5:$A$1004,$A935,'AFA Rates'!$B$5:$B$1004,F$24)&gt;0,"✓",""))</f>
        <v/>
      </c>
      <c r="G935" s="57">
        <f>IF(OR($A935="",G$24=""),"",IF(COUNTIFS('AFA Rates'!$A$5:$A$1004,$A935,'AFA Rates'!$B$5:$B$1004,G$24)&gt;0,"✓",""))</f>
        <v/>
      </c>
      <c r="H935" s="57">
        <f>IF(OR($A935="",H$24=""),"",IF(COUNTIFS('AFA Rates'!$A$5:$A$1004,$A935,'AFA Rates'!$B$5:$B$1004,H$24)&gt;0,"✓",""))</f>
        <v/>
      </c>
      <c r="I935" s="57">
        <f>IF(OR($A935="",I$24=""),"",IF(COUNTIFS('AFA Rates'!$A$5:$A$1004,$A935,'AFA Rates'!$B$5:$B$1004,I$24)&gt;0,"✓",""))</f>
        <v/>
      </c>
      <c r="J935" s="57">
        <f>IF(OR($A935="",J$24=""),"",IF(COUNTIFS('AFA Rates'!$A$5:$A$1004,$A935,'AFA Rates'!$B$5:$B$1004,J$24)&gt;0,"✓",""))</f>
        <v/>
      </c>
      <c r="K935" s="57">
        <f>IF(OR($A935="",K$24=""),"",IF(COUNTIFS('AFA Rates'!$A$5:$A$1004,$A935,'AFA Rates'!$B$5:$B$1004,K$24)&gt;0,"✓",""))</f>
        <v/>
      </c>
      <c r="L935" s="57">
        <f>IF(OR($A935="",L$24=""),"",IF(COUNTIFS('AFA Rates'!$A$5:$A$1004,$A935,'AFA Rates'!$B$5:$B$1004,L$24)&gt;0,"✓",""))</f>
        <v/>
      </c>
      <c r="M935" s="57">
        <f>IF(OR($A935="",M$24=""),"",IF(COUNTIFS('AFA Rates'!$A$5:$A$1004,$A935,'AFA Rates'!$B$5:$B$1004,M$24)&gt;0,"✓",""))</f>
        <v/>
      </c>
    </row>
    <row r="936">
      <c r="A936" s="63">
        <f>IFERROR(INDEX(Firms!$A$5:$A$1004,MATCH(912,Firms!$S$5:$S$1004,0)),"")</f>
        <v/>
      </c>
      <c r="B936" s="57">
        <f>IF($A936="","",INDEX(Firms!$B$5:$B$1004,MATCH(912,Firms!$S$5:$S$1004,0)))</f>
        <v/>
      </c>
      <c r="C936" s="57">
        <f>IF($A936="","",COUNTIF('AFA Rates'!$A$5:$A$1004,$A936))</f>
        <v/>
      </c>
      <c r="D936" s="57">
        <f>IF(OR($A936="",D$24=""),"",IF(COUNTIFS('AFA Rates'!$A$5:$A$1004,$A936,'AFA Rates'!$B$5:$B$1004,D$24)&gt;0,"✓",""))</f>
        <v/>
      </c>
      <c r="E936" s="57">
        <f>IF(OR($A936="",E$24=""),"",IF(COUNTIFS('AFA Rates'!$A$5:$A$1004,$A936,'AFA Rates'!$B$5:$B$1004,E$24)&gt;0,"✓",""))</f>
        <v/>
      </c>
      <c r="F936" s="57">
        <f>IF(OR($A936="",F$24=""),"",IF(COUNTIFS('AFA Rates'!$A$5:$A$1004,$A936,'AFA Rates'!$B$5:$B$1004,F$24)&gt;0,"✓",""))</f>
        <v/>
      </c>
      <c r="G936" s="57">
        <f>IF(OR($A936="",G$24=""),"",IF(COUNTIFS('AFA Rates'!$A$5:$A$1004,$A936,'AFA Rates'!$B$5:$B$1004,G$24)&gt;0,"✓",""))</f>
        <v/>
      </c>
      <c r="H936" s="57">
        <f>IF(OR($A936="",H$24=""),"",IF(COUNTIFS('AFA Rates'!$A$5:$A$1004,$A936,'AFA Rates'!$B$5:$B$1004,H$24)&gt;0,"✓",""))</f>
        <v/>
      </c>
      <c r="I936" s="57">
        <f>IF(OR($A936="",I$24=""),"",IF(COUNTIFS('AFA Rates'!$A$5:$A$1004,$A936,'AFA Rates'!$B$5:$B$1004,I$24)&gt;0,"✓",""))</f>
        <v/>
      </c>
      <c r="J936" s="57">
        <f>IF(OR($A936="",J$24=""),"",IF(COUNTIFS('AFA Rates'!$A$5:$A$1004,$A936,'AFA Rates'!$B$5:$B$1004,J$24)&gt;0,"✓",""))</f>
        <v/>
      </c>
      <c r="K936" s="57">
        <f>IF(OR($A936="",K$24=""),"",IF(COUNTIFS('AFA Rates'!$A$5:$A$1004,$A936,'AFA Rates'!$B$5:$B$1004,K$24)&gt;0,"✓",""))</f>
        <v/>
      </c>
      <c r="L936" s="57">
        <f>IF(OR($A936="",L$24=""),"",IF(COUNTIFS('AFA Rates'!$A$5:$A$1004,$A936,'AFA Rates'!$B$5:$B$1004,L$24)&gt;0,"✓",""))</f>
        <v/>
      </c>
      <c r="M936" s="57">
        <f>IF(OR($A936="",M$24=""),"",IF(COUNTIFS('AFA Rates'!$A$5:$A$1004,$A936,'AFA Rates'!$B$5:$B$1004,M$24)&gt;0,"✓",""))</f>
        <v/>
      </c>
    </row>
    <row r="937">
      <c r="A937" s="63">
        <f>IFERROR(INDEX(Firms!$A$5:$A$1004,MATCH(913,Firms!$S$5:$S$1004,0)),"")</f>
        <v/>
      </c>
      <c r="B937" s="57">
        <f>IF($A937="","",INDEX(Firms!$B$5:$B$1004,MATCH(913,Firms!$S$5:$S$1004,0)))</f>
        <v/>
      </c>
      <c r="C937" s="57">
        <f>IF($A937="","",COUNTIF('AFA Rates'!$A$5:$A$1004,$A937))</f>
        <v/>
      </c>
      <c r="D937" s="57">
        <f>IF(OR($A937="",D$24=""),"",IF(COUNTIFS('AFA Rates'!$A$5:$A$1004,$A937,'AFA Rates'!$B$5:$B$1004,D$24)&gt;0,"✓",""))</f>
        <v/>
      </c>
      <c r="E937" s="57">
        <f>IF(OR($A937="",E$24=""),"",IF(COUNTIFS('AFA Rates'!$A$5:$A$1004,$A937,'AFA Rates'!$B$5:$B$1004,E$24)&gt;0,"✓",""))</f>
        <v/>
      </c>
      <c r="F937" s="57">
        <f>IF(OR($A937="",F$24=""),"",IF(COUNTIFS('AFA Rates'!$A$5:$A$1004,$A937,'AFA Rates'!$B$5:$B$1004,F$24)&gt;0,"✓",""))</f>
        <v/>
      </c>
      <c r="G937" s="57">
        <f>IF(OR($A937="",G$24=""),"",IF(COUNTIFS('AFA Rates'!$A$5:$A$1004,$A937,'AFA Rates'!$B$5:$B$1004,G$24)&gt;0,"✓",""))</f>
        <v/>
      </c>
      <c r="H937" s="57">
        <f>IF(OR($A937="",H$24=""),"",IF(COUNTIFS('AFA Rates'!$A$5:$A$1004,$A937,'AFA Rates'!$B$5:$B$1004,H$24)&gt;0,"✓",""))</f>
        <v/>
      </c>
      <c r="I937" s="57">
        <f>IF(OR($A937="",I$24=""),"",IF(COUNTIFS('AFA Rates'!$A$5:$A$1004,$A937,'AFA Rates'!$B$5:$B$1004,I$24)&gt;0,"✓",""))</f>
        <v/>
      </c>
      <c r="J937" s="57">
        <f>IF(OR($A937="",J$24=""),"",IF(COUNTIFS('AFA Rates'!$A$5:$A$1004,$A937,'AFA Rates'!$B$5:$B$1004,J$24)&gt;0,"✓",""))</f>
        <v/>
      </c>
      <c r="K937" s="57">
        <f>IF(OR($A937="",K$24=""),"",IF(COUNTIFS('AFA Rates'!$A$5:$A$1004,$A937,'AFA Rates'!$B$5:$B$1004,K$24)&gt;0,"✓",""))</f>
        <v/>
      </c>
      <c r="L937" s="57">
        <f>IF(OR($A937="",L$24=""),"",IF(COUNTIFS('AFA Rates'!$A$5:$A$1004,$A937,'AFA Rates'!$B$5:$B$1004,L$24)&gt;0,"✓",""))</f>
        <v/>
      </c>
      <c r="M937" s="57">
        <f>IF(OR($A937="",M$24=""),"",IF(COUNTIFS('AFA Rates'!$A$5:$A$1004,$A937,'AFA Rates'!$B$5:$B$1004,M$24)&gt;0,"✓",""))</f>
        <v/>
      </c>
    </row>
    <row r="938">
      <c r="A938" s="63">
        <f>IFERROR(INDEX(Firms!$A$5:$A$1004,MATCH(914,Firms!$S$5:$S$1004,0)),"")</f>
        <v/>
      </c>
      <c r="B938" s="57">
        <f>IF($A938="","",INDEX(Firms!$B$5:$B$1004,MATCH(914,Firms!$S$5:$S$1004,0)))</f>
        <v/>
      </c>
      <c r="C938" s="57">
        <f>IF($A938="","",COUNTIF('AFA Rates'!$A$5:$A$1004,$A938))</f>
        <v/>
      </c>
      <c r="D938" s="57">
        <f>IF(OR($A938="",D$24=""),"",IF(COUNTIFS('AFA Rates'!$A$5:$A$1004,$A938,'AFA Rates'!$B$5:$B$1004,D$24)&gt;0,"✓",""))</f>
        <v/>
      </c>
      <c r="E938" s="57">
        <f>IF(OR($A938="",E$24=""),"",IF(COUNTIFS('AFA Rates'!$A$5:$A$1004,$A938,'AFA Rates'!$B$5:$B$1004,E$24)&gt;0,"✓",""))</f>
        <v/>
      </c>
      <c r="F938" s="57">
        <f>IF(OR($A938="",F$24=""),"",IF(COUNTIFS('AFA Rates'!$A$5:$A$1004,$A938,'AFA Rates'!$B$5:$B$1004,F$24)&gt;0,"✓",""))</f>
        <v/>
      </c>
      <c r="G938" s="57">
        <f>IF(OR($A938="",G$24=""),"",IF(COUNTIFS('AFA Rates'!$A$5:$A$1004,$A938,'AFA Rates'!$B$5:$B$1004,G$24)&gt;0,"✓",""))</f>
        <v/>
      </c>
      <c r="H938" s="57">
        <f>IF(OR($A938="",H$24=""),"",IF(COUNTIFS('AFA Rates'!$A$5:$A$1004,$A938,'AFA Rates'!$B$5:$B$1004,H$24)&gt;0,"✓",""))</f>
        <v/>
      </c>
      <c r="I938" s="57">
        <f>IF(OR($A938="",I$24=""),"",IF(COUNTIFS('AFA Rates'!$A$5:$A$1004,$A938,'AFA Rates'!$B$5:$B$1004,I$24)&gt;0,"✓",""))</f>
        <v/>
      </c>
      <c r="J938" s="57">
        <f>IF(OR($A938="",J$24=""),"",IF(COUNTIFS('AFA Rates'!$A$5:$A$1004,$A938,'AFA Rates'!$B$5:$B$1004,J$24)&gt;0,"✓",""))</f>
        <v/>
      </c>
      <c r="K938" s="57">
        <f>IF(OR($A938="",K$24=""),"",IF(COUNTIFS('AFA Rates'!$A$5:$A$1004,$A938,'AFA Rates'!$B$5:$B$1004,K$24)&gt;0,"✓",""))</f>
        <v/>
      </c>
      <c r="L938" s="57">
        <f>IF(OR($A938="",L$24=""),"",IF(COUNTIFS('AFA Rates'!$A$5:$A$1004,$A938,'AFA Rates'!$B$5:$B$1004,L$24)&gt;0,"✓",""))</f>
        <v/>
      </c>
      <c r="M938" s="57">
        <f>IF(OR($A938="",M$24=""),"",IF(COUNTIFS('AFA Rates'!$A$5:$A$1004,$A938,'AFA Rates'!$B$5:$B$1004,M$24)&gt;0,"✓",""))</f>
        <v/>
      </c>
    </row>
    <row r="939">
      <c r="A939" s="63">
        <f>IFERROR(INDEX(Firms!$A$5:$A$1004,MATCH(915,Firms!$S$5:$S$1004,0)),"")</f>
        <v/>
      </c>
      <c r="B939" s="57">
        <f>IF($A939="","",INDEX(Firms!$B$5:$B$1004,MATCH(915,Firms!$S$5:$S$1004,0)))</f>
        <v/>
      </c>
      <c r="C939" s="57">
        <f>IF($A939="","",COUNTIF('AFA Rates'!$A$5:$A$1004,$A939))</f>
        <v/>
      </c>
      <c r="D939" s="57">
        <f>IF(OR($A939="",D$24=""),"",IF(COUNTIFS('AFA Rates'!$A$5:$A$1004,$A939,'AFA Rates'!$B$5:$B$1004,D$24)&gt;0,"✓",""))</f>
        <v/>
      </c>
      <c r="E939" s="57">
        <f>IF(OR($A939="",E$24=""),"",IF(COUNTIFS('AFA Rates'!$A$5:$A$1004,$A939,'AFA Rates'!$B$5:$B$1004,E$24)&gt;0,"✓",""))</f>
        <v/>
      </c>
      <c r="F939" s="57">
        <f>IF(OR($A939="",F$24=""),"",IF(COUNTIFS('AFA Rates'!$A$5:$A$1004,$A939,'AFA Rates'!$B$5:$B$1004,F$24)&gt;0,"✓",""))</f>
        <v/>
      </c>
      <c r="G939" s="57">
        <f>IF(OR($A939="",G$24=""),"",IF(COUNTIFS('AFA Rates'!$A$5:$A$1004,$A939,'AFA Rates'!$B$5:$B$1004,G$24)&gt;0,"✓",""))</f>
        <v/>
      </c>
      <c r="H939" s="57">
        <f>IF(OR($A939="",H$24=""),"",IF(COUNTIFS('AFA Rates'!$A$5:$A$1004,$A939,'AFA Rates'!$B$5:$B$1004,H$24)&gt;0,"✓",""))</f>
        <v/>
      </c>
      <c r="I939" s="57">
        <f>IF(OR($A939="",I$24=""),"",IF(COUNTIFS('AFA Rates'!$A$5:$A$1004,$A939,'AFA Rates'!$B$5:$B$1004,I$24)&gt;0,"✓",""))</f>
        <v/>
      </c>
      <c r="J939" s="57">
        <f>IF(OR($A939="",J$24=""),"",IF(COUNTIFS('AFA Rates'!$A$5:$A$1004,$A939,'AFA Rates'!$B$5:$B$1004,J$24)&gt;0,"✓",""))</f>
        <v/>
      </c>
      <c r="K939" s="57">
        <f>IF(OR($A939="",K$24=""),"",IF(COUNTIFS('AFA Rates'!$A$5:$A$1004,$A939,'AFA Rates'!$B$5:$B$1004,K$24)&gt;0,"✓",""))</f>
        <v/>
      </c>
      <c r="L939" s="57">
        <f>IF(OR($A939="",L$24=""),"",IF(COUNTIFS('AFA Rates'!$A$5:$A$1004,$A939,'AFA Rates'!$B$5:$B$1004,L$24)&gt;0,"✓",""))</f>
        <v/>
      </c>
      <c r="M939" s="57">
        <f>IF(OR($A939="",M$24=""),"",IF(COUNTIFS('AFA Rates'!$A$5:$A$1004,$A939,'AFA Rates'!$B$5:$B$1004,M$24)&gt;0,"✓",""))</f>
        <v/>
      </c>
    </row>
    <row r="940">
      <c r="A940" s="63">
        <f>IFERROR(INDEX(Firms!$A$5:$A$1004,MATCH(916,Firms!$S$5:$S$1004,0)),"")</f>
        <v/>
      </c>
      <c r="B940" s="57">
        <f>IF($A940="","",INDEX(Firms!$B$5:$B$1004,MATCH(916,Firms!$S$5:$S$1004,0)))</f>
        <v/>
      </c>
      <c r="C940" s="57">
        <f>IF($A940="","",COUNTIF('AFA Rates'!$A$5:$A$1004,$A940))</f>
        <v/>
      </c>
      <c r="D940" s="57">
        <f>IF(OR($A940="",D$24=""),"",IF(COUNTIFS('AFA Rates'!$A$5:$A$1004,$A940,'AFA Rates'!$B$5:$B$1004,D$24)&gt;0,"✓",""))</f>
        <v/>
      </c>
      <c r="E940" s="57">
        <f>IF(OR($A940="",E$24=""),"",IF(COUNTIFS('AFA Rates'!$A$5:$A$1004,$A940,'AFA Rates'!$B$5:$B$1004,E$24)&gt;0,"✓",""))</f>
        <v/>
      </c>
      <c r="F940" s="57">
        <f>IF(OR($A940="",F$24=""),"",IF(COUNTIFS('AFA Rates'!$A$5:$A$1004,$A940,'AFA Rates'!$B$5:$B$1004,F$24)&gt;0,"✓",""))</f>
        <v/>
      </c>
      <c r="G940" s="57">
        <f>IF(OR($A940="",G$24=""),"",IF(COUNTIFS('AFA Rates'!$A$5:$A$1004,$A940,'AFA Rates'!$B$5:$B$1004,G$24)&gt;0,"✓",""))</f>
        <v/>
      </c>
      <c r="H940" s="57">
        <f>IF(OR($A940="",H$24=""),"",IF(COUNTIFS('AFA Rates'!$A$5:$A$1004,$A940,'AFA Rates'!$B$5:$B$1004,H$24)&gt;0,"✓",""))</f>
        <v/>
      </c>
      <c r="I940" s="57">
        <f>IF(OR($A940="",I$24=""),"",IF(COUNTIFS('AFA Rates'!$A$5:$A$1004,$A940,'AFA Rates'!$B$5:$B$1004,I$24)&gt;0,"✓",""))</f>
        <v/>
      </c>
      <c r="J940" s="57">
        <f>IF(OR($A940="",J$24=""),"",IF(COUNTIFS('AFA Rates'!$A$5:$A$1004,$A940,'AFA Rates'!$B$5:$B$1004,J$24)&gt;0,"✓",""))</f>
        <v/>
      </c>
      <c r="K940" s="57">
        <f>IF(OR($A940="",K$24=""),"",IF(COUNTIFS('AFA Rates'!$A$5:$A$1004,$A940,'AFA Rates'!$B$5:$B$1004,K$24)&gt;0,"✓",""))</f>
        <v/>
      </c>
      <c r="L940" s="57">
        <f>IF(OR($A940="",L$24=""),"",IF(COUNTIFS('AFA Rates'!$A$5:$A$1004,$A940,'AFA Rates'!$B$5:$B$1004,L$24)&gt;0,"✓",""))</f>
        <v/>
      </c>
      <c r="M940" s="57">
        <f>IF(OR($A940="",M$24=""),"",IF(COUNTIFS('AFA Rates'!$A$5:$A$1004,$A940,'AFA Rates'!$B$5:$B$1004,M$24)&gt;0,"✓",""))</f>
        <v/>
      </c>
    </row>
    <row r="941">
      <c r="A941" s="63">
        <f>IFERROR(INDEX(Firms!$A$5:$A$1004,MATCH(917,Firms!$S$5:$S$1004,0)),"")</f>
        <v/>
      </c>
      <c r="B941" s="57">
        <f>IF($A941="","",INDEX(Firms!$B$5:$B$1004,MATCH(917,Firms!$S$5:$S$1004,0)))</f>
        <v/>
      </c>
      <c r="C941" s="57">
        <f>IF($A941="","",COUNTIF('AFA Rates'!$A$5:$A$1004,$A941))</f>
        <v/>
      </c>
      <c r="D941" s="57">
        <f>IF(OR($A941="",D$24=""),"",IF(COUNTIFS('AFA Rates'!$A$5:$A$1004,$A941,'AFA Rates'!$B$5:$B$1004,D$24)&gt;0,"✓",""))</f>
        <v/>
      </c>
      <c r="E941" s="57">
        <f>IF(OR($A941="",E$24=""),"",IF(COUNTIFS('AFA Rates'!$A$5:$A$1004,$A941,'AFA Rates'!$B$5:$B$1004,E$24)&gt;0,"✓",""))</f>
        <v/>
      </c>
      <c r="F941" s="57">
        <f>IF(OR($A941="",F$24=""),"",IF(COUNTIFS('AFA Rates'!$A$5:$A$1004,$A941,'AFA Rates'!$B$5:$B$1004,F$24)&gt;0,"✓",""))</f>
        <v/>
      </c>
      <c r="G941" s="57">
        <f>IF(OR($A941="",G$24=""),"",IF(COUNTIFS('AFA Rates'!$A$5:$A$1004,$A941,'AFA Rates'!$B$5:$B$1004,G$24)&gt;0,"✓",""))</f>
        <v/>
      </c>
      <c r="H941" s="57">
        <f>IF(OR($A941="",H$24=""),"",IF(COUNTIFS('AFA Rates'!$A$5:$A$1004,$A941,'AFA Rates'!$B$5:$B$1004,H$24)&gt;0,"✓",""))</f>
        <v/>
      </c>
      <c r="I941" s="57">
        <f>IF(OR($A941="",I$24=""),"",IF(COUNTIFS('AFA Rates'!$A$5:$A$1004,$A941,'AFA Rates'!$B$5:$B$1004,I$24)&gt;0,"✓",""))</f>
        <v/>
      </c>
      <c r="J941" s="57">
        <f>IF(OR($A941="",J$24=""),"",IF(COUNTIFS('AFA Rates'!$A$5:$A$1004,$A941,'AFA Rates'!$B$5:$B$1004,J$24)&gt;0,"✓",""))</f>
        <v/>
      </c>
      <c r="K941" s="57">
        <f>IF(OR($A941="",K$24=""),"",IF(COUNTIFS('AFA Rates'!$A$5:$A$1004,$A941,'AFA Rates'!$B$5:$B$1004,K$24)&gt;0,"✓",""))</f>
        <v/>
      </c>
      <c r="L941" s="57">
        <f>IF(OR($A941="",L$24=""),"",IF(COUNTIFS('AFA Rates'!$A$5:$A$1004,$A941,'AFA Rates'!$B$5:$B$1004,L$24)&gt;0,"✓",""))</f>
        <v/>
      </c>
      <c r="M941" s="57">
        <f>IF(OR($A941="",M$24=""),"",IF(COUNTIFS('AFA Rates'!$A$5:$A$1004,$A941,'AFA Rates'!$B$5:$B$1004,M$24)&gt;0,"✓",""))</f>
        <v/>
      </c>
    </row>
    <row r="942">
      <c r="A942" s="63">
        <f>IFERROR(INDEX(Firms!$A$5:$A$1004,MATCH(918,Firms!$S$5:$S$1004,0)),"")</f>
        <v/>
      </c>
      <c r="B942" s="57">
        <f>IF($A942="","",INDEX(Firms!$B$5:$B$1004,MATCH(918,Firms!$S$5:$S$1004,0)))</f>
        <v/>
      </c>
      <c r="C942" s="57">
        <f>IF($A942="","",COUNTIF('AFA Rates'!$A$5:$A$1004,$A942))</f>
        <v/>
      </c>
      <c r="D942" s="57">
        <f>IF(OR($A942="",D$24=""),"",IF(COUNTIFS('AFA Rates'!$A$5:$A$1004,$A942,'AFA Rates'!$B$5:$B$1004,D$24)&gt;0,"✓",""))</f>
        <v/>
      </c>
      <c r="E942" s="57">
        <f>IF(OR($A942="",E$24=""),"",IF(COUNTIFS('AFA Rates'!$A$5:$A$1004,$A942,'AFA Rates'!$B$5:$B$1004,E$24)&gt;0,"✓",""))</f>
        <v/>
      </c>
      <c r="F942" s="57">
        <f>IF(OR($A942="",F$24=""),"",IF(COUNTIFS('AFA Rates'!$A$5:$A$1004,$A942,'AFA Rates'!$B$5:$B$1004,F$24)&gt;0,"✓",""))</f>
        <v/>
      </c>
      <c r="G942" s="57">
        <f>IF(OR($A942="",G$24=""),"",IF(COUNTIFS('AFA Rates'!$A$5:$A$1004,$A942,'AFA Rates'!$B$5:$B$1004,G$24)&gt;0,"✓",""))</f>
        <v/>
      </c>
      <c r="H942" s="57">
        <f>IF(OR($A942="",H$24=""),"",IF(COUNTIFS('AFA Rates'!$A$5:$A$1004,$A942,'AFA Rates'!$B$5:$B$1004,H$24)&gt;0,"✓",""))</f>
        <v/>
      </c>
      <c r="I942" s="57">
        <f>IF(OR($A942="",I$24=""),"",IF(COUNTIFS('AFA Rates'!$A$5:$A$1004,$A942,'AFA Rates'!$B$5:$B$1004,I$24)&gt;0,"✓",""))</f>
        <v/>
      </c>
      <c r="J942" s="57">
        <f>IF(OR($A942="",J$24=""),"",IF(COUNTIFS('AFA Rates'!$A$5:$A$1004,$A942,'AFA Rates'!$B$5:$B$1004,J$24)&gt;0,"✓",""))</f>
        <v/>
      </c>
      <c r="K942" s="57">
        <f>IF(OR($A942="",K$24=""),"",IF(COUNTIFS('AFA Rates'!$A$5:$A$1004,$A942,'AFA Rates'!$B$5:$B$1004,K$24)&gt;0,"✓",""))</f>
        <v/>
      </c>
      <c r="L942" s="57">
        <f>IF(OR($A942="",L$24=""),"",IF(COUNTIFS('AFA Rates'!$A$5:$A$1004,$A942,'AFA Rates'!$B$5:$B$1004,L$24)&gt;0,"✓",""))</f>
        <v/>
      </c>
      <c r="M942" s="57">
        <f>IF(OR($A942="",M$24=""),"",IF(COUNTIFS('AFA Rates'!$A$5:$A$1004,$A942,'AFA Rates'!$B$5:$B$1004,M$24)&gt;0,"✓",""))</f>
        <v/>
      </c>
    </row>
    <row r="943">
      <c r="A943" s="63">
        <f>IFERROR(INDEX(Firms!$A$5:$A$1004,MATCH(919,Firms!$S$5:$S$1004,0)),"")</f>
        <v/>
      </c>
      <c r="B943" s="57">
        <f>IF($A943="","",INDEX(Firms!$B$5:$B$1004,MATCH(919,Firms!$S$5:$S$1004,0)))</f>
        <v/>
      </c>
      <c r="C943" s="57">
        <f>IF($A943="","",COUNTIF('AFA Rates'!$A$5:$A$1004,$A943))</f>
        <v/>
      </c>
      <c r="D943" s="57">
        <f>IF(OR($A943="",D$24=""),"",IF(COUNTIFS('AFA Rates'!$A$5:$A$1004,$A943,'AFA Rates'!$B$5:$B$1004,D$24)&gt;0,"✓",""))</f>
        <v/>
      </c>
      <c r="E943" s="57">
        <f>IF(OR($A943="",E$24=""),"",IF(COUNTIFS('AFA Rates'!$A$5:$A$1004,$A943,'AFA Rates'!$B$5:$B$1004,E$24)&gt;0,"✓",""))</f>
        <v/>
      </c>
      <c r="F943" s="57">
        <f>IF(OR($A943="",F$24=""),"",IF(COUNTIFS('AFA Rates'!$A$5:$A$1004,$A943,'AFA Rates'!$B$5:$B$1004,F$24)&gt;0,"✓",""))</f>
        <v/>
      </c>
      <c r="G943" s="57">
        <f>IF(OR($A943="",G$24=""),"",IF(COUNTIFS('AFA Rates'!$A$5:$A$1004,$A943,'AFA Rates'!$B$5:$B$1004,G$24)&gt;0,"✓",""))</f>
        <v/>
      </c>
      <c r="H943" s="57">
        <f>IF(OR($A943="",H$24=""),"",IF(COUNTIFS('AFA Rates'!$A$5:$A$1004,$A943,'AFA Rates'!$B$5:$B$1004,H$24)&gt;0,"✓",""))</f>
        <v/>
      </c>
      <c r="I943" s="57">
        <f>IF(OR($A943="",I$24=""),"",IF(COUNTIFS('AFA Rates'!$A$5:$A$1004,$A943,'AFA Rates'!$B$5:$B$1004,I$24)&gt;0,"✓",""))</f>
        <v/>
      </c>
      <c r="J943" s="57">
        <f>IF(OR($A943="",J$24=""),"",IF(COUNTIFS('AFA Rates'!$A$5:$A$1004,$A943,'AFA Rates'!$B$5:$B$1004,J$24)&gt;0,"✓",""))</f>
        <v/>
      </c>
      <c r="K943" s="57">
        <f>IF(OR($A943="",K$24=""),"",IF(COUNTIFS('AFA Rates'!$A$5:$A$1004,$A943,'AFA Rates'!$B$5:$B$1004,K$24)&gt;0,"✓",""))</f>
        <v/>
      </c>
      <c r="L943" s="57">
        <f>IF(OR($A943="",L$24=""),"",IF(COUNTIFS('AFA Rates'!$A$5:$A$1004,$A943,'AFA Rates'!$B$5:$B$1004,L$24)&gt;0,"✓",""))</f>
        <v/>
      </c>
      <c r="M943" s="57">
        <f>IF(OR($A943="",M$24=""),"",IF(COUNTIFS('AFA Rates'!$A$5:$A$1004,$A943,'AFA Rates'!$B$5:$B$1004,M$24)&gt;0,"✓",""))</f>
        <v/>
      </c>
    </row>
    <row r="944">
      <c r="A944" s="63">
        <f>IFERROR(INDEX(Firms!$A$5:$A$1004,MATCH(920,Firms!$S$5:$S$1004,0)),"")</f>
        <v/>
      </c>
      <c r="B944" s="57">
        <f>IF($A944="","",INDEX(Firms!$B$5:$B$1004,MATCH(920,Firms!$S$5:$S$1004,0)))</f>
        <v/>
      </c>
      <c r="C944" s="57">
        <f>IF($A944="","",COUNTIF('AFA Rates'!$A$5:$A$1004,$A944))</f>
        <v/>
      </c>
      <c r="D944" s="57">
        <f>IF(OR($A944="",D$24=""),"",IF(COUNTIFS('AFA Rates'!$A$5:$A$1004,$A944,'AFA Rates'!$B$5:$B$1004,D$24)&gt;0,"✓",""))</f>
        <v/>
      </c>
      <c r="E944" s="57">
        <f>IF(OR($A944="",E$24=""),"",IF(COUNTIFS('AFA Rates'!$A$5:$A$1004,$A944,'AFA Rates'!$B$5:$B$1004,E$24)&gt;0,"✓",""))</f>
        <v/>
      </c>
      <c r="F944" s="57">
        <f>IF(OR($A944="",F$24=""),"",IF(COUNTIFS('AFA Rates'!$A$5:$A$1004,$A944,'AFA Rates'!$B$5:$B$1004,F$24)&gt;0,"✓",""))</f>
        <v/>
      </c>
      <c r="G944" s="57">
        <f>IF(OR($A944="",G$24=""),"",IF(COUNTIFS('AFA Rates'!$A$5:$A$1004,$A944,'AFA Rates'!$B$5:$B$1004,G$24)&gt;0,"✓",""))</f>
        <v/>
      </c>
      <c r="H944" s="57">
        <f>IF(OR($A944="",H$24=""),"",IF(COUNTIFS('AFA Rates'!$A$5:$A$1004,$A944,'AFA Rates'!$B$5:$B$1004,H$24)&gt;0,"✓",""))</f>
        <v/>
      </c>
      <c r="I944" s="57">
        <f>IF(OR($A944="",I$24=""),"",IF(COUNTIFS('AFA Rates'!$A$5:$A$1004,$A944,'AFA Rates'!$B$5:$B$1004,I$24)&gt;0,"✓",""))</f>
        <v/>
      </c>
      <c r="J944" s="57">
        <f>IF(OR($A944="",J$24=""),"",IF(COUNTIFS('AFA Rates'!$A$5:$A$1004,$A944,'AFA Rates'!$B$5:$B$1004,J$24)&gt;0,"✓",""))</f>
        <v/>
      </c>
      <c r="K944" s="57">
        <f>IF(OR($A944="",K$24=""),"",IF(COUNTIFS('AFA Rates'!$A$5:$A$1004,$A944,'AFA Rates'!$B$5:$B$1004,K$24)&gt;0,"✓",""))</f>
        <v/>
      </c>
      <c r="L944" s="57">
        <f>IF(OR($A944="",L$24=""),"",IF(COUNTIFS('AFA Rates'!$A$5:$A$1004,$A944,'AFA Rates'!$B$5:$B$1004,L$24)&gt;0,"✓",""))</f>
        <v/>
      </c>
      <c r="M944" s="57">
        <f>IF(OR($A944="",M$24=""),"",IF(COUNTIFS('AFA Rates'!$A$5:$A$1004,$A944,'AFA Rates'!$B$5:$B$1004,M$24)&gt;0,"✓",""))</f>
        <v/>
      </c>
    </row>
    <row r="945">
      <c r="A945" s="63">
        <f>IFERROR(INDEX(Firms!$A$5:$A$1004,MATCH(921,Firms!$S$5:$S$1004,0)),"")</f>
        <v/>
      </c>
      <c r="B945" s="57">
        <f>IF($A945="","",INDEX(Firms!$B$5:$B$1004,MATCH(921,Firms!$S$5:$S$1004,0)))</f>
        <v/>
      </c>
      <c r="C945" s="57">
        <f>IF($A945="","",COUNTIF('AFA Rates'!$A$5:$A$1004,$A945))</f>
        <v/>
      </c>
      <c r="D945" s="57">
        <f>IF(OR($A945="",D$24=""),"",IF(COUNTIFS('AFA Rates'!$A$5:$A$1004,$A945,'AFA Rates'!$B$5:$B$1004,D$24)&gt;0,"✓",""))</f>
        <v/>
      </c>
      <c r="E945" s="57">
        <f>IF(OR($A945="",E$24=""),"",IF(COUNTIFS('AFA Rates'!$A$5:$A$1004,$A945,'AFA Rates'!$B$5:$B$1004,E$24)&gt;0,"✓",""))</f>
        <v/>
      </c>
      <c r="F945" s="57">
        <f>IF(OR($A945="",F$24=""),"",IF(COUNTIFS('AFA Rates'!$A$5:$A$1004,$A945,'AFA Rates'!$B$5:$B$1004,F$24)&gt;0,"✓",""))</f>
        <v/>
      </c>
      <c r="G945" s="57">
        <f>IF(OR($A945="",G$24=""),"",IF(COUNTIFS('AFA Rates'!$A$5:$A$1004,$A945,'AFA Rates'!$B$5:$B$1004,G$24)&gt;0,"✓",""))</f>
        <v/>
      </c>
      <c r="H945" s="57">
        <f>IF(OR($A945="",H$24=""),"",IF(COUNTIFS('AFA Rates'!$A$5:$A$1004,$A945,'AFA Rates'!$B$5:$B$1004,H$24)&gt;0,"✓",""))</f>
        <v/>
      </c>
      <c r="I945" s="57">
        <f>IF(OR($A945="",I$24=""),"",IF(COUNTIFS('AFA Rates'!$A$5:$A$1004,$A945,'AFA Rates'!$B$5:$B$1004,I$24)&gt;0,"✓",""))</f>
        <v/>
      </c>
      <c r="J945" s="57">
        <f>IF(OR($A945="",J$24=""),"",IF(COUNTIFS('AFA Rates'!$A$5:$A$1004,$A945,'AFA Rates'!$B$5:$B$1004,J$24)&gt;0,"✓",""))</f>
        <v/>
      </c>
      <c r="K945" s="57">
        <f>IF(OR($A945="",K$24=""),"",IF(COUNTIFS('AFA Rates'!$A$5:$A$1004,$A945,'AFA Rates'!$B$5:$B$1004,K$24)&gt;0,"✓",""))</f>
        <v/>
      </c>
      <c r="L945" s="57">
        <f>IF(OR($A945="",L$24=""),"",IF(COUNTIFS('AFA Rates'!$A$5:$A$1004,$A945,'AFA Rates'!$B$5:$B$1004,L$24)&gt;0,"✓",""))</f>
        <v/>
      </c>
      <c r="M945" s="57">
        <f>IF(OR($A945="",M$24=""),"",IF(COUNTIFS('AFA Rates'!$A$5:$A$1004,$A945,'AFA Rates'!$B$5:$B$1004,M$24)&gt;0,"✓",""))</f>
        <v/>
      </c>
    </row>
    <row r="946">
      <c r="A946" s="63">
        <f>IFERROR(INDEX(Firms!$A$5:$A$1004,MATCH(922,Firms!$S$5:$S$1004,0)),"")</f>
        <v/>
      </c>
      <c r="B946" s="57">
        <f>IF($A946="","",INDEX(Firms!$B$5:$B$1004,MATCH(922,Firms!$S$5:$S$1004,0)))</f>
        <v/>
      </c>
      <c r="C946" s="57">
        <f>IF($A946="","",COUNTIF('AFA Rates'!$A$5:$A$1004,$A946))</f>
        <v/>
      </c>
      <c r="D946" s="57">
        <f>IF(OR($A946="",D$24=""),"",IF(COUNTIFS('AFA Rates'!$A$5:$A$1004,$A946,'AFA Rates'!$B$5:$B$1004,D$24)&gt;0,"✓",""))</f>
        <v/>
      </c>
      <c r="E946" s="57">
        <f>IF(OR($A946="",E$24=""),"",IF(COUNTIFS('AFA Rates'!$A$5:$A$1004,$A946,'AFA Rates'!$B$5:$B$1004,E$24)&gt;0,"✓",""))</f>
        <v/>
      </c>
      <c r="F946" s="57">
        <f>IF(OR($A946="",F$24=""),"",IF(COUNTIFS('AFA Rates'!$A$5:$A$1004,$A946,'AFA Rates'!$B$5:$B$1004,F$24)&gt;0,"✓",""))</f>
        <v/>
      </c>
      <c r="G946" s="57">
        <f>IF(OR($A946="",G$24=""),"",IF(COUNTIFS('AFA Rates'!$A$5:$A$1004,$A946,'AFA Rates'!$B$5:$B$1004,G$24)&gt;0,"✓",""))</f>
        <v/>
      </c>
      <c r="H946" s="57">
        <f>IF(OR($A946="",H$24=""),"",IF(COUNTIFS('AFA Rates'!$A$5:$A$1004,$A946,'AFA Rates'!$B$5:$B$1004,H$24)&gt;0,"✓",""))</f>
        <v/>
      </c>
      <c r="I946" s="57">
        <f>IF(OR($A946="",I$24=""),"",IF(COUNTIFS('AFA Rates'!$A$5:$A$1004,$A946,'AFA Rates'!$B$5:$B$1004,I$24)&gt;0,"✓",""))</f>
        <v/>
      </c>
      <c r="J946" s="57">
        <f>IF(OR($A946="",J$24=""),"",IF(COUNTIFS('AFA Rates'!$A$5:$A$1004,$A946,'AFA Rates'!$B$5:$B$1004,J$24)&gt;0,"✓",""))</f>
        <v/>
      </c>
      <c r="K946" s="57">
        <f>IF(OR($A946="",K$24=""),"",IF(COUNTIFS('AFA Rates'!$A$5:$A$1004,$A946,'AFA Rates'!$B$5:$B$1004,K$24)&gt;0,"✓",""))</f>
        <v/>
      </c>
      <c r="L946" s="57">
        <f>IF(OR($A946="",L$24=""),"",IF(COUNTIFS('AFA Rates'!$A$5:$A$1004,$A946,'AFA Rates'!$B$5:$B$1004,L$24)&gt;0,"✓",""))</f>
        <v/>
      </c>
      <c r="M946" s="57">
        <f>IF(OR($A946="",M$24=""),"",IF(COUNTIFS('AFA Rates'!$A$5:$A$1004,$A946,'AFA Rates'!$B$5:$B$1004,M$24)&gt;0,"✓",""))</f>
        <v/>
      </c>
    </row>
    <row r="947">
      <c r="A947" s="63">
        <f>IFERROR(INDEX(Firms!$A$5:$A$1004,MATCH(923,Firms!$S$5:$S$1004,0)),"")</f>
        <v/>
      </c>
      <c r="B947" s="57">
        <f>IF($A947="","",INDEX(Firms!$B$5:$B$1004,MATCH(923,Firms!$S$5:$S$1004,0)))</f>
        <v/>
      </c>
      <c r="C947" s="57">
        <f>IF($A947="","",COUNTIF('AFA Rates'!$A$5:$A$1004,$A947))</f>
        <v/>
      </c>
      <c r="D947" s="57">
        <f>IF(OR($A947="",D$24=""),"",IF(COUNTIFS('AFA Rates'!$A$5:$A$1004,$A947,'AFA Rates'!$B$5:$B$1004,D$24)&gt;0,"✓",""))</f>
        <v/>
      </c>
      <c r="E947" s="57">
        <f>IF(OR($A947="",E$24=""),"",IF(COUNTIFS('AFA Rates'!$A$5:$A$1004,$A947,'AFA Rates'!$B$5:$B$1004,E$24)&gt;0,"✓",""))</f>
        <v/>
      </c>
      <c r="F947" s="57">
        <f>IF(OR($A947="",F$24=""),"",IF(COUNTIFS('AFA Rates'!$A$5:$A$1004,$A947,'AFA Rates'!$B$5:$B$1004,F$24)&gt;0,"✓",""))</f>
        <v/>
      </c>
      <c r="G947" s="57">
        <f>IF(OR($A947="",G$24=""),"",IF(COUNTIFS('AFA Rates'!$A$5:$A$1004,$A947,'AFA Rates'!$B$5:$B$1004,G$24)&gt;0,"✓",""))</f>
        <v/>
      </c>
      <c r="H947" s="57">
        <f>IF(OR($A947="",H$24=""),"",IF(COUNTIFS('AFA Rates'!$A$5:$A$1004,$A947,'AFA Rates'!$B$5:$B$1004,H$24)&gt;0,"✓",""))</f>
        <v/>
      </c>
      <c r="I947" s="57">
        <f>IF(OR($A947="",I$24=""),"",IF(COUNTIFS('AFA Rates'!$A$5:$A$1004,$A947,'AFA Rates'!$B$5:$B$1004,I$24)&gt;0,"✓",""))</f>
        <v/>
      </c>
      <c r="J947" s="57">
        <f>IF(OR($A947="",J$24=""),"",IF(COUNTIFS('AFA Rates'!$A$5:$A$1004,$A947,'AFA Rates'!$B$5:$B$1004,J$24)&gt;0,"✓",""))</f>
        <v/>
      </c>
      <c r="K947" s="57">
        <f>IF(OR($A947="",K$24=""),"",IF(COUNTIFS('AFA Rates'!$A$5:$A$1004,$A947,'AFA Rates'!$B$5:$B$1004,K$24)&gt;0,"✓",""))</f>
        <v/>
      </c>
      <c r="L947" s="57">
        <f>IF(OR($A947="",L$24=""),"",IF(COUNTIFS('AFA Rates'!$A$5:$A$1004,$A947,'AFA Rates'!$B$5:$B$1004,L$24)&gt;0,"✓",""))</f>
        <v/>
      </c>
      <c r="M947" s="57">
        <f>IF(OR($A947="",M$24=""),"",IF(COUNTIFS('AFA Rates'!$A$5:$A$1004,$A947,'AFA Rates'!$B$5:$B$1004,M$24)&gt;0,"✓",""))</f>
        <v/>
      </c>
    </row>
    <row r="948">
      <c r="A948" s="63">
        <f>IFERROR(INDEX(Firms!$A$5:$A$1004,MATCH(924,Firms!$S$5:$S$1004,0)),"")</f>
        <v/>
      </c>
      <c r="B948" s="57">
        <f>IF($A948="","",INDEX(Firms!$B$5:$B$1004,MATCH(924,Firms!$S$5:$S$1004,0)))</f>
        <v/>
      </c>
      <c r="C948" s="57">
        <f>IF($A948="","",COUNTIF('AFA Rates'!$A$5:$A$1004,$A948))</f>
        <v/>
      </c>
      <c r="D948" s="57">
        <f>IF(OR($A948="",D$24=""),"",IF(COUNTIFS('AFA Rates'!$A$5:$A$1004,$A948,'AFA Rates'!$B$5:$B$1004,D$24)&gt;0,"✓",""))</f>
        <v/>
      </c>
      <c r="E948" s="57">
        <f>IF(OR($A948="",E$24=""),"",IF(COUNTIFS('AFA Rates'!$A$5:$A$1004,$A948,'AFA Rates'!$B$5:$B$1004,E$24)&gt;0,"✓",""))</f>
        <v/>
      </c>
      <c r="F948" s="57">
        <f>IF(OR($A948="",F$24=""),"",IF(COUNTIFS('AFA Rates'!$A$5:$A$1004,$A948,'AFA Rates'!$B$5:$B$1004,F$24)&gt;0,"✓",""))</f>
        <v/>
      </c>
      <c r="G948" s="57">
        <f>IF(OR($A948="",G$24=""),"",IF(COUNTIFS('AFA Rates'!$A$5:$A$1004,$A948,'AFA Rates'!$B$5:$B$1004,G$24)&gt;0,"✓",""))</f>
        <v/>
      </c>
      <c r="H948" s="57">
        <f>IF(OR($A948="",H$24=""),"",IF(COUNTIFS('AFA Rates'!$A$5:$A$1004,$A948,'AFA Rates'!$B$5:$B$1004,H$24)&gt;0,"✓",""))</f>
        <v/>
      </c>
      <c r="I948" s="57">
        <f>IF(OR($A948="",I$24=""),"",IF(COUNTIFS('AFA Rates'!$A$5:$A$1004,$A948,'AFA Rates'!$B$5:$B$1004,I$24)&gt;0,"✓",""))</f>
        <v/>
      </c>
      <c r="J948" s="57">
        <f>IF(OR($A948="",J$24=""),"",IF(COUNTIFS('AFA Rates'!$A$5:$A$1004,$A948,'AFA Rates'!$B$5:$B$1004,J$24)&gt;0,"✓",""))</f>
        <v/>
      </c>
      <c r="K948" s="57">
        <f>IF(OR($A948="",K$24=""),"",IF(COUNTIFS('AFA Rates'!$A$5:$A$1004,$A948,'AFA Rates'!$B$5:$B$1004,K$24)&gt;0,"✓",""))</f>
        <v/>
      </c>
      <c r="L948" s="57">
        <f>IF(OR($A948="",L$24=""),"",IF(COUNTIFS('AFA Rates'!$A$5:$A$1004,$A948,'AFA Rates'!$B$5:$B$1004,L$24)&gt;0,"✓",""))</f>
        <v/>
      </c>
      <c r="M948" s="57">
        <f>IF(OR($A948="",M$24=""),"",IF(COUNTIFS('AFA Rates'!$A$5:$A$1004,$A948,'AFA Rates'!$B$5:$B$1004,M$24)&gt;0,"✓",""))</f>
        <v/>
      </c>
    </row>
    <row r="949">
      <c r="A949" s="63">
        <f>IFERROR(INDEX(Firms!$A$5:$A$1004,MATCH(925,Firms!$S$5:$S$1004,0)),"")</f>
        <v/>
      </c>
      <c r="B949" s="57">
        <f>IF($A949="","",INDEX(Firms!$B$5:$B$1004,MATCH(925,Firms!$S$5:$S$1004,0)))</f>
        <v/>
      </c>
      <c r="C949" s="57">
        <f>IF($A949="","",COUNTIF('AFA Rates'!$A$5:$A$1004,$A949))</f>
        <v/>
      </c>
      <c r="D949" s="57">
        <f>IF(OR($A949="",D$24=""),"",IF(COUNTIFS('AFA Rates'!$A$5:$A$1004,$A949,'AFA Rates'!$B$5:$B$1004,D$24)&gt;0,"✓",""))</f>
        <v/>
      </c>
      <c r="E949" s="57">
        <f>IF(OR($A949="",E$24=""),"",IF(COUNTIFS('AFA Rates'!$A$5:$A$1004,$A949,'AFA Rates'!$B$5:$B$1004,E$24)&gt;0,"✓",""))</f>
        <v/>
      </c>
      <c r="F949" s="57">
        <f>IF(OR($A949="",F$24=""),"",IF(COUNTIFS('AFA Rates'!$A$5:$A$1004,$A949,'AFA Rates'!$B$5:$B$1004,F$24)&gt;0,"✓",""))</f>
        <v/>
      </c>
      <c r="G949" s="57">
        <f>IF(OR($A949="",G$24=""),"",IF(COUNTIFS('AFA Rates'!$A$5:$A$1004,$A949,'AFA Rates'!$B$5:$B$1004,G$24)&gt;0,"✓",""))</f>
        <v/>
      </c>
      <c r="H949" s="57">
        <f>IF(OR($A949="",H$24=""),"",IF(COUNTIFS('AFA Rates'!$A$5:$A$1004,$A949,'AFA Rates'!$B$5:$B$1004,H$24)&gt;0,"✓",""))</f>
        <v/>
      </c>
      <c r="I949" s="57">
        <f>IF(OR($A949="",I$24=""),"",IF(COUNTIFS('AFA Rates'!$A$5:$A$1004,$A949,'AFA Rates'!$B$5:$B$1004,I$24)&gt;0,"✓",""))</f>
        <v/>
      </c>
      <c r="J949" s="57">
        <f>IF(OR($A949="",J$24=""),"",IF(COUNTIFS('AFA Rates'!$A$5:$A$1004,$A949,'AFA Rates'!$B$5:$B$1004,J$24)&gt;0,"✓",""))</f>
        <v/>
      </c>
      <c r="K949" s="57">
        <f>IF(OR($A949="",K$24=""),"",IF(COUNTIFS('AFA Rates'!$A$5:$A$1004,$A949,'AFA Rates'!$B$5:$B$1004,K$24)&gt;0,"✓",""))</f>
        <v/>
      </c>
      <c r="L949" s="57">
        <f>IF(OR($A949="",L$24=""),"",IF(COUNTIFS('AFA Rates'!$A$5:$A$1004,$A949,'AFA Rates'!$B$5:$B$1004,L$24)&gt;0,"✓",""))</f>
        <v/>
      </c>
      <c r="M949" s="57">
        <f>IF(OR($A949="",M$24=""),"",IF(COUNTIFS('AFA Rates'!$A$5:$A$1004,$A949,'AFA Rates'!$B$5:$B$1004,M$24)&gt;0,"✓",""))</f>
        <v/>
      </c>
    </row>
    <row r="950">
      <c r="A950" s="63">
        <f>IFERROR(INDEX(Firms!$A$5:$A$1004,MATCH(926,Firms!$S$5:$S$1004,0)),"")</f>
        <v/>
      </c>
      <c r="B950" s="57">
        <f>IF($A950="","",INDEX(Firms!$B$5:$B$1004,MATCH(926,Firms!$S$5:$S$1004,0)))</f>
        <v/>
      </c>
      <c r="C950" s="57">
        <f>IF($A950="","",COUNTIF('AFA Rates'!$A$5:$A$1004,$A950))</f>
        <v/>
      </c>
      <c r="D950" s="57">
        <f>IF(OR($A950="",D$24=""),"",IF(COUNTIFS('AFA Rates'!$A$5:$A$1004,$A950,'AFA Rates'!$B$5:$B$1004,D$24)&gt;0,"✓",""))</f>
        <v/>
      </c>
      <c r="E950" s="57">
        <f>IF(OR($A950="",E$24=""),"",IF(COUNTIFS('AFA Rates'!$A$5:$A$1004,$A950,'AFA Rates'!$B$5:$B$1004,E$24)&gt;0,"✓",""))</f>
        <v/>
      </c>
      <c r="F950" s="57">
        <f>IF(OR($A950="",F$24=""),"",IF(COUNTIFS('AFA Rates'!$A$5:$A$1004,$A950,'AFA Rates'!$B$5:$B$1004,F$24)&gt;0,"✓",""))</f>
        <v/>
      </c>
      <c r="G950" s="57">
        <f>IF(OR($A950="",G$24=""),"",IF(COUNTIFS('AFA Rates'!$A$5:$A$1004,$A950,'AFA Rates'!$B$5:$B$1004,G$24)&gt;0,"✓",""))</f>
        <v/>
      </c>
      <c r="H950" s="57">
        <f>IF(OR($A950="",H$24=""),"",IF(COUNTIFS('AFA Rates'!$A$5:$A$1004,$A950,'AFA Rates'!$B$5:$B$1004,H$24)&gt;0,"✓",""))</f>
        <v/>
      </c>
      <c r="I950" s="57">
        <f>IF(OR($A950="",I$24=""),"",IF(COUNTIFS('AFA Rates'!$A$5:$A$1004,$A950,'AFA Rates'!$B$5:$B$1004,I$24)&gt;0,"✓",""))</f>
        <v/>
      </c>
      <c r="J950" s="57">
        <f>IF(OR($A950="",J$24=""),"",IF(COUNTIFS('AFA Rates'!$A$5:$A$1004,$A950,'AFA Rates'!$B$5:$B$1004,J$24)&gt;0,"✓",""))</f>
        <v/>
      </c>
      <c r="K950" s="57">
        <f>IF(OR($A950="",K$24=""),"",IF(COUNTIFS('AFA Rates'!$A$5:$A$1004,$A950,'AFA Rates'!$B$5:$B$1004,K$24)&gt;0,"✓",""))</f>
        <v/>
      </c>
      <c r="L950" s="57">
        <f>IF(OR($A950="",L$24=""),"",IF(COUNTIFS('AFA Rates'!$A$5:$A$1004,$A950,'AFA Rates'!$B$5:$B$1004,L$24)&gt;0,"✓",""))</f>
        <v/>
      </c>
      <c r="M950" s="57">
        <f>IF(OR($A950="",M$24=""),"",IF(COUNTIFS('AFA Rates'!$A$5:$A$1004,$A950,'AFA Rates'!$B$5:$B$1004,M$24)&gt;0,"✓",""))</f>
        <v/>
      </c>
    </row>
    <row r="951">
      <c r="A951" s="63">
        <f>IFERROR(INDEX(Firms!$A$5:$A$1004,MATCH(927,Firms!$S$5:$S$1004,0)),"")</f>
        <v/>
      </c>
      <c r="B951" s="57">
        <f>IF($A951="","",INDEX(Firms!$B$5:$B$1004,MATCH(927,Firms!$S$5:$S$1004,0)))</f>
        <v/>
      </c>
      <c r="C951" s="57">
        <f>IF($A951="","",COUNTIF('AFA Rates'!$A$5:$A$1004,$A951))</f>
        <v/>
      </c>
      <c r="D951" s="57">
        <f>IF(OR($A951="",D$24=""),"",IF(COUNTIFS('AFA Rates'!$A$5:$A$1004,$A951,'AFA Rates'!$B$5:$B$1004,D$24)&gt;0,"✓",""))</f>
        <v/>
      </c>
      <c r="E951" s="57">
        <f>IF(OR($A951="",E$24=""),"",IF(COUNTIFS('AFA Rates'!$A$5:$A$1004,$A951,'AFA Rates'!$B$5:$B$1004,E$24)&gt;0,"✓",""))</f>
        <v/>
      </c>
      <c r="F951" s="57">
        <f>IF(OR($A951="",F$24=""),"",IF(COUNTIFS('AFA Rates'!$A$5:$A$1004,$A951,'AFA Rates'!$B$5:$B$1004,F$24)&gt;0,"✓",""))</f>
        <v/>
      </c>
      <c r="G951" s="57">
        <f>IF(OR($A951="",G$24=""),"",IF(COUNTIFS('AFA Rates'!$A$5:$A$1004,$A951,'AFA Rates'!$B$5:$B$1004,G$24)&gt;0,"✓",""))</f>
        <v/>
      </c>
      <c r="H951" s="57">
        <f>IF(OR($A951="",H$24=""),"",IF(COUNTIFS('AFA Rates'!$A$5:$A$1004,$A951,'AFA Rates'!$B$5:$B$1004,H$24)&gt;0,"✓",""))</f>
        <v/>
      </c>
      <c r="I951" s="57">
        <f>IF(OR($A951="",I$24=""),"",IF(COUNTIFS('AFA Rates'!$A$5:$A$1004,$A951,'AFA Rates'!$B$5:$B$1004,I$24)&gt;0,"✓",""))</f>
        <v/>
      </c>
      <c r="J951" s="57">
        <f>IF(OR($A951="",J$24=""),"",IF(COUNTIFS('AFA Rates'!$A$5:$A$1004,$A951,'AFA Rates'!$B$5:$B$1004,J$24)&gt;0,"✓",""))</f>
        <v/>
      </c>
      <c r="K951" s="57">
        <f>IF(OR($A951="",K$24=""),"",IF(COUNTIFS('AFA Rates'!$A$5:$A$1004,$A951,'AFA Rates'!$B$5:$B$1004,K$24)&gt;0,"✓",""))</f>
        <v/>
      </c>
      <c r="L951" s="57">
        <f>IF(OR($A951="",L$24=""),"",IF(COUNTIFS('AFA Rates'!$A$5:$A$1004,$A951,'AFA Rates'!$B$5:$B$1004,L$24)&gt;0,"✓",""))</f>
        <v/>
      </c>
      <c r="M951" s="57">
        <f>IF(OR($A951="",M$24=""),"",IF(COUNTIFS('AFA Rates'!$A$5:$A$1004,$A951,'AFA Rates'!$B$5:$B$1004,M$24)&gt;0,"✓",""))</f>
        <v/>
      </c>
    </row>
    <row r="952">
      <c r="A952" s="63">
        <f>IFERROR(INDEX(Firms!$A$5:$A$1004,MATCH(928,Firms!$S$5:$S$1004,0)),"")</f>
        <v/>
      </c>
      <c r="B952" s="57">
        <f>IF($A952="","",INDEX(Firms!$B$5:$B$1004,MATCH(928,Firms!$S$5:$S$1004,0)))</f>
        <v/>
      </c>
      <c r="C952" s="57">
        <f>IF($A952="","",COUNTIF('AFA Rates'!$A$5:$A$1004,$A952))</f>
        <v/>
      </c>
      <c r="D952" s="57">
        <f>IF(OR($A952="",D$24=""),"",IF(COUNTIFS('AFA Rates'!$A$5:$A$1004,$A952,'AFA Rates'!$B$5:$B$1004,D$24)&gt;0,"✓",""))</f>
        <v/>
      </c>
      <c r="E952" s="57">
        <f>IF(OR($A952="",E$24=""),"",IF(COUNTIFS('AFA Rates'!$A$5:$A$1004,$A952,'AFA Rates'!$B$5:$B$1004,E$24)&gt;0,"✓",""))</f>
        <v/>
      </c>
      <c r="F952" s="57">
        <f>IF(OR($A952="",F$24=""),"",IF(COUNTIFS('AFA Rates'!$A$5:$A$1004,$A952,'AFA Rates'!$B$5:$B$1004,F$24)&gt;0,"✓",""))</f>
        <v/>
      </c>
      <c r="G952" s="57">
        <f>IF(OR($A952="",G$24=""),"",IF(COUNTIFS('AFA Rates'!$A$5:$A$1004,$A952,'AFA Rates'!$B$5:$B$1004,G$24)&gt;0,"✓",""))</f>
        <v/>
      </c>
      <c r="H952" s="57">
        <f>IF(OR($A952="",H$24=""),"",IF(COUNTIFS('AFA Rates'!$A$5:$A$1004,$A952,'AFA Rates'!$B$5:$B$1004,H$24)&gt;0,"✓",""))</f>
        <v/>
      </c>
      <c r="I952" s="57">
        <f>IF(OR($A952="",I$24=""),"",IF(COUNTIFS('AFA Rates'!$A$5:$A$1004,$A952,'AFA Rates'!$B$5:$B$1004,I$24)&gt;0,"✓",""))</f>
        <v/>
      </c>
      <c r="J952" s="57">
        <f>IF(OR($A952="",J$24=""),"",IF(COUNTIFS('AFA Rates'!$A$5:$A$1004,$A952,'AFA Rates'!$B$5:$B$1004,J$24)&gt;0,"✓",""))</f>
        <v/>
      </c>
      <c r="K952" s="57">
        <f>IF(OR($A952="",K$24=""),"",IF(COUNTIFS('AFA Rates'!$A$5:$A$1004,$A952,'AFA Rates'!$B$5:$B$1004,K$24)&gt;0,"✓",""))</f>
        <v/>
      </c>
      <c r="L952" s="57">
        <f>IF(OR($A952="",L$24=""),"",IF(COUNTIFS('AFA Rates'!$A$5:$A$1004,$A952,'AFA Rates'!$B$5:$B$1004,L$24)&gt;0,"✓",""))</f>
        <v/>
      </c>
      <c r="M952" s="57">
        <f>IF(OR($A952="",M$24=""),"",IF(COUNTIFS('AFA Rates'!$A$5:$A$1004,$A952,'AFA Rates'!$B$5:$B$1004,M$24)&gt;0,"✓",""))</f>
        <v/>
      </c>
    </row>
    <row r="953">
      <c r="A953" s="63">
        <f>IFERROR(INDEX(Firms!$A$5:$A$1004,MATCH(929,Firms!$S$5:$S$1004,0)),"")</f>
        <v/>
      </c>
      <c r="B953" s="57">
        <f>IF($A953="","",INDEX(Firms!$B$5:$B$1004,MATCH(929,Firms!$S$5:$S$1004,0)))</f>
        <v/>
      </c>
      <c r="C953" s="57">
        <f>IF($A953="","",COUNTIF('AFA Rates'!$A$5:$A$1004,$A953))</f>
        <v/>
      </c>
      <c r="D953" s="57">
        <f>IF(OR($A953="",D$24=""),"",IF(COUNTIFS('AFA Rates'!$A$5:$A$1004,$A953,'AFA Rates'!$B$5:$B$1004,D$24)&gt;0,"✓",""))</f>
        <v/>
      </c>
      <c r="E953" s="57">
        <f>IF(OR($A953="",E$24=""),"",IF(COUNTIFS('AFA Rates'!$A$5:$A$1004,$A953,'AFA Rates'!$B$5:$B$1004,E$24)&gt;0,"✓",""))</f>
        <v/>
      </c>
      <c r="F953" s="57">
        <f>IF(OR($A953="",F$24=""),"",IF(COUNTIFS('AFA Rates'!$A$5:$A$1004,$A953,'AFA Rates'!$B$5:$B$1004,F$24)&gt;0,"✓",""))</f>
        <v/>
      </c>
      <c r="G953" s="57">
        <f>IF(OR($A953="",G$24=""),"",IF(COUNTIFS('AFA Rates'!$A$5:$A$1004,$A953,'AFA Rates'!$B$5:$B$1004,G$24)&gt;0,"✓",""))</f>
        <v/>
      </c>
      <c r="H953" s="57">
        <f>IF(OR($A953="",H$24=""),"",IF(COUNTIFS('AFA Rates'!$A$5:$A$1004,$A953,'AFA Rates'!$B$5:$B$1004,H$24)&gt;0,"✓",""))</f>
        <v/>
      </c>
      <c r="I953" s="57">
        <f>IF(OR($A953="",I$24=""),"",IF(COUNTIFS('AFA Rates'!$A$5:$A$1004,$A953,'AFA Rates'!$B$5:$B$1004,I$24)&gt;0,"✓",""))</f>
        <v/>
      </c>
      <c r="J953" s="57">
        <f>IF(OR($A953="",J$24=""),"",IF(COUNTIFS('AFA Rates'!$A$5:$A$1004,$A953,'AFA Rates'!$B$5:$B$1004,J$24)&gt;0,"✓",""))</f>
        <v/>
      </c>
      <c r="K953" s="57">
        <f>IF(OR($A953="",K$24=""),"",IF(COUNTIFS('AFA Rates'!$A$5:$A$1004,$A953,'AFA Rates'!$B$5:$B$1004,K$24)&gt;0,"✓",""))</f>
        <v/>
      </c>
      <c r="L953" s="57">
        <f>IF(OR($A953="",L$24=""),"",IF(COUNTIFS('AFA Rates'!$A$5:$A$1004,$A953,'AFA Rates'!$B$5:$B$1004,L$24)&gt;0,"✓",""))</f>
        <v/>
      </c>
      <c r="M953" s="57">
        <f>IF(OR($A953="",M$24=""),"",IF(COUNTIFS('AFA Rates'!$A$5:$A$1004,$A953,'AFA Rates'!$B$5:$B$1004,M$24)&gt;0,"✓",""))</f>
        <v/>
      </c>
    </row>
    <row r="954">
      <c r="A954" s="63">
        <f>IFERROR(INDEX(Firms!$A$5:$A$1004,MATCH(930,Firms!$S$5:$S$1004,0)),"")</f>
        <v/>
      </c>
      <c r="B954" s="57">
        <f>IF($A954="","",INDEX(Firms!$B$5:$B$1004,MATCH(930,Firms!$S$5:$S$1004,0)))</f>
        <v/>
      </c>
      <c r="C954" s="57">
        <f>IF($A954="","",COUNTIF('AFA Rates'!$A$5:$A$1004,$A954))</f>
        <v/>
      </c>
      <c r="D954" s="57">
        <f>IF(OR($A954="",D$24=""),"",IF(COUNTIFS('AFA Rates'!$A$5:$A$1004,$A954,'AFA Rates'!$B$5:$B$1004,D$24)&gt;0,"✓",""))</f>
        <v/>
      </c>
      <c r="E954" s="57">
        <f>IF(OR($A954="",E$24=""),"",IF(COUNTIFS('AFA Rates'!$A$5:$A$1004,$A954,'AFA Rates'!$B$5:$B$1004,E$24)&gt;0,"✓",""))</f>
        <v/>
      </c>
      <c r="F954" s="57">
        <f>IF(OR($A954="",F$24=""),"",IF(COUNTIFS('AFA Rates'!$A$5:$A$1004,$A954,'AFA Rates'!$B$5:$B$1004,F$24)&gt;0,"✓",""))</f>
        <v/>
      </c>
      <c r="G954" s="57">
        <f>IF(OR($A954="",G$24=""),"",IF(COUNTIFS('AFA Rates'!$A$5:$A$1004,$A954,'AFA Rates'!$B$5:$B$1004,G$24)&gt;0,"✓",""))</f>
        <v/>
      </c>
      <c r="H954" s="57">
        <f>IF(OR($A954="",H$24=""),"",IF(COUNTIFS('AFA Rates'!$A$5:$A$1004,$A954,'AFA Rates'!$B$5:$B$1004,H$24)&gt;0,"✓",""))</f>
        <v/>
      </c>
      <c r="I954" s="57">
        <f>IF(OR($A954="",I$24=""),"",IF(COUNTIFS('AFA Rates'!$A$5:$A$1004,$A954,'AFA Rates'!$B$5:$B$1004,I$24)&gt;0,"✓",""))</f>
        <v/>
      </c>
      <c r="J954" s="57">
        <f>IF(OR($A954="",J$24=""),"",IF(COUNTIFS('AFA Rates'!$A$5:$A$1004,$A954,'AFA Rates'!$B$5:$B$1004,J$24)&gt;0,"✓",""))</f>
        <v/>
      </c>
      <c r="K954" s="57">
        <f>IF(OR($A954="",K$24=""),"",IF(COUNTIFS('AFA Rates'!$A$5:$A$1004,$A954,'AFA Rates'!$B$5:$B$1004,K$24)&gt;0,"✓",""))</f>
        <v/>
      </c>
      <c r="L954" s="57">
        <f>IF(OR($A954="",L$24=""),"",IF(COUNTIFS('AFA Rates'!$A$5:$A$1004,$A954,'AFA Rates'!$B$5:$B$1004,L$24)&gt;0,"✓",""))</f>
        <v/>
      </c>
      <c r="M954" s="57">
        <f>IF(OR($A954="",M$24=""),"",IF(COUNTIFS('AFA Rates'!$A$5:$A$1004,$A954,'AFA Rates'!$B$5:$B$1004,M$24)&gt;0,"✓",""))</f>
        <v/>
      </c>
    </row>
    <row r="955">
      <c r="A955" s="63">
        <f>IFERROR(INDEX(Firms!$A$5:$A$1004,MATCH(931,Firms!$S$5:$S$1004,0)),"")</f>
        <v/>
      </c>
      <c r="B955" s="57">
        <f>IF($A955="","",INDEX(Firms!$B$5:$B$1004,MATCH(931,Firms!$S$5:$S$1004,0)))</f>
        <v/>
      </c>
      <c r="C955" s="57">
        <f>IF($A955="","",COUNTIF('AFA Rates'!$A$5:$A$1004,$A955))</f>
        <v/>
      </c>
      <c r="D955" s="57">
        <f>IF(OR($A955="",D$24=""),"",IF(COUNTIFS('AFA Rates'!$A$5:$A$1004,$A955,'AFA Rates'!$B$5:$B$1004,D$24)&gt;0,"✓",""))</f>
        <v/>
      </c>
      <c r="E955" s="57">
        <f>IF(OR($A955="",E$24=""),"",IF(COUNTIFS('AFA Rates'!$A$5:$A$1004,$A955,'AFA Rates'!$B$5:$B$1004,E$24)&gt;0,"✓",""))</f>
        <v/>
      </c>
      <c r="F955" s="57">
        <f>IF(OR($A955="",F$24=""),"",IF(COUNTIFS('AFA Rates'!$A$5:$A$1004,$A955,'AFA Rates'!$B$5:$B$1004,F$24)&gt;0,"✓",""))</f>
        <v/>
      </c>
      <c r="G955" s="57">
        <f>IF(OR($A955="",G$24=""),"",IF(COUNTIFS('AFA Rates'!$A$5:$A$1004,$A955,'AFA Rates'!$B$5:$B$1004,G$24)&gt;0,"✓",""))</f>
        <v/>
      </c>
      <c r="H955" s="57">
        <f>IF(OR($A955="",H$24=""),"",IF(COUNTIFS('AFA Rates'!$A$5:$A$1004,$A955,'AFA Rates'!$B$5:$B$1004,H$24)&gt;0,"✓",""))</f>
        <v/>
      </c>
      <c r="I955" s="57">
        <f>IF(OR($A955="",I$24=""),"",IF(COUNTIFS('AFA Rates'!$A$5:$A$1004,$A955,'AFA Rates'!$B$5:$B$1004,I$24)&gt;0,"✓",""))</f>
        <v/>
      </c>
      <c r="J955" s="57">
        <f>IF(OR($A955="",J$24=""),"",IF(COUNTIFS('AFA Rates'!$A$5:$A$1004,$A955,'AFA Rates'!$B$5:$B$1004,J$24)&gt;0,"✓",""))</f>
        <v/>
      </c>
      <c r="K955" s="57">
        <f>IF(OR($A955="",K$24=""),"",IF(COUNTIFS('AFA Rates'!$A$5:$A$1004,$A955,'AFA Rates'!$B$5:$B$1004,K$24)&gt;0,"✓",""))</f>
        <v/>
      </c>
      <c r="L955" s="57">
        <f>IF(OR($A955="",L$24=""),"",IF(COUNTIFS('AFA Rates'!$A$5:$A$1004,$A955,'AFA Rates'!$B$5:$B$1004,L$24)&gt;0,"✓",""))</f>
        <v/>
      </c>
      <c r="M955" s="57">
        <f>IF(OR($A955="",M$24=""),"",IF(COUNTIFS('AFA Rates'!$A$5:$A$1004,$A955,'AFA Rates'!$B$5:$B$1004,M$24)&gt;0,"✓",""))</f>
        <v/>
      </c>
    </row>
    <row r="956">
      <c r="A956" s="63">
        <f>IFERROR(INDEX(Firms!$A$5:$A$1004,MATCH(932,Firms!$S$5:$S$1004,0)),"")</f>
        <v/>
      </c>
      <c r="B956" s="57">
        <f>IF($A956="","",INDEX(Firms!$B$5:$B$1004,MATCH(932,Firms!$S$5:$S$1004,0)))</f>
        <v/>
      </c>
      <c r="C956" s="57">
        <f>IF($A956="","",COUNTIF('AFA Rates'!$A$5:$A$1004,$A956))</f>
        <v/>
      </c>
      <c r="D956" s="57">
        <f>IF(OR($A956="",D$24=""),"",IF(COUNTIFS('AFA Rates'!$A$5:$A$1004,$A956,'AFA Rates'!$B$5:$B$1004,D$24)&gt;0,"✓",""))</f>
        <v/>
      </c>
      <c r="E956" s="57">
        <f>IF(OR($A956="",E$24=""),"",IF(COUNTIFS('AFA Rates'!$A$5:$A$1004,$A956,'AFA Rates'!$B$5:$B$1004,E$24)&gt;0,"✓",""))</f>
        <v/>
      </c>
      <c r="F956" s="57">
        <f>IF(OR($A956="",F$24=""),"",IF(COUNTIFS('AFA Rates'!$A$5:$A$1004,$A956,'AFA Rates'!$B$5:$B$1004,F$24)&gt;0,"✓",""))</f>
        <v/>
      </c>
      <c r="G956" s="57">
        <f>IF(OR($A956="",G$24=""),"",IF(COUNTIFS('AFA Rates'!$A$5:$A$1004,$A956,'AFA Rates'!$B$5:$B$1004,G$24)&gt;0,"✓",""))</f>
        <v/>
      </c>
      <c r="H956" s="57">
        <f>IF(OR($A956="",H$24=""),"",IF(COUNTIFS('AFA Rates'!$A$5:$A$1004,$A956,'AFA Rates'!$B$5:$B$1004,H$24)&gt;0,"✓",""))</f>
        <v/>
      </c>
      <c r="I956" s="57">
        <f>IF(OR($A956="",I$24=""),"",IF(COUNTIFS('AFA Rates'!$A$5:$A$1004,$A956,'AFA Rates'!$B$5:$B$1004,I$24)&gt;0,"✓",""))</f>
        <v/>
      </c>
      <c r="J956" s="57">
        <f>IF(OR($A956="",J$24=""),"",IF(COUNTIFS('AFA Rates'!$A$5:$A$1004,$A956,'AFA Rates'!$B$5:$B$1004,J$24)&gt;0,"✓",""))</f>
        <v/>
      </c>
      <c r="K956" s="57">
        <f>IF(OR($A956="",K$24=""),"",IF(COUNTIFS('AFA Rates'!$A$5:$A$1004,$A956,'AFA Rates'!$B$5:$B$1004,K$24)&gt;0,"✓",""))</f>
        <v/>
      </c>
      <c r="L956" s="57">
        <f>IF(OR($A956="",L$24=""),"",IF(COUNTIFS('AFA Rates'!$A$5:$A$1004,$A956,'AFA Rates'!$B$5:$B$1004,L$24)&gt;0,"✓",""))</f>
        <v/>
      </c>
      <c r="M956" s="57">
        <f>IF(OR($A956="",M$24=""),"",IF(COUNTIFS('AFA Rates'!$A$5:$A$1004,$A956,'AFA Rates'!$B$5:$B$1004,M$24)&gt;0,"✓",""))</f>
        <v/>
      </c>
    </row>
    <row r="957">
      <c r="A957" s="63">
        <f>IFERROR(INDEX(Firms!$A$5:$A$1004,MATCH(933,Firms!$S$5:$S$1004,0)),"")</f>
        <v/>
      </c>
      <c r="B957" s="57">
        <f>IF($A957="","",INDEX(Firms!$B$5:$B$1004,MATCH(933,Firms!$S$5:$S$1004,0)))</f>
        <v/>
      </c>
      <c r="C957" s="57">
        <f>IF($A957="","",COUNTIF('AFA Rates'!$A$5:$A$1004,$A957))</f>
        <v/>
      </c>
      <c r="D957" s="57">
        <f>IF(OR($A957="",D$24=""),"",IF(COUNTIFS('AFA Rates'!$A$5:$A$1004,$A957,'AFA Rates'!$B$5:$B$1004,D$24)&gt;0,"✓",""))</f>
        <v/>
      </c>
      <c r="E957" s="57">
        <f>IF(OR($A957="",E$24=""),"",IF(COUNTIFS('AFA Rates'!$A$5:$A$1004,$A957,'AFA Rates'!$B$5:$B$1004,E$24)&gt;0,"✓",""))</f>
        <v/>
      </c>
      <c r="F957" s="57">
        <f>IF(OR($A957="",F$24=""),"",IF(COUNTIFS('AFA Rates'!$A$5:$A$1004,$A957,'AFA Rates'!$B$5:$B$1004,F$24)&gt;0,"✓",""))</f>
        <v/>
      </c>
      <c r="G957" s="57">
        <f>IF(OR($A957="",G$24=""),"",IF(COUNTIFS('AFA Rates'!$A$5:$A$1004,$A957,'AFA Rates'!$B$5:$B$1004,G$24)&gt;0,"✓",""))</f>
        <v/>
      </c>
      <c r="H957" s="57">
        <f>IF(OR($A957="",H$24=""),"",IF(COUNTIFS('AFA Rates'!$A$5:$A$1004,$A957,'AFA Rates'!$B$5:$B$1004,H$24)&gt;0,"✓",""))</f>
        <v/>
      </c>
      <c r="I957" s="57">
        <f>IF(OR($A957="",I$24=""),"",IF(COUNTIFS('AFA Rates'!$A$5:$A$1004,$A957,'AFA Rates'!$B$5:$B$1004,I$24)&gt;0,"✓",""))</f>
        <v/>
      </c>
      <c r="J957" s="57">
        <f>IF(OR($A957="",J$24=""),"",IF(COUNTIFS('AFA Rates'!$A$5:$A$1004,$A957,'AFA Rates'!$B$5:$B$1004,J$24)&gt;0,"✓",""))</f>
        <v/>
      </c>
      <c r="K957" s="57">
        <f>IF(OR($A957="",K$24=""),"",IF(COUNTIFS('AFA Rates'!$A$5:$A$1004,$A957,'AFA Rates'!$B$5:$B$1004,K$24)&gt;0,"✓",""))</f>
        <v/>
      </c>
      <c r="L957" s="57">
        <f>IF(OR($A957="",L$24=""),"",IF(COUNTIFS('AFA Rates'!$A$5:$A$1004,$A957,'AFA Rates'!$B$5:$B$1004,L$24)&gt;0,"✓",""))</f>
        <v/>
      </c>
      <c r="M957" s="57">
        <f>IF(OR($A957="",M$24=""),"",IF(COUNTIFS('AFA Rates'!$A$5:$A$1004,$A957,'AFA Rates'!$B$5:$B$1004,M$24)&gt;0,"✓",""))</f>
        <v/>
      </c>
    </row>
    <row r="958">
      <c r="A958" s="63">
        <f>IFERROR(INDEX(Firms!$A$5:$A$1004,MATCH(934,Firms!$S$5:$S$1004,0)),"")</f>
        <v/>
      </c>
      <c r="B958" s="57">
        <f>IF($A958="","",INDEX(Firms!$B$5:$B$1004,MATCH(934,Firms!$S$5:$S$1004,0)))</f>
        <v/>
      </c>
      <c r="C958" s="57">
        <f>IF($A958="","",COUNTIF('AFA Rates'!$A$5:$A$1004,$A958))</f>
        <v/>
      </c>
      <c r="D958" s="57">
        <f>IF(OR($A958="",D$24=""),"",IF(COUNTIFS('AFA Rates'!$A$5:$A$1004,$A958,'AFA Rates'!$B$5:$B$1004,D$24)&gt;0,"✓",""))</f>
        <v/>
      </c>
      <c r="E958" s="57">
        <f>IF(OR($A958="",E$24=""),"",IF(COUNTIFS('AFA Rates'!$A$5:$A$1004,$A958,'AFA Rates'!$B$5:$B$1004,E$24)&gt;0,"✓",""))</f>
        <v/>
      </c>
      <c r="F958" s="57">
        <f>IF(OR($A958="",F$24=""),"",IF(COUNTIFS('AFA Rates'!$A$5:$A$1004,$A958,'AFA Rates'!$B$5:$B$1004,F$24)&gt;0,"✓",""))</f>
        <v/>
      </c>
      <c r="G958" s="57">
        <f>IF(OR($A958="",G$24=""),"",IF(COUNTIFS('AFA Rates'!$A$5:$A$1004,$A958,'AFA Rates'!$B$5:$B$1004,G$24)&gt;0,"✓",""))</f>
        <v/>
      </c>
      <c r="H958" s="57">
        <f>IF(OR($A958="",H$24=""),"",IF(COUNTIFS('AFA Rates'!$A$5:$A$1004,$A958,'AFA Rates'!$B$5:$B$1004,H$24)&gt;0,"✓",""))</f>
        <v/>
      </c>
      <c r="I958" s="57">
        <f>IF(OR($A958="",I$24=""),"",IF(COUNTIFS('AFA Rates'!$A$5:$A$1004,$A958,'AFA Rates'!$B$5:$B$1004,I$24)&gt;0,"✓",""))</f>
        <v/>
      </c>
      <c r="J958" s="57">
        <f>IF(OR($A958="",J$24=""),"",IF(COUNTIFS('AFA Rates'!$A$5:$A$1004,$A958,'AFA Rates'!$B$5:$B$1004,J$24)&gt;0,"✓",""))</f>
        <v/>
      </c>
      <c r="K958" s="57">
        <f>IF(OR($A958="",K$24=""),"",IF(COUNTIFS('AFA Rates'!$A$5:$A$1004,$A958,'AFA Rates'!$B$5:$B$1004,K$24)&gt;0,"✓",""))</f>
        <v/>
      </c>
      <c r="L958" s="57">
        <f>IF(OR($A958="",L$24=""),"",IF(COUNTIFS('AFA Rates'!$A$5:$A$1004,$A958,'AFA Rates'!$B$5:$B$1004,L$24)&gt;0,"✓",""))</f>
        <v/>
      </c>
      <c r="M958" s="57">
        <f>IF(OR($A958="",M$24=""),"",IF(COUNTIFS('AFA Rates'!$A$5:$A$1004,$A958,'AFA Rates'!$B$5:$B$1004,M$24)&gt;0,"✓",""))</f>
        <v/>
      </c>
    </row>
    <row r="959">
      <c r="A959" s="63">
        <f>IFERROR(INDEX(Firms!$A$5:$A$1004,MATCH(935,Firms!$S$5:$S$1004,0)),"")</f>
        <v/>
      </c>
      <c r="B959" s="57">
        <f>IF($A959="","",INDEX(Firms!$B$5:$B$1004,MATCH(935,Firms!$S$5:$S$1004,0)))</f>
        <v/>
      </c>
      <c r="C959" s="57">
        <f>IF($A959="","",COUNTIF('AFA Rates'!$A$5:$A$1004,$A959))</f>
        <v/>
      </c>
      <c r="D959" s="57">
        <f>IF(OR($A959="",D$24=""),"",IF(COUNTIFS('AFA Rates'!$A$5:$A$1004,$A959,'AFA Rates'!$B$5:$B$1004,D$24)&gt;0,"✓",""))</f>
        <v/>
      </c>
      <c r="E959" s="57">
        <f>IF(OR($A959="",E$24=""),"",IF(COUNTIFS('AFA Rates'!$A$5:$A$1004,$A959,'AFA Rates'!$B$5:$B$1004,E$24)&gt;0,"✓",""))</f>
        <v/>
      </c>
      <c r="F959" s="57">
        <f>IF(OR($A959="",F$24=""),"",IF(COUNTIFS('AFA Rates'!$A$5:$A$1004,$A959,'AFA Rates'!$B$5:$B$1004,F$24)&gt;0,"✓",""))</f>
        <v/>
      </c>
      <c r="G959" s="57">
        <f>IF(OR($A959="",G$24=""),"",IF(COUNTIFS('AFA Rates'!$A$5:$A$1004,$A959,'AFA Rates'!$B$5:$B$1004,G$24)&gt;0,"✓",""))</f>
        <v/>
      </c>
      <c r="H959" s="57">
        <f>IF(OR($A959="",H$24=""),"",IF(COUNTIFS('AFA Rates'!$A$5:$A$1004,$A959,'AFA Rates'!$B$5:$B$1004,H$24)&gt;0,"✓",""))</f>
        <v/>
      </c>
      <c r="I959" s="57">
        <f>IF(OR($A959="",I$24=""),"",IF(COUNTIFS('AFA Rates'!$A$5:$A$1004,$A959,'AFA Rates'!$B$5:$B$1004,I$24)&gt;0,"✓",""))</f>
        <v/>
      </c>
      <c r="J959" s="57">
        <f>IF(OR($A959="",J$24=""),"",IF(COUNTIFS('AFA Rates'!$A$5:$A$1004,$A959,'AFA Rates'!$B$5:$B$1004,J$24)&gt;0,"✓",""))</f>
        <v/>
      </c>
      <c r="K959" s="57">
        <f>IF(OR($A959="",K$24=""),"",IF(COUNTIFS('AFA Rates'!$A$5:$A$1004,$A959,'AFA Rates'!$B$5:$B$1004,K$24)&gt;0,"✓",""))</f>
        <v/>
      </c>
      <c r="L959" s="57">
        <f>IF(OR($A959="",L$24=""),"",IF(COUNTIFS('AFA Rates'!$A$5:$A$1004,$A959,'AFA Rates'!$B$5:$B$1004,L$24)&gt;0,"✓",""))</f>
        <v/>
      </c>
      <c r="M959" s="57">
        <f>IF(OR($A959="",M$24=""),"",IF(COUNTIFS('AFA Rates'!$A$5:$A$1004,$A959,'AFA Rates'!$B$5:$B$1004,M$24)&gt;0,"✓",""))</f>
        <v/>
      </c>
    </row>
    <row r="960">
      <c r="A960" s="63">
        <f>IFERROR(INDEX(Firms!$A$5:$A$1004,MATCH(936,Firms!$S$5:$S$1004,0)),"")</f>
        <v/>
      </c>
      <c r="B960" s="57">
        <f>IF($A960="","",INDEX(Firms!$B$5:$B$1004,MATCH(936,Firms!$S$5:$S$1004,0)))</f>
        <v/>
      </c>
      <c r="C960" s="57">
        <f>IF($A960="","",COUNTIF('AFA Rates'!$A$5:$A$1004,$A960))</f>
        <v/>
      </c>
      <c r="D960" s="57">
        <f>IF(OR($A960="",D$24=""),"",IF(COUNTIFS('AFA Rates'!$A$5:$A$1004,$A960,'AFA Rates'!$B$5:$B$1004,D$24)&gt;0,"✓",""))</f>
        <v/>
      </c>
      <c r="E960" s="57">
        <f>IF(OR($A960="",E$24=""),"",IF(COUNTIFS('AFA Rates'!$A$5:$A$1004,$A960,'AFA Rates'!$B$5:$B$1004,E$24)&gt;0,"✓",""))</f>
        <v/>
      </c>
      <c r="F960" s="57">
        <f>IF(OR($A960="",F$24=""),"",IF(COUNTIFS('AFA Rates'!$A$5:$A$1004,$A960,'AFA Rates'!$B$5:$B$1004,F$24)&gt;0,"✓",""))</f>
        <v/>
      </c>
      <c r="G960" s="57">
        <f>IF(OR($A960="",G$24=""),"",IF(COUNTIFS('AFA Rates'!$A$5:$A$1004,$A960,'AFA Rates'!$B$5:$B$1004,G$24)&gt;0,"✓",""))</f>
        <v/>
      </c>
      <c r="H960" s="57">
        <f>IF(OR($A960="",H$24=""),"",IF(COUNTIFS('AFA Rates'!$A$5:$A$1004,$A960,'AFA Rates'!$B$5:$B$1004,H$24)&gt;0,"✓",""))</f>
        <v/>
      </c>
      <c r="I960" s="57">
        <f>IF(OR($A960="",I$24=""),"",IF(COUNTIFS('AFA Rates'!$A$5:$A$1004,$A960,'AFA Rates'!$B$5:$B$1004,I$24)&gt;0,"✓",""))</f>
        <v/>
      </c>
      <c r="J960" s="57">
        <f>IF(OR($A960="",J$24=""),"",IF(COUNTIFS('AFA Rates'!$A$5:$A$1004,$A960,'AFA Rates'!$B$5:$B$1004,J$24)&gt;0,"✓",""))</f>
        <v/>
      </c>
      <c r="K960" s="57">
        <f>IF(OR($A960="",K$24=""),"",IF(COUNTIFS('AFA Rates'!$A$5:$A$1004,$A960,'AFA Rates'!$B$5:$B$1004,K$24)&gt;0,"✓",""))</f>
        <v/>
      </c>
      <c r="L960" s="57">
        <f>IF(OR($A960="",L$24=""),"",IF(COUNTIFS('AFA Rates'!$A$5:$A$1004,$A960,'AFA Rates'!$B$5:$B$1004,L$24)&gt;0,"✓",""))</f>
        <v/>
      </c>
      <c r="M960" s="57">
        <f>IF(OR($A960="",M$24=""),"",IF(COUNTIFS('AFA Rates'!$A$5:$A$1004,$A960,'AFA Rates'!$B$5:$B$1004,M$24)&gt;0,"✓",""))</f>
        <v/>
      </c>
    </row>
    <row r="961">
      <c r="A961" s="63">
        <f>IFERROR(INDEX(Firms!$A$5:$A$1004,MATCH(937,Firms!$S$5:$S$1004,0)),"")</f>
        <v/>
      </c>
      <c r="B961" s="57">
        <f>IF($A961="","",INDEX(Firms!$B$5:$B$1004,MATCH(937,Firms!$S$5:$S$1004,0)))</f>
        <v/>
      </c>
      <c r="C961" s="57">
        <f>IF($A961="","",COUNTIF('AFA Rates'!$A$5:$A$1004,$A961))</f>
        <v/>
      </c>
      <c r="D961" s="57">
        <f>IF(OR($A961="",D$24=""),"",IF(COUNTIFS('AFA Rates'!$A$5:$A$1004,$A961,'AFA Rates'!$B$5:$B$1004,D$24)&gt;0,"✓",""))</f>
        <v/>
      </c>
      <c r="E961" s="57">
        <f>IF(OR($A961="",E$24=""),"",IF(COUNTIFS('AFA Rates'!$A$5:$A$1004,$A961,'AFA Rates'!$B$5:$B$1004,E$24)&gt;0,"✓",""))</f>
        <v/>
      </c>
      <c r="F961" s="57">
        <f>IF(OR($A961="",F$24=""),"",IF(COUNTIFS('AFA Rates'!$A$5:$A$1004,$A961,'AFA Rates'!$B$5:$B$1004,F$24)&gt;0,"✓",""))</f>
        <v/>
      </c>
      <c r="G961" s="57">
        <f>IF(OR($A961="",G$24=""),"",IF(COUNTIFS('AFA Rates'!$A$5:$A$1004,$A961,'AFA Rates'!$B$5:$B$1004,G$24)&gt;0,"✓",""))</f>
        <v/>
      </c>
      <c r="H961" s="57">
        <f>IF(OR($A961="",H$24=""),"",IF(COUNTIFS('AFA Rates'!$A$5:$A$1004,$A961,'AFA Rates'!$B$5:$B$1004,H$24)&gt;0,"✓",""))</f>
        <v/>
      </c>
      <c r="I961" s="57">
        <f>IF(OR($A961="",I$24=""),"",IF(COUNTIFS('AFA Rates'!$A$5:$A$1004,$A961,'AFA Rates'!$B$5:$B$1004,I$24)&gt;0,"✓",""))</f>
        <v/>
      </c>
      <c r="J961" s="57">
        <f>IF(OR($A961="",J$24=""),"",IF(COUNTIFS('AFA Rates'!$A$5:$A$1004,$A961,'AFA Rates'!$B$5:$B$1004,J$24)&gt;0,"✓",""))</f>
        <v/>
      </c>
      <c r="K961" s="57">
        <f>IF(OR($A961="",K$24=""),"",IF(COUNTIFS('AFA Rates'!$A$5:$A$1004,$A961,'AFA Rates'!$B$5:$B$1004,K$24)&gt;0,"✓",""))</f>
        <v/>
      </c>
      <c r="L961" s="57">
        <f>IF(OR($A961="",L$24=""),"",IF(COUNTIFS('AFA Rates'!$A$5:$A$1004,$A961,'AFA Rates'!$B$5:$B$1004,L$24)&gt;0,"✓",""))</f>
        <v/>
      </c>
      <c r="M961" s="57">
        <f>IF(OR($A961="",M$24=""),"",IF(COUNTIFS('AFA Rates'!$A$5:$A$1004,$A961,'AFA Rates'!$B$5:$B$1004,M$24)&gt;0,"✓",""))</f>
        <v/>
      </c>
    </row>
    <row r="962">
      <c r="A962" s="63">
        <f>IFERROR(INDEX(Firms!$A$5:$A$1004,MATCH(938,Firms!$S$5:$S$1004,0)),"")</f>
        <v/>
      </c>
      <c r="B962" s="57">
        <f>IF($A962="","",INDEX(Firms!$B$5:$B$1004,MATCH(938,Firms!$S$5:$S$1004,0)))</f>
        <v/>
      </c>
      <c r="C962" s="57">
        <f>IF($A962="","",COUNTIF('AFA Rates'!$A$5:$A$1004,$A962))</f>
        <v/>
      </c>
      <c r="D962" s="57">
        <f>IF(OR($A962="",D$24=""),"",IF(COUNTIFS('AFA Rates'!$A$5:$A$1004,$A962,'AFA Rates'!$B$5:$B$1004,D$24)&gt;0,"✓",""))</f>
        <v/>
      </c>
      <c r="E962" s="57">
        <f>IF(OR($A962="",E$24=""),"",IF(COUNTIFS('AFA Rates'!$A$5:$A$1004,$A962,'AFA Rates'!$B$5:$B$1004,E$24)&gt;0,"✓",""))</f>
        <v/>
      </c>
      <c r="F962" s="57">
        <f>IF(OR($A962="",F$24=""),"",IF(COUNTIFS('AFA Rates'!$A$5:$A$1004,$A962,'AFA Rates'!$B$5:$B$1004,F$24)&gt;0,"✓",""))</f>
        <v/>
      </c>
      <c r="G962" s="57">
        <f>IF(OR($A962="",G$24=""),"",IF(COUNTIFS('AFA Rates'!$A$5:$A$1004,$A962,'AFA Rates'!$B$5:$B$1004,G$24)&gt;0,"✓",""))</f>
        <v/>
      </c>
      <c r="H962" s="57">
        <f>IF(OR($A962="",H$24=""),"",IF(COUNTIFS('AFA Rates'!$A$5:$A$1004,$A962,'AFA Rates'!$B$5:$B$1004,H$24)&gt;0,"✓",""))</f>
        <v/>
      </c>
      <c r="I962" s="57">
        <f>IF(OR($A962="",I$24=""),"",IF(COUNTIFS('AFA Rates'!$A$5:$A$1004,$A962,'AFA Rates'!$B$5:$B$1004,I$24)&gt;0,"✓",""))</f>
        <v/>
      </c>
      <c r="J962" s="57">
        <f>IF(OR($A962="",J$24=""),"",IF(COUNTIFS('AFA Rates'!$A$5:$A$1004,$A962,'AFA Rates'!$B$5:$B$1004,J$24)&gt;0,"✓",""))</f>
        <v/>
      </c>
      <c r="K962" s="57">
        <f>IF(OR($A962="",K$24=""),"",IF(COUNTIFS('AFA Rates'!$A$5:$A$1004,$A962,'AFA Rates'!$B$5:$B$1004,K$24)&gt;0,"✓",""))</f>
        <v/>
      </c>
      <c r="L962" s="57">
        <f>IF(OR($A962="",L$24=""),"",IF(COUNTIFS('AFA Rates'!$A$5:$A$1004,$A962,'AFA Rates'!$B$5:$B$1004,L$24)&gt;0,"✓",""))</f>
        <v/>
      </c>
      <c r="M962" s="57">
        <f>IF(OR($A962="",M$24=""),"",IF(COUNTIFS('AFA Rates'!$A$5:$A$1004,$A962,'AFA Rates'!$B$5:$B$1004,M$24)&gt;0,"✓",""))</f>
        <v/>
      </c>
    </row>
    <row r="963">
      <c r="A963" s="63">
        <f>IFERROR(INDEX(Firms!$A$5:$A$1004,MATCH(939,Firms!$S$5:$S$1004,0)),"")</f>
        <v/>
      </c>
      <c r="B963" s="57">
        <f>IF($A963="","",INDEX(Firms!$B$5:$B$1004,MATCH(939,Firms!$S$5:$S$1004,0)))</f>
        <v/>
      </c>
      <c r="C963" s="57">
        <f>IF($A963="","",COUNTIF('AFA Rates'!$A$5:$A$1004,$A963))</f>
        <v/>
      </c>
      <c r="D963" s="57">
        <f>IF(OR($A963="",D$24=""),"",IF(COUNTIFS('AFA Rates'!$A$5:$A$1004,$A963,'AFA Rates'!$B$5:$B$1004,D$24)&gt;0,"✓",""))</f>
        <v/>
      </c>
      <c r="E963" s="57">
        <f>IF(OR($A963="",E$24=""),"",IF(COUNTIFS('AFA Rates'!$A$5:$A$1004,$A963,'AFA Rates'!$B$5:$B$1004,E$24)&gt;0,"✓",""))</f>
        <v/>
      </c>
      <c r="F963" s="57">
        <f>IF(OR($A963="",F$24=""),"",IF(COUNTIFS('AFA Rates'!$A$5:$A$1004,$A963,'AFA Rates'!$B$5:$B$1004,F$24)&gt;0,"✓",""))</f>
        <v/>
      </c>
      <c r="G963" s="57">
        <f>IF(OR($A963="",G$24=""),"",IF(COUNTIFS('AFA Rates'!$A$5:$A$1004,$A963,'AFA Rates'!$B$5:$B$1004,G$24)&gt;0,"✓",""))</f>
        <v/>
      </c>
      <c r="H963" s="57">
        <f>IF(OR($A963="",H$24=""),"",IF(COUNTIFS('AFA Rates'!$A$5:$A$1004,$A963,'AFA Rates'!$B$5:$B$1004,H$24)&gt;0,"✓",""))</f>
        <v/>
      </c>
      <c r="I963" s="57">
        <f>IF(OR($A963="",I$24=""),"",IF(COUNTIFS('AFA Rates'!$A$5:$A$1004,$A963,'AFA Rates'!$B$5:$B$1004,I$24)&gt;0,"✓",""))</f>
        <v/>
      </c>
      <c r="J963" s="57">
        <f>IF(OR($A963="",J$24=""),"",IF(COUNTIFS('AFA Rates'!$A$5:$A$1004,$A963,'AFA Rates'!$B$5:$B$1004,J$24)&gt;0,"✓",""))</f>
        <v/>
      </c>
      <c r="K963" s="57">
        <f>IF(OR($A963="",K$24=""),"",IF(COUNTIFS('AFA Rates'!$A$5:$A$1004,$A963,'AFA Rates'!$B$5:$B$1004,K$24)&gt;0,"✓",""))</f>
        <v/>
      </c>
      <c r="L963" s="57">
        <f>IF(OR($A963="",L$24=""),"",IF(COUNTIFS('AFA Rates'!$A$5:$A$1004,$A963,'AFA Rates'!$B$5:$B$1004,L$24)&gt;0,"✓",""))</f>
        <v/>
      </c>
      <c r="M963" s="57">
        <f>IF(OR($A963="",M$24=""),"",IF(COUNTIFS('AFA Rates'!$A$5:$A$1004,$A963,'AFA Rates'!$B$5:$B$1004,M$24)&gt;0,"✓",""))</f>
        <v/>
      </c>
    </row>
    <row r="964">
      <c r="A964" s="63">
        <f>IFERROR(INDEX(Firms!$A$5:$A$1004,MATCH(940,Firms!$S$5:$S$1004,0)),"")</f>
        <v/>
      </c>
      <c r="B964" s="57">
        <f>IF($A964="","",INDEX(Firms!$B$5:$B$1004,MATCH(940,Firms!$S$5:$S$1004,0)))</f>
        <v/>
      </c>
      <c r="C964" s="57">
        <f>IF($A964="","",COUNTIF('AFA Rates'!$A$5:$A$1004,$A964))</f>
        <v/>
      </c>
      <c r="D964" s="57">
        <f>IF(OR($A964="",D$24=""),"",IF(COUNTIFS('AFA Rates'!$A$5:$A$1004,$A964,'AFA Rates'!$B$5:$B$1004,D$24)&gt;0,"✓",""))</f>
        <v/>
      </c>
      <c r="E964" s="57">
        <f>IF(OR($A964="",E$24=""),"",IF(COUNTIFS('AFA Rates'!$A$5:$A$1004,$A964,'AFA Rates'!$B$5:$B$1004,E$24)&gt;0,"✓",""))</f>
        <v/>
      </c>
      <c r="F964" s="57">
        <f>IF(OR($A964="",F$24=""),"",IF(COUNTIFS('AFA Rates'!$A$5:$A$1004,$A964,'AFA Rates'!$B$5:$B$1004,F$24)&gt;0,"✓",""))</f>
        <v/>
      </c>
      <c r="G964" s="57">
        <f>IF(OR($A964="",G$24=""),"",IF(COUNTIFS('AFA Rates'!$A$5:$A$1004,$A964,'AFA Rates'!$B$5:$B$1004,G$24)&gt;0,"✓",""))</f>
        <v/>
      </c>
      <c r="H964" s="57">
        <f>IF(OR($A964="",H$24=""),"",IF(COUNTIFS('AFA Rates'!$A$5:$A$1004,$A964,'AFA Rates'!$B$5:$B$1004,H$24)&gt;0,"✓",""))</f>
        <v/>
      </c>
      <c r="I964" s="57">
        <f>IF(OR($A964="",I$24=""),"",IF(COUNTIFS('AFA Rates'!$A$5:$A$1004,$A964,'AFA Rates'!$B$5:$B$1004,I$24)&gt;0,"✓",""))</f>
        <v/>
      </c>
      <c r="J964" s="57">
        <f>IF(OR($A964="",J$24=""),"",IF(COUNTIFS('AFA Rates'!$A$5:$A$1004,$A964,'AFA Rates'!$B$5:$B$1004,J$24)&gt;0,"✓",""))</f>
        <v/>
      </c>
      <c r="K964" s="57">
        <f>IF(OR($A964="",K$24=""),"",IF(COUNTIFS('AFA Rates'!$A$5:$A$1004,$A964,'AFA Rates'!$B$5:$B$1004,K$24)&gt;0,"✓",""))</f>
        <v/>
      </c>
      <c r="L964" s="57">
        <f>IF(OR($A964="",L$24=""),"",IF(COUNTIFS('AFA Rates'!$A$5:$A$1004,$A964,'AFA Rates'!$B$5:$B$1004,L$24)&gt;0,"✓",""))</f>
        <v/>
      </c>
      <c r="M964" s="57">
        <f>IF(OR($A964="",M$24=""),"",IF(COUNTIFS('AFA Rates'!$A$5:$A$1004,$A964,'AFA Rates'!$B$5:$B$1004,M$24)&gt;0,"✓",""))</f>
        <v/>
      </c>
    </row>
    <row r="965">
      <c r="A965" s="63">
        <f>IFERROR(INDEX(Firms!$A$5:$A$1004,MATCH(941,Firms!$S$5:$S$1004,0)),"")</f>
        <v/>
      </c>
      <c r="B965" s="57">
        <f>IF($A965="","",INDEX(Firms!$B$5:$B$1004,MATCH(941,Firms!$S$5:$S$1004,0)))</f>
        <v/>
      </c>
      <c r="C965" s="57">
        <f>IF($A965="","",COUNTIF('AFA Rates'!$A$5:$A$1004,$A965))</f>
        <v/>
      </c>
      <c r="D965" s="57">
        <f>IF(OR($A965="",D$24=""),"",IF(COUNTIFS('AFA Rates'!$A$5:$A$1004,$A965,'AFA Rates'!$B$5:$B$1004,D$24)&gt;0,"✓",""))</f>
        <v/>
      </c>
      <c r="E965" s="57">
        <f>IF(OR($A965="",E$24=""),"",IF(COUNTIFS('AFA Rates'!$A$5:$A$1004,$A965,'AFA Rates'!$B$5:$B$1004,E$24)&gt;0,"✓",""))</f>
        <v/>
      </c>
      <c r="F965" s="57">
        <f>IF(OR($A965="",F$24=""),"",IF(COUNTIFS('AFA Rates'!$A$5:$A$1004,$A965,'AFA Rates'!$B$5:$B$1004,F$24)&gt;0,"✓",""))</f>
        <v/>
      </c>
      <c r="G965" s="57">
        <f>IF(OR($A965="",G$24=""),"",IF(COUNTIFS('AFA Rates'!$A$5:$A$1004,$A965,'AFA Rates'!$B$5:$B$1004,G$24)&gt;0,"✓",""))</f>
        <v/>
      </c>
      <c r="H965" s="57">
        <f>IF(OR($A965="",H$24=""),"",IF(COUNTIFS('AFA Rates'!$A$5:$A$1004,$A965,'AFA Rates'!$B$5:$B$1004,H$24)&gt;0,"✓",""))</f>
        <v/>
      </c>
      <c r="I965" s="57">
        <f>IF(OR($A965="",I$24=""),"",IF(COUNTIFS('AFA Rates'!$A$5:$A$1004,$A965,'AFA Rates'!$B$5:$B$1004,I$24)&gt;0,"✓",""))</f>
        <v/>
      </c>
      <c r="J965" s="57">
        <f>IF(OR($A965="",J$24=""),"",IF(COUNTIFS('AFA Rates'!$A$5:$A$1004,$A965,'AFA Rates'!$B$5:$B$1004,J$24)&gt;0,"✓",""))</f>
        <v/>
      </c>
      <c r="K965" s="57">
        <f>IF(OR($A965="",K$24=""),"",IF(COUNTIFS('AFA Rates'!$A$5:$A$1004,$A965,'AFA Rates'!$B$5:$B$1004,K$24)&gt;0,"✓",""))</f>
        <v/>
      </c>
      <c r="L965" s="57">
        <f>IF(OR($A965="",L$24=""),"",IF(COUNTIFS('AFA Rates'!$A$5:$A$1004,$A965,'AFA Rates'!$B$5:$B$1004,L$24)&gt;0,"✓",""))</f>
        <v/>
      </c>
      <c r="M965" s="57">
        <f>IF(OR($A965="",M$24=""),"",IF(COUNTIFS('AFA Rates'!$A$5:$A$1004,$A965,'AFA Rates'!$B$5:$B$1004,M$24)&gt;0,"✓",""))</f>
        <v/>
      </c>
    </row>
    <row r="966">
      <c r="A966" s="63">
        <f>IFERROR(INDEX(Firms!$A$5:$A$1004,MATCH(942,Firms!$S$5:$S$1004,0)),"")</f>
        <v/>
      </c>
      <c r="B966" s="57">
        <f>IF($A966="","",INDEX(Firms!$B$5:$B$1004,MATCH(942,Firms!$S$5:$S$1004,0)))</f>
        <v/>
      </c>
      <c r="C966" s="57">
        <f>IF($A966="","",COUNTIF('AFA Rates'!$A$5:$A$1004,$A966))</f>
        <v/>
      </c>
      <c r="D966" s="57">
        <f>IF(OR($A966="",D$24=""),"",IF(COUNTIFS('AFA Rates'!$A$5:$A$1004,$A966,'AFA Rates'!$B$5:$B$1004,D$24)&gt;0,"✓",""))</f>
        <v/>
      </c>
      <c r="E966" s="57">
        <f>IF(OR($A966="",E$24=""),"",IF(COUNTIFS('AFA Rates'!$A$5:$A$1004,$A966,'AFA Rates'!$B$5:$B$1004,E$24)&gt;0,"✓",""))</f>
        <v/>
      </c>
      <c r="F966" s="57">
        <f>IF(OR($A966="",F$24=""),"",IF(COUNTIFS('AFA Rates'!$A$5:$A$1004,$A966,'AFA Rates'!$B$5:$B$1004,F$24)&gt;0,"✓",""))</f>
        <v/>
      </c>
      <c r="G966" s="57">
        <f>IF(OR($A966="",G$24=""),"",IF(COUNTIFS('AFA Rates'!$A$5:$A$1004,$A966,'AFA Rates'!$B$5:$B$1004,G$24)&gt;0,"✓",""))</f>
        <v/>
      </c>
      <c r="H966" s="57">
        <f>IF(OR($A966="",H$24=""),"",IF(COUNTIFS('AFA Rates'!$A$5:$A$1004,$A966,'AFA Rates'!$B$5:$B$1004,H$24)&gt;0,"✓",""))</f>
        <v/>
      </c>
      <c r="I966" s="57">
        <f>IF(OR($A966="",I$24=""),"",IF(COUNTIFS('AFA Rates'!$A$5:$A$1004,$A966,'AFA Rates'!$B$5:$B$1004,I$24)&gt;0,"✓",""))</f>
        <v/>
      </c>
      <c r="J966" s="57">
        <f>IF(OR($A966="",J$24=""),"",IF(COUNTIFS('AFA Rates'!$A$5:$A$1004,$A966,'AFA Rates'!$B$5:$B$1004,J$24)&gt;0,"✓",""))</f>
        <v/>
      </c>
      <c r="K966" s="57">
        <f>IF(OR($A966="",K$24=""),"",IF(COUNTIFS('AFA Rates'!$A$5:$A$1004,$A966,'AFA Rates'!$B$5:$B$1004,K$24)&gt;0,"✓",""))</f>
        <v/>
      </c>
      <c r="L966" s="57">
        <f>IF(OR($A966="",L$24=""),"",IF(COUNTIFS('AFA Rates'!$A$5:$A$1004,$A966,'AFA Rates'!$B$5:$B$1004,L$24)&gt;0,"✓",""))</f>
        <v/>
      </c>
      <c r="M966" s="57">
        <f>IF(OR($A966="",M$24=""),"",IF(COUNTIFS('AFA Rates'!$A$5:$A$1004,$A966,'AFA Rates'!$B$5:$B$1004,M$24)&gt;0,"✓",""))</f>
        <v/>
      </c>
    </row>
    <row r="967">
      <c r="A967" s="63">
        <f>IFERROR(INDEX(Firms!$A$5:$A$1004,MATCH(943,Firms!$S$5:$S$1004,0)),"")</f>
        <v/>
      </c>
      <c r="B967" s="57">
        <f>IF($A967="","",INDEX(Firms!$B$5:$B$1004,MATCH(943,Firms!$S$5:$S$1004,0)))</f>
        <v/>
      </c>
      <c r="C967" s="57">
        <f>IF($A967="","",COUNTIF('AFA Rates'!$A$5:$A$1004,$A967))</f>
        <v/>
      </c>
      <c r="D967" s="57">
        <f>IF(OR($A967="",D$24=""),"",IF(COUNTIFS('AFA Rates'!$A$5:$A$1004,$A967,'AFA Rates'!$B$5:$B$1004,D$24)&gt;0,"✓",""))</f>
        <v/>
      </c>
      <c r="E967" s="57">
        <f>IF(OR($A967="",E$24=""),"",IF(COUNTIFS('AFA Rates'!$A$5:$A$1004,$A967,'AFA Rates'!$B$5:$B$1004,E$24)&gt;0,"✓",""))</f>
        <v/>
      </c>
      <c r="F967" s="57">
        <f>IF(OR($A967="",F$24=""),"",IF(COUNTIFS('AFA Rates'!$A$5:$A$1004,$A967,'AFA Rates'!$B$5:$B$1004,F$24)&gt;0,"✓",""))</f>
        <v/>
      </c>
      <c r="G967" s="57">
        <f>IF(OR($A967="",G$24=""),"",IF(COUNTIFS('AFA Rates'!$A$5:$A$1004,$A967,'AFA Rates'!$B$5:$B$1004,G$24)&gt;0,"✓",""))</f>
        <v/>
      </c>
      <c r="H967" s="57">
        <f>IF(OR($A967="",H$24=""),"",IF(COUNTIFS('AFA Rates'!$A$5:$A$1004,$A967,'AFA Rates'!$B$5:$B$1004,H$24)&gt;0,"✓",""))</f>
        <v/>
      </c>
      <c r="I967" s="57">
        <f>IF(OR($A967="",I$24=""),"",IF(COUNTIFS('AFA Rates'!$A$5:$A$1004,$A967,'AFA Rates'!$B$5:$B$1004,I$24)&gt;0,"✓",""))</f>
        <v/>
      </c>
      <c r="J967" s="57">
        <f>IF(OR($A967="",J$24=""),"",IF(COUNTIFS('AFA Rates'!$A$5:$A$1004,$A967,'AFA Rates'!$B$5:$B$1004,J$24)&gt;0,"✓",""))</f>
        <v/>
      </c>
      <c r="K967" s="57">
        <f>IF(OR($A967="",K$24=""),"",IF(COUNTIFS('AFA Rates'!$A$5:$A$1004,$A967,'AFA Rates'!$B$5:$B$1004,K$24)&gt;0,"✓",""))</f>
        <v/>
      </c>
      <c r="L967" s="57">
        <f>IF(OR($A967="",L$24=""),"",IF(COUNTIFS('AFA Rates'!$A$5:$A$1004,$A967,'AFA Rates'!$B$5:$B$1004,L$24)&gt;0,"✓",""))</f>
        <v/>
      </c>
      <c r="M967" s="57">
        <f>IF(OR($A967="",M$24=""),"",IF(COUNTIFS('AFA Rates'!$A$5:$A$1004,$A967,'AFA Rates'!$B$5:$B$1004,M$24)&gt;0,"✓",""))</f>
        <v/>
      </c>
    </row>
    <row r="968">
      <c r="A968" s="63">
        <f>IFERROR(INDEX(Firms!$A$5:$A$1004,MATCH(944,Firms!$S$5:$S$1004,0)),"")</f>
        <v/>
      </c>
      <c r="B968" s="57">
        <f>IF($A968="","",INDEX(Firms!$B$5:$B$1004,MATCH(944,Firms!$S$5:$S$1004,0)))</f>
        <v/>
      </c>
      <c r="C968" s="57">
        <f>IF($A968="","",COUNTIF('AFA Rates'!$A$5:$A$1004,$A968))</f>
        <v/>
      </c>
      <c r="D968" s="57">
        <f>IF(OR($A968="",D$24=""),"",IF(COUNTIFS('AFA Rates'!$A$5:$A$1004,$A968,'AFA Rates'!$B$5:$B$1004,D$24)&gt;0,"✓",""))</f>
        <v/>
      </c>
      <c r="E968" s="57">
        <f>IF(OR($A968="",E$24=""),"",IF(COUNTIFS('AFA Rates'!$A$5:$A$1004,$A968,'AFA Rates'!$B$5:$B$1004,E$24)&gt;0,"✓",""))</f>
        <v/>
      </c>
      <c r="F968" s="57">
        <f>IF(OR($A968="",F$24=""),"",IF(COUNTIFS('AFA Rates'!$A$5:$A$1004,$A968,'AFA Rates'!$B$5:$B$1004,F$24)&gt;0,"✓",""))</f>
        <v/>
      </c>
      <c r="G968" s="57">
        <f>IF(OR($A968="",G$24=""),"",IF(COUNTIFS('AFA Rates'!$A$5:$A$1004,$A968,'AFA Rates'!$B$5:$B$1004,G$24)&gt;0,"✓",""))</f>
        <v/>
      </c>
      <c r="H968" s="57">
        <f>IF(OR($A968="",H$24=""),"",IF(COUNTIFS('AFA Rates'!$A$5:$A$1004,$A968,'AFA Rates'!$B$5:$B$1004,H$24)&gt;0,"✓",""))</f>
        <v/>
      </c>
      <c r="I968" s="57">
        <f>IF(OR($A968="",I$24=""),"",IF(COUNTIFS('AFA Rates'!$A$5:$A$1004,$A968,'AFA Rates'!$B$5:$B$1004,I$24)&gt;0,"✓",""))</f>
        <v/>
      </c>
      <c r="J968" s="57">
        <f>IF(OR($A968="",J$24=""),"",IF(COUNTIFS('AFA Rates'!$A$5:$A$1004,$A968,'AFA Rates'!$B$5:$B$1004,J$24)&gt;0,"✓",""))</f>
        <v/>
      </c>
      <c r="K968" s="57">
        <f>IF(OR($A968="",K$24=""),"",IF(COUNTIFS('AFA Rates'!$A$5:$A$1004,$A968,'AFA Rates'!$B$5:$B$1004,K$24)&gt;0,"✓",""))</f>
        <v/>
      </c>
      <c r="L968" s="57">
        <f>IF(OR($A968="",L$24=""),"",IF(COUNTIFS('AFA Rates'!$A$5:$A$1004,$A968,'AFA Rates'!$B$5:$B$1004,L$24)&gt;0,"✓",""))</f>
        <v/>
      </c>
      <c r="M968" s="57">
        <f>IF(OR($A968="",M$24=""),"",IF(COUNTIFS('AFA Rates'!$A$5:$A$1004,$A968,'AFA Rates'!$B$5:$B$1004,M$24)&gt;0,"✓",""))</f>
        <v/>
      </c>
    </row>
    <row r="969">
      <c r="A969" s="63">
        <f>IFERROR(INDEX(Firms!$A$5:$A$1004,MATCH(945,Firms!$S$5:$S$1004,0)),"")</f>
        <v/>
      </c>
      <c r="B969" s="57">
        <f>IF($A969="","",INDEX(Firms!$B$5:$B$1004,MATCH(945,Firms!$S$5:$S$1004,0)))</f>
        <v/>
      </c>
      <c r="C969" s="57">
        <f>IF($A969="","",COUNTIF('AFA Rates'!$A$5:$A$1004,$A969))</f>
        <v/>
      </c>
      <c r="D969" s="57">
        <f>IF(OR($A969="",D$24=""),"",IF(COUNTIFS('AFA Rates'!$A$5:$A$1004,$A969,'AFA Rates'!$B$5:$B$1004,D$24)&gt;0,"✓",""))</f>
        <v/>
      </c>
      <c r="E969" s="57">
        <f>IF(OR($A969="",E$24=""),"",IF(COUNTIFS('AFA Rates'!$A$5:$A$1004,$A969,'AFA Rates'!$B$5:$B$1004,E$24)&gt;0,"✓",""))</f>
        <v/>
      </c>
      <c r="F969" s="57">
        <f>IF(OR($A969="",F$24=""),"",IF(COUNTIFS('AFA Rates'!$A$5:$A$1004,$A969,'AFA Rates'!$B$5:$B$1004,F$24)&gt;0,"✓",""))</f>
        <v/>
      </c>
      <c r="G969" s="57">
        <f>IF(OR($A969="",G$24=""),"",IF(COUNTIFS('AFA Rates'!$A$5:$A$1004,$A969,'AFA Rates'!$B$5:$B$1004,G$24)&gt;0,"✓",""))</f>
        <v/>
      </c>
      <c r="H969" s="57">
        <f>IF(OR($A969="",H$24=""),"",IF(COUNTIFS('AFA Rates'!$A$5:$A$1004,$A969,'AFA Rates'!$B$5:$B$1004,H$24)&gt;0,"✓",""))</f>
        <v/>
      </c>
      <c r="I969" s="57">
        <f>IF(OR($A969="",I$24=""),"",IF(COUNTIFS('AFA Rates'!$A$5:$A$1004,$A969,'AFA Rates'!$B$5:$B$1004,I$24)&gt;0,"✓",""))</f>
        <v/>
      </c>
      <c r="J969" s="57">
        <f>IF(OR($A969="",J$24=""),"",IF(COUNTIFS('AFA Rates'!$A$5:$A$1004,$A969,'AFA Rates'!$B$5:$B$1004,J$24)&gt;0,"✓",""))</f>
        <v/>
      </c>
      <c r="K969" s="57">
        <f>IF(OR($A969="",K$24=""),"",IF(COUNTIFS('AFA Rates'!$A$5:$A$1004,$A969,'AFA Rates'!$B$5:$B$1004,K$24)&gt;0,"✓",""))</f>
        <v/>
      </c>
      <c r="L969" s="57">
        <f>IF(OR($A969="",L$24=""),"",IF(COUNTIFS('AFA Rates'!$A$5:$A$1004,$A969,'AFA Rates'!$B$5:$B$1004,L$24)&gt;0,"✓",""))</f>
        <v/>
      </c>
      <c r="M969" s="57">
        <f>IF(OR($A969="",M$24=""),"",IF(COUNTIFS('AFA Rates'!$A$5:$A$1004,$A969,'AFA Rates'!$B$5:$B$1004,M$24)&gt;0,"✓",""))</f>
        <v/>
      </c>
    </row>
    <row r="970">
      <c r="A970" s="63">
        <f>IFERROR(INDEX(Firms!$A$5:$A$1004,MATCH(946,Firms!$S$5:$S$1004,0)),"")</f>
        <v/>
      </c>
      <c r="B970" s="57">
        <f>IF($A970="","",INDEX(Firms!$B$5:$B$1004,MATCH(946,Firms!$S$5:$S$1004,0)))</f>
        <v/>
      </c>
      <c r="C970" s="57">
        <f>IF($A970="","",COUNTIF('AFA Rates'!$A$5:$A$1004,$A970))</f>
        <v/>
      </c>
      <c r="D970" s="57">
        <f>IF(OR($A970="",D$24=""),"",IF(COUNTIFS('AFA Rates'!$A$5:$A$1004,$A970,'AFA Rates'!$B$5:$B$1004,D$24)&gt;0,"✓",""))</f>
        <v/>
      </c>
      <c r="E970" s="57">
        <f>IF(OR($A970="",E$24=""),"",IF(COUNTIFS('AFA Rates'!$A$5:$A$1004,$A970,'AFA Rates'!$B$5:$B$1004,E$24)&gt;0,"✓",""))</f>
        <v/>
      </c>
      <c r="F970" s="57">
        <f>IF(OR($A970="",F$24=""),"",IF(COUNTIFS('AFA Rates'!$A$5:$A$1004,$A970,'AFA Rates'!$B$5:$B$1004,F$24)&gt;0,"✓",""))</f>
        <v/>
      </c>
      <c r="G970" s="57">
        <f>IF(OR($A970="",G$24=""),"",IF(COUNTIFS('AFA Rates'!$A$5:$A$1004,$A970,'AFA Rates'!$B$5:$B$1004,G$24)&gt;0,"✓",""))</f>
        <v/>
      </c>
      <c r="H970" s="57">
        <f>IF(OR($A970="",H$24=""),"",IF(COUNTIFS('AFA Rates'!$A$5:$A$1004,$A970,'AFA Rates'!$B$5:$B$1004,H$24)&gt;0,"✓",""))</f>
        <v/>
      </c>
      <c r="I970" s="57">
        <f>IF(OR($A970="",I$24=""),"",IF(COUNTIFS('AFA Rates'!$A$5:$A$1004,$A970,'AFA Rates'!$B$5:$B$1004,I$24)&gt;0,"✓",""))</f>
        <v/>
      </c>
      <c r="J970" s="57">
        <f>IF(OR($A970="",J$24=""),"",IF(COUNTIFS('AFA Rates'!$A$5:$A$1004,$A970,'AFA Rates'!$B$5:$B$1004,J$24)&gt;0,"✓",""))</f>
        <v/>
      </c>
      <c r="K970" s="57">
        <f>IF(OR($A970="",K$24=""),"",IF(COUNTIFS('AFA Rates'!$A$5:$A$1004,$A970,'AFA Rates'!$B$5:$B$1004,K$24)&gt;0,"✓",""))</f>
        <v/>
      </c>
      <c r="L970" s="57">
        <f>IF(OR($A970="",L$24=""),"",IF(COUNTIFS('AFA Rates'!$A$5:$A$1004,$A970,'AFA Rates'!$B$5:$B$1004,L$24)&gt;0,"✓",""))</f>
        <v/>
      </c>
      <c r="M970" s="57">
        <f>IF(OR($A970="",M$24=""),"",IF(COUNTIFS('AFA Rates'!$A$5:$A$1004,$A970,'AFA Rates'!$B$5:$B$1004,M$24)&gt;0,"✓",""))</f>
        <v/>
      </c>
    </row>
    <row r="971">
      <c r="A971" s="63">
        <f>IFERROR(INDEX(Firms!$A$5:$A$1004,MATCH(947,Firms!$S$5:$S$1004,0)),"")</f>
        <v/>
      </c>
      <c r="B971" s="57">
        <f>IF($A971="","",INDEX(Firms!$B$5:$B$1004,MATCH(947,Firms!$S$5:$S$1004,0)))</f>
        <v/>
      </c>
      <c r="C971" s="57">
        <f>IF($A971="","",COUNTIF('AFA Rates'!$A$5:$A$1004,$A971))</f>
        <v/>
      </c>
      <c r="D971" s="57">
        <f>IF(OR($A971="",D$24=""),"",IF(COUNTIFS('AFA Rates'!$A$5:$A$1004,$A971,'AFA Rates'!$B$5:$B$1004,D$24)&gt;0,"✓",""))</f>
        <v/>
      </c>
      <c r="E971" s="57">
        <f>IF(OR($A971="",E$24=""),"",IF(COUNTIFS('AFA Rates'!$A$5:$A$1004,$A971,'AFA Rates'!$B$5:$B$1004,E$24)&gt;0,"✓",""))</f>
        <v/>
      </c>
      <c r="F971" s="57">
        <f>IF(OR($A971="",F$24=""),"",IF(COUNTIFS('AFA Rates'!$A$5:$A$1004,$A971,'AFA Rates'!$B$5:$B$1004,F$24)&gt;0,"✓",""))</f>
        <v/>
      </c>
      <c r="G971" s="57">
        <f>IF(OR($A971="",G$24=""),"",IF(COUNTIFS('AFA Rates'!$A$5:$A$1004,$A971,'AFA Rates'!$B$5:$B$1004,G$24)&gt;0,"✓",""))</f>
        <v/>
      </c>
      <c r="H971" s="57">
        <f>IF(OR($A971="",H$24=""),"",IF(COUNTIFS('AFA Rates'!$A$5:$A$1004,$A971,'AFA Rates'!$B$5:$B$1004,H$24)&gt;0,"✓",""))</f>
        <v/>
      </c>
      <c r="I971" s="57">
        <f>IF(OR($A971="",I$24=""),"",IF(COUNTIFS('AFA Rates'!$A$5:$A$1004,$A971,'AFA Rates'!$B$5:$B$1004,I$24)&gt;0,"✓",""))</f>
        <v/>
      </c>
      <c r="J971" s="57">
        <f>IF(OR($A971="",J$24=""),"",IF(COUNTIFS('AFA Rates'!$A$5:$A$1004,$A971,'AFA Rates'!$B$5:$B$1004,J$24)&gt;0,"✓",""))</f>
        <v/>
      </c>
      <c r="K971" s="57">
        <f>IF(OR($A971="",K$24=""),"",IF(COUNTIFS('AFA Rates'!$A$5:$A$1004,$A971,'AFA Rates'!$B$5:$B$1004,K$24)&gt;0,"✓",""))</f>
        <v/>
      </c>
      <c r="L971" s="57">
        <f>IF(OR($A971="",L$24=""),"",IF(COUNTIFS('AFA Rates'!$A$5:$A$1004,$A971,'AFA Rates'!$B$5:$B$1004,L$24)&gt;0,"✓",""))</f>
        <v/>
      </c>
      <c r="M971" s="57">
        <f>IF(OR($A971="",M$24=""),"",IF(COUNTIFS('AFA Rates'!$A$5:$A$1004,$A971,'AFA Rates'!$B$5:$B$1004,M$24)&gt;0,"✓",""))</f>
        <v/>
      </c>
    </row>
    <row r="972">
      <c r="A972" s="63">
        <f>IFERROR(INDEX(Firms!$A$5:$A$1004,MATCH(948,Firms!$S$5:$S$1004,0)),"")</f>
        <v/>
      </c>
      <c r="B972" s="57">
        <f>IF($A972="","",INDEX(Firms!$B$5:$B$1004,MATCH(948,Firms!$S$5:$S$1004,0)))</f>
        <v/>
      </c>
      <c r="C972" s="57">
        <f>IF($A972="","",COUNTIF('AFA Rates'!$A$5:$A$1004,$A972))</f>
        <v/>
      </c>
      <c r="D972" s="57">
        <f>IF(OR($A972="",D$24=""),"",IF(COUNTIFS('AFA Rates'!$A$5:$A$1004,$A972,'AFA Rates'!$B$5:$B$1004,D$24)&gt;0,"✓",""))</f>
        <v/>
      </c>
      <c r="E972" s="57">
        <f>IF(OR($A972="",E$24=""),"",IF(COUNTIFS('AFA Rates'!$A$5:$A$1004,$A972,'AFA Rates'!$B$5:$B$1004,E$24)&gt;0,"✓",""))</f>
        <v/>
      </c>
      <c r="F972" s="57">
        <f>IF(OR($A972="",F$24=""),"",IF(COUNTIFS('AFA Rates'!$A$5:$A$1004,$A972,'AFA Rates'!$B$5:$B$1004,F$24)&gt;0,"✓",""))</f>
        <v/>
      </c>
      <c r="G972" s="57">
        <f>IF(OR($A972="",G$24=""),"",IF(COUNTIFS('AFA Rates'!$A$5:$A$1004,$A972,'AFA Rates'!$B$5:$B$1004,G$24)&gt;0,"✓",""))</f>
        <v/>
      </c>
      <c r="H972" s="57">
        <f>IF(OR($A972="",H$24=""),"",IF(COUNTIFS('AFA Rates'!$A$5:$A$1004,$A972,'AFA Rates'!$B$5:$B$1004,H$24)&gt;0,"✓",""))</f>
        <v/>
      </c>
      <c r="I972" s="57">
        <f>IF(OR($A972="",I$24=""),"",IF(COUNTIFS('AFA Rates'!$A$5:$A$1004,$A972,'AFA Rates'!$B$5:$B$1004,I$24)&gt;0,"✓",""))</f>
        <v/>
      </c>
      <c r="J972" s="57">
        <f>IF(OR($A972="",J$24=""),"",IF(COUNTIFS('AFA Rates'!$A$5:$A$1004,$A972,'AFA Rates'!$B$5:$B$1004,J$24)&gt;0,"✓",""))</f>
        <v/>
      </c>
      <c r="K972" s="57">
        <f>IF(OR($A972="",K$24=""),"",IF(COUNTIFS('AFA Rates'!$A$5:$A$1004,$A972,'AFA Rates'!$B$5:$B$1004,K$24)&gt;0,"✓",""))</f>
        <v/>
      </c>
      <c r="L972" s="57">
        <f>IF(OR($A972="",L$24=""),"",IF(COUNTIFS('AFA Rates'!$A$5:$A$1004,$A972,'AFA Rates'!$B$5:$B$1004,L$24)&gt;0,"✓",""))</f>
        <v/>
      </c>
      <c r="M972" s="57">
        <f>IF(OR($A972="",M$24=""),"",IF(COUNTIFS('AFA Rates'!$A$5:$A$1004,$A972,'AFA Rates'!$B$5:$B$1004,M$24)&gt;0,"✓",""))</f>
        <v/>
      </c>
    </row>
    <row r="973">
      <c r="A973" s="63">
        <f>IFERROR(INDEX(Firms!$A$5:$A$1004,MATCH(949,Firms!$S$5:$S$1004,0)),"")</f>
        <v/>
      </c>
      <c r="B973" s="57">
        <f>IF($A973="","",INDEX(Firms!$B$5:$B$1004,MATCH(949,Firms!$S$5:$S$1004,0)))</f>
        <v/>
      </c>
      <c r="C973" s="57">
        <f>IF($A973="","",COUNTIF('AFA Rates'!$A$5:$A$1004,$A973))</f>
        <v/>
      </c>
      <c r="D973" s="57">
        <f>IF(OR($A973="",D$24=""),"",IF(COUNTIFS('AFA Rates'!$A$5:$A$1004,$A973,'AFA Rates'!$B$5:$B$1004,D$24)&gt;0,"✓",""))</f>
        <v/>
      </c>
      <c r="E973" s="57">
        <f>IF(OR($A973="",E$24=""),"",IF(COUNTIFS('AFA Rates'!$A$5:$A$1004,$A973,'AFA Rates'!$B$5:$B$1004,E$24)&gt;0,"✓",""))</f>
        <v/>
      </c>
      <c r="F973" s="57">
        <f>IF(OR($A973="",F$24=""),"",IF(COUNTIFS('AFA Rates'!$A$5:$A$1004,$A973,'AFA Rates'!$B$5:$B$1004,F$24)&gt;0,"✓",""))</f>
        <v/>
      </c>
      <c r="G973" s="57">
        <f>IF(OR($A973="",G$24=""),"",IF(COUNTIFS('AFA Rates'!$A$5:$A$1004,$A973,'AFA Rates'!$B$5:$B$1004,G$24)&gt;0,"✓",""))</f>
        <v/>
      </c>
      <c r="H973" s="57">
        <f>IF(OR($A973="",H$24=""),"",IF(COUNTIFS('AFA Rates'!$A$5:$A$1004,$A973,'AFA Rates'!$B$5:$B$1004,H$24)&gt;0,"✓",""))</f>
        <v/>
      </c>
      <c r="I973" s="57">
        <f>IF(OR($A973="",I$24=""),"",IF(COUNTIFS('AFA Rates'!$A$5:$A$1004,$A973,'AFA Rates'!$B$5:$B$1004,I$24)&gt;0,"✓",""))</f>
        <v/>
      </c>
      <c r="J973" s="57">
        <f>IF(OR($A973="",J$24=""),"",IF(COUNTIFS('AFA Rates'!$A$5:$A$1004,$A973,'AFA Rates'!$B$5:$B$1004,J$24)&gt;0,"✓",""))</f>
        <v/>
      </c>
      <c r="K973" s="57">
        <f>IF(OR($A973="",K$24=""),"",IF(COUNTIFS('AFA Rates'!$A$5:$A$1004,$A973,'AFA Rates'!$B$5:$B$1004,K$24)&gt;0,"✓",""))</f>
        <v/>
      </c>
      <c r="L973" s="57">
        <f>IF(OR($A973="",L$24=""),"",IF(COUNTIFS('AFA Rates'!$A$5:$A$1004,$A973,'AFA Rates'!$B$5:$B$1004,L$24)&gt;0,"✓",""))</f>
        <v/>
      </c>
      <c r="M973" s="57">
        <f>IF(OR($A973="",M$24=""),"",IF(COUNTIFS('AFA Rates'!$A$5:$A$1004,$A973,'AFA Rates'!$B$5:$B$1004,M$24)&gt;0,"✓",""))</f>
        <v/>
      </c>
    </row>
    <row r="974">
      <c r="A974" s="63">
        <f>IFERROR(INDEX(Firms!$A$5:$A$1004,MATCH(950,Firms!$S$5:$S$1004,0)),"")</f>
        <v/>
      </c>
      <c r="B974" s="57">
        <f>IF($A974="","",INDEX(Firms!$B$5:$B$1004,MATCH(950,Firms!$S$5:$S$1004,0)))</f>
        <v/>
      </c>
      <c r="C974" s="57">
        <f>IF($A974="","",COUNTIF('AFA Rates'!$A$5:$A$1004,$A974))</f>
        <v/>
      </c>
      <c r="D974" s="57">
        <f>IF(OR($A974="",D$24=""),"",IF(COUNTIFS('AFA Rates'!$A$5:$A$1004,$A974,'AFA Rates'!$B$5:$B$1004,D$24)&gt;0,"✓",""))</f>
        <v/>
      </c>
      <c r="E974" s="57">
        <f>IF(OR($A974="",E$24=""),"",IF(COUNTIFS('AFA Rates'!$A$5:$A$1004,$A974,'AFA Rates'!$B$5:$B$1004,E$24)&gt;0,"✓",""))</f>
        <v/>
      </c>
      <c r="F974" s="57">
        <f>IF(OR($A974="",F$24=""),"",IF(COUNTIFS('AFA Rates'!$A$5:$A$1004,$A974,'AFA Rates'!$B$5:$B$1004,F$24)&gt;0,"✓",""))</f>
        <v/>
      </c>
      <c r="G974" s="57">
        <f>IF(OR($A974="",G$24=""),"",IF(COUNTIFS('AFA Rates'!$A$5:$A$1004,$A974,'AFA Rates'!$B$5:$B$1004,G$24)&gt;0,"✓",""))</f>
        <v/>
      </c>
      <c r="H974" s="57">
        <f>IF(OR($A974="",H$24=""),"",IF(COUNTIFS('AFA Rates'!$A$5:$A$1004,$A974,'AFA Rates'!$B$5:$B$1004,H$24)&gt;0,"✓",""))</f>
        <v/>
      </c>
      <c r="I974" s="57">
        <f>IF(OR($A974="",I$24=""),"",IF(COUNTIFS('AFA Rates'!$A$5:$A$1004,$A974,'AFA Rates'!$B$5:$B$1004,I$24)&gt;0,"✓",""))</f>
        <v/>
      </c>
      <c r="J974" s="57">
        <f>IF(OR($A974="",J$24=""),"",IF(COUNTIFS('AFA Rates'!$A$5:$A$1004,$A974,'AFA Rates'!$B$5:$B$1004,J$24)&gt;0,"✓",""))</f>
        <v/>
      </c>
      <c r="K974" s="57">
        <f>IF(OR($A974="",K$24=""),"",IF(COUNTIFS('AFA Rates'!$A$5:$A$1004,$A974,'AFA Rates'!$B$5:$B$1004,K$24)&gt;0,"✓",""))</f>
        <v/>
      </c>
      <c r="L974" s="57">
        <f>IF(OR($A974="",L$24=""),"",IF(COUNTIFS('AFA Rates'!$A$5:$A$1004,$A974,'AFA Rates'!$B$5:$B$1004,L$24)&gt;0,"✓",""))</f>
        <v/>
      </c>
      <c r="M974" s="57">
        <f>IF(OR($A974="",M$24=""),"",IF(COUNTIFS('AFA Rates'!$A$5:$A$1004,$A974,'AFA Rates'!$B$5:$B$1004,M$24)&gt;0,"✓",""))</f>
        <v/>
      </c>
    </row>
    <row r="975">
      <c r="A975" s="63">
        <f>IFERROR(INDEX(Firms!$A$5:$A$1004,MATCH(951,Firms!$S$5:$S$1004,0)),"")</f>
        <v/>
      </c>
      <c r="B975" s="57">
        <f>IF($A975="","",INDEX(Firms!$B$5:$B$1004,MATCH(951,Firms!$S$5:$S$1004,0)))</f>
        <v/>
      </c>
      <c r="C975" s="57">
        <f>IF($A975="","",COUNTIF('AFA Rates'!$A$5:$A$1004,$A975))</f>
        <v/>
      </c>
      <c r="D975" s="57">
        <f>IF(OR($A975="",D$24=""),"",IF(COUNTIFS('AFA Rates'!$A$5:$A$1004,$A975,'AFA Rates'!$B$5:$B$1004,D$24)&gt;0,"✓",""))</f>
        <v/>
      </c>
      <c r="E975" s="57">
        <f>IF(OR($A975="",E$24=""),"",IF(COUNTIFS('AFA Rates'!$A$5:$A$1004,$A975,'AFA Rates'!$B$5:$B$1004,E$24)&gt;0,"✓",""))</f>
        <v/>
      </c>
      <c r="F975" s="57">
        <f>IF(OR($A975="",F$24=""),"",IF(COUNTIFS('AFA Rates'!$A$5:$A$1004,$A975,'AFA Rates'!$B$5:$B$1004,F$24)&gt;0,"✓",""))</f>
        <v/>
      </c>
      <c r="G975" s="57">
        <f>IF(OR($A975="",G$24=""),"",IF(COUNTIFS('AFA Rates'!$A$5:$A$1004,$A975,'AFA Rates'!$B$5:$B$1004,G$24)&gt;0,"✓",""))</f>
        <v/>
      </c>
      <c r="H975" s="57">
        <f>IF(OR($A975="",H$24=""),"",IF(COUNTIFS('AFA Rates'!$A$5:$A$1004,$A975,'AFA Rates'!$B$5:$B$1004,H$24)&gt;0,"✓",""))</f>
        <v/>
      </c>
      <c r="I975" s="57">
        <f>IF(OR($A975="",I$24=""),"",IF(COUNTIFS('AFA Rates'!$A$5:$A$1004,$A975,'AFA Rates'!$B$5:$B$1004,I$24)&gt;0,"✓",""))</f>
        <v/>
      </c>
      <c r="J975" s="57">
        <f>IF(OR($A975="",J$24=""),"",IF(COUNTIFS('AFA Rates'!$A$5:$A$1004,$A975,'AFA Rates'!$B$5:$B$1004,J$24)&gt;0,"✓",""))</f>
        <v/>
      </c>
      <c r="K975" s="57">
        <f>IF(OR($A975="",K$24=""),"",IF(COUNTIFS('AFA Rates'!$A$5:$A$1004,$A975,'AFA Rates'!$B$5:$B$1004,K$24)&gt;0,"✓",""))</f>
        <v/>
      </c>
      <c r="L975" s="57">
        <f>IF(OR($A975="",L$24=""),"",IF(COUNTIFS('AFA Rates'!$A$5:$A$1004,$A975,'AFA Rates'!$B$5:$B$1004,L$24)&gt;0,"✓",""))</f>
        <v/>
      </c>
      <c r="M975" s="57">
        <f>IF(OR($A975="",M$24=""),"",IF(COUNTIFS('AFA Rates'!$A$5:$A$1004,$A975,'AFA Rates'!$B$5:$B$1004,M$24)&gt;0,"✓",""))</f>
        <v/>
      </c>
    </row>
    <row r="976">
      <c r="A976" s="63">
        <f>IFERROR(INDEX(Firms!$A$5:$A$1004,MATCH(952,Firms!$S$5:$S$1004,0)),"")</f>
        <v/>
      </c>
      <c r="B976" s="57">
        <f>IF($A976="","",INDEX(Firms!$B$5:$B$1004,MATCH(952,Firms!$S$5:$S$1004,0)))</f>
        <v/>
      </c>
      <c r="C976" s="57">
        <f>IF($A976="","",COUNTIF('AFA Rates'!$A$5:$A$1004,$A976))</f>
        <v/>
      </c>
      <c r="D976" s="57">
        <f>IF(OR($A976="",D$24=""),"",IF(COUNTIFS('AFA Rates'!$A$5:$A$1004,$A976,'AFA Rates'!$B$5:$B$1004,D$24)&gt;0,"✓",""))</f>
        <v/>
      </c>
      <c r="E976" s="57">
        <f>IF(OR($A976="",E$24=""),"",IF(COUNTIFS('AFA Rates'!$A$5:$A$1004,$A976,'AFA Rates'!$B$5:$B$1004,E$24)&gt;0,"✓",""))</f>
        <v/>
      </c>
      <c r="F976" s="57">
        <f>IF(OR($A976="",F$24=""),"",IF(COUNTIFS('AFA Rates'!$A$5:$A$1004,$A976,'AFA Rates'!$B$5:$B$1004,F$24)&gt;0,"✓",""))</f>
        <v/>
      </c>
      <c r="G976" s="57">
        <f>IF(OR($A976="",G$24=""),"",IF(COUNTIFS('AFA Rates'!$A$5:$A$1004,$A976,'AFA Rates'!$B$5:$B$1004,G$24)&gt;0,"✓",""))</f>
        <v/>
      </c>
      <c r="H976" s="57">
        <f>IF(OR($A976="",H$24=""),"",IF(COUNTIFS('AFA Rates'!$A$5:$A$1004,$A976,'AFA Rates'!$B$5:$B$1004,H$24)&gt;0,"✓",""))</f>
        <v/>
      </c>
      <c r="I976" s="57">
        <f>IF(OR($A976="",I$24=""),"",IF(COUNTIFS('AFA Rates'!$A$5:$A$1004,$A976,'AFA Rates'!$B$5:$B$1004,I$24)&gt;0,"✓",""))</f>
        <v/>
      </c>
      <c r="J976" s="57">
        <f>IF(OR($A976="",J$24=""),"",IF(COUNTIFS('AFA Rates'!$A$5:$A$1004,$A976,'AFA Rates'!$B$5:$B$1004,J$24)&gt;0,"✓",""))</f>
        <v/>
      </c>
      <c r="K976" s="57">
        <f>IF(OR($A976="",K$24=""),"",IF(COUNTIFS('AFA Rates'!$A$5:$A$1004,$A976,'AFA Rates'!$B$5:$B$1004,K$24)&gt;0,"✓",""))</f>
        <v/>
      </c>
      <c r="L976" s="57">
        <f>IF(OR($A976="",L$24=""),"",IF(COUNTIFS('AFA Rates'!$A$5:$A$1004,$A976,'AFA Rates'!$B$5:$B$1004,L$24)&gt;0,"✓",""))</f>
        <v/>
      </c>
      <c r="M976" s="57">
        <f>IF(OR($A976="",M$24=""),"",IF(COUNTIFS('AFA Rates'!$A$5:$A$1004,$A976,'AFA Rates'!$B$5:$B$1004,M$24)&gt;0,"✓",""))</f>
        <v/>
      </c>
    </row>
    <row r="977">
      <c r="A977" s="63">
        <f>IFERROR(INDEX(Firms!$A$5:$A$1004,MATCH(953,Firms!$S$5:$S$1004,0)),"")</f>
        <v/>
      </c>
      <c r="B977" s="57">
        <f>IF($A977="","",INDEX(Firms!$B$5:$B$1004,MATCH(953,Firms!$S$5:$S$1004,0)))</f>
        <v/>
      </c>
      <c r="C977" s="57">
        <f>IF($A977="","",COUNTIF('AFA Rates'!$A$5:$A$1004,$A977))</f>
        <v/>
      </c>
      <c r="D977" s="57">
        <f>IF(OR($A977="",D$24=""),"",IF(COUNTIFS('AFA Rates'!$A$5:$A$1004,$A977,'AFA Rates'!$B$5:$B$1004,D$24)&gt;0,"✓",""))</f>
        <v/>
      </c>
      <c r="E977" s="57">
        <f>IF(OR($A977="",E$24=""),"",IF(COUNTIFS('AFA Rates'!$A$5:$A$1004,$A977,'AFA Rates'!$B$5:$B$1004,E$24)&gt;0,"✓",""))</f>
        <v/>
      </c>
      <c r="F977" s="57">
        <f>IF(OR($A977="",F$24=""),"",IF(COUNTIFS('AFA Rates'!$A$5:$A$1004,$A977,'AFA Rates'!$B$5:$B$1004,F$24)&gt;0,"✓",""))</f>
        <v/>
      </c>
      <c r="G977" s="57">
        <f>IF(OR($A977="",G$24=""),"",IF(COUNTIFS('AFA Rates'!$A$5:$A$1004,$A977,'AFA Rates'!$B$5:$B$1004,G$24)&gt;0,"✓",""))</f>
        <v/>
      </c>
      <c r="H977" s="57">
        <f>IF(OR($A977="",H$24=""),"",IF(COUNTIFS('AFA Rates'!$A$5:$A$1004,$A977,'AFA Rates'!$B$5:$B$1004,H$24)&gt;0,"✓",""))</f>
        <v/>
      </c>
      <c r="I977" s="57">
        <f>IF(OR($A977="",I$24=""),"",IF(COUNTIFS('AFA Rates'!$A$5:$A$1004,$A977,'AFA Rates'!$B$5:$B$1004,I$24)&gt;0,"✓",""))</f>
        <v/>
      </c>
      <c r="J977" s="57">
        <f>IF(OR($A977="",J$24=""),"",IF(COUNTIFS('AFA Rates'!$A$5:$A$1004,$A977,'AFA Rates'!$B$5:$B$1004,J$24)&gt;0,"✓",""))</f>
        <v/>
      </c>
      <c r="K977" s="57">
        <f>IF(OR($A977="",K$24=""),"",IF(COUNTIFS('AFA Rates'!$A$5:$A$1004,$A977,'AFA Rates'!$B$5:$B$1004,K$24)&gt;0,"✓",""))</f>
        <v/>
      </c>
      <c r="L977" s="57">
        <f>IF(OR($A977="",L$24=""),"",IF(COUNTIFS('AFA Rates'!$A$5:$A$1004,$A977,'AFA Rates'!$B$5:$B$1004,L$24)&gt;0,"✓",""))</f>
        <v/>
      </c>
      <c r="M977" s="57">
        <f>IF(OR($A977="",M$24=""),"",IF(COUNTIFS('AFA Rates'!$A$5:$A$1004,$A977,'AFA Rates'!$B$5:$B$1004,M$24)&gt;0,"✓",""))</f>
        <v/>
      </c>
    </row>
    <row r="978">
      <c r="A978" s="63">
        <f>IFERROR(INDEX(Firms!$A$5:$A$1004,MATCH(954,Firms!$S$5:$S$1004,0)),"")</f>
        <v/>
      </c>
      <c r="B978" s="57">
        <f>IF($A978="","",INDEX(Firms!$B$5:$B$1004,MATCH(954,Firms!$S$5:$S$1004,0)))</f>
        <v/>
      </c>
      <c r="C978" s="57">
        <f>IF($A978="","",COUNTIF('AFA Rates'!$A$5:$A$1004,$A978))</f>
        <v/>
      </c>
      <c r="D978" s="57">
        <f>IF(OR($A978="",D$24=""),"",IF(COUNTIFS('AFA Rates'!$A$5:$A$1004,$A978,'AFA Rates'!$B$5:$B$1004,D$24)&gt;0,"✓",""))</f>
        <v/>
      </c>
      <c r="E978" s="57">
        <f>IF(OR($A978="",E$24=""),"",IF(COUNTIFS('AFA Rates'!$A$5:$A$1004,$A978,'AFA Rates'!$B$5:$B$1004,E$24)&gt;0,"✓",""))</f>
        <v/>
      </c>
      <c r="F978" s="57">
        <f>IF(OR($A978="",F$24=""),"",IF(COUNTIFS('AFA Rates'!$A$5:$A$1004,$A978,'AFA Rates'!$B$5:$B$1004,F$24)&gt;0,"✓",""))</f>
        <v/>
      </c>
      <c r="G978" s="57">
        <f>IF(OR($A978="",G$24=""),"",IF(COUNTIFS('AFA Rates'!$A$5:$A$1004,$A978,'AFA Rates'!$B$5:$B$1004,G$24)&gt;0,"✓",""))</f>
        <v/>
      </c>
      <c r="H978" s="57">
        <f>IF(OR($A978="",H$24=""),"",IF(COUNTIFS('AFA Rates'!$A$5:$A$1004,$A978,'AFA Rates'!$B$5:$B$1004,H$24)&gt;0,"✓",""))</f>
        <v/>
      </c>
      <c r="I978" s="57">
        <f>IF(OR($A978="",I$24=""),"",IF(COUNTIFS('AFA Rates'!$A$5:$A$1004,$A978,'AFA Rates'!$B$5:$B$1004,I$24)&gt;0,"✓",""))</f>
        <v/>
      </c>
      <c r="J978" s="57">
        <f>IF(OR($A978="",J$24=""),"",IF(COUNTIFS('AFA Rates'!$A$5:$A$1004,$A978,'AFA Rates'!$B$5:$B$1004,J$24)&gt;0,"✓",""))</f>
        <v/>
      </c>
      <c r="K978" s="57">
        <f>IF(OR($A978="",K$24=""),"",IF(COUNTIFS('AFA Rates'!$A$5:$A$1004,$A978,'AFA Rates'!$B$5:$B$1004,K$24)&gt;0,"✓",""))</f>
        <v/>
      </c>
      <c r="L978" s="57">
        <f>IF(OR($A978="",L$24=""),"",IF(COUNTIFS('AFA Rates'!$A$5:$A$1004,$A978,'AFA Rates'!$B$5:$B$1004,L$24)&gt;0,"✓",""))</f>
        <v/>
      </c>
      <c r="M978" s="57">
        <f>IF(OR($A978="",M$24=""),"",IF(COUNTIFS('AFA Rates'!$A$5:$A$1004,$A978,'AFA Rates'!$B$5:$B$1004,M$24)&gt;0,"✓",""))</f>
        <v/>
      </c>
    </row>
    <row r="979">
      <c r="A979" s="63">
        <f>IFERROR(INDEX(Firms!$A$5:$A$1004,MATCH(955,Firms!$S$5:$S$1004,0)),"")</f>
        <v/>
      </c>
      <c r="B979" s="57">
        <f>IF($A979="","",INDEX(Firms!$B$5:$B$1004,MATCH(955,Firms!$S$5:$S$1004,0)))</f>
        <v/>
      </c>
      <c r="C979" s="57">
        <f>IF($A979="","",COUNTIF('AFA Rates'!$A$5:$A$1004,$A979))</f>
        <v/>
      </c>
      <c r="D979" s="57">
        <f>IF(OR($A979="",D$24=""),"",IF(COUNTIFS('AFA Rates'!$A$5:$A$1004,$A979,'AFA Rates'!$B$5:$B$1004,D$24)&gt;0,"✓",""))</f>
        <v/>
      </c>
      <c r="E979" s="57">
        <f>IF(OR($A979="",E$24=""),"",IF(COUNTIFS('AFA Rates'!$A$5:$A$1004,$A979,'AFA Rates'!$B$5:$B$1004,E$24)&gt;0,"✓",""))</f>
        <v/>
      </c>
      <c r="F979" s="57">
        <f>IF(OR($A979="",F$24=""),"",IF(COUNTIFS('AFA Rates'!$A$5:$A$1004,$A979,'AFA Rates'!$B$5:$B$1004,F$24)&gt;0,"✓",""))</f>
        <v/>
      </c>
      <c r="G979" s="57">
        <f>IF(OR($A979="",G$24=""),"",IF(COUNTIFS('AFA Rates'!$A$5:$A$1004,$A979,'AFA Rates'!$B$5:$B$1004,G$24)&gt;0,"✓",""))</f>
        <v/>
      </c>
      <c r="H979" s="57">
        <f>IF(OR($A979="",H$24=""),"",IF(COUNTIFS('AFA Rates'!$A$5:$A$1004,$A979,'AFA Rates'!$B$5:$B$1004,H$24)&gt;0,"✓",""))</f>
        <v/>
      </c>
      <c r="I979" s="57">
        <f>IF(OR($A979="",I$24=""),"",IF(COUNTIFS('AFA Rates'!$A$5:$A$1004,$A979,'AFA Rates'!$B$5:$B$1004,I$24)&gt;0,"✓",""))</f>
        <v/>
      </c>
      <c r="J979" s="57">
        <f>IF(OR($A979="",J$24=""),"",IF(COUNTIFS('AFA Rates'!$A$5:$A$1004,$A979,'AFA Rates'!$B$5:$B$1004,J$24)&gt;0,"✓",""))</f>
        <v/>
      </c>
      <c r="K979" s="57">
        <f>IF(OR($A979="",K$24=""),"",IF(COUNTIFS('AFA Rates'!$A$5:$A$1004,$A979,'AFA Rates'!$B$5:$B$1004,K$24)&gt;0,"✓",""))</f>
        <v/>
      </c>
      <c r="L979" s="57">
        <f>IF(OR($A979="",L$24=""),"",IF(COUNTIFS('AFA Rates'!$A$5:$A$1004,$A979,'AFA Rates'!$B$5:$B$1004,L$24)&gt;0,"✓",""))</f>
        <v/>
      </c>
      <c r="M979" s="57">
        <f>IF(OR($A979="",M$24=""),"",IF(COUNTIFS('AFA Rates'!$A$5:$A$1004,$A979,'AFA Rates'!$B$5:$B$1004,M$24)&gt;0,"✓",""))</f>
        <v/>
      </c>
    </row>
    <row r="980">
      <c r="A980" s="63">
        <f>IFERROR(INDEX(Firms!$A$5:$A$1004,MATCH(956,Firms!$S$5:$S$1004,0)),"")</f>
        <v/>
      </c>
      <c r="B980" s="57">
        <f>IF($A980="","",INDEX(Firms!$B$5:$B$1004,MATCH(956,Firms!$S$5:$S$1004,0)))</f>
        <v/>
      </c>
      <c r="C980" s="57">
        <f>IF($A980="","",COUNTIF('AFA Rates'!$A$5:$A$1004,$A980))</f>
        <v/>
      </c>
      <c r="D980" s="57">
        <f>IF(OR($A980="",D$24=""),"",IF(COUNTIFS('AFA Rates'!$A$5:$A$1004,$A980,'AFA Rates'!$B$5:$B$1004,D$24)&gt;0,"✓",""))</f>
        <v/>
      </c>
      <c r="E980" s="57">
        <f>IF(OR($A980="",E$24=""),"",IF(COUNTIFS('AFA Rates'!$A$5:$A$1004,$A980,'AFA Rates'!$B$5:$B$1004,E$24)&gt;0,"✓",""))</f>
        <v/>
      </c>
      <c r="F980" s="57">
        <f>IF(OR($A980="",F$24=""),"",IF(COUNTIFS('AFA Rates'!$A$5:$A$1004,$A980,'AFA Rates'!$B$5:$B$1004,F$24)&gt;0,"✓",""))</f>
        <v/>
      </c>
      <c r="G980" s="57">
        <f>IF(OR($A980="",G$24=""),"",IF(COUNTIFS('AFA Rates'!$A$5:$A$1004,$A980,'AFA Rates'!$B$5:$B$1004,G$24)&gt;0,"✓",""))</f>
        <v/>
      </c>
      <c r="H980" s="57">
        <f>IF(OR($A980="",H$24=""),"",IF(COUNTIFS('AFA Rates'!$A$5:$A$1004,$A980,'AFA Rates'!$B$5:$B$1004,H$24)&gt;0,"✓",""))</f>
        <v/>
      </c>
      <c r="I980" s="57">
        <f>IF(OR($A980="",I$24=""),"",IF(COUNTIFS('AFA Rates'!$A$5:$A$1004,$A980,'AFA Rates'!$B$5:$B$1004,I$24)&gt;0,"✓",""))</f>
        <v/>
      </c>
      <c r="J980" s="57">
        <f>IF(OR($A980="",J$24=""),"",IF(COUNTIFS('AFA Rates'!$A$5:$A$1004,$A980,'AFA Rates'!$B$5:$B$1004,J$24)&gt;0,"✓",""))</f>
        <v/>
      </c>
      <c r="K980" s="57">
        <f>IF(OR($A980="",K$24=""),"",IF(COUNTIFS('AFA Rates'!$A$5:$A$1004,$A980,'AFA Rates'!$B$5:$B$1004,K$24)&gt;0,"✓",""))</f>
        <v/>
      </c>
      <c r="L980" s="57">
        <f>IF(OR($A980="",L$24=""),"",IF(COUNTIFS('AFA Rates'!$A$5:$A$1004,$A980,'AFA Rates'!$B$5:$B$1004,L$24)&gt;0,"✓",""))</f>
        <v/>
      </c>
      <c r="M980" s="57">
        <f>IF(OR($A980="",M$24=""),"",IF(COUNTIFS('AFA Rates'!$A$5:$A$1004,$A980,'AFA Rates'!$B$5:$B$1004,M$24)&gt;0,"✓",""))</f>
        <v/>
      </c>
    </row>
    <row r="981">
      <c r="A981" s="63">
        <f>IFERROR(INDEX(Firms!$A$5:$A$1004,MATCH(957,Firms!$S$5:$S$1004,0)),"")</f>
        <v/>
      </c>
      <c r="B981" s="57">
        <f>IF($A981="","",INDEX(Firms!$B$5:$B$1004,MATCH(957,Firms!$S$5:$S$1004,0)))</f>
        <v/>
      </c>
      <c r="C981" s="57">
        <f>IF($A981="","",COUNTIF('AFA Rates'!$A$5:$A$1004,$A981))</f>
        <v/>
      </c>
      <c r="D981" s="57">
        <f>IF(OR($A981="",D$24=""),"",IF(COUNTIFS('AFA Rates'!$A$5:$A$1004,$A981,'AFA Rates'!$B$5:$B$1004,D$24)&gt;0,"✓",""))</f>
        <v/>
      </c>
      <c r="E981" s="57">
        <f>IF(OR($A981="",E$24=""),"",IF(COUNTIFS('AFA Rates'!$A$5:$A$1004,$A981,'AFA Rates'!$B$5:$B$1004,E$24)&gt;0,"✓",""))</f>
        <v/>
      </c>
      <c r="F981" s="57">
        <f>IF(OR($A981="",F$24=""),"",IF(COUNTIFS('AFA Rates'!$A$5:$A$1004,$A981,'AFA Rates'!$B$5:$B$1004,F$24)&gt;0,"✓",""))</f>
        <v/>
      </c>
      <c r="G981" s="57">
        <f>IF(OR($A981="",G$24=""),"",IF(COUNTIFS('AFA Rates'!$A$5:$A$1004,$A981,'AFA Rates'!$B$5:$B$1004,G$24)&gt;0,"✓",""))</f>
        <v/>
      </c>
      <c r="H981" s="57">
        <f>IF(OR($A981="",H$24=""),"",IF(COUNTIFS('AFA Rates'!$A$5:$A$1004,$A981,'AFA Rates'!$B$5:$B$1004,H$24)&gt;0,"✓",""))</f>
        <v/>
      </c>
      <c r="I981" s="57">
        <f>IF(OR($A981="",I$24=""),"",IF(COUNTIFS('AFA Rates'!$A$5:$A$1004,$A981,'AFA Rates'!$B$5:$B$1004,I$24)&gt;0,"✓",""))</f>
        <v/>
      </c>
      <c r="J981" s="57">
        <f>IF(OR($A981="",J$24=""),"",IF(COUNTIFS('AFA Rates'!$A$5:$A$1004,$A981,'AFA Rates'!$B$5:$B$1004,J$24)&gt;0,"✓",""))</f>
        <v/>
      </c>
      <c r="K981" s="57">
        <f>IF(OR($A981="",K$24=""),"",IF(COUNTIFS('AFA Rates'!$A$5:$A$1004,$A981,'AFA Rates'!$B$5:$B$1004,K$24)&gt;0,"✓",""))</f>
        <v/>
      </c>
      <c r="L981" s="57">
        <f>IF(OR($A981="",L$24=""),"",IF(COUNTIFS('AFA Rates'!$A$5:$A$1004,$A981,'AFA Rates'!$B$5:$B$1004,L$24)&gt;0,"✓",""))</f>
        <v/>
      </c>
      <c r="M981" s="57">
        <f>IF(OR($A981="",M$24=""),"",IF(COUNTIFS('AFA Rates'!$A$5:$A$1004,$A981,'AFA Rates'!$B$5:$B$1004,M$24)&gt;0,"✓",""))</f>
        <v/>
      </c>
    </row>
    <row r="982">
      <c r="A982" s="63">
        <f>IFERROR(INDEX(Firms!$A$5:$A$1004,MATCH(958,Firms!$S$5:$S$1004,0)),"")</f>
        <v/>
      </c>
      <c r="B982" s="57">
        <f>IF($A982="","",INDEX(Firms!$B$5:$B$1004,MATCH(958,Firms!$S$5:$S$1004,0)))</f>
        <v/>
      </c>
      <c r="C982" s="57">
        <f>IF($A982="","",COUNTIF('AFA Rates'!$A$5:$A$1004,$A982))</f>
        <v/>
      </c>
      <c r="D982" s="57">
        <f>IF(OR($A982="",D$24=""),"",IF(COUNTIFS('AFA Rates'!$A$5:$A$1004,$A982,'AFA Rates'!$B$5:$B$1004,D$24)&gt;0,"✓",""))</f>
        <v/>
      </c>
      <c r="E982" s="57">
        <f>IF(OR($A982="",E$24=""),"",IF(COUNTIFS('AFA Rates'!$A$5:$A$1004,$A982,'AFA Rates'!$B$5:$B$1004,E$24)&gt;0,"✓",""))</f>
        <v/>
      </c>
      <c r="F982" s="57">
        <f>IF(OR($A982="",F$24=""),"",IF(COUNTIFS('AFA Rates'!$A$5:$A$1004,$A982,'AFA Rates'!$B$5:$B$1004,F$24)&gt;0,"✓",""))</f>
        <v/>
      </c>
      <c r="G982" s="57">
        <f>IF(OR($A982="",G$24=""),"",IF(COUNTIFS('AFA Rates'!$A$5:$A$1004,$A982,'AFA Rates'!$B$5:$B$1004,G$24)&gt;0,"✓",""))</f>
        <v/>
      </c>
      <c r="H982" s="57">
        <f>IF(OR($A982="",H$24=""),"",IF(COUNTIFS('AFA Rates'!$A$5:$A$1004,$A982,'AFA Rates'!$B$5:$B$1004,H$24)&gt;0,"✓",""))</f>
        <v/>
      </c>
      <c r="I982" s="57">
        <f>IF(OR($A982="",I$24=""),"",IF(COUNTIFS('AFA Rates'!$A$5:$A$1004,$A982,'AFA Rates'!$B$5:$B$1004,I$24)&gt;0,"✓",""))</f>
        <v/>
      </c>
      <c r="J982" s="57">
        <f>IF(OR($A982="",J$24=""),"",IF(COUNTIFS('AFA Rates'!$A$5:$A$1004,$A982,'AFA Rates'!$B$5:$B$1004,J$24)&gt;0,"✓",""))</f>
        <v/>
      </c>
      <c r="K982" s="57">
        <f>IF(OR($A982="",K$24=""),"",IF(COUNTIFS('AFA Rates'!$A$5:$A$1004,$A982,'AFA Rates'!$B$5:$B$1004,K$24)&gt;0,"✓",""))</f>
        <v/>
      </c>
      <c r="L982" s="57">
        <f>IF(OR($A982="",L$24=""),"",IF(COUNTIFS('AFA Rates'!$A$5:$A$1004,$A982,'AFA Rates'!$B$5:$B$1004,L$24)&gt;0,"✓",""))</f>
        <v/>
      </c>
      <c r="M982" s="57">
        <f>IF(OR($A982="",M$24=""),"",IF(COUNTIFS('AFA Rates'!$A$5:$A$1004,$A982,'AFA Rates'!$B$5:$B$1004,M$24)&gt;0,"✓",""))</f>
        <v/>
      </c>
    </row>
    <row r="983">
      <c r="A983" s="63">
        <f>IFERROR(INDEX(Firms!$A$5:$A$1004,MATCH(959,Firms!$S$5:$S$1004,0)),"")</f>
        <v/>
      </c>
      <c r="B983" s="57">
        <f>IF($A983="","",INDEX(Firms!$B$5:$B$1004,MATCH(959,Firms!$S$5:$S$1004,0)))</f>
        <v/>
      </c>
      <c r="C983" s="57">
        <f>IF($A983="","",COUNTIF('AFA Rates'!$A$5:$A$1004,$A983))</f>
        <v/>
      </c>
      <c r="D983" s="57">
        <f>IF(OR($A983="",D$24=""),"",IF(COUNTIFS('AFA Rates'!$A$5:$A$1004,$A983,'AFA Rates'!$B$5:$B$1004,D$24)&gt;0,"✓",""))</f>
        <v/>
      </c>
      <c r="E983" s="57">
        <f>IF(OR($A983="",E$24=""),"",IF(COUNTIFS('AFA Rates'!$A$5:$A$1004,$A983,'AFA Rates'!$B$5:$B$1004,E$24)&gt;0,"✓",""))</f>
        <v/>
      </c>
      <c r="F983" s="57">
        <f>IF(OR($A983="",F$24=""),"",IF(COUNTIFS('AFA Rates'!$A$5:$A$1004,$A983,'AFA Rates'!$B$5:$B$1004,F$24)&gt;0,"✓",""))</f>
        <v/>
      </c>
      <c r="G983" s="57">
        <f>IF(OR($A983="",G$24=""),"",IF(COUNTIFS('AFA Rates'!$A$5:$A$1004,$A983,'AFA Rates'!$B$5:$B$1004,G$24)&gt;0,"✓",""))</f>
        <v/>
      </c>
      <c r="H983" s="57">
        <f>IF(OR($A983="",H$24=""),"",IF(COUNTIFS('AFA Rates'!$A$5:$A$1004,$A983,'AFA Rates'!$B$5:$B$1004,H$24)&gt;0,"✓",""))</f>
        <v/>
      </c>
      <c r="I983" s="57">
        <f>IF(OR($A983="",I$24=""),"",IF(COUNTIFS('AFA Rates'!$A$5:$A$1004,$A983,'AFA Rates'!$B$5:$B$1004,I$24)&gt;0,"✓",""))</f>
        <v/>
      </c>
      <c r="J983" s="57">
        <f>IF(OR($A983="",J$24=""),"",IF(COUNTIFS('AFA Rates'!$A$5:$A$1004,$A983,'AFA Rates'!$B$5:$B$1004,J$24)&gt;0,"✓",""))</f>
        <v/>
      </c>
      <c r="K983" s="57">
        <f>IF(OR($A983="",K$24=""),"",IF(COUNTIFS('AFA Rates'!$A$5:$A$1004,$A983,'AFA Rates'!$B$5:$B$1004,K$24)&gt;0,"✓",""))</f>
        <v/>
      </c>
      <c r="L983" s="57">
        <f>IF(OR($A983="",L$24=""),"",IF(COUNTIFS('AFA Rates'!$A$5:$A$1004,$A983,'AFA Rates'!$B$5:$B$1004,L$24)&gt;0,"✓",""))</f>
        <v/>
      </c>
      <c r="M983" s="57">
        <f>IF(OR($A983="",M$24=""),"",IF(COUNTIFS('AFA Rates'!$A$5:$A$1004,$A983,'AFA Rates'!$B$5:$B$1004,M$24)&gt;0,"✓",""))</f>
        <v/>
      </c>
    </row>
    <row r="984">
      <c r="A984" s="63">
        <f>IFERROR(INDEX(Firms!$A$5:$A$1004,MATCH(960,Firms!$S$5:$S$1004,0)),"")</f>
        <v/>
      </c>
      <c r="B984" s="57">
        <f>IF($A984="","",INDEX(Firms!$B$5:$B$1004,MATCH(960,Firms!$S$5:$S$1004,0)))</f>
        <v/>
      </c>
      <c r="C984" s="57">
        <f>IF($A984="","",COUNTIF('AFA Rates'!$A$5:$A$1004,$A984))</f>
        <v/>
      </c>
      <c r="D984" s="57">
        <f>IF(OR($A984="",D$24=""),"",IF(COUNTIFS('AFA Rates'!$A$5:$A$1004,$A984,'AFA Rates'!$B$5:$B$1004,D$24)&gt;0,"✓",""))</f>
        <v/>
      </c>
      <c r="E984" s="57">
        <f>IF(OR($A984="",E$24=""),"",IF(COUNTIFS('AFA Rates'!$A$5:$A$1004,$A984,'AFA Rates'!$B$5:$B$1004,E$24)&gt;0,"✓",""))</f>
        <v/>
      </c>
      <c r="F984" s="57">
        <f>IF(OR($A984="",F$24=""),"",IF(COUNTIFS('AFA Rates'!$A$5:$A$1004,$A984,'AFA Rates'!$B$5:$B$1004,F$24)&gt;0,"✓",""))</f>
        <v/>
      </c>
      <c r="G984" s="57">
        <f>IF(OR($A984="",G$24=""),"",IF(COUNTIFS('AFA Rates'!$A$5:$A$1004,$A984,'AFA Rates'!$B$5:$B$1004,G$24)&gt;0,"✓",""))</f>
        <v/>
      </c>
      <c r="H984" s="57">
        <f>IF(OR($A984="",H$24=""),"",IF(COUNTIFS('AFA Rates'!$A$5:$A$1004,$A984,'AFA Rates'!$B$5:$B$1004,H$24)&gt;0,"✓",""))</f>
        <v/>
      </c>
      <c r="I984" s="57">
        <f>IF(OR($A984="",I$24=""),"",IF(COUNTIFS('AFA Rates'!$A$5:$A$1004,$A984,'AFA Rates'!$B$5:$B$1004,I$24)&gt;0,"✓",""))</f>
        <v/>
      </c>
      <c r="J984" s="57">
        <f>IF(OR($A984="",J$24=""),"",IF(COUNTIFS('AFA Rates'!$A$5:$A$1004,$A984,'AFA Rates'!$B$5:$B$1004,J$24)&gt;0,"✓",""))</f>
        <v/>
      </c>
      <c r="K984" s="57">
        <f>IF(OR($A984="",K$24=""),"",IF(COUNTIFS('AFA Rates'!$A$5:$A$1004,$A984,'AFA Rates'!$B$5:$B$1004,K$24)&gt;0,"✓",""))</f>
        <v/>
      </c>
      <c r="L984" s="57">
        <f>IF(OR($A984="",L$24=""),"",IF(COUNTIFS('AFA Rates'!$A$5:$A$1004,$A984,'AFA Rates'!$B$5:$B$1004,L$24)&gt;0,"✓",""))</f>
        <v/>
      </c>
      <c r="M984" s="57">
        <f>IF(OR($A984="",M$24=""),"",IF(COUNTIFS('AFA Rates'!$A$5:$A$1004,$A984,'AFA Rates'!$B$5:$B$1004,M$24)&gt;0,"✓",""))</f>
        <v/>
      </c>
    </row>
    <row r="985">
      <c r="A985" s="63">
        <f>IFERROR(INDEX(Firms!$A$5:$A$1004,MATCH(961,Firms!$S$5:$S$1004,0)),"")</f>
        <v/>
      </c>
      <c r="B985" s="57">
        <f>IF($A985="","",INDEX(Firms!$B$5:$B$1004,MATCH(961,Firms!$S$5:$S$1004,0)))</f>
        <v/>
      </c>
      <c r="C985" s="57">
        <f>IF($A985="","",COUNTIF('AFA Rates'!$A$5:$A$1004,$A985))</f>
        <v/>
      </c>
      <c r="D985" s="57">
        <f>IF(OR($A985="",D$24=""),"",IF(COUNTIFS('AFA Rates'!$A$5:$A$1004,$A985,'AFA Rates'!$B$5:$B$1004,D$24)&gt;0,"✓",""))</f>
        <v/>
      </c>
      <c r="E985" s="57">
        <f>IF(OR($A985="",E$24=""),"",IF(COUNTIFS('AFA Rates'!$A$5:$A$1004,$A985,'AFA Rates'!$B$5:$B$1004,E$24)&gt;0,"✓",""))</f>
        <v/>
      </c>
      <c r="F985" s="57">
        <f>IF(OR($A985="",F$24=""),"",IF(COUNTIFS('AFA Rates'!$A$5:$A$1004,$A985,'AFA Rates'!$B$5:$B$1004,F$24)&gt;0,"✓",""))</f>
        <v/>
      </c>
      <c r="G985" s="57">
        <f>IF(OR($A985="",G$24=""),"",IF(COUNTIFS('AFA Rates'!$A$5:$A$1004,$A985,'AFA Rates'!$B$5:$B$1004,G$24)&gt;0,"✓",""))</f>
        <v/>
      </c>
      <c r="H985" s="57">
        <f>IF(OR($A985="",H$24=""),"",IF(COUNTIFS('AFA Rates'!$A$5:$A$1004,$A985,'AFA Rates'!$B$5:$B$1004,H$24)&gt;0,"✓",""))</f>
        <v/>
      </c>
      <c r="I985" s="57">
        <f>IF(OR($A985="",I$24=""),"",IF(COUNTIFS('AFA Rates'!$A$5:$A$1004,$A985,'AFA Rates'!$B$5:$B$1004,I$24)&gt;0,"✓",""))</f>
        <v/>
      </c>
      <c r="J985" s="57">
        <f>IF(OR($A985="",J$24=""),"",IF(COUNTIFS('AFA Rates'!$A$5:$A$1004,$A985,'AFA Rates'!$B$5:$B$1004,J$24)&gt;0,"✓",""))</f>
        <v/>
      </c>
      <c r="K985" s="57">
        <f>IF(OR($A985="",K$24=""),"",IF(COUNTIFS('AFA Rates'!$A$5:$A$1004,$A985,'AFA Rates'!$B$5:$B$1004,K$24)&gt;0,"✓",""))</f>
        <v/>
      </c>
      <c r="L985" s="57">
        <f>IF(OR($A985="",L$24=""),"",IF(COUNTIFS('AFA Rates'!$A$5:$A$1004,$A985,'AFA Rates'!$B$5:$B$1004,L$24)&gt;0,"✓",""))</f>
        <v/>
      </c>
      <c r="M985" s="57">
        <f>IF(OR($A985="",M$24=""),"",IF(COUNTIFS('AFA Rates'!$A$5:$A$1004,$A985,'AFA Rates'!$B$5:$B$1004,M$24)&gt;0,"✓",""))</f>
        <v/>
      </c>
    </row>
    <row r="986">
      <c r="A986" s="63">
        <f>IFERROR(INDEX(Firms!$A$5:$A$1004,MATCH(962,Firms!$S$5:$S$1004,0)),"")</f>
        <v/>
      </c>
      <c r="B986" s="57">
        <f>IF($A986="","",INDEX(Firms!$B$5:$B$1004,MATCH(962,Firms!$S$5:$S$1004,0)))</f>
        <v/>
      </c>
      <c r="C986" s="57">
        <f>IF($A986="","",COUNTIF('AFA Rates'!$A$5:$A$1004,$A986))</f>
        <v/>
      </c>
      <c r="D986" s="57">
        <f>IF(OR($A986="",D$24=""),"",IF(COUNTIFS('AFA Rates'!$A$5:$A$1004,$A986,'AFA Rates'!$B$5:$B$1004,D$24)&gt;0,"✓",""))</f>
        <v/>
      </c>
      <c r="E986" s="57">
        <f>IF(OR($A986="",E$24=""),"",IF(COUNTIFS('AFA Rates'!$A$5:$A$1004,$A986,'AFA Rates'!$B$5:$B$1004,E$24)&gt;0,"✓",""))</f>
        <v/>
      </c>
      <c r="F986" s="57">
        <f>IF(OR($A986="",F$24=""),"",IF(COUNTIFS('AFA Rates'!$A$5:$A$1004,$A986,'AFA Rates'!$B$5:$B$1004,F$24)&gt;0,"✓",""))</f>
        <v/>
      </c>
      <c r="G986" s="57">
        <f>IF(OR($A986="",G$24=""),"",IF(COUNTIFS('AFA Rates'!$A$5:$A$1004,$A986,'AFA Rates'!$B$5:$B$1004,G$24)&gt;0,"✓",""))</f>
        <v/>
      </c>
      <c r="H986" s="57">
        <f>IF(OR($A986="",H$24=""),"",IF(COUNTIFS('AFA Rates'!$A$5:$A$1004,$A986,'AFA Rates'!$B$5:$B$1004,H$24)&gt;0,"✓",""))</f>
        <v/>
      </c>
      <c r="I986" s="57">
        <f>IF(OR($A986="",I$24=""),"",IF(COUNTIFS('AFA Rates'!$A$5:$A$1004,$A986,'AFA Rates'!$B$5:$B$1004,I$24)&gt;0,"✓",""))</f>
        <v/>
      </c>
      <c r="J986" s="57">
        <f>IF(OR($A986="",J$24=""),"",IF(COUNTIFS('AFA Rates'!$A$5:$A$1004,$A986,'AFA Rates'!$B$5:$B$1004,J$24)&gt;0,"✓",""))</f>
        <v/>
      </c>
      <c r="K986" s="57">
        <f>IF(OR($A986="",K$24=""),"",IF(COUNTIFS('AFA Rates'!$A$5:$A$1004,$A986,'AFA Rates'!$B$5:$B$1004,K$24)&gt;0,"✓",""))</f>
        <v/>
      </c>
      <c r="L986" s="57">
        <f>IF(OR($A986="",L$24=""),"",IF(COUNTIFS('AFA Rates'!$A$5:$A$1004,$A986,'AFA Rates'!$B$5:$B$1004,L$24)&gt;0,"✓",""))</f>
        <v/>
      </c>
      <c r="M986" s="57">
        <f>IF(OR($A986="",M$24=""),"",IF(COUNTIFS('AFA Rates'!$A$5:$A$1004,$A986,'AFA Rates'!$B$5:$B$1004,M$24)&gt;0,"✓",""))</f>
        <v/>
      </c>
    </row>
    <row r="987">
      <c r="A987" s="63">
        <f>IFERROR(INDEX(Firms!$A$5:$A$1004,MATCH(963,Firms!$S$5:$S$1004,0)),"")</f>
        <v/>
      </c>
      <c r="B987" s="57">
        <f>IF($A987="","",INDEX(Firms!$B$5:$B$1004,MATCH(963,Firms!$S$5:$S$1004,0)))</f>
        <v/>
      </c>
      <c r="C987" s="57">
        <f>IF($A987="","",COUNTIF('AFA Rates'!$A$5:$A$1004,$A987))</f>
        <v/>
      </c>
      <c r="D987" s="57">
        <f>IF(OR($A987="",D$24=""),"",IF(COUNTIFS('AFA Rates'!$A$5:$A$1004,$A987,'AFA Rates'!$B$5:$B$1004,D$24)&gt;0,"✓",""))</f>
        <v/>
      </c>
      <c r="E987" s="57">
        <f>IF(OR($A987="",E$24=""),"",IF(COUNTIFS('AFA Rates'!$A$5:$A$1004,$A987,'AFA Rates'!$B$5:$B$1004,E$24)&gt;0,"✓",""))</f>
        <v/>
      </c>
      <c r="F987" s="57">
        <f>IF(OR($A987="",F$24=""),"",IF(COUNTIFS('AFA Rates'!$A$5:$A$1004,$A987,'AFA Rates'!$B$5:$B$1004,F$24)&gt;0,"✓",""))</f>
        <v/>
      </c>
      <c r="G987" s="57">
        <f>IF(OR($A987="",G$24=""),"",IF(COUNTIFS('AFA Rates'!$A$5:$A$1004,$A987,'AFA Rates'!$B$5:$B$1004,G$24)&gt;0,"✓",""))</f>
        <v/>
      </c>
      <c r="H987" s="57">
        <f>IF(OR($A987="",H$24=""),"",IF(COUNTIFS('AFA Rates'!$A$5:$A$1004,$A987,'AFA Rates'!$B$5:$B$1004,H$24)&gt;0,"✓",""))</f>
        <v/>
      </c>
      <c r="I987" s="57">
        <f>IF(OR($A987="",I$24=""),"",IF(COUNTIFS('AFA Rates'!$A$5:$A$1004,$A987,'AFA Rates'!$B$5:$B$1004,I$24)&gt;0,"✓",""))</f>
        <v/>
      </c>
      <c r="J987" s="57">
        <f>IF(OR($A987="",J$24=""),"",IF(COUNTIFS('AFA Rates'!$A$5:$A$1004,$A987,'AFA Rates'!$B$5:$B$1004,J$24)&gt;0,"✓",""))</f>
        <v/>
      </c>
      <c r="K987" s="57">
        <f>IF(OR($A987="",K$24=""),"",IF(COUNTIFS('AFA Rates'!$A$5:$A$1004,$A987,'AFA Rates'!$B$5:$B$1004,K$24)&gt;0,"✓",""))</f>
        <v/>
      </c>
      <c r="L987" s="57">
        <f>IF(OR($A987="",L$24=""),"",IF(COUNTIFS('AFA Rates'!$A$5:$A$1004,$A987,'AFA Rates'!$B$5:$B$1004,L$24)&gt;0,"✓",""))</f>
        <v/>
      </c>
      <c r="M987" s="57">
        <f>IF(OR($A987="",M$24=""),"",IF(COUNTIFS('AFA Rates'!$A$5:$A$1004,$A987,'AFA Rates'!$B$5:$B$1004,M$24)&gt;0,"✓",""))</f>
        <v/>
      </c>
    </row>
    <row r="988">
      <c r="A988" s="63">
        <f>IFERROR(INDEX(Firms!$A$5:$A$1004,MATCH(964,Firms!$S$5:$S$1004,0)),"")</f>
        <v/>
      </c>
      <c r="B988" s="57">
        <f>IF($A988="","",INDEX(Firms!$B$5:$B$1004,MATCH(964,Firms!$S$5:$S$1004,0)))</f>
        <v/>
      </c>
      <c r="C988" s="57">
        <f>IF($A988="","",COUNTIF('AFA Rates'!$A$5:$A$1004,$A988))</f>
        <v/>
      </c>
      <c r="D988" s="57">
        <f>IF(OR($A988="",D$24=""),"",IF(COUNTIFS('AFA Rates'!$A$5:$A$1004,$A988,'AFA Rates'!$B$5:$B$1004,D$24)&gt;0,"✓",""))</f>
        <v/>
      </c>
      <c r="E988" s="57">
        <f>IF(OR($A988="",E$24=""),"",IF(COUNTIFS('AFA Rates'!$A$5:$A$1004,$A988,'AFA Rates'!$B$5:$B$1004,E$24)&gt;0,"✓",""))</f>
        <v/>
      </c>
      <c r="F988" s="57">
        <f>IF(OR($A988="",F$24=""),"",IF(COUNTIFS('AFA Rates'!$A$5:$A$1004,$A988,'AFA Rates'!$B$5:$B$1004,F$24)&gt;0,"✓",""))</f>
        <v/>
      </c>
      <c r="G988" s="57">
        <f>IF(OR($A988="",G$24=""),"",IF(COUNTIFS('AFA Rates'!$A$5:$A$1004,$A988,'AFA Rates'!$B$5:$B$1004,G$24)&gt;0,"✓",""))</f>
        <v/>
      </c>
      <c r="H988" s="57">
        <f>IF(OR($A988="",H$24=""),"",IF(COUNTIFS('AFA Rates'!$A$5:$A$1004,$A988,'AFA Rates'!$B$5:$B$1004,H$24)&gt;0,"✓",""))</f>
        <v/>
      </c>
      <c r="I988" s="57">
        <f>IF(OR($A988="",I$24=""),"",IF(COUNTIFS('AFA Rates'!$A$5:$A$1004,$A988,'AFA Rates'!$B$5:$B$1004,I$24)&gt;0,"✓",""))</f>
        <v/>
      </c>
      <c r="J988" s="57">
        <f>IF(OR($A988="",J$24=""),"",IF(COUNTIFS('AFA Rates'!$A$5:$A$1004,$A988,'AFA Rates'!$B$5:$B$1004,J$24)&gt;0,"✓",""))</f>
        <v/>
      </c>
      <c r="K988" s="57">
        <f>IF(OR($A988="",K$24=""),"",IF(COUNTIFS('AFA Rates'!$A$5:$A$1004,$A988,'AFA Rates'!$B$5:$B$1004,K$24)&gt;0,"✓",""))</f>
        <v/>
      </c>
      <c r="L988" s="57">
        <f>IF(OR($A988="",L$24=""),"",IF(COUNTIFS('AFA Rates'!$A$5:$A$1004,$A988,'AFA Rates'!$B$5:$B$1004,L$24)&gt;0,"✓",""))</f>
        <v/>
      </c>
      <c r="M988" s="57">
        <f>IF(OR($A988="",M$24=""),"",IF(COUNTIFS('AFA Rates'!$A$5:$A$1004,$A988,'AFA Rates'!$B$5:$B$1004,M$24)&gt;0,"✓",""))</f>
        <v/>
      </c>
    </row>
    <row r="989">
      <c r="A989" s="63">
        <f>IFERROR(INDEX(Firms!$A$5:$A$1004,MATCH(965,Firms!$S$5:$S$1004,0)),"")</f>
        <v/>
      </c>
      <c r="B989" s="57">
        <f>IF($A989="","",INDEX(Firms!$B$5:$B$1004,MATCH(965,Firms!$S$5:$S$1004,0)))</f>
        <v/>
      </c>
      <c r="C989" s="57">
        <f>IF($A989="","",COUNTIF('AFA Rates'!$A$5:$A$1004,$A989))</f>
        <v/>
      </c>
      <c r="D989" s="57">
        <f>IF(OR($A989="",D$24=""),"",IF(COUNTIFS('AFA Rates'!$A$5:$A$1004,$A989,'AFA Rates'!$B$5:$B$1004,D$24)&gt;0,"✓",""))</f>
        <v/>
      </c>
      <c r="E989" s="57">
        <f>IF(OR($A989="",E$24=""),"",IF(COUNTIFS('AFA Rates'!$A$5:$A$1004,$A989,'AFA Rates'!$B$5:$B$1004,E$24)&gt;0,"✓",""))</f>
        <v/>
      </c>
      <c r="F989" s="57">
        <f>IF(OR($A989="",F$24=""),"",IF(COUNTIFS('AFA Rates'!$A$5:$A$1004,$A989,'AFA Rates'!$B$5:$B$1004,F$24)&gt;0,"✓",""))</f>
        <v/>
      </c>
      <c r="G989" s="57">
        <f>IF(OR($A989="",G$24=""),"",IF(COUNTIFS('AFA Rates'!$A$5:$A$1004,$A989,'AFA Rates'!$B$5:$B$1004,G$24)&gt;0,"✓",""))</f>
        <v/>
      </c>
      <c r="H989" s="57">
        <f>IF(OR($A989="",H$24=""),"",IF(COUNTIFS('AFA Rates'!$A$5:$A$1004,$A989,'AFA Rates'!$B$5:$B$1004,H$24)&gt;0,"✓",""))</f>
        <v/>
      </c>
      <c r="I989" s="57">
        <f>IF(OR($A989="",I$24=""),"",IF(COUNTIFS('AFA Rates'!$A$5:$A$1004,$A989,'AFA Rates'!$B$5:$B$1004,I$24)&gt;0,"✓",""))</f>
        <v/>
      </c>
      <c r="J989" s="57">
        <f>IF(OR($A989="",J$24=""),"",IF(COUNTIFS('AFA Rates'!$A$5:$A$1004,$A989,'AFA Rates'!$B$5:$B$1004,J$24)&gt;0,"✓",""))</f>
        <v/>
      </c>
      <c r="K989" s="57">
        <f>IF(OR($A989="",K$24=""),"",IF(COUNTIFS('AFA Rates'!$A$5:$A$1004,$A989,'AFA Rates'!$B$5:$B$1004,K$24)&gt;0,"✓",""))</f>
        <v/>
      </c>
      <c r="L989" s="57">
        <f>IF(OR($A989="",L$24=""),"",IF(COUNTIFS('AFA Rates'!$A$5:$A$1004,$A989,'AFA Rates'!$B$5:$B$1004,L$24)&gt;0,"✓",""))</f>
        <v/>
      </c>
      <c r="M989" s="57">
        <f>IF(OR($A989="",M$24=""),"",IF(COUNTIFS('AFA Rates'!$A$5:$A$1004,$A989,'AFA Rates'!$B$5:$B$1004,M$24)&gt;0,"✓",""))</f>
        <v/>
      </c>
    </row>
    <row r="990">
      <c r="A990" s="63">
        <f>IFERROR(INDEX(Firms!$A$5:$A$1004,MATCH(966,Firms!$S$5:$S$1004,0)),"")</f>
        <v/>
      </c>
      <c r="B990" s="57">
        <f>IF($A990="","",INDEX(Firms!$B$5:$B$1004,MATCH(966,Firms!$S$5:$S$1004,0)))</f>
        <v/>
      </c>
      <c r="C990" s="57">
        <f>IF($A990="","",COUNTIF('AFA Rates'!$A$5:$A$1004,$A990))</f>
        <v/>
      </c>
      <c r="D990" s="57">
        <f>IF(OR($A990="",D$24=""),"",IF(COUNTIFS('AFA Rates'!$A$5:$A$1004,$A990,'AFA Rates'!$B$5:$B$1004,D$24)&gt;0,"✓",""))</f>
        <v/>
      </c>
      <c r="E990" s="57">
        <f>IF(OR($A990="",E$24=""),"",IF(COUNTIFS('AFA Rates'!$A$5:$A$1004,$A990,'AFA Rates'!$B$5:$B$1004,E$24)&gt;0,"✓",""))</f>
        <v/>
      </c>
      <c r="F990" s="57">
        <f>IF(OR($A990="",F$24=""),"",IF(COUNTIFS('AFA Rates'!$A$5:$A$1004,$A990,'AFA Rates'!$B$5:$B$1004,F$24)&gt;0,"✓",""))</f>
        <v/>
      </c>
      <c r="G990" s="57">
        <f>IF(OR($A990="",G$24=""),"",IF(COUNTIFS('AFA Rates'!$A$5:$A$1004,$A990,'AFA Rates'!$B$5:$B$1004,G$24)&gt;0,"✓",""))</f>
        <v/>
      </c>
      <c r="H990" s="57">
        <f>IF(OR($A990="",H$24=""),"",IF(COUNTIFS('AFA Rates'!$A$5:$A$1004,$A990,'AFA Rates'!$B$5:$B$1004,H$24)&gt;0,"✓",""))</f>
        <v/>
      </c>
      <c r="I990" s="57">
        <f>IF(OR($A990="",I$24=""),"",IF(COUNTIFS('AFA Rates'!$A$5:$A$1004,$A990,'AFA Rates'!$B$5:$B$1004,I$24)&gt;0,"✓",""))</f>
        <v/>
      </c>
      <c r="J990" s="57">
        <f>IF(OR($A990="",J$24=""),"",IF(COUNTIFS('AFA Rates'!$A$5:$A$1004,$A990,'AFA Rates'!$B$5:$B$1004,J$24)&gt;0,"✓",""))</f>
        <v/>
      </c>
      <c r="K990" s="57">
        <f>IF(OR($A990="",K$24=""),"",IF(COUNTIFS('AFA Rates'!$A$5:$A$1004,$A990,'AFA Rates'!$B$5:$B$1004,K$24)&gt;0,"✓",""))</f>
        <v/>
      </c>
      <c r="L990" s="57">
        <f>IF(OR($A990="",L$24=""),"",IF(COUNTIFS('AFA Rates'!$A$5:$A$1004,$A990,'AFA Rates'!$B$5:$B$1004,L$24)&gt;0,"✓",""))</f>
        <v/>
      </c>
      <c r="M990" s="57">
        <f>IF(OR($A990="",M$24=""),"",IF(COUNTIFS('AFA Rates'!$A$5:$A$1004,$A990,'AFA Rates'!$B$5:$B$1004,M$24)&gt;0,"✓",""))</f>
        <v/>
      </c>
    </row>
    <row r="991">
      <c r="A991" s="63">
        <f>IFERROR(INDEX(Firms!$A$5:$A$1004,MATCH(967,Firms!$S$5:$S$1004,0)),"")</f>
        <v/>
      </c>
      <c r="B991" s="57">
        <f>IF($A991="","",INDEX(Firms!$B$5:$B$1004,MATCH(967,Firms!$S$5:$S$1004,0)))</f>
        <v/>
      </c>
      <c r="C991" s="57">
        <f>IF($A991="","",COUNTIF('AFA Rates'!$A$5:$A$1004,$A991))</f>
        <v/>
      </c>
      <c r="D991" s="57">
        <f>IF(OR($A991="",D$24=""),"",IF(COUNTIFS('AFA Rates'!$A$5:$A$1004,$A991,'AFA Rates'!$B$5:$B$1004,D$24)&gt;0,"✓",""))</f>
        <v/>
      </c>
      <c r="E991" s="57">
        <f>IF(OR($A991="",E$24=""),"",IF(COUNTIFS('AFA Rates'!$A$5:$A$1004,$A991,'AFA Rates'!$B$5:$B$1004,E$24)&gt;0,"✓",""))</f>
        <v/>
      </c>
      <c r="F991" s="57">
        <f>IF(OR($A991="",F$24=""),"",IF(COUNTIFS('AFA Rates'!$A$5:$A$1004,$A991,'AFA Rates'!$B$5:$B$1004,F$24)&gt;0,"✓",""))</f>
        <v/>
      </c>
      <c r="G991" s="57">
        <f>IF(OR($A991="",G$24=""),"",IF(COUNTIFS('AFA Rates'!$A$5:$A$1004,$A991,'AFA Rates'!$B$5:$B$1004,G$24)&gt;0,"✓",""))</f>
        <v/>
      </c>
      <c r="H991" s="57">
        <f>IF(OR($A991="",H$24=""),"",IF(COUNTIFS('AFA Rates'!$A$5:$A$1004,$A991,'AFA Rates'!$B$5:$B$1004,H$24)&gt;0,"✓",""))</f>
        <v/>
      </c>
      <c r="I991" s="57">
        <f>IF(OR($A991="",I$24=""),"",IF(COUNTIFS('AFA Rates'!$A$5:$A$1004,$A991,'AFA Rates'!$B$5:$B$1004,I$24)&gt;0,"✓",""))</f>
        <v/>
      </c>
      <c r="J991" s="57">
        <f>IF(OR($A991="",J$24=""),"",IF(COUNTIFS('AFA Rates'!$A$5:$A$1004,$A991,'AFA Rates'!$B$5:$B$1004,J$24)&gt;0,"✓",""))</f>
        <v/>
      </c>
      <c r="K991" s="57">
        <f>IF(OR($A991="",K$24=""),"",IF(COUNTIFS('AFA Rates'!$A$5:$A$1004,$A991,'AFA Rates'!$B$5:$B$1004,K$24)&gt;0,"✓",""))</f>
        <v/>
      </c>
      <c r="L991" s="57">
        <f>IF(OR($A991="",L$24=""),"",IF(COUNTIFS('AFA Rates'!$A$5:$A$1004,$A991,'AFA Rates'!$B$5:$B$1004,L$24)&gt;0,"✓",""))</f>
        <v/>
      </c>
      <c r="M991" s="57">
        <f>IF(OR($A991="",M$24=""),"",IF(COUNTIFS('AFA Rates'!$A$5:$A$1004,$A991,'AFA Rates'!$B$5:$B$1004,M$24)&gt;0,"✓",""))</f>
        <v/>
      </c>
    </row>
    <row r="992">
      <c r="A992" s="63">
        <f>IFERROR(INDEX(Firms!$A$5:$A$1004,MATCH(968,Firms!$S$5:$S$1004,0)),"")</f>
        <v/>
      </c>
      <c r="B992" s="57">
        <f>IF($A992="","",INDEX(Firms!$B$5:$B$1004,MATCH(968,Firms!$S$5:$S$1004,0)))</f>
        <v/>
      </c>
      <c r="C992" s="57">
        <f>IF($A992="","",COUNTIF('AFA Rates'!$A$5:$A$1004,$A992))</f>
        <v/>
      </c>
      <c r="D992" s="57">
        <f>IF(OR($A992="",D$24=""),"",IF(COUNTIFS('AFA Rates'!$A$5:$A$1004,$A992,'AFA Rates'!$B$5:$B$1004,D$24)&gt;0,"✓",""))</f>
        <v/>
      </c>
      <c r="E992" s="57">
        <f>IF(OR($A992="",E$24=""),"",IF(COUNTIFS('AFA Rates'!$A$5:$A$1004,$A992,'AFA Rates'!$B$5:$B$1004,E$24)&gt;0,"✓",""))</f>
        <v/>
      </c>
      <c r="F992" s="57">
        <f>IF(OR($A992="",F$24=""),"",IF(COUNTIFS('AFA Rates'!$A$5:$A$1004,$A992,'AFA Rates'!$B$5:$B$1004,F$24)&gt;0,"✓",""))</f>
        <v/>
      </c>
      <c r="G992" s="57">
        <f>IF(OR($A992="",G$24=""),"",IF(COUNTIFS('AFA Rates'!$A$5:$A$1004,$A992,'AFA Rates'!$B$5:$B$1004,G$24)&gt;0,"✓",""))</f>
        <v/>
      </c>
      <c r="H992" s="57">
        <f>IF(OR($A992="",H$24=""),"",IF(COUNTIFS('AFA Rates'!$A$5:$A$1004,$A992,'AFA Rates'!$B$5:$B$1004,H$24)&gt;0,"✓",""))</f>
        <v/>
      </c>
      <c r="I992" s="57">
        <f>IF(OR($A992="",I$24=""),"",IF(COUNTIFS('AFA Rates'!$A$5:$A$1004,$A992,'AFA Rates'!$B$5:$B$1004,I$24)&gt;0,"✓",""))</f>
        <v/>
      </c>
      <c r="J992" s="57">
        <f>IF(OR($A992="",J$24=""),"",IF(COUNTIFS('AFA Rates'!$A$5:$A$1004,$A992,'AFA Rates'!$B$5:$B$1004,J$24)&gt;0,"✓",""))</f>
        <v/>
      </c>
      <c r="K992" s="57">
        <f>IF(OR($A992="",K$24=""),"",IF(COUNTIFS('AFA Rates'!$A$5:$A$1004,$A992,'AFA Rates'!$B$5:$B$1004,K$24)&gt;0,"✓",""))</f>
        <v/>
      </c>
      <c r="L992" s="57">
        <f>IF(OR($A992="",L$24=""),"",IF(COUNTIFS('AFA Rates'!$A$5:$A$1004,$A992,'AFA Rates'!$B$5:$B$1004,L$24)&gt;0,"✓",""))</f>
        <v/>
      </c>
      <c r="M992" s="57">
        <f>IF(OR($A992="",M$24=""),"",IF(COUNTIFS('AFA Rates'!$A$5:$A$1004,$A992,'AFA Rates'!$B$5:$B$1004,M$24)&gt;0,"✓",""))</f>
        <v/>
      </c>
    </row>
    <row r="993">
      <c r="A993" s="63">
        <f>IFERROR(INDEX(Firms!$A$5:$A$1004,MATCH(969,Firms!$S$5:$S$1004,0)),"")</f>
        <v/>
      </c>
      <c r="B993" s="57">
        <f>IF($A993="","",INDEX(Firms!$B$5:$B$1004,MATCH(969,Firms!$S$5:$S$1004,0)))</f>
        <v/>
      </c>
      <c r="C993" s="57">
        <f>IF($A993="","",COUNTIF('AFA Rates'!$A$5:$A$1004,$A993))</f>
        <v/>
      </c>
      <c r="D993" s="57">
        <f>IF(OR($A993="",D$24=""),"",IF(COUNTIFS('AFA Rates'!$A$5:$A$1004,$A993,'AFA Rates'!$B$5:$B$1004,D$24)&gt;0,"✓",""))</f>
        <v/>
      </c>
      <c r="E993" s="57">
        <f>IF(OR($A993="",E$24=""),"",IF(COUNTIFS('AFA Rates'!$A$5:$A$1004,$A993,'AFA Rates'!$B$5:$B$1004,E$24)&gt;0,"✓",""))</f>
        <v/>
      </c>
      <c r="F993" s="57">
        <f>IF(OR($A993="",F$24=""),"",IF(COUNTIFS('AFA Rates'!$A$5:$A$1004,$A993,'AFA Rates'!$B$5:$B$1004,F$24)&gt;0,"✓",""))</f>
        <v/>
      </c>
      <c r="G993" s="57">
        <f>IF(OR($A993="",G$24=""),"",IF(COUNTIFS('AFA Rates'!$A$5:$A$1004,$A993,'AFA Rates'!$B$5:$B$1004,G$24)&gt;0,"✓",""))</f>
        <v/>
      </c>
      <c r="H993" s="57">
        <f>IF(OR($A993="",H$24=""),"",IF(COUNTIFS('AFA Rates'!$A$5:$A$1004,$A993,'AFA Rates'!$B$5:$B$1004,H$24)&gt;0,"✓",""))</f>
        <v/>
      </c>
      <c r="I993" s="57">
        <f>IF(OR($A993="",I$24=""),"",IF(COUNTIFS('AFA Rates'!$A$5:$A$1004,$A993,'AFA Rates'!$B$5:$B$1004,I$24)&gt;0,"✓",""))</f>
        <v/>
      </c>
      <c r="J993" s="57">
        <f>IF(OR($A993="",J$24=""),"",IF(COUNTIFS('AFA Rates'!$A$5:$A$1004,$A993,'AFA Rates'!$B$5:$B$1004,J$24)&gt;0,"✓",""))</f>
        <v/>
      </c>
      <c r="K993" s="57">
        <f>IF(OR($A993="",K$24=""),"",IF(COUNTIFS('AFA Rates'!$A$5:$A$1004,$A993,'AFA Rates'!$B$5:$B$1004,K$24)&gt;0,"✓",""))</f>
        <v/>
      </c>
      <c r="L993" s="57">
        <f>IF(OR($A993="",L$24=""),"",IF(COUNTIFS('AFA Rates'!$A$5:$A$1004,$A993,'AFA Rates'!$B$5:$B$1004,L$24)&gt;0,"✓",""))</f>
        <v/>
      </c>
      <c r="M993" s="57">
        <f>IF(OR($A993="",M$24=""),"",IF(COUNTIFS('AFA Rates'!$A$5:$A$1004,$A993,'AFA Rates'!$B$5:$B$1004,M$24)&gt;0,"✓",""))</f>
        <v/>
      </c>
    </row>
    <row r="994">
      <c r="A994" s="63">
        <f>IFERROR(INDEX(Firms!$A$5:$A$1004,MATCH(970,Firms!$S$5:$S$1004,0)),"")</f>
        <v/>
      </c>
      <c r="B994" s="57">
        <f>IF($A994="","",INDEX(Firms!$B$5:$B$1004,MATCH(970,Firms!$S$5:$S$1004,0)))</f>
        <v/>
      </c>
      <c r="C994" s="57">
        <f>IF($A994="","",COUNTIF('AFA Rates'!$A$5:$A$1004,$A994))</f>
        <v/>
      </c>
      <c r="D994" s="57">
        <f>IF(OR($A994="",D$24=""),"",IF(COUNTIFS('AFA Rates'!$A$5:$A$1004,$A994,'AFA Rates'!$B$5:$B$1004,D$24)&gt;0,"✓",""))</f>
        <v/>
      </c>
      <c r="E994" s="57">
        <f>IF(OR($A994="",E$24=""),"",IF(COUNTIFS('AFA Rates'!$A$5:$A$1004,$A994,'AFA Rates'!$B$5:$B$1004,E$24)&gt;0,"✓",""))</f>
        <v/>
      </c>
      <c r="F994" s="57">
        <f>IF(OR($A994="",F$24=""),"",IF(COUNTIFS('AFA Rates'!$A$5:$A$1004,$A994,'AFA Rates'!$B$5:$B$1004,F$24)&gt;0,"✓",""))</f>
        <v/>
      </c>
      <c r="G994" s="57">
        <f>IF(OR($A994="",G$24=""),"",IF(COUNTIFS('AFA Rates'!$A$5:$A$1004,$A994,'AFA Rates'!$B$5:$B$1004,G$24)&gt;0,"✓",""))</f>
        <v/>
      </c>
      <c r="H994" s="57">
        <f>IF(OR($A994="",H$24=""),"",IF(COUNTIFS('AFA Rates'!$A$5:$A$1004,$A994,'AFA Rates'!$B$5:$B$1004,H$24)&gt;0,"✓",""))</f>
        <v/>
      </c>
      <c r="I994" s="57">
        <f>IF(OR($A994="",I$24=""),"",IF(COUNTIFS('AFA Rates'!$A$5:$A$1004,$A994,'AFA Rates'!$B$5:$B$1004,I$24)&gt;0,"✓",""))</f>
        <v/>
      </c>
      <c r="J994" s="57">
        <f>IF(OR($A994="",J$24=""),"",IF(COUNTIFS('AFA Rates'!$A$5:$A$1004,$A994,'AFA Rates'!$B$5:$B$1004,J$24)&gt;0,"✓",""))</f>
        <v/>
      </c>
      <c r="K994" s="57">
        <f>IF(OR($A994="",K$24=""),"",IF(COUNTIFS('AFA Rates'!$A$5:$A$1004,$A994,'AFA Rates'!$B$5:$B$1004,K$24)&gt;0,"✓",""))</f>
        <v/>
      </c>
      <c r="L994" s="57">
        <f>IF(OR($A994="",L$24=""),"",IF(COUNTIFS('AFA Rates'!$A$5:$A$1004,$A994,'AFA Rates'!$B$5:$B$1004,L$24)&gt;0,"✓",""))</f>
        <v/>
      </c>
      <c r="M994" s="57">
        <f>IF(OR($A994="",M$24=""),"",IF(COUNTIFS('AFA Rates'!$A$5:$A$1004,$A994,'AFA Rates'!$B$5:$B$1004,M$24)&gt;0,"✓",""))</f>
        <v/>
      </c>
    </row>
    <row r="995">
      <c r="A995" s="63">
        <f>IFERROR(INDEX(Firms!$A$5:$A$1004,MATCH(971,Firms!$S$5:$S$1004,0)),"")</f>
        <v/>
      </c>
      <c r="B995" s="57">
        <f>IF($A995="","",INDEX(Firms!$B$5:$B$1004,MATCH(971,Firms!$S$5:$S$1004,0)))</f>
        <v/>
      </c>
      <c r="C995" s="57">
        <f>IF($A995="","",COUNTIF('AFA Rates'!$A$5:$A$1004,$A995))</f>
        <v/>
      </c>
      <c r="D995" s="57">
        <f>IF(OR($A995="",D$24=""),"",IF(COUNTIFS('AFA Rates'!$A$5:$A$1004,$A995,'AFA Rates'!$B$5:$B$1004,D$24)&gt;0,"✓",""))</f>
        <v/>
      </c>
      <c r="E995" s="57">
        <f>IF(OR($A995="",E$24=""),"",IF(COUNTIFS('AFA Rates'!$A$5:$A$1004,$A995,'AFA Rates'!$B$5:$B$1004,E$24)&gt;0,"✓",""))</f>
        <v/>
      </c>
      <c r="F995" s="57">
        <f>IF(OR($A995="",F$24=""),"",IF(COUNTIFS('AFA Rates'!$A$5:$A$1004,$A995,'AFA Rates'!$B$5:$B$1004,F$24)&gt;0,"✓",""))</f>
        <v/>
      </c>
      <c r="G995" s="57">
        <f>IF(OR($A995="",G$24=""),"",IF(COUNTIFS('AFA Rates'!$A$5:$A$1004,$A995,'AFA Rates'!$B$5:$B$1004,G$24)&gt;0,"✓",""))</f>
        <v/>
      </c>
      <c r="H995" s="57">
        <f>IF(OR($A995="",H$24=""),"",IF(COUNTIFS('AFA Rates'!$A$5:$A$1004,$A995,'AFA Rates'!$B$5:$B$1004,H$24)&gt;0,"✓",""))</f>
        <v/>
      </c>
      <c r="I995" s="57">
        <f>IF(OR($A995="",I$24=""),"",IF(COUNTIFS('AFA Rates'!$A$5:$A$1004,$A995,'AFA Rates'!$B$5:$B$1004,I$24)&gt;0,"✓",""))</f>
        <v/>
      </c>
      <c r="J995" s="57">
        <f>IF(OR($A995="",J$24=""),"",IF(COUNTIFS('AFA Rates'!$A$5:$A$1004,$A995,'AFA Rates'!$B$5:$B$1004,J$24)&gt;0,"✓",""))</f>
        <v/>
      </c>
      <c r="K995" s="57">
        <f>IF(OR($A995="",K$24=""),"",IF(COUNTIFS('AFA Rates'!$A$5:$A$1004,$A995,'AFA Rates'!$B$5:$B$1004,K$24)&gt;0,"✓",""))</f>
        <v/>
      </c>
      <c r="L995" s="57">
        <f>IF(OR($A995="",L$24=""),"",IF(COUNTIFS('AFA Rates'!$A$5:$A$1004,$A995,'AFA Rates'!$B$5:$B$1004,L$24)&gt;0,"✓",""))</f>
        <v/>
      </c>
      <c r="M995" s="57">
        <f>IF(OR($A995="",M$24=""),"",IF(COUNTIFS('AFA Rates'!$A$5:$A$1004,$A995,'AFA Rates'!$B$5:$B$1004,M$24)&gt;0,"✓",""))</f>
        <v/>
      </c>
    </row>
    <row r="996">
      <c r="A996" s="63">
        <f>IFERROR(INDEX(Firms!$A$5:$A$1004,MATCH(972,Firms!$S$5:$S$1004,0)),"")</f>
        <v/>
      </c>
      <c r="B996" s="57">
        <f>IF($A996="","",INDEX(Firms!$B$5:$B$1004,MATCH(972,Firms!$S$5:$S$1004,0)))</f>
        <v/>
      </c>
      <c r="C996" s="57">
        <f>IF($A996="","",COUNTIF('AFA Rates'!$A$5:$A$1004,$A996))</f>
        <v/>
      </c>
      <c r="D996" s="57">
        <f>IF(OR($A996="",D$24=""),"",IF(COUNTIFS('AFA Rates'!$A$5:$A$1004,$A996,'AFA Rates'!$B$5:$B$1004,D$24)&gt;0,"✓",""))</f>
        <v/>
      </c>
      <c r="E996" s="57">
        <f>IF(OR($A996="",E$24=""),"",IF(COUNTIFS('AFA Rates'!$A$5:$A$1004,$A996,'AFA Rates'!$B$5:$B$1004,E$24)&gt;0,"✓",""))</f>
        <v/>
      </c>
      <c r="F996" s="57">
        <f>IF(OR($A996="",F$24=""),"",IF(COUNTIFS('AFA Rates'!$A$5:$A$1004,$A996,'AFA Rates'!$B$5:$B$1004,F$24)&gt;0,"✓",""))</f>
        <v/>
      </c>
      <c r="G996" s="57">
        <f>IF(OR($A996="",G$24=""),"",IF(COUNTIFS('AFA Rates'!$A$5:$A$1004,$A996,'AFA Rates'!$B$5:$B$1004,G$24)&gt;0,"✓",""))</f>
        <v/>
      </c>
      <c r="H996" s="57">
        <f>IF(OR($A996="",H$24=""),"",IF(COUNTIFS('AFA Rates'!$A$5:$A$1004,$A996,'AFA Rates'!$B$5:$B$1004,H$24)&gt;0,"✓",""))</f>
        <v/>
      </c>
      <c r="I996" s="57">
        <f>IF(OR($A996="",I$24=""),"",IF(COUNTIFS('AFA Rates'!$A$5:$A$1004,$A996,'AFA Rates'!$B$5:$B$1004,I$24)&gt;0,"✓",""))</f>
        <v/>
      </c>
      <c r="J996" s="57">
        <f>IF(OR($A996="",J$24=""),"",IF(COUNTIFS('AFA Rates'!$A$5:$A$1004,$A996,'AFA Rates'!$B$5:$B$1004,J$24)&gt;0,"✓",""))</f>
        <v/>
      </c>
      <c r="K996" s="57">
        <f>IF(OR($A996="",K$24=""),"",IF(COUNTIFS('AFA Rates'!$A$5:$A$1004,$A996,'AFA Rates'!$B$5:$B$1004,K$24)&gt;0,"✓",""))</f>
        <v/>
      </c>
      <c r="L996" s="57">
        <f>IF(OR($A996="",L$24=""),"",IF(COUNTIFS('AFA Rates'!$A$5:$A$1004,$A996,'AFA Rates'!$B$5:$B$1004,L$24)&gt;0,"✓",""))</f>
        <v/>
      </c>
      <c r="M996" s="57">
        <f>IF(OR($A996="",M$24=""),"",IF(COUNTIFS('AFA Rates'!$A$5:$A$1004,$A996,'AFA Rates'!$B$5:$B$1004,M$24)&gt;0,"✓",""))</f>
        <v/>
      </c>
    </row>
    <row r="997">
      <c r="A997" s="63">
        <f>IFERROR(INDEX(Firms!$A$5:$A$1004,MATCH(973,Firms!$S$5:$S$1004,0)),"")</f>
        <v/>
      </c>
      <c r="B997" s="57">
        <f>IF($A997="","",INDEX(Firms!$B$5:$B$1004,MATCH(973,Firms!$S$5:$S$1004,0)))</f>
        <v/>
      </c>
      <c r="C997" s="57">
        <f>IF($A997="","",COUNTIF('AFA Rates'!$A$5:$A$1004,$A997))</f>
        <v/>
      </c>
      <c r="D997" s="57">
        <f>IF(OR($A997="",D$24=""),"",IF(COUNTIFS('AFA Rates'!$A$5:$A$1004,$A997,'AFA Rates'!$B$5:$B$1004,D$24)&gt;0,"✓",""))</f>
        <v/>
      </c>
      <c r="E997" s="57">
        <f>IF(OR($A997="",E$24=""),"",IF(COUNTIFS('AFA Rates'!$A$5:$A$1004,$A997,'AFA Rates'!$B$5:$B$1004,E$24)&gt;0,"✓",""))</f>
        <v/>
      </c>
      <c r="F997" s="57">
        <f>IF(OR($A997="",F$24=""),"",IF(COUNTIFS('AFA Rates'!$A$5:$A$1004,$A997,'AFA Rates'!$B$5:$B$1004,F$24)&gt;0,"✓",""))</f>
        <v/>
      </c>
      <c r="G997" s="57">
        <f>IF(OR($A997="",G$24=""),"",IF(COUNTIFS('AFA Rates'!$A$5:$A$1004,$A997,'AFA Rates'!$B$5:$B$1004,G$24)&gt;0,"✓",""))</f>
        <v/>
      </c>
      <c r="H997" s="57">
        <f>IF(OR($A997="",H$24=""),"",IF(COUNTIFS('AFA Rates'!$A$5:$A$1004,$A997,'AFA Rates'!$B$5:$B$1004,H$24)&gt;0,"✓",""))</f>
        <v/>
      </c>
      <c r="I997" s="57">
        <f>IF(OR($A997="",I$24=""),"",IF(COUNTIFS('AFA Rates'!$A$5:$A$1004,$A997,'AFA Rates'!$B$5:$B$1004,I$24)&gt;0,"✓",""))</f>
        <v/>
      </c>
      <c r="J997" s="57">
        <f>IF(OR($A997="",J$24=""),"",IF(COUNTIFS('AFA Rates'!$A$5:$A$1004,$A997,'AFA Rates'!$B$5:$B$1004,J$24)&gt;0,"✓",""))</f>
        <v/>
      </c>
      <c r="K997" s="57">
        <f>IF(OR($A997="",K$24=""),"",IF(COUNTIFS('AFA Rates'!$A$5:$A$1004,$A997,'AFA Rates'!$B$5:$B$1004,K$24)&gt;0,"✓",""))</f>
        <v/>
      </c>
      <c r="L997" s="57">
        <f>IF(OR($A997="",L$24=""),"",IF(COUNTIFS('AFA Rates'!$A$5:$A$1004,$A997,'AFA Rates'!$B$5:$B$1004,L$24)&gt;0,"✓",""))</f>
        <v/>
      </c>
      <c r="M997" s="57">
        <f>IF(OR($A997="",M$24=""),"",IF(COUNTIFS('AFA Rates'!$A$5:$A$1004,$A997,'AFA Rates'!$B$5:$B$1004,M$24)&gt;0,"✓",""))</f>
        <v/>
      </c>
    </row>
    <row r="998">
      <c r="A998" s="63">
        <f>IFERROR(INDEX(Firms!$A$5:$A$1004,MATCH(974,Firms!$S$5:$S$1004,0)),"")</f>
        <v/>
      </c>
      <c r="B998" s="57">
        <f>IF($A998="","",INDEX(Firms!$B$5:$B$1004,MATCH(974,Firms!$S$5:$S$1004,0)))</f>
        <v/>
      </c>
      <c r="C998" s="57">
        <f>IF($A998="","",COUNTIF('AFA Rates'!$A$5:$A$1004,$A998))</f>
        <v/>
      </c>
      <c r="D998" s="57">
        <f>IF(OR($A998="",D$24=""),"",IF(COUNTIFS('AFA Rates'!$A$5:$A$1004,$A998,'AFA Rates'!$B$5:$B$1004,D$24)&gt;0,"✓",""))</f>
        <v/>
      </c>
      <c r="E998" s="57">
        <f>IF(OR($A998="",E$24=""),"",IF(COUNTIFS('AFA Rates'!$A$5:$A$1004,$A998,'AFA Rates'!$B$5:$B$1004,E$24)&gt;0,"✓",""))</f>
        <v/>
      </c>
      <c r="F998" s="57">
        <f>IF(OR($A998="",F$24=""),"",IF(COUNTIFS('AFA Rates'!$A$5:$A$1004,$A998,'AFA Rates'!$B$5:$B$1004,F$24)&gt;0,"✓",""))</f>
        <v/>
      </c>
      <c r="G998" s="57">
        <f>IF(OR($A998="",G$24=""),"",IF(COUNTIFS('AFA Rates'!$A$5:$A$1004,$A998,'AFA Rates'!$B$5:$B$1004,G$24)&gt;0,"✓",""))</f>
        <v/>
      </c>
      <c r="H998" s="57">
        <f>IF(OR($A998="",H$24=""),"",IF(COUNTIFS('AFA Rates'!$A$5:$A$1004,$A998,'AFA Rates'!$B$5:$B$1004,H$24)&gt;0,"✓",""))</f>
        <v/>
      </c>
      <c r="I998" s="57">
        <f>IF(OR($A998="",I$24=""),"",IF(COUNTIFS('AFA Rates'!$A$5:$A$1004,$A998,'AFA Rates'!$B$5:$B$1004,I$24)&gt;0,"✓",""))</f>
        <v/>
      </c>
      <c r="J998" s="57">
        <f>IF(OR($A998="",J$24=""),"",IF(COUNTIFS('AFA Rates'!$A$5:$A$1004,$A998,'AFA Rates'!$B$5:$B$1004,J$24)&gt;0,"✓",""))</f>
        <v/>
      </c>
      <c r="K998" s="57">
        <f>IF(OR($A998="",K$24=""),"",IF(COUNTIFS('AFA Rates'!$A$5:$A$1004,$A998,'AFA Rates'!$B$5:$B$1004,K$24)&gt;0,"✓",""))</f>
        <v/>
      </c>
      <c r="L998" s="57">
        <f>IF(OR($A998="",L$24=""),"",IF(COUNTIFS('AFA Rates'!$A$5:$A$1004,$A998,'AFA Rates'!$B$5:$B$1004,L$24)&gt;0,"✓",""))</f>
        <v/>
      </c>
      <c r="M998" s="57">
        <f>IF(OR($A998="",M$24=""),"",IF(COUNTIFS('AFA Rates'!$A$5:$A$1004,$A998,'AFA Rates'!$B$5:$B$1004,M$24)&gt;0,"✓",""))</f>
        <v/>
      </c>
    </row>
    <row r="999">
      <c r="A999" s="63">
        <f>IFERROR(INDEX(Firms!$A$5:$A$1004,MATCH(975,Firms!$S$5:$S$1004,0)),"")</f>
        <v/>
      </c>
      <c r="B999" s="57">
        <f>IF($A999="","",INDEX(Firms!$B$5:$B$1004,MATCH(975,Firms!$S$5:$S$1004,0)))</f>
        <v/>
      </c>
      <c r="C999" s="57">
        <f>IF($A999="","",COUNTIF('AFA Rates'!$A$5:$A$1004,$A999))</f>
        <v/>
      </c>
      <c r="D999" s="57">
        <f>IF(OR($A999="",D$24=""),"",IF(COUNTIFS('AFA Rates'!$A$5:$A$1004,$A999,'AFA Rates'!$B$5:$B$1004,D$24)&gt;0,"✓",""))</f>
        <v/>
      </c>
      <c r="E999" s="57">
        <f>IF(OR($A999="",E$24=""),"",IF(COUNTIFS('AFA Rates'!$A$5:$A$1004,$A999,'AFA Rates'!$B$5:$B$1004,E$24)&gt;0,"✓",""))</f>
        <v/>
      </c>
      <c r="F999" s="57">
        <f>IF(OR($A999="",F$24=""),"",IF(COUNTIFS('AFA Rates'!$A$5:$A$1004,$A999,'AFA Rates'!$B$5:$B$1004,F$24)&gt;0,"✓",""))</f>
        <v/>
      </c>
      <c r="G999" s="57">
        <f>IF(OR($A999="",G$24=""),"",IF(COUNTIFS('AFA Rates'!$A$5:$A$1004,$A999,'AFA Rates'!$B$5:$B$1004,G$24)&gt;0,"✓",""))</f>
        <v/>
      </c>
      <c r="H999" s="57">
        <f>IF(OR($A999="",H$24=""),"",IF(COUNTIFS('AFA Rates'!$A$5:$A$1004,$A999,'AFA Rates'!$B$5:$B$1004,H$24)&gt;0,"✓",""))</f>
        <v/>
      </c>
      <c r="I999" s="57">
        <f>IF(OR($A999="",I$24=""),"",IF(COUNTIFS('AFA Rates'!$A$5:$A$1004,$A999,'AFA Rates'!$B$5:$B$1004,I$24)&gt;0,"✓",""))</f>
        <v/>
      </c>
      <c r="J999" s="57">
        <f>IF(OR($A999="",J$24=""),"",IF(COUNTIFS('AFA Rates'!$A$5:$A$1004,$A999,'AFA Rates'!$B$5:$B$1004,J$24)&gt;0,"✓",""))</f>
        <v/>
      </c>
      <c r="K999" s="57">
        <f>IF(OR($A999="",K$24=""),"",IF(COUNTIFS('AFA Rates'!$A$5:$A$1004,$A999,'AFA Rates'!$B$5:$B$1004,K$24)&gt;0,"✓",""))</f>
        <v/>
      </c>
      <c r="L999" s="57">
        <f>IF(OR($A999="",L$24=""),"",IF(COUNTIFS('AFA Rates'!$A$5:$A$1004,$A999,'AFA Rates'!$B$5:$B$1004,L$24)&gt;0,"✓",""))</f>
        <v/>
      </c>
      <c r="M999" s="57">
        <f>IF(OR($A999="",M$24=""),"",IF(COUNTIFS('AFA Rates'!$A$5:$A$1004,$A999,'AFA Rates'!$B$5:$B$1004,M$24)&gt;0,"✓",""))</f>
        <v/>
      </c>
    </row>
    <row r="1000">
      <c r="A1000" s="63">
        <f>IFERROR(INDEX(Firms!$A$5:$A$1004,MATCH(976,Firms!$S$5:$S$1004,0)),"")</f>
        <v/>
      </c>
      <c r="B1000" s="57">
        <f>IF($A1000="","",INDEX(Firms!$B$5:$B$1004,MATCH(976,Firms!$S$5:$S$1004,0)))</f>
        <v/>
      </c>
      <c r="C1000" s="57">
        <f>IF($A1000="","",COUNTIF('AFA Rates'!$A$5:$A$1004,$A1000))</f>
        <v/>
      </c>
      <c r="D1000" s="57">
        <f>IF(OR($A1000="",D$24=""),"",IF(COUNTIFS('AFA Rates'!$A$5:$A$1004,$A1000,'AFA Rates'!$B$5:$B$1004,D$24)&gt;0,"✓",""))</f>
        <v/>
      </c>
      <c r="E1000" s="57">
        <f>IF(OR($A1000="",E$24=""),"",IF(COUNTIFS('AFA Rates'!$A$5:$A$1004,$A1000,'AFA Rates'!$B$5:$B$1004,E$24)&gt;0,"✓",""))</f>
        <v/>
      </c>
      <c r="F1000" s="57">
        <f>IF(OR($A1000="",F$24=""),"",IF(COUNTIFS('AFA Rates'!$A$5:$A$1004,$A1000,'AFA Rates'!$B$5:$B$1004,F$24)&gt;0,"✓",""))</f>
        <v/>
      </c>
      <c r="G1000" s="57">
        <f>IF(OR($A1000="",G$24=""),"",IF(COUNTIFS('AFA Rates'!$A$5:$A$1004,$A1000,'AFA Rates'!$B$5:$B$1004,G$24)&gt;0,"✓",""))</f>
        <v/>
      </c>
      <c r="H1000" s="57">
        <f>IF(OR($A1000="",H$24=""),"",IF(COUNTIFS('AFA Rates'!$A$5:$A$1004,$A1000,'AFA Rates'!$B$5:$B$1004,H$24)&gt;0,"✓",""))</f>
        <v/>
      </c>
      <c r="I1000" s="57">
        <f>IF(OR($A1000="",I$24=""),"",IF(COUNTIFS('AFA Rates'!$A$5:$A$1004,$A1000,'AFA Rates'!$B$5:$B$1004,I$24)&gt;0,"✓",""))</f>
        <v/>
      </c>
      <c r="J1000" s="57">
        <f>IF(OR($A1000="",J$24=""),"",IF(COUNTIFS('AFA Rates'!$A$5:$A$1004,$A1000,'AFA Rates'!$B$5:$B$1004,J$24)&gt;0,"✓",""))</f>
        <v/>
      </c>
      <c r="K1000" s="57">
        <f>IF(OR($A1000="",K$24=""),"",IF(COUNTIFS('AFA Rates'!$A$5:$A$1004,$A1000,'AFA Rates'!$B$5:$B$1004,K$24)&gt;0,"✓",""))</f>
        <v/>
      </c>
      <c r="L1000" s="57">
        <f>IF(OR($A1000="",L$24=""),"",IF(COUNTIFS('AFA Rates'!$A$5:$A$1004,$A1000,'AFA Rates'!$B$5:$B$1004,L$24)&gt;0,"✓",""))</f>
        <v/>
      </c>
      <c r="M1000" s="57">
        <f>IF(OR($A1000="",M$24=""),"",IF(COUNTIFS('AFA Rates'!$A$5:$A$1004,$A1000,'AFA Rates'!$B$5:$B$1004,M$24)&gt;0,"✓",""))</f>
        <v/>
      </c>
    </row>
    <row r="1001">
      <c r="A1001" s="63">
        <f>IFERROR(INDEX(Firms!$A$5:$A$1004,MATCH(977,Firms!$S$5:$S$1004,0)),"")</f>
        <v/>
      </c>
      <c r="B1001" s="57">
        <f>IF($A1001="","",INDEX(Firms!$B$5:$B$1004,MATCH(977,Firms!$S$5:$S$1004,0)))</f>
        <v/>
      </c>
      <c r="C1001" s="57">
        <f>IF($A1001="","",COUNTIF('AFA Rates'!$A$5:$A$1004,$A1001))</f>
        <v/>
      </c>
      <c r="D1001" s="57">
        <f>IF(OR($A1001="",D$24=""),"",IF(COUNTIFS('AFA Rates'!$A$5:$A$1004,$A1001,'AFA Rates'!$B$5:$B$1004,D$24)&gt;0,"✓",""))</f>
        <v/>
      </c>
      <c r="E1001" s="57">
        <f>IF(OR($A1001="",E$24=""),"",IF(COUNTIFS('AFA Rates'!$A$5:$A$1004,$A1001,'AFA Rates'!$B$5:$B$1004,E$24)&gt;0,"✓",""))</f>
        <v/>
      </c>
      <c r="F1001" s="57">
        <f>IF(OR($A1001="",F$24=""),"",IF(COUNTIFS('AFA Rates'!$A$5:$A$1004,$A1001,'AFA Rates'!$B$5:$B$1004,F$24)&gt;0,"✓",""))</f>
        <v/>
      </c>
      <c r="G1001" s="57">
        <f>IF(OR($A1001="",G$24=""),"",IF(COUNTIFS('AFA Rates'!$A$5:$A$1004,$A1001,'AFA Rates'!$B$5:$B$1004,G$24)&gt;0,"✓",""))</f>
        <v/>
      </c>
      <c r="H1001" s="57">
        <f>IF(OR($A1001="",H$24=""),"",IF(COUNTIFS('AFA Rates'!$A$5:$A$1004,$A1001,'AFA Rates'!$B$5:$B$1004,H$24)&gt;0,"✓",""))</f>
        <v/>
      </c>
      <c r="I1001" s="57">
        <f>IF(OR($A1001="",I$24=""),"",IF(COUNTIFS('AFA Rates'!$A$5:$A$1004,$A1001,'AFA Rates'!$B$5:$B$1004,I$24)&gt;0,"✓",""))</f>
        <v/>
      </c>
      <c r="J1001" s="57">
        <f>IF(OR($A1001="",J$24=""),"",IF(COUNTIFS('AFA Rates'!$A$5:$A$1004,$A1001,'AFA Rates'!$B$5:$B$1004,J$24)&gt;0,"✓",""))</f>
        <v/>
      </c>
      <c r="K1001" s="57">
        <f>IF(OR($A1001="",K$24=""),"",IF(COUNTIFS('AFA Rates'!$A$5:$A$1004,$A1001,'AFA Rates'!$B$5:$B$1004,K$24)&gt;0,"✓",""))</f>
        <v/>
      </c>
      <c r="L1001" s="57">
        <f>IF(OR($A1001="",L$24=""),"",IF(COUNTIFS('AFA Rates'!$A$5:$A$1004,$A1001,'AFA Rates'!$B$5:$B$1004,L$24)&gt;0,"✓",""))</f>
        <v/>
      </c>
      <c r="M1001" s="57">
        <f>IF(OR($A1001="",M$24=""),"",IF(COUNTIFS('AFA Rates'!$A$5:$A$1004,$A1001,'AFA Rates'!$B$5:$B$1004,M$24)&gt;0,"✓",""))</f>
        <v/>
      </c>
    </row>
    <row r="1002">
      <c r="A1002" s="63">
        <f>IFERROR(INDEX(Firms!$A$5:$A$1004,MATCH(978,Firms!$S$5:$S$1004,0)),"")</f>
        <v/>
      </c>
      <c r="B1002" s="57">
        <f>IF($A1002="","",INDEX(Firms!$B$5:$B$1004,MATCH(978,Firms!$S$5:$S$1004,0)))</f>
        <v/>
      </c>
      <c r="C1002" s="57">
        <f>IF($A1002="","",COUNTIF('AFA Rates'!$A$5:$A$1004,$A1002))</f>
        <v/>
      </c>
      <c r="D1002" s="57">
        <f>IF(OR($A1002="",D$24=""),"",IF(COUNTIFS('AFA Rates'!$A$5:$A$1004,$A1002,'AFA Rates'!$B$5:$B$1004,D$24)&gt;0,"✓",""))</f>
        <v/>
      </c>
      <c r="E1002" s="57">
        <f>IF(OR($A1002="",E$24=""),"",IF(COUNTIFS('AFA Rates'!$A$5:$A$1004,$A1002,'AFA Rates'!$B$5:$B$1004,E$24)&gt;0,"✓",""))</f>
        <v/>
      </c>
      <c r="F1002" s="57">
        <f>IF(OR($A1002="",F$24=""),"",IF(COUNTIFS('AFA Rates'!$A$5:$A$1004,$A1002,'AFA Rates'!$B$5:$B$1004,F$24)&gt;0,"✓",""))</f>
        <v/>
      </c>
      <c r="G1002" s="57">
        <f>IF(OR($A1002="",G$24=""),"",IF(COUNTIFS('AFA Rates'!$A$5:$A$1004,$A1002,'AFA Rates'!$B$5:$B$1004,G$24)&gt;0,"✓",""))</f>
        <v/>
      </c>
      <c r="H1002" s="57">
        <f>IF(OR($A1002="",H$24=""),"",IF(COUNTIFS('AFA Rates'!$A$5:$A$1004,$A1002,'AFA Rates'!$B$5:$B$1004,H$24)&gt;0,"✓",""))</f>
        <v/>
      </c>
      <c r="I1002" s="57">
        <f>IF(OR($A1002="",I$24=""),"",IF(COUNTIFS('AFA Rates'!$A$5:$A$1004,$A1002,'AFA Rates'!$B$5:$B$1004,I$24)&gt;0,"✓",""))</f>
        <v/>
      </c>
      <c r="J1002" s="57">
        <f>IF(OR($A1002="",J$24=""),"",IF(COUNTIFS('AFA Rates'!$A$5:$A$1004,$A1002,'AFA Rates'!$B$5:$B$1004,J$24)&gt;0,"✓",""))</f>
        <v/>
      </c>
      <c r="K1002" s="57">
        <f>IF(OR($A1002="",K$24=""),"",IF(COUNTIFS('AFA Rates'!$A$5:$A$1004,$A1002,'AFA Rates'!$B$5:$B$1004,K$24)&gt;0,"✓",""))</f>
        <v/>
      </c>
      <c r="L1002" s="57">
        <f>IF(OR($A1002="",L$24=""),"",IF(COUNTIFS('AFA Rates'!$A$5:$A$1004,$A1002,'AFA Rates'!$B$5:$B$1004,L$24)&gt;0,"✓",""))</f>
        <v/>
      </c>
      <c r="M1002" s="57">
        <f>IF(OR($A1002="",M$24=""),"",IF(COUNTIFS('AFA Rates'!$A$5:$A$1004,$A1002,'AFA Rates'!$B$5:$B$1004,M$24)&gt;0,"✓",""))</f>
        <v/>
      </c>
    </row>
    <row r="1003">
      <c r="A1003" s="63">
        <f>IFERROR(INDEX(Firms!$A$5:$A$1004,MATCH(979,Firms!$S$5:$S$1004,0)),"")</f>
        <v/>
      </c>
      <c r="B1003" s="57">
        <f>IF($A1003="","",INDEX(Firms!$B$5:$B$1004,MATCH(979,Firms!$S$5:$S$1004,0)))</f>
        <v/>
      </c>
      <c r="C1003" s="57">
        <f>IF($A1003="","",COUNTIF('AFA Rates'!$A$5:$A$1004,$A1003))</f>
        <v/>
      </c>
      <c r="D1003" s="57">
        <f>IF(OR($A1003="",D$24=""),"",IF(COUNTIFS('AFA Rates'!$A$5:$A$1004,$A1003,'AFA Rates'!$B$5:$B$1004,D$24)&gt;0,"✓",""))</f>
        <v/>
      </c>
      <c r="E1003" s="57">
        <f>IF(OR($A1003="",E$24=""),"",IF(COUNTIFS('AFA Rates'!$A$5:$A$1004,$A1003,'AFA Rates'!$B$5:$B$1004,E$24)&gt;0,"✓",""))</f>
        <v/>
      </c>
      <c r="F1003" s="57">
        <f>IF(OR($A1003="",F$24=""),"",IF(COUNTIFS('AFA Rates'!$A$5:$A$1004,$A1003,'AFA Rates'!$B$5:$B$1004,F$24)&gt;0,"✓",""))</f>
        <v/>
      </c>
      <c r="G1003" s="57">
        <f>IF(OR($A1003="",G$24=""),"",IF(COUNTIFS('AFA Rates'!$A$5:$A$1004,$A1003,'AFA Rates'!$B$5:$B$1004,G$24)&gt;0,"✓",""))</f>
        <v/>
      </c>
      <c r="H1003" s="57">
        <f>IF(OR($A1003="",H$24=""),"",IF(COUNTIFS('AFA Rates'!$A$5:$A$1004,$A1003,'AFA Rates'!$B$5:$B$1004,H$24)&gt;0,"✓",""))</f>
        <v/>
      </c>
      <c r="I1003" s="57">
        <f>IF(OR($A1003="",I$24=""),"",IF(COUNTIFS('AFA Rates'!$A$5:$A$1004,$A1003,'AFA Rates'!$B$5:$B$1004,I$24)&gt;0,"✓",""))</f>
        <v/>
      </c>
      <c r="J1003" s="57">
        <f>IF(OR($A1003="",J$24=""),"",IF(COUNTIFS('AFA Rates'!$A$5:$A$1004,$A1003,'AFA Rates'!$B$5:$B$1004,J$24)&gt;0,"✓",""))</f>
        <v/>
      </c>
      <c r="K1003" s="57">
        <f>IF(OR($A1003="",K$24=""),"",IF(COUNTIFS('AFA Rates'!$A$5:$A$1004,$A1003,'AFA Rates'!$B$5:$B$1004,K$24)&gt;0,"✓",""))</f>
        <v/>
      </c>
      <c r="L1003" s="57">
        <f>IF(OR($A1003="",L$24=""),"",IF(COUNTIFS('AFA Rates'!$A$5:$A$1004,$A1003,'AFA Rates'!$B$5:$B$1004,L$24)&gt;0,"✓",""))</f>
        <v/>
      </c>
      <c r="M1003" s="57">
        <f>IF(OR($A1003="",M$24=""),"",IF(COUNTIFS('AFA Rates'!$A$5:$A$1004,$A1003,'AFA Rates'!$B$5:$B$1004,M$24)&gt;0,"✓",""))</f>
        <v/>
      </c>
    </row>
    <row r="1004">
      <c r="A1004" s="63">
        <f>IFERROR(INDEX(Firms!$A$5:$A$1004,MATCH(980,Firms!$S$5:$S$1004,0)),"")</f>
        <v/>
      </c>
      <c r="B1004" s="57">
        <f>IF($A1004="","",INDEX(Firms!$B$5:$B$1004,MATCH(980,Firms!$S$5:$S$1004,0)))</f>
        <v/>
      </c>
      <c r="C1004" s="57">
        <f>IF($A1004="","",COUNTIF('AFA Rates'!$A$5:$A$1004,$A1004))</f>
        <v/>
      </c>
      <c r="D1004" s="57">
        <f>IF(OR($A1004="",D$24=""),"",IF(COUNTIFS('AFA Rates'!$A$5:$A$1004,$A1004,'AFA Rates'!$B$5:$B$1004,D$24)&gt;0,"✓",""))</f>
        <v/>
      </c>
      <c r="E1004" s="57">
        <f>IF(OR($A1004="",E$24=""),"",IF(COUNTIFS('AFA Rates'!$A$5:$A$1004,$A1004,'AFA Rates'!$B$5:$B$1004,E$24)&gt;0,"✓",""))</f>
        <v/>
      </c>
      <c r="F1004" s="57">
        <f>IF(OR($A1004="",F$24=""),"",IF(COUNTIFS('AFA Rates'!$A$5:$A$1004,$A1004,'AFA Rates'!$B$5:$B$1004,F$24)&gt;0,"✓",""))</f>
        <v/>
      </c>
      <c r="G1004" s="57">
        <f>IF(OR($A1004="",G$24=""),"",IF(COUNTIFS('AFA Rates'!$A$5:$A$1004,$A1004,'AFA Rates'!$B$5:$B$1004,G$24)&gt;0,"✓",""))</f>
        <v/>
      </c>
      <c r="H1004" s="57">
        <f>IF(OR($A1004="",H$24=""),"",IF(COUNTIFS('AFA Rates'!$A$5:$A$1004,$A1004,'AFA Rates'!$B$5:$B$1004,H$24)&gt;0,"✓",""))</f>
        <v/>
      </c>
      <c r="I1004" s="57">
        <f>IF(OR($A1004="",I$24=""),"",IF(COUNTIFS('AFA Rates'!$A$5:$A$1004,$A1004,'AFA Rates'!$B$5:$B$1004,I$24)&gt;0,"✓",""))</f>
        <v/>
      </c>
      <c r="J1004" s="57">
        <f>IF(OR($A1004="",J$24=""),"",IF(COUNTIFS('AFA Rates'!$A$5:$A$1004,$A1004,'AFA Rates'!$B$5:$B$1004,J$24)&gt;0,"✓",""))</f>
        <v/>
      </c>
      <c r="K1004" s="57">
        <f>IF(OR($A1004="",K$24=""),"",IF(COUNTIFS('AFA Rates'!$A$5:$A$1004,$A1004,'AFA Rates'!$B$5:$B$1004,K$24)&gt;0,"✓",""))</f>
        <v/>
      </c>
      <c r="L1004" s="57">
        <f>IF(OR($A1004="",L$24=""),"",IF(COUNTIFS('AFA Rates'!$A$5:$A$1004,$A1004,'AFA Rates'!$B$5:$B$1004,L$24)&gt;0,"✓",""))</f>
        <v/>
      </c>
      <c r="M1004" s="57">
        <f>IF(OR($A1004="",M$24=""),"",IF(COUNTIFS('AFA Rates'!$A$5:$A$1004,$A1004,'AFA Rates'!$B$5:$B$1004,M$24)&gt;0,"✓",""))</f>
        <v/>
      </c>
    </row>
    <row r="1005">
      <c r="A1005" s="63">
        <f>IFERROR(INDEX(Firms!$A$5:$A$1004,MATCH(981,Firms!$S$5:$S$1004,0)),"")</f>
        <v/>
      </c>
      <c r="B1005" s="57">
        <f>IF($A1005="","",INDEX(Firms!$B$5:$B$1004,MATCH(981,Firms!$S$5:$S$1004,0)))</f>
        <v/>
      </c>
      <c r="C1005" s="57">
        <f>IF($A1005="","",COUNTIF('AFA Rates'!$A$5:$A$1004,$A1005))</f>
        <v/>
      </c>
      <c r="D1005" s="57">
        <f>IF(OR($A1005="",D$24=""),"",IF(COUNTIFS('AFA Rates'!$A$5:$A$1004,$A1005,'AFA Rates'!$B$5:$B$1004,D$24)&gt;0,"✓",""))</f>
        <v/>
      </c>
      <c r="E1005" s="57">
        <f>IF(OR($A1005="",E$24=""),"",IF(COUNTIFS('AFA Rates'!$A$5:$A$1004,$A1005,'AFA Rates'!$B$5:$B$1004,E$24)&gt;0,"✓",""))</f>
        <v/>
      </c>
      <c r="F1005" s="57">
        <f>IF(OR($A1005="",F$24=""),"",IF(COUNTIFS('AFA Rates'!$A$5:$A$1004,$A1005,'AFA Rates'!$B$5:$B$1004,F$24)&gt;0,"✓",""))</f>
        <v/>
      </c>
      <c r="G1005" s="57">
        <f>IF(OR($A1005="",G$24=""),"",IF(COUNTIFS('AFA Rates'!$A$5:$A$1004,$A1005,'AFA Rates'!$B$5:$B$1004,G$24)&gt;0,"✓",""))</f>
        <v/>
      </c>
      <c r="H1005" s="57">
        <f>IF(OR($A1005="",H$24=""),"",IF(COUNTIFS('AFA Rates'!$A$5:$A$1004,$A1005,'AFA Rates'!$B$5:$B$1004,H$24)&gt;0,"✓",""))</f>
        <v/>
      </c>
      <c r="I1005" s="57">
        <f>IF(OR($A1005="",I$24=""),"",IF(COUNTIFS('AFA Rates'!$A$5:$A$1004,$A1005,'AFA Rates'!$B$5:$B$1004,I$24)&gt;0,"✓",""))</f>
        <v/>
      </c>
      <c r="J1005" s="57">
        <f>IF(OR($A1005="",J$24=""),"",IF(COUNTIFS('AFA Rates'!$A$5:$A$1004,$A1005,'AFA Rates'!$B$5:$B$1004,J$24)&gt;0,"✓",""))</f>
        <v/>
      </c>
      <c r="K1005" s="57">
        <f>IF(OR($A1005="",K$24=""),"",IF(COUNTIFS('AFA Rates'!$A$5:$A$1004,$A1005,'AFA Rates'!$B$5:$B$1004,K$24)&gt;0,"✓",""))</f>
        <v/>
      </c>
      <c r="L1005" s="57">
        <f>IF(OR($A1005="",L$24=""),"",IF(COUNTIFS('AFA Rates'!$A$5:$A$1004,$A1005,'AFA Rates'!$B$5:$B$1004,L$24)&gt;0,"✓",""))</f>
        <v/>
      </c>
      <c r="M1005" s="57">
        <f>IF(OR($A1005="",M$24=""),"",IF(COUNTIFS('AFA Rates'!$A$5:$A$1004,$A1005,'AFA Rates'!$B$5:$B$1004,M$24)&gt;0,"✓",""))</f>
        <v/>
      </c>
    </row>
    <row r="1006">
      <c r="A1006" s="63">
        <f>IFERROR(INDEX(Firms!$A$5:$A$1004,MATCH(982,Firms!$S$5:$S$1004,0)),"")</f>
        <v/>
      </c>
      <c r="B1006" s="57">
        <f>IF($A1006="","",INDEX(Firms!$B$5:$B$1004,MATCH(982,Firms!$S$5:$S$1004,0)))</f>
        <v/>
      </c>
      <c r="C1006" s="57">
        <f>IF($A1006="","",COUNTIF('AFA Rates'!$A$5:$A$1004,$A1006))</f>
        <v/>
      </c>
      <c r="D1006" s="57">
        <f>IF(OR($A1006="",D$24=""),"",IF(COUNTIFS('AFA Rates'!$A$5:$A$1004,$A1006,'AFA Rates'!$B$5:$B$1004,D$24)&gt;0,"✓",""))</f>
        <v/>
      </c>
      <c r="E1006" s="57">
        <f>IF(OR($A1006="",E$24=""),"",IF(COUNTIFS('AFA Rates'!$A$5:$A$1004,$A1006,'AFA Rates'!$B$5:$B$1004,E$24)&gt;0,"✓",""))</f>
        <v/>
      </c>
      <c r="F1006" s="57">
        <f>IF(OR($A1006="",F$24=""),"",IF(COUNTIFS('AFA Rates'!$A$5:$A$1004,$A1006,'AFA Rates'!$B$5:$B$1004,F$24)&gt;0,"✓",""))</f>
        <v/>
      </c>
      <c r="G1006" s="57">
        <f>IF(OR($A1006="",G$24=""),"",IF(COUNTIFS('AFA Rates'!$A$5:$A$1004,$A1006,'AFA Rates'!$B$5:$B$1004,G$24)&gt;0,"✓",""))</f>
        <v/>
      </c>
      <c r="H1006" s="57">
        <f>IF(OR($A1006="",H$24=""),"",IF(COUNTIFS('AFA Rates'!$A$5:$A$1004,$A1006,'AFA Rates'!$B$5:$B$1004,H$24)&gt;0,"✓",""))</f>
        <v/>
      </c>
      <c r="I1006" s="57">
        <f>IF(OR($A1006="",I$24=""),"",IF(COUNTIFS('AFA Rates'!$A$5:$A$1004,$A1006,'AFA Rates'!$B$5:$B$1004,I$24)&gt;0,"✓",""))</f>
        <v/>
      </c>
      <c r="J1006" s="57">
        <f>IF(OR($A1006="",J$24=""),"",IF(COUNTIFS('AFA Rates'!$A$5:$A$1004,$A1006,'AFA Rates'!$B$5:$B$1004,J$24)&gt;0,"✓",""))</f>
        <v/>
      </c>
      <c r="K1006" s="57">
        <f>IF(OR($A1006="",K$24=""),"",IF(COUNTIFS('AFA Rates'!$A$5:$A$1004,$A1006,'AFA Rates'!$B$5:$B$1004,K$24)&gt;0,"✓",""))</f>
        <v/>
      </c>
      <c r="L1006" s="57">
        <f>IF(OR($A1006="",L$24=""),"",IF(COUNTIFS('AFA Rates'!$A$5:$A$1004,$A1006,'AFA Rates'!$B$5:$B$1004,L$24)&gt;0,"✓",""))</f>
        <v/>
      </c>
      <c r="M1006" s="57">
        <f>IF(OR($A1006="",M$24=""),"",IF(COUNTIFS('AFA Rates'!$A$5:$A$1004,$A1006,'AFA Rates'!$B$5:$B$1004,M$24)&gt;0,"✓",""))</f>
        <v/>
      </c>
    </row>
    <row r="1007">
      <c r="A1007" s="63">
        <f>IFERROR(INDEX(Firms!$A$5:$A$1004,MATCH(983,Firms!$S$5:$S$1004,0)),"")</f>
        <v/>
      </c>
      <c r="B1007" s="57">
        <f>IF($A1007="","",INDEX(Firms!$B$5:$B$1004,MATCH(983,Firms!$S$5:$S$1004,0)))</f>
        <v/>
      </c>
      <c r="C1007" s="57">
        <f>IF($A1007="","",COUNTIF('AFA Rates'!$A$5:$A$1004,$A1007))</f>
        <v/>
      </c>
      <c r="D1007" s="57">
        <f>IF(OR($A1007="",D$24=""),"",IF(COUNTIFS('AFA Rates'!$A$5:$A$1004,$A1007,'AFA Rates'!$B$5:$B$1004,D$24)&gt;0,"✓",""))</f>
        <v/>
      </c>
      <c r="E1007" s="57">
        <f>IF(OR($A1007="",E$24=""),"",IF(COUNTIFS('AFA Rates'!$A$5:$A$1004,$A1007,'AFA Rates'!$B$5:$B$1004,E$24)&gt;0,"✓",""))</f>
        <v/>
      </c>
      <c r="F1007" s="57">
        <f>IF(OR($A1007="",F$24=""),"",IF(COUNTIFS('AFA Rates'!$A$5:$A$1004,$A1007,'AFA Rates'!$B$5:$B$1004,F$24)&gt;0,"✓",""))</f>
        <v/>
      </c>
      <c r="G1007" s="57">
        <f>IF(OR($A1007="",G$24=""),"",IF(COUNTIFS('AFA Rates'!$A$5:$A$1004,$A1007,'AFA Rates'!$B$5:$B$1004,G$24)&gt;0,"✓",""))</f>
        <v/>
      </c>
      <c r="H1007" s="57">
        <f>IF(OR($A1007="",H$24=""),"",IF(COUNTIFS('AFA Rates'!$A$5:$A$1004,$A1007,'AFA Rates'!$B$5:$B$1004,H$24)&gt;0,"✓",""))</f>
        <v/>
      </c>
      <c r="I1007" s="57">
        <f>IF(OR($A1007="",I$24=""),"",IF(COUNTIFS('AFA Rates'!$A$5:$A$1004,$A1007,'AFA Rates'!$B$5:$B$1004,I$24)&gt;0,"✓",""))</f>
        <v/>
      </c>
      <c r="J1007" s="57">
        <f>IF(OR($A1007="",J$24=""),"",IF(COUNTIFS('AFA Rates'!$A$5:$A$1004,$A1007,'AFA Rates'!$B$5:$B$1004,J$24)&gt;0,"✓",""))</f>
        <v/>
      </c>
      <c r="K1007" s="57">
        <f>IF(OR($A1007="",K$24=""),"",IF(COUNTIFS('AFA Rates'!$A$5:$A$1004,$A1007,'AFA Rates'!$B$5:$B$1004,K$24)&gt;0,"✓",""))</f>
        <v/>
      </c>
      <c r="L1007" s="57">
        <f>IF(OR($A1007="",L$24=""),"",IF(COUNTIFS('AFA Rates'!$A$5:$A$1004,$A1007,'AFA Rates'!$B$5:$B$1004,L$24)&gt;0,"✓",""))</f>
        <v/>
      </c>
      <c r="M1007" s="57">
        <f>IF(OR($A1007="",M$24=""),"",IF(COUNTIFS('AFA Rates'!$A$5:$A$1004,$A1007,'AFA Rates'!$B$5:$B$1004,M$24)&gt;0,"✓",""))</f>
        <v/>
      </c>
    </row>
    <row r="1008">
      <c r="A1008" s="63">
        <f>IFERROR(INDEX(Firms!$A$5:$A$1004,MATCH(984,Firms!$S$5:$S$1004,0)),"")</f>
        <v/>
      </c>
      <c r="B1008" s="57">
        <f>IF($A1008="","",INDEX(Firms!$B$5:$B$1004,MATCH(984,Firms!$S$5:$S$1004,0)))</f>
        <v/>
      </c>
      <c r="C1008" s="57">
        <f>IF($A1008="","",COUNTIF('AFA Rates'!$A$5:$A$1004,$A1008))</f>
        <v/>
      </c>
      <c r="D1008" s="57">
        <f>IF(OR($A1008="",D$24=""),"",IF(COUNTIFS('AFA Rates'!$A$5:$A$1004,$A1008,'AFA Rates'!$B$5:$B$1004,D$24)&gt;0,"✓",""))</f>
        <v/>
      </c>
      <c r="E1008" s="57">
        <f>IF(OR($A1008="",E$24=""),"",IF(COUNTIFS('AFA Rates'!$A$5:$A$1004,$A1008,'AFA Rates'!$B$5:$B$1004,E$24)&gt;0,"✓",""))</f>
        <v/>
      </c>
      <c r="F1008" s="57">
        <f>IF(OR($A1008="",F$24=""),"",IF(COUNTIFS('AFA Rates'!$A$5:$A$1004,$A1008,'AFA Rates'!$B$5:$B$1004,F$24)&gt;0,"✓",""))</f>
        <v/>
      </c>
      <c r="G1008" s="57">
        <f>IF(OR($A1008="",G$24=""),"",IF(COUNTIFS('AFA Rates'!$A$5:$A$1004,$A1008,'AFA Rates'!$B$5:$B$1004,G$24)&gt;0,"✓",""))</f>
        <v/>
      </c>
      <c r="H1008" s="57">
        <f>IF(OR($A1008="",H$24=""),"",IF(COUNTIFS('AFA Rates'!$A$5:$A$1004,$A1008,'AFA Rates'!$B$5:$B$1004,H$24)&gt;0,"✓",""))</f>
        <v/>
      </c>
      <c r="I1008" s="57">
        <f>IF(OR($A1008="",I$24=""),"",IF(COUNTIFS('AFA Rates'!$A$5:$A$1004,$A1008,'AFA Rates'!$B$5:$B$1004,I$24)&gt;0,"✓",""))</f>
        <v/>
      </c>
      <c r="J1008" s="57">
        <f>IF(OR($A1008="",J$24=""),"",IF(COUNTIFS('AFA Rates'!$A$5:$A$1004,$A1008,'AFA Rates'!$B$5:$B$1004,J$24)&gt;0,"✓",""))</f>
        <v/>
      </c>
      <c r="K1008" s="57">
        <f>IF(OR($A1008="",K$24=""),"",IF(COUNTIFS('AFA Rates'!$A$5:$A$1004,$A1008,'AFA Rates'!$B$5:$B$1004,K$24)&gt;0,"✓",""))</f>
        <v/>
      </c>
      <c r="L1008" s="57">
        <f>IF(OR($A1008="",L$24=""),"",IF(COUNTIFS('AFA Rates'!$A$5:$A$1004,$A1008,'AFA Rates'!$B$5:$B$1004,L$24)&gt;0,"✓",""))</f>
        <v/>
      </c>
      <c r="M1008" s="57">
        <f>IF(OR($A1008="",M$24=""),"",IF(COUNTIFS('AFA Rates'!$A$5:$A$1004,$A1008,'AFA Rates'!$B$5:$B$1004,M$24)&gt;0,"✓",""))</f>
        <v/>
      </c>
    </row>
    <row r="1009">
      <c r="A1009" s="63">
        <f>IFERROR(INDEX(Firms!$A$5:$A$1004,MATCH(985,Firms!$S$5:$S$1004,0)),"")</f>
        <v/>
      </c>
      <c r="B1009" s="57">
        <f>IF($A1009="","",INDEX(Firms!$B$5:$B$1004,MATCH(985,Firms!$S$5:$S$1004,0)))</f>
        <v/>
      </c>
      <c r="C1009" s="57">
        <f>IF($A1009="","",COUNTIF('AFA Rates'!$A$5:$A$1004,$A1009))</f>
        <v/>
      </c>
      <c r="D1009" s="57">
        <f>IF(OR($A1009="",D$24=""),"",IF(COUNTIFS('AFA Rates'!$A$5:$A$1004,$A1009,'AFA Rates'!$B$5:$B$1004,D$24)&gt;0,"✓",""))</f>
        <v/>
      </c>
      <c r="E1009" s="57">
        <f>IF(OR($A1009="",E$24=""),"",IF(COUNTIFS('AFA Rates'!$A$5:$A$1004,$A1009,'AFA Rates'!$B$5:$B$1004,E$24)&gt;0,"✓",""))</f>
        <v/>
      </c>
      <c r="F1009" s="57">
        <f>IF(OR($A1009="",F$24=""),"",IF(COUNTIFS('AFA Rates'!$A$5:$A$1004,$A1009,'AFA Rates'!$B$5:$B$1004,F$24)&gt;0,"✓",""))</f>
        <v/>
      </c>
      <c r="G1009" s="57">
        <f>IF(OR($A1009="",G$24=""),"",IF(COUNTIFS('AFA Rates'!$A$5:$A$1004,$A1009,'AFA Rates'!$B$5:$B$1004,G$24)&gt;0,"✓",""))</f>
        <v/>
      </c>
      <c r="H1009" s="57">
        <f>IF(OR($A1009="",H$24=""),"",IF(COUNTIFS('AFA Rates'!$A$5:$A$1004,$A1009,'AFA Rates'!$B$5:$B$1004,H$24)&gt;0,"✓",""))</f>
        <v/>
      </c>
      <c r="I1009" s="57">
        <f>IF(OR($A1009="",I$24=""),"",IF(COUNTIFS('AFA Rates'!$A$5:$A$1004,$A1009,'AFA Rates'!$B$5:$B$1004,I$24)&gt;0,"✓",""))</f>
        <v/>
      </c>
      <c r="J1009" s="57">
        <f>IF(OR($A1009="",J$24=""),"",IF(COUNTIFS('AFA Rates'!$A$5:$A$1004,$A1009,'AFA Rates'!$B$5:$B$1004,J$24)&gt;0,"✓",""))</f>
        <v/>
      </c>
      <c r="K1009" s="57">
        <f>IF(OR($A1009="",K$24=""),"",IF(COUNTIFS('AFA Rates'!$A$5:$A$1004,$A1009,'AFA Rates'!$B$5:$B$1004,K$24)&gt;0,"✓",""))</f>
        <v/>
      </c>
      <c r="L1009" s="57">
        <f>IF(OR($A1009="",L$24=""),"",IF(COUNTIFS('AFA Rates'!$A$5:$A$1004,$A1009,'AFA Rates'!$B$5:$B$1004,L$24)&gt;0,"✓",""))</f>
        <v/>
      </c>
      <c r="M1009" s="57">
        <f>IF(OR($A1009="",M$24=""),"",IF(COUNTIFS('AFA Rates'!$A$5:$A$1004,$A1009,'AFA Rates'!$B$5:$B$1004,M$24)&gt;0,"✓",""))</f>
        <v/>
      </c>
    </row>
    <row r="1010">
      <c r="A1010" s="63">
        <f>IFERROR(INDEX(Firms!$A$5:$A$1004,MATCH(986,Firms!$S$5:$S$1004,0)),"")</f>
        <v/>
      </c>
      <c r="B1010" s="57">
        <f>IF($A1010="","",INDEX(Firms!$B$5:$B$1004,MATCH(986,Firms!$S$5:$S$1004,0)))</f>
        <v/>
      </c>
      <c r="C1010" s="57">
        <f>IF($A1010="","",COUNTIF('AFA Rates'!$A$5:$A$1004,$A1010))</f>
        <v/>
      </c>
      <c r="D1010" s="57">
        <f>IF(OR($A1010="",D$24=""),"",IF(COUNTIFS('AFA Rates'!$A$5:$A$1004,$A1010,'AFA Rates'!$B$5:$B$1004,D$24)&gt;0,"✓",""))</f>
        <v/>
      </c>
      <c r="E1010" s="57">
        <f>IF(OR($A1010="",E$24=""),"",IF(COUNTIFS('AFA Rates'!$A$5:$A$1004,$A1010,'AFA Rates'!$B$5:$B$1004,E$24)&gt;0,"✓",""))</f>
        <v/>
      </c>
      <c r="F1010" s="57">
        <f>IF(OR($A1010="",F$24=""),"",IF(COUNTIFS('AFA Rates'!$A$5:$A$1004,$A1010,'AFA Rates'!$B$5:$B$1004,F$24)&gt;0,"✓",""))</f>
        <v/>
      </c>
      <c r="G1010" s="57">
        <f>IF(OR($A1010="",G$24=""),"",IF(COUNTIFS('AFA Rates'!$A$5:$A$1004,$A1010,'AFA Rates'!$B$5:$B$1004,G$24)&gt;0,"✓",""))</f>
        <v/>
      </c>
      <c r="H1010" s="57">
        <f>IF(OR($A1010="",H$24=""),"",IF(COUNTIFS('AFA Rates'!$A$5:$A$1004,$A1010,'AFA Rates'!$B$5:$B$1004,H$24)&gt;0,"✓",""))</f>
        <v/>
      </c>
      <c r="I1010" s="57">
        <f>IF(OR($A1010="",I$24=""),"",IF(COUNTIFS('AFA Rates'!$A$5:$A$1004,$A1010,'AFA Rates'!$B$5:$B$1004,I$24)&gt;0,"✓",""))</f>
        <v/>
      </c>
      <c r="J1010" s="57">
        <f>IF(OR($A1010="",J$24=""),"",IF(COUNTIFS('AFA Rates'!$A$5:$A$1004,$A1010,'AFA Rates'!$B$5:$B$1004,J$24)&gt;0,"✓",""))</f>
        <v/>
      </c>
      <c r="K1010" s="57">
        <f>IF(OR($A1010="",K$24=""),"",IF(COUNTIFS('AFA Rates'!$A$5:$A$1004,$A1010,'AFA Rates'!$B$5:$B$1004,K$24)&gt;0,"✓",""))</f>
        <v/>
      </c>
      <c r="L1010" s="57">
        <f>IF(OR($A1010="",L$24=""),"",IF(COUNTIFS('AFA Rates'!$A$5:$A$1004,$A1010,'AFA Rates'!$B$5:$B$1004,L$24)&gt;0,"✓",""))</f>
        <v/>
      </c>
      <c r="M1010" s="57">
        <f>IF(OR($A1010="",M$24=""),"",IF(COUNTIFS('AFA Rates'!$A$5:$A$1004,$A1010,'AFA Rates'!$B$5:$B$1004,M$24)&gt;0,"✓",""))</f>
        <v/>
      </c>
    </row>
    <row r="1011">
      <c r="A1011" s="63">
        <f>IFERROR(INDEX(Firms!$A$5:$A$1004,MATCH(987,Firms!$S$5:$S$1004,0)),"")</f>
        <v/>
      </c>
      <c r="B1011" s="57">
        <f>IF($A1011="","",INDEX(Firms!$B$5:$B$1004,MATCH(987,Firms!$S$5:$S$1004,0)))</f>
        <v/>
      </c>
      <c r="C1011" s="57">
        <f>IF($A1011="","",COUNTIF('AFA Rates'!$A$5:$A$1004,$A1011))</f>
        <v/>
      </c>
      <c r="D1011" s="57">
        <f>IF(OR($A1011="",D$24=""),"",IF(COUNTIFS('AFA Rates'!$A$5:$A$1004,$A1011,'AFA Rates'!$B$5:$B$1004,D$24)&gt;0,"✓",""))</f>
        <v/>
      </c>
      <c r="E1011" s="57">
        <f>IF(OR($A1011="",E$24=""),"",IF(COUNTIFS('AFA Rates'!$A$5:$A$1004,$A1011,'AFA Rates'!$B$5:$B$1004,E$24)&gt;0,"✓",""))</f>
        <v/>
      </c>
      <c r="F1011" s="57">
        <f>IF(OR($A1011="",F$24=""),"",IF(COUNTIFS('AFA Rates'!$A$5:$A$1004,$A1011,'AFA Rates'!$B$5:$B$1004,F$24)&gt;0,"✓",""))</f>
        <v/>
      </c>
      <c r="G1011" s="57">
        <f>IF(OR($A1011="",G$24=""),"",IF(COUNTIFS('AFA Rates'!$A$5:$A$1004,$A1011,'AFA Rates'!$B$5:$B$1004,G$24)&gt;0,"✓",""))</f>
        <v/>
      </c>
      <c r="H1011" s="57">
        <f>IF(OR($A1011="",H$24=""),"",IF(COUNTIFS('AFA Rates'!$A$5:$A$1004,$A1011,'AFA Rates'!$B$5:$B$1004,H$24)&gt;0,"✓",""))</f>
        <v/>
      </c>
      <c r="I1011" s="57">
        <f>IF(OR($A1011="",I$24=""),"",IF(COUNTIFS('AFA Rates'!$A$5:$A$1004,$A1011,'AFA Rates'!$B$5:$B$1004,I$24)&gt;0,"✓",""))</f>
        <v/>
      </c>
      <c r="J1011" s="57">
        <f>IF(OR($A1011="",J$24=""),"",IF(COUNTIFS('AFA Rates'!$A$5:$A$1004,$A1011,'AFA Rates'!$B$5:$B$1004,J$24)&gt;0,"✓",""))</f>
        <v/>
      </c>
      <c r="K1011" s="57">
        <f>IF(OR($A1011="",K$24=""),"",IF(COUNTIFS('AFA Rates'!$A$5:$A$1004,$A1011,'AFA Rates'!$B$5:$B$1004,K$24)&gt;0,"✓",""))</f>
        <v/>
      </c>
      <c r="L1011" s="57">
        <f>IF(OR($A1011="",L$24=""),"",IF(COUNTIFS('AFA Rates'!$A$5:$A$1004,$A1011,'AFA Rates'!$B$5:$B$1004,L$24)&gt;0,"✓",""))</f>
        <v/>
      </c>
      <c r="M1011" s="57">
        <f>IF(OR($A1011="",M$24=""),"",IF(COUNTIFS('AFA Rates'!$A$5:$A$1004,$A1011,'AFA Rates'!$B$5:$B$1004,M$24)&gt;0,"✓",""))</f>
        <v/>
      </c>
    </row>
    <row r="1012">
      <c r="A1012" s="63">
        <f>IFERROR(INDEX(Firms!$A$5:$A$1004,MATCH(988,Firms!$S$5:$S$1004,0)),"")</f>
        <v/>
      </c>
      <c r="B1012" s="57">
        <f>IF($A1012="","",INDEX(Firms!$B$5:$B$1004,MATCH(988,Firms!$S$5:$S$1004,0)))</f>
        <v/>
      </c>
      <c r="C1012" s="57">
        <f>IF($A1012="","",COUNTIF('AFA Rates'!$A$5:$A$1004,$A1012))</f>
        <v/>
      </c>
      <c r="D1012" s="57">
        <f>IF(OR($A1012="",D$24=""),"",IF(COUNTIFS('AFA Rates'!$A$5:$A$1004,$A1012,'AFA Rates'!$B$5:$B$1004,D$24)&gt;0,"✓",""))</f>
        <v/>
      </c>
      <c r="E1012" s="57">
        <f>IF(OR($A1012="",E$24=""),"",IF(COUNTIFS('AFA Rates'!$A$5:$A$1004,$A1012,'AFA Rates'!$B$5:$B$1004,E$24)&gt;0,"✓",""))</f>
        <v/>
      </c>
      <c r="F1012" s="57">
        <f>IF(OR($A1012="",F$24=""),"",IF(COUNTIFS('AFA Rates'!$A$5:$A$1004,$A1012,'AFA Rates'!$B$5:$B$1004,F$24)&gt;0,"✓",""))</f>
        <v/>
      </c>
      <c r="G1012" s="57">
        <f>IF(OR($A1012="",G$24=""),"",IF(COUNTIFS('AFA Rates'!$A$5:$A$1004,$A1012,'AFA Rates'!$B$5:$B$1004,G$24)&gt;0,"✓",""))</f>
        <v/>
      </c>
      <c r="H1012" s="57">
        <f>IF(OR($A1012="",H$24=""),"",IF(COUNTIFS('AFA Rates'!$A$5:$A$1004,$A1012,'AFA Rates'!$B$5:$B$1004,H$24)&gt;0,"✓",""))</f>
        <v/>
      </c>
      <c r="I1012" s="57">
        <f>IF(OR($A1012="",I$24=""),"",IF(COUNTIFS('AFA Rates'!$A$5:$A$1004,$A1012,'AFA Rates'!$B$5:$B$1004,I$24)&gt;0,"✓",""))</f>
        <v/>
      </c>
      <c r="J1012" s="57">
        <f>IF(OR($A1012="",J$24=""),"",IF(COUNTIFS('AFA Rates'!$A$5:$A$1004,$A1012,'AFA Rates'!$B$5:$B$1004,J$24)&gt;0,"✓",""))</f>
        <v/>
      </c>
      <c r="K1012" s="57">
        <f>IF(OR($A1012="",K$24=""),"",IF(COUNTIFS('AFA Rates'!$A$5:$A$1004,$A1012,'AFA Rates'!$B$5:$B$1004,K$24)&gt;0,"✓",""))</f>
        <v/>
      </c>
      <c r="L1012" s="57">
        <f>IF(OR($A1012="",L$24=""),"",IF(COUNTIFS('AFA Rates'!$A$5:$A$1004,$A1012,'AFA Rates'!$B$5:$B$1004,L$24)&gt;0,"✓",""))</f>
        <v/>
      </c>
      <c r="M1012" s="57">
        <f>IF(OR($A1012="",M$24=""),"",IF(COUNTIFS('AFA Rates'!$A$5:$A$1004,$A1012,'AFA Rates'!$B$5:$B$1004,M$24)&gt;0,"✓",""))</f>
        <v/>
      </c>
    </row>
    <row r="1013">
      <c r="A1013" s="63">
        <f>IFERROR(INDEX(Firms!$A$5:$A$1004,MATCH(989,Firms!$S$5:$S$1004,0)),"")</f>
        <v/>
      </c>
      <c r="B1013" s="57">
        <f>IF($A1013="","",INDEX(Firms!$B$5:$B$1004,MATCH(989,Firms!$S$5:$S$1004,0)))</f>
        <v/>
      </c>
      <c r="C1013" s="57">
        <f>IF($A1013="","",COUNTIF('AFA Rates'!$A$5:$A$1004,$A1013))</f>
        <v/>
      </c>
      <c r="D1013" s="57">
        <f>IF(OR($A1013="",D$24=""),"",IF(COUNTIFS('AFA Rates'!$A$5:$A$1004,$A1013,'AFA Rates'!$B$5:$B$1004,D$24)&gt;0,"✓",""))</f>
        <v/>
      </c>
      <c r="E1013" s="57">
        <f>IF(OR($A1013="",E$24=""),"",IF(COUNTIFS('AFA Rates'!$A$5:$A$1004,$A1013,'AFA Rates'!$B$5:$B$1004,E$24)&gt;0,"✓",""))</f>
        <v/>
      </c>
      <c r="F1013" s="57">
        <f>IF(OR($A1013="",F$24=""),"",IF(COUNTIFS('AFA Rates'!$A$5:$A$1004,$A1013,'AFA Rates'!$B$5:$B$1004,F$24)&gt;0,"✓",""))</f>
        <v/>
      </c>
      <c r="G1013" s="57">
        <f>IF(OR($A1013="",G$24=""),"",IF(COUNTIFS('AFA Rates'!$A$5:$A$1004,$A1013,'AFA Rates'!$B$5:$B$1004,G$24)&gt;0,"✓",""))</f>
        <v/>
      </c>
      <c r="H1013" s="57">
        <f>IF(OR($A1013="",H$24=""),"",IF(COUNTIFS('AFA Rates'!$A$5:$A$1004,$A1013,'AFA Rates'!$B$5:$B$1004,H$24)&gt;0,"✓",""))</f>
        <v/>
      </c>
      <c r="I1013" s="57">
        <f>IF(OR($A1013="",I$24=""),"",IF(COUNTIFS('AFA Rates'!$A$5:$A$1004,$A1013,'AFA Rates'!$B$5:$B$1004,I$24)&gt;0,"✓",""))</f>
        <v/>
      </c>
      <c r="J1013" s="57">
        <f>IF(OR($A1013="",J$24=""),"",IF(COUNTIFS('AFA Rates'!$A$5:$A$1004,$A1013,'AFA Rates'!$B$5:$B$1004,J$24)&gt;0,"✓",""))</f>
        <v/>
      </c>
      <c r="K1013" s="57">
        <f>IF(OR($A1013="",K$24=""),"",IF(COUNTIFS('AFA Rates'!$A$5:$A$1004,$A1013,'AFA Rates'!$B$5:$B$1004,K$24)&gt;0,"✓",""))</f>
        <v/>
      </c>
      <c r="L1013" s="57">
        <f>IF(OR($A1013="",L$24=""),"",IF(COUNTIFS('AFA Rates'!$A$5:$A$1004,$A1013,'AFA Rates'!$B$5:$B$1004,L$24)&gt;0,"✓",""))</f>
        <v/>
      </c>
      <c r="M1013" s="57">
        <f>IF(OR($A1013="",M$24=""),"",IF(COUNTIFS('AFA Rates'!$A$5:$A$1004,$A1013,'AFA Rates'!$B$5:$B$1004,M$24)&gt;0,"✓",""))</f>
        <v/>
      </c>
    </row>
    <row r="1014">
      <c r="A1014" s="63">
        <f>IFERROR(INDEX(Firms!$A$5:$A$1004,MATCH(990,Firms!$S$5:$S$1004,0)),"")</f>
        <v/>
      </c>
      <c r="B1014" s="57">
        <f>IF($A1014="","",INDEX(Firms!$B$5:$B$1004,MATCH(990,Firms!$S$5:$S$1004,0)))</f>
        <v/>
      </c>
      <c r="C1014" s="57">
        <f>IF($A1014="","",COUNTIF('AFA Rates'!$A$5:$A$1004,$A1014))</f>
        <v/>
      </c>
      <c r="D1014" s="57">
        <f>IF(OR($A1014="",D$24=""),"",IF(COUNTIFS('AFA Rates'!$A$5:$A$1004,$A1014,'AFA Rates'!$B$5:$B$1004,D$24)&gt;0,"✓",""))</f>
        <v/>
      </c>
      <c r="E1014" s="57">
        <f>IF(OR($A1014="",E$24=""),"",IF(COUNTIFS('AFA Rates'!$A$5:$A$1004,$A1014,'AFA Rates'!$B$5:$B$1004,E$24)&gt;0,"✓",""))</f>
        <v/>
      </c>
      <c r="F1014" s="57">
        <f>IF(OR($A1014="",F$24=""),"",IF(COUNTIFS('AFA Rates'!$A$5:$A$1004,$A1014,'AFA Rates'!$B$5:$B$1004,F$24)&gt;0,"✓",""))</f>
        <v/>
      </c>
      <c r="G1014" s="57">
        <f>IF(OR($A1014="",G$24=""),"",IF(COUNTIFS('AFA Rates'!$A$5:$A$1004,$A1014,'AFA Rates'!$B$5:$B$1004,G$24)&gt;0,"✓",""))</f>
        <v/>
      </c>
      <c r="H1014" s="57">
        <f>IF(OR($A1014="",H$24=""),"",IF(COUNTIFS('AFA Rates'!$A$5:$A$1004,$A1014,'AFA Rates'!$B$5:$B$1004,H$24)&gt;0,"✓",""))</f>
        <v/>
      </c>
      <c r="I1014" s="57">
        <f>IF(OR($A1014="",I$24=""),"",IF(COUNTIFS('AFA Rates'!$A$5:$A$1004,$A1014,'AFA Rates'!$B$5:$B$1004,I$24)&gt;0,"✓",""))</f>
        <v/>
      </c>
      <c r="J1014" s="57">
        <f>IF(OR($A1014="",J$24=""),"",IF(COUNTIFS('AFA Rates'!$A$5:$A$1004,$A1014,'AFA Rates'!$B$5:$B$1004,J$24)&gt;0,"✓",""))</f>
        <v/>
      </c>
      <c r="K1014" s="57">
        <f>IF(OR($A1014="",K$24=""),"",IF(COUNTIFS('AFA Rates'!$A$5:$A$1004,$A1014,'AFA Rates'!$B$5:$B$1004,K$24)&gt;0,"✓",""))</f>
        <v/>
      </c>
      <c r="L1014" s="57">
        <f>IF(OR($A1014="",L$24=""),"",IF(COUNTIFS('AFA Rates'!$A$5:$A$1004,$A1014,'AFA Rates'!$B$5:$B$1004,L$24)&gt;0,"✓",""))</f>
        <v/>
      </c>
      <c r="M1014" s="57">
        <f>IF(OR($A1014="",M$24=""),"",IF(COUNTIFS('AFA Rates'!$A$5:$A$1004,$A1014,'AFA Rates'!$B$5:$B$1004,M$24)&gt;0,"✓",""))</f>
        <v/>
      </c>
    </row>
    <row r="1015">
      <c r="A1015" s="63">
        <f>IFERROR(INDEX(Firms!$A$5:$A$1004,MATCH(991,Firms!$S$5:$S$1004,0)),"")</f>
        <v/>
      </c>
      <c r="B1015" s="57">
        <f>IF($A1015="","",INDEX(Firms!$B$5:$B$1004,MATCH(991,Firms!$S$5:$S$1004,0)))</f>
        <v/>
      </c>
      <c r="C1015" s="57">
        <f>IF($A1015="","",COUNTIF('AFA Rates'!$A$5:$A$1004,$A1015))</f>
        <v/>
      </c>
      <c r="D1015" s="57">
        <f>IF(OR($A1015="",D$24=""),"",IF(COUNTIFS('AFA Rates'!$A$5:$A$1004,$A1015,'AFA Rates'!$B$5:$B$1004,D$24)&gt;0,"✓",""))</f>
        <v/>
      </c>
      <c r="E1015" s="57">
        <f>IF(OR($A1015="",E$24=""),"",IF(COUNTIFS('AFA Rates'!$A$5:$A$1004,$A1015,'AFA Rates'!$B$5:$B$1004,E$24)&gt;0,"✓",""))</f>
        <v/>
      </c>
      <c r="F1015" s="57">
        <f>IF(OR($A1015="",F$24=""),"",IF(COUNTIFS('AFA Rates'!$A$5:$A$1004,$A1015,'AFA Rates'!$B$5:$B$1004,F$24)&gt;0,"✓",""))</f>
        <v/>
      </c>
      <c r="G1015" s="57">
        <f>IF(OR($A1015="",G$24=""),"",IF(COUNTIFS('AFA Rates'!$A$5:$A$1004,$A1015,'AFA Rates'!$B$5:$B$1004,G$24)&gt;0,"✓",""))</f>
        <v/>
      </c>
      <c r="H1015" s="57">
        <f>IF(OR($A1015="",H$24=""),"",IF(COUNTIFS('AFA Rates'!$A$5:$A$1004,$A1015,'AFA Rates'!$B$5:$B$1004,H$24)&gt;0,"✓",""))</f>
        <v/>
      </c>
      <c r="I1015" s="57">
        <f>IF(OR($A1015="",I$24=""),"",IF(COUNTIFS('AFA Rates'!$A$5:$A$1004,$A1015,'AFA Rates'!$B$5:$B$1004,I$24)&gt;0,"✓",""))</f>
        <v/>
      </c>
      <c r="J1015" s="57">
        <f>IF(OR($A1015="",J$24=""),"",IF(COUNTIFS('AFA Rates'!$A$5:$A$1004,$A1015,'AFA Rates'!$B$5:$B$1004,J$24)&gt;0,"✓",""))</f>
        <v/>
      </c>
      <c r="K1015" s="57">
        <f>IF(OR($A1015="",K$24=""),"",IF(COUNTIFS('AFA Rates'!$A$5:$A$1004,$A1015,'AFA Rates'!$B$5:$B$1004,K$24)&gt;0,"✓",""))</f>
        <v/>
      </c>
      <c r="L1015" s="57">
        <f>IF(OR($A1015="",L$24=""),"",IF(COUNTIFS('AFA Rates'!$A$5:$A$1004,$A1015,'AFA Rates'!$B$5:$B$1004,L$24)&gt;0,"✓",""))</f>
        <v/>
      </c>
      <c r="M1015" s="57">
        <f>IF(OR($A1015="",M$24=""),"",IF(COUNTIFS('AFA Rates'!$A$5:$A$1004,$A1015,'AFA Rates'!$B$5:$B$1004,M$24)&gt;0,"✓",""))</f>
        <v/>
      </c>
    </row>
    <row r="1016">
      <c r="A1016" s="63">
        <f>IFERROR(INDEX(Firms!$A$5:$A$1004,MATCH(992,Firms!$S$5:$S$1004,0)),"")</f>
        <v/>
      </c>
      <c r="B1016" s="57">
        <f>IF($A1016="","",INDEX(Firms!$B$5:$B$1004,MATCH(992,Firms!$S$5:$S$1004,0)))</f>
        <v/>
      </c>
      <c r="C1016" s="57">
        <f>IF($A1016="","",COUNTIF('AFA Rates'!$A$5:$A$1004,$A1016))</f>
        <v/>
      </c>
      <c r="D1016" s="57">
        <f>IF(OR($A1016="",D$24=""),"",IF(COUNTIFS('AFA Rates'!$A$5:$A$1004,$A1016,'AFA Rates'!$B$5:$B$1004,D$24)&gt;0,"✓",""))</f>
        <v/>
      </c>
      <c r="E1016" s="57">
        <f>IF(OR($A1016="",E$24=""),"",IF(COUNTIFS('AFA Rates'!$A$5:$A$1004,$A1016,'AFA Rates'!$B$5:$B$1004,E$24)&gt;0,"✓",""))</f>
        <v/>
      </c>
      <c r="F1016" s="57">
        <f>IF(OR($A1016="",F$24=""),"",IF(COUNTIFS('AFA Rates'!$A$5:$A$1004,$A1016,'AFA Rates'!$B$5:$B$1004,F$24)&gt;0,"✓",""))</f>
        <v/>
      </c>
      <c r="G1016" s="57">
        <f>IF(OR($A1016="",G$24=""),"",IF(COUNTIFS('AFA Rates'!$A$5:$A$1004,$A1016,'AFA Rates'!$B$5:$B$1004,G$24)&gt;0,"✓",""))</f>
        <v/>
      </c>
      <c r="H1016" s="57">
        <f>IF(OR($A1016="",H$24=""),"",IF(COUNTIFS('AFA Rates'!$A$5:$A$1004,$A1016,'AFA Rates'!$B$5:$B$1004,H$24)&gt;0,"✓",""))</f>
        <v/>
      </c>
      <c r="I1016" s="57">
        <f>IF(OR($A1016="",I$24=""),"",IF(COUNTIFS('AFA Rates'!$A$5:$A$1004,$A1016,'AFA Rates'!$B$5:$B$1004,I$24)&gt;0,"✓",""))</f>
        <v/>
      </c>
      <c r="J1016" s="57">
        <f>IF(OR($A1016="",J$24=""),"",IF(COUNTIFS('AFA Rates'!$A$5:$A$1004,$A1016,'AFA Rates'!$B$5:$B$1004,J$24)&gt;0,"✓",""))</f>
        <v/>
      </c>
      <c r="K1016" s="57">
        <f>IF(OR($A1016="",K$24=""),"",IF(COUNTIFS('AFA Rates'!$A$5:$A$1004,$A1016,'AFA Rates'!$B$5:$B$1004,K$24)&gt;0,"✓",""))</f>
        <v/>
      </c>
      <c r="L1016" s="57">
        <f>IF(OR($A1016="",L$24=""),"",IF(COUNTIFS('AFA Rates'!$A$5:$A$1004,$A1016,'AFA Rates'!$B$5:$B$1004,L$24)&gt;0,"✓",""))</f>
        <v/>
      </c>
      <c r="M1016" s="57">
        <f>IF(OR($A1016="",M$24=""),"",IF(COUNTIFS('AFA Rates'!$A$5:$A$1004,$A1016,'AFA Rates'!$B$5:$B$1004,M$24)&gt;0,"✓",""))</f>
        <v/>
      </c>
    </row>
    <row r="1017">
      <c r="A1017" s="63">
        <f>IFERROR(INDEX(Firms!$A$5:$A$1004,MATCH(993,Firms!$S$5:$S$1004,0)),"")</f>
        <v/>
      </c>
      <c r="B1017" s="57">
        <f>IF($A1017="","",INDEX(Firms!$B$5:$B$1004,MATCH(993,Firms!$S$5:$S$1004,0)))</f>
        <v/>
      </c>
      <c r="C1017" s="57">
        <f>IF($A1017="","",COUNTIF('AFA Rates'!$A$5:$A$1004,$A1017))</f>
        <v/>
      </c>
      <c r="D1017" s="57">
        <f>IF(OR($A1017="",D$24=""),"",IF(COUNTIFS('AFA Rates'!$A$5:$A$1004,$A1017,'AFA Rates'!$B$5:$B$1004,D$24)&gt;0,"✓",""))</f>
        <v/>
      </c>
      <c r="E1017" s="57">
        <f>IF(OR($A1017="",E$24=""),"",IF(COUNTIFS('AFA Rates'!$A$5:$A$1004,$A1017,'AFA Rates'!$B$5:$B$1004,E$24)&gt;0,"✓",""))</f>
        <v/>
      </c>
      <c r="F1017" s="57">
        <f>IF(OR($A1017="",F$24=""),"",IF(COUNTIFS('AFA Rates'!$A$5:$A$1004,$A1017,'AFA Rates'!$B$5:$B$1004,F$24)&gt;0,"✓",""))</f>
        <v/>
      </c>
      <c r="G1017" s="57">
        <f>IF(OR($A1017="",G$24=""),"",IF(COUNTIFS('AFA Rates'!$A$5:$A$1004,$A1017,'AFA Rates'!$B$5:$B$1004,G$24)&gt;0,"✓",""))</f>
        <v/>
      </c>
      <c r="H1017" s="57">
        <f>IF(OR($A1017="",H$24=""),"",IF(COUNTIFS('AFA Rates'!$A$5:$A$1004,$A1017,'AFA Rates'!$B$5:$B$1004,H$24)&gt;0,"✓",""))</f>
        <v/>
      </c>
      <c r="I1017" s="57">
        <f>IF(OR($A1017="",I$24=""),"",IF(COUNTIFS('AFA Rates'!$A$5:$A$1004,$A1017,'AFA Rates'!$B$5:$B$1004,I$24)&gt;0,"✓",""))</f>
        <v/>
      </c>
      <c r="J1017" s="57">
        <f>IF(OR($A1017="",J$24=""),"",IF(COUNTIFS('AFA Rates'!$A$5:$A$1004,$A1017,'AFA Rates'!$B$5:$B$1004,J$24)&gt;0,"✓",""))</f>
        <v/>
      </c>
      <c r="K1017" s="57">
        <f>IF(OR($A1017="",K$24=""),"",IF(COUNTIFS('AFA Rates'!$A$5:$A$1004,$A1017,'AFA Rates'!$B$5:$B$1004,K$24)&gt;0,"✓",""))</f>
        <v/>
      </c>
      <c r="L1017" s="57">
        <f>IF(OR($A1017="",L$24=""),"",IF(COUNTIFS('AFA Rates'!$A$5:$A$1004,$A1017,'AFA Rates'!$B$5:$B$1004,L$24)&gt;0,"✓",""))</f>
        <v/>
      </c>
      <c r="M1017" s="57">
        <f>IF(OR($A1017="",M$24=""),"",IF(COUNTIFS('AFA Rates'!$A$5:$A$1004,$A1017,'AFA Rates'!$B$5:$B$1004,M$24)&gt;0,"✓",""))</f>
        <v/>
      </c>
    </row>
    <row r="1018">
      <c r="A1018" s="63">
        <f>IFERROR(INDEX(Firms!$A$5:$A$1004,MATCH(994,Firms!$S$5:$S$1004,0)),"")</f>
        <v/>
      </c>
      <c r="B1018" s="57">
        <f>IF($A1018="","",INDEX(Firms!$B$5:$B$1004,MATCH(994,Firms!$S$5:$S$1004,0)))</f>
        <v/>
      </c>
      <c r="C1018" s="57">
        <f>IF($A1018="","",COUNTIF('AFA Rates'!$A$5:$A$1004,$A1018))</f>
        <v/>
      </c>
      <c r="D1018" s="57">
        <f>IF(OR($A1018="",D$24=""),"",IF(COUNTIFS('AFA Rates'!$A$5:$A$1004,$A1018,'AFA Rates'!$B$5:$B$1004,D$24)&gt;0,"✓",""))</f>
        <v/>
      </c>
      <c r="E1018" s="57">
        <f>IF(OR($A1018="",E$24=""),"",IF(COUNTIFS('AFA Rates'!$A$5:$A$1004,$A1018,'AFA Rates'!$B$5:$B$1004,E$24)&gt;0,"✓",""))</f>
        <v/>
      </c>
      <c r="F1018" s="57">
        <f>IF(OR($A1018="",F$24=""),"",IF(COUNTIFS('AFA Rates'!$A$5:$A$1004,$A1018,'AFA Rates'!$B$5:$B$1004,F$24)&gt;0,"✓",""))</f>
        <v/>
      </c>
      <c r="G1018" s="57">
        <f>IF(OR($A1018="",G$24=""),"",IF(COUNTIFS('AFA Rates'!$A$5:$A$1004,$A1018,'AFA Rates'!$B$5:$B$1004,G$24)&gt;0,"✓",""))</f>
        <v/>
      </c>
      <c r="H1018" s="57">
        <f>IF(OR($A1018="",H$24=""),"",IF(COUNTIFS('AFA Rates'!$A$5:$A$1004,$A1018,'AFA Rates'!$B$5:$B$1004,H$24)&gt;0,"✓",""))</f>
        <v/>
      </c>
      <c r="I1018" s="57">
        <f>IF(OR($A1018="",I$24=""),"",IF(COUNTIFS('AFA Rates'!$A$5:$A$1004,$A1018,'AFA Rates'!$B$5:$B$1004,I$24)&gt;0,"✓",""))</f>
        <v/>
      </c>
      <c r="J1018" s="57">
        <f>IF(OR($A1018="",J$24=""),"",IF(COUNTIFS('AFA Rates'!$A$5:$A$1004,$A1018,'AFA Rates'!$B$5:$B$1004,J$24)&gt;0,"✓",""))</f>
        <v/>
      </c>
      <c r="K1018" s="57">
        <f>IF(OR($A1018="",K$24=""),"",IF(COUNTIFS('AFA Rates'!$A$5:$A$1004,$A1018,'AFA Rates'!$B$5:$B$1004,K$24)&gt;0,"✓",""))</f>
        <v/>
      </c>
      <c r="L1018" s="57">
        <f>IF(OR($A1018="",L$24=""),"",IF(COUNTIFS('AFA Rates'!$A$5:$A$1004,$A1018,'AFA Rates'!$B$5:$B$1004,L$24)&gt;0,"✓",""))</f>
        <v/>
      </c>
      <c r="M1018" s="57">
        <f>IF(OR($A1018="",M$24=""),"",IF(COUNTIFS('AFA Rates'!$A$5:$A$1004,$A1018,'AFA Rates'!$B$5:$B$1004,M$24)&gt;0,"✓",""))</f>
        <v/>
      </c>
    </row>
    <row r="1019">
      <c r="A1019" s="63">
        <f>IFERROR(INDEX(Firms!$A$5:$A$1004,MATCH(995,Firms!$S$5:$S$1004,0)),"")</f>
        <v/>
      </c>
      <c r="B1019" s="57">
        <f>IF($A1019="","",INDEX(Firms!$B$5:$B$1004,MATCH(995,Firms!$S$5:$S$1004,0)))</f>
        <v/>
      </c>
      <c r="C1019" s="57">
        <f>IF($A1019="","",COUNTIF('AFA Rates'!$A$5:$A$1004,$A1019))</f>
        <v/>
      </c>
      <c r="D1019" s="57">
        <f>IF(OR($A1019="",D$24=""),"",IF(COUNTIFS('AFA Rates'!$A$5:$A$1004,$A1019,'AFA Rates'!$B$5:$B$1004,D$24)&gt;0,"✓",""))</f>
        <v/>
      </c>
      <c r="E1019" s="57">
        <f>IF(OR($A1019="",E$24=""),"",IF(COUNTIFS('AFA Rates'!$A$5:$A$1004,$A1019,'AFA Rates'!$B$5:$B$1004,E$24)&gt;0,"✓",""))</f>
        <v/>
      </c>
      <c r="F1019" s="57">
        <f>IF(OR($A1019="",F$24=""),"",IF(COUNTIFS('AFA Rates'!$A$5:$A$1004,$A1019,'AFA Rates'!$B$5:$B$1004,F$24)&gt;0,"✓",""))</f>
        <v/>
      </c>
      <c r="G1019" s="57">
        <f>IF(OR($A1019="",G$24=""),"",IF(COUNTIFS('AFA Rates'!$A$5:$A$1004,$A1019,'AFA Rates'!$B$5:$B$1004,G$24)&gt;0,"✓",""))</f>
        <v/>
      </c>
      <c r="H1019" s="57">
        <f>IF(OR($A1019="",H$24=""),"",IF(COUNTIFS('AFA Rates'!$A$5:$A$1004,$A1019,'AFA Rates'!$B$5:$B$1004,H$24)&gt;0,"✓",""))</f>
        <v/>
      </c>
      <c r="I1019" s="57">
        <f>IF(OR($A1019="",I$24=""),"",IF(COUNTIFS('AFA Rates'!$A$5:$A$1004,$A1019,'AFA Rates'!$B$5:$B$1004,I$24)&gt;0,"✓",""))</f>
        <v/>
      </c>
      <c r="J1019" s="57">
        <f>IF(OR($A1019="",J$24=""),"",IF(COUNTIFS('AFA Rates'!$A$5:$A$1004,$A1019,'AFA Rates'!$B$5:$B$1004,J$24)&gt;0,"✓",""))</f>
        <v/>
      </c>
      <c r="K1019" s="57">
        <f>IF(OR($A1019="",K$24=""),"",IF(COUNTIFS('AFA Rates'!$A$5:$A$1004,$A1019,'AFA Rates'!$B$5:$B$1004,K$24)&gt;0,"✓",""))</f>
        <v/>
      </c>
      <c r="L1019" s="57">
        <f>IF(OR($A1019="",L$24=""),"",IF(COUNTIFS('AFA Rates'!$A$5:$A$1004,$A1019,'AFA Rates'!$B$5:$B$1004,L$24)&gt;0,"✓",""))</f>
        <v/>
      </c>
      <c r="M1019" s="57">
        <f>IF(OR($A1019="",M$24=""),"",IF(COUNTIFS('AFA Rates'!$A$5:$A$1004,$A1019,'AFA Rates'!$B$5:$B$1004,M$24)&gt;0,"✓",""))</f>
        <v/>
      </c>
    </row>
    <row r="1020">
      <c r="A1020" s="63">
        <f>IFERROR(INDEX(Firms!$A$5:$A$1004,MATCH(996,Firms!$S$5:$S$1004,0)),"")</f>
        <v/>
      </c>
      <c r="B1020" s="57">
        <f>IF($A1020="","",INDEX(Firms!$B$5:$B$1004,MATCH(996,Firms!$S$5:$S$1004,0)))</f>
        <v/>
      </c>
      <c r="C1020" s="57">
        <f>IF($A1020="","",COUNTIF('AFA Rates'!$A$5:$A$1004,$A1020))</f>
        <v/>
      </c>
      <c r="D1020" s="57">
        <f>IF(OR($A1020="",D$24=""),"",IF(COUNTIFS('AFA Rates'!$A$5:$A$1004,$A1020,'AFA Rates'!$B$5:$B$1004,D$24)&gt;0,"✓",""))</f>
        <v/>
      </c>
      <c r="E1020" s="57">
        <f>IF(OR($A1020="",E$24=""),"",IF(COUNTIFS('AFA Rates'!$A$5:$A$1004,$A1020,'AFA Rates'!$B$5:$B$1004,E$24)&gt;0,"✓",""))</f>
        <v/>
      </c>
      <c r="F1020" s="57">
        <f>IF(OR($A1020="",F$24=""),"",IF(COUNTIFS('AFA Rates'!$A$5:$A$1004,$A1020,'AFA Rates'!$B$5:$B$1004,F$24)&gt;0,"✓",""))</f>
        <v/>
      </c>
      <c r="G1020" s="57">
        <f>IF(OR($A1020="",G$24=""),"",IF(COUNTIFS('AFA Rates'!$A$5:$A$1004,$A1020,'AFA Rates'!$B$5:$B$1004,G$24)&gt;0,"✓",""))</f>
        <v/>
      </c>
      <c r="H1020" s="57">
        <f>IF(OR($A1020="",H$24=""),"",IF(COUNTIFS('AFA Rates'!$A$5:$A$1004,$A1020,'AFA Rates'!$B$5:$B$1004,H$24)&gt;0,"✓",""))</f>
        <v/>
      </c>
      <c r="I1020" s="57">
        <f>IF(OR($A1020="",I$24=""),"",IF(COUNTIFS('AFA Rates'!$A$5:$A$1004,$A1020,'AFA Rates'!$B$5:$B$1004,I$24)&gt;0,"✓",""))</f>
        <v/>
      </c>
      <c r="J1020" s="57">
        <f>IF(OR($A1020="",J$24=""),"",IF(COUNTIFS('AFA Rates'!$A$5:$A$1004,$A1020,'AFA Rates'!$B$5:$B$1004,J$24)&gt;0,"✓",""))</f>
        <v/>
      </c>
      <c r="K1020" s="57">
        <f>IF(OR($A1020="",K$24=""),"",IF(COUNTIFS('AFA Rates'!$A$5:$A$1004,$A1020,'AFA Rates'!$B$5:$B$1004,K$24)&gt;0,"✓",""))</f>
        <v/>
      </c>
      <c r="L1020" s="57">
        <f>IF(OR($A1020="",L$24=""),"",IF(COUNTIFS('AFA Rates'!$A$5:$A$1004,$A1020,'AFA Rates'!$B$5:$B$1004,L$24)&gt;0,"✓",""))</f>
        <v/>
      </c>
      <c r="M1020" s="57">
        <f>IF(OR($A1020="",M$24=""),"",IF(COUNTIFS('AFA Rates'!$A$5:$A$1004,$A1020,'AFA Rates'!$B$5:$B$1004,M$24)&gt;0,"✓",""))</f>
        <v/>
      </c>
    </row>
    <row r="1021">
      <c r="A1021" s="63">
        <f>IFERROR(INDEX(Firms!$A$5:$A$1004,MATCH(997,Firms!$S$5:$S$1004,0)),"")</f>
        <v/>
      </c>
      <c r="B1021" s="57">
        <f>IF($A1021="","",INDEX(Firms!$B$5:$B$1004,MATCH(997,Firms!$S$5:$S$1004,0)))</f>
        <v/>
      </c>
      <c r="C1021" s="57">
        <f>IF($A1021="","",COUNTIF('AFA Rates'!$A$5:$A$1004,$A1021))</f>
        <v/>
      </c>
      <c r="D1021" s="57">
        <f>IF(OR($A1021="",D$24=""),"",IF(COUNTIFS('AFA Rates'!$A$5:$A$1004,$A1021,'AFA Rates'!$B$5:$B$1004,D$24)&gt;0,"✓",""))</f>
        <v/>
      </c>
      <c r="E1021" s="57">
        <f>IF(OR($A1021="",E$24=""),"",IF(COUNTIFS('AFA Rates'!$A$5:$A$1004,$A1021,'AFA Rates'!$B$5:$B$1004,E$24)&gt;0,"✓",""))</f>
        <v/>
      </c>
      <c r="F1021" s="57">
        <f>IF(OR($A1021="",F$24=""),"",IF(COUNTIFS('AFA Rates'!$A$5:$A$1004,$A1021,'AFA Rates'!$B$5:$B$1004,F$24)&gt;0,"✓",""))</f>
        <v/>
      </c>
      <c r="G1021" s="57">
        <f>IF(OR($A1021="",G$24=""),"",IF(COUNTIFS('AFA Rates'!$A$5:$A$1004,$A1021,'AFA Rates'!$B$5:$B$1004,G$24)&gt;0,"✓",""))</f>
        <v/>
      </c>
      <c r="H1021" s="57">
        <f>IF(OR($A1021="",H$24=""),"",IF(COUNTIFS('AFA Rates'!$A$5:$A$1004,$A1021,'AFA Rates'!$B$5:$B$1004,H$24)&gt;0,"✓",""))</f>
        <v/>
      </c>
      <c r="I1021" s="57">
        <f>IF(OR($A1021="",I$24=""),"",IF(COUNTIFS('AFA Rates'!$A$5:$A$1004,$A1021,'AFA Rates'!$B$5:$B$1004,I$24)&gt;0,"✓",""))</f>
        <v/>
      </c>
      <c r="J1021" s="57">
        <f>IF(OR($A1021="",J$24=""),"",IF(COUNTIFS('AFA Rates'!$A$5:$A$1004,$A1021,'AFA Rates'!$B$5:$B$1004,J$24)&gt;0,"✓",""))</f>
        <v/>
      </c>
      <c r="K1021" s="57">
        <f>IF(OR($A1021="",K$24=""),"",IF(COUNTIFS('AFA Rates'!$A$5:$A$1004,$A1021,'AFA Rates'!$B$5:$B$1004,K$24)&gt;0,"✓",""))</f>
        <v/>
      </c>
      <c r="L1021" s="57">
        <f>IF(OR($A1021="",L$24=""),"",IF(COUNTIFS('AFA Rates'!$A$5:$A$1004,$A1021,'AFA Rates'!$B$5:$B$1004,L$24)&gt;0,"✓",""))</f>
        <v/>
      </c>
      <c r="M1021" s="57">
        <f>IF(OR($A1021="",M$24=""),"",IF(COUNTIFS('AFA Rates'!$A$5:$A$1004,$A1021,'AFA Rates'!$B$5:$B$1004,M$24)&gt;0,"✓",""))</f>
        <v/>
      </c>
    </row>
    <row r="1022">
      <c r="A1022" s="63">
        <f>IFERROR(INDEX(Firms!$A$5:$A$1004,MATCH(998,Firms!$S$5:$S$1004,0)),"")</f>
        <v/>
      </c>
      <c r="B1022" s="57">
        <f>IF($A1022="","",INDEX(Firms!$B$5:$B$1004,MATCH(998,Firms!$S$5:$S$1004,0)))</f>
        <v/>
      </c>
      <c r="C1022" s="57">
        <f>IF($A1022="","",COUNTIF('AFA Rates'!$A$5:$A$1004,$A1022))</f>
        <v/>
      </c>
      <c r="D1022" s="57">
        <f>IF(OR($A1022="",D$24=""),"",IF(COUNTIFS('AFA Rates'!$A$5:$A$1004,$A1022,'AFA Rates'!$B$5:$B$1004,D$24)&gt;0,"✓",""))</f>
        <v/>
      </c>
      <c r="E1022" s="57">
        <f>IF(OR($A1022="",E$24=""),"",IF(COUNTIFS('AFA Rates'!$A$5:$A$1004,$A1022,'AFA Rates'!$B$5:$B$1004,E$24)&gt;0,"✓",""))</f>
        <v/>
      </c>
      <c r="F1022" s="57">
        <f>IF(OR($A1022="",F$24=""),"",IF(COUNTIFS('AFA Rates'!$A$5:$A$1004,$A1022,'AFA Rates'!$B$5:$B$1004,F$24)&gt;0,"✓",""))</f>
        <v/>
      </c>
      <c r="G1022" s="57">
        <f>IF(OR($A1022="",G$24=""),"",IF(COUNTIFS('AFA Rates'!$A$5:$A$1004,$A1022,'AFA Rates'!$B$5:$B$1004,G$24)&gt;0,"✓",""))</f>
        <v/>
      </c>
      <c r="H1022" s="57">
        <f>IF(OR($A1022="",H$24=""),"",IF(COUNTIFS('AFA Rates'!$A$5:$A$1004,$A1022,'AFA Rates'!$B$5:$B$1004,H$24)&gt;0,"✓",""))</f>
        <v/>
      </c>
      <c r="I1022" s="57">
        <f>IF(OR($A1022="",I$24=""),"",IF(COUNTIFS('AFA Rates'!$A$5:$A$1004,$A1022,'AFA Rates'!$B$5:$B$1004,I$24)&gt;0,"✓",""))</f>
        <v/>
      </c>
      <c r="J1022" s="57">
        <f>IF(OR($A1022="",J$24=""),"",IF(COUNTIFS('AFA Rates'!$A$5:$A$1004,$A1022,'AFA Rates'!$B$5:$B$1004,J$24)&gt;0,"✓",""))</f>
        <v/>
      </c>
      <c r="K1022" s="57">
        <f>IF(OR($A1022="",K$24=""),"",IF(COUNTIFS('AFA Rates'!$A$5:$A$1004,$A1022,'AFA Rates'!$B$5:$B$1004,K$24)&gt;0,"✓",""))</f>
        <v/>
      </c>
      <c r="L1022" s="57">
        <f>IF(OR($A1022="",L$24=""),"",IF(COUNTIFS('AFA Rates'!$A$5:$A$1004,$A1022,'AFA Rates'!$B$5:$B$1004,L$24)&gt;0,"✓",""))</f>
        <v/>
      </c>
      <c r="M1022" s="57">
        <f>IF(OR($A1022="",M$24=""),"",IF(COUNTIFS('AFA Rates'!$A$5:$A$1004,$A1022,'AFA Rates'!$B$5:$B$1004,M$24)&gt;0,"✓",""))</f>
        <v/>
      </c>
    </row>
    <row r="1023">
      <c r="A1023" s="63">
        <f>IFERROR(INDEX(Firms!$A$5:$A$1004,MATCH(999,Firms!$S$5:$S$1004,0)),"")</f>
        <v/>
      </c>
      <c r="B1023" s="57">
        <f>IF($A1023="","",INDEX(Firms!$B$5:$B$1004,MATCH(999,Firms!$S$5:$S$1004,0)))</f>
        <v/>
      </c>
      <c r="C1023" s="57">
        <f>IF($A1023="","",COUNTIF('AFA Rates'!$A$5:$A$1004,$A1023))</f>
        <v/>
      </c>
      <c r="D1023" s="57">
        <f>IF(OR($A1023="",D$24=""),"",IF(COUNTIFS('AFA Rates'!$A$5:$A$1004,$A1023,'AFA Rates'!$B$5:$B$1004,D$24)&gt;0,"✓",""))</f>
        <v/>
      </c>
      <c r="E1023" s="57">
        <f>IF(OR($A1023="",E$24=""),"",IF(COUNTIFS('AFA Rates'!$A$5:$A$1004,$A1023,'AFA Rates'!$B$5:$B$1004,E$24)&gt;0,"✓",""))</f>
        <v/>
      </c>
      <c r="F1023" s="57">
        <f>IF(OR($A1023="",F$24=""),"",IF(COUNTIFS('AFA Rates'!$A$5:$A$1004,$A1023,'AFA Rates'!$B$5:$B$1004,F$24)&gt;0,"✓",""))</f>
        <v/>
      </c>
      <c r="G1023" s="57">
        <f>IF(OR($A1023="",G$24=""),"",IF(COUNTIFS('AFA Rates'!$A$5:$A$1004,$A1023,'AFA Rates'!$B$5:$B$1004,G$24)&gt;0,"✓",""))</f>
        <v/>
      </c>
      <c r="H1023" s="57">
        <f>IF(OR($A1023="",H$24=""),"",IF(COUNTIFS('AFA Rates'!$A$5:$A$1004,$A1023,'AFA Rates'!$B$5:$B$1004,H$24)&gt;0,"✓",""))</f>
        <v/>
      </c>
      <c r="I1023" s="57">
        <f>IF(OR($A1023="",I$24=""),"",IF(COUNTIFS('AFA Rates'!$A$5:$A$1004,$A1023,'AFA Rates'!$B$5:$B$1004,I$24)&gt;0,"✓",""))</f>
        <v/>
      </c>
      <c r="J1023" s="57">
        <f>IF(OR($A1023="",J$24=""),"",IF(COUNTIFS('AFA Rates'!$A$5:$A$1004,$A1023,'AFA Rates'!$B$5:$B$1004,J$24)&gt;0,"✓",""))</f>
        <v/>
      </c>
      <c r="K1023" s="57">
        <f>IF(OR($A1023="",K$24=""),"",IF(COUNTIFS('AFA Rates'!$A$5:$A$1004,$A1023,'AFA Rates'!$B$5:$B$1004,K$24)&gt;0,"✓",""))</f>
        <v/>
      </c>
      <c r="L1023" s="57">
        <f>IF(OR($A1023="",L$24=""),"",IF(COUNTIFS('AFA Rates'!$A$5:$A$1004,$A1023,'AFA Rates'!$B$5:$B$1004,L$24)&gt;0,"✓",""))</f>
        <v/>
      </c>
      <c r="M1023" s="57">
        <f>IF(OR($A1023="",M$24=""),"",IF(COUNTIFS('AFA Rates'!$A$5:$A$1004,$A1023,'AFA Rates'!$B$5:$B$1004,M$24)&gt;0,"✓",""))</f>
        <v/>
      </c>
    </row>
    <row r="1024">
      <c r="A1024" s="63">
        <f>IFERROR(INDEX(Firms!$A$5:$A$1004,MATCH(1000,Firms!$S$5:$S$1004,0)),"")</f>
        <v/>
      </c>
      <c r="B1024" s="57">
        <f>IF($A1024="","",INDEX(Firms!$B$5:$B$1004,MATCH(1000,Firms!$S$5:$S$1004,0)))</f>
        <v/>
      </c>
      <c r="C1024" s="57">
        <f>IF($A1024="","",COUNTIF('AFA Rates'!$A$5:$A$1004,$A1024))</f>
        <v/>
      </c>
      <c r="D1024" s="57">
        <f>IF(OR($A1024="",D$24=""),"",IF(COUNTIFS('AFA Rates'!$A$5:$A$1004,$A1024,'AFA Rates'!$B$5:$B$1004,D$24)&gt;0,"✓",""))</f>
        <v/>
      </c>
      <c r="E1024" s="57">
        <f>IF(OR($A1024="",E$24=""),"",IF(COUNTIFS('AFA Rates'!$A$5:$A$1004,$A1024,'AFA Rates'!$B$5:$B$1004,E$24)&gt;0,"✓",""))</f>
        <v/>
      </c>
      <c r="F1024" s="57">
        <f>IF(OR($A1024="",F$24=""),"",IF(COUNTIFS('AFA Rates'!$A$5:$A$1004,$A1024,'AFA Rates'!$B$5:$B$1004,F$24)&gt;0,"✓",""))</f>
        <v/>
      </c>
      <c r="G1024" s="57">
        <f>IF(OR($A1024="",G$24=""),"",IF(COUNTIFS('AFA Rates'!$A$5:$A$1004,$A1024,'AFA Rates'!$B$5:$B$1004,G$24)&gt;0,"✓",""))</f>
        <v/>
      </c>
      <c r="H1024" s="57">
        <f>IF(OR($A1024="",H$24=""),"",IF(COUNTIFS('AFA Rates'!$A$5:$A$1004,$A1024,'AFA Rates'!$B$5:$B$1004,H$24)&gt;0,"✓",""))</f>
        <v/>
      </c>
      <c r="I1024" s="57">
        <f>IF(OR($A1024="",I$24=""),"",IF(COUNTIFS('AFA Rates'!$A$5:$A$1004,$A1024,'AFA Rates'!$B$5:$B$1004,I$24)&gt;0,"✓",""))</f>
        <v/>
      </c>
      <c r="J1024" s="57">
        <f>IF(OR($A1024="",J$24=""),"",IF(COUNTIFS('AFA Rates'!$A$5:$A$1004,$A1024,'AFA Rates'!$B$5:$B$1004,J$24)&gt;0,"✓",""))</f>
        <v/>
      </c>
      <c r="K1024" s="57">
        <f>IF(OR($A1024="",K$24=""),"",IF(COUNTIFS('AFA Rates'!$A$5:$A$1004,$A1024,'AFA Rates'!$B$5:$B$1004,K$24)&gt;0,"✓",""))</f>
        <v/>
      </c>
      <c r="L1024" s="57">
        <f>IF(OR($A1024="",L$24=""),"",IF(COUNTIFS('AFA Rates'!$A$5:$A$1004,$A1024,'AFA Rates'!$B$5:$B$1004,L$24)&gt;0,"✓",""))</f>
        <v/>
      </c>
      <c r="M1024" s="57">
        <f>IF(OR($A1024="",M$24=""),"",IF(COUNTIFS('AFA Rates'!$A$5:$A$1004,$A1024,'AFA Rates'!$B$5:$B$1004,M$24)&gt;0,"✓",""))</f>
        <v/>
      </c>
    </row>
  </sheetData>
  <mergeCells count="26">
    <mergeCell ref="D20:E20"/>
    <mergeCell ref="D10:E10"/>
    <mergeCell ref="I6:J6"/>
    <mergeCell ref="D19:E19"/>
    <mergeCell ref="I11:J11"/>
    <mergeCell ref="D6:E6"/>
    <mergeCell ref="D11:E11"/>
    <mergeCell ref="D13:E13"/>
    <mergeCell ref="I7:J7"/>
    <mergeCell ref="D17:E17"/>
    <mergeCell ref="D16:E16"/>
    <mergeCell ref="I12:J12"/>
    <mergeCell ref="D7:E7"/>
    <mergeCell ref="I5:J5"/>
    <mergeCell ref="D18:E18"/>
    <mergeCell ref="I8:J8"/>
    <mergeCell ref="I14:J14"/>
    <mergeCell ref="D9:E9"/>
    <mergeCell ref="D12:E12"/>
    <mergeCell ref="D8:E8"/>
    <mergeCell ref="D15:E15"/>
    <mergeCell ref="I10:J10"/>
    <mergeCell ref="D5:E5"/>
    <mergeCell ref="D14:E14"/>
    <mergeCell ref="I13:J13"/>
    <mergeCell ref="I9:J9"/>
  </mergeCells>
  <conditionalFormatting sqref="D6:G20">
    <cfRule type="expression" priority="1" dxfId="9">
      <formula>$D6&lt;&gt;""</formula>
    </cfRule>
  </conditionalFormatting>
  <conditionalFormatting sqref="I6:K14">
    <cfRule type="expression" priority="2" dxfId="10">
      <formula>$I6&lt;&gt;""</formula>
    </cfRule>
  </conditionalFormatting>
  <conditionalFormatting sqref="A25:M1024">
    <cfRule type="expression" priority="3" dxfId="11">
      <formula>$A25&lt;&gt;""</formula>
    </cfRule>
  </conditionalFormatting>
  <conditionalFormatting sqref="D25:M1024">
    <cfRule type="cellIs" priority="4" operator="equal" dxfId="1">
      <formula>"✓"</formula>
    </cfRule>
  </conditionalFormatting>
  <conditionalFormatting sqref="B25:B1024">
    <cfRule type="cellIs" priority="5" operator="equal" dxfId="0">
      <formula>"Paused"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/>
  </sheetPr>
  <dimension ref="A1:G55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24" customWidth="1" min="3" max="3"/>
    <col width="3" customWidth="1" min="4" max="4"/>
    <col width="14" customWidth="1" min="5" max="5"/>
    <col width="3" customWidth="1" min="6" max="6"/>
    <col width="24" customWidth="1" min="7" max="7"/>
  </cols>
  <sheetData>
    <row r="1" ht="34" customHeight="1">
      <c r="A1" s="47" t="inlineStr">
        <is>
          <t>Lists &amp; Dropdown Options</t>
        </is>
      </c>
    </row>
    <row r="2" ht="22" customHeight="1">
      <c r="A2" s="48" t="inlineStr">
        <is>
          <t>Edit the yellow cells to change what appears in dropdowns. Add new AFA types in the next empty yellow cell.</t>
        </is>
      </c>
    </row>
    <row r="4" ht="30" customHeight="1">
      <c r="A4" s="49" t="inlineStr">
        <is>
          <t>AFA Types (editable)</t>
        </is>
      </c>
      <c r="C4" s="49" t="inlineStr">
        <is>
          <t>Cyber Status (editable)</t>
        </is>
      </c>
      <c r="E4" s="49" t="inlineStr">
        <is>
          <t>Firm Status</t>
        </is>
      </c>
      <c r="G4" s="49" t="inlineStr">
        <is>
          <t>U.S. States (reference)</t>
        </is>
      </c>
    </row>
    <row r="5">
      <c r="A5" s="73" t="inlineStr">
        <is>
          <t>Commercial Auto</t>
        </is>
      </c>
      <c r="C5" s="73" t="inlineStr">
        <is>
          <t>Compliant</t>
        </is>
      </c>
      <c r="E5" s="74" t="inlineStr">
        <is>
          <t>Active</t>
        </is>
      </c>
      <c r="G5" s="75" t="inlineStr">
        <is>
          <t>AL - Alabama</t>
        </is>
      </c>
    </row>
    <row r="6">
      <c r="A6" s="73" t="inlineStr">
        <is>
          <t>Commercial Trucking</t>
        </is>
      </c>
      <c r="C6" s="73" t="inlineStr">
        <is>
          <t>Pending Review</t>
        </is>
      </c>
      <c r="E6" s="74" t="inlineStr">
        <is>
          <t>Paused</t>
        </is>
      </c>
      <c r="G6" s="75" t="inlineStr">
        <is>
          <t>AK - Alaska</t>
        </is>
      </c>
    </row>
    <row r="7">
      <c r="A7" s="73" t="inlineStr">
        <is>
          <t>Bad Faith</t>
        </is>
      </c>
      <c r="C7" s="73" t="inlineStr">
        <is>
          <t>Non-Compliant</t>
        </is>
      </c>
      <c r="G7" s="75" t="inlineStr">
        <is>
          <t>AZ - Arizona</t>
        </is>
      </c>
    </row>
    <row r="8">
      <c r="A8" s="73" t="inlineStr">
        <is>
          <t>Company Counsel</t>
        </is>
      </c>
      <c r="C8" s="73" t="inlineStr">
        <is>
          <t>Expired</t>
        </is>
      </c>
      <c r="E8" s="76" t="inlineStr">
        <is>
          <t>Fixed — the workbook logic relies on these two values.</t>
        </is>
      </c>
      <c r="G8" s="75" t="inlineStr">
        <is>
          <t>AR - Arkansas</t>
        </is>
      </c>
    </row>
    <row r="9">
      <c r="A9" s="73" t="inlineStr">
        <is>
          <t>Appellate</t>
        </is>
      </c>
      <c r="C9" s="73" t="inlineStr">
        <is>
          <t>Not Assessed</t>
        </is>
      </c>
      <c r="G9" s="75" t="inlineStr">
        <is>
          <t>CA - California</t>
        </is>
      </c>
    </row>
    <row r="10">
      <c r="A10" s="73" t="n"/>
      <c r="C10" s="73" t="n"/>
      <c r="G10" s="75" t="inlineStr">
        <is>
          <t>CO - Colorado</t>
        </is>
      </c>
    </row>
    <row r="11">
      <c r="A11" s="73" t="n"/>
      <c r="C11" s="73" t="n"/>
      <c r="G11" s="75" t="inlineStr">
        <is>
          <t>CT - Connecticut</t>
        </is>
      </c>
    </row>
    <row r="12">
      <c r="A12" s="73" t="n"/>
      <c r="C12" s="73" t="n"/>
      <c r="G12" s="75" t="inlineStr">
        <is>
          <t>DE - Delaware</t>
        </is>
      </c>
    </row>
    <row r="13">
      <c r="A13" s="73" t="n"/>
      <c r="C13" s="73" t="n"/>
      <c r="G13" s="75" t="inlineStr">
        <is>
          <t>DC - District of Columbia</t>
        </is>
      </c>
    </row>
    <row r="14">
      <c r="A14" s="73" t="n"/>
      <c r="C14" s="73" t="n"/>
      <c r="G14" s="75" t="inlineStr">
        <is>
          <t>FL - Florida</t>
        </is>
      </c>
    </row>
    <row r="15">
      <c r="A15" s="73" t="n"/>
      <c r="C15" s="73" t="n"/>
      <c r="G15" s="75" t="inlineStr">
        <is>
          <t>GA - Georgia</t>
        </is>
      </c>
    </row>
    <row r="16">
      <c r="A16" s="73" t="n"/>
      <c r="C16" s="73" t="n"/>
      <c r="G16" s="75" t="inlineStr">
        <is>
          <t>HI - Hawaii</t>
        </is>
      </c>
    </row>
    <row r="17">
      <c r="A17" s="73" t="n"/>
      <c r="C17" s="73" t="n"/>
      <c r="G17" s="75" t="inlineStr">
        <is>
          <t>ID - Idaho</t>
        </is>
      </c>
    </row>
    <row r="18">
      <c r="A18" s="73" t="n"/>
      <c r="C18" s="73" t="n"/>
      <c r="G18" s="75" t="inlineStr">
        <is>
          <t>IL - Illinois</t>
        </is>
      </c>
    </row>
    <row r="19">
      <c r="A19" s="73" t="n"/>
      <c r="C19" s="73" t="n"/>
      <c r="G19" s="75" t="inlineStr">
        <is>
          <t>IN - Indiana</t>
        </is>
      </c>
    </row>
    <row r="20">
      <c r="A20" s="73" t="n"/>
      <c r="G20" s="75" t="inlineStr">
        <is>
          <t>IA - Iowa</t>
        </is>
      </c>
    </row>
    <row r="21">
      <c r="A21" s="73" t="n"/>
      <c r="G21" s="75" t="inlineStr">
        <is>
          <t>KS - Kansas</t>
        </is>
      </c>
    </row>
    <row r="22">
      <c r="A22" s="73" t="n"/>
      <c r="G22" s="75" t="inlineStr">
        <is>
          <t>KY - Kentucky</t>
        </is>
      </c>
    </row>
    <row r="23">
      <c r="A23" s="73" t="n"/>
      <c r="G23" s="75" t="inlineStr">
        <is>
          <t>LA - Louisiana</t>
        </is>
      </c>
    </row>
    <row r="24">
      <c r="A24" s="73" t="n"/>
      <c r="G24" s="75" t="inlineStr">
        <is>
          <t>ME - Maine</t>
        </is>
      </c>
    </row>
    <row r="25">
      <c r="A25" s="73" t="n"/>
      <c r="G25" s="75" t="inlineStr">
        <is>
          <t>MD - Maryland</t>
        </is>
      </c>
    </row>
    <row r="26">
      <c r="A26" s="73" t="n"/>
      <c r="G26" s="75" t="inlineStr">
        <is>
          <t>MA - Massachusetts</t>
        </is>
      </c>
    </row>
    <row r="27">
      <c r="A27" s="73" t="n"/>
      <c r="G27" s="75" t="inlineStr">
        <is>
          <t>MI - Michigan</t>
        </is>
      </c>
    </row>
    <row r="28">
      <c r="A28" s="73" t="n"/>
      <c r="G28" s="75" t="inlineStr">
        <is>
          <t>MN - Minnesota</t>
        </is>
      </c>
    </row>
    <row r="29">
      <c r="A29" s="73" t="n"/>
      <c r="G29" s="75" t="inlineStr">
        <is>
          <t>MS - Mississippi</t>
        </is>
      </c>
    </row>
    <row r="30">
      <c r="A30" s="73" t="n"/>
      <c r="G30" s="75" t="inlineStr">
        <is>
          <t>MO - Missouri</t>
        </is>
      </c>
    </row>
    <row r="31">
      <c r="A31" s="73" t="n"/>
      <c r="G31" s="75" t="inlineStr">
        <is>
          <t>MT - Montana</t>
        </is>
      </c>
    </row>
    <row r="32">
      <c r="A32" s="73" t="n"/>
      <c r="G32" s="75" t="inlineStr">
        <is>
          <t>NE - Nebraska</t>
        </is>
      </c>
    </row>
    <row r="33">
      <c r="A33" s="73" t="n"/>
      <c r="G33" s="75" t="inlineStr">
        <is>
          <t>NV - Nevada</t>
        </is>
      </c>
    </row>
    <row r="34">
      <c r="A34" s="73" t="n"/>
      <c r="G34" s="75" t="inlineStr">
        <is>
          <t>NH - New Hampshire</t>
        </is>
      </c>
    </row>
    <row r="35">
      <c r="G35" s="75" t="inlineStr">
        <is>
          <t>NJ - New Jersey</t>
        </is>
      </c>
    </row>
    <row r="36">
      <c r="G36" s="75" t="inlineStr">
        <is>
          <t>NM - New Mexico</t>
        </is>
      </c>
    </row>
    <row r="37">
      <c r="G37" s="75" t="inlineStr">
        <is>
          <t>NY - New York</t>
        </is>
      </c>
    </row>
    <row r="38">
      <c r="G38" s="75" t="inlineStr">
        <is>
          <t>NC - North Carolina</t>
        </is>
      </c>
    </row>
    <row r="39">
      <c r="G39" s="75" t="inlineStr">
        <is>
          <t>ND - North Dakota</t>
        </is>
      </c>
    </row>
    <row r="40">
      <c r="G40" s="75" t="inlineStr">
        <is>
          <t>OH - Ohio</t>
        </is>
      </c>
    </row>
    <row r="41">
      <c r="G41" s="75" t="inlineStr">
        <is>
          <t>OK - Oklahoma</t>
        </is>
      </c>
    </row>
    <row r="42">
      <c r="G42" s="75" t="inlineStr">
        <is>
          <t>OR - Oregon</t>
        </is>
      </c>
    </row>
    <row r="43">
      <c r="G43" s="75" t="inlineStr">
        <is>
          <t>PA - Pennsylvania</t>
        </is>
      </c>
    </row>
    <row r="44">
      <c r="G44" s="75" t="inlineStr">
        <is>
          <t>RI - Rhode Island</t>
        </is>
      </c>
    </row>
    <row r="45">
      <c r="G45" s="75" t="inlineStr">
        <is>
          <t>SC - South Carolina</t>
        </is>
      </c>
    </row>
    <row r="46">
      <c r="G46" s="75" t="inlineStr">
        <is>
          <t>SD - South Dakota</t>
        </is>
      </c>
    </row>
    <row r="47">
      <c r="G47" s="75" t="inlineStr">
        <is>
          <t>TN - Tennessee</t>
        </is>
      </c>
    </row>
    <row r="48">
      <c r="G48" s="75" t="inlineStr">
        <is>
          <t>TX - Texas</t>
        </is>
      </c>
    </row>
    <row r="49">
      <c r="G49" s="75" t="inlineStr">
        <is>
          <t>UT - Utah</t>
        </is>
      </c>
    </row>
    <row r="50">
      <c r="G50" s="75" t="inlineStr">
        <is>
          <t>VT - Vermont</t>
        </is>
      </c>
    </row>
    <row r="51">
      <c r="G51" s="75" t="inlineStr">
        <is>
          <t>VA - Virginia</t>
        </is>
      </c>
    </row>
    <row r="52">
      <c r="G52" s="75" t="inlineStr">
        <is>
          <t>WA - Washington</t>
        </is>
      </c>
    </row>
    <row r="53">
      <c r="G53" s="75" t="inlineStr">
        <is>
          <t>WV - West Virginia</t>
        </is>
      </c>
    </row>
    <row r="54">
      <c r="G54" s="75" t="inlineStr">
        <is>
          <t>WI - Wisconsin</t>
        </is>
      </c>
    </row>
    <row r="55">
      <c r="G55" s="75" t="inlineStr">
        <is>
          <t>WY - Wyoming</t>
        </is>
      </c>
    </row>
  </sheetData>
  <mergeCells count="1">
    <mergeCell ref="E8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2026-10-12T16:33:24Z</dcterms:created>
  <dcterms:modified xmlns:dcterms="http://purl.org/dc/terms/" xmlns:xsi="http://www.w3.org/2001/XMLSchema-instance" xsi:type="dcterms:W3CDTF">2026-10-12T16:33:26Z</dcterms:modified>
</cp:coreProperties>
</file>